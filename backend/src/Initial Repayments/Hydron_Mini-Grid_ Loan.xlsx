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OTHER RE LOANS\Mini-grid\"/>
    </mc:Choice>
  </mc:AlternateContent>
  <bookViews>
    <workbookView xWindow="240" yWindow="75" windowWidth="8460" windowHeight="6030" tabRatio="745" activeTab="1"/>
  </bookViews>
  <sheets>
    <sheet name="Disbursement" sheetId="4" r:id="rId1"/>
    <sheet name="Summary" sheetId="5" r:id="rId2"/>
    <sheet name="Hydron_Loan" sheetId="2" r:id="rId3"/>
    <sheet name="Accrual_Hydron" sheetId="3" r:id="rId4"/>
    <sheet name="Repayment Schedule" sheetId="6" r:id="rId5"/>
  </sheets>
  <definedNames>
    <definedName name="_xlnm.Print_Area" localSheetId="2">Hydron_Loan!$A$1:$J$38</definedName>
  </definedNames>
  <calcPr calcId="152511"/>
</workbook>
</file>

<file path=xl/calcChain.xml><?xml version="1.0" encoding="utf-8"?>
<calcChain xmlns="http://schemas.openxmlformats.org/spreadsheetml/2006/main">
  <c r="J48" i="2" l="1"/>
  <c r="I48" i="2"/>
  <c r="E48" i="2"/>
  <c r="E47" i="2" l="1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D47" i="2"/>
  <c r="E20" i="6" l="1"/>
  <c r="D20" i="6"/>
  <c r="E19" i="6"/>
  <c r="D19" i="6"/>
  <c r="D18" i="6"/>
  <c r="C19" i="6"/>
  <c r="C18" i="6"/>
  <c r="G25" i="3"/>
  <c r="D19" i="3"/>
  <c r="D18" i="3"/>
  <c r="D17" i="3"/>
  <c r="C31" i="2"/>
  <c r="E22" i="2"/>
  <c r="E21" i="2"/>
  <c r="E20" i="2"/>
  <c r="E18" i="6" s="1"/>
  <c r="J10" i="4"/>
  <c r="D10" i="4"/>
  <c r="D32" i="2" l="1"/>
  <c r="D25" i="3"/>
  <c r="G24" i="3"/>
  <c r="C19" i="3"/>
  <c r="C18" i="3"/>
  <c r="C17" i="3"/>
  <c r="E13" i="2"/>
  <c r="E14" i="2"/>
  <c r="D21" i="2"/>
  <c r="D20" i="2"/>
  <c r="J9" i="4"/>
  <c r="D9" i="4" l="1"/>
  <c r="B1" i="5" l="1"/>
  <c r="C1" i="5"/>
  <c r="B3" i="5"/>
  <c r="C3" i="5"/>
  <c r="B10" i="5"/>
  <c r="B25" i="5" s="1"/>
  <c r="B26" i="5" s="1"/>
  <c r="C10" i="5"/>
  <c r="B19" i="5"/>
  <c r="C19" i="5"/>
  <c r="C21" i="5"/>
  <c r="B22" i="5"/>
  <c r="B28" i="5"/>
  <c r="B14" i="5" s="1"/>
  <c r="B35" i="5"/>
  <c r="C35" i="5"/>
  <c r="DQ35" i="5"/>
  <c r="DR35" i="5"/>
  <c r="DS35" i="5"/>
  <c r="DQ19" i="5"/>
  <c r="DR19" i="5"/>
  <c r="DQ1" i="5"/>
  <c r="DR1" i="5"/>
  <c r="DS1" i="5"/>
  <c r="DS19" i="5" s="1"/>
  <c r="I10" i="5"/>
  <c r="C22" i="5" l="1"/>
  <c r="C5" i="5" s="1"/>
  <c r="C7" i="5" s="1"/>
  <c r="C28" i="5"/>
  <c r="C14" i="5" s="1"/>
  <c r="B11" i="5"/>
  <c r="C25" i="5" s="1"/>
  <c r="C26" i="5" s="1"/>
  <c r="C11" i="5" s="1"/>
  <c r="B5" i="5"/>
  <c r="B7" i="5" l="1"/>
  <c r="C12" i="5"/>
  <c r="B12" i="5"/>
  <c r="DR23" i="3" l="1"/>
  <c r="DS23" i="3"/>
  <c r="DQ23" i="3"/>
  <c r="J8" i="4" l="1"/>
  <c r="DP35" i="5" l="1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DP1" i="5"/>
  <c r="DP19" i="5" s="1"/>
  <c r="DO1" i="5"/>
  <c r="DO19" i="5" s="1"/>
  <c r="DJ1" i="5"/>
  <c r="DJ19" i="5" s="1"/>
  <c r="DK1" i="5"/>
  <c r="DK19" i="5" s="1"/>
  <c r="DL1" i="5"/>
  <c r="DL19" i="5" s="1"/>
  <c r="DM1" i="5"/>
  <c r="DM19" i="5" s="1"/>
  <c r="DN1" i="5"/>
  <c r="DN19" i="5"/>
  <c r="C15" i="6"/>
  <c r="C14" i="6"/>
  <c r="C13" i="6"/>
  <c r="C12" i="6"/>
  <c r="C11" i="6"/>
  <c r="C7" i="6"/>
  <c r="C1" i="6"/>
  <c r="C5" i="6"/>
  <c r="B28" i="3"/>
  <c r="B4" i="5" s="1"/>
  <c r="B6" i="5" s="1"/>
  <c r="C20" i="6"/>
  <c r="C9" i="2"/>
  <c r="C21" i="2"/>
  <c r="B31" i="2" s="1"/>
  <c r="C20" i="2"/>
  <c r="D1" i="5" l="1"/>
  <c r="D19" i="5" s="1"/>
  <c r="E1" i="5"/>
  <c r="E19" i="5" s="1"/>
  <c r="F1" i="5"/>
  <c r="F19" i="5" s="1"/>
  <c r="G1" i="5"/>
  <c r="G19" i="5" s="1"/>
  <c r="H1" i="5"/>
  <c r="H19" i="5" s="1"/>
  <c r="I1" i="5"/>
  <c r="I19" i="5" s="1"/>
  <c r="J1" i="5"/>
  <c r="J19" i="5" s="1"/>
  <c r="K1" i="5"/>
  <c r="K19" i="5" s="1"/>
  <c r="L1" i="5"/>
  <c r="L19" i="5" s="1"/>
  <c r="M1" i="5"/>
  <c r="M19" i="5" s="1"/>
  <c r="N1" i="5"/>
  <c r="N19" i="5" s="1"/>
  <c r="O1" i="5"/>
  <c r="O19" i="5" s="1"/>
  <c r="P1" i="5"/>
  <c r="P19" i="5" s="1"/>
  <c r="Q1" i="5"/>
  <c r="Q19" i="5" s="1"/>
  <c r="R1" i="5"/>
  <c r="R19" i="5" s="1"/>
  <c r="S1" i="5"/>
  <c r="S19" i="5" s="1"/>
  <c r="T1" i="5"/>
  <c r="T19" i="5" s="1"/>
  <c r="U1" i="5"/>
  <c r="U19" i="5" s="1"/>
  <c r="V1" i="5"/>
  <c r="V19" i="5" s="1"/>
  <c r="W1" i="5"/>
  <c r="W19" i="5" s="1"/>
  <c r="X1" i="5"/>
  <c r="X19" i="5" s="1"/>
  <c r="Y1" i="5"/>
  <c r="Y19" i="5" s="1"/>
  <c r="Z1" i="5"/>
  <c r="Z19" i="5" s="1"/>
  <c r="AA1" i="5"/>
  <c r="AA19" i="5" s="1"/>
  <c r="AB1" i="5"/>
  <c r="AB19" i="5" s="1"/>
  <c r="AC1" i="5"/>
  <c r="AC19" i="5" s="1"/>
  <c r="AD1" i="5"/>
  <c r="AD19" i="5" s="1"/>
  <c r="AE1" i="5"/>
  <c r="AE19" i="5" s="1"/>
  <c r="AF1" i="5"/>
  <c r="AF19" i="5" s="1"/>
  <c r="AG1" i="5"/>
  <c r="AG19" i="5" s="1"/>
  <c r="AH1" i="5"/>
  <c r="AH19" i="5" s="1"/>
  <c r="AI1" i="5"/>
  <c r="AI19" i="5" s="1"/>
  <c r="AJ1" i="5"/>
  <c r="AJ19" i="5" s="1"/>
  <c r="AK1" i="5"/>
  <c r="AK19" i="5" s="1"/>
  <c r="AL1" i="5"/>
  <c r="AL19" i="5" s="1"/>
  <c r="AM1" i="5"/>
  <c r="AM19" i="5" s="1"/>
  <c r="AN1" i="5"/>
  <c r="AN19" i="5" s="1"/>
  <c r="AO1" i="5"/>
  <c r="AO19" i="5" s="1"/>
  <c r="AP1" i="5"/>
  <c r="AP19" i="5" s="1"/>
  <c r="AQ1" i="5"/>
  <c r="AQ19" i="5" s="1"/>
  <c r="AR1" i="5"/>
  <c r="AR19" i="5" s="1"/>
  <c r="AS1" i="5"/>
  <c r="AS19" i="5" s="1"/>
  <c r="AT1" i="5"/>
  <c r="AT19" i="5" s="1"/>
  <c r="AU1" i="5"/>
  <c r="AU19" i="5" s="1"/>
  <c r="AV1" i="5"/>
  <c r="AV19" i="5" s="1"/>
  <c r="AW1" i="5"/>
  <c r="AW19" i="5" s="1"/>
  <c r="AX1" i="5"/>
  <c r="AX19" i="5" s="1"/>
  <c r="AY1" i="5"/>
  <c r="AY19" i="5" s="1"/>
  <c r="AZ1" i="5"/>
  <c r="AZ19" i="5" s="1"/>
  <c r="BA1" i="5"/>
  <c r="BA19" i="5" s="1"/>
  <c r="BB1" i="5"/>
  <c r="BB19" i="5" s="1"/>
  <c r="BC1" i="5"/>
  <c r="BC19" i="5" s="1"/>
  <c r="BD1" i="5"/>
  <c r="BD19" i="5" s="1"/>
  <c r="BE1" i="5"/>
  <c r="BE19" i="5" s="1"/>
  <c r="BF1" i="5"/>
  <c r="BF19" i="5" s="1"/>
  <c r="BG1" i="5"/>
  <c r="BG19" i="5" s="1"/>
  <c r="BH1" i="5"/>
  <c r="BH19" i="5" s="1"/>
  <c r="BI1" i="5"/>
  <c r="BI19" i="5" s="1"/>
  <c r="BJ1" i="5"/>
  <c r="BJ19" i="5" s="1"/>
  <c r="BK1" i="5"/>
  <c r="BK19" i="5" s="1"/>
  <c r="BL1" i="5"/>
  <c r="BL19" i="5" s="1"/>
  <c r="BM1" i="5"/>
  <c r="BM19" i="5" s="1"/>
  <c r="BN1" i="5"/>
  <c r="BN19" i="5" s="1"/>
  <c r="BO1" i="5"/>
  <c r="BO19" i="5" s="1"/>
  <c r="BP1" i="5"/>
  <c r="BP19" i="5" s="1"/>
  <c r="BQ1" i="5"/>
  <c r="BQ19" i="5" s="1"/>
  <c r="BR1" i="5"/>
  <c r="BR19" i="5" s="1"/>
  <c r="BS1" i="5"/>
  <c r="BS19" i="5" s="1"/>
  <c r="BT1" i="5"/>
  <c r="BT19" i="5" s="1"/>
  <c r="BU1" i="5"/>
  <c r="BU19" i="5" s="1"/>
  <c r="BV1" i="5"/>
  <c r="BV19" i="5" s="1"/>
  <c r="BW1" i="5"/>
  <c r="BW19" i="5" s="1"/>
  <c r="BX1" i="5"/>
  <c r="BX19" i="5" s="1"/>
  <c r="BY1" i="5"/>
  <c r="BY19" i="5" s="1"/>
  <c r="BZ1" i="5"/>
  <c r="BZ19" i="5" s="1"/>
  <c r="CA1" i="5"/>
  <c r="CA19" i="5" s="1"/>
  <c r="CB1" i="5"/>
  <c r="CB19" i="5" s="1"/>
  <c r="CC1" i="5"/>
  <c r="CC19" i="5" s="1"/>
  <c r="CD1" i="5"/>
  <c r="CD19" i="5" s="1"/>
  <c r="CE1" i="5"/>
  <c r="CE19" i="5" s="1"/>
  <c r="CF1" i="5"/>
  <c r="CF19" i="5" s="1"/>
  <c r="CG1" i="5"/>
  <c r="CG19" i="5" s="1"/>
  <c r="CH1" i="5"/>
  <c r="CH19" i="5" s="1"/>
  <c r="CI1" i="5"/>
  <c r="CI19" i="5" s="1"/>
  <c r="CJ1" i="5"/>
  <c r="CJ19" i="5" s="1"/>
  <c r="CK1" i="5"/>
  <c r="CK19" i="5" s="1"/>
  <c r="CL1" i="5"/>
  <c r="CL19" i="5" s="1"/>
  <c r="CM1" i="5"/>
  <c r="CM19" i="5" s="1"/>
  <c r="CN1" i="5"/>
  <c r="CN19" i="5" s="1"/>
  <c r="CO1" i="5"/>
  <c r="CO19" i="5" s="1"/>
  <c r="CP1" i="5"/>
  <c r="CP19" i="5" s="1"/>
  <c r="CQ1" i="5"/>
  <c r="CQ19" i="5" s="1"/>
  <c r="CR1" i="5"/>
  <c r="CR19" i="5" s="1"/>
  <c r="CS1" i="5"/>
  <c r="CS19" i="5" s="1"/>
  <c r="CT1" i="5"/>
  <c r="CT19" i="5" s="1"/>
  <c r="CU1" i="5"/>
  <c r="CU19" i="5" s="1"/>
  <c r="CV1" i="5"/>
  <c r="CV19" i="5" s="1"/>
  <c r="CW1" i="5"/>
  <c r="CW19" i="5" s="1"/>
  <c r="CX1" i="5"/>
  <c r="CX19" i="5" s="1"/>
  <c r="CY1" i="5"/>
  <c r="CY19" i="5" s="1"/>
  <c r="CZ1" i="5"/>
  <c r="CZ19" i="5" s="1"/>
  <c r="DA1" i="5"/>
  <c r="DA19" i="5" s="1"/>
  <c r="DB1" i="5"/>
  <c r="DB19" i="5" s="1"/>
  <c r="DC1" i="5"/>
  <c r="DC19" i="5" s="1"/>
  <c r="DD1" i="5"/>
  <c r="DD19" i="5" s="1"/>
  <c r="DE1" i="5"/>
  <c r="DE19" i="5" s="1"/>
  <c r="DF1" i="5"/>
  <c r="DF19" i="5" s="1"/>
  <c r="DG1" i="5"/>
  <c r="DG19" i="5" s="1"/>
  <c r="DH1" i="5"/>
  <c r="DH19" i="5" s="1"/>
  <c r="DI1" i="5"/>
  <c r="DI19" i="5" s="1"/>
  <c r="H35" i="5"/>
  <c r="B17" i="3"/>
  <c r="B18" i="3"/>
  <c r="D24" i="3" s="1"/>
  <c r="C25" i="3" l="1"/>
  <c r="B25" i="3"/>
  <c r="B26" i="3" s="1"/>
  <c r="B9" i="5" s="1"/>
  <c r="B13" i="5" s="1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G35" i="5"/>
  <c r="F35" i="5"/>
  <c r="E35" i="5"/>
  <c r="D35" i="5"/>
  <c r="B19" i="3"/>
  <c r="B1" i="3"/>
  <c r="B37" i="2"/>
  <c r="B7" i="3"/>
  <c r="B9" i="3"/>
  <c r="C9" i="6" s="1"/>
  <c r="C35" i="2"/>
  <c r="C22" i="2"/>
  <c r="D22" i="2" s="1"/>
  <c r="B14" i="3"/>
  <c r="B5" i="3"/>
  <c r="D8" i="4"/>
  <c r="G27" i="3"/>
  <c r="D35" i="2"/>
  <c r="D10" i="5" l="1"/>
  <c r="E10" i="5" s="1"/>
  <c r="C37" i="2"/>
  <c r="C33" i="2"/>
  <c r="C28" i="3"/>
  <c r="C4" i="5" s="1"/>
  <c r="C6" i="5" s="1"/>
  <c r="D28" i="5" l="1"/>
  <c r="B29" i="3"/>
  <c r="G10" i="5"/>
  <c r="H10" i="5" s="1"/>
  <c r="D31" i="2"/>
  <c r="D37" i="2" s="1"/>
  <c r="E32" i="2" s="1"/>
  <c r="C36" i="2"/>
  <c r="D28" i="3"/>
  <c r="E28" i="5" l="1"/>
  <c r="D14" i="5"/>
  <c r="B30" i="3"/>
  <c r="C29" i="3" s="1"/>
  <c r="E31" i="2"/>
  <c r="D22" i="5"/>
  <c r="E28" i="3"/>
  <c r="D4" i="5"/>
  <c r="L27" i="3" l="1"/>
  <c r="L21" i="5" s="1"/>
  <c r="F28" i="5"/>
  <c r="E14" i="5"/>
  <c r="D26" i="5"/>
  <c r="C30" i="3"/>
  <c r="R27" i="3"/>
  <c r="R21" i="5" s="1"/>
  <c r="X27" i="3"/>
  <c r="X21" i="5" s="1"/>
  <c r="E37" i="2"/>
  <c r="F32" i="2" s="1"/>
  <c r="U27" i="3"/>
  <c r="U21" i="5" s="1"/>
  <c r="O27" i="3"/>
  <c r="O21" i="5" s="1"/>
  <c r="D33" i="2"/>
  <c r="L10" i="5" s="1"/>
  <c r="D36" i="2"/>
  <c r="D5" i="5"/>
  <c r="E22" i="5"/>
  <c r="F28" i="3"/>
  <c r="E4" i="5"/>
  <c r="C26" i="3"/>
  <c r="C9" i="5" s="1"/>
  <c r="C13" i="5" s="1"/>
  <c r="D48" i="2" l="1"/>
  <c r="AA21" i="5"/>
  <c r="F14" i="5"/>
  <c r="G28" i="5"/>
  <c r="D11" i="5"/>
  <c r="E25" i="5" s="1"/>
  <c r="D3" i="5"/>
  <c r="D7" i="5" s="1"/>
  <c r="D30" i="3"/>
  <c r="E24" i="3" s="1"/>
  <c r="E25" i="3" s="1"/>
  <c r="D29" i="3"/>
  <c r="E33" i="2"/>
  <c r="O10" i="5" s="1"/>
  <c r="F31" i="2"/>
  <c r="F37" i="2" s="1"/>
  <c r="G32" i="2" s="1"/>
  <c r="E35" i="2"/>
  <c r="F35" i="2" s="1"/>
  <c r="G35" i="2" s="1"/>
  <c r="H35" i="2" s="1"/>
  <c r="I35" i="2" s="1"/>
  <c r="E36" i="2"/>
  <c r="E5" i="5"/>
  <c r="F22" i="5"/>
  <c r="D26" i="3"/>
  <c r="G28" i="3"/>
  <c r="F4" i="5"/>
  <c r="D6" i="5"/>
  <c r="G14" i="5" l="1"/>
  <c r="H28" i="5"/>
  <c r="E26" i="3"/>
  <c r="M10" i="5"/>
  <c r="N10" i="5" s="1"/>
  <c r="D12" i="5"/>
  <c r="E26" i="5"/>
  <c r="E11" i="5" s="1"/>
  <c r="E29" i="3"/>
  <c r="E3" i="5"/>
  <c r="E7" i="5" s="1"/>
  <c r="E30" i="3"/>
  <c r="F24" i="3" s="1"/>
  <c r="F25" i="3" s="1"/>
  <c r="F33" i="2"/>
  <c r="R10" i="5" s="1"/>
  <c r="E6" i="5"/>
  <c r="J10" i="5"/>
  <c r="K10" i="5" s="1"/>
  <c r="G31" i="2"/>
  <c r="G37" i="2" s="1"/>
  <c r="H32" i="2" s="1"/>
  <c r="F36" i="2"/>
  <c r="G22" i="5"/>
  <c r="F5" i="5"/>
  <c r="F6" i="5" s="1"/>
  <c r="D9" i="5"/>
  <c r="D13" i="5" s="1"/>
  <c r="H28" i="3"/>
  <c r="G4" i="5"/>
  <c r="F48" i="2" l="1"/>
  <c r="P10" i="5"/>
  <c r="Q10" i="5" s="1"/>
  <c r="I28" i="5"/>
  <c r="H14" i="5"/>
  <c r="F26" i="3"/>
  <c r="E12" i="5"/>
  <c r="F25" i="5"/>
  <c r="F26" i="5" s="1"/>
  <c r="F11" i="5" s="1"/>
  <c r="F12" i="5" s="1"/>
  <c r="F3" i="5"/>
  <c r="F7" i="5" s="1"/>
  <c r="F29" i="3"/>
  <c r="F30" i="3"/>
  <c r="E9" i="5"/>
  <c r="E13" i="5" s="1"/>
  <c r="H31" i="2"/>
  <c r="H37" i="2" s="1"/>
  <c r="I32" i="2" s="1"/>
  <c r="G33" i="2"/>
  <c r="U10" i="5" s="1"/>
  <c r="G36" i="2"/>
  <c r="H4" i="5"/>
  <c r="I28" i="3"/>
  <c r="G5" i="5"/>
  <c r="H22" i="5"/>
  <c r="G48" i="2" l="1"/>
  <c r="I14" i="5"/>
  <c r="J28" i="5"/>
  <c r="G26" i="5"/>
  <c r="G11" i="5" s="1"/>
  <c r="H25" i="5" s="1"/>
  <c r="F9" i="5"/>
  <c r="F13" i="5" s="1"/>
  <c r="G3" i="5"/>
  <c r="G7" i="5" s="1"/>
  <c r="G30" i="3"/>
  <c r="H25" i="3" s="1"/>
  <c r="H29" i="3" s="1"/>
  <c r="G29" i="3"/>
  <c r="I31" i="2"/>
  <c r="I37" i="2" s="1"/>
  <c r="H33" i="2"/>
  <c r="X10" i="5" s="1"/>
  <c r="H36" i="2"/>
  <c r="G6" i="5"/>
  <c r="H5" i="5"/>
  <c r="I22" i="5"/>
  <c r="J28" i="3"/>
  <c r="I4" i="5"/>
  <c r="E43" i="2" l="1"/>
  <c r="H48" i="2"/>
  <c r="J32" i="2"/>
  <c r="J34" i="2"/>
  <c r="K28" i="5"/>
  <c r="J14" i="5"/>
  <c r="G12" i="5"/>
  <c r="H26" i="5"/>
  <c r="H24" i="3"/>
  <c r="G26" i="3"/>
  <c r="G9" i="5" s="1"/>
  <c r="G13" i="5" s="1"/>
  <c r="J31" i="2"/>
  <c r="J37" i="2" s="1"/>
  <c r="K32" i="2" s="1"/>
  <c r="I33" i="2"/>
  <c r="AA10" i="5" s="1"/>
  <c r="I36" i="2"/>
  <c r="S10" i="5"/>
  <c r="T10" i="5" s="1"/>
  <c r="K28" i="3"/>
  <c r="J4" i="5"/>
  <c r="J22" i="5"/>
  <c r="I5" i="5"/>
  <c r="H6" i="5"/>
  <c r="K34" i="2" l="1"/>
  <c r="AD27" i="3"/>
  <c r="J35" i="2"/>
  <c r="K35" i="2" s="1"/>
  <c r="L28" i="5"/>
  <c r="K14" i="5"/>
  <c r="H11" i="5"/>
  <c r="I25" i="5" s="1"/>
  <c r="H3" i="5"/>
  <c r="H7" i="5" s="1"/>
  <c r="H30" i="3"/>
  <c r="I25" i="3" s="1"/>
  <c r="J33" i="2"/>
  <c r="AD10" i="5" s="1"/>
  <c r="J36" i="2"/>
  <c r="V10" i="5"/>
  <c r="W10" i="5" s="1"/>
  <c r="I6" i="5"/>
  <c r="K31" i="2"/>
  <c r="K37" i="2" s="1"/>
  <c r="L32" i="2" s="1"/>
  <c r="K22" i="5"/>
  <c r="J5" i="5"/>
  <c r="K4" i="5"/>
  <c r="L28" i="3"/>
  <c r="I24" i="3" l="1"/>
  <c r="I29" i="3" s="1"/>
  <c r="AG27" i="3"/>
  <c r="L34" i="2"/>
  <c r="M28" i="5"/>
  <c r="L14" i="5"/>
  <c r="H12" i="5"/>
  <c r="I26" i="5"/>
  <c r="H26" i="3"/>
  <c r="K33" i="2"/>
  <c r="AG10" i="5" s="1"/>
  <c r="K36" i="2"/>
  <c r="L31" i="2"/>
  <c r="L37" i="2" s="1"/>
  <c r="M32" i="2" s="1"/>
  <c r="Y10" i="5"/>
  <c r="Z10" i="5" s="1"/>
  <c r="J6" i="5"/>
  <c r="L22" i="5"/>
  <c r="K5" i="5"/>
  <c r="L4" i="5"/>
  <c r="M28" i="3"/>
  <c r="K48" i="2" l="1"/>
  <c r="L48" i="2"/>
  <c r="I3" i="5"/>
  <c r="I7" i="5" s="1"/>
  <c r="I30" i="3"/>
  <c r="J24" i="3" s="1"/>
  <c r="J25" i="3" s="1"/>
  <c r="J29" i="3" s="1"/>
  <c r="L35" i="2"/>
  <c r="M34" i="2"/>
  <c r="AJ27" i="3"/>
  <c r="M14" i="5"/>
  <c r="N28" i="5"/>
  <c r="J26" i="5"/>
  <c r="I11" i="5"/>
  <c r="I12" i="5" s="1"/>
  <c r="I26" i="3"/>
  <c r="H9" i="5"/>
  <c r="H13" i="5" s="1"/>
  <c r="L33" i="2"/>
  <c r="AJ10" i="5" s="1"/>
  <c r="L36" i="2"/>
  <c r="M31" i="2"/>
  <c r="M37" i="2" s="1"/>
  <c r="N32" i="2" s="1"/>
  <c r="AB10" i="5"/>
  <c r="AC10" i="5" s="1"/>
  <c r="M4" i="5"/>
  <c r="N28" i="3"/>
  <c r="L5" i="5"/>
  <c r="M22" i="5"/>
  <c r="K6" i="5"/>
  <c r="J3" i="5" l="1"/>
  <c r="J7" i="5" s="1"/>
  <c r="J30" i="3"/>
  <c r="K24" i="3" s="1"/>
  <c r="K3" i="5" s="1"/>
  <c r="M35" i="2"/>
  <c r="N34" i="2"/>
  <c r="AM27" i="3"/>
  <c r="K25" i="3"/>
  <c r="O28" i="5"/>
  <c r="N14" i="5"/>
  <c r="J11" i="5"/>
  <c r="J26" i="3"/>
  <c r="I9" i="5"/>
  <c r="I13" i="5" s="1"/>
  <c r="N31" i="2"/>
  <c r="N37" i="2" s="1"/>
  <c r="O32" i="2" s="1"/>
  <c r="AE10" i="5"/>
  <c r="AF10" i="5" s="1"/>
  <c r="L6" i="5"/>
  <c r="M33" i="2"/>
  <c r="AM10" i="5" s="1"/>
  <c r="M36" i="2"/>
  <c r="M5" i="5"/>
  <c r="N22" i="5"/>
  <c r="N4" i="5"/>
  <c r="O28" i="3"/>
  <c r="M48" i="2" l="1"/>
  <c r="K30" i="3"/>
  <c r="L24" i="3" s="1"/>
  <c r="L3" i="5" s="1"/>
  <c r="N35" i="2"/>
  <c r="O34" i="2"/>
  <c r="AP27" i="3"/>
  <c r="L25" i="3"/>
  <c r="P28" i="5"/>
  <c r="O14" i="5"/>
  <c r="K26" i="5"/>
  <c r="K11" i="5" s="1"/>
  <c r="J12" i="5"/>
  <c r="K29" i="3"/>
  <c r="K7" i="5"/>
  <c r="J9" i="5"/>
  <c r="J13" i="5" s="1"/>
  <c r="M6" i="5"/>
  <c r="O31" i="2"/>
  <c r="N33" i="2"/>
  <c r="AP10" i="5" s="1"/>
  <c r="N36" i="2"/>
  <c r="P48" i="2" s="1"/>
  <c r="AH10" i="5"/>
  <c r="AI10" i="5" s="1"/>
  <c r="P28" i="3"/>
  <c r="O4" i="5"/>
  <c r="O22" i="5"/>
  <c r="N5" i="5"/>
  <c r="U48" i="2" l="1"/>
  <c r="X48" i="2"/>
  <c r="AE48" i="2"/>
  <c r="AM48" i="2"/>
  <c r="V48" i="2"/>
  <c r="O48" i="2"/>
  <c r="W48" i="2"/>
  <c r="AN48" i="2"/>
  <c r="AG48" i="2"/>
  <c r="N48" i="2"/>
  <c r="AC48" i="2"/>
  <c r="Q48" i="2"/>
  <c r="Z48" i="2"/>
  <c r="Y48" i="2"/>
  <c r="AI48" i="2"/>
  <c r="R48" i="2"/>
  <c r="AF48" i="2"/>
  <c r="AD48" i="2"/>
  <c r="AJ48" i="2"/>
  <c r="AB48" i="2"/>
  <c r="AH48" i="2"/>
  <c r="AL48" i="2"/>
  <c r="S48" i="2"/>
  <c r="AO48" i="2"/>
  <c r="AA48" i="2"/>
  <c r="AK48" i="2"/>
  <c r="T48" i="2"/>
  <c r="L30" i="3"/>
  <c r="M24" i="3" s="1"/>
  <c r="M25" i="3" s="1"/>
  <c r="M29" i="3" s="1"/>
  <c r="O35" i="2"/>
  <c r="AS27" i="3"/>
  <c r="P34" i="2"/>
  <c r="O37" i="2"/>
  <c r="P32" i="2" s="1"/>
  <c r="Q28" i="5"/>
  <c r="P14" i="5"/>
  <c r="L29" i="3"/>
  <c r="L26" i="5"/>
  <c r="K12" i="5"/>
  <c r="K26" i="3"/>
  <c r="K9" i="5" s="1"/>
  <c r="K13" i="5" s="1"/>
  <c r="L7" i="5"/>
  <c r="N6" i="5"/>
  <c r="O33" i="2"/>
  <c r="AS10" i="5" s="1"/>
  <c r="O36" i="2"/>
  <c r="P31" i="2"/>
  <c r="AK10" i="5"/>
  <c r="AL10" i="5" s="1"/>
  <c r="P4" i="5"/>
  <c r="Q28" i="3"/>
  <c r="O5" i="5"/>
  <c r="P22" i="5"/>
  <c r="M3" i="5" l="1"/>
  <c r="M7" i="5" s="1"/>
  <c r="M30" i="3"/>
  <c r="N24" i="3" s="1"/>
  <c r="N25" i="3" s="1"/>
  <c r="P35" i="2"/>
  <c r="AV27" i="3"/>
  <c r="Q34" i="2"/>
  <c r="P37" i="2"/>
  <c r="Q32" i="2" s="1"/>
  <c r="Q14" i="5"/>
  <c r="R28" i="5"/>
  <c r="M26" i="5"/>
  <c r="M11" i="5" s="1"/>
  <c r="L11" i="5"/>
  <c r="L12" i="5" s="1"/>
  <c r="L26" i="3"/>
  <c r="M26" i="3" s="1"/>
  <c r="N30" i="3"/>
  <c r="O24" i="3" s="1"/>
  <c r="AN10" i="5"/>
  <c r="AO10" i="5" s="1"/>
  <c r="P33" i="2"/>
  <c r="AV10" i="5" s="1"/>
  <c r="P36" i="2"/>
  <c r="P5" i="5"/>
  <c r="Q22" i="5"/>
  <c r="O6" i="5"/>
  <c r="Q4" i="5"/>
  <c r="R28" i="3"/>
  <c r="N3" i="5" l="1"/>
  <c r="Q35" i="2"/>
  <c r="AY27" i="3"/>
  <c r="R34" i="2"/>
  <c r="Q31" i="2"/>
  <c r="Q37" i="2" s="1"/>
  <c r="R32" i="2" s="1"/>
  <c r="O25" i="3"/>
  <c r="O3" i="5"/>
  <c r="R14" i="5"/>
  <c r="S28" i="5"/>
  <c r="N26" i="5"/>
  <c r="M12" i="5"/>
  <c r="N29" i="3"/>
  <c r="L9" i="5"/>
  <c r="L13" i="5" s="1"/>
  <c r="N7" i="5"/>
  <c r="M9" i="5"/>
  <c r="M13" i="5" s="1"/>
  <c r="O30" i="3"/>
  <c r="P24" i="3" s="1"/>
  <c r="AQ10" i="5"/>
  <c r="AR10" i="5" s="1"/>
  <c r="R31" i="2"/>
  <c r="R37" i="2" s="1"/>
  <c r="S32" i="2" s="1"/>
  <c r="Q33" i="2"/>
  <c r="AY10" i="5" s="1"/>
  <c r="Q36" i="2"/>
  <c r="Q5" i="5"/>
  <c r="R22" i="5"/>
  <c r="P6" i="5"/>
  <c r="R4" i="5"/>
  <c r="S28" i="3"/>
  <c r="R35" i="2" l="1"/>
  <c r="S34" i="2"/>
  <c r="BB27" i="3"/>
  <c r="P25" i="3"/>
  <c r="P29" i="3" s="1"/>
  <c r="P3" i="5"/>
  <c r="S14" i="5"/>
  <c r="T28" i="5"/>
  <c r="O29" i="3"/>
  <c r="N11" i="5"/>
  <c r="N26" i="3"/>
  <c r="N9" i="5" s="1"/>
  <c r="O7" i="5"/>
  <c r="P30" i="3"/>
  <c r="Q24" i="3" s="1"/>
  <c r="R33" i="2"/>
  <c r="BB10" i="5" s="1"/>
  <c r="R36" i="2"/>
  <c r="S31" i="2"/>
  <c r="S37" i="2" s="1"/>
  <c r="T32" i="2" s="1"/>
  <c r="AT10" i="5"/>
  <c r="AU10" i="5" s="1"/>
  <c r="S22" i="5"/>
  <c r="R5" i="5"/>
  <c r="Q6" i="5"/>
  <c r="S4" i="5"/>
  <c r="T28" i="3"/>
  <c r="S35" i="2" l="1"/>
  <c r="T34" i="2"/>
  <c r="BE27" i="3"/>
  <c r="Q25" i="3"/>
  <c r="Q3" i="5"/>
  <c r="U28" i="5"/>
  <c r="T14" i="5"/>
  <c r="N12" i="5"/>
  <c r="O26" i="5"/>
  <c r="O11" i="5" s="1"/>
  <c r="O12" i="5" s="1"/>
  <c r="N13" i="5"/>
  <c r="O26" i="3"/>
  <c r="P26" i="3" s="1"/>
  <c r="P7" i="5"/>
  <c r="Q30" i="3"/>
  <c r="R24" i="3" s="1"/>
  <c r="T31" i="2"/>
  <c r="T37" i="2" s="1"/>
  <c r="U32" i="2" s="1"/>
  <c r="S33" i="2"/>
  <c r="BE10" i="5" s="1"/>
  <c r="S36" i="2"/>
  <c r="R6" i="5"/>
  <c r="S5" i="5"/>
  <c r="T22" i="5"/>
  <c r="T4" i="5"/>
  <c r="U28" i="3"/>
  <c r="T35" i="2" l="1"/>
  <c r="U34" i="2"/>
  <c r="BH27" i="3"/>
  <c r="R25" i="3"/>
  <c r="R3" i="5"/>
  <c r="P26" i="5"/>
  <c r="P11" i="5" s="1"/>
  <c r="V28" i="5"/>
  <c r="U14" i="5"/>
  <c r="Q29" i="3"/>
  <c r="O9" i="5"/>
  <c r="O13" i="5" s="1"/>
  <c r="R30" i="3"/>
  <c r="S24" i="3" s="1"/>
  <c r="P9" i="5"/>
  <c r="Q7" i="5"/>
  <c r="U31" i="2"/>
  <c r="U37" i="2" s="1"/>
  <c r="V32" i="2" s="1"/>
  <c r="T33" i="2"/>
  <c r="BH10" i="5" s="1"/>
  <c r="T36" i="2"/>
  <c r="AZ10" i="5"/>
  <c r="BA10" i="5" s="1"/>
  <c r="V28" i="3"/>
  <c r="U4" i="5"/>
  <c r="U22" i="5"/>
  <c r="T5" i="5"/>
  <c r="S6" i="5"/>
  <c r="BK27" i="3" l="1"/>
  <c r="U35" i="2"/>
  <c r="V34" i="2"/>
  <c r="S25" i="3"/>
  <c r="S29" i="3" s="1"/>
  <c r="S3" i="5"/>
  <c r="V14" i="5"/>
  <c r="W28" i="5"/>
  <c r="R29" i="3"/>
  <c r="P13" i="5"/>
  <c r="Q26" i="5"/>
  <c r="P12" i="5"/>
  <c r="R7" i="5"/>
  <c r="S30" i="3"/>
  <c r="T24" i="3" s="1"/>
  <c r="Q26" i="3"/>
  <c r="V31" i="2"/>
  <c r="V37" i="2" s="1"/>
  <c r="W32" i="2" s="1"/>
  <c r="U33" i="2"/>
  <c r="BK10" i="5" s="1"/>
  <c r="U36" i="2"/>
  <c r="BC10" i="5"/>
  <c r="BD10" i="5" s="1"/>
  <c r="AW10" i="5"/>
  <c r="AX10" i="5" s="1"/>
  <c r="T6" i="5"/>
  <c r="U5" i="5"/>
  <c r="V22" i="5"/>
  <c r="W28" i="3"/>
  <c r="V4" i="5"/>
  <c r="V35" i="2" l="1"/>
  <c r="BN27" i="3"/>
  <c r="W34" i="2"/>
  <c r="T25" i="3"/>
  <c r="T3" i="5"/>
  <c r="W14" i="5"/>
  <c r="X28" i="5"/>
  <c r="Q11" i="5"/>
  <c r="S7" i="5"/>
  <c r="Q9" i="5"/>
  <c r="R26" i="3"/>
  <c r="T30" i="3"/>
  <c r="U24" i="3" s="1"/>
  <c r="V33" i="2"/>
  <c r="BN10" i="5" s="1"/>
  <c r="V36" i="2"/>
  <c r="BF10" i="5"/>
  <c r="BG10" i="5" s="1"/>
  <c r="W31" i="2"/>
  <c r="W37" i="2" s="1"/>
  <c r="X32" i="2" s="1"/>
  <c r="V5" i="5"/>
  <c r="V6" i="5" s="1"/>
  <c r="W22" i="5"/>
  <c r="U6" i="5"/>
  <c r="X28" i="3"/>
  <c r="W4" i="5"/>
  <c r="BQ27" i="3" l="1"/>
  <c r="W35" i="2"/>
  <c r="X34" i="2"/>
  <c r="U25" i="3"/>
  <c r="U3" i="5"/>
  <c r="Y28" i="5"/>
  <c r="X14" i="5"/>
  <c r="Q12" i="5"/>
  <c r="R26" i="5"/>
  <c r="S26" i="5" s="1"/>
  <c r="S11" i="5" s="1"/>
  <c r="Q13" i="5"/>
  <c r="T29" i="3"/>
  <c r="U30" i="3"/>
  <c r="V24" i="3" s="1"/>
  <c r="T7" i="5"/>
  <c r="S26" i="3"/>
  <c r="R9" i="5"/>
  <c r="W33" i="2"/>
  <c r="BQ10" i="5" s="1"/>
  <c r="W36" i="2"/>
  <c r="BI10" i="5"/>
  <c r="BJ10" i="5" s="1"/>
  <c r="X31" i="2"/>
  <c r="X4" i="5"/>
  <c r="Y28" i="3"/>
  <c r="W5" i="5"/>
  <c r="X22" i="5"/>
  <c r="Y34" i="2" l="1"/>
  <c r="BT27" i="3"/>
  <c r="X35" i="2"/>
  <c r="X37" i="2"/>
  <c r="Y32" i="2" s="1"/>
  <c r="V25" i="3"/>
  <c r="V29" i="3" s="1"/>
  <c r="V3" i="5"/>
  <c r="Z28" i="5"/>
  <c r="Y14" i="5"/>
  <c r="R11" i="5"/>
  <c r="R12" i="5" s="1"/>
  <c r="U29" i="3"/>
  <c r="T26" i="5"/>
  <c r="S12" i="5"/>
  <c r="S9" i="5"/>
  <c r="S13" i="5" s="1"/>
  <c r="T26" i="3"/>
  <c r="V30" i="3"/>
  <c r="W24" i="3" s="1"/>
  <c r="U7" i="5"/>
  <c r="X33" i="2"/>
  <c r="BT10" i="5" s="1"/>
  <c r="X36" i="2"/>
  <c r="BL10" i="5"/>
  <c r="BM10" i="5" s="1"/>
  <c r="Y22" i="5"/>
  <c r="X5" i="5"/>
  <c r="W6" i="5"/>
  <c r="Y4" i="5"/>
  <c r="Z28" i="3"/>
  <c r="Y31" i="2" l="1"/>
  <c r="Y37" i="2" s="1"/>
  <c r="Z32" i="2" s="1"/>
  <c r="Z34" i="2"/>
  <c r="BW27" i="3"/>
  <c r="Y35" i="2"/>
  <c r="W25" i="3"/>
  <c r="W3" i="5"/>
  <c r="Z14" i="5"/>
  <c r="AA28" i="5"/>
  <c r="R13" i="5"/>
  <c r="T11" i="5"/>
  <c r="V7" i="5"/>
  <c r="U26" i="3"/>
  <c r="T9" i="5"/>
  <c r="W30" i="3"/>
  <c r="X24" i="3" s="1"/>
  <c r="X6" i="5"/>
  <c r="Z31" i="2"/>
  <c r="Z37" i="2" s="1"/>
  <c r="AA32" i="2" s="1"/>
  <c r="Y33" i="2"/>
  <c r="BW10" i="5" s="1"/>
  <c r="Y36" i="2"/>
  <c r="BO10" i="5"/>
  <c r="BP10" i="5" s="1"/>
  <c r="Z4" i="5"/>
  <c r="AA28" i="3"/>
  <c r="Z22" i="5"/>
  <c r="Y5" i="5"/>
  <c r="AA34" i="2" l="1"/>
  <c r="Z35" i="2"/>
  <c r="BZ27" i="3"/>
  <c r="X25" i="3"/>
  <c r="X3" i="5"/>
  <c r="AB28" i="5"/>
  <c r="AA14" i="5"/>
  <c r="T12" i="5"/>
  <c r="U26" i="5"/>
  <c r="V26" i="5" s="1"/>
  <c r="V11" i="5" s="1"/>
  <c r="T13" i="5"/>
  <c r="W29" i="3"/>
  <c r="X30" i="3"/>
  <c r="Y24" i="3" s="1"/>
  <c r="W7" i="5"/>
  <c r="U9" i="5"/>
  <c r="V26" i="3"/>
  <c r="AA31" i="2"/>
  <c r="AA37" i="2" s="1"/>
  <c r="AB32" i="2" s="1"/>
  <c r="Z33" i="2"/>
  <c r="BZ10" i="5" s="1"/>
  <c r="Z36" i="2"/>
  <c r="Y6" i="5"/>
  <c r="BR10" i="5"/>
  <c r="BS10" i="5" s="1"/>
  <c r="AA4" i="5"/>
  <c r="AB28" i="3"/>
  <c r="AA22" i="5"/>
  <c r="Z5" i="5"/>
  <c r="CC27" i="3" l="1"/>
  <c r="AA35" i="2"/>
  <c r="AB34" i="2"/>
  <c r="Y25" i="3"/>
  <c r="Y29" i="3" s="1"/>
  <c r="Y3" i="5"/>
  <c r="AC28" i="5"/>
  <c r="AB14" i="5"/>
  <c r="U11" i="5"/>
  <c r="U12" i="5" s="1"/>
  <c r="X29" i="3"/>
  <c r="V12" i="5"/>
  <c r="W26" i="5"/>
  <c r="W26" i="3"/>
  <c r="V9" i="5"/>
  <c r="V13" i="5" s="1"/>
  <c r="Y30" i="3"/>
  <c r="Z24" i="3" s="1"/>
  <c r="X7" i="5"/>
  <c r="AA33" i="2"/>
  <c r="CC10" i="5" s="1"/>
  <c r="AA36" i="2"/>
  <c r="AB31" i="2"/>
  <c r="AB37" i="2" s="1"/>
  <c r="AC32" i="2" s="1"/>
  <c r="BU10" i="5"/>
  <c r="BV10" i="5" s="1"/>
  <c r="AB22" i="5"/>
  <c r="AA5" i="5"/>
  <c r="AB4" i="5"/>
  <c r="AC28" i="3"/>
  <c r="Z6" i="5"/>
  <c r="AB35" i="2" l="1"/>
  <c r="CF27" i="3"/>
  <c r="AC34" i="2"/>
  <c r="Z25" i="3"/>
  <c r="Z3" i="5"/>
  <c r="AD28" i="5"/>
  <c r="AC14" i="5"/>
  <c r="U13" i="5"/>
  <c r="W11" i="5"/>
  <c r="Y7" i="5"/>
  <c r="X26" i="3"/>
  <c r="W9" i="5"/>
  <c r="Z30" i="3"/>
  <c r="AA24" i="3" s="1"/>
  <c r="AB33" i="2"/>
  <c r="CF10" i="5" s="1"/>
  <c r="AB36" i="2"/>
  <c r="BX10" i="5"/>
  <c r="BY10" i="5" s="1"/>
  <c r="AC31" i="2"/>
  <c r="AC37" i="2" s="1"/>
  <c r="AD32" i="2" s="1"/>
  <c r="AC22" i="5"/>
  <c r="AB5" i="5"/>
  <c r="AB6" i="5" s="1"/>
  <c r="AC4" i="5"/>
  <c r="AD28" i="3"/>
  <c r="AA6" i="5"/>
  <c r="AC35" i="2" l="1"/>
  <c r="AD34" i="2"/>
  <c r="CI27" i="3"/>
  <c r="AA25" i="3"/>
  <c r="AA3" i="5"/>
  <c r="AE28" i="5"/>
  <c r="AD14" i="5"/>
  <c r="W12" i="5"/>
  <c r="X26" i="5"/>
  <c r="Y26" i="5" s="1"/>
  <c r="Y11" i="5" s="1"/>
  <c r="W13" i="5"/>
  <c r="Z29" i="3"/>
  <c r="Z7" i="5"/>
  <c r="Y26" i="3"/>
  <c r="X9" i="5"/>
  <c r="AA30" i="3"/>
  <c r="AB24" i="3" s="1"/>
  <c r="AD31" i="2"/>
  <c r="AD37" i="2" s="1"/>
  <c r="AE32" i="2" s="1"/>
  <c r="CA10" i="5"/>
  <c r="CB10" i="5" s="1"/>
  <c r="AC33" i="2"/>
  <c r="CI10" i="5" s="1"/>
  <c r="AC36" i="2"/>
  <c r="AD4" i="5"/>
  <c r="AE28" i="3"/>
  <c r="AC5" i="5"/>
  <c r="AD22" i="5"/>
  <c r="AD35" i="2" l="1"/>
  <c r="AE34" i="2"/>
  <c r="CL27" i="3"/>
  <c r="AB25" i="3"/>
  <c r="AB29" i="3" s="1"/>
  <c r="AB3" i="5"/>
  <c r="AF28" i="5"/>
  <c r="AE14" i="5"/>
  <c r="X11" i="5"/>
  <c r="X12" i="5" s="1"/>
  <c r="AA29" i="3"/>
  <c r="Z26" i="5"/>
  <c r="Y12" i="5"/>
  <c r="AA7" i="5"/>
  <c r="Y9" i="5"/>
  <c r="Y13" i="5" s="1"/>
  <c r="Z26" i="3"/>
  <c r="AB30" i="3"/>
  <c r="AC24" i="3" s="1"/>
  <c r="AC6" i="5"/>
  <c r="AD33" i="2"/>
  <c r="CL10" i="5" s="1"/>
  <c r="AD36" i="2"/>
  <c r="AE31" i="2"/>
  <c r="AE37" i="2" s="1"/>
  <c r="AF32" i="2" s="1"/>
  <c r="CD10" i="5"/>
  <c r="CE10" i="5" s="1"/>
  <c r="AD5" i="5"/>
  <c r="AE22" i="5"/>
  <c r="AF28" i="3"/>
  <c r="AE4" i="5"/>
  <c r="AE35" i="2" l="1"/>
  <c r="CO27" i="3"/>
  <c r="AF34" i="2"/>
  <c r="AC25" i="3"/>
  <c r="AC3" i="5"/>
  <c r="AG28" i="5"/>
  <c r="AF14" i="5"/>
  <c r="X13" i="5"/>
  <c r="Z11" i="5"/>
  <c r="AB7" i="5"/>
  <c r="AC30" i="3"/>
  <c r="AD24" i="3" s="1"/>
  <c r="AD3" i="5" s="1"/>
  <c r="AE3" i="5" s="1"/>
  <c r="AA26" i="3"/>
  <c r="Z9" i="5"/>
  <c r="AF31" i="2"/>
  <c r="AF37" i="2" s="1"/>
  <c r="AG32" i="2" s="1"/>
  <c r="AE33" i="2"/>
  <c r="CO10" i="5" s="1"/>
  <c r="AE36" i="2"/>
  <c r="CG10" i="5"/>
  <c r="CH10" i="5" s="1"/>
  <c r="AD6" i="5"/>
  <c r="AG28" i="3"/>
  <c r="AF4" i="5"/>
  <c r="AE5" i="5"/>
  <c r="AF22" i="5"/>
  <c r="AF35" i="2" l="1"/>
  <c r="AG34" i="2"/>
  <c r="CR27" i="3"/>
  <c r="AG14" i="5"/>
  <c r="AH28" i="5"/>
  <c r="Z12" i="5"/>
  <c r="AA26" i="5"/>
  <c r="AA11" i="5" s="1"/>
  <c r="AA12" i="5" s="1"/>
  <c r="Z13" i="5"/>
  <c r="AC29" i="3"/>
  <c r="AC7" i="5"/>
  <c r="AA9" i="5"/>
  <c r="AB26" i="3"/>
  <c r="AD30" i="3"/>
  <c r="AE24" i="3" s="1"/>
  <c r="AE25" i="3" s="1"/>
  <c r="AE6" i="5"/>
  <c r="AG31" i="2"/>
  <c r="AG37" i="2" s="1"/>
  <c r="CJ10" i="5"/>
  <c r="CK10" i="5" s="1"/>
  <c r="AF33" i="2"/>
  <c r="CR10" i="5" s="1"/>
  <c r="AF36" i="2"/>
  <c r="AH28" i="3"/>
  <c r="AG4" i="5"/>
  <c r="AG22" i="5"/>
  <c r="AF5" i="5"/>
  <c r="AG35" i="2" l="1"/>
  <c r="CU27" i="3"/>
  <c r="AH34" i="2"/>
  <c r="AD25" i="3"/>
  <c r="AD29" i="3" s="1"/>
  <c r="AH31" i="2"/>
  <c r="AH37" i="2" s="1"/>
  <c r="AH32" i="2"/>
  <c r="AH14" i="5"/>
  <c r="AI28" i="5"/>
  <c r="AB26" i="5"/>
  <c r="AB11" i="5" s="1"/>
  <c r="AC26" i="5" s="1"/>
  <c r="AA13" i="5"/>
  <c r="AD7" i="5"/>
  <c r="AE29" i="3"/>
  <c r="AE30" i="3"/>
  <c r="AF24" i="3" s="1"/>
  <c r="AF25" i="3" s="1"/>
  <c r="AB9" i="5"/>
  <c r="AC26" i="3"/>
  <c r="AF6" i="5"/>
  <c r="AG33" i="2"/>
  <c r="CU10" i="5" s="1"/>
  <c r="AG36" i="2"/>
  <c r="CM10" i="5"/>
  <c r="CN10" i="5" s="1"/>
  <c r="AG5" i="5"/>
  <c r="AG6" i="5" s="1"/>
  <c r="AI28" i="3"/>
  <c r="AH4" i="5"/>
  <c r="AH22" i="5" l="1"/>
  <c r="AH5" i="5" s="1"/>
  <c r="AI34" i="2"/>
  <c r="CX27" i="3"/>
  <c r="AH35" i="2"/>
  <c r="AI32" i="2"/>
  <c r="AI31" i="2"/>
  <c r="AI37" i="2" s="1"/>
  <c r="AH33" i="2"/>
  <c r="CX10" i="5" s="1"/>
  <c r="AH36" i="2"/>
  <c r="AI14" i="5"/>
  <c r="AJ28" i="5"/>
  <c r="AB12" i="5"/>
  <c r="AB13" i="5"/>
  <c r="AC11" i="5"/>
  <c r="AF3" i="5"/>
  <c r="AE7" i="5"/>
  <c r="AD26" i="3"/>
  <c r="AC9" i="5"/>
  <c r="AF30" i="3"/>
  <c r="AG24" i="3" s="1"/>
  <c r="CP10" i="5"/>
  <c r="CQ10" i="5" s="1"/>
  <c r="AI4" i="5"/>
  <c r="AJ28" i="3"/>
  <c r="AH6" i="5" l="1"/>
  <c r="AI22" i="5"/>
  <c r="AI35" i="2"/>
  <c r="AJ34" i="2"/>
  <c r="DA27" i="3"/>
  <c r="CS10" i="5"/>
  <c r="CV10" i="5"/>
  <c r="AI33" i="2"/>
  <c r="DA10" i="5" s="1"/>
  <c r="AI36" i="2"/>
  <c r="AJ31" i="2"/>
  <c r="AJ37" i="2" s="1"/>
  <c r="AJ32" i="2"/>
  <c r="AK28" i="5"/>
  <c r="AJ14" i="5"/>
  <c r="AC12" i="5"/>
  <c r="AD26" i="5"/>
  <c r="AD11" i="5" s="1"/>
  <c r="AD12" i="5" s="1"/>
  <c r="AF29" i="3"/>
  <c r="AC13" i="5"/>
  <c r="AG30" i="3"/>
  <c r="AH24" i="3" s="1"/>
  <c r="AH25" i="3" s="1"/>
  <c r="AG3" i="5"/>
  <c r="AF7" i="5"/>
  <c r="AD9" i="5"/>
  <c r="AE26" i="3"/>
  <c r="AI5" i="5"/>
  <c r="AJ22" i="5" s="1"/>
  <c r="AK28" i="3"/>
  <c r="AJ4" i="5"/>
  <c r="DD27" i="3" l="1"/>
  <c r="AK34" i="2"/>
  <c r="AJ35" i="2"/>
  <c r="AG25" i="3"/>
  <c r="AG29" i="3" s="1"/>
  <c r="AK31" i="2"/>
  <c r="AK37" i="2" s="1"/>
  <c r="AK32" i="2"/>
  <c r="CW10" i="5"/>
  <c r="CT10" i="5"/>
  <c r="CY10" i="5"/>
  <c r="AJ36" i="2"/>
  <c r="AJ33" i="2"/>
  <c r="DD10" i="5" s="1"/>
  <c r="AL28" i="5"/>
  <c r="AK14" i="5"/>
  <c r="AE26" i="5"/>
  <c r="AE11" i="5" s="1"/>
  <c r="AF26" i="5" s="1"/>
  <c r="AD13" i="5"/>
  <c r="AH29" i="3"/>
  <c r="AH30" i="3"/>
  <c r="AI24" i="3" s="1"/>
  <c r="AI25" i="3" s="1"/>
  <c r="AF26" i="3"/>
  <c r="AE9" i="5"/>
  <c r="AH3" i="5"/>
  <c r="AG7" i="5"/>
  <c r="AI6" i="5"/>
  <c r="AJ5" i="5"/>
  <c r="AL28" i="3"/>
  <c r="AK4" i="5"/>
  <c r="AK22" i="5" l="1"/>
  <c r="AK5" i="5" s="1"/>
  <c r="AL22" i="5" s="1"/>
  <c r="AL34" i="2"/>
  <c r="AK35" i="2"/>
  <c r="DG27" i="3"/>
  <c r="AK36" i="2"/>
  <c r="AL31" i="2"/>
  <c r="AL37" i="2" s="1"/>
  <c r="AL32" i="2"/>
  <c r="AL36" i="2" s="1"/>
  <c r="AK33" i="2"/>
  <c r="DG10" i="5" s="1"/>
  <c r="CZ10" i="5"/>
  <c r="AM28" i="5"/>
  <c r="AL14" i="5"/>
  <c r="AE12" i="5"/>
  <c r="AE13" i="5"/>
  <c r="AF11" i="5"/>
  <c r="AI3" i="5"/>
  <c r="AH7" i="5"/>
  <c r="AI30" i="3"/>
  <c r="AJ24" i="3" s="1"/>
  <c r="AF9" i="5"/>
  <c r="AG26" i="3"/>
  <c r="AJ6" i="5"/>
  <c r="AM28" i="3"/>
  <c r="AL4" i="5"/>
  <c r="AL35" i="2" l="1"/>
  <c r="AM34" i="2"/>
  <c r="DJ27" i="3"/>
  <c r="AM31" i="2"/>
  <c r="AM37" i="2" s="1"/>
  <c r="AM32" i="2"/>
  <c r="AL33" i="2"/>
  <c r="DJ10" i="5" s="1"/>
  <c r="DB10" i="5"/>
  <c r="AN28" i="5"/>
  <c r="AM14" i="5"/>
  <c r="AF12" i="5"/>
  <c r="AG26" i="5"/>
  <c r="AH26" i="5" s="1"/>
  <c r="AF13" i="5"/>
  <c r="AI29" i="3"/>
  <c r="AJ3" i="5"/>
  <c r="AI7" i="5"/>
  <c r="AH26" i="3"/>
  <c r="AG9" i="5"/>
  <c r="AJ30" i="3"/>
  <c r="AK24" i="3" s="1"/>
  <c r="AK25" i="3" s="1"/>
  <c r="AK6" i="5"/>
  <c r="AM4" i="5"/>
  <c r="AN28" i="3"/>
  <c r="AL5" i="5"/>
  <c r="AM22" i="5" l="1"/>
  <c r="AN34" i="2"/>
  <c r="AM35" i="2"/>
  <c r="DM27" i="3"/>
  <c r="AM36" i="2"/>
  <c r="AJ25" i="3"/>
  <c r="AJ29" i="3" s="1"/>
  <c r="AN31" i="2"/>
  <c r="AN37" i="2" s="1"/>
  <c r="AN32" i="2"/>
  <c r="AN36" i="2" s="1"/>
  <c r="AM33" i="2"/>
  <c r="DM10" i="5" s="1"/>
  <c r="DN10" i="5" s="1"/>
  <c r="DE10" i="5"/>
  <c r="DC10" i="5"/>
  <c r="AO28" i="5"/>
  <c r="AN14" i="5"/>
  <c r="AG11" i="5"/>
  <c r="AG12" i="5" s="1"/>
  <c r="AH11" i="5"/>
  <c r="AK3" i="5"/>
  <c r="AJ7" i="5"/>
  <c r="AK30" i="3"/>
  <c r="AL24" i="3" s="1"/>
  <c r="AL25" i="3" s="1"/>
  <c r="AK29" i="3"/>
  <c r="AH9" i="5"/>
  <c r="AI26" i="3"/>
  <c r="AL6" i="5"/>
  <c r="AO28" i="3"/>
  <c r="AN4" i="5"/>
  <c r="AM5" i="5"/>
  <c r="AN22" i="5" l="1"/>
  <c r="AN5" i="5" s="1"/>
  <c r="AO22" i="5" s="1"/>
  <c r="AO34" i="2"/>
  <c r="AN35" i="2"/>
  <c r="DP27" i="3"/>
  <c r="AO31" i="2"/>
  <c r="AO37" i="2" s="1"/>
  <c r="AO32" i="2"/>
  <c r="AO36" i="2" s="1"/>
  <c r="AN33" i="2"/>
  <c r="DP10" i="5" s="1"/>
  <c r="DQ10" i="5" s="1"/>
  <c r="DR10" i="5" s="1"/>
  <c r="DH10" i="5"/>
  <c r="DF10" i="5"/>
  <c r="AO14" i="5"/>
  <c r="AP28" i="5"/>
  <c r="AG13" i="5"/>
  <c r="AH13" i="5"/>
  <c r="AI26" i="5"/>
  <c r="AH12" i="5"/>
  <c r="AL3" i="5"/>
  <c r="AK7" i="5"/>
  <c r="AJ26" i="3"/>
  <c r="AI9" i="5"/>
  <c r="AL30" i="3"/>
  <c r="AM24" i="3" s="1"/>
  <c r="AM6" i="5"/>
  <c r="AP28" i="3"/>
  <c r="AO4" i="5"/>
  <c r="E41" i="2" l="1"/>
  <c r="DS27" i="3"/>
  <c r="AO35" i="2"/>
  <c r="AO33" i="2"/>
  <c r="DS10" i="5" s="1"/>
  <c r="DK10" i="5"/>
  <c r="DI10" i="5"/>
  <c r="AQ28" i="5"/>
  <c r="AP14" i="5"/>
  <c r="AL29" i="3"/>
  <c r="AI11" i="5"/>
  <c r="AM30" i="3"/>
  <c r="AN24" i="3" s="1"/>
  <c r="AN25" i="3" s="1"/>
  <c r="AM3" i="5"/>
  <c r="AL7" i="5"/>
  <c r="AK26" i="3"/>
  <c r="AJ9" i="5"/>
  <c r="AN6" i="5"/>
  <c r="AP4" i="5"/>
  <c r="AQ28" i="3"/>
  <c r="AO5" i="5"/>
  <c r="AP21" i="5" l="1"/>
  <c r="AP22" i="5" s="1"/>
  <c r="AP5" i="5" s="1"/>
  <c r="AM25" i="3"/>
  <c r="AM29" i="3" s="1"/>
  <c r="A23" i="6" a="1"/>
  <c r="DL10" i="5"/>
  <c r="AR28" i="5"/>
  <c r="AQ14" i="5"/>
  <c r="AI12" i="5"/>
  <c r="AJ26" i="5"/>
  <c r="AK26" i="5" s="1"/>
  <c r="AK11" i="5" s="1"/>
  <c r="AI13" i="5"/>
  <c r="AL26" i="3"/>
  <c r="AK9" i="5"/>
  <c r="AN29" i="3"/>
  <c r="AN30" i="3"/>
  <c r="AO24" i="3" s="1"/>
  <c r="AO25" i="3" s="1"/>
  <c r="AN3" i="5"/>
  <c r="AM7" i="5"/>
  <c r="AO6" i="5"/>
  <c r="AQ4" i="5"/>
  <c r="AR28" i="3"/>
  <c r="AQ21" i="5" l="1"/>
  <c r="AQ22" i="5" s="1"/>
  <c r="AQ5" i="5" s="1"/>
  <c r="DO10" i="5"/>
  <c r="C23" i="6"/>
  <c r="D29" i="6"/>
  <c r="D31" i="6"/>
  <c r="D33" i="6"/>
  <c r="D35" i="6"/>
  <c r="D37" i="6"/>
  <c r="D39" i="6"/>
  <c r="D41" i="6"/>
  <c r="D43" i="6"/>
  <c r="D45" i="6"/>
  <c r="D47" i="6"/>
  <c r="D49" i="6"/>
  <c r="D51" i="6"/>
  <c r="D53" i="6"/>
  <c r="D55" i="6"/>
  <c r="D57" i="6"/>
  <c r="D59" i="6"/>
  <c r="D61" i="6"/>
  <c r="D63" i="6"/>
  <c r="H28" i="6"/>
  <c r="H30" i="6"/>
  <c r="H32" i="6"/>
  <c r="H34" i="6"/>
  <c r="H36" i="6"/>
  <c r="H38" i="6"/>
  <c r="H40" i="6"/>
  <c r="H42" i="6"/>
  <c r="H44" i="6"/>
  <c r="H46" i="6"/>
  <c r="H48" i="6"/>
  <c r="H50" i="6"/>
  <c r="H52" i="6"/>
  <c r="H54" i="6"/>
  <c r="H56" i="6"/>
  <c r="H58" i="6"/>
  <c r="H60" i="6"/>
  <c r="H62" i="6"/>
  <c r="D28" i="6"/>
  <c r="D30" i="6"/>
  <c r="D32" i="6"/>
  <c r="D34" i="6"/>
  <c r="D36" i="6"/>
  <c r="D38" i="6"/>
  <c r="D40" i="6"/>
  <c r="D42" i="6"/>
  <c r="D44" i="6"/>
  <c r="D46" i="6"/>
  <c r="D48" i="6"/>
  <c r="D50" i="6"/>
  <c r="D52" i="6"/>
  <c r="D54" i="6"/>
  <c r="D56" i="6"/>
  <c r="D58" i="6"/>
  <c r="D60" i="6"/>
  <c r="D62" i="6"/>
  <c r="H29" i="6"/>
  <c r="H31" i="6"/>
  <c r="H33" i="6"/>
  <c r="H35" i="6"/>
  <c r="H37" i="6"/>
  <c r="H39" i="6"/>
  <c r="H41" i="6"/>
  <c r="H43" i="6"/>
  <c r="H45" i="6"/>
  <c r="H47" i="6"/>
  <c r="H49" i="6"/>
  <c r="H51" i="6"/>
  <c r="H53" i="6"/>
  <c r="H55" i="6"/>
  <c r="H57" i="6"/>
  <c r="H59" i="6"/>
  <c r="H61" i="6"/>
  <c r="H63" i="6"/>
  <c r="H26" i="6"/>
  <c r="H24" i="6"/>
  <c r="E63" i="6"/>
  <c r="E61" i="6"/>
  <c r="E59" i="6"/>
  <c r="E57" i="6"/>
  <c r="E55" i="6"/>
  <c r="E53" i="6"/>
  <c r="E51" i="6"/>
  <c r="E49" i="6"/>
  <c r="E47" i="6"/>
  <c r="E45" i="6"/>
  <c r="E43" i="6"/>
  <c r="E41" i="6"/>
  <c r="E39" i="6"/>
  <c r="E37" i="6"/>
  <c r="E35" i="6"/>
  <c r="E33" i="6"/>
  <c r="E31" i="6"/>
  <c r="E29" i="6"/>
  <c r="E27" i="6"/>
  <c r="E25" i="6"/>
  <c r="E23" i="6"/>
  <c r="F62" i="6"/>
  <c r="F60" i="6"/>
  <c r="F58" i="6"/>
  <c r="F56" i="6"/>
  <c r="F54" i="6"/>
  <c r="F52" i="6"/>
  <c r="F50" i="6"/>
  <c r="F48" i="6"/>
  <c r="F46" i="6"/>
  <c r="F44" i="6"/>
  <c r="F42" i="6"/>
  <c r="F40" i="6"/>
  <c r="F38" i="6"/>
  <c r="F36" i="6"/>
  <c r="F34" i="6"/>
  <c r="F32" i="6"/>
  <c r="F30" i="6"/>
  <c r="F28" i="6"/>
  <c r="F26" i="6"/>
  <c r="F24" i="6"/>
  <c r="G63" i="6"/>
  <c r="G61" i="6"/>
  <c r="G59" i="6"/>
  <c r="G57" i="6"/>
  <c r="G55" i="6"/>
  <c r="G53" i="6"/>
  <c r="G51" i="6"/>
  <c r="G49" i="6"/>
  <c r="G47" i="6"/>
  <c r="G45" i="6"/>
  <c r="G43" i="6"/>
  <c r="G41" i="6"/>
  <c r="G39" i="6"/>
  <c r="G37" i="6"/>
  <c r="G35" i="6"/>
  <c r="G33" i="6"/>
  <c r="G31" i="6"/>
  <c r="G29" i="6"/>
  <c r="G27" i="6"/>
  <c r="G25" i="6"/>
  <c r="G23" i="6"/>
  <c r="D26" i="6"/>
  <c r="D24" i="6"/>
  <c r="A63" i="6"/>
  <c r="A61" i="6"/>
  <c r="A59" i="6"/>
  <c r="A57" i="6"/>
  <c r="A55" i="6"/>
  <c r="A53" i="6"/>
  <c r="A51" i="6"/>
  <c r="A49" i="6"/>
  <c r="A47" i="6"/>
  <c r="A45" i="6"/>
  <c r="A43" i="6"/>
  <c r="A41" i="6"/>
  <c r="A39" i="6"/>
  <c r="A37" i="6"/>
  <c r="A35" i="6"/>
  <c r="A33" i="6"/>
  <c r="A31" i="6"/>
  <c r="A29" i="6"/>
  <c r="A27" i="6"/>
  <c r="A25" i="6"/>
  <c r="A23" i="6"/>
  <c r="B62" i="6"/>
  <c r="B60" i="6"/>
  <c r="B58" i="6"/>
  <c r="B56" i="6"/>
  <c r="B54" i="6"/>
  <c r="B52" i="6"/>
  <c r="B50" i="6"/>
  <c r="B48" i="6"/>
  <c r="B46" i="6"/>
  <c r="B44" i="6"/>
  <c r="B42" i="6"/>
  <c r="B40" i="6"/>
  <c r="B38" i="6"/>
  <c r="B36" i="6"/>
  <c r="B34" i="6"/>
  <c r="B32" i="6"/>
  <c r="B30" i="6"/>
  <c r="B28" i="6"/>
  <c r="B26" i="6"/>
  <c r="B24" i="6"/>
  <c r="C63" i="6"/>
  <c r="C61" i="6"/>
  <c r="C59" i="6"/>
  <c r="C57" i="6"/>
  <c r="C55" i="6"/>
  <c r="C53" i="6"/>
  <c r="C51" i="6"/>
  <c r="C49" i="6"/>
  <c r="C47" i="6"/>
  <c r="C45" i="6"/>
  <c r="C43" i="6"/>
  <c r="C41" i="6"/>
  <c r="C39" i="6"/>
  <c r="C37" i="6"/>
  <c r="C35" i="6"/>
  <c r="C33" i="6"/>
  <c r="C31" i="6"/>
  <c r="C29" i="6"/>
  <c r="C27" i="6"/>
  <c r="C25" i="6"/>
  <c r="D27" i="6"/>
  <c r="D25" i="6"/>
  <c r="D23" i="6"/>
  <c r="A62" i="6"/>
  <c r="A60" i="6"/>
  <c r="A58" i="6"/>
  <c r="A56" i="6"/>
  <c r="A54" i="6"/>
  <c r="A52" i="6"/>
  <c r="A50" i="6"/>
  <c r="A48" i="6"/>
  <c r="A46" i="6"/>
  <c r="A44" i="6"/>
  <c r="A42" i="6"/>
  <c r="A40" i="6"/>
  <c r="A38" i="6"/>
  <c r="A36" i="6"/>
  <c r="A34" i="6"/>
  <c r="A32" i="6"/>
  <c r="A30" i="6"/>
  <c r="A28" i="6"/>
  <c r="A26" i="6"/>
  <c r="A24" i="6"/>
  <c r="B63" i="6"/>
  <c r="B61" i="6"/>
  <c r="B59" i="6"/>
  <c r="B57" i="6"/>
  <c r="B55" i="6"/>
  <c r="B53" i="6"/>
  <c r="B51" i="6"/>
  <c r="B49" i="6"/>
  <c r="B47" i="6"/>
  <c r="B45" i="6"/>
  <c r="B43" i="6"/>
  <c r="B41" i="6"/>
  <c r="B39" i="6"/>
  <c r="B37" i="6"/>
  <c r="B35" i="6"/>
  <c r="B33" i="6"/>
  <c r="B31" i="6"/>
  <c r="B29" i="6"/>
  <c r="B27" i="6"/>
  <c r="B25" i="6"/>
  <c r="B23" i="6"/>
  <c r="C62" i="6"/>
  <c r="C60" i="6"/>
  <c r="C58" i="6"/>
  <c r="C56" i="6"/>
  <c r="C54" i="6"/>
  <c r="C52" i="6"/>
  <c r="C50" i="6"/>
  <c r="C48" i="6"/>
  <c r="C46" i="6"/>
  <c r="C44" i="6"/>
  <c r="C42" i="6"/>
  <c r="C40" i="6"/>
  <c r="C38" i="6"/>
  <c r="C36" i="6"/>
  <c r="C34" i="6"/>
  <c r="C32" i="6"/>
  <c r="C30" i="6"/>
  <c r="C28" i="6"/>
  <c r="C26" i="6"/>
  <c r="C24" i="6"/>
  <c r="H27" i="6"/>
  <c r="H25" i="6"/>
  <c r="H23" i="6"/>
  <c r="E62" i="6"/>
  <c r="E60" i="6"/>
  <c r="E58" i="6"/>
  <c r="E56" i="6"/>
  <c r="E54" i="6"/>
  <c r="E52" i="6"/>
  <c r="E50" i="6"/>
  <c r="E48" i="6"/>
  <c r="E46" i="6"/>
  <c r="E44" i="6"/>
  <c r="E42" i="6"/>
  <c r="E40" i="6"/>
  <c r="E38" i="6"/>
  <c r="E36" i="6"/>
  <c r="E34" i="6"/>
  <c r="E32" i="6"/>
  <c r="E30" i="6"/>
  <c r="E28" i="6"/>
  <c r="E26" i="6"/>
  <c r="E24" i="6"/>
  <c r="F63" i="6"/>
  <c r="F61" i="6"/>
  <c r="F59" i="6"/>
  <c r="F57" i="6"/>
  <c r="F55" i="6"/>
  <c r="F53" i="6"/>
  <c r="F51" i="6"/>
  <c r="F49" i="6"/>
  <c r="F47" i="6"/>
  <c r="F45" i="6"/>
  <c r="F43" i="6"/>
  <c r="F41" i="6"/>
  <c r="F39" i="6"/>
  <c r="F37" i="6"/>
  <c r="F35" i="6"/>
  <c r="F33" i="6"/>
  <c r="F31" i="6"/>
  <c r="F29" i="6"/>
  <c r="F27" i="6"/>
  <c r="F25" i="6"/>
  <c r="F23" i="6"/>
  <c r="G62" i="6"/>
  <c r="G60" i="6"/>
  <c r="G58" i="6"/>
  <c r="G56" i="6"/>
  <c r="G54" i="6"/>
  <c r="G52" i="6"/>
  <c r="G50" i="6"/>
  <c r="G48" i="6"/>
  <c r="G46" i="6"/>
  <c r="G44" i="6"/>
  <c r="G42" i="6"/>
  <c r="G40" i="6"/>
  <c r="G38" i="6"/>
  <c r="G36" i="6"/>
  <c r="G34" i="6"/>
  <c r="G32" i="6"/>
  <c r="G30" i="6"/>
  <c r="G28" i="6"/>
  <c r="G26" i="6"/>
  <c r="G24" i="6"/>
  <c r="AS28" i="5"/>
  <c r="AR14" i="5"/>
  <c r="AJ11" i="5"/>
  <c r="AJ12" i="5" s="1"/>
  <c r="AK12" i="5"/>
  <c r="AL26" i="5"/>
  <c r="AK13" i="5"/>
  <c r="AO3" i="5"/>
  <c r="AN7" i="5"/>
  <c r="AM26" i="3"/>
  <c r="AL9" i="5"/>
  <c r="AO30" i="3"/>
  <c r="AP24" i="3" s="1"/>
  <c r="AP6" i="5"/>
  <c r="AR4" i="5"/>
  <c r="AS28" i="3"/>
  <c r="AR21" i="5" l="1"/>
  <c r="AR22" i="5" s="1"/>
  <c r="AR5" i="5" s="1"/>
  <c r="AS21" i="5" s="1"/>
  <c r="AS14" i="5"/>
  <c r="AT28" i="5"/>
  <c r="AJ13" i="5"/>
  <c r="AL11" i="5"/>
  <c r="AO29" i="3"/>
  <c r="AP30" i="3"/>
  <c r="AQ24" i="3" s="1"/>
  <c r="AQ25" i="3" s="1"/>
  <c r="AP3" i="5"/>
  <c r="AO7" i="5"/>
  <c r="AN26" i="3"/>
  <c r="AM9" i="5"/>
  <c r="AQ6" i="5"/>
  <c r="AT28" i="3"/>
  <c r="AS4" i="5"/>
  <c r="AS22" i="5" l="1"/>
  <c r="AP25" i="3"/>
  <c r="AP29" i="3" s="1"/>
  <c r="AT14" i="5"/>
  <c r="AU28" i="5"/>
  <c r="AL12" i="5"/>
  <c r="AM26" i="5"/>
  <c r="AM11" i="5" s="1"/>
  <c r="AM12" i="5" s="1"/>
  <c r="AL13" i="5"/>
  <c r="AO26" i="3"/>
  <c r="AN9" i="5"/>
  <c r="AQ30" i="3"/>
  <c r="AR24" i="3" s="1"/>
  <c r="AR25" i="3" s="1"/>
  <c r="AQ29" i="3"/>
  <c r="AQ3" i="5"/>
  <c r="AP7" i="5"/>
  <c r="AR6" i="5"/>
  <c r="AU28" i="3"/>
  <c r="AT4" i="5"/>
  <c r="AS5" i="5"/>
  <c r="AT21" i="5" s="1"/>
  <c r="AT22" i="5" s="1"/>
  <c r="AU14" i="5" l="1"/>
  <c r="AV28" i="5"/>
  <c r="AN26" i="5"/>
  <c r="AN11" i="5" s="1"/>
  <c r="AN12" i="5" s="1"/>
  <c r="AM13" i="5"/>
  <c r="AR3" i="5"/>
  <c r="AQ7" i="5"/>
  <c r="AO9" i="5"/>
  <c r="AP26" i="3"/>
  <c r="AR30" i="3"/>
  <c r="AS24" i="3" s="1"/>
  <c r="AS6" i="5"/>
  <c r="AU4" i="5"/>
  <c r="AV28" i="3"/>
  <c r="AT5" i="5"/>
  <c r="AU21" i="5" s="1"/>
  <c r="AU22" i="5" s="1"/>
  <c r="AW28" i="5" l="1"/>
  <c r="AV14" i="5"/>
  <c r="AO26" i="5"/>
  <c r="AO11" i="5" s="1"/>
  <c r="AN13" i="5"/>
  <c r="AR29" i="3"/>
  <c r="AS30" i="3"/>
  <c r="AT24" i="3" s="1"/>
  <c r="AT25" i="3" s="1"/>
  <c r="AS3" i="5"/>
  <c r="AR7" i="5"/>
  <c r="AP9" i="5"/>
  <c r="AQ26" i="3"/>
  <c r="AT6" i="5"/>
  <c r="AU5" i="5"/>
  <c r="AV21" i="5" s="1"/>
  <c r="AV22" i="5" s="1"/>
  <c r="AW28" i="3"/>
  <c r="AV4" i="5"/>
  <c r="AS25" i="3" l="1"/>
  <c r="AS29" i="3" s="1"/>
  <c r="AX28" i="5"/>
  <c r="AW14" i="5"/>
  <c r="AO13" i="5"/>
  <c r="AP25" i="5"/>
  <c r="AP26" i="5" s="1"/>
  <c r="AP11" i="5" s="1"/>
  <c r="AP13" i="5" s="1"/>
  <c r="AO12" i="5"/>
  <c r="AR26" i="3"/>
  <c r="AQ9" i="5"/>
  <c r="AT30" i="3"/>
  <c r="AU24" i="3" s="1"/>
  <c r="AU25" i="3" s="1"/>
  <c r="AT29" i="3"/>
  <c r="AT3" i="5"/>
  <c r="AS7" i="5"/>
  <c r="AU6" i="5"/>
  <c r="AW4" i="5"/>
  <c r="AX28" i="3"/>
  <c r="AV5" i="5"/>
  <c r="AW21" i="5" s="1"/>
  <c r="AW22" i="5" s="1"/>
  <c r="AX14" i="5" l="1"/>
  <c r="AY28" i="5"/>
  <c r="AP12" i="5"/>
  <c r="AQ26" i="5"/>
  <c r="AQ11" i="5" s="1"/>
  <c r="AR26" i="5" s="1"/>
  <c r="AU3" i="5"/>
  <c r="AT7" i="5"/>
  <c r="AR9" i="5"/>
  <c r="AS26" i="3"/>
  <c r="AU30" i="3"/>
  <c r="AV24" i="3" s="1"/>
  <c r="AV6" i="5"/>
  <c r="AW5" i="5"/>
  <c r="AX4" i="5"/>
  <c r="AY28" i="3"/>
  <c r="AX21" i="5" l="1"/>
  <c r="AX22" i="5" s="1"/>
  <c r="AX5" i="5" s="1"/>
  <c r="AY14" i="5"/>
  <c r="AZ28" i="5"/>
  <c r="AQ12" i="5"/>
  <c r="AQ13" i="5"/>
  <c r="AU29" i="3"/>
  <c r="AV30" i="3"/>
  <c r="AW24" i="3" s="1"/>
  <c r="AW25" i="3" s="1"/>
  <c r="AV3" i="5"/>
  <c r="AU7" i="5"/>
  <c r="AS9" i="5"/>
  <c r="AT26" i="3"/>
  <c r="AR11" i="5"/>
  <c r="AS25" i="5" s="1"/>
  <c r="AS26" i="5" s="1"/>
  <c r="AW6" i="5"/>
  <c r="AY4" i="5"/>
  <c r="AZ28" i="3"/>
  <c r="AY21" i="5" l="1"/>
  <c r="AY22" i="5" s="1"/>
  <c r="AY5" i="5" s="1"/>
  <c r="AV25" i="3"/>
  <c r="AV29" i="3" s="1"/>
  <c r="AZ14" i="5"/>
  <c r="BA28" i="5"/>
  <c r="AT9" i="5"/>
  <c r="AU26" i="3"/>
  <c r="AW29" i="3"/>
  <c r="AW30" i="3"/>
  <c r="AX24" i="3" s="1"/>
  <c r="AX25" i="3" s="1"/>
  <c r="AW3" i="5"/>
  <c r="AV7" i="5"/>
  <c r="AX6" i="5"/>
  <c r="AS11" i="5"/>
  <c r="AT26" i="5"/>
  <c r="AR12" i="5"/>
  <c r="AR13" i="5"/>
  <c r="AZ4" i="5"/>
  <c r="BA28" i="3"/>
  <c r="AZ21" i="5" l="1"/>
  <c r="AZ22" i="5" s="1"/>
  <c r="AZ5" i="5" s="1"/>
  <c r="BA14" i="5"/>
  <c r="BB28" i="5"/>
  <c r="AX3" i="5"/>
  <c r="AW7" i="5"/>
  <c r="AV26" i="3"/>
  <c r="AU9" i="5"/>
  <c r="AX30" i="3"/>
  <c r="AY24" i="3" s="1"/>
  <c r="AY6" i="5"/>
  <c r="AT11" i="5"/>
  <c r="AS12" i="5"/>
  <c r="AS13" i="5"/>
  <c r="BB28" i="3"/>
  <c r="BA4" i="5"/>
  <c r="BA21" i="5" l="1"/>
  <c r="BA22" i="5" s="1"/>
  <c r="BA5" i="5" s="1"/>
  <c r="BB21" i="5" s="1"/>
  <c r="BB22" i="5" s="1"/>
  <c r="BC28" i="5"/>
  <c r="BB14" i="5"/>
  <c r="AX29" i="3"/>
  <c r="AY30" i="3"/>
  <c r="AZ24" i="3" s="1"/>
  <c r="AZ25" i="3" s="1"/>
  <c r="AY3" i="5"/>
  <c r="AX7" i="5"/>
  <c r="AV9" i="5"/>
  <c r="AW26" i="3"/>
  <c r="AT12" i="5"/>
  <c r="AU26" i="5"/>
  <c r="AT13" i="5"/>
  <c r="AZ6" i="5"/>
  <c r="BB4" i="5"/>
  <c r="BC28" i="3"/>
  <c r="AY25" i="3" l="1"/>
  <c r="AY29" i="3" s="1"/>
  <c r="BD28" i="5"/>
  <c r="BC14" i="5"/>
  <c r="AX26" i="3"/>
  <c r="AW9" i="5"/>
  <c r="AZ30" i="3"/>
  <c r="BA24" i="3" s="1"/>
  <c r="BA25" i="3" s="1"/>
  <c r="AZ29" i="3"/>
  <c r="AZ3" i="5"/>
  <c r="AY7" i="5"/>
  <c r="BA6" i="5"/>
  <c r="AU11" i="5"/>
  <c r="AV25" i="5" s="1"/>
  <c r="AV26" i="5" s="1"/>
  <c r="BB5" i="5"/>
  <c r="BC4" i="5"/>
  <c r="BD28" i="3"/>
  <c r="BC21" i="5" l="1"/>
  <c r="BC22" i="5" s="1"/>
  <c r="BC5" i="5" s="1"/>
  <c r="BD21" i="5" s="1"/>
  <c r="BD22" i="5" s="1"/>
  <c r="BE28" i="5"/>
  <c r="BD14" i="5"/>
  <c r="BA3" i="5"/>
  <c r="AZ7" i="5"/>
  <c r="AY26" i="3"/>
  <c r="AX9" i="5"/>
  <c r="BA30" i="3"/>
  <c r="BB24" i="3" s="1"/>
  <c r="AW26" i="5"/>
  <c r="AV11" i="5"/>
  <c r="BB6" i="5"/>
  <c r="AU12" i="5"/>
  <c r="AU13" i="5"/>
  <c r="BD4" i="5"/>
  <c r="BE28" i="3"/>
  <c r="BF28" i="5" l="1"/>
  <c r="BE14" i="5"/>
  <c r="BA29" i="3"/>
  <c r="BB30" i="3"/>
  <c r="BB3" i="5"/>
  <c r="BA7" i="5"/>
  <c r="AZ26" i="3"/>
  <c r="AY9" i="5"/>
  <c r="AW11" i="5"/>
  <c r="AV12" i="5"/>
  <c r="AV13" i="5"/>
  <c r="BF28" i="3"/>
  <c r="BE4" i="5"/>
  <c r="BC6" i="5"/>
  <c r="BD5" i="5"/>
  <c r="BE21" i="5" l="1"/>
  <c r="BE22" i="5" s="1"/>
  <c r="BE5" i="5" s="1"/>
  <c r="BF21" i="5" s="1"/>
  <c r="BF22" i="5" s="1"/>
  <c r="BC24" i="3"/>
  <c r="BC25" i="3" s="1"/>
  <c r="BC29" i="3" s="1"/>
  <c r="BB25" i="3"/>
  <c r="BB29" i="3" s="1"/>
  <c r="BG28" i="5"/>
  <c r="BF14" i="5"/>
  <c r="BA26" i="3"/>
  <c r="AZ9" i="5"/>
  <c r="BC3" i="5"/>
  <c r="BB7" i="5"/>
  <c r="AX26" i="5"/>
  <c r="AW12" i="5"/>
  <c r="AW13" i="5"/>
  <c r="BF4" i="5"/>
  <c r="BG28" i="3"/>
  <c r="BD6" i="5"/>
  <c r="BC30" i="3" l="1"/>
  <c r="BD24" i="3" s="1"/>
  <c r="BD25" i="3" s="1"/>
  <c r="BH28" i="5"/>
  <c r="BG14" i="5"/>
  <c r="BD3" i="5"/>
  <c r="BC7" i="5"/>
  <c r="BA9" i="5"/>
  <c r="BB26" i="3"/>
  <c r="AX11" i="5"/>
  <c r="AY25" i="5" s="1"/>
  <c r="AY26" i="5" s="1"/>
  <c r="BF5" i="5"/>
  <c r="BG21" i="5" s="1"/>
  <c r="BG22" i="5" s="1"/>
  <c r="BH28" i="3"/>
  <c r="BG4" i="5"/>
  <c r="BE6" i="5"/>
  <c r="BD30" i="3" l="1"/>
  <c r="BE24" i="3" s="1"/>
  <c r="BH14" i="5"/>
  <c r="BI28" i="5"/>
  <c r="BD29" i="3"/>
  <c r="BE30" i="3"/>
  <c r="BF24" i="3" s="1"/>
  <c r="BF25" i="3" s="1"/>
  <c r="BE3" i="5"/>
  <c r="BD7" i="5"/>
  <c r="BC26" i="3"/>
  <c r="BB9" i="5"/>
  <c r="AX12" i="5"/>
  <c r="AX13" i="5"/>
  <c r="BF6" i="5"/>
  <c r="AZ26" i="5"/>
  <c r="AY11" i="5"/>
  <c r="BI28" i="3"/>
  <c r="BH4" i="5"/>
  <c r="BG5" i="5"/>
  <c r="BH21" i="5" s="1"/>
  <c r="BH22" i="5" s="1"/>
  <c r="BE25" i="3" l="1"/>
  <c r="BE29" i="3" s="1"/>
  <c r="BI14" i="5"/>
  <c r="BJ28" i="5"/>
  <c r="BD26" i="3"/>
  <c r="BC9" i="5"/>
  <c r="BF29" i="3"/>
  <c r="BF30" i="3"/>
  <c r="BG24" i="3" s="1"/>
  <c r="BG25" i="3" s="1"/>
  <c r="BF3" i="5"/>
  <c r="BE7" i="5"/>
  <c r="AY12" i="5"/>
  <c r="AY13" i="5"/>
  <c r="AZ11" i="5"/>
  <c r="BI4" i="5"/>
  <c r="BJ28" i="3"/>
  <c r="BG6" i="5"/>
  <c r="BH5" i="5"/>
  <c r="BI21" i="5" s="1"/>
  <c r="BI22" i="5" s="1"/>
  <c r="BJ14" i="5" l="1"/>
  <c r="BK28" i="5"/>
  <c r="BG3" i="5"/>
  <c r="BF7" i="5"/>
  <c r="BE26" i="3"/>
  <c r="BD9" i="5"/>
  <c r="BG30" i="3"/>
  <c r="BH24" i="3" s="1"/>
  <c r="BA26" i="5"/>
  <c r="AZ12" i="5"/>
  <c r="AZ13" i="5"/>
  <c r="BJ4" i="5"/>
  <c r="BK28" i="3"/>
  <c r="BI5" i="5"/>
  <c r="BH6" i="5"/>
  <c r="BJ21" i="5" l="1"/>
  <c r="BJ22" i="5" s="1"/>
  <c r="BJ5" i="5" s="1"/>
  <c r="BL28" i="5"/>
  <c r="BK14" i="5"/>
  <c r="BG29" i="3"/>
  <c r="BH30" i="3"/>
  <c r="BI24" i="3" s="1"/>
  <c r="BI25" i="3" s="1"/>
  <c r="BH3" i="5"/>
  <c r="BG7" i="5"/>
  <c r="BE9" i="5"/>
  <c r="BF26" i="3"/>
  <c r="BA11" i="5"/>
  <c r="BB25" i="5" s="1"/>
  <c r="BB26" i="5" s="1"/>
  <c r="BI6" i="5"/>
  <c r="BK4" i="5"/>
  <c r="BL28" i="3"/>
  <c r="BK21" i="5" l="1"/>
  <c r="BK22" i="5" s="1"/>
  <c r="BH25" i="3"/>
  <c r="BH29" i="3" s="1"/>
  <c r="BM28" i="5"/>
  <c r="BL14" i="5"/>
  <c r="BI30" i="3"/>
  <c r="BJ24" i="3" s="1"/>
  <c r="BJ25" i="3" s="1"/>
  <c r="BI29" i="3"/>
  <c r="BF9" i="5"/>
  <c r="BG26" i="3"/>
  <c r="BI3" i="5"/>
  <c r="BH7" i="5"/>
  <c r="BC26" i="5"/>
  <c r="BB11" i="5"/>
  <c r="BA12" i="5"/>
  <c r="BA13" i="5"/>
  <c r="BL4" i="5"/>
  <c r="BM28" i="3"/>
  <c r="BK5" i="5"/>
  <c r="BJ6" i="5"/>
  <c r="BL21" i="5" l="1"/>
  <c r="BL22" i="5" s="1"/>
  <c r="BM14" i="5"/>
  <c r="BN28" i="5"/>
  <c r="BJ3" i="5"/>
  <c r="BI7" i="5"/>
  <c r="BJ30" i="3"/>
  <c r="BK24" i="3" s="1"/>
  <c r="BH26" i="3"/>
  <c r="BG9" i="5"/>
  <c r="BC11" i="5"/>
  <c r="BB12" i="5"/>
  <c r="BB13" i="5"/>
  <c r="BK6" i="5"/>
  <c r="BL5" i="5"/>
  <c r="BM21" i="5" s="1"/>
  <c r="BM22" i="5" s="1"/>
  <c r="BM4" i="5"/>
  <c r="BN28" i="3"/>
  <c r="BO28" i="5" l="1"/>
  <c r="BN14" i="5"/>
  <c r="BJ29" i="3"/>
  <c r="BI26" i="3"/>
  <c r="BH9" i="5"/>
  <c r="BK3" i="5"/>
  <c r="BJ7" i="5"/>
  <c r="BK30" i="3"/>
  <c r="BL24" i="3" s="1"/>
  <c r="BL25" i="3" s="1"/>
  <c r="BD26" i="5"/>
  <c r="BC12" i="5"/>
  <c r="BC13" i="5"/>
  <c r="BL6" i="5"/>
  <c r="BM5" i="5"/>
  <c r="BO28" i="3"/>
  <c r="BN4" i="5"/>
  <c r="BN21" i="5" l="1"/>
  <c r="BN22" i="5" s="1"/>
  <c r="BN5" i="5" s="1"/>
  <c r="BK25" i="3"/>
  <c r="BK29" i="3" s="1"/>
  <c r="BO14" i="5"/>
  <c r="BP28" i="5"/>
  <c r="BL30" i="3"/>
  <c r="BM24" i="3" s="1"/>
  <c r="BM25" i="3" s="1"/>
  <c r="BL29" i="3"/>
  <c r="BJ26" i="3"/>
  <c r="BI9" i="5"/>
  <c r="BL3" i="5"/>
  <c r="BK7" i="5"/>
  <c r="BD11" i="5"/>
  <c r="BE25" i="5" s="1"/>
  <c r="BE26" i="5" s="1"/>
  <c r="BP28" i="3"/>
  <c r="BO4" i="5"/>
  <c r="BM6" i="5"/>
  <c r="BO21" i="5" l="1"/>
  <c r="BO22" i="5" s="1"/>
  <c r="BO5" i="5" s="1"/>
  <c r="BP21" i="5" s="1"/>
  <c r="BP22" i="5" s="1"/>
  <c r="BP14" i="5"/>
  <c r="BQ28" i="5"/>
  <c r="BM3" i="5"/>
  <c r="BL7" i="5"/>
  <c r="BM30" i="3"/>
  <c r="BN24" i="3" s="1"/>
  <c r="BJ9" i="5"/>
  <c r="BK26" i="3"/>
  <c r="BN6" i="5"/>
  <c r="BD12" i="5"/>
  <c r="BD13" i="5"/>
  <c r="BF26" i="5"/>
  <c r="BE11" i="5"/>
  <c r="BQ28" i="3"/>
  <c r="BP4" i="5"/>
  <c r="BR28" i="5" l="1"/>
  <c r="BQ14" i="5"/>
  <c r="BM29" i="3"/>
  <c r="BN3" i="5"/>
  <c r="BM7" i="5"/>
  <c r="BL26" i="3"/>
  <c r="BK9" i="5"/>
  <c r="BN30" i="3"/>
  <c r="BO24" i="3" s="1"/>
  <c r="BF11" i="5"/>
  <c r="BE12" i="5"/>
  <c r="BE13" i="5"/>
  <c r="BO6" i="5"/>
  <c r="BQ4" i="5"/>
  <c r="BR28" i="3"/>
  <c r="BP5" i="5"/>
  <c r="BQ21" i="5" l="1"/>
  <c r="BQ22" i="5" s="1"/>
  <c r="BQ5" i="5" s="1"/>
  <c r="BN25" i="3"/>
  <c r="BN29" i="3" s="1"/>
  <c r="BR14" i="5"/>
  <c r="BS28" i="5"/>
  <c r="BO3" i="5"/>
  <c r="BN7" i="5"/>
  <c r="BO25" i="3"/>
  <c r="BO29" i="3" s="1"/>
  <c r="BO30" i="3"/>
  <c r="BP24" i="3" s="1"/>
  <c r="BP25" i="3" s="1"/>
  <c r="BL9" i="5"/>
  <c r="BM26" i="3"/>
  <c r="BG26" i="5"/>
  <c r="BF12" i="5"/>
  <c r="BF13" i="5"/>
  <c r="BR4" i="5"/>
  <c r="BS28" i="3"/>
  <c r="BP6" i="5"/>
  <c r="BR21" i="5" l="1"/>
  <c r="BR22" i="5" s="1"/>
  <c r="BR5" i="5" s="1"/>
  <c r="BS21" i="5" s="1"/>
  <c r="BS22" i="5" s="1"/>
  <c r="BT28" i="5"/>
  <c r="BS14" i="5"/>
  <c r="BP3" i="5"/>
  <c r="BO7" i="5"/>
  <c r="BM9" i="5"/>
  <c r="BN26" i="3"/>
  <c r="BP30" i="3"/>
  <c r="BQ24" i="3" s="1"/>
  <c r="BG11" i="5"/>
  <c r="BH25" i="5" s="1"/>
  <c r="BH26" i="5" s="1"/>
  <c r="BT28" i="3"/>
  <c r="BS4" i="5"/>
  <c r="BQ6" i="5"/>
  <c r="BU28" i="5" l="1"/>
  <c r="BT14" i="5"/>
  <c r="BQ30" i="3"/>
  <c r="BR24" i="3" s="1"/>
  <c r="BQ3" i="5"/>
  <c r="BP7" i="5"/>
  <c r="BN9" i="5"/>
  <c r="BO26" i="3"/>
  <c r="BP29" i="3"/>
  <c r="BH11" i="5"/>
  <c r="BI26" i="5"/>
  <c r="BG12" i="5"/>
  <c r="BG13" i="5"/>
  <c r="BR6" i="5"/>
  <c r="BT4" i="5"/>
  <c r="BU28" i="3"/>
  <c r="BS5" i="5"/>
  <c r="BT21" i="5" s="1"/>
  <c r="BT22" i="5" s="1"/>
  <c r="BQ25" i="3" l="1"/>
  <c r="BQ29" i="3" s="1"/>
  <c r="BV28" i="5"/>
  <c r="BU14" i="5"/>
  <c r="BO9" i="5"/>
  <c r="BP26" i="3"/>
  <c r="BR30" i="3"/>
  <c r="BS24" i="3" s="1"/>
  <c r="BS25" i="3" s="1"/>
  <c r="BR25" i="3"/>
  <c r="BR29" i="3" s="1"/>
  <c r="BR3" i="5"/>
  <c r="BQ7" i="5"/>
  <c r="BH12" i="5"/>
  <c r="BH13" i="5"/>
  <c r="BI11" i="5"/>
  <c r="BS6" i="5"/>
  <c r="BU4" i="5"/>
  <c r="BV28" i="3"/>
  <c r="BT5" i="5"/>
  <c r="BU21" i="5" l="1"/>
  <c r="BU22" i="5" s="1"/>
  <c r="BU5" i="5" s="1"/>
  <c r="BW28" i="5"/>
  <c r="BV14" i="5"/>
  <c r="BS3" i="5"/>
  <c r="BR7" i="5"/>
  <c r="BQ26" i="3"/>
  <c r="BP9" i="5"/>
  <c r="BS30" i="3"/>
  <c r="BT24" i="3" s="1"/>
  <c r="BJ26" i="5"/>
  <c r="BI12" i="5"/>
  <c r="BI13" i="5"/>
  <c r="BV4" i="5"/>
  <c r="BW28" i="3"/>
  <c r="BT6" i="5"/>
  <c r="BV21" i="5" l="1"/>
  <c r="BV22" i="5" s="1"/>
  <c r="BV5" i="5" s="1"/>
  <c r="BX28" i="5"/>
  <c r="BW14" i="5"/>
  <c r="BT30" i="3"/>
  <c r="BU24" i="3" s="1"/>
  <c r="BT3" i="5"/>
  <c r="BS7" i="5"/>
  <c r="BR26" i="3"/>
  <c r="BQ9" i="5"/>
  <c r="BS29" i="3"/>
  <c r="BJ11" i="5"/>
  <c r="BK25" i="5" s="1"/>
  <c r="BK26" i="5" s="1"/>
  <c r="BW4" i="5"/>
  <c r="BX28" i="3"/>
  <c r="BU6" i="5"/>
  <c r="BW21" i="5" l="1"/>
  <c r="BW22" i="5" s="1"/>
  <c r="BW5" i="5" s="1"/>
  <c r="BT25" i="3"/>
  <c r="BT29" i="3" s="1"/>
  <c r="BY28" i="5"/>
  <c r="BX14" i="5"/>
  <c r="BS26" i="3"/>
  <c r="BR9" i="5"/>
  <c r="BU30" i="3"/>
  <c r="BV24" i="3" s="1"/>
  <c r="BV25" i="3" s="1"/>
  <c r="BU25" i="3"/>
  <c r="BU29" i="3" s="1"/>
  <c r="BU3" i="5"/>
  <c r="BT7" i="5"/>
  <c r="BL26" i="5"/>
  <c r="BK11" i="5"/>
  <c r="BJ12" i="5"/>
  <c r="BJ13" i="5"/>
  <c r="BV6" i="5"/>
  <c r="BY28" i="3"/>
  <c r="BX4" i="5"/>
  <c r="BW6" i="5" l="1"/>
  <c r="BX21" i="5"/>
  <c r="BX22" i="5" s="1"/>
  <c r="BZ28" i="5"/>
  <c r="BY14" i="5"/>
  <c r="BV3" i="5"/>
  <c r="BU7" i="5"/>
  <c r="BS9" i="5"/>
  <c r="BT26" i="3"/>
  <c r="BV30" i="3"/>
  <c r="BW24" i="3" s="1"/>
  <c r="BL11" i="5"/>
  <c r="BK12" i="5"/>
  <c r="BK13" i="5"/>
  <c r="BZ28" i="3"/>
  <c r="BY4" i="5"/>
  <c r="BX5" i="5" l="1"/>
  <c r="BY21" i="5" s="1"/>
  <c r="BY22" i="5" s="1"/>
  <c r="CA28" i="5"/>
  <c r="BZ14" i="5"/>
  <c r="BW30" i="3"/>
  <c r="BX24" i="3" s="1"/>
  <c r="BW3" i="5"/>
  <c r="BV7" i="5"/>
  <c r="BT9" i="5"/>
  <c r="BU26" i="3"/>
  <c r="BV29" i="3"/>
  <c r="BM26" i="5"/>
  <c r="BL12" i="5"/>
  <c r="BL13" i="5"/>
  <c r="BX6" i="5"/>
  <c r="CA28" i="3"/>
  <c r="BZ4" i="5"/>
  <c r="BY5" i="5" l="1"/>
  <c r="BZ21" i="5" s="1"/>
  <c r="BZ22" i="5" s="1"/>
  <c r="BW25" i="3"/>
  <c r="BW29" i="3" s="1"/>
  <c r="CB28" i="5"/>
  <c r="CA14" i="5"/>
  <c r="BX25" i="3"/>
  <c r="BX29" i="3" s="1"/>
  <c r="BX30" i="3"/>
  <c r="BY24" i="3" s="1"/>
  <c r="BY25" i="3" s="1"/>
  <c r="BV26" i="3"/>
  <c r="BU9" i="5"/>
  <c r="BX3" i="5"/>
  <c r="BW7" i="5"/>
  <c r="BM11" i="5"/>
  <c r="BN25" i="5" s="1"/>
  <c r="BN26" i="5" s="1"/>
  <c r="CA4" i="5"/>
  <c r="CB28" i="3"/>
  <c r="BZ5" i="5" l="1"/>
  <c r="CA21" i="5" s="1"/>
  <c r="CA22" i="5" s="1"/>
  <c r="BY6" i="5"/>
  <c r="CC28" i="5"/>
  <c r="CB14" i="5"/>
  <c r="BY3" i="5"/>
  <c r="BX7" i="5"/>
  <c r="BY30" i="3"/>
  <c r="BZ24" i="3" s="1"/>
  <c r="BV9" i="5"/>
  <c r="BW26" i="3"/>
  <c r="BM12" i="5"/>
  <c r="BM13" i="5"/>
  <c r="BN11" i="5"/>
  <c r="BO26" i="5"/>
  <c r="CB4" i="5"/>
  <c r="CC28" i="3"/>
  <c r="BZ6" i="5" l="1"/>
  <c r="CA5" i="5"/>
  <c r="CB21" i="5" s="1"/>
  <c r="CB22" i="5" s="1"/>
  <c r="CD28" i="5"/>
  <c r="CC14" i="5"/>
  <c r="BZ3" i="5"/>
  <c r="BY7" i="5"/>
  <c r="BX26" i="3"/>
  <c r="BW9" i="5"/>
  <c r="BZ30" i="3"/>
  <c r="CA24" i="3" s="1"/>
  <c r="BY29" i="3"/>
  <c r="CA6" i="5"/>
  <c r="BN12" i="5"/>
  <c r="BN13" i="5"/>
  <c r="BO11" i="5"/>
  <c r="CD28" i="3"/>
  <c r="CC4" i="5"/>
  <c r="CB5" i="5" l="1"/>
  <c r="CC21" i="5" s="1"/>
  <c r="CC22" i="5" s="1"/>
  <c r="BZ25" i="3"/>
  <c r="BZ29" i="3" s="1"/>
  <c r="CE28" i="5"/>
  <c r="CD14" i="5"/>
  <c r="CA3" i="5"/>
  <c r="BZ7" i="5"/>
  <c r="CA30" i="3"/>
  <c r="CB24" i="3" s="1"/>
  <c r="CB25" i="3" s="1"/>
  <c r="CA25" i="3"/>
  <c r="CA29" i="3" s="1"/>
  <c r="BX9" i="5"/>
  <c r="BY26" i="3"/>
  <c r="BP26" i="5"/>
  <c r="BO12" i="5"/>
  <c r="BO13" i="5"/>
  <c r="CE28" i="3"/>
  <c r="CD4" i="5"/>
  <c r="CB6" i="5" l="1"/>
  <c r="CC5" i="5"/>
  <c r="CD21" i="5" s="1"/>
  <c r="CD22" i="5" s="1"/>
  <c r="CF28" i="5"/>
  <c r="CE14" i="5"/>
  <c r="CB3" i="5"/>
  <c r="CA7" i="5"/>
  <c r="BZ26" i="3"/>
  <c r="BY9" i="5"/>
  <c r="CB30" i="3"/>
  <c r="CC24" i="3" s="1"/>
  <c r="BP11" i="5"/>
  <c r="BQ25" i="5" s="1"/>
  <c r="BQ26" i="5" s="1"/>
  <c r="CC6" i="5"/>
  <c r="CE4" i="5"/>
  <c r="CF28" i="3"/>
  <c r="CD5" i="5" l="1"/>
  <c r="CE21" i="5" s="1"/>
  <c r="CE22" i="5" s="1"/>
  <c r="CE5" i="5" s="1"/>
  <c r="CF21" i="5" s="1"/>
  <c r="CF22" i="5" s="1"/>
  <c r="CG28" i="5"/>
  <c r="CF14" i="5"/>
  <c r="CC30" i="3"/>
  <c r="CD24" i="3" s="1"/>
  <c r="CC3" i="5"/>
  <c r="CB7" i="5"/>
  <c r="CA26" i="3"/>
  <c r="BZ9" i="5"/>
  <c r="CB29" i="3"/>
  <c r="BQ11" i="5"/>
  <c r="BR26" i="5"/>
  <c r="BP12" i="5"/>
  <c r="BP13" i="5"/>
  <c r="CF4" i="5"/>
  <c r="CG28" i="3"/>
  <c r="CD6" i="5" l="1"/>
  <c r="CC25" i="3"/>
  <c r="CC29" i="3" s="1"/>
  <c r="CH28" i="5"/>
  <c r="CG14" i="5"/>
  <c r="CA9" i="5"/>
  <c r="CB26" i="3"/>
  <c r="CD30" i="3"/>
  <c r="CE24" i="3" s="1"/>
  <c r="CE25" i="3" s="1"/>
  <c r="CD25" i="3"/>
  <c r="CD29" i="3" s="1"/>
  <c r="CD3" i="5"/>
  <c r="CC7" i="5"/>
  <c r="CE6" i="5"/>
  <c r="BQ12" i="5"/>
  <c r="BQ13" i="5"/>
  <c r="BR11" i="5"/>
  <c r="CH28" i="3"/>
  <c r="CG4" i="5"/>
  <c r="CF5" i="5"/>
  <c r="CG21" i="5" l="1"/>
  <c r="CG22" i="5" s="1"/>
  <c r="CG5" i="5" s="1"/>
  <c r="CI28" i="5"/>
  <c r="CH14" i="5"/>
  <c r="CE3" i="5"/>
  <c r="CD7" i="5"/>
  <c r="CC26" i="3"/>
  <c r="CB9" i="5"/>
  <c r="CE30" i="3"/>
  <c r="CF24" i="3" s="1"/>
  <c r="BS26" i="5"/>
  <c r="BR12" i="5"/>
  <c r="BR13" i="5"/>
  <c r="CI28" i="3"/>
  <c r="CH4" i="5"/>
  <c r="CF6" i="5"/>
  <c r="CH21" i="5" l="1"/>
  <c r="CH22" i="5" s="1"/>
  <c r="CH5" i="5" s="1"/>
  <c r="CJ28" i="5"/>
  <c r="CI14" i="5"/>
  <c r="CF30" i="3"/>
  <c r="CG24" i="3" s="1"/>
  <c r="CF3" i="5"/>
  <c r="CE7" i="5"/>
  <c r="CD26" i="3"/>
  <c r="CC9" i="5"/>
  <c r="CE29" i="3"/>
  <c r="CG6" i="5"/>
  <c r="BS11" i="5"/>
  <c r="BT25" i="5" s="1"/>
  <c r="BT26" i="5" s="1"/>
  <c r="CI4" i="5"/>
  <c r="CJ28" i="3"/>
  <c r="CI21" i="5" l="1"/>
  <c r="CI22" i="5" s="1"/>
  <c r="CI5" i="5" s="1"/>
  <c r="CF25" i="3"/>
  <c r="CF29" i="3" s="1"/>
  <c r="CK28" i="5"/>
  <c r="CJ14" i="5"/>
  <c r="CE26" i="3"/>
  <c r="CD9" i="5"/>
  <c r="CG25" i="3"/>
  <c r="CG29" i="3" s="1"/>
  <c r="CG30" i="3"/>
  <c r="CH24" i="3" s="1"/>
  <c r="CH25" i="3" s="1"/>
  <c r="CG3" i="5"/>
  <c r="CF7" i="5"/>
  <c r="BS12" i="5"/>
  <c r="BS13" i="5"/>
  <c r="BU26" i="5"/>
  <c r="BT11" i="5"/>
  <c r="CH6" i="5"/>
  <c r="CK28" i="3"/>
  <c r="CJ4" i="5"/>
  <c r="CJ21" i="5" l="1"/>
  <c r="CJ22" i="5" s="1"/>
  <c r="CJ5" i="5" s="1"/>
  <c r="CL28" i="5"/>
  <c r="CK14" i="5"/>
  <c r="CH3" i="5"/>
  <c r="CG7" i="5"/>
  <c r="CE9" i="5"/>
  <c r="CF26" i="3"/>
  <c r="CH30" i="3"/>
  <c r="CI24" i="3" s="1"/>
  <c r="BU11" i="5"/>
  <c r="BT12" i="5"/>
  <c r="BT13" i="5"/>
  <c r="CI6" i="5"/>
  <c r="CK4" i="5"/>
  <c r="CL28" i="3"/>
  <c r="CJ6" i="5" l="1"/>
  <c r="CK21" i="5"/>
  <c r="CK22" i="5" s="1"/>
  <c r="CK5" i="5" s="1"/>
  <c r="CM28" i="5"/>
  <c r="CL14" i="5"/>
  <c r="CI30" i="3"/>
  <c r="CJ24" i="3" s="1"/>
  <c r="CI3" i="5"/>
  <c r="CH7" i="5"/>
  <c r="CF9" i="5"/>
  <c r="CG26" i="3"/>
  <c r="CH29" i="3"/>
  <c r="BV26" i="5"/>
  <c r="BU12" i="5"/>
  <c r="BU13" i="5"/>
  <c r="CM28" i="3"/>
  <c r="CL4" i="5"/>
  <c r="CL21" i="5" l="1"/>
  <c r="CL22" i="5"/>
  <c r="CL5" i="5" s="1"/>
  <c r="CI25" i="3"/>
  <c r="CI29" i="3" s="1"/>
  <c r="CN28" i="5"/>
  <c r="CM14" i="5"/>
  <c r="CJ3" i="5"/>
  <c r="CI7" i="5"/>
  <c r="CH26" i="3"/>
  <c r="CG9" i="5"/>
  <c r="CJ25" i="3"/>
  <c r="CJ29" i="3" s="1"/>
  <c r="CJ30" i="3"/>
  <c r="CK24" i="3" s="1"/>
  <c r="CK25" i="3" s="1"/>
  <c r="CK6" i="5"/>
  <c r="BV11" i="5"/>
  <c r="BW25" i="5" s="1"/>
  <c r="BW26" i="5" s="1"/>
  <c r="CN28" i="3"/>
  <c r="CM4" i="5"/>
  <c r="CM21" i="5" l="1"/>
  <c r="CM22" i="5" s="1"/>
  <c r="CM5" i="5" s="1"/>
  <c r="CO28" i="5"/>
  <c r="CN14" i="5"/>
  <c r="CK3" i="5"/>
  <c r="CJ7" i="5"/>
  <c r="CK30" i="3"/>
  <c r="CL24" i="3" s="1"/>
  <c r="CI26" i="3"/>
  <c r="CH9" i="5"/>
  <c r="CL6" i="5"/>
  <c r="BV12" i="5"/>
  <c r="BV13" i="5"/>
  <c r="BX26" i="5"/>
  <c r="BW11" i="5"/>
  <c r="CN4" i="5"/>
  <c r="CO28" i="3"/>
  <c r="CN21" i="5" l="1"/>
  <c r="CN22" i="5" s="1"/>
  <c r="CN5" i="5" s="1"/>
  <c r="CP28" i="5"/>
  <c r="CO14" i="5"/>
  <c r="CK29" i="3"/>
  <c r="CI9" i="5"/>
  <c r="CJ26" i="3"/>
  <c r="CL3" i="5"/>
  <c r="CK7" i="5"/>
  <c r="CL30" i="3"/>
  <c r="CM24" i="3" s="1"/>
  <c r="BW12" i="5"/>
  <c r="BW13" i="5"/>
  <c r="BX11" i="5"/>
  <c r="CM6" i="5"/>
  <c r="CP28" i="3"/>
  <c r="CO4" i="5"/>
  <c r="CO21" i="5" l="1"/>
  <c r="CO22" i="5" s="1"/>
  <c r="CO5" i="5" s="1"/>
  <c r="CL25" i="3"/>
  <c r="CL29" i="3" s="1"/>
  <c r="CQ28" i="5"/>
  <c r="CP14" i="5"/>
  <c r="CM30" i="3"/>
  <c r="CN24" i="3" s="1"/>
  <c r="CN25" i="3" s="1"/>
  <c r="CM25" i="3"/>
  <c r="CM29" i="3" s="1"/>
  <c r="CJ9" i="5"/>
  <c r="CK26" i="3"/>
  <c r="CM3" i="5"/>
  <c r="CL7" i="5"/>
  <c r="BY26" i="5"/>
  <c r="BX12" i="5"/>
  <c r="BX13" i="5"/>
  <c r="CP4" i="5"/>
  <c r="CQ28" i="3"/>
  <c r="CR28" i="3" s="1"/>
  <c r="CS28" i="3" s="1"/>
  <c r="CN6" i="5"/>
  <c r="CP21" i="5" l="1"/>
  <c r="CP22" i="5" s="1"/>
  <c r="CP5" i="5" s="1"/>
  <c r="CQ21" i="5" s="1"/>
  <c r="CQ22" i="5" s="1"/>
  <c r="CT28" i="3"/>
  <c r="CS4" i="5"/>
  <c r="CR28" i="5"/>
  <c r="CQ14" i="5"/>
  <c r="CQ4" i="5"/>
  <c r="CR4" i="5"/>
  <c r="CK9" i="5"/>
  <c r="CL26" i="3"/>
  <c r="CN3" i="5"/>
  <c r="CM7" i="5"/>
  <c r="CN30" i="3"/>
  <c r="CO24" i="3" s="1"/>
  <c r="BY11" i="5"/>
  <c r="BZ25" i="5" s="1"/>
  <c r="BZ26" i="5" s="1"/>
  <c r="CO6" i="5"/>
  <c r="CU28" i="3" l="1"/>
  <c r="CT4" i="5"/>
  <c r="CS28" i="5"/>
  <c r="CR14" i="5"/>
  <c r="CQ5" i="5"/>
  <c r="CO30" i="3"/>
  <c r="CP24" i="3" s="1"/>
  <c r="CL9" i="5"/>
  <c r="CM26" i="3"/>
  <c r="CO3" i="5"/>
  <c r="CN7" i="5"/>
  <c r="CN29" i="3"/>
  <c r="CA26" i="5"/>
  <c r="BZ11" i="5"/>
  <c r="BY12" i="5"/>
  <c r="BY13" i="5"/>
  <c r="CP6" i="5"/>
  <c r="CQ6" i="5" l="1"/>
  <c r="CR21" i="5"/>
  <c r="CR22" i="5" s="1"/>
  <c r="CO25" i="3"/>
  <c r="CO29" i="3" s="1"/>
  <c r="CV28" i="3"/>
  <c r="CU4" i="5"/>
  <c r="CT28" i="5"/>
  <c r="CS14" i="5"/>
  <c r="CP3" i="5"/>
  <c r="CO7" i="5"/>
  <c r="CP25" i="3"/>
  <c r="CP29" i="3" s="1"/>
  <c r="CP30" i="3"/>
  <c r="CQ24" i="3" s="1"/>
  <c r="CM9" i="5"/>
  <c r="CN26" i="3"/>
  <c r="CN9" i="5" s="1"/>
  <c r="BZ12" i="5"/>
  <c r="BZ13" i="5"/>
  <c r="CA11" i="5"/>
  <c r="CR5" i="5" l="1"/>
  <c r="CW28" i="3"/>
  <c r="CV4" i="5"/>
  <c r="CU28" i="5"/>
  <c r="CT14" i="5"/>
  <c r="CQ30" i="3"/>
  <c r="CR24" i="3" s="1"/>
  <c r="CQ25" i="3"/>
  <c r="CQ3" i="5"/>
  <c r="CP7" i="5"/>
  <c r="CO26" i="3"/>
  <c r="CB26" i="5"/>
  <c r="CA12" i="5"/>
  <c r="CA13" i="5"/>
  <c r="CR6" i="5" l="1"/>
  <c r="CS21" i="5"/>
  <c r="CS22" i="5" s="1"/>
  <c r="CX28" i="3"/>
  <c r="CW4" i="5"/>
  <c r="CU14" i="5"/>
  <c r="CV28" i="5"/>
  <c r="CR30" i="3"/>
  <c r="CS24" i="3" s="1"/>
  <c r="CQ7" i="5"/>
  <c r="CR3" i="5"/>
  <c r="CQ29" i="3"/>
  <c r="CO9" i="5"/>
  <c r="CP26" i="3"/>
  <c r="CB11" i="5"/>
  <c r="CC25" i="5" s="1"/>
  <c r="CC26" i="5" s="1"/>
  <c r="CS5" i="5" l="1"/>
  <c r="CR25" i="3"/>
  <c r="CR29" i="3" s="1"/>
  <c r="CR7" i="5"/>
  <c r="CS3" i="5"/>
  <c r="CY28" i="3"/>
  <c r="CX4" i="5"/>
  <c r="CV14" i="5"/>
  <c r="CW28" i="5"/>
  <c r="CS25" i="3"/>
  <c r="CS29" i="3" s="1"/>
  <c r="CS30" i="3"/>
  <c r="CT24" i="3" s="1"/>
  <c r="CP9" i="5"/>
  <c r="CQ26" i="3"/>
  <c r="CD26" i="5"/>
  <c r="CC11" i="5"/>
  <c r="CB12" i="5"/>
  <c r="CB13" i="5"/>
  <c r="CS6" i="5" l="1"/>
  <c r="CT21" i="5"/>
  <c r="CT22" i="5" s="1"/>
  <c r="CT3" i="5"/>
  <c r="CS7" i="5"/>
  <c r="CZ28" i="3"/>
  <c r="CY4" i="5"/>
  <c r="CR26" i="3"/>
  <c r="CS26" i="3" s="1"/>
  <c r="CS9" i="5" s="1"/>
  <c r="CW14" i="5"/>
  <c r="CX28" i="5"/>
  <c r="CT30" i="3"/>
  <c r="CU24" i="3" s="1"/>
  <c r="CT25" i="3"/>
  <c r="CT29" i="3" s="1"/>
  <c r="CQ9" i="5"/>
  <c r="CD11" i="5"/>
  <c r="CC12" i="5"/>
  <c r="CC13" i="5"/>
  <c r="CT5" i="5" l="1"/>
  <c r="DA28" i="3"/>
  <c r="CZ4" i="5"/>
  <c r="CU3" i="5"/>
  <c r="CT7" i="5"/>
  <c r="CR9" i="5"/>
  <c r="CY28" i="5"/>
  <c r="CX14" i="5"/>
  <c r="CT26" i="3"/>
  <c r="CT9" i="5" s="1"/>
  <c r="CU30" i="3"/>
  <c r="CV24" i="3" s="1"/>
  <c r="CE26" i="5"/>
  <c r="CD12" i="5"/>
  <c r="CD13" i="5"/>
  <c r="CT6" i="5" l="1"/>
  <c r="CU21" i="5"/>
  <c r="CU22" i="5" s="1"/>
  <c r="CU25" i="3"/>
  <c r="CU29" i="3" s="1"/>
  <c r="CV3" i="5"/>
  <c r="DB28" i="3"/>
  <c r="DA4" i="5"/>
  <c r="CZ28" i="5"/>
  <c r="CY14" i="5"/>
  <c r="CV30" i="3"/>
  <c r="CW24" i="3" s="1"/>
  <c r="CV25" i="3"/>
  <c r="CV29" i="3" s="1"/>
  <c r="CE11" i="5"/>
  <c r="CF25" i="5" s="1"/>
  <c r="CF26" i="5" s="1"/>
  <c r="CU5" i="5" l="1"/>
  <c r="CU26" i="3"/>
  <c r="CU9" i="5" s="1"/>
  <c r="CW3" i="5"/>
  <c r="DC28" i="3"/>
  <c r="DB4" i="5"/>
  <c r="CZ14" i="5"/>
  <c r="DA28" i="5"/>
  <c r="CW30" i="3"/>
  <c r="CX24" i="3" s="1"/>
  <c r="CW25" i="3"/>
  <c r="CW29" i="3" s="1"/>
  <c r="CF11" i="5"/>
  <c r="CG26" i="5"/>
  <c r="CE12" i="5"/>
  <c r="CE13" i="5"/>
  <c r="CU6" i="5" l="1"/>
  <c r="CV21" i="5"/>
  <c r="CV22" i="5" s="1"/>
  <c r="CU7" i="5"/>
  <c r="CV26" i="3"/>
  <c r="CV9" i="5" s="1"/>
  <c r="DD28" i="3"/>
  <c r="DC4" i="5"/>
  <c r="CX3" i="5"/>
  <c r="DB28" i="5"/>
  <c r="DA14" i="5"/>
  <c r="CX30" i="3"/>
  <c r="CY24" i="3" s="1"/>
  <c r="CF12" i="5"/>
  <c r="CF13" i="5"/>
  <c r="CG11" i="5"/>
  <c r="CV5" i="5" l="1"/>
  <c r="CX25" i="3"/>
  <c r="CW26" i="3"/>
  <c r="CW9" i="5" s="1"/>
  <c r="CY3" i="5"/>
  <c r="DE28" i="3"/>
  <c r="DD4" i="5"/>
  <c r="DC28" i="5"/>
  <c r="DB14" i="5"/>
  <c r="CY25" i="3"/>
  <c r="CY29" i="3" s="1"/>
  <c r="CY30" i="3"/>
  <c r="CZ24" i="3" s="1"/>
  <c r="CH26" i="5"/>
  <c r="CG12" i="5"/>
  <c r="CG13" i="5"/>
  <c r="CV6" i="5" l="1"/>
  <c r="CW21" i="5"/>
  <c r="CW22" i="5" s="1"/>
  <c r="CV7" i="5"/>
  <c r="CZ3" i="5"/>
  <c r="DF28" i="3"/>
  <c r="DE4" i="5"/>
  <c r="DC14" i="5"/>
  <c r="DD28" i="5"/>
  <c r="CZ25" i="3"/>
  <c r="CZ29" i="3" s="1"/>
  <c r="CZ30" i="3"/>
  <c r="DA24" i="3" s="1"/>
  <c r="CX29" i="3"/>
  <c r="CX26" i="3"/>
  <c r="CH11" i="5"/>
  <c r="CI25" i="5" s="1"/>
  <c r="CI26" i="5" s="1"/>
  <c r="CW5" i="5" l="1"/>
  <c r="DG28" i="3"/>
  <c r="DF4" i="5"/>
  <c r="DA3" i="5"/>
  <c r="CY26" i="3"/>
  <c r="CY9" i="5" s="1"/>
  <c r="CX9" i="5"/>
  <c r="DD14" i="5"/>
  <c r="DE28" i="5"/>
  <c r="DA30" i="3"/>
  <c r="DB24" i="3" s="1"/>
  <c r="CI11" i="5"/>
  <c r="CJ26" i="5"/>
  <c r="CH12" i="5"/>
  <c r="CH13" i="5"/>
  <c r="CW6" i="5" l="1"/>
  <c r="CX21" i="5"/>
  <c r="CX22" i="5" s="1"/>
  <c r="CW7" i="5"/>
  <c r="DA25" i="3"/>
  <c r="DA29" i="3" s="1"/>
  <c r="DB3" i="5"/>
  <c r="DH28" i="3"/>
  <c r="DG4" i="5"/>
  <c r="CZ26" i="3"/>
  <c r="CZ9" i="5" s="1"/>
  <c r="DE14" i="5"/>
  <c r="DF28" i="5"/>
  <c r="DB30" i="3"/>
  <c r="DC24" i="3" s="1"/>
  <c r="DB25" i="3"/>
  <c r="DB29" i="3" s="1"/>
  <c r="CI12" i="5"/>
  <c r="CI13" i="5"/>
  <c r="CJ11" i="5"/>
  <c r="CX5" i="5" l="1"/>
  <c r="DC3" i="5"/>
  <c r="DI28" i="3"/>
  <c r="DH4" i="5"/>
  <c r="DF14" i="5"/>
  <c r="DG28" i="5"/>
  <c r="DC30" i="3"/>
  <c r="DD24" i="3" s="1"/>
  <c r="DC25" i="3"/>
  <c r="DC29" i="3" s="1"/>
  <c r="DA26" i="3"/>
  <c r="CK26" i="5"/>
  <c r="CJ12" i="5"/>
  <c r="CJ13" i="5"/>
  <c r="CX6" i="5" l="1"/>
  <c r="CY21" i="5"/>
  <c r="CY22" i="5" s="1"/>
  <c r="CX7" i="5"/>
  <c r="DJ28" i="3"/>
  <c r="DI4" i="5"/>
  <c r="DD3" i="5"/>
  <c r="DB26" i="3"/>
  <c r="DB9" i="5" s="1"/>
  <c r="DA9" i="5"/>
  <c r="DG14" i="5"/>
  <c r="DH28" i="5"/>
  <c r="DD30" i="3"/>
  <c r="DE24" i="3" s="1"/>
  <c r="CK11" i="5"/>
  <c r="CL25" i="5" s="1"/>
  <c r="CL26" i="5" s="1"/>
  <c r="CY5" i="5" l="1"/>
  <c r="DD25" i="3"/>
  <c r="DD29" i="3" s="1"/>
  <c r="DE3" i="5"/>
  <c r="DK28" i="3"/>
  <c r="DJ4" i="5"/>
  <c r="DC26" i="3"/>
  <c r="DC9" i="5" s="1"/>
  <c r="DH14" i="5"/>
  <c r="DI28" i="5"/>
  <c r="DE25" i="3"/>
  <c r="DE29" i="3" s="1"/>
  <c r="DE30" i="3"/>
  <c r="DF24" i="3" s="1"/>
  <c r="CL11" i="5"/>
  <c r="CM26" i="5"/>
  <c r="CK12" i="5"/>
  <c r="CK13" i="5"/>
  <c r="CY6" i="5" l="1"/>
  <c r="CZ21" i="5"/>
  <c r="CZ22" i="5" s="1"/>
  <c r="CY7" i="5"/>
  <c r="DF3" i="5"/>
  <c r="DL28" i="3"/>
  <c r="DK4" i="5"/>
  <c r="DI14" i="5"/>
  <c r="DJ28" i="5"/>
  <c r="DF25" i="3"/>
  <c r="DF29" i="3" s="1"/>
  <c r="DF30" i="3"/>
  <c r="DG24" i="3" s="1"/>
  <c r="DD26" i="3"/>
  <c r="CL12" i="5"/>
  <c r="CL13" i="5"/>
  <c r="CM11" i="5"/>
  <c r="CZ5" i="5" l="1"/>
  <c r="DM28" i="3"/>
  <c r="DL4" i="5"/>
  <c r="DG3" i="5"/>
  <c r="DE26" i="3"/>
  <c r="DE9" i="5" s="1"/>
  <c r="DD9" i="5"/>
  <c r="DJ14" i="5"/>
  <c r="DK28" i="5"/>
  <c r="DG30" i="3"/>
  <c r="DH24" i="3" s="1"/>
  <c r="CN26" i="5"/>
  <c r="CN11" i="5" s="1"/>
  <c r="CM12" i="5"/>
  <c r="CM13" i="5"/>
  <c r="CZ6" i="5" l="1"/>
  <c r="DA21" i="5"/>
  <c r="DA22" i="5" s="1"/>
  <c r="CZ7" i="5"/>
  <c r="DG25" i="3"/>
  <c r="DG29" i="3" s="1"/>
  <c r="DH3" i="5"/>
  <c r="DN28" i="3"/>
  <c r="DM4" i="5"/>
  <c r="DF26" i="3"/>
  <c r="DF9" i="5" s="1"/>
  <c r="DL28" i="5"/>
  <c r="DK14" i="5"/>
  <c r="DH25" i="3"/>
  <c r="DH29" i="3" s="1"/>
  <c r="DH30" i="3"/>
  <c r="DI24" i="3" s="1"/>
  <c r="CN13" i="5"/>
  <c r="CO25" i="5"/>
  <c r="CO26" i="5" s="1"/>
  <c r="DA5" i="5" l="1"/>
  <c r="DO28" i="3"/>
  <c r="DN4" i="5"/>
  <c r="DI3" i="5"/>
  <c r="DL14" i="5"/>
  <c r="DM28" i="5"/>
  <c r="DG26" i="3"/>
  <c r="DI25" i="3"/>
  <c r="DI29" i="3" s="1"/>
  <c r="DI30" i="3"/>
  <c r="DJ24" i="3" s="1"/>
  <c r="CP26" i="5"/>
  <c r="CO11" i="5"/>
  <c r="CN12" i="5"/>
  <c r="DA6" i="5" l="1"/>
  <c r="DB21" i="5"/>
  <c r="DB22" i="5" s="1"/>
  <c r="DA7" i="5"/>
  <c r="DJ3" i="5"/>
  <c r="DP28" i="3"/>
  <c r="DO4" i="5"/>
  <c r="DN28" i="5"/>
  <c r="DM14" i="5"/>
  <c r="DH26" i="3"/>
  <c r="DH9" i="5" s="1"/>
  <c r="DG9" i="5"/>
  <c r="DJ30" i="3"/>
  <c r="DK24" i="3" s="1"/>
  <c r="CP11" i="5"/>
  <c r="CO12" i="5"/>
  <c r="CO13" i="5"/>
  <c r="DB5" i="5" l="1"/>
  <c r="DJ25" i="3"/>
  <c r="DJ29" i="3" s="1"/>
  <c r="DP4" i="5"/>
  <c r="DQ28" i="3"/>
  <c r="DK3" i="5"/>
  <c r="DI26" i="3"/>
  <c r="DI9" i="5" s="1"/>
  <c r="DN14" i="5"/>
  <c r="DO28" i="5"/>
  <c r="DK30" i="3"/>
  <c r="DL24" i="3" s="1"/>
  <c r="DK25" i="3"/>
  <c r="DK29" i="3" s="1"/>
  <c r="CQ26" i="5"/>
  <c r="CP12" i="5"/>
  <c r="CP13" i="5"/>
  <c r="DB6" i="5" l="1"/>
  <c r="DC21" i="5"/>
  <c r="DC22" i="5" s="1"/>
  <c r="DB7" i="5"/>
  <c r="DR28" i="3"/>
  <c r="DQ4" i="5"/>
  <c r="DL3" i="5"/>
  <c r="DP28" i="5"/>
  <c r="DO14" i="5"/>
  <c r="DJ26" i="3"/>
  <c r="DL30" i="3"/>
  <c r="DM24" i="3" s="1"/>
  <c r="DL25" i="3"/>
  <c r="DL29" i="3" s="1"/>
  <c r="CQ11" i="5"/>
  <c r="DC5" i="5" l="1"/>
  <c r="DS28" i="3"/>
  <c r="DS4" i="5" s="1"/>
  <c r="DR4" i="5"/>
  <c r="DP14" i="5"/>
  <c r="DQ28" i="5"/>
  <c r="DM3" i="5"/>
  <c r="CR25" i="5"/>
  <c r="CR26" i="5" s="1"/>
  <c r="CS26" i="5" s="1"/>
  <c r="DK26" i="3"/>
  <c r="DK9" i="5" s="1"/>
  <c r="DJ9" i="5"/>
  <c r="DM30" i="3"/>
  <c r="DN24" i="3" s="1"/>
  <c r="CQ13" i="5"/>
  <c r="CQ12" i="5"/>
  <c r="DC6" i="5" l="1"/>
  <c r="DD21" i="5"/>
  <c r="DD22" i="5" s="1"/>
  <c r="DC7" i="5"/>
  <c r="DR28" i="5"/>
  <c r="DQ14" i="5"/>
  <c r="DM25" i="3"/>
  <c r="DM29" i="3" s="1"/>
  <c r="DL26" i="3"/>
  <c r="DL9" i="5" s="1"/>
  <c r="DN3" i="5"/>
  <c r="CR11" i="5"/>
  <c r="CS11" i="5"/>
  <c r="CT26" i="5"/>
  <c r="CT11" i="5" s="1"/>
  <c r="DN25" i="3"/>
  <c r="DN29" i="3" s="1"/>
  <c r="DN30" i="3"/>
  <c r="DO24" i="3" s="1"/>
  <c r="DD5" i="5" l="1"/>
  <c r="DS28" i="5"/>
  <c r="DS14" i="5" s="1"/>
  <c r="DR14" i="5"/>
  <c r="DO3" i="5"/>
  <c r="CR12" i="5"/>
  <c r="CR13" i="5"/>
  <c r="CS13" i="5"/>
  <c r="CS12" i="5"/>
  <c r="CU25" i="5"/>
  <c r="CU26" i="5" s="1"/>
  <c r="CT12" i="5"/>
  <c r="CT13" i="5"/>
  <c r="DM26" i="3"/>
  <c r="DO30" i="3"/>
  <c r="DP24" i="3" s="1"/>
  <c r="DO25" i="3"/>
  <c r="DO29" i="3" s="1"/>
  <c r="DD6" i="5" l="1"/>
  <c r="DE21" i="5"/>
  <c r="DE22" i="5" s="1"/>
  <c r="DD7" i="5"/>
  <c r="DP3" i="5"/>
  <c r="CV26" i="5"/>
  <c r="CU11" i="5"/>
  <c r="DN26" i="3"/>
  <c r="DN9" i="5" s="1"/>
  <c r="DM9" i="5"/>
  <c r="DP30" i="3"/>
  <c r="DQ24" i="3" s="1"/>
  <c r="DE5" i="5" l="1"/>
  <c r="DQ3" i="5"/>
  <c r="DP25" i="3"/>
  <c r="DQ30" i="3"/>
  <c r="DR24" i="3" s="1"/>
  <c r="DQ25" i="3"/>
  <c r="DQ29" i="3" s="1"/>
  <c r="DO26" i="3"/>
  <c r="DO9" i="5" s="1"/>
  <c r="CW26" i="5"/>
  <c r="CW11" i="5" s="1"/>
  <c r="CV11" i="5"/>
  <c r="CU12" i="5"/>
  <c r="CU13" i="5"/>
  <c r="DE6" i="5" l="1"/>
  <c r="DF21" i="5"/>
  <c r="DF22" i="5" s="1"/>
  <c r="DE7" i="5"/>
  <c r="DR3" i="5"/>
  <c r="DR30" i="3"/>
  <c r="DS24" i="3" s="1"/>
  <c r="DR25" i="3"/>
  <c r="DR29" i="3" s="1"/>
  <c r="DP26" i="3"/>
  <c r="DP29" i="3"/>
  <c r="CX25" i="5"/>
  <c r="CX26" i="5" s="1"/>
  <c r="CW12" i="5"/>
  <c r="CW13" i="5"/>
  <c r="CV12" i="5"/>
  <c r="CV13" i="5"/>
  <c r="DF5" i="5" l="1"/>
  <c r="DS3" i="5"/>
  <c r="DS30" i="3"/>
  <c r="DS25" i="3" s="1"/>
  <c r="DS29" i="3" s="1"/>
  <c r="DP9" i="5"/>
  <c r="DQ26" i="3"/>
  <c r="CY26" i="5"/>
  <c r="CX11" i="5"/>
  <c r="DF6" i="5" l="1"/>
  <c r="DG21" i="5"/>
  <c r="DG22" i="5" s="1"/>
  <c r="DF7" i="5"/>
  <c r="DR26" i="3"/>
  <c r="DR9" i="5" s="1"/>
  <c r="DQ9" i="5"/>
  <c r="CZ26" i="5"/>
  <c r="CZ11" i="5" s="1"/>
  <c r="CY11" i="5"/>
  <c r="CX12" i="5"/>
  <c r="CX13" i="5"/>
  <c r="DG5" i="5" l="1"/>
  <c r="DS26" i="3"/>
  <c r="DA25" i="5"/>
  <c r="DA26" i="5" s="1"/>
  <c r="CZ12" i="5"/>
  <c r="CZ13" i="5"/>
  <c r="CY12" i="5"/>
  <c r="CY13" i="5"/>
  <c r="DS9" i="5" l="1"/>
  <c r="DS33" i="3"/>
  <c r="DG6" i="5"/>
  <c r="DH21" i="5"/>
  <c r="DH22" i="5" s="1"/>
  <c r="DG7" i="5"/>
  <c r="DB26" i="5"/>
  <c r="DA11" i="5"/>
  <c r="DH5" i="5" l="1"/>
  <c r="DC26" i="5"/>
  <c r="DC11" i="5" s="1"/>
  <c r="DB11" i="5"/>
  <c r="DA12" i="5"/>
  <c r="DA13" i="5"/>
  <c r="DH6" i="5" l="1"/>
  <c r="DI21" i="5"/>
  <c r="DI22" i="5" s="1"/>
  <c r="DH7" i="5"/>
  <c r="DD25" i="5"/>
  <c r="DD26" i="5" s="1"/>
  <c r="DC12" i="5"/>
  <c r="DC13" i="5"/>
  <c r="DB12" i="5"/>
  <c r="DB13" i="5"/>
  <c r="DI5" i="5" l="1"/>
  <c r="DE26" i="5"/>
  <c r="DD11" i="5"/>
  <c r="DI6" i="5" l="1"/>
  <c r="DJ21" i="5"/>
  <c r="DJ22" i="5" s="1"/>
  <c r="DI7" i="5"/>
  <c r="DF26" i="5"/>
  <c r="DF11" i="5" s="1"/>
  <c r="DE11" i="5"/>
  <c r="DD12" i="5"/>
  <c r="DD13" i="5"/>
  <c r="DJ5" i="5" l="1"/>
  <c r="DG25" i="5"/>
  <c r="DG26" i="5" s="1"/>
  <c r="DF12" i="5"/>
  <c r="DF13" i="5"/>
  <c r="DE12" i="5"/>
  <c r="DE13" i="5"/>
  <c r="DJ6" i="5" l="1"/>
  <c r="DK21" i="5"/>
  <c r="DK22" i="5" s="1"/>
  <c r="DJ7" i="5"/>
  <c r="DH26" i="5"/>
  <c r="DG11" i="5"/>
  <c r="DK5" i="5" l="1"/>
  <c r="DI26" i="5"/>
  <c r="DI11" i="5" s="1"/>
  <c r="DH11" i="5"/>
  <c r="DG12" i="5"/>
  <c r="DG13" i="5"/>
  <c r="DK6" i="5" l="1"/>
  <c r="DL21" i="5"/>
  <c r="DL22" i="5" s="1"/>
  <c r="DK7" i="5"/>
  <c r="DJ25" i="5"/>
  <c r="DJ26" i="5" s="1"/>
  <c r="DI12" i="5"/>
  <c r="DI13" i="5"/>
  <c r="DH12" i="5"/>
  <c r="DH13" i="5"/>
  <c r="DL5" i="5" l="1"/>
  <c r="DK26" i="5"/>
  <c r="DJ11" i="5"/>
  <c r="DL6" i="5" l="1"/>
  <c r="DM21" i="5"/>
  <c r="DM22" i="5" s="1"/>
  <c r="DL7" i="5"/>
  <c r="DL26" i="5"/>
  <c r="DL11" i="5" s="1"/>
  <c r="DK11" i="5"/>
  <c r="DJ12" i="5"/>
  <c r="DJ13" i="5"/>
  <c r="DM5" i="5" l="1"/>
  <c r="DM25" i="5"/>
  <c r="DM26" i="5" s="1"/>
  <c r="DL12" i="5"/>
  <c r="DL13" i="5"/>
  <c r="DK12" i="5"/>
  <c r="DK13" i="5"/>
  <c r="DM6" i="5" l="1"/>
  <c r="DN21" i="5"/>
  <c r="DN22" i="5" s="1"/>
  <c r="DM7" i="5"/>
  <c r="DN26" i="5"/>
  <c r="DM11" i="5"/>
  <c r="DN5" i="5" l="1"/>
  <c r="DO26" i="5"/>
  <c r="DO11" i="5" s="1"/>
  <c r="DN11" i="5"/>
  <c r="DM12" i="5"/>
  <c r="DM13" i="5"/>
  <c r="DN6" i="5" l="1"/>
  <c r="DO21" i="5"/>
  <c r="DO22" i="5" s="1"/>
  <c r="DN7" i="5"/>
  <c r="DP25" i="5"/>
  <c r="DP26" i="5" s="1"/>
  <c r="DO12" i="5"/>
  <c r="DO13" i="5"/>
  <c r="DN12" i="5"/>
  <c r="DN13" i="5"/>
  <c r="DO5" i="5" l="1"/>
  <c r="DP11" i="5"/>
  <c r="DP12" i="5" s="1"/>
  <c r="DQ26" i="5"/>
  <c r="DO6" i="5" l="1"/>
  <c r="DP21" i="5"/>
  <c r="DP22" i="5" s="1"/>
  <c r="DO7" i="5"/>
  <c r="DP13" i="5"/>
  <c r="DR26" i="5"/>
  <c r="DR11" i="5" s="1"/>
  <c r="DQ11" i="5"/>
  <c r="DP5" i="5" l="1"/>
  <c r="DQ13" i="5"/>
  <c r="DQ12" i="5"/>
  <c r="DR12" i="5"/>
  <c r="DS25" i="5"/>
  <c r="DS26" i="5" s="1"/>
  <c r="DS11" i="5" s="1"/>
  <c r="DR13" i="5"/>
  <c r="DP6" i="5" l="1"/>
  <c r="DQ21" i="5"/>
  <c r="DQ22" i="5" s="1"/>
  <c r="DP7" i="5"/>
  <c r="DS12" i="5"/>
  <c r="DS13" i="5"/>
  <c r="DQ5" i="5" l="1"/>
  <c r="DR21" i="5" l="1"/>
  <c r="DR22" i="5" s="1"/>
  <c r="DQ6" i="5"/>
  <c r="DQ7" i="5"/>
  <c r="DR5" i="5" l="1"/>
  <c r="DR6" i="5" l="1"/>
  <c r="DS21" i="5"/>
  <c r="DS22" i="5" s="1"/>
  <c r="DS5" i="5" s="1"/>
  <c r="DR7" i="5"/>
  <c r="DS6" i="5" l="1"/>
  <c r="DS7" i="5"/>
</calcChain>
</file>

<file path=xl/sharedStrings.xml><?xml version="1.0" encoding="utf-8"?>
<sst xmlns="http://schemas.openxmlformats.org/spreadsheetml/2006/main" count="112" uniqueCount="78">
  <si>
    <t>Project name:</t>
  </si>
  <si>
    <t>Assumptions:</t>
  </si>
  <si>
    <t>Loan Amount</t>
  </si>
  <si>
    <t>Interest Rate</t>
  </si>
  <si>
    <t>Financial Close</t>
  </si>
  <si>
    <t>Drawdown Date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</si>
  <si>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</si>
  <si>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</si>
  <si>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</si>
  <si>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</si>
  <si>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</si>
  <si>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</si>
  <si>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</si>
  <si>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</si>
  <si>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</si>
  <si>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</si>
  <si>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</si>
  <si>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</si>
  <si>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</si>
  <si>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</si>
  <si>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</si>
  <si>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</si>
  <si>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</si>
  <si>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</si>
  <si>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</si>
  <si>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</si>
  <si>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</si>
  <si>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</si>
  <si>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</si>
  <si>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</si>
  <si>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</si>
  <si>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</si>
  <si>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</si>
  <si>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</si>
  <si>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</si>
  <si>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</si>
  <si>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</si>
  <si>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</si>
  <si>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</si>
  <si>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</si>
  <si>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</si>
  <si>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</si>
  <si>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</si>
  <si>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</si>
  <si>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</si>
  <si>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IDCOL Loan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</si>
  <si>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</si>
  <si>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</si>
  <si>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</si>
  <si>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</si>
  <si>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</si>
  <si>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</si>
  <si>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</si>
  <si>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</si>
  <si>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Level Principal</t>
  </si>
  <si>
    <t>Actual Payment date</t>
  </si>
  <si>
    <t>Actual Payment amount:</t>
  </si>
  <si>
    <t>LPC</t>
  </si>
  <si>
    <t>Total</t>
  </si>
  <si>
    <t>Avg. Installment Size</t>
  </si>
  <si>
    <t>10 years</t>
  </si>
  <si>
    <t>Grant</t>
  </si>
  <si>
    <t>No.</t>
  </si>
  <si>
    <t>Date</t>
  </si>
  <si>
    <t>Amount</t>
  </si>
  <si>
    <t>Cumulative Amount</t>
  </si>
  <si>
    <t>Source: ADB</t>
  </si>
  <si>
    <t>Hydron Bangladesh Private Ltd.</t>
  </si>
  <si>
    <t>Source:</t>
  </si>
  <si>
    <t xml:space="preserve">Type: </t>
  </si>
  <si>
    <t>RERED II (IDA 5158)</t>
  </si>
  <si>
    <t>Interest Grace</t>
  </si>
  <si>
    <t>months</t>
  </si>
  <si>
    <t>Principal Grace</t>
  </si>
  <si>
    <t>years</t>
  </si>
  <si>
    <t>Revised avg. installment</t>
  </si>
  <si>
    <t>Average Installment Size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</si>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</sst>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</numFmts>
  <fonts count="18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4"/>
      <color indexed="10"/>
      <name val="Times New Roman"/>
      <family val="1"/>
    </font>
    <font>
      <sz val="14"/>
      <color indexed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3" fillId="0" borderId="0" xfId="0" applyFont="1" applyFill="1" applyBorder="1" applyProtection="1">
      <protection locked="0"/>
    </xf>
    <xf numFmtId="0" fontId="14" fillId="0" borderId="0" xfId="0" applyFont="1" applyFill="1" applyBorder="1" applyProtection="1">
      <protection locked="0"/>
    </xf>
    <xf numFmtId="0" fontId="14" fillId="0" borderId="0" xfId="0" applyFont="1"/>
    <xf numFmtId="10" fontId="13" fillId="0" borderId="0" xfId="0" applyNumberFormat="1" applyFont="1" applyFill="1" applyBorder="1" applyAlignment="1" applyProtection="1">
      <alignment horizontal="center"/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3" fontId="14" fillId="0" borderId="0" xfId="0" applyNumberFormat="1" applyFont="1" applyFill="1" applyBorder="1" applyAlignment="1" applyProtection="1">
      <alignment horizontal="center"/>
      <protection locked="0"/>
    </xf>
    <xf numFmtId="4" fontId="14" fillId="0" borderId="0" xfId="0" applyNumberFormat="1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Protection="1">
      <protection locked="0"/>
    </xf>
    <xf numFmtId="164" fontId="8" fillId="2" borderId="2" xfId="0" applyNumberFormat="1" applyFont="1" applyFill="1" applyBorder="1" applyAlignment="1" applyProtection="1">
      <alignment horizontal="right"/>
      <protection locked="0"/>
    </xf>
    <xf numFmtId="3" fontId="14" fillId="0" borderId="0" xfId="0" applyNumberFormat="1" applyFont="1" applyFill="1" applyBorder="1" applyProtection="1">
      <protection locked="0"/>
    </xf>
    <xf numFmtId="43" fontId="14" fillId="0" borderId="0" xfId="1" applyFont="1"/>
    <xf numFmtId="3" fontId="14" fillId="0" borderId="0" xfId="0" applyNumberFormat="1" applyFont="1" applyFill="1" applyBorder="1" applyAlignment="1" applyProtection="1">
      <protection locked="0"/>
    </xf>
    <xf numFmtId="0" fontId="14" fillId="0" borderId="1" xfId="0" applyFont="1" applyFill="1" applyBorder="1" applyProtection="1">
      <protection locked="0"/>
    </xf>
    <xf numFmtId="3" fontId="14" fillId="0" borderId="1" xfId="0" applyNumberFormat="1" applyFont="1" applyFill="1" applyBorder="1" applyAlignment="1" applyProtection="1">
      <protection locked="0"/>
    </xf>
    <xf numFmtId="0" fontId="14" fillId="0" borderId="0" xfId="0" applyFont="1" applyFill="1" applyBorder="1" applyAlignment="1" applyProtection="1">
      <alignment horizontal="right"/>
      <protection locked="0"/>
    </xf>
    <xf numFmtId="4" fontId="14" fillId="0" borderId="0" xfId="0" applyNumberFormat="1" applyFont="1" applyFill="1" applyBorder="1" applyProtection="1">
      <protection locked="0"/>
    </xf>
    <xf numFmtId="165" fontId="14" fillId="0" borderId="0" xfId="1" applyNumberFormat="1" applyFont="1" applyFill="1" applyBorder="1" applyProtection="1">
      <protection locked="0"/>
    </xf>
    <xf numFmtId="0" fontId="14" fillId="0" borderId="0" xfId="0" applyFont="1" applyAlignment="1">
      <alignment horizontal="left"/>
    </xf>
    <xf numFmtId="0" fontId="13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3" fillId="0" borderId="0" xfId="0" applyFont="1" applyAlignment="1">
      <alignment horizontal="left"/>
    </xf>
    <xf numFmtId="43" fontId="15" fillId="0" borderId="0" xfId="1" applyFont="1"/>
    <xf numFmtId="0" fontId="14" fillId="0" borderId="0" xfId="0" applyFont="1" applyAlignment="1">
      <alignment horizontal="right"/>
    </xf>
    <xf numFmtId="15" fontId="14" fillId="0" borderId="0" xfId="0" applyNumberFormat="1" applyFont="1"/>
    <xf numFmtId="4" fontId="14" fillId="0" borderId="0" xfId="0" applyNumberFormat="1" applyFont="1"/>
    <xf numFmtId="0" fontId="16" fillId="0" borderId="0" xfId="0" applyFont="1" applyFill="1" applyBorder="1" applyProtection="1">
      <protection locked="0"/>
    </xf>
    <xf numFmtId="3" fontId="16" fillId="0" borderId="0" xfId="0" applyNumberFormat="1" applyFont="1" applyFill="1" applyBorder="1" applyAlignment="1" applyProtection="1">
      <alignment horizontal="right"/>
      <protection locked="0"/>
    </xf>
    <xf numFmtId="1" fontId="14" fillId="0" borderId="0" xfId="0" applyNumberFormat="1" applyFont="1" applyFill="1" applyBorder="1" applyProtection="1">
      <protection locked="0"/>
    </xf>
    <xf numFmtId="1" fontId="14" fillId="0" borderId="0" xfId="0" applyNumberFormat="1" applyFont="1" applyFill="1" applyBorder="1" applyAlignment="1" applyProtection="1">
      <alignment horizontal="right"/>
      <protection locked="0"/>
    </xf>
    <xf numFmtId="1" fontId="14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2" fillId="3" borderId="0" xfId="0" applyFont="1" applyFill="1" applyBorder="1" applyProtection="1">
      <protection locked="0"/>
    </xf>
    <xf numFmtId="0" fontId="14" fillId="0" borderId="0" xfId="0" applyFont="1" applyFill="1"/>
    <xf numFmtId="0" fontId="16" fillId="0" borderId="0" xfId="0" applyFont="1" applyFill="1"/>
    <xf numFmtId="1" fontId="14" fillId="0" borderId="0" xfId="0" applyNumberFormat="1" applyFont="1" applyFill="1"/>
    <xf numFmtId="166" fontId="2" fillId="0" borderId="0" xfId="0" applyNumberFormat="1" applyFont="1" applyFill="1" applyBorder="1" applyAlignment="1" applyProtection="1">
      <alignment horizontal="right"/>
      <protection locked="0"/>
    </xf>
    <xf numFmtId="166" fontId="14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Fill="1" applyBorder="1" applyAlignment="1" applyProtection="1">
      <alignment horizontal="right"/>
      <protection locked="0"/>
    </xf>
    <xf numFmtId="0" fontId="14" fillId="0" borderId="0" xfId="0" applyFont="1" applyAlignment="1">
      <alignment horizontal="center"/>
    </xf>
    <xf numFmtId="15" fontId="14" fillId="0" borderId="0" xfId="0" applyNumberFormat="1" applyFont="1" applyAlignment="1">
      <alignment horizontal="center"/>
    </xf>
    <xf numFmtId="43" fontId="14" fillId="0" borderId="0" xfId="1" applyFont="1" applyAlignment="1">
      <alignment horizontal="center"/>
    </xf>
    <xf numFmtId="4" fontId="14" fillId="0" borderId="0" xfId="0" applyNumberFormat="1" applyFont="1" applyAlignment="1">
      <alignment horizontal="center"/>
    </xf>
    <xf numFmtId="1" fontId="2" fillId="0" borderId="0" xfId="0" applyNumberFormat="1" applyFont="1" applyFill="1" applyBorder="1" applyProtection="1">
      <protection locked="0"/>
    </xf>
    <xf numFmtId="164" fontId="2" fillId="4" borderId="0" xfId="0" applyNumberFormat="1" applyFont="1" applyFill="1" applyBorder="1" applyAlignment="1" applyProtection="1">
      <alignment horizontal="right"/>
      <protection locked="0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0" fontId="2" fillId="4" borderId="0" xfId="0" applyFont="1" applyFill="1" applyBorder="1" applyProtection="1">
      <protection locked="0"/>
    </xf>
    <xf numFmtId="43" fontId="17" fillId="0" borderId="0" xfId="1" applyFont="1"/>
    <xf numFmtId="0" fontId="17" fillId="0" borderId="0" xfId="0" applyFont="1"/>
    <xf numFmtId="0" fontId="13" fillId="5" borderId="7" xfId="0" applyFont="1" applyFill="1" applyBorder="1"/>
    <xf numFmtId="0" fontId="13" fillId="5" borderId="8" xfId="0" applyFont="1" applyFill="1" applyBorder="1" applyAlignment="1">
      <alignment horizontal="center"/>
    </xf>
    <xf numFmtId="0" fontId="13" fillId="5" borderId="9" xfId="0" applyFont="1" applyFill="1" applyBorder="1"/>
    <xf numFmtId="164" fontId="14" fillId="0" borderId="0" xfId="0" applyNumberFormat="1" applyFont="1"/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right"/>
    </xf>
    <xf numFmtId="164" fontId="14" fillId="0" borderId="2" xfId="1" applyNumberFormat="1" applyFont="1" applyBorder="1"/>
    <xf numFmtId="164" fontId="14" fillId="0" borderId="2" xfId="0" applyNumberFormat="1" applyFont="1" applyBorder="1"/>
    <xf numFmtId="164" fontId="14" fillId="0" borderId="3" xfId="0" applyNumberFormat="1" applyFont="1" applyBorder="1"/>
    <xf numFmtId="164" fontId="5" fillId="2" borderId="5" xfId="0" applyNumberFormat="1" applyFont="1" applyFill="1" applyBorder="1" applyAlignment="1" applyProtection="1">
      <alignment horizontal="right"/>
      <protection locked="0"/>
    </xf>
    <xf numFmtId="43" fontId="14" fillId="0" borderId="0" xfId="1" applyFont="1" applyBorder="1"/>
    <xf numFmtId="0" fontId="13" fillId="0" borderId="0" xfId="0" applyFont="1"/>
    <xf numFmtId="0" fontId="0" fillId="4" borderId="0" xfId="0" applyFill="1"/>
    <xf numFmtId="0" fontId="3" fillId="4" borderId="0" xfId="0" applyFont="1" applyFill="1" applyBorder="1" applyProtection="1">
      <protection locked="0"/>
    </xf>
    <xf numFmtId="0" fontId="4" fillId="4" borderId="0" xfId="0" applyFont="1" applyFill="1" applyBorder="1" applyProtection="1">
      <protection locked="0"/>
    </xf>
    <xf numFmtId="0" fontId="6" fillId="4" borderId="0" xfId="0" applyFont="1" applyFill="1" applyBorder="1" applyProtection="1">
      <protection locked="0"/>
    </xf>
    <xf numFmtId="0" fontId="7" fillId="4" borderId="0" xfId="0" applyFont="1" applyFill="1" applyBorder="1" applyProtection="1">
      <protection locked="0"/>
    </xf>
    <xf numFmtId="0" fontId="5" fillId="4" borderId="0" xfId="0" applyFont="1" applyFill="1" applyBorder="1" applyProtection="1">
      <protection locked="0"/>
    </xf>
    <xf numFmtId="164" fontId="2" fillId="4" borderId="4" xfId="0" applyNumberFormat="1" applyFont="1" applyFill="1" applyBorder="1" applyAlignment="1" applyProtection="1">
      <alignment horizontal="right"/>
      <protection locked="0"/>
    </xf>
    <xf numFmtId="3" fontId="2" fillId="4" borderId="4" xfId="0" applyNumberFormat="1" applyFont="1" applyFill="1" applyBorder="1" applyAlignment="1" applyProtection="1">
      <alignment horizontal="right"/>
      <protection locked="0"/>
    </xf>
    <xf numFmtId="9" fontId="2" fillId="4" borderId="4" xfId="2" applyFont="1" applyFill="1" applyBorder="1" applyAlignment="1" applyProtection="1">
      <alignment horizontal="right"/>
      <protection locked="0"/>
    </xf>
    <xf numFmtId="3" fontId="5" fillId="4" borderId="0" xfId="0" applyNumberFormat="1" applyFont="1" applyFill="1" applyBorder="1" applyAlignment="1"/>
    <xf numFmtId="0" fontId="2" fillId="4" borderId="0" xfId="0" applyNumberFormat="1" applyFont="1" applyFill="1" applyBorder="1" applyAlignment="1" applyProtection="1">
      <alignment horizontal="right"/>
      <protection locked="0"/>
    </xf>
    <xf numFmtId="0" fontId="2" fillId="4" borderId="4" xfId="0" applyNumberFormat="1" applyFont="1" applyFill="1" applyBorder="1" applyAlignment="1" applyProtection="1">
      <alignment horizontal="right"/>
      <protection locked="0"/>
    </xf>
    <xf numFmtId="164" fontId="5" fillId="4" borderId="0" xfId="0" applyNumberFormat="1" applyFont="1" applyFill="1" applyBorder="1" applyAlignment="1" applyProtection="1">
      <alignment horizontal="right"/>
      <protection locked="0"/>
    </xf>
    <xf numFmtId="0" fontId="5" fillId="4" borderId="0" xfId="0" applyNumberFormat="1" applyFont="1" applyFill="1" applyBorder="1" applyAlignment="1" applyProtection="1">
      <alignment horizontal="right"/>
      <protection locked="0"/>
    </xf>
    <xf numFmtId="3" fontId="5" fillId="4" borderId="5" xfId="0" applyNumberFormat="1" applyFont="1" applyFill="1" applyBorder="1" applyAlignment="1"/>
    <xf numFmtId="164" fontId="5" fillId="4" borderId="5" xfId="0" applyNumberFormat="1" applyFont="1" applyFill="1" applyBorder="1" applyAlignment="1" applyProtection="1">
      <alignment horizontal="right"/>
      <protection locked="0"/>
    </xf>
    <xf numFmtId="3" fontId="2" fillId="4" borderId="5" xfId="0" applyNumberFormat="1" applyFont="1" applyFill="1" applyBorder="1" applyAlignment="1" applyProtection="1">
      <alignment horizontal="right"/>
      <protection locked="0"/>
    </xf>
    <xf numFmtId="3" fontId="5" fillId="4" borderId="6" xfId="0" applyNumberFormat="1" applyFont="1" applyFill="1" applyBorder="1" applyAlignment="1"/>
    <xf numFmtId="164" fontId="5" fillId="4" borderId="6" xfId="0" applyNumberFormat="1" applyFont="1" applyFill="1" applyBorder="1" applyAlignment="1" applyProtection="1">
      <alignment horizontal="right"/>
      <protection locked="0"/>
    </xf>
    <xf numFmtId="3" fontId="2" fillId="4" borderId="6" xfId="0" applyNumberFormat="1" applyFont="1" applyFill="1" applyBorder="1" applyAlignment="1" applyProtection="1">
      <alignment horizontal="right"/>
      <protection locked="0"/>
    </xf>
    <xf numFmtId="165" fontId="14" fillId="4" borderId="4" xfId="1" applyNumberFormat="1" applyFont="1" applyFill="1" applyBorder="1"/>
    <xf numFmtId="164" fontId="14" fillId="4" borderId="4" xfId="0" applyNumberFormat="1" applyFont="1" applyFill="1" applyBorder="1"/>
    <xf numFmtId="0" fontId="13" fillId="6" borderId="4" xfId="0" applyFont="1" applyFill="1" applyBorder="1"/>
    <xf numFmtId="43" fontId="14" fillId="0" borderId="0" xfId="0" applyNumberFormat="1" applyFont="1"/>
    <xf numFmtId="15" fontId="14" fillId="0" borderId="0" xfId="0" applyNumberFormat="1" applyFont="1" applyFill="1" applyAlignment="1">
      <alignment horizontal="center"/>
    </xf>
    <xf numFmtId="15" fontId="14" fillId="0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selection activeCell="B10" sqref="B10"/>
    </sheetView>
  </sheetViews>
  <sheetFormatPr defaultColWidth="9.140625" defaultRowHeight="13.5" x14ac:dyDescent="0.25"/>
  <cols>
    <col min="1" max="1" width="21.42578125" style="26" bestFit="1" customWidth="1"/>
    <col min="2" max="2" width="17.7109375" style="26" customWidth="1"/>
    <col min="3" max="3" width="17.42578125" style="26" customWidth="1"/>
    <col min="4" max="4" width="24.5703125" style="26" bestFit="1" customWidth="1"/>
    <col min="5" max="5" width="9.140625" style="26"/>
    <col min="6" max="6" width="9.28515625" style="26" bestFit="1" customWidth="1"/>
    <col min="7" max="7" width="17.5703125" style="26" customWidth="1"/>
    <col min="8" max="8" width="14" style="26" customWidth="1"/>
    <col min="9" max="9" width="15.7109375" style="26" customWidth="1"/>
    <col min="10" max="10" width="23.5703125" style="26" customWidth="1"/>
    <col min="11" max="16384" width="9.140625" style="26"/>
  </cols>
  <sheetData>
    <row r="1" spans="1:10" ht="15" x14ac:dyDescent="0.3">
      <c r="A1" s="48" t="s">
        <v>17</v>
      </c>
      <c r="B1" s="107" t="s">
        <v>67</v>
      </c>
      <c r="G1" s="26" t="s">
        <v>61</v>
      </c>
    </row>
    <row r="2" spans="1:10" x14ac:dyDescent="0.25">
      <c r="A2" s="48" t="s">
        <v>18</v>
      </c>
      <c r="B2" s="26" t="s">
        <v>47</v>
      </c>
      <c r="G2" s="26" t="s">
        <v>66</v>
      </c>
    </row>
    <row r="3" spans="1:10" x14ac:dyDescent="0.25">
      <c r="A3" s="48" t="s">
        <v>69</v>
      </c>
      <c r="B3" s="26" t="s">
        <v>45</v>
      </c>
    </row>
    <row r="4" spans="1:10" x14ac:dyDescent="0.25">
      <c r="A4" s="48" t="s">
        <v>68</v>
      </c>
      <c r="B4" s="26" t="s">
        <v>70</v>
      </c>
    </row>
    <row r="6" spans="1:10" ht="14.25" thickBot="1" x14ac:dyDescent="0.3"/>
    <row r="7" spans="1:10" ht="15.75" thickBot="1" x14ac:dyDescent="0.35">
      <c r="A7" s="96" t="s">
        <v>19</v>
      </c>
      <c r="B7" s="97" t="s">
        <v>20</v>
      </c>
      <c r="C7" s="97" t="s">
        <v>21</v>
      </c>
      <c r="D7" s="98" t="s">
        <v>22</v>
      </c>
      <c r="G7" s="96" t="s">
        <v>62</v>
      </c>
      <c r="H7" s="97" t="s">
        <v>63</v>
      </c>
      <c r="I7" s="97" t="s">
        <v>64</v>
      </c>
      <c r="J7" s="98" t="s">
        <v>65</v>
      </c>
    </row>
    <row r="8" spans="1:10" x14ac:dyDescent="0.25">
      <c r="A8" s="85">
        <v>1</v>
      </c>
      <c r="B8" s="132">
        <v>41827</v>
      </c>
      <c r="C8" s="87">
        <v>10120161</v>
      </c>
      <c r="D8" s="88">
        <f>C8</f>
        <v>10120161</v>
      </c>
      <c r="F8" s="49"/>
      <c r="G8" s="55">
        <v>1</v>
      </c>
      <c r="H8" s="49">
        <v>41826</v>
      </c>
      <c r="I8" s="87">
        <v>16866936</v>
      </c>
      <c r="J8" s="88">
        <f>I8</f>
        <v>16866936</v>
      </c>
    </row>
    <row r="9" spans="1:10" x14ac:dyDescent="0.25">
      <c r="A9" s="85">
        <v>2</v>
      </c>
      <c r="B9" s="86">
        <v>41921</v>
      </c>
      <c r="C9" s="87">
        <v>5028348</v>
      </c>
      <c r="D9" s="88">
        <f>C9+D8</f>
        <v>15148509</v>
      </c>
      <c r="F9" s="49"/>
      <c r="G9" s="55">
        <v>2</v>
      </c>
      <c r="H9" s="133">
        <v>41921</v>
      </c>
      <c r="I9" s="87">
        <v>3017009</v>
      </c>
      <c r="J9" s="88">
        <f>J8+I9</f>
        <v>19883945</v>
      </c>
    </row>
    <row r="10" spans="1:10" x14ac:dyDescent="0.25">
      <c r="A10" s="85">
        <v>3</v>
      </c>
      <c r="B10" s="132">
        <v>41980</v>
      </c>
      <c r="C10" s="87">
        <v>2190418</v>
      </c>
      <c r="D10" s="88">
        <f>C10+D9</f>
        <v>17338927</v>
      </c>
      <c r="G10" s="55">
        <v>3</v>
      </c>
      <c r="H10" s="49">
        <v>41984</v>
      </c>
      <c r="I10" s="87">
        <v>12800265</v>
      </c>
      <c r="J10" s="88">
        <f>J9+I10</f>
        <v>32684210</v>
      </c>
    </row>
    <row r="11" spans="1:10" x14ac:dyDescent="0.25">
      <c r="B11" s="49"/>
      <c r="C11" s="34"/>
      <c r="D11" s="50"/>
      <c r="G11" s="49"/>
      <c r="J11" s="50"/>
    </row>
    <row r="12" spans="1:10" x14ac:dyDescent="0.25">
      <c r="B12" s="49"/>
      <c r="C12" s="34"/>
      <c r="D12" s="50"/>
      <c r="G12" s="49"/>
    </row>
    <row r="13" spans="1:10" x14ac:dyDescent="0.25">
      <c r="B13" s="49"/>
      <c r="C13" s="34"/>
      <c r="D13" s="50"/>
      <c r="G13" s="49"/>
    </row>
    <row r="14" spans="1:10" x14ac:dyDescent="0.25">
      <c r="B14" s="49"/>
      <c r="C14" s="34"/>
      <c r="D14" s="50"/>
      <c r="G14" s="49"/>
    </row>
    <row r="15" spans="1:10" x14ac:dyDescent="0.25">
      <c r="B15" s="49"/>
      <c r="C15" s="34"/>
      <c r="D15" s="50"/>
      <c r="G15" s="49"/>
    </row>
    <row r="16" spans="1:10" x14ac:dyDescent="0.25">
      <c r="B16" s="49"/>
      <c r="C16" s="34"/>
      <c r="D16" s="50"/>
      <c r="E16" s="26" t="s">
        <v>44</v>
      </c>
      <c r="G16" s="49"/>
    </row>
    <row r="17" spans="7:7" x14ac:dyDescent="0.25">
      <c r="G17" s="49"/>
    </row>
    <row r="18" spans="7:7" x14ac:dyDescent="0.25">
      <c r="G18" s="49"/>
    </row>
    <row r="19" spans="7:7" x14ac:dyDescent="0.25">
      <c r="G19" s="49"/>
    </row>
    <row r="20" spans="7:7" x14ac:dyDescent="0.25">
      <c r="G20" s="49"/>
    </row>
    <row r="21" spans="7:7" x14ac:dyDescent="0.25">
      <c r="G21" s="49"/>
    </row>
    <row r="22" spans="7:7" x14ac:dyDescent="0.25">
      <c r="G22" s="4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35"/>
  <sheetViews>
    <sheetView showGridLines="0" tabSelected="1" workbookViewId="0">
      <pane xSplit="1" topLeftCell="AH1" activePane="topRight" state="frozen"/>
      <selection pane="topRight" activeCell="AM25" sqref="AM25"/>
    </sheetView>
  </sheetViews>
  <sheetFormatPr defaultColWidth="9.140625" defaultRowHeight="13.5" x14ac:dyDescent="0.25"/>
  <cols>
    <col min="1" max="1" width="30.140625" style="41" bestFit="1" customWidth="1"/>
    <col min="2" max="2" width="14.5703125" style="26" bestFit="1" customWidth="1"/>
    <col min="3" max="29" width="15.5703125" style="26" bestFit="1" customWidth="1"/>
    <col min="30" max="35" width="15.5703125" style="26" customWidth="1"/>
    <col min="36" max="37" width="15.5703125" style="26" bestFit="1" customWidth="1"/>
    <col min="38" max="39" width="15.5703125" style="26" customWidth="1"/>
    <col min="40" max="40" width="15.5703125" style="26" bestFit="1" customWidth="1"/>
    <col min="41" max="47" width="15.5703125" style="26" customWidth="1"/>
    <col min="48" max="49" width="15.5703125" style="26" bestFit="1" customWidth="1"/>
    <col min="50" max="51" width="15.5703125" style="26" customWidth="1"/>
    <col min="52" max="107" width="17.28515625" style="26" bestFit="1" customWidth="1"/>
    <col min="108" max="111" width="17.28515625" style="26" customWidth="1"/>
    <col min="112" max="113" width="17.28515625" style="26" bestFit="1" customWidth="1"/>
    <col min="114" max="115" width="17.28515625" style="26" customWidth="1"/>
    <col min="116" max="116" width="17.28515625" style="26" bestFit="1" customWidth="1"/>
    <col min="117" max="123" width="17.28515625" style="26" customWidth="1"/>
    <col min="124" max="125" width="17.28515625" style="26" bestFit="1" customWidth="1"/>
    <col min="126" max="127" width="17.28515625" style="26" customWidth="1"/>
    <col min="128" max="128" width="17.28515625" style="26" bestFit="1" customWidth="1"/>
    <col min="129" max="135" width="17.28515625" style="26" customWidth="1"/>
    <col min="136" max="137" width="17.28515625" style="26" bestFit="1" customWidth="1"/>
    <col min="138" max="139" width="17.28515625" style="26" customWidth="1"/>
    <col min="140" max="140" width="17.28515625" style="26" bestFit="1" customWidth="1"/>
    <col min="141" max="141" width="9.140625" style="26"/>
    <col min="142" max="142" width="4.7109375" style="26" bestFit="1" customWidth="1"/>
    <col min="143" max="16384" width="9.140625" style="26"/>
  </cols>
  <sheetData>
    <row r="1" spans="1:123" ht="15" x14ac:dyDescent="0.3">
      <c r="B1" s="32">
        <f>Accrual_Hydron!B23</f>
        <v>41791</v>
      </c>
      <c r="C1" s="32">
        <f>Accrual_Hydron!C23</f>
        <v>41821</v>
      </c>
      <c r="D1" s="32">
        <f>Accrual_Hydron!D23</f>
        <v>41852</v>
      </c>
      <c r="E1" s="32">
        <f>Accrual_Hydron!E23</f>
        <v>41883</v>
      </c>
      <c r="F1" s="32">
        <f>Accrual_Hydron!F23</f>
        <v>41913</v>
      </c>
      <c r="G1" s="32">
        <f>Accrual_Hydron!G23</f>
        <v>41944</v>
      </c>
      <c r="H1" s="32">
        <f>Accrual_Hydron!H23</f>
        <v>41974</v>
      </c>
      <c r="I1" s="32">
        <f>Accrual_Hydron!I23</f>
        <v>42005</v>
      </c>
      <c r="J1" s="32">
        <f>Accrual_Hydron!J23</f>
        <v>42036</v>
      </c>
      <c r="K1" s="32">
        <f>Accrual_Hydron!K23</f>
        <v>42064</v>
      </c>
      <c r="L1" s="32">
        <f>Accrual_Hydron!L23</f>
        <v>42095</v>
      </c>
      <c r="M1" s="32">
        <f>Accrual_Hydron!M23</f>
        <v>42125</v>
      </c>
      <c r="N1" s="32">
        <f>Accrual_Hydron!N23</f>
        <v>42156</v>
      </c>
      <c r="O1" s="32">
        <f>Accrual_Hydron!O23</f>
        <v>42186</v>
      </c>
      <c r="P1" s="32">
        <f>Accrual_Hydron!P23</f>
        <v>42217</v>
      </c>
      <c r="Q1" s="32">
        <f>Accrual_Hydron!Q23</f>
        <v>42248</v>
      </c>
      <c r="R1" s="32">
        <f>Accrual_Hydron!R23</f>
        <v>42278</v>
      </c>
      <c r="S1" s="32">
        <f>Accrual_Hydron!S23</f>
        <v>42309</v>
      </c>
      <c r="T1" s="32">
        <f>Accrual_Hydron!T23</f>
        <v>42339</v>
      </c>
      <c r="U1" s="32">
        <f>Accrual_Hydron!U23</f>
        <v>42370</v>
      </c>
      <c r="V1" s="32">
        <f>Accrual_Hydron!V23</f>
        <v>42401</v>
      </c>
      <c r="W1" s="32">
        <f>Accrual_Hydron!W23</f>
        <v>42430</v>
      </c>
      <c r="X1" s="32">
        <f>Accrual_Hydron!X23</f>
        <v>42461</v>
      </c>
      <c r="Y1" s="32">
        <f>Accrual_Hydron!Y23</f>
        <v>42491</v>
      </c>
      <c r="Z1" s="32">
        <f>Accrual_Hydron!Z23</f>
        <v>42522</v>
      </c>
      <c r="AA1" s="32">
        <f>Accrual_Hydron!AA23</f>
        <v>42552</v>
      </c>
      <c r="AB1" s="32">
        <f>Accrual_Hydron!AB23</f>
        <v>42583</v>
      </c>
      <c r="AC1" s="32">
        <f>Accrual_Hydron!AC23</f>
        <v>42614</v>
      </c>
      <c r="AD1" s="32">
        <f>Accrual_Hydron!AD23</f>
        <v>42644</v>
      </c>
      <c r="AE1" s="32">
        <f>Accrual_Hydron!AE23</f>
        <v>42675</v>
      </c>
      <c r="AF1" s="32">
        <f>Accrual_Hydron!AF23</f>
        <v>42705</v>
      </c>
      <c r="AG1" s="32">
        <f>Accrual_Hydron!AG23</f>
        <v>42736</v>
      </c>
      <c r="AH1" s="32">
        <f>Accrual_Hydron!AH23</f>
        <v>42767</v>
      </c>
      <c r="AI1" s="32">
        <f>Accrual_Hydron!AI23</f>
        <v>42795</v>
      </c>
      <c r="AJ1" s="32">
        <f>Accrual_Hydron!AJ23</f>
        <v>42826</v>
      </c>
      <c r="AK1" s="32">
        <f>Accrual_Hydron!AK23</f>
        <v>42856</v>
      </c>
      <c r="AL1" s="32">
        <f>Accrual_Hydron!AL23</f>
        <v>42887</v>
      </c>
      <c r="AM1" s="32">
        <f>Accrual_Hydron!AM23</f>
        <v>42917</v>
      </c>
      <c r="AN1" s="32">
        <f>Accrual_Hydron!AN23</f>
        <v>42948</v>
      </c>
      <c r="AO1" s="32">
        <f>Accrual_Hydron!AO23</f>
        <v>42979</v>
      </c>
      <c r="AP1" s="32">
        <f>Accrual_Hydron!AP23</f>
        <v>43009</v>
      </c>
      <c r="AQ1" s="32">
        <f>Accrual_Hydron!AQ23</f>
        <v>43040</v>
      </c>
      <c r="AR1" s="32">
        <f>Accrual_Hydron!AR23</f>
        <v>43070</v>
      </c>
      <c r="AS1" s="32">
        <f>Accrual_Hydron!AS23</f>
        <v>43101</v>
      </c>
      <c r="AT1" s="32">
        <f>Accrual_Hydron!AT23</f>
        <v>43132</v>
      </c>
      <c r="AU1" s="32">
        <f>Accrual_Hydron!AU23</f>
        <v>43160</v>
      </c>
      <c r="AV1" s="32">
        <f>Accrual_Hydron!AV23</f>
        <v>43191</v>
      </c>
      <c r="AW1" s="32">
        <f>Accrual_Hydron!AW23</f>
        <v>43221</v>
      </c>
      <c r="AX1" s="32">
        <f>Accrual_Hydron!AX23</f>
        <v>43252</v>
      </c>
      <c r="AY1" s="32">
        <f>Accrual_Hydron!AY23</f>
        <v>43282</v>
      </c>
      <c r="AZ1" s="32">
        <f>Accrual_Hydron!AZ23</f>
        <v>43313</v>
      </c>
      <c r="BA1" s="32">
        <f>Accrual_Hydron!BA23</f>
        <v>43344</v>
      </c>
      <c r="BB1" s="32">
        <f>Accrual_Hydron!BB23</f>
        <v>43374</v>
      </c>
      <c r="BC1" s="32">
        <f>Accrual_Hydron!BC23</f>
        <v>43405</v>
      </c>
      <c r="BD1" s="32">
        <f>Accrual_Hydron!BD23</f>
        <v>43435</v>
      </c>
      <c r="BE1" s="32">
        <f>Accrual_Hydron!BE23</f>
        <v>43466</v>
      </c>
      <c r="BF1" s="32">
        <f>Accrual_Hydron!BF23</f>
        <v>43497</v>
      </c>
      <c r="BG1" s="32">
        <f>Accrual_Hydron!BG23</f>
        <v>43525</v>
      </c>
      <c r="BH1" s="32">
        <f>Accrual_Hydron!BH23</f>
        <v>43556</v>
      </c>
      <c r="BI1" s="32">
        <f>Accrual_Hydron!BI23</f>
        <v>43586</v>
      </c>
      <c r="BJ1" s="32">
        <f>Accrual_Hydron!BJ23</f>
        <v>43617</v>
      </c>
      <c r="BK1" s="32">
        <f>Accrual_Hydron!BK23</f>
        <v>43647</v>
      </c>
      <c r="BL1" s="32">
        <f>Accrual_Hydron!BL23</f>
        <v>43678</v>
      </c>
      <c r="BM1" s="32">
        <f>Accrual_Hydron!BM23</f>
        <v>43709</v>
      </c>
      <c r="BN1" s="32">
        <f>Accrual_Hydron!BN23</f>
        <v>43739</v>
      </c>
      <c r="BO1" s="32">
        <f>Accrual_Hydron!BO23</f>
        <v>43770</v>
      </c>
      <c r="BP1" s="32">
        <f>Accrual_Hydron!BP23</f>
        <v>43800</v>
      </c>
      <c r="BQ1" s="32">
        <f>Accrual_Hydron!BQ23</f>
        <v>43831</v>
      </c>
      <c r="BR1" s="32">
        <f>Accrual_Hydron!BR23</f>
        <v>43862</v>
      </c>
      <c r="BS1" s="32">
        <f>Accrual_Hydron!BS23</f>
        <v>43891</v>
      </c>
      <c r="BT1" s="32">
        <f>Accrual_Hydron!BT23</f>
        <v>43922</v>
      </c>
      <c r="BU1" s="32">
        <f>Accrual_Hydron!BU23</f>
        <v>43952</v>
      </c>
      <c r="BV1" s="32">
        <f>Accrual_Hydron!BV23</f>
        <v>43983</v>
      </c>
      <c r="BW1" s="32">
        <f>Accrual_Hydron!BW23</f>
        <v>44013</v>
      </c>
      <c r="BX1" s="32">
        <f>Accrual_Hydron!BX23</f>
        <v>44044</v>
      </c>
      <c r="BY1" s="32">
        <f>Accrual_Hydron!BY23</f>
        <v>44075</v>
      </c>
      <c r="BZ1" s="32">
        <f>Accrual_Hydron!BZ23</f>
        <v>44105</v>
      </c>
      <c r="CA1" s="32">
        <f>Accrual_Hydron!CA23</f>
        <v>44136</v>
      </c>
      <c r="CB1" s="32">
        <f>Accrual_Hydron!CB23</f>
        <v>44166</v>
      </c>
      <c r="CC1" s="32">
        <f>Accrual_Hydron!CC23</f>
        <v>44197</v>
      </c>
      <c r="CD1" s="32">
        <f>Accrual_Hydron!CD23</f>
        <v>44228</v>
      </c>
      <c r="CE1" s="32">
        <f>Accrual_Hydron!CE23</f>
        <v>44256</v>
      </c>
      <c r="CF1" s="32">
        <f>Accrual_Hydron!CF23</f>
        <v>44287</v>
      </c>
      <c r="CG1" s="32">
        <f>Accrual_Hydron!CG23</f>
        <v>44317</v>
      </c>
      <c r="CH1" s="32">
        <f>Accrual_Hydron!CH23</f>
        <v>44348</v>
      </c>
      <c r="CI1" s="32">
        <f>Accrual_Hydron!CI23</f>
        <v>44378</v>
      </c>
      <c r="CJ1" s="32">
        <f>Accrual_Hydron!CJ23</f>
        <v>44409</v>
      </c>
      <c r="CK1" s="32">
        <f>Accrual_Hydron!CK23</f>
        <v>44440</v>
      </c>
      <c r="CL1" s="32">
        <f>Accrual_Hydron!CL23</f>
        <v>44470</v>
      </c>
      <c r="CM1" s="32">
        <f>Accrual_Hydron!CM23</f>
        <v>44501</v>
      </c>
      <c r="CN1" s="32">
        <f>Accrual_Hydron!CN23</f>
        <v>44531</v>
      </c>
      <c r="CO1" s="32">
        <f>Accrual_Hydron!CO23</f>
        <v>44562</v>
      </c>
      <c r="CP1" s="32">
        <f>Accrual_Hydron!CP23</f>
        <v>44593</v>
      </c>
      <c r="CQ1" s="32">
        <f>Accrual_Hydron!CQ23</f>
        <v>44621</v>
      </c>
      <c r="CR1" s="32">
        <f>Accrual_Hydron!CR23</f>
        <v>44652</v>
      </c>
      <c r="CS1" s="32">
        <f>Accrual_Hydron!CS23</f>
        <v>44682</v>
      </c>
      <c r="CT1" s="32">
        <f>Accrual_Hydron!CT23</f>
        <v>44713</v>
      </c>
      <c r="CU1" s="32">
        <f>Accrual_Hydron!CU23</f>
        <v>44743</v>
      </c>
      <c r="CV1" s="32">
        <f>Accrual_Hydron!CV23</f>
        <v>44774</v>
      </c>
      <c r="CW1" s="32">
        <f>Accrual_Hydron!CW23</f>
        <v>44805</v>
      </c>
      <c r="CX1" s="32">
        <f>Accrual_Hydron!CX23</f>
        <v>44835</v>
      </c>
      <c r="CY1" s="32">
        <f>Accrual_Hydron!CY23</f>
        <v>44866</v>
      </c>
      <c r="CZ1" s="32">
        <f>Accrual_Hydron!CZ23</f>
        <v>44896</v>
      </c>
      <c r="DA1" s="32">
        <f>Accrual_Hydron!DA23</f>
        <v>44927</v>
      </c>
      <c r="DB1" s="32">
        <f>Accrual_Hydron!DB23</f>
        <v>44958</v>
      </c>
      <c r="DC1" s="32">
        <f>Accrual_Hydron!DC23</f>
        <v>44986</v>
      </c>
      <c r="DD1" s="32">
        <f>Accrual_Hydron!DD23</f>
        <v>45017</v>
      </c>
      <c r="DE1" s="32">
        <f>Accrual_Hydron!DE23</f>
        <v>45047</v>
      </c>
      <c r="DF1" s="32">
        <f>Accrual_Hydron!DF23</f>
        <v>45078</v>
      </c>
      <c r="DG1" s="32">
        <f>Accrual_Hydron!DG23</f>
        <v>45108</v>
      </c>
      <c r="DH1" s="32">
        <f>Accrual_Hydron!DH23</f>
        <v>45139</v>
      </c>
      <c r="DI1" s="32">
        <f>Accrual_Hydron!DI23</f>
        <v>45170</v>
      </c>
      <c r="DJ1" s="32">
        <f>Accrual_Hydron!DJ23</f>
        <v>45200</v>
      </c>
      <c r="DK1" s="32">
        <f>Accrual_Hydron!DK23</f>
        <v>45231</v>
      </c>
      <c r="DL1" s="32">
        <f>Accrual_Hydron!DL23</f>
        <v>45261</v>
      </c>
      <c r="DM1" s="32">
        <f>Accrual_Hydron!DM23</f>
        <v>45292</v>
      </c>
      <c r="DN1" s="32">
        <f>Accrual_Hydron!DN23</f>
        <v>45323</v>
      </c>
      <c r="DO1" s="32">
        <f>Accrual_Hydron!DO23</f>
        <v>45352</v>
      </c>
      <c r="DP1" s="32">
        <f>Accrual_Hydron!DP23</f>
        <v>45383</v>
      </c>
      <c r="DQ1" s="32">
        <f>Accrual_Hydron!DQ23</f>
        <v>45413</v>
      </c>
      <c r="DR1" s="32">
        <f>Accrual_Hydron!DR23</f>
        <v>45444</v>
      </c>
      <c r="DS1" s="32">
        <f>Accrual_Hydron!DS23</f>
        <v>45474</v>
      </c>
    </row>
    <row r="2" spans="1:123" ht="15" x14ac:dyDescent="0.3">
      <c r="A2" s="42" t="s">
        <v>23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</row>
    <row r="3" spans="1:123" x14ac:dyDescent="0.25">
      <c r="A3" s="43" t="s">
        <v>24</v>
      </c>
      <c r="B3" s="34">
        <f>Accrual_Hydron!B24</f>
        <v>0</v>
      </c>
      <c r="C3" s="34">
        <f>Accrual_Hydron!C24</f>
        <v>0</v>
      </c>
      <c r="D3" s="34">
        <f>Accrual_Hydron!D24</f>
        <v>10120161</v>
      </c>
      <c r="E3" s="34">
        <f>Accrual_Hydron!E24</f>
        <v>10120161</v>
      </c>
      <c r="F3" s="34">
        <f>Accrual_Hydron!F24</f>
        <v>10120161</v>
      </c>
      <c r="G3" s="34">
        <f>Accrual_Hydron!G24</f>
        <v>15148509</v>
      </c>
      <c r="H3" s="34">
        <f>Accrual_Hydron!H24</f>
        <v>15148509</v>
      </c>
      <c r="I3" s="34">
        <f>Accrual_Hydron!I24</f>
        <v>17338927</v>
      </c>
      <c r="J3" s="34">
        <f>Accrual_Hydron!J24</f>
        <v>17338927</v>
      </c>
      <c r="K3" s="34">
        <f>Accrual_Hydron!K24</f>
        <v>17338927</v>
      </c>
      <c r="L3" s="34">
        <f>Accrual_Hydron!L24</f>
        <v>17338927</v>
      </c>
      <c r="M3" s="34">
        <f>Accrual_Hydron!M24</f>
        <v>17338927</v>
      </c>
      <c r="N3" s="34">
        <f>Accrual_Hydron!N24</f>
        <v>17338927</v>
      </c>
      <c r="O3" s="34">
        <f>Accrual_Hydron!O24</f>
        <v>17338927</v>
      </c>
      <c r="P3" s="34">
        <f>Accrual_Hydron!P24</f>
        <v>17338927</v>
      </c>
      <c r="Q3" s="34">
        <f>Accrual_Hydron!Q24</f>
        <v>17338927</v>
      </c>
      <c r="R3" s="34">
        <f>Accrual_Hydron!R24</f>
        <v>17338927</v>
      </c>
      <c r="S3" s="34">
        <f>Accrual_Hydron!S24</f>
        <v>17338927</v>
      </c>
      <c r="T3" s="34">
        <f>Accrual_Hydron!T24</f>
        <v>17338927</v>
      </c>
      <c r="U3" s="34">
        <f>Accrual_Hydron!U24</f>
        <v>17338927</v>
      </c>
      <c r="V3" s="34">
        <f>Accrual_Hydron!V24</f>
        <v>17338927</v>
      </c>
      <c r="W3" s="34">
        <f>Accrual_Hydron!W24</f>
        <v>17338927</v>
      </c>
      <c r="X3" s="34">
        <f>Accrual_Hydron!X24</f>
        <v>17338927</v>
      </c>
      <c r="Y3" s="34">
        <f>Accrual_Hydron!Y24</f>
        <v>17338927</v>
      </c>
      <c r="Z3" s="34">
        <f>Accrual_Hydron!Z24</f>
        <v>17338927</v>
      </c>
      <c r="AA3" s="34">
        <f>Accrual_Hydron!AA24</f>
        <v>17338927</v>
      </c>
      <c r="AB3" s="34">
        <f>Accrual_Hydron!AB24</f>
        <v>17338927</v>
      </c>
      <c r="AC3" s="34">
        <f>Accrual_Hydron!AC24</f>
        <v>17338927</v>
      </c>
      <c r="AD3" s="34">
        <f>Accrual_Hydron!AD24</f>
        <v>17338927</v>
      </c>
      <c r="AE3" s="34">
        <f>AD3</f>
        <v>17338927</v>
      </c>
      <c r="AF3" s="34">
        <f t="shared" ref="AF3:BT3" si="0">AE3</f>
        <v>17338927</v>
      </c>
      <c r="AG3" s="34">
        <f t="shared" si="0"/>
        <v>17338927</v>
      </c>
      <c r="AH3" s="34">
        <f t="shared" si="0"/>
        <v>17338927</v>
      </c>
      <c r="AI3" s="34">
        <f t="shared" si="0"/>
        <v>17338927</v>
      </c>
      <c r="AJ3" s="34">
        <f t="shared" si="0"/>
        <v>17338927</v>
      </c>
      <c r="AK3" s="34">
        <f t="shared" si="0"/>
        <v>17338927</v>
      </c>
      <c r="AL3" s="34">
        <f t="shared" si="0"/>
        <v>17338927</v>
      </c>
      <c r="AM3" s="34">
        <f t="shared" si="0"/>
        <v>17338927</v>
      </c>
      <c r="AN3" s="34">
        <f t="shared" si="0"/>
        <v>17338927</v>
      </c>
      <c r="AO3" s="34">
        <f t="shared" si="0"/>
        <v>17338927</v>
      </c>
      <c r="AP3" s="34">
        <f t="shared" si="0"/>
        <v>17338927</v>
      </c>
      <c r="AQ3" s="34">
        <f t="shared" si="0"/>
        <v>17338927</v>
      </c>
      <c r="AR3" s="34">
        <f t="shared" si="0"/>
        <v>17338927</v>
      </c>
      <c r="AS3" s="34">
        <f t="shared" si="0"/>
        <v>17338927</v>
      </c>
      <c r="AT3" s="34">
        <f t="shared" si="0"/>
        <v>17338927</v>
      </c>
      <c r="AU3" s="34">
        <f t="shared" si="0"/>
        <v>17338927</v>
      </c>
      <c r="AV3" s="34">
        <f t="shared" si="0"/>
        <v>17338927</v>
      </c>
      <c r="AW3" s="34">
        <f t="shared" si="0"/>
        <v>17338927</v>
      </c>
      <c r="AX3" s="34">
        <f t="shared" si="0"/>
        <v>17338927</v>
      </c>
      <c r="AY3" s="34">
        <f t="shared" si="0"/>
        <v>17338927</v>
      </c>
      <c r="AZ3" s="34">
        <f t="shared" si="0"/>
        <v>17338927</v>
      </c>
      <c r="BA3" s="34">
        <f t="shared" si="0"/>
        <v>17338927</v>
      </c>
      <c r="BB3" s="34">
        <f t="shared" si="0"/>
        <v>17338927</v>
      </c>
      <c r="BC3" s="34">
        <f t="shared" si="0"/>
        <v>17338927</v>
      </c>
      <c r="BD3" s="34">
        <f t="shared" si="0"/>
        <v>17338927</v>
      </c>
      <c r="BE3" s="34">
        <f t="shared" si="0"/>
        <v>17338927</v>
      </c>
      <c r="BF3" s="34">
        <f t="shared" si="0"/>
        <v>17338927</v>
      </c>
      <c r="BG3" s="34">
        <f t="shared" si="0"/>
        <v>17338927</v>
      </c>
      <c r="BH3" s="34">
        <f t="shared" si="0"/>
        <v>17338927</v>
      </c>
      <c r="BI3" s="34">
        <f t="shared" si="0"/>
        <v>17338927</v>
      </c>
      <c r="BJ3" s="34">
        <f t="shared" si="0"/>
        <v>17338927</v>
      </c>
      <c r="BK3" s="34">
        <f t="shared" si="0"/>
        <v>17338927</v>
      </c>
      <c r="BL3" s="34">
        <f t="shared" si="0"/>
        <v>17338927</v>
      </c>
      <c r="BM3" s="34">
        <f t="shared" si="0"/>
        <v>17338927</v>
      </c>
      <c r="BN3" s="34">
        <f t="shared" si="0"/>
        <v>17338927</v>
      </c>
      <c r="BO3" s="34">
        <f t="shared" si="0"/>
        <v>17338927</v>
      </c>
      <c r="BP3" s="34">
        <f t="shared" si="0"/>
        <v>17338927</v>
      </c>
      <c r="BQ3" s="34">
        <f t="shared" si="0"/>
        <v>17338927</v>
      </c>
      <c r="BR3" s="34">
        <f t="shared" si="0"/>
        <v>17338927</v>
      </c>
      <c r="BS3" s="34">
        <f t="shared" si="0"/>
        <v>17338927</v>
      </c>
      <c r="BT3" s="34">
        <f t="shared" si="0"/>
        <v>17338927</v>
      </c>
      <c r="BU3" s="34">
        <f t="shared" ref="BU3:CD3" si="1">BT3</f>
        <v>17338927</v>
      </c>
      <c r="BV3" s="34">
        <f t="shared" si="1"/>
        <v>17338927</v>
      </c>
      <c r="BW3" s="34">
        <f t="shared" si="1"/>
        <v>17338927</v>
      </c>
      <c r="BX3" s="34">
        <f t="shared" si="1"/>
        <v>17338927</v>
      </c>
      <c r="BY3" s="34">
        <f t="shared" si="1"/>
        <v>17338927</v>
      </c>
      <c r="BZ3" s="34">
        <f t="shared" si="1"/>
        <v>17338927</v>
      </c>
      <c r="CA3" s="34">
        <f t="shared" si="1"/>
        <v>17338927</v>
      </c>
      <c r="CB3" s="34">
        <f t="shared" si="1"/>
        <v>17338927</v>
      </c>
      <c r="CC3" s="34">
        <f t="shared" si="1"/>
        <v>17338927</v>
      </c>
      <c r="CD3" s="34">
        <f t="shared" si="1"/>
        <v>17338927</v>
      </c>
      <c r="CE3" s="34">
        <f t="shared" ref="CE3:CO3" si="2">CD3</f>
        <v>17338927</v>
      </c>
      <c r="CF3" s="34">
        <f t="shared" si="2"/>
        <v>17338927</v>
      </c>
      <c r="CG3" s="34">
        <f t="shared" si="2"/>
        <v>17338927</v>
      </c>
      <c r="CH3" s="34">
        <f t="shared" si="2"/>
        <v>17338927</v>
      </c>
      <c r="CI3" s="34">
        <f t="shared" si="2"/>
        <v>17338927</v>
      </c>
      <c r="CJ3" s="34">
        <f t="shared" si="2"/>
        <v>17338927</v>
      </c>
      <c r="CK3" s="34">
        <f t="shared" si="2"/>
        <v>17338927</v>
      </c>
      <c r="CL3" s="34">
        <f t="shared" si="2"/>
        <v>17338927</v>
      </c>
      <c r="CM3" s="34">
        <f t="shared" si="2"/>
        <v>17338927</v>
      </c>
      <c r="CN3" s="34">
        <f t="shared" si="2"/>
        <v>17338927</v>
      </c>
      <c r="CO3" s="34">
        <f t="shared" si="2"/>
        <v>17338927</v>
      </c>
      <c r="CP3" s="34">
        <f>CO3</f>
        <v>17338927</v>
      </c>
      <c r="CQ3" s="34">
        <f>CP3</f>
        <v>17338927</v>
      </c>
      <c r="CR3" s="34">
        <f>CQ3</f>
        <v>17338927</v>
      </c>
      <c r="CS3" s="34">
        <f t="shared" ref="CS3:DI3" si="3">CR3</f>
        <v>17338927</v>
      </c>
      <c r="CT3" s="34">
        <f t="shared" si="3"/>
        <v>17338927</v>
      </c>
      <c r="CU3" s="34">
        <f t="shared" si="3"/>
        <v>17338927</v>
      </c>
      <c r="CV3" s="34">
        <f t="shared" si="3"/>
        <v>17338927</v>
      </c>
      <c r="CW3" s="34">
        <f t="shared" si="3"/>
        <v>17338927</v>
      </c>
      <c r="CX3" s="34">
        <f t="shared" si="3"/>
        <v>17338927</v>
      </c>
      <c r="CY3" s="34">
        <f t="shared" si="3"/>
        <v>17338927</v>
      </c>
      <c r="CZ3" s="34">
        <f t="shared" si="3"/>
        <v>17338927</v>
      </c>
      <c r="DA3" s="34">
        <f t="shared" si="3"/>
        <v>17338927</v>
      </c>
      <c r="DB3" s="34">
        <f t="shared" si="3"/>
        <v>17338927</v>
      </c>
      <c r="DC3" s="34">
        <f t="shared" si="3"/>
        <v>17338927</v>
      </c>
      <c r="DD3" s="34">
        <f t="shared" si="3"/>
        <v>17338927</v>
      </c>
      <c r="DE3" s="34">
        <f t="shared" si="3"/>
        <v>17338927</v>
      </c>
      <c r="DF3" s="34">
        <f t="shared" si="3"/>
        <v>17338927</v>
      </c>
      <c r="DG3" s="34">
        <f t="shared" si="3"/>
        <v>17338927</v>
      </c>
      <c r="DH3" s="34">
        <f t="shared" si="3"/>
        <v>17338927</v>
      </c>
      <c r="DI3" s="34">
        <f t="shared" si="3"/>
        <v>17338927</v>
      </c>
      <c r="DJ3" s="34">
        <f t="shared" ref="DJ3:DO3" si="4">DI3</f>
        <v>17338927</v>
      </c>
      <c r="DK3" s="34">
        <f t="shared" si="4"/>
        <v>17338927</v>
      </c>
      <c r="DL3" s="34">
        <f t="shared" si="4"/>
        <v>17338927</v>
      </c>
      <c r="DM3" s="34">
        <f t="shared" si="4"/>
        <v>17338927</v>
      </c>
      <c r="DN3" s="34">
        <f t="shared" si="4"/>
        <v>17338927</v>
      </c>
      <c r="DO3" s="34">
        <f t="shared" si="4"/>
        <v>17338927</v>
      </c>
      <c r="DP3" s="34">
        <f t="shared" ref="DP3" si="5">DO3</f>
        <v>17338927</v>
      </c>
      <c r="DQ3" s="34">
        <f t="shared" ref="DQ3" si="6">DP3</f>
        <v>17338927</v>
      </c>
      <c r="DR3" s="34">
        <f t="shared" ref="DR3" si="7">DQ3</f>
        <v>17338927</v>
      </c>
      <c r="DS3" s="34">
        <f t="shared" ref="DS3" si="8">DR3</f>
        <v>17338927</v>
      </c>
    </row>
    <row r="4" spans="1:123" x14ac:dyDescent="0.25">
      <c r="A4" s="43" t="s">
        <v>25</v>
      </c>
      <c r="B4" s="34">
        <f>Accrual_Hydron!B28</f>
        <v>0</v>
      </c>
      <c r="C4" s="34">
        <f>Accrual_Hydron!C28</f>
        <v>0</v>
      </c>
      <c r="D4" s="34">
        <f>Accrual_Hydron!D28</f>
        <v>0</v>
      </c>
      <c r="E4" s="34">
        <f>Accrual_Hydron!E28</f>
        <v>0</v>
      </c>
      <c r="F4" s="34">
        <f>Accrual_Hydron!F28</f>
        <v>0</v>
      </c>
      <c r="G4" s="34">
        <f>Accrual_Hydron!G28</f>
        <v>0</v>
      </c>
      <c r="H4" s="34">
        <f>Accrual_Hydron!H28</f>
        <v>0</v>
      </c>
      <c r="I4" s="34">
        <f>Accrual_Hydron!I28</f>
        <v>0</v>
      </c>
      <c r="J4" s="34">
        <f>Accrual_Hydron!J28</f>
        <v>0</v>
      </c>
      <c r="K4" s="34">
        <f>Accrual_Hydron!K28</f>
        <v>0</v>
      </c>
      <c r="L4" s="34">
        <f>Accrual_Hydron!L28</f>
        <v>0</v>
      </c>
      <c r="M4" s="34">
        <f>Accrual_Hydron!M28</f>
        <v>0</v>
      </c>
      <c r="N4" s="34">
        <f>Accrual_Hydron!N28</f>
        <v>0</v>
      </c>
      <c r="O4" s="34">
        <f>Accrual_Hydron!O28</f>
        <v>0</v>
      </c>
      <c r="P4" s="34">
        <f>Accrual_Hydron!P28</f>
        <v>0</v>
      </c>
      <c r="Q4" s="34">
        <f>Accrual_Hydron!Q28</f>
        <v>0</v>
      </c>
      <c r="R4" s="34">
        <f>Accrual_Hydron!R28</f>
        <v>0</v>
      </c>
      <c r="S4" s="34">
        <f>Accrual_Hydron!S28</f>
        <v>0</v>
      </c>
      <c r="T4" s="34">
        <f>Accrual_Hydron!T28</f>
        <v>0</v>
      </c>
      <c r="U4" s="34">
        <f>Accrual_Hydron!U28</f>
        <v>0</v>
      </c>
      <c r="V4" s="34">
        <f>Accrual_Hydron!V28</f>
        <v>0</v>
      </c>
      <c r="W4" s="34">
        <f>Accrual_Hydron!W28</f>
        <v>0</v>
      </c>
      <c r="X4" s="34">
        <f>Accrual_Hydron!X28</f>
        <v>0</v>
      </c>
      <c r="Y4" s="34">
        <f>Accrual_Hydron!Y28</f>
        <v>0</v>
      </c>
      <c r="Z4" s="34">
        <f>Accrual_Hydron!Z28</f>
        <v>0</v>
      </c>
      <c r="AA4" s="34">
        <f>Accrual_Hydron!AA28</f>
        <v>0</v>
      </c>
      <c r="AB4" s="34">
        <f>Accrual_Hydron!AB28</f>
        <v>0</v>
      </c>
      <c r="AC4" s="34">
        <f>Accrual_Hydron!AC28</f>
        <v>0</v>
      </c>
      <c r="AD4" s="34">
        <f>Accrual_Hydron!AD28</f>
        <v>541841.46875</v>
      </c>
      <c r="AE4" s="34">
        <f>Accrual_Hydron!AE28</f>
        <v>541841.46875</v>
      </c>
      <c r="AF4" s="34">
        <f>Accrual_Hydron!AF28</f>
        <v>541841.46875</v>
      </c>
      <c r="AG4" s="34">
        <f>Accrual_Hydron!AG28</f>
        <v>1083682.9375</v>
      </c>
      <c r="AH4" s="34">
        <f>Accrual_Hydron!AH28</f>
        <v>1083682.9375</v>
      </c>
      <c r="AI4" s="34">
        <f>Accrual_Hydron!AI28</f>
        <v>1083682.9375</v>
      </c>
      <c r="AJ4" s="34">
        <f>Accrual_Hydron!AJ28</f>
        <v>1625524.40625</v>
      </c>
      <c r="AK4" s="34">
        <f>Accrual_Hydron!AK28</f>
        <v>1625524.40625</v>
      </c>
      <c r="AL4" s="34">
        <f>Accrual_Hydron!AL28</f>
        <v>1625524.40625</v>
      </c>
      <c r="AM4" s="34">
        <f>Accrual_Hydron!AM28</f>
        <v>2167365.875</v>
      </c>
      <c r="AN4" s="34">
        <f>Accrual_Hydron!AN28</f>
        <v>2167365.875</v>
      </c>
      <c r="AO4" s="34">
        <f>Accrual_Hydron!AO28</f>
        <v>2167365.875</v>
      </c>
      <c r="AP4" s="34">
        <f>Accrual_Hydron!AP28</f>
        <v>2709207.34375</v>
      </c>
      <c r="AQ4" s="34">
        <f>Accrual_Hydron!AQ28</f>
        <v>2709207.34375</v>
      </c>
      <c r="AR4" s="34">
        <f>Accrual_Hydron!AR28</f>
        <v>2709207.34375</v>
      </c>
      <c r="AS4" s="34">
        <f>Accrual_Hydron!AS28</f>
        <v>3251048.8125</v>
      </c>
      <c r="AT4" s="34">
        <f>Accrual_Hydron!AT28</f>
        <v>3251048.8125</v>
      </c>
      <c r="AU4" s="34">
        <f>Accrual_Hydron!AU28</f>
        <v>3251048.8125</v>
      </c>
      <c r="AV4" s="34">
        <f>Accrual_Hydron!AV28</f>
        <v>3792890.28125</v>
      </c>
      <c r="AW4" s="34">
        <f>Accrual_Hydron!AW28</f>
        <v>3792890.28125</v>
      </c>
      <c r="AX4" s="34">
        <f>Accrual_Hydron!AX28</f>
        <v>3792890.28125</v>
      </c>
      <c r="AY4" s="34">
        <f>Accrual_Hydron!AY28</f>
        <v>4334731.75</v>
      </c>
      <c r="AZ4" s="34">
        <f>Accrual_Hydron!AZ28</f>
        <v>4334731.75</v>
      </c>
      <c r="BA4" s="34">
        <f>Accrual_Hydron!BA28</f>
        <v>4334731.75</v>
      </c>
      <c r="BB4" s="34">
        <f>Accrual_Hydron!BB28</f>
        <v>4876573.21875</v>
      </c>
      <c r="BC4" s="34">
        <f>Accrual_Hydron!BC28</f>
        <v>4876573.21875</v>
      </c>
      <c r="BD4" s="34">
        <f>Accrual_Hydron!BD28</f>
        <v>4876573.21875</v>
      </c>
      <c r="BE4" s="34">
        <f>Accrual_Hydron!BE28</f>
        <v>5418414.6875</v>
      </c>
      <c r="BF4" s="34">
        <f>Accrual_Hydron!BF28</f>
        <v>5418414.6875</v>
      </c>
      <c r="BG4" s="34">
        <f>Accrual_Hydron!BG28</f>
        <v>5418414.6875</v>
      </c>
      <c r="BH4" s="34">
        <f>Accrual_Hydron!BH28</f>
        <v>5960256.15625</v>
      </c>
      <c r="BI4" s="34">
        <f>Accrual_Hydron!BI28</f>
        <v>5960256.15625</v>
      </c>
      <c r="BJ4" s="34">
        <f>Accrual_Hydron!BJ28</f>
        <v>5960256.15625</v>
      </c>
      <c r="BK4" s="34">
        <f>Accrual_Hydron!BK28</f>
        <v>6502097.625</v>
      </c>
      <c r="BL4" s="34">
        <f>Accrual_Hydron!BL28</f>
        <v>6502097.625</v>
      </c>
      <c r="BM4" s="34">
        <f>Accrual_Hydron!BM28</f>
        <v>6502097.625</v>
      </c>
      <c r="BN4" s="34">
        <f>Accrual_Hydron!BN28</f>
        <v>7043939.09375</v>
      </c>
      <c r="BO4" s="34">
        <f>Accrual_Hydron!BO28</f>
        <v>7043939.09375</v>
      </c>
      <c r="BP4" s="34">
        <f>Accrual_Hydron!BP28</f>
        <v>7043939.09375</v>
      </c>
      <c r="BQ4" s="34">
        <f>Accrual_Hydron!BQ28</f>
        <v>7585780.5625</v>
      </c>
      <c r="BR4" s="34">
        <f>Accrual_Hydron!BR28</f>
        <v>7585780.5625</v>
      </c>
      <c r="BS4" s="34">
        <f>Accrual_Hydron!BS28</f>
        <v>7585780.5625</v>
      </c>
      <c r="BT4" s="34">
        <f>Accrual_Hydron!BT28</f>
        <v>8127622.03125</v>
      </c>
      <c r="BU4" s="34">
        <f>Accrual_Hydron!BU28</f>
        <v>8127622.03125</v>
      </c>
      <c r="BV4" s="34">
        <f>Accrual_Hydron!BV28</f>
        <v>8127622.03125</v>
      </c>
      <c r="BW4" s="34">
        <f>Accrual_Hydron!BW28</f>
        <v>8669463.5</v>
      </c>
      <c r="BX4" s="34">
        <f>Accrual_Hydron!BX28</f>
        <v>8669463.5</v>
      </c>
      <c r="BY4" s="34">
        <f>Accrual_Hydron!BY28</f>
        <v>8669463.5</v>
      </c>
      <c r="BZ4" s="34">
        <f>Accrual_Hydron!BZ28</f>
        <v>9211304.96875</v>
      </c>
      <c r="CA4" s="34">
        <f>Accrual_Hydron!CA28</f>
        <v>9211304.96875</v>
      </c>
      <c r="CB4" s="34">
        <f>Accrual_Hydron!CB28</f>
        <v>9211304.96875</v>
      </c>
      <c r="CC4" s="34">
        <f>Accrual_Hydron!CC28</f>
        <v>9753146.4375</v>
      </c>
      <c r="CD4" s="34">
        <f>Accrual_Hydron!CD28</f>
        <v>9753146.4375</v>
      </c>
      <c r="CE4" s="34">
        <f>Accrual_Hydron!CE28</f>
        <v>9753146.4375</v>
      </c>
      <c r="CF4" s="34">
        <f>Accrual_Hydron!CF28</f>
        <v>10294987.90625</v>
      </c>
      <c r="CG4" s="34">
        <f>Accrual_Hydron!CG28</f>
        <v>10294987.90625</v>
      </c>
      <c r="CH4" s="34">
        <f>Accrual_Hydron!CH28</f>
        <v>10294987.90625</v>
      </c>
      <c r="CI4" s="34">
        <f>Accrual_Hydron!CI28</f>
        <v>10836829.375</v>
      </c>
      <c r="CJ4" s="34">
        <f>Accrual_Hydron!CJ28</f>
        <v>10836829.375</v>
      </c>
      <c r="CK4" s="34">
        <f>Accrual_Hydron!CK28</f>
        <v>10836829.375</v>
      </c>
      <c r="CL4" s="34">
        <f>Accrual_Hydron!CL28</f>
        <v>11378670.84375</v>
      </c>
      <c r="CM4" s="34">
        <f>Accrual_Hydron!CM28</f>
        <v>11378670.84375</v>
      </c>
      <c r="CN4" s="34">
        <f>Accrual_Hydron!CN28</f>
        <v>11378670.84375</v>
      </c>
      <c r="CO4" s="34">
        <f>Accrual_Hydron!CO28</f>
        <v>11920512.3125</v>
      </c>
      <c r="CP4" s="34">
        <f>Accrual_Hydron!CP28</f>
        <v>11920512.3125</v>
      </c>
      <c r="CQ4" s="34">
        <f>Accrual_Hydron!CQ28</f>
        <v>11920512.3125</v>
      </c>
      <c r="CR4" s="34">
        <f>Accrual_Hydron!CR28</f>
        <v>12462353.78125</v>
      </c>
      <c r="CS4" s="34">
        <f>Accrual_Hydron!CS28</f>
        <v>12462353.78125</v>
      </c>
      <c r="CT4" s="34">
        <f>Accrual_Hydron!CT28</f>
        <v>12462353.78125</v>
      </c>
      <c r="CU4" s="34">
        <f>Accrual_Hydron!CU28</f>
        <v>13004195.25</v>
      </c>
      <c r="CV4" s="34">
        <f>Accrual_Hydron!CV28</f>
        <v>13004195.25</v>
      </c>
      <c r="CW4" s="34">
        <f>Accrual_Hydron!CW28</f>
        <v>13004195.25</v>
      </c>
      <c r="CX4" s="34">
        <f>Accrual_Hydron!CX28</f>
        <v>13546036.71875</v>
      </c>
      <c r="CY4" s="34">
        <f>Accrual_Hydron!CY28</f>
        <v>13546036.71875</v>
      </c>
      <c r="CZ4" s="34">
        <f>Accrual_Hydron!CZ28</f>
        <v>13546036.71875</v>
      </c>
      <c r="DA4" s="34">
        <f>Accrual_Hydron!DA28</f>
        <v>14087878.1875</v>
      </c>
      <c r="DB4" s="34">
        <f>Accrual_Hydron!DB28</f>
        <v>14087878.1875</v>
      </c>
      <c r="DC4" s="34">
        <f>Accrual_Hydron!DC28</f>
        <v>14087878.1875</v>
      </c>
      <c r="DD4" s="34">
        <f>Accrual_Hydron!DD28</f>
        <v>14629719.65625</v>
      </c>
      <c r="DE4" s="34">
        <f>Accrual_Hydron!DE28</f>
        <v>14629719.65625</v>
      </c>
      <c r="DF4" s="34">
        <f>Accrual_Hydron!DF28</f>
        <v>14629719.65625</v>
      </c>
      <c r="DG4" s="34">
        <f>Accrual_Hydron!DG28</f>
        <v>15171561.125</v>
      </c>
      <c r="DH4" s="34">
        <f>Accrual_Hydron!DH28</f>
        <v>15171561.125</v>
      </c>
      <c r="DI4" s="34">
        <f>Accrual_Hydron!DI28</f>
        <v>15171561.125</v>
      </c>
      <c r="DJ4" s="34">
        <f>Accrual_Hydron!DJ28</f>
        <v>15713402.59375</v>
      </c>
      <c r="DK4" s="34">
        <f>Accrual_Hydron!DK28</f>
        <v>15713402.59375</v>
      </c>
      <c r="DL4" s="34">
        <f>Accrual_Hydron!DL28</f>
        <v>15713402.59375</v>
      </c>
      <c r="DM4" s="34">
        <f>Accrual_Hydron!DM28</f>
        <v>16255244.0625</v>
      </c>
      <c r="DN4" s="34">
        <f>Accrual_Hydron!DN28</f>
        <v>16255244.0625</v>
      </c>
      <c r="DO4" s="34">
        <f>Accrual_Hydron!DO28</f>
        <v>16255244.0625</v>
      </c>
      <c r="DP4" s="34">
        <f>Accrual_Hydron!DP28</f>
        <v>16797085.53125</v>
      </c>
      <c r="DQ4" s="34">
        <f>Accrual_Hydron!DQ28</f>
        <v>16797085.53125</v>
      </c>
      <c r="DR4" s="34">
        <f>Accrual_Hydron!DR28</f>
        <v>16797085.53125</v>
      </c>
      <c r="DS4" s="34">
        <f>Accrual_Hydron!DS28</f>
        <v>17338927</v>
      </c>
    </row>
    <row r="5" spans="1:123" x14ac:dyDescent="0.25">
      <c r="A5" s="43" t="s">
        <v>26</v>
      </c>
      <c r="B5" s="34">
        <f t="shared" ref="B5:BB5" si="9">B22</f>
        <v>0</v>
      </c>
      <c r="C5" s="34">
        <f t="shared" si="9"/>
        <v>0</v>
      </c>
      <c r="D5" s="34">
        <f t="shared" si="9"/>
        <v>0</v>
      </c>
      <c r="E5" s="34">
        <f t="shared" si="9"/>
        <v>0</v>
      </c>
      <c r="F5" s="34">
        <f t="shared" si="9"/>
        <v>0</v>
      </c>
      <c r="G5" s="34">
        <f t="shared" si="9"/>
        <v>0</v>
      </c>
      <c r="H5" s="34">
        <f t="shared" si="9"/>
        <v>0</v>
      </c>
      <c r="I5" s="34">
        <f t="shared" si="9"/>
        <v>0</v>
      </c>
      <c r="J5" s="34">
        <f t="shared" si="9"/>
        <v>0</v>
      </c>
      <c r="K5" s="34">
        <f t="shared" si="9"/>
        <v>0</v>
      </c>
      <c r="L5" s="34">
        <f t="shared" si="9"/>
        <v>0</v>
      </c>
      <c r="M5" s="34">
        <f t="shared" si="9"/>
        <v>0</v>
      </c>
      <c r="N5" s="34">
        <f t="shared" si="9"/>
        <v>0</v>
      </c>
      <c r="O5" s="34">
        <f t="shared" si="9"/>
        <v>0</v>
      </c>
      <c r="P5" s="34">
        <f t="shared" si="9"/>
        <v>0</v>
      </c>
      <c r="Q5" s="34">
        <f t="shared" si="9"/>
        <v>0</v>
      </c>
      <c r="R5" s="34">
        <f t="shared" si="9"/>
        <v>0</v>
      </c>
      <c r="S5" s="34">
        <f t="shared" si="9"/>
        <v>0</v>
      </c>
      <c r="T5" s="34">
        <f t="shared" si="9"/>
        <v>0</v>
      </c>
      <c r="U5" s="34">
        <f t="shared" si="9"/>
        <v>0</v>
      </c>
      <c r="V5" s="34">
        <f t="shared" si="9"/>
        <v>0</v>
      </c>
      <c r="W5" s="34">
        <f t="shared" si="9"/>
        <v>0</v>
      </c>
      <c r="X5" s="34">
        <f t="shared" si="9"/>
        <v>0</v>
      </c>
      <c r="Y5" s="34">
        <f t="shared" si="9"/>
        <v>0</v>
      </c>
      <c r="Z5" s="34">
        <f t="shared" si="9"/>
        <v>0</v>
      </c>
      <c r="AA5" s="34">
        <f t="shared" si="9"/>
        <v>0</v>
      </c>
      <c r="AB5" s="34">
        <f t="shared" si="9"/>
        <v>0</v>
      </c>
      <c r="AC5" s="34">
        <f t="shared" si="9"/>
        <v>0</v>
      </c>
      <c r="AD5" s="34">
        <f t="shared" si="9"/>
        <v>0</v>
      </c>
      <c r="AE5" s="34">
        <f t="shared" si="9"/>
        <v>0</v>
      </c>
      <c r="AF5" s="34">
        <f t="shared" si="9"/>
        <v>0</v>
      </c>
      <c r="AG5" s="34">
        <f t="shared" si="9"/>
        <v>0</v>
      </c>
      <c r="AH5" s="34">
        <f t="shared" si="9"/>
        <v>0</v>
      </c>
      <c r="AI5" s="34">
        <f t="shared" si="9"/>
        <v>0</v>
      </c>
      <c r="AJ5" s="34">
        <f t="shared" si="9"/>
        <v>0</v>
      </c>
      <c r="AK5" s="34">
        <f t="shared" si="9"/>
        <v>0</v>
      </c>
      <c r="AL5" s="34">
        <f t="shared" si="9"/>
        <v>0</v>
      </c>
      <c r="AM5" s="34">
        <f t="shared" si="9"/>
        <v>0</v>
      </c>
      <c r="AN5" s="34">
        <f t="shared" si="9"/>
        <v>0</v>
      </c>
      <c r="AO5" s="34">
        <f t="shared" si="9"/>
        <v>0</v>
      </c>
      <c r="AP5" s="34">
        <f t="shared" si="9"/>
        <v>2709207.34375</v>
      </c>
      <c r="AQ5" s="34">
        <f t="shared" si="9"/>
        <v>2709207.34375</v>
      </c>
      <c r="AR5" s="34">
        <f t="shared" si="9"/>
        <v>2709207.34375</v>
      </c>
      <c r="AS5" s="34">
        <f t="shared" si="9"/>
        <v>3251048.8125</v>
      </c>
      <c r="AT5" s="34">
        <f t="shared" si="9"/>
        <v>3251048.8125</v>
      </c>
      <c r="AU5" s="34">
        <f t="shared" si="9"/>
        <v>3251048.8125</v>
      </c>
      <c r="AV5" s="34">
        <f t="shared" si="9"/>
        <v>3792890.28125</v>
      </c>
      <c r="AW5" s="34">
        <f t="shared" si="9"/>
        <v>3792890.28125</v>
      </c>
      <c r="AX5" s="34">
        <f t="shared" si="9"/>
        <v>3792890.28125</v>
      </c>
      <c r="AY5" s="34">
        <f t="shared" si="9"/>
        <v>4334731.75</v>
      </c>
      <c r="AZ5" s="34">
        <f t="shared" si="9"/>
        <v>4334731.75</v>
      </c>
      <c r="BA5" s="34">
        <f t="shared" si="9"/>
        <v>4334731.75</v>
      </c>
      <c r="BB5" s="34">
        <f t="shared" si="9"/>
        <v>4876573.21875</v>
      </c>
      <c r="BC5" s="34">
        <f t="shared" ref="BC5:BQ5" si="10">BC22</f>
        <v>4876573.21875</v>
      </c>
      <c r="BD5" s="34">
        <f t="shared" si="10"/>
        <v>4876573.21875</v>
      </c>
      <c r="BE5" s="34">
        <f t="shared" si="10"/>
        <v>5418414.6875</v>
      </c>
      <c r="BF5" s="34">
        <f t="shared" si="10"/>
        <v>5418414.6875</v>
      </c>
      <c r="BG5" s="34">
        <f t="shared" si="10"/>
        <v>5418414.6875</v>
      </c>
      <c r="BH5" s="34">
        <f t="shared" si="10"/>
        <v>5960256.15625</v>
      </c>
      <c r="BI5" s="34">
        <f t="shared" si="10"/>
        <v>5960256.15625</v>
      </c>
      <c r="BJ5" s="34">
        <f t="shared" si="10"/>
        <v>5960256.15625</v>
      </c>
      <c r="BK5" s="34">
        <f t="shared" si="10"/>
        <v>6502097.625</v>
      </c>
      <c r="BL5" s="34">
        <f t="shared" si="10"/>
        <v>6502097.625</v>
      </c>
      <c r="BM5" s="34">
        <f t="shared" si="10"/>
        <v>6502097.625</v>
      </c>
      <c r="BN5" s="34">
        <f t="shared" si="10"/>
        <v>7043939.09375</v>
      </c>
      <c r="BO5" s="34">
        <f t="shared" si="10"/>
        <v>7043939.09375</v>
      </c>
      <c r="BP5" s="34">
        <f t="shared" si="10"/>
        <v>7043939.09375</v>
      </c>
      <c r="BQ5" s="34">
        <f t="shared" si="10"/>
        <v>7585780.5625</v>
      </c>
      <c r="BR5" s="34">
        <f t="shared" ref="BR5:CD5" si="11">BR22</f>
        <v>7585780.5625</v>
      </c>
      <c r="BS5" s="34">
        <f t="shared" si="11"/>
        <v>7585780.5625</v>
      </c>
      <c r="BT5" s="34">
        <f t="shared" si="11"/>
        <v>8127622.03125</v>
      </c>
      <c r="BU5" s="34">
        <f t="shared" si="11"/>
        <v>8127622.03125</v>
      </c>
      <c r="BV5" s="34">
        <f t="shared" si="11"/>
        <v>8127622.03125</v>
      </c>
      <c r="BW5" s="34">
        <f t="shared" si="11"/>
        <v>8669463.5</v>
      </c>
      <c r="BX5" s="34">
        <f t="shared" si="11"/>
        <v>8669463.5</v>
      </c>
      <c r="BY5" s="34">
        <f t="shared" si="11"/>
        <v>8669463.5</v>
      </c>
      <c r="BZ5" s="34">
        <f t="shared" si="11"/>
        <v>9211304.96875</v>
      </c>
      <c r="CA5" s="34">
        <f t="shared" si="11"/>
        <v>9211304.96875</v>
      </c>
      <c r="CB5" s="34">
        <f t="shared" si="11"/>
        <v>9211304.96875</v>
      </c>
      <c r="CC5" s="34">
        <f t="shared" si="11"/>
        <v>9753146.4375</v>
      </c>
      <c r="CD5" s="34">
        <f t="shared" si="11"/>
        <v>9753146.4375</v>
      </c>
      <c r="CE5" s="34">
        <f t="shared" ref="CE5:CO5" si="12">CE22</f>
        <v>9753146.4375</v>
      </c>
      <c r="CF5" s="34">
        <f t="shared" si="12"/>
        <v>10294987.90625</v>
      </c>
      <c r="CG5" s="34">
        <f t="shared" si="12"/>
        <v>10294987.90625</v>
      </c>
      <c r="CH5" s="34">
        <f t="shared" si="12"/>
        <v>10294987.90625</v>
      </c>
      <c r="CI5" s="34">
        <f t="shared" si="12"/>
        <v>10836829.375</v>
      </c>
      <c r="CJ5" s="34">
        <f t="shared" si="12"/>
        <v>10836829.375</v>
      </c>
      <c r="CK5" s="34">
        <f t="shared" si="12"/>
        <v>10836829.375</v>
      </c>
      <c r="CL5" s="34">
        <f t="shared" si="12"/>
        <v>11378670.84375</v>
      </c>
      <c r="CM5" s="34">
        <f t="shared" si="12"/>
        <v>11378670.84375</v>
      </c>
      <c r="CN5" s="34">
        <f t="shared" si="12"/>
        <v>11378670.84375</v>
      </c>
      <c r="CO5" s="34">
        <f t="shared" si="12"/>
        <v>11920512.3125</v>
      </c>
      <c r="CP5" s="34">
        <f>CP22</f>
        <v>11920512.3125</v>
      </c>
      <c r="CQ5" s="34">
        <f>CQ22</f>
        <v>11920512.3125</v>
      </c>
      <c r="CR5" s="34">
        <f>CR22</f>
        <v>12462353.78125</v>
      </c>
      <c r="CS5" s="34">
        <f t="shared" ref="CS5:DI5" si="13">CS22</f>
        <v>12462353.78125</v>
      </c>
      <c r="CT5" s="34">
        <f t="shared" si="13"/>
        <v>12462353.78125</v>
      </c>
      <c r="CU5" s="34">
        <f t="shared" si="13"/>
        <v>13004195.25</v>
      </c>
      <c r="CV5" s="34">
        <f t="shared" si="13"/>
        <v>13004195.25</v>
      </c>
      <c r="CW5" s="34">
        <f t="shared" si="13"/>
        <v>13004195.25</v>
      </c>
      <c r="CX5" s="34">
        <f t="shared" si="13"/>
        <v>13546036.71875</v>
      </c>
      <c r="CY5" s="34">
        <f t="shared" si="13"/>
        <v>13546036.71875</v>
      </c>
      <c r="CZ5" s="34">
        <f t="shared" si="13"/>
        <v>13546036.71875</v>
      </c>
      <c r="DA5" s="34">
        <f t="shared" si="13"/>
        <v>14087878.1875</v>
      </c>
      <c r="DB5" s="34">
        <f t="shared" si="13"/>
        <v>14087878.1875</v>
      </c>
      <c r="DC5" s="34">
        <f t="shared" si="13"/>
        <v>14087878.1875</v>
      </c>
      <c r="DD5" s="34">
        <f t="shared" si="13"/>
        <v>14629719.65625</v>
      </c>
      <c r="DE5" s="34">
        <f t="shared" si="13"/>
        <v>14629719.65625</v>
      </c>
      <c r="DF5" s="34">
        <f t="shared" si="13"/>
        <v>14629719.65625</v>
      </c>
      <c r="DG5" s="34">
        <f t="shared" si="13"/>
        <v>15171561.125</v>
      </c>
      <c r="DH5" s="34">
        <f t="shared" si="13"/>
        <v>15171561.125</v>
      </c>
      <c r="DI5" s="34">
        <f t="shared" si="13"/>
        <v>15171561.125</v>
      </c>
      <c r="DJ5" s="34">
        <f t="shared" ref="DJ5:DO5" si="14">DJ22</f>
        <v>15713402.59375</v>
      </c>
      <c r="DK5" s="34">
        <f t="shared" si="14"/>
        <v>15713402.59375</v>
      </c>
      <c r="DL5" s="34">
        <f t="shared" si="14"/>
        <v>15713402.59375</v>
      </c>
      <c r="DM5" s="34">
        <f t="shared" si="14"/>
        <v>16255244.0625</v>
      </c>
      <c r="DN5" s="34">
        <f t="shared" si="14"/>
        <v>16255244.0625</v>
      </c>
      <c r="DO5" s="34">
        <f t="shared" si="14"/>
        <v>16255244.0625</v>
      </c>
      <c r="DP5" s="34">
        <f t="shared" ref="DP5:DS5" si="15">DP22</f>
        <v>16797085.53125</v>
      </c>
      <c r="DQ5" s="34">
        <f t="shared" si="15"/>
        <v>16797085.53125</v>
      </c>
      <c r="DR5" s="34">
        <f t="shared" si="15"/>
        <v>16797085.53125</v>
      </c>
      <c r="DS5" s="34">
        <f t="shared" si="15"/>
        <v>17338927</v>
      </c>
    </row>
    <row r="6" spans="1:123" x14ac:dyDescent="0.25">
      <c r="A6" s="43" t="s">
        <v>27</v>
      </c>
      <c r="B6" s="34">
        <f t="shared" ref="B6:BB6" si="16">IF((B4-B5)&gt;0,(B4-B5),0)</f>
        <v>0</v>
      </c>
      <c r="C6" s="34">
        <f t="shared" si="16"/>
        <v>0</v>
      </c>
      <c r="D6" s="34">
        <f t="shared" si="16"/>
        <v>0</v>
      </c>
      <c r="E6" s="34">
        <f t="shared" si="16"/>
        <v>0</v>
      </c>
      <c r="F6" s="34">
        <f t="shared" si="16"/>
        <v>0</v>
      </c>
      <c r="G6" s="34">
        <f t="shared" si="16"/>
        <v>0</v>
      </c>
      <c r="H6" s="34">
        <f t="shared" si="16"/>
        <v>0</v>
      </c>
      <c r="I6" s="34">
        <f t="shared" si="16"/>
        <v>0</v>
      </c>
      <c r="J6" s="34">
        <f t="shared" si="16"/>
        <v>0</v>
      </c>
      <c r="K6" s="34">
        <f t="shared" si="16"/>
        <v>0</v>
      </c>
      <c r="L6" s="34">
        <f t="shared" si="16"/>
        <v>0</v>
      </c>
      <c r="M6" s="34">
        <f t="shared" si="16"/>
        <v>0</v>
      </c>
      <c r="N6" s="34">
        <f t="shared" si="16"/>
        <v>0</v>
      </c>
      <c r="O6" s="34">
        <f t="shared" si="16"/>
        <v>0</v>
      </c>
      <c r="P6" s="34">
        <f t="shared" si="16"/>
        <v>0</v>
      </c>
      <c r="Q6" s="34">
        <f t="shared" si="16"/>
        <v>0</v>
      </c>
      <c r="R6" s="34">
        <f t="shared" si="16"/>
        <v>0</v>
      </c>
      <c r="S6" s="34">
        <f t="shared" si="16"/>
        <v>0</v>
      </c>
      <c r="T6" s="34">
        <f t="shared" si="16"/>
        <v>0</v>
      </c>
      <c r="U6" s="34">
        <f t="shared" si="16"/>
        <v>0</v>
      </c>
      <c r="V6" s="34">
        <f t="shared" si="16"/>
        <v>0</v>
      </c>
      <c r="W6" s="34">
        <f t="shared" si="16"/>
        <v>0</v>
      </c>
      <c r="X6" s="34">
        <f t="shared" si="16"/>
        <v>0</v>
      </c>
      <c r="Y6" s="34">
        <f t="shared" si="16"/>
        <v>0</v>
      </c>
      <c r="Z6" s="34">
        <f t="shared" si="16"/>
        <v>0</v>
      </c>
      <c r="AA6" s="34">
        <f t="shared" si="16"/>
        <v>0</v>
      </c>
      <c r="AB6" s="34">
        <f t="shared" si="16"/>
        <v>0</v>
      </c>
      <c r="AC6" s="34">
        <f t="shared" si="16"/>
        <v>0</v>
      </c>
      <c r="AD6" s="34">
        <f t="shared" si="16"/>
        <v>541841.46875</v>
      </c>
      <c r="AE6" s="34">
        <f t="shared" si="16"/>
        <v>541841.46875</v>
      </c>
      <c r="AF6" s="34">
        <f t="shared" si="16"/>
        <v>541841.46875</v>
      </c>
      <c r="AG6" s="34">
        <f t="shared" si="16"/>
        <v>1083682.9375</v>
      </c>
      <c r="AH6" s="34">
        <f t="shared" si="16"/>
        <v>1083682.9375</v>
      </c>
      <c r="AI6" s="34">
        <f t="shared" si="16"/>
        <v>1083682.9375</v>
      </c>
      <c r="AJ6" s="34">
        <f t="shared" si="16"/>
        <v>1625524.40625</v>
      </c>
      <c r="AK6" s="34">
        <f t="shared" si="16"/>
        <v>1625524.40625</v>
      </c>
      <c r="AL6" s="34">
        <f t="shared" si="16"/>
        <v>1625524.40625</v>
      </c>
      <c r="AM6" s="34">
        <f t="shared" si="16"/>
        <v>2167365.875</v>
      </c>
      <c r="AN6" s="34">
        <f t="shared" si="16"/>
        <v>2167365.875</v>
      </c>
      <c r="AO6" s="34">
        <f t="shared" si="16"/>
        <v>2167365.875</v>
      </c>
      <c r="AP6" s="34">
        <f t="shared" si="16"/>
        <v>0</v>
      </c>
      <c r="AQ6" s="34">
        <f t="shared" si="16"/>
        <v>0</v>
      </c>
      <c r="AR6" s="34">
        <f t="shared" si="16"/>
        <v>0</v>
      </c>
      <c r="AS6" s="34">
        <f t="shared" si="16"/>
        <v>0</v>
      </c>
      <c r="AT6" s="34">
        <f t="shared" si="16"/>
        <v>0</v>
      </c>
      <c r="AU6" s="34">
        <f t="shared" si="16"/>
        <v>0</v>
      </c>
      <c r="AV6" s="34">
        <f t="shared" si="16"/>
        <v>0</v>
      </c>
      <c r="AW6" s="34">
        <f t="shared" si="16"/>
        <v>0</v>
      </c>
      <c r="AX6" s="34">
        <f t="shared" si="16"/>
        <v>0</v>
      </c>
      <c r="AY6" s="34">
        <f t="shared" si="16"/>
        <v>0</v>
      </c>
      <c r="AZ6" s="34">
        <f t="shared" si="16"/>
        <v>0</v>
      </c>
      <c r="BA6" s="34">
        <f t="shared" si="16"/>
        <v>0</v>
      </c>
      <c r="BB6" s="34">
        <f t="shared" si="16"/>
        <v>0</v>
      </c>
      <c r="BC6" s="34">
        <f t="shared" ref="BC6:BR6" si="17">IF((BC4-BC5)&gt;0,(BC4-BC5),0)</f>
        <v>0</v>
      </c>
      <c r="BD6" s="34">
        <f t="shared" si="17"/>
        <v>0</v>
      </c>
      <c r="BE6" s="34">
        <f t="shared" si="17"/>
        <v>0</v>
      </c>
      <c r="BF6" s="34">
        <f t="shared" si="17"/>
        <v>0</v>
      </c>
      <c r="BG6" s="34">
        <f t="shared" si="17"/>
        <v>0</v>
      </c>
      <c r="BH6" s="34">
        <f t="shared" si="17"/>
        <v>0</v>
      </c>
      <c r="BI6" s="34">
        <f t="shared" si="17"/>
        <v>0</v>
      </c>
      <c r="BJ6" s="34">
        <f t="shared" si="17"/>
        <v>0</v>
      </c>
      <c r="BK6" s="34">
        <f t="shared" si="17"/>
        <v>0</v>
      </c>
      <c r="BL6" s="34">
        <f t="shared" si="17"/>
        <v>0</v>
      </c>
      <c r="BM6" s="34">
        <f t="shared" si="17"/>
        <v>0</v>
      </c>
      <c r="BN6" s="34">
        <f t="shared" si="17"/>
        <v>0</v>
      </c>
      <c r="BO6" s="34">
        <f t="shared" si="17"/>
        <v>0</v>
      </c>
      <c r="BP6" s="34">
        <f t="shared" si="17"/>
        <v>0</v>
      </c>
      <c r="BQ6" s="34">
        <f t="shared" si="17"/>
        <v>0</v>
      </c>
      <c r="BR6" s="34">
        <f t="shared" si="17"/>
        <v>0</v>
      </c>
      <c r="BS6" s="34">
        <f t="shared" ref="BS6:CD6" si="18">IF((BS4-BS5)&gt;0,(BS4-BS5),0)</f>
        <v>0</v>
      </c>
      <c r="BT6" s="34">
        <f t="shared" si="18"/>
        <v>0</v>
      </c>
      <c r="BU6" s="34">
        <f t="shared" si="18"/>
        <v>0</v>
      </c>
      <c r="BV6" s="34">
        <f t="shared" si="18"/>
        <v>0</v>
      </c>
      <c r="BW6" s="34">
        <f t="shared" si="18"/>
        <v>0</v>
      </c>
      <c r="BX6" s="34">
        <f t="shared" si="18"/>
        <v>0</v>
      </c>
      <c r="BY6" s="34">
        <f t="shared" si="18"/>
        <v>0</v>
      </c>
      <c r="BZ6" s="34">
        <f t="shared" si="18"/>
        <v>0</v>
      </c>
      <c r="CA6" s="34">
        <f t="shared" si="18"/>
        <v>0</v>
      </c>
      <c r="CB6" s="34">
        <f t="shared" si="18"/>
        <v>0</v>
      </c>
      <c r="CC6" s="34">
        <f t="shared" si="18"/>
        <v>0</v>
      </c>
      <c r="CD6" s="34">
        <f t="shared" si="18"/>
        <v>0</v>
      </c>
      <c r="CE6" s="34">
        <f t="shared" ref="CE6:CO6" si="19">IF((CE4-CE5)&gt;0,(CE4-CE5),0)</f>
        <v>0</v>
      </c>
      <c r="CF6" s="34">
        <f t="shared" si="19"/>
        <v>0</v>
      </c>
      <c r="CG6" s="34">
        <f t="shared" si="19"/>
        <v>0</v>
      </c>
      <c r="CH6" s="34">
        <f t="shared" si="19"/>
        <v>0</v>
      </c>
      <c r="CI6" s="34">
        <f t="shared" si="19"/>
        <v>0</v>
      </c>
      <c r="CJ6" s="34">
        <f t="shared" si="19"/>
        <v>0</v>
      </c>
      <c r="CK6" s="34">
        <f t="shared" si="19"/>
        <v>0</v>
      </c>
      <c r="CL6" s="34">
        <f t="shared" si="19"/>
        <v>0</v>
      </c>
      <c r="CM6" s="34">
        <f t="shared" si="19"/>
        <v>0</v>
      </c>
      <c r="CN6" s="34">
        <f t="shared" si="19"/>
        <v>0</v>
      </c>
      <c r="CO6" s="34">
        <f t="shared" si="19"/>
        <v>0</v>
      </c>
      <c r="CP6" s="34">
        <f>IF((CP4-CP5)&gt;0,(CP4-CP5),0)</f>
        <v>0</v>
      </c>
      <c r="CQ6" s="34">
        <f>IF((CQ4-CQ5)&gt;0,(CQ4-CQ5),0)</f>
        <v>0</v>
      </c>
      <c r="CR6" s="34">
        <f>IF((CR4-CR5)&gt;0,(CR4-CR5),0)</f>
        <v>0</v>
      </c>
      <c r="CS6" s="34">
        <f t="shared" ref="CS6:DI6" si="20">IF((CS4-CS5)&gt;0,(CS4-CS5),0)</f>
        <v>0</v>
      </c>
      <c r="CT6" s="34">
        <f t="shared" si="20"/>
        <v>0</v>
      </c>
      <c r="CU6" s="34">
        <f t="shared" si="20"/>
        <v>0</v>
      </c>
      <c r="CV6" s="34">
        <f t="shared" si="20"/>
        <v>0</v>
      </c>
      <c r="CW6" s="34">
        <f t="shared" si="20"/>
        <v>0</v>
      </c>
      <c r="CX6" s="34">
        <f t="shared" si="20"/>
        <v>0</v>
      </c>
      <c r="CY6" s="34">
        <f t="shared" si="20"/>
        <v>0</v>
      </c>
      <c r="CZ6" s="34">
        <f t="shared" si="20"/>
        <v>0</v>
      </c>
      <c r="DA6" s="34">
        <f t="shared" si="20"/>
        <v>0</v>
      </c>
      <c r="DB6" s="34">
        <f t="shared" si="20"/>
        <v>0</v>
      </c>
      <c r="DC6" s="34">
        <f t="shared" si="20"/>
        <v>0</v>
      </c>
      <c r="DD6" s="34">
        <f t="shared" si="20"/>
        <v>0</v>
      </c>
      <c r="DE6" s="34">
        <f t="shared" si="20"/>
        <v>0</v>
      </c>
      <c r="DF6" s="34">
        <f t="shared" si="20"/>
        <v>0</v>
      </c>
      <c r="DG6" s="34">
        <f t="shared" si="20"/>
        <v>0</v>
      </c>
      <c r="DH6" s="34">
        <f t="shared" si="20"/>
        <v>0</v>
      </c>
      <c r="DI6" s="34">
        <f t="shared" si="20"/>
        <v>0</v>
      </c>
      <c r="DJ6" s="34">
        <f t="shared" ref="DJ6" si="21">IF((DJ4-DJ5)&gt;0,(DJ4-DJ5),0)</f>
        <v>0</v>
      </c>
      <c r="DK6" s="34">
        <f t="shared" ref="DK6" si="22">IF((DK4-DK5)&gt;0,(DK4-DK5),0)</f>
        <v>0</v>
      </c>
      <c r="DL6" s="34">
        <f t="shared" ref="DL6" si="23">IF((DL4-DL5)&gt;0,(DL4-DL5),0)</f>
        <v>0</v>
      </c>
      <c r="DM6" s="34">
        <f t="shared" ref="DM6" si="24">IF((DM4-DM5)&gt;0,(DM4-DM5),0)</f>
        <v>0</v>
      </c>
      <c r="DN6" s="34">
        <f t="shared" ref="DN6:DP6" si="25">IF((DN4-DN5)&gt;0,(DN4-DN5),0)</f>
        <v>0</v>
      </c>
      <c r="DO6" s="34">
        <f t="shared" si="25"/>
        <v>0</v>
      </c>
      <c r="DP6" s="34">
        <f t="shared" si="25"/>
        <v>0</v>
      </c>
      <c r="DQ6" s="34">
        <f t="shared" ref="DQ6:DS6" si="26">IF((DQ4-DQ5)&gt;0,(DQ4-DQ5),0)</f>
        <v>0</v>
      </c>
      <c r="DR6" s="34">
        <f t="shared" si="26"/>
        <v>0</v>
      </c>
      <c r="DS6" s="34">
        <f t="shared" si="26"/>
        <v>0</v>
      </c>
    </row>
    <row r="7" spans="1:123" x14ac:dyDescent="0.25">
      <c r="A7" s="43" t="s">
        <v>28</v>
      </c>
      <c r="B7" s="34">
        <f t="shared" ref="B7:BB7" si="27">B3-B5</f>
        <v>0</v>
      </c>
      <c r="C7" s="34">
        <f t="shared" si="27"/>
        <v>0</v>
      </c>
      <c r="D7" s="34">
        <f t="shared" si="27"/>
        <v>10120161</v>
      </c>
      <c r="E7" s="34">
        <f t="shared" si="27"/>
        <v>10120161</v>
      </c>
      <c r="F7" s="34">
        <f t="shared" si="27"/>
        <v>10120161</v>
      </c>
      <c r="G7" s="34">
        <f t="shared" si="27"/>
        <v>15148509</v>
      </c>
      <c r="H7" s="34">
        <f t="shared" si="27"/>
        <v>15148509</v>
      </c>
      <c r="I7" s="34">
        <f t="shared" si="27"/>
        <v>17338927</v>
      </c>
      <c r="J7" s="34">
        <f t="shared" si="27"/>
        <v>17338927</v>
      </c>
      <c r="K7" s="34">
        <f t="shared" si="27"/>
        <v>17338927</v>
      </c>
      <c r="L7" s="34">
        <f t="shared" si="27"/>
        <v>17338927</v>
      </c>
      <c r="M7" s="34">
        <f t="shared" si="27"/>
        <v>17338927</v>
      </c>
      <c r="N7" s="34">
        <f t="shared" si="27"/>
        <v>17338927</v>
      </c>
      <c r="O7" s="34">
        <f t="shared" si="27"/>
        <v>17338927</v>
      </c>
      <c r="P7" s="34">
        <f t="shared" si="27"/>
        <v>17338927</v>
      </c>
      <c r="Q7" s="34">
        <f t="shared" si="27"/>
        <v>17338927</v>
      </c>
      <c r="R7" s="34">
        <f t="shared" si="27"/>
        <v>17338927</v>
      </c>
      <c r="S7" s="34">
        <f t="shared" si="27"/>
        <v>17338927</v>
      </c>
      <c r="T7" s="34">
        <f t="shared" si="27"/>
        <v>17338927</v>
      </c>
      <c r="U7" s="34">
        <f t="shared" si="27"/>
        <v>17338927</v>
      </c>
      <c r="V7" s="34">
        <f t="shared" si="27"/>
        <v>17338927</v>
      </c>
      <c r="W7" s="34">
        <f t="shared" si="27"/>
        <v>17338927</v>
      </c>
      <c r="X7" s="34">
        <f t="shared" si="27"/>
        <v>17338927</v>
      </c>
      <c r="Y7" s="34">
        <f t="shared" si="27"/>
        <v>17338927</v>
      </c>
      <c r="Z7" s="34">
        <f t="shared" si="27"/>
        <v>17338927</v>
      </c>
      <c r="AA7" s="34">
        <f t="shared" si="27"/>
        <v>17338927</v>
      </c>
      <c r="AB7" s="34">
        <f t="shared" si="27"/>
        <v>17338927</v>
      </c>
      <c r="AC7" s="34">
        <f t="shared" si="27"/>
        <v>17338927</v>
      </c>
      <c r="AD7" s="34">
        <f t="shared" si="27"/>
        <v>17338927</v>
      </c>
      <c r="AE7" s="34">
        <f t="shared" si="27"/>
        <v>17338927</v>
      </c>
      <c r="AF7" s="34">
        <f t="shared" si="27"/>
        <v>17338927</v>
      </c>
      <c r="AG7" s="34">
        <f t="shared" si="27"/>
        <v>17338927</v>
      </c>
      <c r="AH7" s="34">
        <f t="shared" si="27"/>
        <v>17338927</v>
      </c>
      <c r="AI7" s="34">
        <f t="shared" si="27"/>
        <v>17338927</v>
      </c>
      <c r="AJ7" s="34">
        <f t="shared" si="27"/>
        <v>17338927</v>
      </c>
      <c r="AK7" s="34">
        <f t="shared" si="27"/>
        <v>17338927</v>
      </c>
      <c r="AL7" s="34">
        <f t="shared" si="27"/>
        <v>17338927</v>
      </c>
      <c r="AM7" s="34">
        <f t="shared" si="27"/>
        <v>17338927</v>
      </c>
      <c r="AN7" s="34">
        <f t="shared" si="27"/>
        <v>17338927</v>
      </c>
      <c r="AO7" s="34">
        <f t="shared" si="27"/>
        <v>17338927</v>
      </c>
      <c r="AP7" s="34">
        <f t="shared" si="27"/>
        <v>14629719.65625</v>
      </c>
      <c r="AQ7" s="34">
        <f t="shared" si="27"/>
        <v>14629719.65625</v>
      </c>
      <c r="AR7" s="34">
        <f t="shared" si="27"/>
        <v>14629719.65625</v>
      </c>
      <c r="AS7" s="34">
        <f t="shared" si="27"/>
        <v>14087878.1875</v>
      </c>
      <c r="AT7" s="34">
        <f t="shared" si="27"/>
        <v>14087878.1875</v>
      </c>
      <c r="AU7" s="34">
        <f t="shared" si="27"/>
        <v>14087878.1875</v>
      </c>
      <c r="AV7" s="34">
        <f t="shared" si="27"/>
        <v>13546036.71875</v>
      </c>
      <c r="AW7" s="34">
        <f t="shared" si="27"/>
        <v>13546036.71875</v>
      </c>
      <c r="AX7" s="34">
        <f t="shared" si="27"/>
        <v>13546036.71875</v>
      </c>
      <c r="AY7" s="34">
        <f t="shared" si="27"/>
        <v>13004195.25</v>
      </c>
      <c r="AZ7" s="34">
        <f t="shared" si="27"/>
        <v>13004195.25</v>
      </c>
      <c r="BA7" s="34">
        <f t="shared" si="27"/>
        <v>13004195.25</v>
      </c>
      <c r="BB7" s="34">
        <f t="shared" si="27"/>
        <v>12462353.78125</v>
      </c>
      <c r="BC7" s="34">
        <f t="shared" ref="BC7:BQ7" si="28">BC3-BC5</f>
        <v>12462353.78125</v>
      </c>
      <c r="BD7" s="34">
        <f t="shared" si="28"/>
        <v>12462353.78125</v>
      </c>
      <c r="BE7" s="34">
        <f t="shared" si="28"/>
        <v>11920512.3125</v>
      </c>
      <c r="BF7" s="34">
        <f t="shared" si="28"/>
        <v>11920512.3125</v>
      </c>
      <c r="BG7" s="34">
        <f t="shared" si="28"/>
        <v>11920512.3125</v>
      </c>
      <c r="BH7" s="34">
        <f t="shared" si="28"/>
        <v>11378670.84375</v>
      </c>
      <c r="BI7" s="34">
        <f t="shared" si="28"/>
        <v>11378670.84375</v>
      </c>
      <c r="BJ7" s="34">
        <f t="shared" si="28"/>
        <v>11378670.84375</v>
      </c>
      <c r="BK7" s="34">
        <f t="shared" si="28"/>
        <v>10836829.375</v>
      </c>
      <c r="BL7" s="34">
        <f t="shared" si="28"/>
        <v>10836829.375</v>
      </c>
      <c r="BM7" s="34">
        <f t="shared" si="28"/>
        <v>10836829.375</v>
      </c>
      <c r="BN7" s="34">
        <f t="shared" si="28"/>
        <v>10294987.90625</v>
      </c>
      <c r="BO7" s="34">
        <f t="shared" si="28"/>
        <v>10294987.90625</v>
      </c>
      <c r="BP7" s="34">
        <f t="shared" si="28"/>
        <v>10294987.90625</v>
      </c>
      <c r="BQ7" s="34">
        <f t="shared" si="28"/>
        <v>9753146.4375</v>
      </c>
      <c r="BR7" s="34">
        <f t="shared" ref="BR7:CD7" si="29">BR3-BR5</f>
        <v>9753146.4375</v>
      </c>
      <c r="BS7" s="34">
        <f t="shared" si="29"/>
        <v>9753146.4375</v>
      </c>
      <c r="BT7" s="34">
        <f t="shared" si="29"/>
        <v>9211304.96875</v>
      </c>
      <c r="BU7" s="34">
        <f t="shared" si="29"/>
        <v>9211304.96875</v>
      </c>
      <c r="BV7" s="34">
        <f t="shared" si="29"/>
        <v>9211304.96875</v>
      </c>
      <c r="BW7" s="34">
        <f t="shared" si="29"/>
        <v>8669463.5</v>
      </c>
      <c r="BX7" s="34">
        <f t="shared" si="29"/>
        <v>8669463.5</v>
      </c>
      <c r="BY7" s="34">
        <f t="shared" si="29"/>
        <v>8669463.5</v>
      </c>
      <c r="BZ7" s="34">
        <f t="shared" si="29"/>
        <v>8127622.03125</v>
      </c>
      <c r="CA7" s="34">
        <f t="shared" si="29"/>
        <v>8127622.03125</v>
      </c>
      <c r="CB7" s="34">
        <f t="shared" si="29"/>
        <v>8127622.03125</v>
      </c>
      <c r="CC7" s="34">
        <f t="shared" si="29"/>
        <v>7585780.5625</v>
      </c>
      <c r="CD7" s="34">
        <f t="shared" si="29"/>
        <v>7585780.5625</v>
      </c>
      <c r="CE7" s="34">
        <f t="shared" ref="CE7:CO7" si="30">CE3-CE5</f>
        <v>7585780.5625</v>
      </c>
      <c r="CF7" s="34">
        <f t="shared" si="30"/>
        <v>7043939.09375</v>
      </c>
      <c r="CG7" s="34">
        <f t="shared" si="30"/>
        <v>7043939.09375</v>
      </c>
      <c r="CH7" s="34">
        <f t="shared" si="30"/>
        <v>7043939.09375</v>
      </c>
      <c r="CI7" s="34">
        <f t="shared" si="30"/>
        <v>6502097.625</v>
      </c>
      <c r="CJ7" s="34">
        <f t="shared" si="30"/>
        <v>6502097.625</v>
      </c>
      <c r="CK7" s="34">
        <f t="shared" si="30"/>
        <v>6502097.625</v>
      </c>
      <c r="CL7" s="34">
        <f t="shared" si="30"/>
        <v>5960256.15625</v>
      </c>
      <c r="CM7" s="34">
        <f t="shared" si="30"/>
        <v>5960256.15625</v>
      </c>
      <c r="CN7" s="34">
        <f t="shared" si="30"/>
        <v>5960256.15625</v>
      </c>
      <c r="CO7" s="34">
        <f t="shared" si="30"/>
        <v>5418414.6875</v>
      </c>
      <c r="CP7" s="34">
        <f>CP3-CP5</f>
        <v>5418414.6875</v>
      </c>
      <c r="CQ7" s="34">
        <f>CQ3-CQ5</f>
        <v>5418414.6875</v>
      </c>
      <c r="CR7" s="34">
        <f>CR3-CR5</f>
        <v>4876573.21875</v>
      </c>
      <c r="CS7" s="34">
        <f t="shared" ref="CS7:DI7" si="31">CS3-CS5</f>
        <v>4876573.21875</v>
      </c>
      <c r="CT7" s="34">
        <f t="shared" si="31"/>
        <v>4876573.21875</v>
      </c>
      <c r="CU7" s="34">
        <f t="shared" si="31"/>
        <v>4334731.75</v>
      </c>
      <c r="CV7" s="34">
        <f t="shared" si="31"/>
        <v>4334731.75</v>
      </c>
      <c r="CW7" s="34">
        <f t="shared" si="31"/>
        <v>4334731.75</v>
      </c>
      <c r="CX7" s="34">
        <f t="shared" si="31"/>
        <v>3792890.28125</v>
      </c>
      <c r="CY7" s="34">
        <f t="shared" si="31"/>
        <v>3792890.28125</v>
      </c>
      <c r="CZ7" s="34">
        <f t="shared" si="31"/>
        <v>3792890.28125</v>
      </c>
      <c r="DA7" s="34">
        <f t="shared" si="31"/>
        <v>3251048.8125</v>
      </c>
      <c r="DB7" s="34">
        <f t="shared" si="31"/>
        <v>3251048.8125</v>
      </c>
      <c r="DC7" s="34">
        <f t="shared" si="31"/>
        <v>3251048.8125</v>
      </c>
      <c r="DD7" s="34">
        <f t="shared" si="31"/>
        <v>2709207.34375</v>
      </c>
      <c r="DE7" s="34">
        <f t="shared" si="31"/>
        <v>2709207.34375</v>
      </c>
      <c r="DF7" s="34">
        <f t="shared" si="31"/>
        <v>2709207.34375</v>
      </c>
      <c r="DG7" s="34">
        <f t="shared" si="31"/>
        <v>2167365.875</v>
      </c>
      <c r="DH7" s="34">
        <f t="shared" si="31"/>
        <v>2167365.875</v>
      </c>
      <c r="DI7" s="34">
        <f t="shared" si="31"/>
        <v>2167365.875</v>
      </c>
      <c r="DJ7" s="34">
        <f t="shared" ref="DJ7:DO7" si="32">DJ3-DJ5</f>
        <v>1625524.40625</v>
      </c>
      <c r="DK7" s="34">
        <f t="shared" si="32"/>
        <v>1625524.40625</v>
      </c>
      <c r="DL7" s="34">
        <f t="shared" si="32"/>
        <v>1625524.40625</v>
      </c>
      <c r="DM7" s="34">
        <f t="shared" si="32"/>
        <v>1083682.9375</v>
      </c>
      <c r="DN7" s="34">
        <f t="shared" si="32"/>
        <v>1083682.9375</v>
      </c>
      <c r="DO7" s="34">
        <f t="shared" si="32"/>
        <v>1083682.9375</v>
      </c>
      <c r="DP7" s="34">
        <f t="shared" ref="DP7:DS7" si="33">DP3-DP5</f>
        <v>541841.46875</v>
      </c>
      <c r="DQ7" s="34">
        <f t="shared" si="33"/>
        <v>541841.46875</v>
      </c>
      <c r="DR7" s="34">
        <f t="shared" si="33"/>
        <v>541841.46875</v>
      </c>
      <c r="DS7" s="34">
        <f t="shared" si="33"/>
        <v>0</v>
      </c>
    </row>
    <row r="8" spans="1:123" ht="15" x14ac:dyDescent="0.3">
      <c r="A8" s="42" t="s">
        <v>29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</row>
    <row r="9" spans="1:123" x14ac:dyDescent="0.25">
      <c r="A9" s="44" t="s">
        <v>30</v>
      </c>
      <c r="B9" s="34">
        <f>Accrual_Hydron!B26</f>
        <v>0</v>
      </c>
      <c r="C9" s="34">
        <f>Accrual_Hydron!C26</f>
        <v>0</v>
      </c>
      <c r="D9" s="34">
        <f>Accrual_Hydron!D26</f>
        <v>42167.337500000001</v>
      </c>
      <c r="E9" s="34">
        <f>Accrual_Hydron!E26</f>
        <v>94454.83600000001</v>
      </c>
      <c r="F9" s="34">
        <f>Accrual_Hydron!F26</f>
        <v>145055.641</v>
      </c>
      <c r="G9" s="34">
        <f>Accrual_Hydron!G26</f>
        <v>216618.47349999999</v>
      </c>
      <c r="H9" s="34">
        <f>Accrual_Hydron!H26</f>
        <v>292361.01850000001</v>
      </c>
      <c r="I9" s="34">
        <f>Accrual_Hydron!I26</f>
        <v>379755.05666666664</v>
      </c>
      <c r="J9" s="34">
        <f>Accrual_Hydron!J26</f>
        <v>469339.51283333334</v>
      </c>
      <c r="K9" s="34">
        <f>Accrual_Hydron!K26</f>
        <v>550254.50549999997</v>
      </c>
      <c r="L9" s="34">
        <f>Accrual_Hydron!L26</f>
        <v>639838.96166666667</v>
      </c>
      <c r="M9" s="34">
        <f>Accrual_Hydron!M26</f>
        <v>726533.59666666668</v>
      </c>
      <c r="N9" s="34">
        <f>Accrual_Hydron!N26</f>
        <v>816118.05283333338</v>
      </c>
      <c r="O9" s="34">
        <f>Accrual_Hydron!O26</f>
        <v>902812.68783333339</v>
      </c>
      <c r="P9" s="34">
        <f>Accrual_Hydron!P26</f>
        <v>992397.14400000009</v>
      </c>
      <c r="Q9" s="34">
        <f>Accrual_Hydron!Q26</f>
        <v>1081981.6001666668</v>
      </c>
      <c r="R9" s="34">
        <f>Accrual_Hydron!R26</f>
        <v>1168676.2351666668</v>
      </c>
      <c r="S9" s="34">
        <f>Accrual_Hydron!S26</f>
        <v>1258260.6913333335</v>
      </c>
      <c r="T9" s="34">
        <f>Accrual_Hydron!T26</f>
        <v>1344955.3263333335</v>
      </c>
      <c r="U9" s="34">
        <f>Accrual_Hydron!U26</f>
        <v>1434539.7825000002</v>
      </c>
      <c r="V9" s="34">
        <f>Accrual_Hydron!V26</f>
        <v>1524124.2386666669</v>
      </c>
      <c r="W9" s="34">
        <f>Accrual_Hydron!W26</f>
        <v>1607929.0525000002</v>
      </c>
      <c r="X9" s="34">
        <f>Accrual_Hydron!X26</f>
        <v>1697513.5086666669</v>
      </c>
      <c r="Y9" s="34">
        <f>Accrual_Hydron!Y26</f>
        <v>1784208.1436666669</v>
      </c>
      <c r="Z9" s="34">
        <f>Accrual_Hydron!Z26</f>
        <v>1873792.5998333336</v>
      </c>
      <c r="AA9" s="34">
        <f>Accrual_Hydron!AA26</f>
        <v>1960487.2348333336</v>
      </c>
      <c r="AB9" s="34">
        <f>Accrual_Hydron!AB26</f>
        <v>2050071.6910000003</v>
      </c>
      <c r="AC9" s="34">
        <f>Accrual_Hydron!AC26</f>
        <v>2139656.147166667</v>
      </c>
      <c r="AD9" s="34">
        <f>Accrual_Hydron!AD26</f>
        <v>2226441.0890781255</v>
      </c>
      <c r="AE9" s="34">
        <f>Accrual_Hydron!AE26</f>
        <v>2313226.030989584</v>
      </c>
      <c r="AF9" s="34">
        <f>Accrual_Hydron!AF26</f>
        <v>2397211.4586458341</v>
      </c>
      <c r="AG9" s="34">
        <f>Accrual_Hydron!AG26</f>
        <v>2483996.4005572926</v>
      </c>
      <c r="AH9" s="34">
        <f>Accrual_Hydron!AH26</f>
        <v>2567981.8282135427</v>
      </c>
      <c r="AI9" s="34">
        <f>Accrual_Hydron!AI26</f>
        <v>2643839.6338385427</v>
      </c>
      <c r="AJ9" s="34">
        <f>Accrual_Hydron!AJ26</f>
        <v>2727644.4476718763</v>
      </c>
      <c r="AK9" s="34">
        <f>Accrual_Hydron!AK26</f>
        <v>2806211.4606406265</v>
      </c>
      <c r="AL9" s="34">
        <f>Accrual_Hydron!AL26</f>
        <v>2887397.3740416681</v>
      </c>
      <c r="AM9" s="34">
        <f>Accrual_Hydron!AM26</f>
        <v>2966054.6939218766</v>
      </c>
      <c r="AN9" s="34">
        <f>Accrual_Hydron!AN26</f>
        <v>3044441.0930677098</v>
      </c>
      <c r="AO9" s="34">
        <f>Accrual_Hydron!AO26</f>
        <v>3122827.492213543</v>
      </c>
      <c r="AP9" s="34">
        <f>Accrual_Hydron!AP26</f>
        <v>3198594.9909270848</v>
      </c>
      <c r="AQ9" s="34">
        <f>Accrual_Hydron!AQ26</f>
        <v>3274181.8758177096</v>
      </c>
      <c r="AR9" s="34">
        <f>Accrual_Hydron!AR26</f>
        <v>3347330.4740989595</v>
      </c>
      <c r="AS9" s="34">
        <f>Accrual_Hydron!AS26</f>
        <v>3422736.7451666677</v>
      </c>
      <c r="AT9" s="34">
        <f>Accrual_Hydron!AT26</f>
        <v>3495524.1158020846</v>
      </c>
      <c r="AU9" s="34">
        <f>Accrual_Hydron!AU26</f>
        <v>3561267.5473437514</v>
      </c>
      <c r="AV9" s="34">
        <f>Accrual_Hydron!AV26</f>
        <v>3633874.3041562513</v>
      </c>
      <c r="AW9" s="34">
        <f>Accrual_Hydron!AW26</f>
        <v>3701604.4877500013</v>
      </c>
      <c r="AX9" s="34">
        <f>Accrual_Hydron!AX26</f>
        <v>3771592.3441302096</v>
      </c>
      <c r="AY9" s="34">
        <f>Accrual_Hydron!AY26</f>
        <v>3839232.2208125014</v>
      </c>
      <c r="AZ9" s="34">
        <f>Accrual_Hydron!AZ26</f>
        <v>3906420.5629375014</v>
      </c>
      <c r="BA9" s="34">
        <f>Accrual_Hydron!BA26</f>
        <v>3973608.9050625013</v>
      </c>
      <c r="BB9" s="34">
        <f>Accrual_Hydron!BB26</f>
        <v>4038539.5744010429</v>
      </c>
      <c r="BC9" s="34">
        <f>Accrual_Hydron!BC26</f>
        <v>4102928.4022708344</v>
      </c>
      <c r="BD9" s="34">
        <f>Accrual_Hydron!BD26</f>
        <v>4165240.1711770846</v>
      </c>
      <c r="BE9" s="34">
        <f>Accrual_Hydron!BE26</f>
        <v>4229448.3852239596</v>
      </c>
      <c r="BF9" s="34">
        <f>Accrual_Hydron!BF26</f>
        <v>4291037.6988385431</v>
      </c>
      <c r="BG9" s="34">
        <f>Accrual_Hydron!BG26</f>
        <v>4346666.7562968768</v>
      </c>
      <c r="BH9" s="34">
        <f>Accrual_Hydron!BH26</f>
        <v>4408075.4560885439</v>
      </c>
      <c r="BI9" s="34">
        <f>Accrual_Hydron!BI26</f>
        <v>4464968.8103072941</v>
      </c>
      <c r="BJ9" s="34">
        <f>Accrual_Hydron!BJ26</f>
        <v>4523758.6096666688</v>
      </c>
      <c r="BK9" s="34">
        <f>Accrual_Hydron!BK26</f>
        <v>4580561.6569739608</v>
      </c>
      <c r="BL9" s="34">
        <f>Accrual_Hydron!BL26</f>
        <v>4636551.9420781275</v>
      </c>
      <c r="BM9" s="34">
        <f>Accrual_Hydron!BM26</f>
        <v>4692542.2271822942</v>
      </c>
      <c r="BN9" s="34">
        <f>Accrual_Hydron!BN26</f>
        <v>4746636.0671458356</v>
      </c>
      <c r="BO9" s="34">
        <f>Accrual_Hydron!BO26</f>
        <v>4799826.8379947944</v>
      </c>
      <c r="BP9" s="34">
        <f>Accrual_Hydron!BP26</f>
        <v>4851301.7775260443</v>
      </c>
      <c r="BQ9" s="34">
        <f>Accrual_Hydron!BQ26</f>
        <v>4904311.9345520856</v>
      </c>
      <c r="BR9" s="34">
        <f>Accrual_Hydron!BR26</f>
        <v>4954703.1911458354</v>
      </c>
      <c r="BS9" s="34">
        <f>Accrual_Hydron!BS26</f>
        <v>5001843.3989270851</v>
      </c>
      <c r="BT9" s="34">
        <f>Accrual_Hydron!BT26</f>
        <v>5052054.0416979184</v>
      </c>
      <c r="BU9" s="34">
        <f>Accrual_Hydron!BU26</f>
        <v>5098110.566541668</v>
      </c>
      <c r="BV9" s="34">
        <f>Accrual_Hydron!BV26</f>
        <v>5145702.3088802099</v>
      </c>
      <c r="BW9" s="34">
        <f>Accrual_Hydron!BW26</f>
        <v>5191668.5268125013</v>
      </c>
      <c r="BX9" s="34">
        <f>Accrual_Hydron!BX26</f>
        <v>5236460.7548958343</v>
      </c>
      <c r="BY9" s="34">
        <f>Accrual_Hydron!BY26</f>
        <v>5281252.9829791673</v>
      </c>
      <c r="BZ9" s="34">
        <f>Accrual_Hydron!BZ26</f>
        <v>5324509.9935677089</v>
      </c>
      <c r="CA9" s="34">
        <f>Accrual_Hydron!CA26</f>
        <v>5366502.7073958339</v>
      </c>
      <c r="CB9" s="34">
        <f>Accrual_Hydron!CB26</f>
        <v>5407140.8175520841</v>
      </c>
      <c r="CC9" s="34">
        <f>Accrual_Hydron!CC26</f>
        <v>5448952.9175572926</v>
      </c>
      <c r="CD9" s="34">
        <f>Accrual_Hydron!CD26</f>
        <v>5488146.1171302097</v>
      </c>
      <c r="CE9" s="34">
        <f>Accrual_Hydron!CE26</f>
        <v>5523546.4264218761</v>
      </c>
      <c r="CF9" s="34">
        <f>Accrual_Hydron!CF26</f>
        <v>5562559.0121718757</v>
      </c>
      <c r="CG9" s="34">
        <f>Accrual_Hydron!CG26</f>
        <v>5597778.7076406255</v>
      </c>
      <c r="CH9" s="34">
        <f>Accrual_Hydron!CH26</f>
        <v>5634172.3929583337</v>
      </c>
      <c r="CI9" s="34">
        <f>Accrual_Hydron!CI26</f>
        <v>5669301.7815156253</v>
      </c>
      <c r="CJ9" s="34">
        <f>Accrual_Hydron!CJ26</f>
        <v>5702895.9525781255</v>
      </c>
      <c r="CK9" s="34">
        <f>Accrual_Hydron!CK26</f>
        <v>5736490.1236406257</v>
      </c>
      <c r="CL9" s="34">
        <f>Accrual_Hydron!CL26</f>
        <v>5768910.3048541676</v>
      </c>
      <c r="CM9" s="34">
        <f>Accrual_Hydron!CM26</f>
        <v>5799704.9616614589</v>
      </c>
      <c r="CN9" s="34">
        <f>Accrual_Hydron!CN26</f>
        <v>5829506.2424427094</v>
      </c>
      <c r="CO9" s="34">
        <f>Accrual_Hydron!CO26</f>
        <v>5860120.2854270842</v>
      </c>
      <c r="CP9" s="34">
        <f>Accrual_Hydron!CP26</f>
        <v>5888115.4279791676</v>
      </c>
      <c r="CQ9" s="34">
        <f>Accrual_Hydron!CQ26</f>
        <v>5913401.3631875012</v>
      </c>
      <c r="CR9" s="34">
        <f>Accrual_Hydron!CR26</f>
        <v>5941215.891916668</v>
      </c>
      <c r="CS9" s="34">
        <f>Accrual_Hydron!CS26</f>
        <v>5965598.7580104182</v>
      </c>
      <c r="CT9" s="34">
        <f>Accrual_Hydron!CT26</f>
        <v>5990794.3863072935</v>
      </c>
      <c r="CU9" s="34">
        <f>Accrual_Hydron!CU26</f>
        <v>6015086.9454895854</v>
      </c>
      <c r="CV9" s="34">
        <f>Accrual_Hydron!CV26</f>
        <v>6037483.0595312519</v>
      </c>
      <c r="CW9" s="34">
        <f>Accrual_Hydron!CW26</f>
        <v>6059879.1735729184</v>
      </c>
      <c r="CX9" s="34">
        <f>Accrual_Hydron!CX26</f>
        <v>6081462.5254114596</v>
      </c>
      <c r="CY9" s="34">
        <f>Accrual_Hydron!CY26</f>
        <v>6101059.1251979182</v>
      </c>
      <c r="CZ9" s="34">
        <f>Accrual_Hydron!CZ26</f>
        <v>6120023.5766041679</v>
      </c>
      <c r="DA9" s="34">
        <f>Accrual_Hydron!DA26</f>
        <v>6139439.5625677099</v>
      </c>
      <c r="DB9" s="34">
        <f>Accrual_Hydron!DB26</f>
        <v>6156236.6480989596</v>
      </c>
      <c r="DC9" s="34">
        <f>Accrual_Hydron!DC26</f>
        <v>6171408.2092239596</v>
      </c>
      <c r="DD9" s="34">
        <f>Accrual_Hydron!DD26</f>
        <v>6188024.6809322927</v>
      </c>
      <c r="DE9" s="34">
        <f>Accrual_Hydron!DE26</f>
        <v>6201570.7176510431</v>
      </c>
      <c r="DF9" s="34">
        <f>Accrual_Hydron!DF26</f>
        <v>6215568.2889270848</v>
      </c>
      <c r="DG9" s="34">
        <f>Accrual_Hydron!DG26</f>
        <v>6229024.0187343769</v>
      </c>
      <c r="DH9" s="34">
        <f>Accrual_Hydron!DH26</f>
        <v>6240222.0757552106</v>
      </c>
      <c r="DI9" s="34">
        <f>Accrual_Hydron!DI26</f>
        <v>6251420.1327760443</v>
      </c>
      <c r="DJ9" s="34">
        <f>Accrual_Hydron!DJ26</f>
        <v>6262166.6552395858</v>
      </c>
      <c r="DK9" s="34">
        <f>Accrual_Hydron!DK26</f>
        <v>6270565.1980052106</v>
      </c>
      <c r="DL9" s="34">
        <f>Accrual_Hydron!DL26</f>
        <v>6278692.8200364606</v>
      </c>
      <c r="DM9" s="34">
        <f>Accrual_Hydron!DM26</f>
        <v>6286910.7489791689</v>
      </c>
      <c r="DN9" s="34">
        <f>Accrual_Hydron!DN26</f>
        <v>6292509.7774895858</v>
      </c>
      <c r="DO9" s="34">
        <f>Accrual_Hydron!DO26</f>
        <v>6297747.5783541687</v>
      </c>
      <c r="DP9" s="34">
        <f>Accrual_Hydron!DP26</f>
        <v>6303165.993041669</v>
      </c>
      <c r="DQ9" s="34">
        <f>Accrual_Hydron!DQ26</f>
        <v>6305875.2003854187</v>
      </c>
      <c r="DR9" s="34">
        <f>Accrual_Hydron!DR26</f>
        <v>6308674.7146406267</v>
      </c>
      <c r="DS9" s="34">
        <f>Accrual_Hydron!DS26</f>
        <v>6311293.6150729181</v>
      </c>
    </row>
    <row r="10" spans="1:123" x14ac:dyDescent="0.25">
      <c r="A10" s="43" t="s">
        <v>31</v>
      </c>
      <c r="B10" s="34">
        <f>Hydron_Loan!B33</f>
        <v>0</v>
      </c>
      <c r="C10" s="34">
        <f>B10</f>
        <v>0</v>
      </c>
      <c r="D10" s="34">
        <f>C10</f>
        <v>0</v>
      </c>
      <c r="E10" s="34">
        <f>D10</f>
        <v>0</v>
      </c>
      <c r="F10" s="34">
        <v>0</v>
      </c>
      <c r="G10" s="34">
        <f>F10</f>
        <v>0</v>
      </c>
      <c r="H10" s="34">
        <f>G10</f>
        <v>0</v>
      </c>
      <c r="I10" s="34">
        <f>Hydron_Loan!$C$33</f>
        <v>0</v>
      </c>
      <c r="J10" s="34">
        <f>I10</f>
        <v>0</v>
      </c>
      <c r="K10" s="34">
        <f>J10</f>
        <v>0</v>
      </c>
      <c r="L10" s="34">
        <f>Hydron_Loan!$D$33</f>
        <v>634059.31933333329</v>
      </c>
      <c r="M10" s="34">
        <f>L10</f>
        <v>634059.31933333329</v>
      </c>
      <c r="N10" s="34">
        <f>M10</f>
        <v>634059.31933333329</v>
      </c>
      <c r="O10" s="34">
        <f>Hydron_Loan!$E$33</f>
        <v>899922.86666666658</v>
      </c>
      <c r="P10" s="34">
        <f>O10</f>
        <v>899922.86666666658</v>
      </c>
      <c r="Q10" s="34">
        <f>P10</f>
        <v>899922.86666666658</v>
      </c>
      <c r="R10" s="34">
        <f>Hydron_Loan!$F$33</f>
        <v>1165786.4139999999</v>
      </c>
      <c r="S10" s="34">
        <f>R10</f>
        <v>1165786.4139999999</v>
      </c>
      <c r="T10" s="34">
        <f>S10</f>
        <v>1165786.4139999999</v>
      </c>
      <c r="U10" s="34">
        <f>Hydron_Loan!$G$33</f>
        <v>1428760.1401666666</v>
      </c>
      <c r="V10" s="34">
        <f>U10</f>
        <v>1428760.1401666666</v>
      </c>
      <c r="W10" s="34">
        <f>V10</f>
        <v>1428760.1401666666</v>
      </c>
      <c r="X10" s="34">
        <f>Hydron_Loan!$H$33</f>
        <v>1691733.8663333333</v>
      </c>
      <c r="Y10" s="34">
        <f>X10</f>
        <v>1691733.8663333333</v>
      </c>
      <c r="Z10" s="34">
        <f>Y10</f>
        <v>1691733.8663333333</v>
      </c>
      <c r="AA10" s="34">
        <f>Hydron_Loan!$I$33</f>
        <v>1957597.4136666665</v>
      </c>
      <c r="AB10" s="34">
        <f>AA10</f>
        <v>1957597.4136666665</v>
      </c>
      <c r="AC10" s="34">
        <f>AB10</f>
        <v>1957597.4136666665</v>
      </c>
      <c r="AD10" s="34">
        <f>Hydron_Loan!$J$33</f>
        <v>2229240.603333333</v>
      </c>
      <c r="AE10" s="34">
        <f>AD10</f>
        <v>2229240.603333333</v>
      </c>
      <c r="AF10" s="34">
        <f>AE10</f>
        <v>2229240.603333333</v>
      </c>
      <c r="AG10" s="34">
        <f>Hydron_Loan!$K$33</f>
        <v>2483996.4005572912</v>
      </c>
      <c r="AH10" s="34">
        <f>AG10</f>
        <v>2483996.4005572912</v>
      </c>
      <c r="AI10" s="34">
        <f>AH10</f>
        <v>2483996.4005572912</v>
      </c>
      <c r="AJ10" s="34">
        <f>Hydron_Loan!$L$33</f>
        <v>2722406.6468072911</v>
      </c>
      <c r="AK10" s="34">
        <f>AJ10</f>
        <v>2722406.6468072911</v>
      </c>
      <c r="AL10" s="34">
        <f>AK10</f>
        <v>2722406.6468072911</v>
      </c>
      <c r="AM10" s="34">
        <f>Hydron_Loan!$M$33</f>
        <v>2968583.2874427079</v>
      </c>
      <c r="AN10" s="34">
        <f>AM10</f>
        <v>2968583.2874427079</v>
      </c>
      <c r="AO10" s="34">
        <f>AN10</f>
        <v>2968583.2874427079</v>
      </c>
      <c r="AP10" s="34">
        <f>Hydron_Loan!$N$33</f>
        <v>3196156.704317708</v>
      </c>
      <c r="AQ10" s="34">
        <f t="shared" ref="AQ10:CQ10" si="34">AP10</f>
        <v>3196156.704317708</v>
      </c>
      <c r="AR10" s="34">
        <f t="shared" si="34"/>
        <v>3196156.704317708</v>
      </c>
      <c r="AS10" s="34">
        <f>Hydron_Loan!$O$33</f>
        <v>3418040.785770833</v>
      </c>
      <c r="AT10" s="34">
        <f t="shared" si="34"/>
        <v>3418040.785770833</v>
      </c>
      <c r="AU10" s="34">
        <f t="shared" si="34"/>
        <v>3418040.785770833</v>
      </c>
      <c r="AV10" s="34">
        <f>Hydron_Loan!$P$33</f>
        <v>3629358.9585833331</v>
      </c>
      <c r="AW10" s="34">
        <f t="shared" si="34"/>
        <v>3629358.9585833331</v>
      </c>
      <c r="AX10" s="34">
        <f t="shared" si="34"/>
        <v>3629358.9585833331</v>
      </c>
      <c r="AY10" s="34">
        <f>Hydron_Loan!$Q$33</f>
        <v>3837064.8549374999</v>
      </c>
      <c r="AZ10" s="34">
        <f t="shared" si="34"/>
        <v>3837064.8549374999</v>
      </c>
      <c r="BA10" s="34">
        <f t="shared" si="34"/>
        <v>3837064.8549374999</v>
      </c>
      <c r="BB10" s="34">
        <f>Hydron_Loan!$R$33</f>
        <v>4036462.5154374996</v>
      </c>
      <c r="BC10" s="34">
        <f t="shared" si="34"/>
        <v>4036462.5154374996</v>
      </c>
      <c r="BD10" s="34">
        <f t="shared" si="34"/>
        <v>4036462.5154374996</v>
      </c>
      <c r="BE10" s="34">
        <f>Hydron_Loan!$S$33</f>
        <v>4225474.8811197914</v>
      </c>
      <c r="BF10" s="34">
        <f t="shared" si="34"/>
        <v>4225474.8811197914</v>
      </c>
      <c r="BG10" s="34">
        <f t="shared" si="34"/>
        <v>4225474.8811197914</v>
      </c>
      <c r="BH10" s="34">
        <f>Hydron_Loan!$T$33</f>
        <v>4404282.5658072913</v>
      </c>
      <c r="BI10" s="34">
        <f t="shared" si="34"/>
        <v>4404282.5658072913</v>
      </c>
      <c r="BJ10" s="34">
        <f t="shared" si="34"/>
        <v>4404282.5658072913</v>
      </c>
      <c r="BK10" s="34">
        <f>Hydron_Loan!$U$33</f>
        <v>4578755.5187447909</v>
      </c>
      <c r="BL10" s="34">
        <f t="shared" si="34"/>
        <v>4578755.5187447909</v>
      </c>
      <c r="BM10" s="34">
        <f t="shared" si="34"/>
        <v>4578755.5187447909</v>
      </c>
      <c r="BN10" s="34">
        <f>Hydron_Loan!$V$33</f>
        <v>4744920.235828124</v>
      </c>
      <c r="BO10" s="34">
        <f t="shared" si="34"/>
        <v>4744920.235828124</v>
      </c>
      <c r="BP10" s="34">
        <f t="shared" si="34"/>
        <v>4744920.235828124</v>
      </c>
      <c r="BQ10" s="34">
        <f>Hydron_Loan!$W$33</f>
        <v>4901060.8857395826</v>
      </c>
      <c r="BR10" s="34">
        <f t="shared" si="34"/>
        <v>4901060.8857395826</v>
      </c>
      <c r="BS10" s="34">
        <f t="shared" si="34"/>
        <v>4901060.8857395826</v>
      </c>
      <c r="BT10" s="34">
        <f>Hydron_Loan!$X$33</f>
        <v>5048983.6067083329</v>
      </c>
      <c r="BU10" s="34">
        <f t="shared" si="34"/>
        <v>5048983.6067083329</v>
      </c>
      <c r="BV10" s="34">
        <f t="shared" si="34"/>
        <v>5048983.6067083329</v>
      </c>
      <c r="BW10" s="34">
        <f>Hydron_Loan!$Y$33</f>
        <v>5190223.6162291663</v>
      </c>
      <c r="BX10" s="34">
        <f t="shared" si="34"/>
        <v>5190223.6162291663</v>
      </c>
      <c r="BY10" s="34">
        <f t="shared" si="34"/>
        <v>5190223.6162291663</v>
      </c>
      <c r="BZ10" s="34">
        <f>Hydron_Loan!$Z$33</f>
        <v>5323155.3898958331</v>
      </c>
      <c r="CA10" s="34">
        <f t="shared" si="34"/>
        <v>5323155.3898958331</v>
      </c>
      <c r="CB10" s="34">
        <f t="shared" si="34"/>
        <v>5323155.3898958331</v>
      </c>
      <c r="CC10" s="34">
        <f>Hydron_Loan!$AA$33</f>
        <v>5446424.3240364585</v>
      </c>
      <c r="CD10" s="34">
        <f t="shared" si="34"/>
        <v>5446424.3240364585</v>
      </c>
      <c r="CE10" s="34">
        <f t="shared" si="34"/>
        <v>5446424.3240364585</v>
      </c>
      <c r="CF10" s="34">
        <f>Hydron_Loan!$AB$33</f>
        <v>5560211.0324739581</v>
      </c>
      <c r="CG10" s="34">
        <f t="shared" si="34"/>
        <v>5560211.0324739581</v>
      </c>
      <c r="CH10" s="34">
        <f t="shared" si="34"/>
        <v>5560211.0324739581</v>
      </c>
      <c r="CI10" s="34">
        <f>Hydron_Loan!$AC$33</f>
        <v>5668218.0985781243</v>
      </c>
      <c r="CJ10" s="34">
        <f t="shared" si="34"/>
        <v>5668218.0985781243</v>
      </c>
      <c r="CK10" s="34">
        <f t="shared" si="34"/>
        <v>5668218.0985781243</v>
      </c>
      <c r="CL10" s="34">
        <f>Hydron_Loan!$AD$33</f>
        <v>5767916.928828124</v>
      </c>
      <c r="CM10" s="34">
        <f t="shared" si="34"/>
        <v>5767916.928828124</v>
      </c>
      <c r="CN10" s="34">
        <f t="shared" si="34"/>
        <v>5767916.928828124</v>
      </c>
      <c r="CO10" s="34">
        <f>Hydron_Loan!$AE$33</f>
        <v>5858314.1471979152</v>
      </c>
      <c r="CP10" s="34">
        <f t="shared" si="34"/>
        <v>5858314.1471979152</v>
      </c>
      <c r="CQ10" s="34">
        <f t="shared" si="34"/>
        <v>5858314.1471979152</v>
      </c>
      <c r="CR10" s="34">
        <f>Hydron_Loan!$AF$33</f>
        <v>5939590.3675104156</v>
      </c>
      <c r="CS10" s="34">
        <f t="shared" ref="CS10" si="35">CR10</f>
        <v>5939590.3675104156</v>
      </c>
      <c r="CT10" s="34">
        <f t="shared" ref="CT10" si="36">CS10</f>
        <v>5939590.3675104156</v>
      </c>
      <c r="CU10" s="34">
        <f>Hydron_Loan!$AG$33</f>
        <v>6014364.4901979156</v>
      </c>
      <c r="CV10" s="34">
        <f t="shared" ref="CV10" si="37">CU10</f>
        <v>6014364.4901979156</v>
      </c>
      <c r="CW10" s="34">
        <f t="shared" ref="CW10" si="38">CV10</f>
        <v>6014364.4901979156</v>
      </c>
      <c r="CX10" s="34">
        <f>Hydron_Loan!$AH$33</f>
        <v>6080830.377031249</v>
      </c>
      <c r="CY10" s="34">
        <f t="shared" ref="CY10" si="39">CX10</f>
        <v>6080830.377031249</v>
      </c>
      <c r="CZ10" s="34">
        <f t="shared" ref="CZ10" si="40">CY10</f>
        <v>6080830.377031249</v>
      </c>
      <c r="DA10" s="34">
        <f>Hydron_Loan!$AI$33</f>
        <v>6138355.8796302071</v>
      </c>
      <c r="DB10" s="34">
        <f t="shared" ref="DB10" si="41">DA10</f>
        <v>6138355.8796302071</v>
      </c>
      <c r="DC10" s="34">
        <f t="shared" ref="DC10" si="42">DB10</f>
        <v>6138355.8796302071</v>
      </c>
      <c r="DD10" s="34">
        <f>Hydron_Loan!$AJ$33</f>
        <v>6187121.6118177073</v>
      </c>
      <c r="DE10" s="34">
        <f t="shared" ref="DE10" si="43">DD10</f>
        <v>6187121.6118177073</v>
      </c>
      <c r="DF10" s="34">
        <f t="shared" ref="DF10" si="44">DE10</f>
        <v>6187121.6118177073</v>
      </c>
      <c r="DG10" s="34">
        <f>Hydron_Loan!$AK$33</f>
        <v>6228662.791088541</v>
      </c>
      <c r="DH10" s="34">
        <f t="shared" ref="DH10" si="45">DG10</f>
        <v>6228662.791088541</v>
      </c>
      <c r="DI10" s="34">
        <f t="shared" ref="DI10" si="46">DH10</f>
        <v>6228662.791088541</v>
      </c>
      <c r="DJ10" s="34">
        <f>Hydron_Loan!$AL$33</f>
        <v>6261895.7345052073</v>
      </c>
      <c r="DK10" s="34">
        <f t="shared" ref="DK10" si="47">DJ10</f>
        <v>6261895.7345052073</v>
      </c>
      <c r="DL10" s="34">
        <f t="shared" ref="DL10" si="48">DK10</f>
        <v>6261895.7345052073</v>
      </c>
      <c r="DM10" s="34">
        <f>Hydron_Loan!$AM$33</f>
        <v>6286549.5213333322</v>
      </c>
      <c r="DN10" s="34">
        <f>DM10</f>
        <v>6286549.5213333322</v>
      </c>
      <c r="DO10" s="34">
        <f t="shared" ref="DO10" si="49">DN10</f>
        <v>6286549.5213333322</v>
      </c>
      <c r="DP10" s="34">
        <f>Hydron_Loan!$AN$33</f>
        <v>6302985.3792187488</v>
      </c>
      <c r="DQ10" s="131">
        <f>DP10</f>
        <v>6302985.3792187488</v>
      </c>
      <c r="DR10" s="131">
        <f>DQ10</f>
        <v>6302985.3792187488</v>
      </c>
      <c r="DS10" s="34">
        <f>Hydron_Loan!$AO$33</f>
        <v>6311293.6150729153</v>
      </c>
    </row>
    <row r="11" spans="1:123" x14ac:dyDescent="0.25">
      <c r="A11" s="43" t="s">
        <v>32</v>
      </c>
      <c r="B11" s="34">
        <f t="shared" ref="B11:E11" si="50">B26</f>
        <v>0</v>
      </c>
      <c r="C11" s="34">
        <f t="shared" si="50"/>
        <v>0</v>
      </c>
      <c r="D11" s="34">
        <f t="shared" si="50"/>
        <v>0</v>
      </c>
      <c r="E11" s="34">
        <f t="shared" si="50"/>
        <v>0</v>
      </c>
      <c r="F11" s="34">
        <f t="shared" ref="F11:K11" si="51">F26</f>
        <v>0</v>
      </c>
      <c r="G11" s="34">
        <f t="shared" si="51"/>
        <v>0</v>
      </c>
      <c r="H11" s="34">
        <f t="shared" si="51"/>
        <v>0</v>
      </c>
      <c r="I11" s="34">
        <f t="shared" si="51"/>
        <v>0</v>
      </c>
      <c r="J11" s="34">
        <f t="shared" si="51"/>
        <v>0</v>
      </c>
      <c r="K11" s="34">
        <f t="shared" si="51"/>
        <v>0</v>
      </c>
      <c r="L11" s="34">
        <f t="shared" ref="L11:AP11" si="52">L26</f>
        <v>0</v>
      </c>
      <c r="M11" s="34">
        <f t="shared" si="52"/>
        <v>0</v>
      </c>
      <c r="N11" s="34">
        <f t="shared" si="52"/>
        <v>0</v>
      </c>
      <c r="O11" s="34">
        <f t="shared" si="52"/>
        <v>0</v>
      </c>
      <c r="P11" s="34">
        <f t="shared" si="52"/>
        <v>0</v>
      </c>
      <c r="Q11" s="34">
        <f t="shared" si="52"/>
        <v>0</v>
      </c>
      <c r="R11" s="34">
        <f t="shared" si="52"/>
        <v>0</v>
      </c>
      <c r="S11" s="34">
        <f t="shared" si="52"/>
        <v>0</v>
      </c>
      <c r="T11" s="34">
        <f t="shared" si="52"/>
        <v>0</v>
      </c>
      <c r="U11" s="34">
        <f t="shared" si="52"/>
        <v>0</v>
      </c>
      <c r="V11" s="34">
        <f t="shared" si="52"/>
        <v>0</v>
      </c>
      <c r="W11" s="34">
        <f t="shared" si="52"/>
        <v>0</v>
      </c>
      <c r="X11" s="34">
        <f t="shared" si="52"/>
        <v>0</v>
      </c>
      <c r="Y11" s="34">
        <f t="shared" si="52"/>
        <v>0</v>
      </c>
      <c r="Z11" s="34">
        <f t="shared" si="52"/>
        <v>0</v>
      </c>
      <c r="AA11" s="34">
        <f t="shared" si="52"/>
        <v>0</v>
      </c>
      <c r="AB11" s="34">
        <f t="shared" si="52"/>
        <v>0</v>
      </c>
      <c r="AC11" s="34">
        <f t="shared" si="52"/>
        <v>0</v>
      </c>
      <c r="AD11" s="34">
        <f t="shared" si="52"/>
        <v>0</v>
      </c>
      <c r="AE11" s="34">
        <f t="shared" si="52"/>
        <v>0</v>
      </c>
      <c r="AF11" s="34">
        <f t="shared" si="52"/>
        <v>0</v>
      </c>
      <c r="AG11" s="34">
        <f t="shared" si="52"/>
        <v>0</v>
      </c>
      <c r="AH11" s="34">
        <f t="shared" si="52"/>
        <v>0</v>
      </c>
      <c r="AI11" s="34">
        <f>AI26</f>
        <v>0</v>
      </c>
      <c r="AJ11" s="34">
        <f t="shared" si="52"/>
        <v>0</v>
      </c>
      <c r="AK11" s="34">
        <f t="shared" si="52"/>
        <v>0</v>
      </c>
      <c r="AL11" s="34">
        <f t="shared" si="52"/>
        <v>0</v>
      </c>
      <c r="AM11" s="34">
        <f t="shared" si="52"/>
        <v>0</v>
      </c>
      <c r="AN11" s="34">
        <f t="shared" si="52"/>
        <v>0</v>
      </c>
      <c r="AO11" s="34">
        <f t="shared" si="52"/>
        <v>0</v>
      </c>
      <c r="AP11" s="34">
        <f t="shared" si="52"/>
        <v>3196156.704317708</v>
      </c>
      <c r="AQ11" s="34">
        <f t="shared" ref="AQ11:BV11" si="53">AQ26</f>
        <v>3196156.704317708</v>
      </c>
      <c r="AR11" s="34">
        <f t="shared" si="53"/>
        <v>3196156.704317708</v>
      </c>
      <c r="AS11" s="34">
        <f t="shared" si="53"/>
        <v>3418040.785770833</v>
      </c>
      <c r="AT11" s="34">
        <f t="shared" si="53"/>
        <v>3418040.785770833</v>
      </c>
      <c r="AU11" s="34">
        <f t="shared" si="53"/>
        <v>3418040.785770833</v>
      </c>
      <c r="AV11" s="34">
        <f t="shared" si="53"/>
        <v>3629358.9585833331</v>
      </c>
      <c r="AW11" s="34">
        <f t="shared" si="53"/>
        <v>3629358.9585833331</v>
      </c>
      <c r="AX11" s="34">
        <f t="shared" si="53"/>
        <v>3629358.9585833331</v>
      </c>
      <c r="AY11" s="34">
        <f t="shared" si="53"/>
        <v>3837064.8549374999</v>
      </c>
      <c r="AZ11" s="34">
        <f t="shared" si="53"/>
        <v>3837064.8549374999</v>
      </c>
      <c r="BA11" s="34">
        <f t="shared" si="53"/>
        <v>3837064.8549374999</v>
      </c>
      <c r="BB11" s="34">
        <f t="shared" si="53"/>
        <v>4036462.5154374996</v>
      </c>
      <c r="BC11" s="34">
        <f t="shared" si="53"/>
        <v>4036462.5154374996</v>
      </c>
      <c r="BD11" s="34">
        <f t="shared" si="53"/>
        <v>4036462.5154374996</v>
      </c>
      <c r="BE11" s="34">
        <f t="shared" si="53"/>
        <v>4225474.8811197914</v>
      </c>
      <c r="BF11" s="34">
        <f t="shared" si="53"/>
        <v>4225474.8811197914</v>
      </c>
      <c r="BG11" s="34">
        <f t="shared" si="53"/>
        <v>4225474.8811197914</v>
      </c>
      <c r="BH11" s="34">
        <f t="shared" si="53"/>
        <v>4404282.5658072913</v>
      </c>
      <c r="BI11" s="34">
        <f t="shared" si="53"/>
        <v>4404282.5658072913</v>
      </c>
      <c r="BJ11" s="34">
        <f t="shared" si="53"/>
        <v>4404282.5658072913</v>
      </c>
      <c r="BK11" s="34">
        <f t="shared" si="53"/>
        <v>4578755.5187447909</v>
      </c>
      <c r="BL11" s="34">
        <f t="shared" si="53"/>
        <v>4578755.5187447909</v>
      </c>
      <c r="BM11" s="34">
        <f t="shared" si="53"/>
        <v>4578755.5187447909</v>
      </c>
      <c r="BN11" s="34">
        <f t="shared" si="53"/>
        <v>4744920.235828124</v>
      </c>
      <c r="BO11" s="34">
        <f t="shared" si="53"/>
        <v>4744920.235828124</v>
      </c>
      <c r="BP11" s="34">
        <f t="shared" si="53"/>
        <v>4744920.235828124</v>
      </c>
      <c r="BQ11" s="34">
        <f t="shared" si="53"/>
        <v>4901060.8857395826</v>
      </c>
      <c r="BR11" s="34">
        <f t="shared" si="53"/>
        <v>4901060.8857395826</v>
      </c>
      <c r="BS11" s="34">
        <f t="shared" si="53"/>
        <v>4901060.8857395826</v>
      </c>
      <c r="BT11" s="34">
        <f t="shared" si="53"/>
        <v>5048983.6067083329</v>
      </c>
      <c r="BU11" s="34">
        <f t="shared" si="53"/>
        <v>5048983.6067083329</v>
      </c>
      <c r="BV11" s="34">
        <f t="shared" si="53"/>
        <v>5048983.6067083329</v>
      </c>
      <c r="BW11" s="34">
        <f t="shared" ref="BW11:CD11" si="54">BW26</f>
        <v>5190223.6162291663</v>
      </c>
      <c r="BX11" s="34">
        <f t="shared" si="54"/>
        <v>5190223.6162291663</v>
      </c>
      <c r="BY11" s="34">
        <f t="shared" si="54"/>
        <v>5190223.6162291663</v>
      </c>
      <c r="BZ11" s="34">
        <f t="shared" si="54"/>
        <v>5323155.3898958331</v>
      </c>
      <c r="CA11" s="34">
        <f t="shared" si="54"/>
        <v>5323155.3898958331</v>
      </c>
      <c r="CB11" s="34">
        <f t="shared" si="54"/>
        <v>5323155.3898958331</v>
      </c>
      <c r="CC11" s="34">
        <f t="shared" si="54"/>
        <v>5446424.3240364585</v>
      </c>
      <c r="CD11" s="34">
        <f t="shared" si="54"/>
        <v>5446424.3240364585</v>
      </c>
      <c r="CE11" s="34">
        <f t="shared" ref="CE11:CO11" si="55">CE26</f>
        <v>5446424.3240364585</v>
      </c>
      <c r="CF11" s="34">
        <f t="shared" si="55"/>
        <v>5560211.0324739581</v>
      </c>
      <c r="CG11" s="34">
        <f t="shared" si="55"/>
        <v>5560211.0324739581</v>
      </c>
      <c r="CH11" s="34">
        <f t="shared" si="55"/>
        <v>5560211.0324739581</v>
      </c>
      <c r="CI11" s="34">
        <f t="shared" si="55"/>
        <v>5668218.0985781243</v>
      </c>
      <c r="CJ11" s="34">
        <f t="shared" si="55"/>
        <v>5668218.0985781243</v>
      </c>
      <c r="CK11" s="34">
        <f t="shared" si="55"/>
        <v>5668218.0985781243</v>
      </c>
      <c r="CL11" s="34">
        <f t="shared" si="55"/>
        <v>5767916.928828124</v>
      </c>
      <c r="CM11" s="34">
        <f t="shared" si="55"/>
        <v>5767916.928828124</v>
      </c>
      <c r="CN11" s="34">
        <f>CN26</f>
        <v>5767916.928828124</v>
      </c>
      <c r="CO11" s="34">
        <f t="shared" si="55"/>
        <v>5858314.1471979152</v>
      </c>
      <c r="CP11" s="34">
        <f>CP26</f>
        <v>5858314.1471979152</v>
      </c>
      <c r="CQ11" s="34">
        <f>CQ26</f>
        <v>5858314.1471979152</v>
      </c>
      <c r="CR11" s="34">
        <f>CR26</f>
        <v>5939590.3675104156</v>
      </c>
      <c r="CS11" s="34">
        <f t="shared" ref="CS11:DI11" si="56">CS26</f>
        <v>5939590.3675104156</v>
      </c>
      <c r="CT11" s="34">
        <f t="shared" si="56"/>
        <v>5939590.3675104156</v>
      </c>
      <c r="CU11" s="34">
        <f t="shared" si="56"/>
        <v>6014364.4901979156</v>
      </c>
      <c r="CV11" s="34">
        <f t="shared" si="56"/>
        <v>6014364.4901979156</v>
      </c>
      <c r="CW11" s="34">
        <f t="shared" si="56"/>
        <v>6014364.4901979156</v>
      </c>
      <c r="CX11" s="34">
        <f t="shared" si="56"/>
        <v>6080830.377031249</v>
      </c>
      <c r="CY11" s="34">
        <f t="shared" si="56"/>
        <v>6080830.377031249</v>
      </c>
      <c r="CZ11" s="34">
        <f t="shared" si="56"/>
        <v>6080830.377031249</v>
      </c>
      <c r="DA11" s="34">
        <f t="shared" si="56"/>
        <v>6138355.8796302071</v>
      </c>
      <c r="DB11" s="34">
        <f t="shared" si="56"/>
        <v>6138355.8796302071</v>
      </c>
      <c r="DC11" s="34">
        <f t="shared" si="56"/>
        <v>6138355.8796302071</v>
      </c>
      <c r="DD11" s="34">
        <f t="shared" si="56"/>
        <v>6187121.6118177073</v>
      </c>
      <c r="DE11" s="34">
        <f t="shared" si="56"/>
        <v>6187121.6118177073</v>
      </c>
      <c r="DF11" s="34">
        <f t="shared" si="56"/>
        <v>6187121.6118177073</v>
      </c>
      <c r="DG11" s="34">
        <f t="shared" si="56"/>
        <v>6228662.791088541</v>
      </c>
      <c r="DH11" s="34">
        <f t="shared" si="56"/>
        <v>6228662.791088541</v>
      </c>
      <c r="DI11" s="34">
        <f t="shared" si="56"/>
        <v>6228662.791088541</v>
      </c>
      <c r="DJ11" s="34">
        <f t="shared" ref="DJ11:DO11" si="57">DJ26</f>
        <v>6261895.7345052073</v>
      </c>
      <c r="DK11" s="34">
        <f t="shared" si="57"/>
        <v>6261895.7345052073</v>
      </c>
      <c r="DL11" s="34">
        <f t="shared" si="57"/>
        <v>6261895.7345052073</v>
      </c>
      <c r="DM11" s="34">
        <f t="shared" si="57"/>
        <v>6286549.5213333322</v>
      </c>
      <c r="DN11" s="34">
        <f t="shared" si="57"/>
        <v>6286549.5213333322</v>
      </c>
      <c r="DO11" s="34">
        <f t="shared" si="57"/>
        <v>6286549.5213333322</v>
      </c>
      <c r="DP11" s="34">
        <f t="shared" ref="DP11:DS11" si="58">DP26</f>
        <v>6302985.3792187488</v>
      </c>
      <c r="DQ11" s="34">
        <f t="shared" si="58"/>
        <v>6302985.3792187488</v>
      </c>
      <c r="DR11" s="34">
        <f t="shared" si="58"/>
        <v>6302985.3792187488</v>
      </c>
      <c r="DS11" s="34">
        <f t="shared" si="58"/>
        <v>6311293.6150729153</v>
      </c>
    </row>
    <row r="12" spans="1:123" x14ac:dyDescent="0.25">
      <c r="A12" s="43" t="s">
        <v>33</v>
      </c>
      <c r="B12" s="34">
        <f t="shared" ref="B12:BM12" si="59">IF((B10-B11)&gt;0,(B10-B11),0)</f>
        <v>0</v>
      </c>
      <c r="C12" s="34">
        <f t="shared" si="59"/>
        <v>0</v>
      </c>
      <c r="D12" s="34">
        <f t="shared" si="59"/>
        <v>0</v>
      </c>
      <c r="E12" s="34">
        <f t="shared" si="59"/>
        <v>0</v>
      </c>
      <c r="F12" s="34">
        <f t="shared" si="59"/>
        <v>0</v>
      </c>
      <c r="G12" s="34">
        <f t="shared" si="59"/>
        <v>0</v>
      </c>
      <c r="H12" s="34">
        <f t="shared" si="59"/>
        <v>0</v>
      </c>
      <c r="I12" s="34">
        <f t="shared" si="59"/>
        <v>0</v>
      </c>
      <c r="J12" s="34">
        <f t="shared" si="59"/>
        <v>0</v>
      </c>
      <c r="K12" s="34">
        <f t="shared" si="59"/>
        <v>0</v>
      </c>
      <c r="L12" s="34">
        <f t="shared" si="59"/>
        <v>634059.31933333329</v>
      </c>
      <c r="M12" s="34">
        <f t="shared" si="59"/>
        <v>634059.31933333329</v>
      </c>
      <c r="N12" s="34">
        <f t="shared" si="59"/>
        <v>634059.31933333329</v>
      </c>
      <c r="O12" s="34">
        <f t="shared" si="59"/>
        <v>899922.86666666658</v>
      </c>
      <c r="P12" s="34">
        <f t="shared" si="59"/>
        <v>899922.86666666658</v>
      </c>
      <c r="Q12" s="34">
        <f t="shared" si="59"/>
        <v>899922.86666666658</v>
      </c>
      <c r="R12" s="34">
        <f t="shared" si="59"/>
        <v>1165786.4139999999</v>
      </c>
      <c r="S12" s="34">
        <f t="shared" si="59"/>
        <v>1165786.4139999999</v>
      </c>
      <c r="T12" s="34">
        <f t="shared" si="59"/>
        <v>1165786.4139999999</v>
      </c>
      <c r="U12" s="34">
        <f t="shared" si="59"/>
        <v>1428760.1401666666</v>
      </c>
      <c r="V12" s="34">
        <f t="shared" si="59"/>
        <v>1428760.1401666666</v>
      </c>
      <c r="W12" s="34">
        <f t="shared" si="59"/>
        <v>1428760.1401666666</v>
      </c>
      <c r="X12" s="34">
        <f t="shared" si="59"/>
        <v>1691733.8663333333</v>
      </c>
      <c r="Y12" s="34">
        <f t="shared" si="59"/>
        <v>1691733.8663333333</v>
      </c>
      <c r="Z12" s="34">
        <f t="shared" si="59"/>
        <v>1691733.8663333333</v>
      </c>
      <c r="AA12" s="34">
        <f t="shared" si="59"/>
        <v>1957597.4136666665</v>
      </c>
      <c r="AB12" s="34">
        <f t="shared" si="59"/>
        <v>1957597.4136666665</v>
      </c>
      <c r="AC12" s="34">
        <f t="shared" si="59"/>
        <v>1957597.4136666665</v>
      </c>
      <c r="AD12" s="34">
        <f t="shared" si="59"/>
        <v>2229240.603333333</v>
      </c>
      <c r="AE12" s="34">
        <f t="shared" si="59"/>
        <v>2229240.603333333</v>
      </c>
      <c r="AF12" s="34">
        <f t="shared" si="59"/>
        <v>2229240.603333333</v>
      </c>
      <c r="AG12" s="34">
        <f t="shared" si="59"/>
        <v>2483996.4005572912</v>
      </c>
      <c r="AH12" s="34">
        <f t="shared" si="59"/>
        <v>2483996.4005572912</v>
      </c>
      <c r="AI12" s="34">
        <f t="shared" si="59"/>
        <v>2483996.4005572912</v>
      </c>
      <c r="AJ12" s="34">
        <f t="shared" si="59"/>
        <v>2722406.6468072911</v>
      </c>
      <c r="AK12" s="34">
        <f t="shared" si="59"/>
        <v>2722406.6468072911</v>
      </c>
      <c r="AL12" s="34">
        <f t="shared" si="59"/>
        <v>2722406.6468072911</v>
      </c>
      <c r="AM12" s="34">
        <f t="shared" si="59"/>
        <v>2968583.2874427079</v>
      </c>
      <c r="AN12" s="34">
        <f t="shared" si="59"/>
        <v>2968583.2874427079</v>
      </c>
      <c r="AO12" s="34">
        <f t="shared" si="59"/>
        <v>2968583.2874427079</v>
      </c>
      <c r="AP12" s="34">
        <f t="shared" si="59"/>
        <v>0</v>
      </c>
      <c r="AQ12" s="34">
        <f t="shared" si="59"/>
        <v>0</v>
      </c>
      <c r="AR12" s="34">
        <f t="shared" si="59"/>
        <v>0</v>
      </c>
      <c r="AS12" s="34">
        <f t="shared" si="59"/>
        <v>0</v>
      </c>
      <c r="AT12" s="34">
        <f t="shared" si="59"/>
        <v>0</v>
      </c>
      <c r="AU12" s="34">
        <f t="shared" si="59"/>
        <v>0</v>
      </c>
      <c r="AV12" s="34">
        <f t="shared" si="59"/>
        <v>0</v>
      </c>
      <c r="AW12" s="34">
        <f t="shared" si="59"/>
        <v>0</v>
      </c>
      <c r="AX12" s="34">
        <f t="shared" si="59"/>
        <v>0</v>
      </c>
      <c r="AY12" s="34">
        <f t="shared" si="59"/>
        <v>0</v>
      </c>
      <c r="AZ12" s="34">
        <f t="shared" si="59"/>
        <v>0</v>
      </c>
      <c r="BA12" s="34">
        <f t="shared" si="59"/>
        <v>0</v>
      </c>
      <c r="BB12" s="34">
        <f t="shared" si="59"/>
        <v>0</v>
      </c>
      <c r="BC12" s="34">
        <f t="shared" si="59"/>
        <v>0</v>
      </c>
      <c r="BD12" s="34">
        <f t="shared" si="59"/>
        <v>0</v>
      </c>
      <c r="BE12" s="34">
        <f t="shared" si="59"/>
        <v>0</v>
      </c>
      <c r="BF12" s="34">
        <f t="shared" si="59"/>
        <v>0</v>
      </c>
      <c r="BG12" s="34">
        <f t="shared" si="59"/>
        <v>0</v>
      </c>
      <c r="BH12" s="34">
        <f t="shared" si="59"/>
        <v>0</v>
      </c>
      <c r="BI12" s="34">
        <f t="shared" si="59"/>
        <v>0</v>
      </c>
      <c r="BJ12" s="34">
        <f t="shared" si="59"/>
        <v>0</v>
      </c>
      <c r="BK12" s="34">
        <f t="shared" si="59"/>
        <v>0</v>
      </c>
      <c r="BL12" s="34">
        <f t="shared" si="59"/>
        <v>0</v>
      </c>
      <c r="BM12" s="34">
        <f t="shared" si="59"/>
        <v>0</v>
      </c>
      <c r="BN12" s="34">
        <f t="shared" ref="BN12:CD12" si="60">IF((BN10-BN11)&gt;0,(BN10-BN11),0)</f>
        <v>0</v>
      </c>
      <c r="BO12" s="34">
        <f t="shared" si="60"/>
        <v>0</v>
      </c>
      <c r="BP12" s="34">
        <f t="shared" si="60"/>
        <v>0</v>
      </c>
      <c r="BQ12" s="34">
        <f t="shared" si="60"/>
        <v>0</v>
      </c>
      <c r="BR12" s="34">
        <f t="shared" si="60"/>
        <v>0</v>
      </c>
      <c r="BS12" s="34">
        <f t="shared" si="60"/>
        <v>0</v>
      </c>
      <c r="BT12" s="34">
        <f t="shared" si="60"/>
        <v>0</v>
      </c>
      <c r="BU12" s="34">
        <f t="shared" si="60"/>
        <v>0</v>
      </c>
      <c r="BV12" s="34">
        <f t="shared" si="60"/>
        <v>0</v>
      </c>
      <c r="BW12" s="34">
        <f t="shared" si="60"/>
        <v>0</v>
      </c>
      <c r="BX12" s="34">
        <f t="shared" si="60"/>
        <v>0</v>
      </c>
      <c r="BY12" s="34">
        <f t="shared" si="60"/>
        <v>0</v>
      </c>
      <c r="BZ12" s="34">
        <f t="shared" si="60"/>
        <v>0</v>
      </c>
      <c r="CA12" s="34">
        <f t="shared" si="60"/>
        <v>0</v>
      </c>
      <c r="CB12" s="34">
        <f t="shared" si="60"/>
        <v>0</v>
      </c>
      <c r="CC12" s="34">
        <f t="shared" si="60"/>
        <v>0</v>
      </c>
      <c r="CD12" s="34">
        <f t="shared" si="60"/>
        <v>0</v>
      </c>
      <c r="CE12" s="34">
        <f t="shared" ref="CE12:CO12" si="61">IF((CE10-CE11)&gt;0,(CE10-CE11),0)</f>
        <v>0</v>
      </c>
      <c r="CF12" s="34">
        <f t="shared" si="61"/>
        <v>0</v>
      </c>
      <c r="CG12" s="34">
        <f t="shared" si="61"/>
        <v>0</v>
      </c>
      <c r="CH12" s="34">
        <f t="shared" si="61"/>
        <v>0</v>
      </c>
      <c r="CI12" s="34">
        <f t="shared" si="61"/>
        <v>0</v>
      </c>
      <c r="CJ12" s="34">
        <f t="shared" si="61"/>
        <v>0</v>
      </c>
      <c r="CK12" s="34">
        <f t="shared" si="61"/>
        <v>0</v>
      </c>
      <c r="CL12" s="34">
        <f t="shared" si="61"/>
        <v>0</v>
      </c>
      <c r="CM12" s="34">
        <f t="shared" si="61"/>
        <v>0</v>
      </c>
      <c r="CN12" s="34">
        <f t="shared" si="61"/>
        <v>0</v>
      </c>
      <c r="CO12" s="34">
        <f t="shared" si="61"/>
        <v>0</v>
      </c>
      <c r="CP12" s="34">
        <f>IF((CP10-CP11)&gt;0,(CP10-CP11),0)</f>
        <v>0</v>
      </c>
      <c r="CQ12" s="34">
        <f>IF((CQ10-CQ11)&gt;0,(CQ10-CQ11),0)</f>
        <v>0</v>
      </c>
      <c r="CR12" s="34">
        <f>IF((CR10-CR11)&gt;0,(CR10-CR11),0)</f>
        <v>0</v>
      </c>
      <c r="CS12" s="34">
        <f t="shared" ref="CS12:DI12" si="62">IF((CS10-CS11)&gt;0,(CS10-CS11),0)</f>
        <v>0</v>
      </c>
      <c r="CT12" s="34">
        <f t="shared" si="62"/>
        <v>0</v>
      </c>
      <c r="CU12" s="34">
        <f t="shared" si="62"/>
        <v>0</v>
      </c>
      <c r="CV12" s="34">
        <f t="shared" si="62"/>
        <v>0</v>
      </c>
      <c r="CW12" s="34">
        <f t="shared" si="62"/>
        <v>0</v>
      </c>
      <c r="CX12" s="34">
        <f t="shared" si="62"/>
        <v>0</v>
      </c>
      <c r="CY12" s="34">
        <f t="shared" si="62"/>
        <v>0</v>
      </c>
      <c r="CZ12" s="34">
        <f t="shared" si="62"/>
        <v>0</v>
      </c>
      <c r="DA12" s="34">
        <f t="shared" si="62"/>
        <v>0</v>
      </c>
      <c r="DB12" s="34">
        <f t="shared" si="62"/>
        <v>0</v>
      </c>
      <c r="DC12" s="34">
        <f t="shared" si="62"/>
        <v>0</v>
      </c>
      <c r="DD12" s="34">
        <f t="shared" si="62"/>
        <v>0</v>
      </c>
      <c r="DE12" s="34">
        <f t="shared" si="62"/>
        <v>0</v>
      </c>
      <c r="DF12" s="34">
        <f t="shared" si="62"/>
        <v>0</v>
      </c>
      <c r="DG12" s="34">
        <f t="shared" si="62"/>
        <v>0</v>
      </c>
      <c r="DH12" s="34">
        <f t="shared" si="62"/>
        <v>0</v>
      </c>
      <c r="DI12" s="34">
        <f t="shared" si="62"/>
        <v>0</v>
      </c>
      <c r="DJ12" s="34">
        <f t="shared" ref="DJ12" si="63">IF((DJ10-DJ11)&gt;0,(DJ10-DJ11),0)</f>
        <v>0</v>
      </c>
      <c r="DK12" s="34">
        <f t="shared" ref="DK12" si="64">IF((DK10-DK11)&gt;0,(DK10-DK11),0)</f>
        <v>0</v>
      </c>
      <c r="DL12" s="34">
        <f t="shared" ref="DL12" si="65">IF((DL10-DL11)&gt;0,(DL10-DL11),0)</f>
        <v>0</v>
      </c>
      <c r="DM12" s="34">
        <f t="shared" ref="DM12" si="66">IF((DM10-DM11)&gt;0,(DM10-DM11),0)</f>
        <v>0</v>
      </c>
      <c r="DN12" s="34">
        <f t="shared" ref="DN12:DP12" si="67">IF((DN10-DN11)&gt;0,(DN10-DN11),0)</f>
        <v>0</v>
      </c>
      <c r="DO12" s="34">
        <f t="shared" si="67"/>
        <v>0</v>
      </c>
      <c r="DP12" s="34">
        <f t="shared" si="67"/>
        <v>0</v>
      </c>
      <c r="DQ12" s="34">
        <f t="shared" ref="DQ12:DS12" si="68">IF((DQ10-DQ11)&gt;0,(DQ10-DQ11),0)</f>
        <v>0</v>
      </c>
      <c r="DR12" s="34">
        <f t="shared" si="68"/>
        <v>0</v>
      </c>
      <c r="DS12" s="34">
        <f t="shared" si="68"/>
        <v>0</v>
      </c>
    </row>
    <row r="13" spans="1:123" x14ac:dyDescent="0.25">
      <c r="A13" s="43" t="s">
        <v>34</v>
      </c>
      <c r="B13" s="34">
        <f t="shared" ref="B13:BL13" si="69">B9-B11</f>
        <v>0</v>
      </c>
      <c r="C13" s="34">
        <f t="shared" si="69"/>
        <v>0</v>
      </c>
      <c r="D13" s="34">
        <f t="shared" si="69"/>
        <v>42167.337500000001</v>
      </c>
      <c r="E13" s="34">
        <f t="shared" si="69"/>
        <v>94454.83600000001</v>
      </c>
      <c r="F13" s="34">
        <f t="shared" si="69"/>
        <v>145055.641</v>
      </c>
      <c r="G13" s="34">
        <f t="shared" si="69"/>
        <v>216618.47349999999</v>
      </c>
      <c r="H13" s="34">
        <f t="shared" si="69"/>
        <v>292361.01850000001</v>
      </c>
      <c r="I13" s="34">
        <f>I9-I11</f>
        <v>379755.05666666664</v>
      </c>
      <c r="J13" s="34">
        <f t="shared" si="69"/>
        <v>469339.51283333334</v>
      </c>
      <c r="K13" s="34">
        <f t="shared" si="69"/>
        <v>550254.50549999997</v>
      </c>
      <c r="L13" s="34">
        <f t="shared" si="69"/>
        <v>639838.96166666667</v>
      </c>
      <c r="M13" s="34">
        <f t="shared" si="69"/>
        <v>726533.59666666668</v>
      </c>
      <c r="N13" s="34">
        <f t="shared" si="69"/>
        <v>816118.05283333338</v>
      </c>
      <c r="O13" s="34">
        <f t="shared" si="69"/>
        <v>902812.68783333339</v>
      </c>
      <c r="P13" s="34">
        <f t="shared" si="69"/>
        <v>992397.14400000009</v>
      </c>
      <c r="Q13" s="34">
        <f t="shared" si="69"/>
        <v>1081981.6001666668</v>
      </c>
      <c r="R13" s="34">
        <f t="shared" si="69"/>
        <v>1168676.2351666668</v>
      </c>
      <c r="S13" s="34">
        <f t="shared" si="69"/>
        <v>1258260.6913333335</v>
      </c>
      <c r="T13" s="34">
        <f t="shared" si="69"/>
        <v>1344955.3263333335</v>
      </c>
      <c r="U13" s="34">
        <f t="shared" si="69"/>
        <v>1434539.7825000002</v>
      </c>
      <c r="V13" s="34">
        <f t="shared" si="69"/>
        <v>1524124.2386666669</v>
      </c>
      <c r="W13" s="34">
        <f t="shared" si="69"/>
        <v>1607929.0525000002</v>
      </c>
      <c r="X13" s="34">
        <f t="shared" si="69"/>
        <v>1697513.5086666669</v>
      </c>
      <c r="Y13" s="34">
        <f t="shared" si="69"/>
        <v>1784208.1436666669</v>
      </c>
      <c r="Z13" s="34">
        <f t="shared" si="69"/>
        <v>1873792.5998333336</v>
      </c>
      <c r="AA13" s="34">
        <f t="shared" si="69"/>
        <v>1960487.2348333336</v>
      </c>
      <c r="AB13" s="34">
        <f t="shared" si="69"/>
        <v>2050071.6910000003</v>
      </c>
      <c r="AC13" s="34">
        <f t="shared" si="69"/>
        <v>2139656.147166667</v>
      </c>
      <c r="AD13" s="34">
        <f t="shared" si="69"/>
        <v>2226441.0890781255</v>
      </c>
      <c r="AE13" s="34">
        <f t="shared" si="69"/>
        <v>2313226.030989584</v>
      </c>
      <c r="AF13" s="34">
        <f t="shared" si="69"/>
        <v>2397211.4586458341</v>
      </c>
      <c r="AG13" s="34">
        <f t="shared" si="69"/>
        <v>2483996.4005572926</v>
      </c>
      <c r="AH13" s="34">
        <f t="shared" si="69"/>
        <v>2567981.8282135427</v>
      </c>
      <c r="AI13" s="34">
        <f>AI9-AI11</f>
        <v>2643839.6338385427</v>
      </c>
      <c r="AJ13" s="34">
        <f t="shared" si="69"/>
        <v>2727644.4476718763</v>
      </c>
      <c r="AK13" s="34">
        <f t="shared" si="69"/>
        <v>2806211.4606406265</v>
      </c>
      <c r="AL13" s="34">
        <f t="shared" si="69"/>
        <v>2887397.3740416681</v>
      </c>
      <c r="AM13" s="34">
        <f t="shared" si="69"/>
        <v>2966054.6939218766</v>
      </c>
      <c r="AN13" s="34">
        <f t="shared" si="69"/>
        <v>3044441.0930677098</v>
      </c>
      <c r="AO13" s="34">
        <f t="shared" si="69"/>
        <v>3122827.492213543</v>
      </c>
      <c r="AP13" s="34">
        <f t="shared" si="69"/>
        <v>2438.2866093767807</v>
      </c>
      <c r="AQ13" s="34">
        <f t="shared" si="69"/>
        <v>78025.171500001568</v>
      </c>
      <c r="AR13" s="34">
        <f t="shared" si="69"/>
        <v>151173.76978125144</v>
      </c>
      <c r="AS13" s="34">
        <f t="shared" si="69"/>
        <v>4695.9593958347104</v>
      </c>
      <c r="AT13" s="34">
        <f t="shared" si="69"/>
        <v>77483.330031251535</v>
      </c>
      <c r="AU13" s="34">
        <f t="shared" si="69"/>
        <v>143226.76157291839</v>
      </c>
      <c r="AV13" s="34">
        <f t="shared" si="69"/>
        <v>4515.3455729181878</v>
      </c>
      <c r="AW13" s="34">
        <f t="shared" si="69"/>
        <v>72245.529166668188</v>
      </c>
      <c r="AX13" s="34">
        <f t="shared" si="69"/>
        <v>142233.38554687658</v>
      </c>
      <c r="AY13" s="34">
        <f t="shared" si="69"/>
        <v>2167.3658750015311</v>
      </c>
      <c r="AZ13" s="34">
        <f t="shared" si="69"/>
        <v>69355.708000001498</v>
      </c>
      <c r="BA13" s="34">
        <f t="shared" si="69"/>
        <v>136544.05012500146</v>
      </c>
      <c r="BB13" s="34">
        <f t="shared" si="69"/>
        <v>2077.0589635432698</v>
      </c>
      <c r="BC13" s="34">
        <f t="shared" si="69"/>
        <v>66465.886833334807</v>
      </c>
      <c r="BD13" s="34">
        <f t="shared" si="69"/>
        <v>128777.65573958494</v>
      </c>
      <c r="BE13" s="34">
        <f t="shared" si="69"/>
        <v>3973.5041041681543</v>
      </c>
      <c r="BF13" s="34">
        <f t="shared" si="69"/>
        <v>65562.817718751729</v>
      </c>
      <c r="BG13" s="34">
        <f t="shared" si="69"/>
        <v>121191.8751770854</v>
      </c>
      <c r="BH13" s="34">
        <f t="shared" si="69"/>
        <v>3792.890281252563</v>
      </c>
      <c r="BI13" s="34">
        <f t="shared" si="69"/>
        <v>60686.244500002824</v>
      </c>
      <c r="BJ13" s="34">
        <f t="shared" si="69"/>
        <v>119476.0438593775</v>
      </c>
      <c r="BK13" s="34">
        <f t="shared" si="69"/>
        <v>1806.1382291698828</v>
      </c>
      <c r="BL13" s="34">
        <f t="shared" si="69"/>
        <v>57796.423333336599</v>
      </c>
      <c r="BM13" s="34">
        <f t="shared" ref="BM13:CD13" si="70">BM9-BM11</f>
        <v>113786.70843750332</v>
      </c>
      <c r="BN13" s="34">
        <f t="shared" si="70"/>
        <v>1715.8313177116215</v>
      </c>
      <c r="BO13" s="34">
        <f t="shared" si="70"/>
        <v>54906.602166670375</v>
      </c>
      <c r="BP13" s="34">
        <f t="shared" si="70"/>
        <v>106381.5416979203</v>
      </c>
      <c r="BQ13" s="34">
        <f t="shared" si="70"/>
        <v>3251.0488125029951</v>
      </c>
      <c r="BR13" s="34">
        <f t="shared" si="70"/>
        <v>53642.305406252854</v>
      </c>
      <c r="BS13" s="34">
        <f t="shared" si="70"/>
        <v>100782.51318750251</v>
      </c>
      <c r="BT13" s="34">
        <f t="shared" si="70"/>
        <v>3070.4349895855412</v>
      </c>
      <c r="BU13" s="34">
        <f t="shared" si="70"/>
        <v>49126.959833335131</v>
      </c>
      <c r="BV13" s="34">
        <f t="shared" si="70"/>
        <v>96718.702171877027</v>
      </c>
      <c r="BW13" s="34">
        <f t="shared" si="70"/>
        <v>1444.9105833349749</v>
      </c>
      <c r="BX13" s="34">
        <f t="shared" si="70"/>
        <v>46237.138666667975</v>
      </c>
      <c r="BY13" s="34">
        <f t="shared" si="70"/>
        <v>91029.366750000976</v>
      </c>
      <c r="BZ13" s="34">
        <f t="shared" si="70"/>
        <v>1354.6036718757823</v>
      </c>
      <c r="CA13" s="34">
        <f t="shared" si="70"/>
        <v>43347.31750000082</v>
      </c>
      <c r="CB13" s="34">
        <f t="shared" si="70"/>
        <v>83985.427656251006</v>
      </c>
      <c r="CC13" s="34">
        <f t="shared" si="70"/>
        <v>2528.5935208341107</v>
      </c>
      <c r="CD13" s="34">
        <f t="shared" si="70"/>
        <v>41721.793093751185</v>
      </c>
      <c r="CE13" s="34">
        <f t="shared" ref="CE13:CO13" si="71">CE9-CE11</f>
        <v>77122.102385417558</v>
      </c>
      <c r="CF13" s="34">
        <f t="shared" si="71"/>
        <v>2347.9796979175881</v>
      </c>
      <c r="CG13" s="34">
        <f t="shared" si="71"/>
        <v>37567.675166667439</v>
      </c>
      <c r="CH13" s="34">
        <f t="shared" si="71"/>
        <v>73961.360484375618</v>
      </c>
      <c r="CI13" s="34">
        <f t="shared" si="71"/>
        <v>1083.6829375009984</v>
      </c>
      <c r="CJ13" s="34">
        <f t="shared" si="71"/>
        <v>34677.854000001214</v>
      </c>
      <c r="CK13" s="34">
        <f t="shared" si="71"/>
        <v>68272.025062501431</v>
      </c>
      <c r="CL13" s="34">
        <f t="shared" si="71"/>
        <v>993.37602604366839</v>
      </c>
      <c r="CM13" s="34">
        <f t="shared" si="71"/>
        <v>31788.03283333499</v>
      </c>
      <c r="CN13" s="34">
        <f>CN9-CN11</f>
        <v>61589.313614585437</v>
      </c>
      <c r="CO13" s="34">
        <f t="shared" si="71"/>
        <v>1806.1382291689515</v>
      </c>
      <c r="CP13" s="34">
        <f>CP9-CP11</f>
        <v>29801.28078125231</v>
      </c>
      <c r="CQ13" s="34">
        <f>CQ9-CQ11</f>
        <v>55087.215989585966</v>
      </c>
      <c r="CR13" s="34">
        <f>CR9-CR11</f>
        <v>1625.5244062524289</v>
      </c>
      <c r="CS13" s="34">
        <f t="shared" ref="CS13:DI13" si="72">CS9-CS11</f>
        <v>26008.390500002541</v>
      </c>
      <c r="CT13" s="34">
        <f t="shared" si="72"/>
        <v>51204.018796877936</v>
      </c>
      <c r="CU13" s="34">
        <f t="shared" si="72"/>
        <v>722.45529166981578</v>
      </c>
      <c r="CV13" s="34">
        <f t="shared" si="72"/>
        <v>23118.569333336316</v>
      </c>
      <c r="CW13" s="34">
        <f t="shared" si="72"/>
        <v>45514.683375002816</v>
      </c>
      <c r="CX13" s="34">
        <f t="shared" si="72"/>
        <v>632.14838021062315</v>
      </c>
      <c r="CY13" s="34">
        <f t="shared" si="72"/>
        <v>20228.74816666916</v>
      </c>
      <c r="CZ13" s="34">
        <f t="shared" si="72"/>
        <v>39193.199572918937</v>
      </c>
      <c r="DA13" s="34">
        <f t="shared" si="72"/>
        <v>1083.682937502861</v>
      </c>
      <c r="DB13" s="34">
        <f t="shared" si="72"/>
        <v>17880.768468752503</v>
      </c>
      <c r="DC13" s="34">
        <f t="shared" si="72"/>
        <v>33052.329593752511</v>
      </c>
      <c r="DD13" s="34">
        <f t="shared" si="72"/>
        <v>903.06911458540708</v>
      </c>
      <c r="DE13" s="34">
        <f t="shared" si="72"/>
        <v>14449.10583333578</v>
      </c>
      <c r="DF13" s="34">
        <f t="shared" si="72"/>
        <v>28446.677109377459</v>
      </c>
      <c r="DG13" s="34">
        <f t="shared" si="72"/>
        <v>361.22764583583921</v>
      </c>
      <c r="DH13" s="34">
        <f t="shared" si="72"/>
        <v>11559.284666669555</v>
      </c>
      <c r="DI13" s="34">
        <f t="shared" si="72"/>
        <v>22757.341687503271</v>
      </c>
      <c r="DJ13" s="34">
        <f t="shared" ref="DJ13:DO13" si="73">DJ9-DJ11</f>
        <v>270.92073437850922</v>
      </c>
      <c r="DK13" s="34">
        <f t="shared" si="73"/>
        <v>8669.4635000033304</v>
      </c>
      <c r="DL13" s="34">
        <f t="shared" si="73"/>
        <v>16797.085531253368</v>
      </c>
      <c r="DM13" s="34">
        <f t="shared" si="73"/>
        <v>361.22764583677053</v>
      </c>
      <c r="DN13" s="34">
        <f t="shared" si="73"/>
        <v>5960.2561562536284</v>
      </c>
      <c r="DO13" s="34">
        <f t="shared" si="73"/>
        <v>11198.05702083651</v>
      </c>
      <c r="DP13" s="34">
        <f t="shared" ref="DP13:DS13" si="74">DP9-DP11</f>
        <v>180.61382292024791</v>
      </c>
      <c r="DQ13" s="34">
        <f t="shared" si="74"/>
        <v>2889.8211666699499</v>
      </c>
      <c r="DR13" s="34">
        <f t="shared" si="74"/>
        <v>5689.3354218779132</v>
      </c>
      <c r="DS13" s="34">
        <f t="shared" si="74"/>
        <v>0</v>
      </c>
    </row>
    <row r="14" spans="1:123" x14ac:dyDescent="0.25">
      <c r="A14" s="43" t="s">
        <v>35</v>
      </c>
      <c r="B14" s="34">
        <f t="shared" ref="B14:BB14" si="75">B28</f>
        <v>0</v>
      </c>
      <c r="C14" s="34">
        <f t="shared" si="75"/>
        <v>0</v>
      </c>
      <c r="D14" s="34">
        <f t="shared" si="75"/>
        <v>0</v>
      </c>
      <c r="E14" s="34">
        <f t="shared" si="75"/>
        <v>0</v>
      </c>
      <c r="F14" s="34">
        <f t="shared" si="75"/>
        <v>0</v>
      </c>
      <c r="G14" s="34">
        <f t="shared" si="75"/>
        <v>0</v>
      </c>
      <c r="H14" s="34">
        <f t="shared" si="75"/>
        <v>0</v>
      </c>
      <c r="I14" s="34">
        <f t="shared" si="75"/>
        <v>0</v>
      </c>
      <c r="J14" s="34">
        <f t="shared" si="75"/>
        <v>0</v>
      </c>
      <c r="K14" s="34">
        <f t="shared" si="75"/>
        <v>0</v>
      </c>
      <c r="L14" s="34">
        <f t="shared" si="75"/>
        <v>0</v>
      </c>
      <c r="M14" s="34">
        <f t="shared" si="75"/>
        <v>0</v>
      </c>
      <c r="N14" s="34">
        <f t="shared" si="75"/>
        <v>0</v>
      </c>
      <c r="O14" s="34">
        <f t="shared" si="75"/>
        <v>0</v>
      </c>
      <c r="P14" s="34">
        <f t="shared" si="75"/>
        <v>0</v>
      </c>
      <c r="Q14" s="34">
        <f t="shared" si="75"/>
        <v>0</v>
      </c>
      <c r="R14" s="34">
        <f t="shared" si="75"/>
        <v>0</v>
      </c>
      <c r="S14" s="34">
        <f t="shared" si="75"/>
        <v>0</v>
      </c>
      <c r="T14" s="34">
        <f t="shared" si="75"/>
        <v>0</v>
      </c>
      <c r="U14" s="34">
        <f t="shared" si="75"/>
        <v>0</v>
      </c>
      <c r="V14" s="34">
        <f t="shared" si="75"/>
        <v>0</v>
      </c>
      <c r="W14" s="34">
        <f t="shared" si="75"/>
        <v>0</v>
      </c>
      <c r="X14" s="34">
        <f t="shared" si="75"/>
        <v>0</v>
      </c>
      <c r="Y14" s="34">
        <f t="shared" si="75"/>
        <v>0</v>
      </c>
      <c r="Z14" s="34">
        <f t="shared" si="75"/>
        <v>0</v>
      </c>
      <c r="AA14" s="34">
        <f t="shared" si="75"/>
        <v>0</v>
      </c>
      <c r="AB14" s="34">
        <f t="shared" si="75"/>
        <v>0</v>
      </c>
      <c r="AC14" s="34">
        <f t="shared" si="75"/>
        <v>0</v>
      </c>
      <c r="AD14" s="34">
        <f t="shared" si="75"/>
        <v>0</v>
      </c>
      <c r="AE14" s="34">
        <f t="shared" si="75"/>
        <v>0</v>
      </c>
      <c r="AF14" s="34">
        <f t="shared" si="75"/>
        <v>0</v>
      </c>
      <c r="AG14" s="34">
        <f t="shared" si="75"/>
        <v>0</v>
      </c>
      <c r="AH14" s="34">
        <f t="shared" si="75"/>
        <v>0</v>
      </c>
      <c r="AI14" s="34">
        <f t="shared" si="75"/>
        <v>0</v>
      </c>
      <c r="AJ14" s="34">
        <f t="shared" si="75"/>
        <v>0</v>
      </c>
      <c r="AK14" s="34">
        <f t="shared" si="75"/>
        <v>0</v>
      </c>
      <c r="AL14" s="34">
        <f t="shared" si="75"/>
        <v>0</v>
      </c>
      <c r="AM14" s="34">
        <f t="shared" si="75"/>
        <v>0</v>
      </c>
      <c r="AN14" s="34">
        <f t="shared" si="75"/>
        <v>0</v>
      </c>
      <c r="AO14" s="34">
        <f t="shared" si="75"/>
        <v>0</v>
      </c>
      <c r="AP14" s="34">
        <f t="shared" si="75"/>
        <v>0</v>
      </c>
      <c r="AQ14" s="34">
        <f t="shared" si="75"/>
        <v>0</v>
      </c>
      <c r="AR14" s="34">
        <f t="shared" si="75"/>
        <v>0</v>
      </c>
      <c r="AS14" s="34">
        <f t="shared" si="75"/>
        <v>0</v>
      </c>
      <c r="AT14" s="34">
        <f t="shared" si="75"/>
        <v>0</v>
      </c>
      <c r="AU14" s="34">
        <f t="shared" si="75"/>
        <v>0</v>
      </c>
      <c r="AV14" s="34">
        <f t="shared" si="75"/>
        <v>0</v>
      </c>
      <c r="AW14" s="34">
        <f t="shared" si="75"/>
        <v>0</v>
      </c>
      <c r="AX14" s="34">
        <f t="shared" si="75"/>
        <v>0</v>
      </c>
      <c r="AY14" s="34">
        <f t="shared" si="75"/>
        <v>0</v>
      </c>
      <c r="AZ14" s="34">
        <f t="shared" si="75"/>
        <v>0</v>
      </c>
      <c r="BA14" s="34">
        <f t="shared" si="75"/>
        <v>0</v>
      </c>
      <c r="BB14" s="34">
        <f t="shared" si="75"/>
        <v>0</v>
      </c>
      <c r="BC14" s="34">
        <f t="shared" ref="BC14:BQ14" si="76">BC28</f>
        <v>0</v>
      </c>
      <c r="BD14" s="34">
        <f t="shared" si="76"/>
        <v>0</v>
      </c>
      <c r="BE14" s="34">
        <f t="shared" si="76"/>
        <v>0</v>
      </c>
      <c r="BF14" s="34">
        <f t="shared" si="76"/>
        <v>0</v>
      </c>
      <c r="BG14" s="34">
        <f t="shared" si="76"/>
        <v>0</v>
      </c>
      <c r="BH14" s="34">
        <f t="shared" si="76"/>
        <v>0</v>
      </c>
      <c r="BI14" s="34">
        <f t="shared" si="76"/>
        <v>0</v>
      </c>
      <c r="BJ14" s="34">
        <f t="shared" si="76"/>
        <v>0</v>
      </c>
      <c r="BK14" s="34">
        <f t="shared" si="76"/>
        <v>0</v>
      </c>
      <c r="BL14" s="34">
        <f t="shared" si="76"/>
        <v>0</v>
      </c>
      <c r="BM14" s="34">
        <f t="shared" si="76"/>
        <v>0</v>
      </c>
      <c r="BN14" s="34">
        <f t="shared" si="76"/>
        <v>0</v>
      </c>
      <c r="BO14" s="34">
        <f t="shared" si="76"/>
        <v>0</v>
      </c>
      <c r="BP14" s="34">
        <f t="shared" si="76"/>
        <v>0</v>
      </c>
      <c r="BQ14" s="34">
        <f t="shared" si="76"/>
        <v>0</v>
      </c>
      <c r="BR14" s="34">
        <f t="shared" ref="BR14:CD14" si="77">BR28</f>
        <v>0</v>
      </c>
      <c r="BS14" s="34">
        <f t="shared" si="77"/>
        <v>0</v>
      </c>
      <c r="BT14" s="34">
        <f t="shared" si="77"/>
        <v>0</v>
      </c>
      <c r="BU14" s="34">
        <f t="shared" si="77"/>
        <v>0</v>
      </c>
      <c r="BV14" s="34">
        <f t="shared" si="77"/>
        <v>0</v>
      </c>
      <c r="BW14" s="34">
        <f t="shared" si="77"/>
        <v>0</v>
      </c>
      <c r="BX14" s="34">
        <f t="shared" si="77"/>
        <v>0</v>
      </c>
      <c r="BY14" s="34">
        <f t="shared" si="77"/>
        <v>0</v>
      </c>
      <c r="BZ14" s="34">
        <f t="shared" si="77"/>
        <v>0</v>
      </c>
      <c r="CA14" s="34">
        <f t="shared" si="77"/>
        <v>0</v>
      </c>
      <c r="CB14" s="34">
        <f t="shared" si="77"/>
        <v>0</v>
      </c>
      <c r="CC14" s="34">
        <f t="shared" si="77"/>
        <v>0</v>
      </c>
      <c r="CD14" s="34">
        <f t="shared" si="77"/>
        <v>0</v>
      </c>
      <c r="CE14" s="34">
        <f t="shared" ref="CE14:CO14" si="78">CE28</f>
        <v>0</v>
      </c>
      <c r="CF14" s="34">
        <f t="shared" si="78"/>
        <v>0</v>
      </c>
      <c r="CG14" s="34">
        <f t="shared" si="78"/>
        <v>0</v>
      </c>
      <c r="CH14" s="34">
        <f t="shared" si="78"/>
        <v>0</v>
      </c>
      <c r="CI14" s="34">
        <f t="shared" si="78"/>
        <v>0</v>
      </c>
      <c r="CJ14" s="34">
        <f t="shared" si="78"/>
        <v>0</v>
      </c>
      <c r="CK14" s="34">
        <f t="shared" si="78"/>
        <v>0</v>
      </c>
      <c r="CL14" s="34">
        <f t="shared" si="78"/>
        <v>0</v>
      </c>
      <c r="CM14" s="34">
        <f t="shared" si="78"/>
        <v>0</v>
      </c>
      <c r="CN14" s="34">
        <f t="shared" si="78"/>
        <v>0</v>
      </c>
      <c r="CO14" s="34">
        <f t="shared" si="78"/>
        <v>0</v>
      </c>
      <c r="CP14" s="34">
        <f>CP28</f>
        <v>0</v>
      </c>
      <c r="CQ14" s="34">
        <f>CQ28</f>
        <v>0</v>
      </c>
      <c r="CR14" s="34">
        <f>CR28</f>
        <v>0</v>
      </c>
      <c r="CS14" s="34">
        <f t="shared" ref="CS14:DI14" si="79">CS28</f>
        <v>0</v>
      </c>
      <c r="CT14" s="34">
        <f t="shared" si="79"/>
        <v>0</v>
      </c>
      <c r="CU14" s="34">
        <f t="shared" si="79"/>
        <v>0</v>
      </c>
      <c r="CV14" s="34">
        <f t="shared" si="79"/>
        <v>0</v>
      </c>
      <c r="CW14" s="34">
        <f t="shared" si="79"/>
        <v>0</v>
      </c>
      <c r="CX14" s="34">
        <f t="shared" si="79"/>
        <v>0</v>
      </c>
      <c r="CY14" s="34">
        <f t="shared" si="79"/>
        <v>0</v>
      </c>
      <c r="CZ14" s="34">
        <f t="shared" si="79"/>
        <v>0</v>
      </c>
      <c r="DA14" s="34">
        <f t="shared" si="79"/>
        <v>0</v>
      </c>
      <c r="DB14" s="34">
        <f t="shared" si="79"/>
        <v>0</v>
      </c>
      <c r="DC14" s="34">
        <f t="shared" si="79"/>
        <v>0</v>
      </c>
      <c r="DD14" s="34">
        <f t="shared" si="79"/>
        <v>0</v>
      </c>
      <c r="DE14" s="34">
        <f t="shared" si="79"/>
        <v>0</v>
      </c>
      <c r="DF14" s="34">
        <f t="shared" si="79"/>
        <v>0</v>
      </c>
      <c r="DG14" s="34">
        <f t="shared" si="79"/>
        <v>0</v>
      </c>
      <c r="DH14" s="34">
        <f t="shared" si="79"/>
        <v>0</v>
      </c>
      <c r="DI14" s="34">
        <f t="shared" si="79"/>
        <v>0</v>
      </c>
      <c r="DJ14" s="34">
        <f t="shared" ref="DJ14:DO14" si="80">DJ28</f>
        <v>0</v>
      </c>
      <c r="DK14" s="34">
        <f t="shared" si="80"/>
        <v>0</v>
      </c>
      <c r="DL14" s="34">
        <f t="shared" si="80"/>
        <v>0</v>
      </c>
      <c r="DM14" s="34">
        <f t="shared" si="80"/>
        <v>0</v>
      </c>
      <c r="DN14" s="34">
        <f t="shared" si="80"/>
        <v>0</v>
      </c>
      <c r="DO14" s="34">
        <f t="shared" si="80"/>
        <v>0</v>
      </c>
      <c r="DP14" s="34">
        <f t="shared" ref="DP14:DS14" si="81">DP28</f>
        <v>0</v>
      </c>
      <c r="DQ14" s="34">
        <f t="shared" si="81"/>
        <v>0</v>
      </c>
      <c r="DR14" s="34">
        <f t="shared" si="81"/>
        <v>0</v>
      </c>
      <c r="DS14" s="34">
        <f t="shared" si="81"/>
        <v>0</v>
      </c>
    </row>
    <row r="15" spans="1:123" x14ac:dyDescent="0.25">
      <c r="A15" s="45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</row>
    <row r="16" spans="1:123" x14ac:dyDescent="0.25">
      <c r="A16" s="45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</row>
    <row r="17" spans="1:123" x14ac:dyDescent="0.25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</row>
    <row r="18" spans="1:123" x14ac:dyDescent="0.25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</row>
    <row r="19" spans="1:123" ht="15" x14ac:dyDescent="0.3">
      <c r="B19" s="32">
        <f t="shared" ref="B19:BL19" si="82">B1</f>
        <v>41791</v>
      </c>
      <c r="C19" s="32">
        <f t="shared" si="82"/>
        <v>41821</v>
      </c>
      <c r="D19" s="32">
        <f t="shared" si="82"/>
        <v>41852</v>
      </c>
      <c r="E19" s="32">
        <f t="shared" si="82"/>
        <v>41883</v>
      </c>
      <c r="F19" s="32">
        <f t="shared" si="82"/>
        <v>41913</v>
      </c>
      <c r="G19" s="32">
        <f t="shared" si="82"/>
        <v>41944</v>
      </c>
      <c r="H19" s="32">
        <f t="shared" si="82"/>
        <v>41974</v>
      </c>
      <c r="I19" s="32">
        <f t="shared" si="82"/>
        <v>42005</v>
      </c>
      <c r="J19" s="32">
        <f t="shared" si="82"/>
        <v>42036</v>
      </c>
      <c r="K19" s="32">
        <f t="shared" si="82"/>
        <v>42064</v>
      </c>
      <c r="L19" s="32">
        <f t="shared" si="82"/>
        <v>42095</v>
      </c>
      <c r="M19" s="32">
        <f t="shared" si="82"/>
        <v>42125</v>
      </c>
      <c r="N19" s="32">
        <f t="shared" si="82"/>
        <v>42156</v>
      </c>
      <c r="O19" s="32">
        <f t="shared" si="82"/>
        <v>42186</v>
      </c>
      <c r="P19" s="32">
        <f t="shared" si="82"/>
        <v>42217</v>
      </c>
      <c r="Q19" s="32">
        <f t="shared" si="82"/>
        <v>42248</v>
      </c>
      <c r="R19" s="32">
        <f t="shared" si="82"/>
        <v>42278</v>
      </c>
      <c r="S19" s="32">
        <f t="shared" si="82"/>
        <v>42309</v>
      </c>
      <c r="T19" s="32">
        <f t="shared" si="82"/>
        <v>42339</v>
      </c>
      <c r="U19" s="32">
        <f t="shared" si="82"/>
        <v>42370</v>
      </c>
      <c r="V19" s="32">
        <f t="shared" si="82"/>
        <v>42401</v>
      </c>
      <c r="W19" s="32">
        <f t="shared" si="82"/>
        <v>42430</v>
      </c>
      <c r="X19" s="32">
        <f t="shared" si="82"/>
        <v>42461</v>
      </c>
      <c r="Y19" s="32">
        <f t="shared" si="82"/>
        <v>42491</v>
      </c>
      <c r="Z19" s="32">
        <f t="shared" si="82"/>
        <v>42522</v>
      </c>
      <c r="AA19" s="32">
        <f t="shared" si="82"/>
        <v>42552</v>
      </c>
      <c r="AB19" s="32">
        <f t="shared" si="82"/>
        <v>42583</v>
      </c>
      <c r="AC19" s="32">
        <f t="shared" si="82"/>
        <v>42614</v>
      </c>
      <c r="AD19" s="32">
        <f t="shared" si="82"/>
        <v>42644</v>
      </c>
      <c r="AE19" s="32">
        <f t="shared" si="82"/>
        <v>42675</v>
      </c>
      <c r="AF19" s="32">
        <f t="shared" si="82"/>
        <v>42705</v>
      </c>
      <c r="AG19" s="32">
        <f t="shared" si="82"/>
        <v>42736</v>
      </c>
      <c r="AH19" s="32">
        <f t="shared" si="82"/>
        <v>42767</v>
      </c>
      <c r="AI19" s="32">
        <f t="shared" si="82"/>
        <v>42795</v>
      </c>
      <c r="AJ19" s="32">
        <f t="shared" si="82"/>
        <v>42826</v>
      </c>
      <c r="AK19" s="32">
        <f t="shared" si="82"/>
        <v>42856</v>
      </c>
      <c r="AL19" s="32">
        <f t="shared" si="82"/>
        <v>42887</v>
      </c>
      <c r="AM19" s="32">
        <f t="shared" si="82"/>
        <v>42917</v>
      </c>
      <c r="AN19" s="32">
        <f t="shared" si="82"/>
        <v>42948</v>
      </c>
      <c r="AO19" s="32">
        <f t="shared" si="82"/>
        <v>42979</v>
      </c>
      <c r="AP19" s="32">
        <f t="shared" si="82"/>
        <v>43009</v>
      </c>
      <c r="AQ19" s="32">
        <f t="shared" si="82"/>
        <v>43040</v>
      </c>
      <c r="AR19" s="32">
        <f t="shared" si="82"/>
        <v>43070</v>
      </c>
      <c r="AS19" s="32">
        <f t="shared" si="82"/>
        <v>43101</v>
      </c>
      <c r="AT19" s="32">
        <f t="shared" si="82"/>
        <v>43132</v>
      </c>
      <c r="AU19" s="32">
        <f t="shared" si="82"/>
        <v>43160</v>
      </c>
      <c r="AV19" s="32">
        <f t="shared" si="82"/>
        <v>43191</v>
      </c>
      <c r="AW19" s="32">
        <f t="shared" si="82"/>
        <v>43221</v>
      </c>
      <c r="AX19" s="32">
        <f t="shared" si="82"/>
        <v>43252</v>
      </c>
      <c r="AY19" s="32">
        <f t="shared" si="82"/>
        <v>43282</v>
      </c>
      <c r="AZ19" s="32">
        <f t="shared" si="82"/>
        <v>43313</v>
      </c>
      <c r="BA19" s="32">
        <f t="shared" si="82"/>
        <v>43344</v>
      </c>
      <c r="BB19" s="32">
        <f t="shared" si="82"/>
        <v>43374</v>
      </c>
      <c r="BC19" s="32">
        <f t="shared" si="82"/>
        <v>43405</v>
      </c>
      <c r="BD19" s="32">
        <f t="shared" si="82"/>
        <v>43435</v>
      </c>
      <c r="BE19" s="32">
        <f t="shared" si="82"/>
        <v>43466</v>
      </c>
      <c r="BF19" s="32">
        <f t="shared" si="82"/>
        <v>43497</v>
      </c>
      <c r="BG19" s="32">
        <f t="shared" si="82"/>
        <v>43525</v>
      </c>
      <c r="BH19" s="32">
        <f t="shared" si="82"/>
        <v>43556</v>
      </c>
      <c r="BI19" s="32">
        <f t="shared" si="82"/>
        <v>43586</v>
      </c>
      <c r="BJ19" s="32">
        <f t="shared" si="82"/>
        <v>43617</v>
      </c>
      <c r="BK19" s="32">
        <f t="shared" si="82"/>
        <v>43647</v>
      </c>
      <c r="BL19" s="32">
        <f t="shared" si="82"/>
        <v>43678</v>
      </c>
      <c r="BM19" s="32">
        <f t="shared" ref="BM19:DI19" si="83">BM1</f>
        <v>43709</v>
      </c>
      <c r="BN19" s="32">
        <f t="shared" si="83"/>
        <v>43739</v>
      </c>
      <c r="BO19" s="32">
        <f t="shared" si="83"/>
        <v>43770</v>
      </c>
      <c r="BP19" s="32">
        <f t="shared" si="83"/>
        <v>43800</v>
      </c>
      <c r="BQ19" s="32">
        <f t="shared" si="83"/>
        <v>43831</v>
      </c>
      <c r="BR19" s="32">
        <f t="shared" si="83"/>
        <v>43862</v>
      </c>
      <c r="BS19" s="32">
        <f t="shared" si="83"/>
        <v>43891</v>
      </c>
      <c r="BT19" s="32">
        <f t="shared" si="83"/>
        <v>43922</v>
      </c>
      <c r="BU19" s="32">
        <f t="shared" si="83"/>
        <v>43952</v>
      </c>
      <c r="BV19" s="32">
        <f t="shared" si="83"/>
        <v>43983</v>
      </c>
      <c r="BW19" s="32">
        <f t="shared" si="83"/>
        <v>44013</v>
      </c>
      <c r="BX19" s="32">
        <f t="shared" si="83"/>
        <v>44044</v>
      </c>
      <c r="BY19" s="32">
        <f t="shared" si="83"/>
        <v>44075</v>
      </c>
      <c r="BZ19" s="32">
        <f t="shared" si="83"/>
        <v>44105</v>
      </c>
      <c r="CA19" s="32">
        <f t="shared" si="83"/>
        <v>44136</v>
      </c>
      <c r="CB19" s="32">
        <f t="shared" si="83"/>
        <v>44166</v>
      </c>
      <c r="CC19" s="32">
        <f t="shared" si="83"/>
        <v>44197</v>
      </c>
      <c r="CD19" s="32">
        <f t="shared" si="83"/>
        <v>44228</v>
      </c>
      <c r="CE19" s="32">
        <f t="shared" si="83"/>
        <v>44256</v>
      </c>
      <c r="CF19" s="32">
        <f t="shared" si="83"/>
        <v>44287</v>
      </c>
      <c r="CG19" s="32">
        <f t="shared" si="83"/>
        <v>44317</v>
      </c>
      <c r="CH19" s="32">
        <f t="shared" si="83"/>
        <v>44348</v>
      </c>
      <c r="CI19" s="32">
        <f t="shared" si="83"/>
        <v>44378</v>
      </c>
      <c r="CJ19" s="32">
        <f t="shared" si="83"/>
        <v>44409</v>
      </c>
      <c r="CK19" s="32">
        <f t="shared" si="83"/>
        <v>44440</v>
      </c>
      <c r="CL19" s="32">
        <f t="shared" si="83"/>
        <v>44470</v>
      </c>
      <c r="CM19" s="32">
        <f t="shared" si="83"/>
        <v>44501</v>
      </c>
      <c r="CN19" s="32">
        <f t="shared" si="83"/>
        <v>44531</v>
      </c>
      <c r="CO19" s="32">
        <f t="shared" si="83"/>
        <v>44562</v>
      </c>
      <c r="CP19" s="32">
        <f t="shared" si="83"/>
        <v>44593</v>
      </c>
      <c r="CQ19" s="32">
        <f t="shared" si="83"/>
        <v>44621</v>
      </c>
      <c r="CR19" s="32">
        <f t="shared" si="83"/>
        <v>44652</v>
      </c>
      <c r="CS19" s="32">
        <f t="shared" si="83"/>
        <v>44682</v>
      </c>
      <c r="CT19" s="32">
        <f t="shared" si="83"/>
        <v>44713</v>
      </c>
      <c r="CU19" s="32">
        <f t="shared" si="83"/>
        <v>44743</v>
      </c>
      <c r="CV19" s="32">
        <f t="shared" si="83"/>
        <v>44774</v>
      </c>
      <c r="CW19" s="32">
        <f t="shared" si="83"/>
        <v>44805</v>
      </c>
      <c r="CX19" s="32">
        <f t="shared" si="83"/>
        <v>44835</v>
      </c>
      <c r="CY19" s="32">
        <f t="shared" si="83"/>
        <v>44866</v>
      </c>
      <c r="CZ19" s="32">
        <f t="shared" si="83"/>
        <v>44896</v>
      </c>
      <c r="DA19" s="32">
        <f t="shared" si="83"/>
        <v>44927</v>
      </c>
      <c r="DB19" s="32">
        <f t="shared" si="83"/>
        <v>44958</v>
      </c>
      <c r="DC19" s="32">
        <f t="shared" si="83"/>
        <v>44986</v>
      </c>
      <c r="DD19" s="32">
        <f t="shared" si="83"/>
        <v>45017</v>
      </c>
      <c r="DE19" s="32">
        <f t="shared" si="83"/>
        <v>45047</v>
      </c>
      <c r="DF19" s="32">
        <f t="shared" si="83"/>
        <v>45078</v>
      </c>
      <c r="DG19" s="32">
        <f t="shared" si="83"/>
        <v>45108</v>
      </c>
      <c r="DH19" s="32">
        <f t="shared" si="83"/>
        <v>45139</v>
      </c>
      <c r="DI19" s="32">
        <f t="shared" si="83"/>
        <v>45170</v>
      </c>
      <c r="DJ19" s="32">
        <f t="shared" ref="DJ19:DO19" si="84">DJ1</f>
        <v>45200</v>
      </c>
      <c r="DK19" s="32">
        <f t="shared" si="84"/>
        <v>45231</v>
      </c>
      <c r="DL19" s="32">
        <f t="shared" si="84"/>
        <v>45261</v>
      </c>
      <c r="DM19" s="32">
        <f t="shared" si="84"/>
        <v>45292</v>
      </c>
      <c r="DN19" s="32">
        <f t="shared" si="84"/>
        <v>45323</v>
      </c>
      <c r="DO19" s="32">
        <f t="shared" si="84"/>
        <v>45352</v>
      </c>
      <c r="DP19" s="32">
        <f t="shared" ref="DP19:DS19" si="85">DP1</f>
        <v>45383</v>
      </c>
      <c r="DQ19" s="32">
        <f t="shared" si="85"/>
        <v>45413</v>
      </c>
      <c r="DR19" s="32">
        <f t="shared" si="85"/>
        <v>45444</v>
      </c>
      <c r="DS19" s="32">
        <f t="shared" si="85"/>
        <v>45474</v>
      </c>
    </row>
    <row r="20" spans="1:123" ht="15" x14ac:dyDescent="0.3">
      <c r="A20" s="46" t="s">
        <v>36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</row>
    <row r="21" spans="1:123" x14ac:dyDescent="0.25">
      <c r="A21" s="43" t="s">
        <v>37</v>
      </c>
      <c r="B21" s="34"/>
      <c r="C21" s="47">
        <f>Accrual_Hydron!C27</f>
        <v>0</v>
      </c>
      <c r="D21" s="34"/>
      <c r="E21" s="34"/>
      <c r="F21" s="47"/>
      <c r="G21" s="34"/>
      <c r="H21" s="47"/>
      <c r="I21" s="47"/>
      <c r="J21" s="34"/>
      <c r="K21" s="47"/>
      <c r="L21" s="47">
        <f>Accrual_Hydron!L27</f>
        <v>0</v>
      </c>
      <c r="M21" s="47"/>
      <c r="N21" s="47"/>
      <c r="O21" s="47">
        <f>Accrual_Hydron!O27</f>
        <v>0</v>
      </c>
      <c r="P21" s="47"/>
      <c r="Q21" s="47"/>
      <c r="R21" s="47">
        <f>Accrual_Hydron!R27</f>
        <v>0</v>
      </c>
      <c r="S21" s="47"/>
      <c r="T21" s="47"/>
      <c r="U21" s="47">
        <f>Accrual_Hydron!U27</f>
        <v>0</v>
      </c>
      <c r="V21" s="47"/>
      <c r="W21" s="47"/>
      <c r="X21" s="47">
        <f>Accrual_Hydron!X27</f>
        <v>0</v>
      </c>
      <c r="Y21" s="47"/>
      <c r="Z21" s="47"/>
      <c r="AA21" s="47">
        <f>Accrual_Hydron!AA27</f>
        <v>0</v>
      </c>
      <c r="AB21" s="47"/>
      <c r="AC21" s="47"/>
      <c r="AD21" s="47">
        <v>0</v>
      </c>
      <c r="AE21" s="47"/>
      <c r="AF21" s="47"/>
      <c r="AG21" s="47">
        <v>0</v>
      </c>
      <c r="AH21" s="47"/>
      <c r="AI21" s="47"/>
      <c r="AJ21" s="47">
        <v>0</v>
      </c>
      <c r="AK21" s="47"/>
      <c r="AL21" s="47"/>
      <c r="AM21" s="47">
        <v>0</v>
      </c>
      <c r="AN21" s="47"/>
      <c r="AO21" s="47"/>
      <c r="AP21" s="47">
        <f t="shared" ref="AM21:CS21" si="86">AP4-AO5</f>
        <v>2709207.34375</v>
      </c>
      <c r="AQ21" s="47">
        <f t="shared" si="86"/>
        <v>0</v>
      </c>
      <c r="AR21" s="47">
        <f t="shared" si="86"/>
        <v>0</v>
      </c>
      <c r="AS21" s="47">
        <f t="shared" si="86"/>
        <v>541841.46875</v>
      </c>
      <c r="AT21" s="47">
        <f t="shared" si="86"/>
        <v>0</v>
      </c>
      <c r="AU21" s="47">
        <f t="shared" si="86"/>
        <v>0</v>
      </c>
      <c r="AV21" s="47">
        <f t="shared" si="86"/>
        <v>541841.46875</v>
      </c>
      <c r="AW21" s="47">
        <f t="shared" si="86"/>
        <v>0</v>
      </c>
      <c r="AX21" s="47">
        <f t="shared" si="86"/>
        <v>0</v>
      </c>
      <c r="AY21" s="47">
        <f t="shared" si="86"/>
        <v>541841.46875</v>
      </c>
      <c r="AZ21" s="47">
        <f t="shared" si="86"/>
        <v>0</v>
      </c>
      <c r="BA21" s="47">
        <f t="shared" si="86"/>
        <v>0</v>
      </c>
      <c r="BB21" s="47">
        <f t="shared" si="86"/>
        <v>541841.46875</v>
      </c>
      <c r="BC21" s="47">
        <f t="shared" si="86"/>
        <v>0</v>
      </c>
      <c r="BD21" s="47">
        <f t="shared" si="86"/>
        <v>0</v>
      </c>
      <c r="BE21" s="47">
        <f t="shared" si="86"/>
        <v>541841.46875</v>
      </c>
      <c r="BF21" s="47">
        <f t="shared" si="86"/>
        <v>0</v>
      </c>
      <c r="BG21" s="47">
        <f t="shared" si="86"/>
        <v>0</v>
      </c>
      <c r="BH21" s="47">
        <f t="shared" si="86"/>
        <v>541841.46875</v>
      </c>
      <c r="BI21" s="47">
        <f t="shared" si="86"/>
        <v>0</v>
      </c>
      <c r="BJ21" s="47">
        <f t="shared" si="86"/>
        <v>0</v>
      </c>
      <c r="BK21" s="47">
        <f t="shared" si="86"/>
        <v>541841.46875</v>
      </c>
      <c r="BL21" s="47">
        <f t="shared" si="86"/>
        <v>0</v>
      </c>
      <c r="BM21" s="47">
        <f t="shared" si="86"/>
        <v>0</v>
      </c>
      <c r="BN21" s="47">
        <f t="shared" si="86"/>
        <v>541841.46875</v>
      </c>
      <c r="BO21" s="47">
        <f t="shared" si="86"/>
        <v>0</v>
      </c>
      <c r="BP21" s="47">
        <f t="shared" si="86"/>
        <v>0</v>
      </c>
      <c r="BQ21" s="47">
        <f t="shared" si="86"/>
        <v>541841.46875</v>
      </c>
      <c r="BR21" s="47">
        <f t="shared" si="86"/>
        <v>0</v>
      </c>
      <c r="BS21" s="47">
        <f t="shared" si="86"/>
        <v>0</v>
      </c>
      <c r="BT21" s="47">
        <f t="shared" si="86"/>
        <v>541841.46875</v>
      </c>
      <c r="BU21" s="47">
        <f t="shared" si="86"/>
        <v>0</v>
      </c>
      <c r="BV21" s="47">
        <f t="shared" si="86"/>
        <v>0</v>
      </c>
      <c r="BW21" s="47">
        <f t="shared" si="86"/>
        <v>541841.46875</v>
      </c>
      <c r="BX21" s="47">
        <f t="shared" si="86"/>
        <v>0</v>
      </c>
      <c r="BY21" s="47">
        <f t="shared" si="86"/>
        <v>0</v>
      </c>
      <c r="BZ21" s="47">
        <f t="shared" si="86"/>
        <v>541841.46875</v>
      </c>
      <c r="CA21" s="47">
        <f t="shared" si="86"/>
        <v>0</v>
      </c>
      <c r="CB21" s="47">
        <f t="shared" si="86"/>
        <v>0</v>
      </c>
      <c r="CC21" s="47">
        <f t="shared" si="86"/>
        <v>541841.46875</v>
      </c>
      <c r="CD21" s="47">
        <f t="shared" si="86"/>
        <v>0</v>
      </c>
      <c r="CE21" s="47">
        <f t="shared" si="86"/>
        <v>0</v>
      </c>
      <c r="CF21" s="47">
        <f t="shared" si="86"/>
        <v>541841.46875</v>
      </c>
      <c r="CG21" s="47">
        <f t="shared" si="86"/>
        <v>0</v>
      </c>
      <c r="CH21" s="47">
        <f t="shared" si="86"/>
        <v>0</v>
      </c>
      <c r="CI21" s="47">
        <f t="shared" si="86"/>
        <v>541841.46875</v>
      </c>
      <c r="CJ21" s="47">
        <f t="shared" si="86"/>
        <v>0</v>
      </c>
      <c r="CK21" s="47">
        <f t="shared" si="86"/>
        <v>0</v>
      </c>
      <c r="CL21" s="47">
        <f t="shared" si="86"/>
        <v>541841.46875</v>
      </c>
      <c r="CM21" s="47">
        <f t="shared" si="86"/>
        <v>0</v>
      </c>
      <c r="CN21" s="47">
        <f t="shared" si="86"/>
        <v>0</v>
      </c>
      <c r="CO21" s="47">
        <f t="shared" si="86"/>
        <v>541841.46875</v>
      </c>
      <c r="CP21" s="47">
        <f t="shared" si="86"/>
        <v>0</v>
      </c>
      <c r="CQ21" s="47">
        <f t="shared" si="86"/>
        <v>0</v>
      </c>
      <c r="CR21" s="47">
        <f t="shared" si="86"/>
        <v>541841.46875</v>
      </c>
      <c r="CS21" s="47">
        <f t="shared" si="86"/>
        <v>0</v>
      </c>
      <c r="CT21" s="47">
        <f t="shared" ref="CT21:DS21" si="87">CT4-CS5</f>
        <v>0</v>
      </c>
      <c r="CU21" s="47">
        <f t="shared" si="87"/>
        <v>541841.46875</v>
      </c>
      <c r="CV21" s="47">
        <f t="shared" si="87"/>
        <v>0</v>
      </c>
      <c r="CW21" s="47">
        <f t="shared" si="87"/>
        <v>0</v>
      </c>
      <c r="CX21" s="47">
        <f t="shared" si="87"/>
        <v>541841.46875</v>
      </c>
      <c r="CY21" s="47">
        <f t="shared" si="87"/>
        <v>0</v>
      </c>
      <c r="CZ21" s="47">
        <f t="shared" si="87"/>
        <v>0</v>
      </c>
      <c r="DA21" s="47">
        <f t="shared" si="87"/>
        <v>541841.46875</v>
      </c>
      <c r="DB21" s="47">
        <f t="shared" si="87"/>
        <v>0</v>
      </c>
      <c r="DC21" s="47">
        <f t="shared" si="87"/>
        <v>0</v>
      </c>
      <c r="DD21" s="47">
        <f t="shared" si="87"/>
        <v>541841.46875</v>
      </c>
      <c r="DE21" s="47">
        <f t="shared" si="87"/>
        <v>0</v>
      </c>
      <c r="DF21" s="47">
        <f t="shared" si="87"/>
        <v>0</v>
      </c>
      <c r="DG21" s="47">
        <f t="shared" si="87"/>
        <v>541841.46875</v>
      </c>
      <c r="DH21" s="47">
        <f t="shared" si="87"/>
        <v>0</v>
      </c>
      <c r="DI21" s="47">
        <f t="shared" si="87"/>
        <v>0</v>
      </c>
      <c r="DJ21" s="47">
        <f t="shared" si="87"/>
        <v>541841.46875</v>
      </c>
      <c r="DK21" s="47">
        <f t="shared" si="87"/>
        <v>0</v>
      </c>
      <c r="DL21" s="47">
        <f t="shared" si="87"/>
        <v>0</v>
      </c>
      <c r="DM21" s="47">
        <f t="shared" si="87"/>
        <v>541841.46875</v>
      </c>
      <c r="DN21" s="47">
        <f t="shared" si="87"/>
        <v>0</v>
      </c>
      <c r="DO21" s="47">
        <f t="shared" si="87"/>
        <v>0</v>
      </c>
      <c r="DP21" s="47">
        <f t="shared" si="87"/>
        <v>541841.46875</v>
      </c>
      <c r="DQ21" s="47">
        <f t="shared" si="87"/>
        <v>0</v>
      </c>
      <c r="DR21" s="47">
        <f t="shared" si="87"/>
        <v>0</v>
      </c>
      <c r="DS21" s="47">
        <f t="shared" si="87"/>
        <v>541841.46875</v>
      </c>
    </row>
    <row r="22" spans="1:123" x14ac:dyDescent="0.25">
      <c r="A22" s="43" t="s">
        <v>38</v>
      </c>
      <c r="B22" s="34">
        <f>B21</f>
        <v>0</v>
      </c>
      <c r="C22" s="34">
        <f t="shared" ref="C22:BB22" si="88">B22+C21</f>
        <v>0</v>
      </c>
      <c r="D22" s="34">
        <f>C22+D21</f>
        <v>0</v>
      </c>
      <c r="E22" s="34">
        <f t="shared" si="88"/>
        <v>0</v>
      </c>
      <c r="F22" s="34">
        <f t="shared" si="88"/>
        <v>0</v>
      </c>
      <c r="G22" s="34">
        <f t="shared" si="88"/>
        <v>0</v>
      </c>
      <c r="H22" s="34">
        <f t="shared" si="88"/>
        <v>0</v>
      </c>
      <c r="I22" s="34">
        <f t="shared" si="88"/>
        <v>0</v>
      </c>
      <c r="J22" s="34">
        <f t="shared" si="88"/>
        <v>0</v>
      </c>
      <c r="K22" s="34">
        <f t="shared" si="88"/>
        <v>0</v>
      </c>
      <c r="L22" s="34">
        <f t="shared" si="88"/>
        <v>0</v>
      </c>
      <c r="M22" s="34">
        <f t="shared" si="88"/>
        <v>0</v>
      </c>
      <c r="N22" s="34">
        <f t="shared" si="88"/>
        <v>0</v>
      </c>
      <c r="O22" s="34">
        <f t="shared" si="88"/>
        <v>0</v>
      </c>
      <c r="P22" s="34">
        <f t="shared" si="88"/>
        <v>0</v>
      </c>
      <c r="Q22" s="34">
        <f t="shared" si="88"/>
        <v>0</v>
      </c>
      <c r="R22" s="34">
        <f t="shared" si="88"/>
        <v>0</v>
      </c>
      <c r="S22" s="34">
        <f t="shared" si="88"/>
        <v>0</v>
      </c>
      <c r="T22" s="34">
        <f t="shared" si="88"/>
        <v>0</v>
      </c>
      <c r="U22" s="34">
        <f t="shared" si="88"/>
        <v>0</v>
      </c>
      <c r="V22" s="34">
        <f t="shared" si="88"/>
        <v>0</v>
      </c>
      <c r="W22" s="34">
        <f t="shared" si="88"/>
        <v>0</v>
      </c>
      <c r="X22" s="34">
        <f t="shared" si="88"/>
        <v>0</v>
      </c>
      <c r="Y22" s="34">
        <f t="shared" si="88"/>
        <v>0</v>
      </c>
      <c r="Z22" s="34">
        <f t="shared" si="88"/>
        <v>0</v>
      </c>
      <c r="AA22" s="34">
        <f t="shared" si="88"/>
        <v>0</v>
      </c>
      <c r="AB22" s="34">
        <f t="shared" si="88"/>
        <v>0</v>
      </c>
      <c r="AC22" s="34">
        <f t="shared" si="88"/>
        <v>0</v>
      </c>
      <c r="AD22" s="34">
        <f t="shared" si="88"/>
        <v>0</v>
      </c>
      <c r="AE22" s="34">
        <f t="shared" si="88"/>
        <v>0</v>
      </c>
      <c r="AF22" s="34">
        <f t="shared" si="88"/>
        <v>0</v>
      </c>
      <c r="AG22" s="34">
        <f t="shared" si="88"/>
        <v>0</v>
      </c>
      <c r="AH22" s="34">
        <f t="shared" si="88"/>
        <v>0</v>
      </c>
      <c r="AI22" s="34">
        <f t="shared" si="88"/>
        <v>0</v>
      </c>
      <c r="AJ22" s="34">
        <f t="shared" si="88"/>
        <v>0</v>
      </c>
      <c r="AK22" s="34">
        <f t="shared" si="88"/>
        <v>0</v>
      </c>
      <c r="AL22" s="34">
        <f t="shared" si="88"/>
        <v>0</v>
      </c>
      <c r="AM22" s="34">
        <f t="shared" si="88"/>
        <v>0</v>
      </c>
      <c r="AN22" s="34">
        <f t="shared" si="88"/>
        <v>0</v>
      </c>
      <c r="AO22" s="34">
        <f t="shared" si="88"/>
        <v>0</v>
      </c>
      <c r="AP22" s="34">
        <f t="shared" si="88"/>
        <v>2709207.34375</v>
      </c>
      <c r="AQ22" s="34">
        <f t="shared" si="88"/>
        <v>2709207.34375</v>
      </c>
      <c r="AR22" s="34">
        <f t="shared" si="88"/>
        <v>2709207.34375</v>
      </c>
      <c r="AS22" s="34">
        <f t="shared" si="88"/>
        <v>3251048.8125</v>
      </c>
      <c r="AT22" s="34">
        <f t="shared" si="88"/>
        <v>3251048.8125</v>
      </c>
      <c r="AU22" s="34">
        <f t="shared" si="88"/>
        <v>3251048.8125</v>
      </c>
      <c r="AV22" s="34">
        <f t="shared" si="88"/>
        <v>3792890.28125</v>
      </c>
      <c r="AW22" s="34">
        <f t="shared" si="88"/>
        <v>3792890.28125</v>
      </c>
      <c r="AX22" s="34">
        <f t="shared" si="88"/>
        <v>3792890.28125</v>
      </c>
      <c r="AY22" s="34">
        <f t="shared" si="88"/>
        <v>4334731.75</v>
      </c>
      <c r="AZ22" s="34">
        <f t="shared" si="88"/>
        <v>4334731.75</v>
      </c>
      <c r="BA22" s="34">
        <f t="shared" si="88"/>
        <v>4334731.75</v>
      </c>
      <c r="BB22" s="34">
        <f t="shared" si="88"/>
        <v>4876573.21875</v>
      </c>
      <c r="BC22" s="34">
        <f t="shared" ref="BC22:BR22" si="89">BB22+BC21</f>
        <v>4876573.21875</v>
      </c>
      <c r="BD22" s="34">
        <f t="shared" si="89"/>
        <v>4876573.21875</v>
      </c>
      <c r="BE22" s="34">
        <f t="shared" si="89"/>
        <v>5418414.6875</v>
      </c>
      <c r="BF22" s="34">
        <f t="shared" si="89"/>
        <v>5418414.6875</v>
      </c>
      <c r="BG22" s="34">
        <f t="shared" si="89"/>
        <v>5418414.6875</v>
      </c>
      <c r="BH22" s="34">
        <f t="shared" si="89"/>
        <v>5960256.15625</v>
      </c>
      <c r="BI22" s="34">
        <f t="shared" si="89"/>
        <v>5960256.15625</v>
      </c>
      <c r="BJ22" s="34">
        <f t="shared" si="89"/>
        <v>5960256.15625</v>
      </c>
      <c r="BK22" s="34">
        <f t="shared" si="89"/>
        <v>6502097.625</v>
      </c>
      <c r="BL22" s="34">
        <f t="shared" si="89"/>
        <v>6502097.625</v>
      </c>
      <c r="BM22" s="34">
        <f t="shared" si="89"/>
        <v>6502097.625</v>
      </c>
      <c r="BN22" s="34">
        <f t="shared" si="89"/>
        <v>7043939.09375</v>
      </c>
      <c r="BO22" s="34">
        <f t="shared" si="89"/>
        <v>7043939.09375</v>
      </c>
      <c r="BP22" s="34">
        <f t="shared" si="89"/>
        <v>7043939.09375</v>
      </c>
      <c r="BQ22" s="34">
        <f t="shared" si="89"/>
        <v>7585780.5625</v>
      </c>
      <c r="BR22" s="34">
        <f t="shared" si="89"/>
        <v>7585780.5625</v>
      </c>
      <c r="BS22" s="34">
        <f t="shared" ref="BS22:CD22" si="90">BR22+BS21</f>
        <v>7585780.5625</v>
      </c>
      <c r="BT22" s="34">
        <f t="shared" si="90"/>
        <v>8127622.03125</v>
      </c>
      <c r="BU22" s="34">
        <f t="shared" si="90"/>
        <v>8127622.03125</v>
      </c>
      <c r="BV22" s="34">
        <f t="shared" si="90"/>
        <v>8127622.03125</v>
      </c>
      <c r="BW22" s="34">
        <f t="shared" si="90"/>
        <v>8669463.5</v>
      </c>
      <c r="BX22" s="34">
        <f t="shared" si="90"/>
        <v>8669463.5</v>
      </c>
      <c r="BY22" s="34">
        <f t="shared" si="90"/>
        <v>8669463.5</v>
      </c>
      <c r="BZ22" s="34">
        <f t="shared" si="90"/>
        <v>9211304.96875</v>
      </c>
      <c r="CA22" s="34">
        <f t="shared" si="90"/>
        <v>9211304.96875</v>
      </c>
      <c r="CB22" s="34">
        <f t="shared" si="90"/>
        <v>9211304.96875</v>
      </c>
      <c r="CC22" s="34">
        <f t="shared" si="90"/>
        <v>9753146.4375</v>
      </c>
      <c r="CD22" s="34">
        <f t="shared" si="90"/>
        <v>9753146.4375</v>
      </c>
      <c r="CE22" s="34">
        <f t="shared" ref="CE22:CO22" si="91">CD22+CE21</f>
        <v>9753146.4375</v>
      </c>
      <c r="CF22" s="34">
        <f t="shared" si="91"/>
        <v>10294987.90625</v>
      </c>
      <c r="CG22" s="34">
        <f t="shared" si="91"/>
        <v>10294987.90625</v>
      </c>
      <c r="CH22" s="34">
        <f t="shared" si="91"/>
        <v>10294987.90625</v>
      </c>
      <c r="CI22" s="34">
        <f t="shared" si="91"/>
        <v>10836829.375</v>
      </c>
      <c r="CJ22" s="34">
        <f t="shared" si="91"/>
        <v>10836829.375</v>
      </c>
      <c r="CK22" s="34">
        <f t="shared" si="91"/>
        <v>10836829.375</v>
      </c>
      <c r="CL22" s="34">
        <f t="shared" si="91"/>
        <v>11378670.84375</v>
      </c>
      <c r="CM22" s="34">
        <f t="shared" si="91"/>
        <v>11378670.84375</v>
      </c>
      <c r="CN22" s="34">
        <f t="shared" si="91"/>
        <v>11378670.84375</v>
      </c>
      <c r="CO22" s="34">
        <f t="shared" si="91"/>
        <v>11920512.3125</v>
      </c>
      <c r="CP22" s="34">
        <f>CO22+CP21</f>
        <v>11920512.3125</v>
      </c>
      <c r="CQ22" s="34">
        <f>CP22+CQ21</f>
        <v>11920512.3125</v>
      </c>
      <c r="CR22" s="34">
        <f t="shared" ref="CR22:CT22" si="92">CQ22+CR21</f>
        <v>12462353.78125</v>
      </c>
      <c r="CS22" s="34">
        <f t="shared" si="92"/>
        <v>12462353.78125</v>
      </c>
      <c r="CT22" s="34">
        <f t="shared" si="92"/>
        <v>12462353.78125</v>
      </c>
      <c r="CU22" s="34">
        <f t="shared" ref="CU22:CW22" si="93">CT22+CU21</f>
        <v>13004195.25</v>
      </c>
      <c r="CV22" s="34">
        <f t="shared" si="93"/>
        <v>13004195.25</v>
      </c>
      <c r="CW22" s="34">
        <f t="shared" si="93"/>
        <v>13004195.25</v>
      </c>
      <c r="CX22" s="34">
        <f t="shared" ref="CX22:CZ22" si="94">CW22+CX21</f>
        <v>13546036.71875</v>
      </c>
      <c r="CY22" s="34">
        <f t="shared" si="94"/>
        <v>13546036.71875</v>
      </c>
      <c r="CZ22" s="34">
        <f t="shared" si="94"/>
        <v>13546036.71875</v>
      </c>
      <c r="DA22" s="34">
        <f t="shared" ref="DA22:DC22" si="95">CZ22+DA21</f>
        <v>14087878.1875</v>
      </c>
      <c r="DB22" s="34">
        <f t="shared" si="95"/>
        <v>14087878.1875</v>
      </c>
      <c r="DC22" s="34">
        <f t="shared" si="95"/>
        <v>14087878.1875</v>
      </c>
      <c r="DD22" s="34">
        <f t="shared" ref="DD22:DF22" si="96">DC22+DD21</f>
        <v>14629719.65625</v>
      </c>
      <c r="DE22" s="34">
        <f t="shared" si="96"/>
        <v>14629719.65625</v>
      </c>
      <c r="DF22" s="34">
        <f t="shared" si="96"/>
        <v>14629719.65625</v>
      </c>
      <c r="DG22" s="34">
        <f t="shared" ref="DG22:DI22" si="97">DF22+DG21</f>
        <v>15171561.125</v>
      </c>
      <c r="DH22" s="34">
        <f t="shared" si="97"/>
        <v>15171561.125</v>
      </c>
      <c r="DI22" s="34">
        <f t="shared" si="97"/>
        <v>15171561.125</v>
      </c>
      <c r="DJ22" s="34">
        <f t="shared" ref="DJ22:DL22" si="98">DI22+DJ21</f>
        <v>15713402.59375</v>
      </c>
      <c r="DK22" s="34">
        <f t="shared" si="98"/>
        <v>15713402.59375</v>
      </c>
      <c r="DL22" s="34">
        <f t="shared" si="98"/>
        <v>15713402.59375</v>
      </c>
      <c r="DM22" s="34">
        <f t="shared" ref="DM22:DO22" si="99">DL22+DM21</f>
        <v>16255244.0625</v>
      </c>
      <c r="DN22" s="34">
        <f t="shared" si="99"/>
        <v>16255244.0625</v>
      </c>
      <c r="DO22" s="34">
        <f t="shared" si="99"/>
        <v>16255244.0625</v>
      </c>
      <c r="DP22" s="34">
        <f t="shared" ref="DP22" si="100">DO22+DP21</f>
        <v>16797085.53125</v>
      </c>
      <c r="DQ22" s="34">
        <f t="shared" ref="DQ22" si="101">DP22+DQ21</f>
        <v>16797085.53125</v>
      </c>
      <c r="DR22" s="34">
        <f t="shared" ref="DR22" si="102">DQ22+DR21</f>
        <v>16797085.53125</v>
      </c>
      <c r="DS22" s="34">
        <f t="shared" ref="DS22" si="103">DR22+DS21</f>
        <v>17338927</v>
      </c>
    </row>
    <row r="23" spans="1:123" x14ac:dyDescent="0.25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</row>
    <row r="24" spans="1:123" ht="15" x14ac:dyDescent="0.3">
      <c r="A24" s="46" t="s">
        <v>41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</row>
    <row r="25" spans="1:123" s="95" customFormat="1" x14ac:dyDescent="0.25">
      <c r="A25" s="43" t="s">
        <v>42</v>
      </c>
      <c r="B25" s="47">
        <f>B10</f>
        <v>0</v>
      </c>
      <c r="C25" s="34">
        <f>C10-B11</f>
        <v>0</v>
      </c>
      <c r="D25" s="34"/>
      <c r="E25" s="47">
        <f>E10-D11</f>
        <v>0</v>
      </c>
      <c r="F25" s="94">
        <f>F10-E11</f>
        <v>0</v>
      </c>
      <c r="G25" s="94"/>
      <c r="H25" s="47">
        <f>H10-G11</f>
        <v>0</v>
      </c>
      <c r="I25" s="94">
        <f>I10-H11</f>
        <v>0</v>
      </c>
      <c r="J25" s="94"/>
      <c r="K25" s="94"/>
      <c r="L25" s="94">
        <v>0</v>
      </c>
      <c r="M25" s="94"/>
      <c r="N25" s="47"/>
      <c r="O25" s="47">
        <v>0</v>
      </c>
      <c r="P25" s="94"/>
      <c r="Q25" s="47"/>
      <c r="R25" s="47">
        <v>0</v>
      </c>
      <c r="S25" s="94"/>
      <c r="T25" s="47"/>
      <c r="U25" s="47">
        <v>0</v>
      </c>
      <c r="V25" s="94"/>
      <c r="W25" s="47"/>
      <c r="X25" s="47">
        <v>0</v>
      </c>
      <c r="Y25" s="94"/>
      <c r="Z25" s="47"/>
      <c r="AA25" s="47">
        <v>0</v>
      </c>
      <c r="AB25" s="94"/>
      <c r="AC25" s="47"/>
      <c r="AD25" s="47">
        <v>0</v>
      </c>
      <c r="AE25" s="94"/>
      <c r="AF25" s="47"/>
      <c r="AG25" s="47">
        <v>0</v>
      </c>
      <c r="AH25" s="94"/>
      <c r="AI25" s="47"/>
      <c r="AJ25" s="47">
        <v>0</v>
      </c>
      <c r="AK25" s="94"/>
      <c r="AL25" s="47"/>
      <c r="AM25" s="47">
        <v>0</v>
      </c>
      <c r="AN25" s="94"/>
      <c r="AO25" s="47"/>
      <c r="AP25" s="47">
        <f>AP10-AO11</f>
        <v>3196156.704317708</v>
      </c>
      <c r="AQ25" s="94"/>
      <c r="AR25" s="47"/>
      <c r="AS25" s="47">
        <f>AS10-AR11</f>
        <v>221884.08145312499</v>
      </c>
      <c r="AT25" s="94"/>
      <c r="AU25" s="47"/>
      <c r="AV25" s="47">
        <f>AV10-AU11</f>
        <v>211318.17281250004</v>
      </c>
      <c r="AW25" s="94"/>
      <c r="AX25" s="47"/>
      <c r="AY25" s="47">
        <f>AY10-AX11</f>
        <v>207705.89635416679</v>
      </c>
      <c r="AZ25" s="94"/>
      <c r="BA25" s="47"/>
      <c r="BB25" s="47">
        <f>BB10-BA11</f>
        <v>199397.66049999977</v>
      </c>
      <c r="BC25" s="94"/>
      <c r="BD25" s="47"/>
      <c r="BE25" s="47">
        <f>BE10-BD11</f>
        <v>189012.3656822918</v>
      </c>
      <c r="BF25" s="94"/>
      <c r="BG25" s="47"/>
      <c r="BH25" s="47">
        <f>BH10-BG11</f>
        <v>178807.68468749989</v>
      </c>
      <c r="BI25" s="94"/>
      <c r="BJ25" s="47"/>
      <c r="BK25" s="47">
        <f>BK10-BJ11</f>
        <v>174472.95293749962</v>
      </c>
      <c r="BL25" s="94"/>
      <c r="BM25" s="47"/>
      <c r="BN25" s="47">
        <f>BN10-BM11</f>
        <v>166164.71708333306</v>
      </c>
      <c r="BO25" s="94"/>
      <c r="BP25" s="47"/>
      <c r="BQ25" s="47">
        <f>BQ10-BP11</f>
        <v>156140.6499114586</v>
      </c>
      <c r="BR25" s="94"/>
      <c r="BS25" s="47"/>
      <c r="BT25" s="47">
        <f>BT10-BS11</f>
        <v>147922.72096875031</v>
      </c>
      <c r="BU25" s="94"/>
      <c r="BV25" s="47"/>
      <c r="BW25" s="47">
        <f>BW10-BV11</f>
        <v>141240.00952083338</v>
      </c>
      <c r="BX25" s="94"/>
      <c r="BY25" s="47"/>
      <c r="BZ25" s="47">
        <f>BZ10-BY11</f>
        <v>132931.77366666682</v>
      </c>
      <c r="CA25" s="94"/>
      <c r="CB25" s="47"/>
      <c r="CC25" s="47">
        <f>CC10-CB11</f>
        <v>123268.93414062541</v>
      </c>
      <c r="CD25" s="94"/>
      <c r="CE25" s="47"/>
      <c r="CF25" s="47">
        <f>CF10-CE11</f>
        <v>113786.70843749959</v>
      </c>
      <c r="CG25" s="94"/>
      <c r="CH25" s="47"/>
      <c r="CI25" s="47">
        <f>CI10-CH11</f>
        <v>108007.06610416621</v>
      </c>
      <c r="CJ25" s="94"/>
      <c r="CK25" s="47"/>
      <c r="CL25" s="47">
        <f t="shared" ref="CL25:CO25" si="104">CL10-CK11</f>
        <v>99698.83024999965</v>
      </c>
      <c r="CM25" s="94"/>
      <c r="CN25" s="47"/>
      <c r="CO25" s="47">
        <f t="shared" si="104"/>
        <v>90397.218369791284</v>
      </c>
      <c r="CP25" s="94"/>
      <c r="CQ25" s="47"/>
      <c r="CR25" s="47">
        <f t="shared" ref="CR25" si="105">CR10-CQ11</f>
        <v>81276.220312500373</v>
      </c>
      <c r="CS25" s="94"/>
      <c r="CT25" s="47"/>
      <c r="CU25" s="47">
        <f t="shared" ref="CU25" si="106">CU10-CT11</f>
        <v>74774.12268749997</v>
      </c>
      <c r="CV25" s="94"/>
      <c r="CW25" s="47"/>
      <c r="CX25" s="47">
        <f t="shared" ref="CX25" si="107">CX10-CW11</f>
        <v>66465.88683333341</v>
      </c>
      <c r="CY25" s="94"/>
      <c r="CZ25" s="47"/>
      <c r="DA25" s="47">
        <f t="shared" ref="DA25" si="108">DA10-CZ11</f>
        <v>57525.50259895809</v>
      </c>
      <c r="DB25" s="94"/>
      <c r="DC25" s="47"/>
      <c r="DD25" s="47">
        <f t="shared" ref="DD25" si="109">DD10-DC11</f>
        <v>48765.732187500224</v>
      </c>
      <c r="DE25" s="94"/>
      <c r="DF25" s="47"/>
      <c r="DG25" s="47">
        <f t="shared" ref="DG25" si="110">DG10-DF11</f>
        <v>41541.179270833731</v>
      </c>
      <c r="DH25" s="94"/>
      <c r="DI25" s="47"/>
      <c r="DJ25" s="47">
        <f t="shared" ref="DJ25" si="111">DJ10-DI11</f>
        <v>33232.94341666624</v>
      </c>
      <c r="DK25" s="94"/>
      <c r="DL25" s="47"/>
      <c r="DM25" s="47">
        <f t="shared" ref="DM25" si="112">DM10-DL11</f>
        <v>24653.786828124896</v>
      </c>
      <c r="DN25" s="94"/>
      <c r="DO25" s="47"/>
      <c r="DP25" s="47">
        <f t="shared" ref="DP25" si="113">DP10-DO11</f>
        <v>16435.857885416597</v>
      </c>
      <c r="DS25" s="47">
        <f t="shared" ref="DS25" si="114">DS10-DR11</f>
        <v>8308.2358541665599</v>
      </c>
    </row>
    <row r="26" spans="1:123" x14ac:dyDescent="0.25">
      <c r="A26" s="43" t="s">
        <v>43</v>
      </c>
      <c r="B26" s="34">
        <f>B25</f>
        <v>0</v>
      </c>
      <c r="C26" s="34">
        <f>B26+C25</f>
        <v>0</v>
      </c>
      <c r="D26" s="34">
        <f>C26+D25</f>
        <v>0</v>
      </c>
      <c r="E26" s="34">
        <f>D26+E25</f>
        <v>0</v>
      </c>
      <c r="F26" s="34">
        <f t="shared" ref="F26:K26" si="115">E26+F25</f>
        <v>0</v>
      </c>
      <c r="G26" s="34">
        <f t="shared" si="115"/>
        <v>0</v>
      </c>
      <c r="H26" s="34">
        <f t="shared" si="115"/>
        <v>0</v>
      </c>
      <c r="I26" s="34">
        <f t="shared" si="115"/>
        <v>0</v>
      </c>
      <c r="J26" s="34">
        <f t="shared" si="115"/>
        <v>0</v>
      </c>
      <c r="K26" s="34">
        <f t="shared" si="115"/>
        <v>0</v>
      </c>
      <c r="L26" s="34">
        <f t="shared" ref="L26:AQ26" si="116">K26+L25</f>
        <v>0</v>
      </c>
      <c r="M26" s="34">
        <f t="shared" si="116"/>
        <v>0</v>
      </c>
      <c r="N26" s="34">
        <f t="shared" si="116"/>
        <v>0</v>
      </c>
      <c r="O26" s="34">
        <f t="shared" si="116"/>
        <v>0</v>
      </c>
      <c r="P26" s="34">
        <f t="shared" si="116"/>
        <v>0</v>
      </c>
      <c r="Q26" s="34">
        <f t="shared" si="116"/>
        <v>0</v>
      </c>
      <c r="R26" s="34">
        <f t="shared" si="116"/>
        <v>0</v>
      </c>
      <c r="S26" s="34">
        <f t="shared" si="116"/>
        <v>0</v>
      </c>
      <c r="T26" s="34">
        <f t="shared" si="116"/>
        <v>0</v>
      </c>
      <c r="U26" s="34">
        <f t="shared" si="116"/>
        <v>0</v>
      </c>
      <c r="V26" s="34">
        <f t="shared" si="116"/>
        <v>0</v>
      </c>
      <c r="W26" s="34">
        <f t="shared" si="116"/>
        <v>0</v>
      </c>
      <c r="X26" s="34">
        <f t="shared" si="116"/>
        <v>0</v>
      </c>
      <c r="Y26" s="34">
        <f t="shared" si="116"/>
        <v>0</v>
      </c>
      <c r="Z26" s="34">
        <f t="shared" si="116"/>
        <v>0</v>
      </c>
      <c r="AA26" s="34">
        <f t="shared" si="116"/>
        <v>0</v>
      </c>
      <c r="AB26" s="34">
        <f t="shared" si="116"/>
        <v>0</v>
      </c>
      <c r="AC26" s="34">
        <f t="shared" si="116"/>
        <v>0</v>
      </c>
      <c r="AD26" s="34">
        <f t="shared" si="116"/>
        <v>0</v>
      </c>
      <c r="AE26" s="34">
        <f t="shared" si="116"/>
        <v>0</v>
      </c>
      <c r="AF26" s="34">
        <f t="shared" si="116"/>
        <v>0</v>
      </c>
      <c r="AG26" s="34">
        <f t="shared" si="116"/>
        <v>0</v>
      </c>
      <c r="AH26" s="34">
        <f t="shared" si="116"/>
        <v>0</v>
      </c>
      <c r="AI26" s="34">
        <f t="shared" si="116"/>
        <v>0</v>
      </c>
      <c r="AJ26" s="34">
        <f t="shared" si="116"/>
        <v>0</v>
      </c>
      <c r="AK26" s="34">
        <f t="shared" si="116"/>
        <v>0</v>
      </c>
      <c r="AL26" s="34">
        <f t="shared" si="116"/>
        <v>0</v>
      </c>
      <c r="AM26" s="34">
        <f t="shared" si="116"/>
        <v>0</v>
      </c>
      <c r="AN26" s="34">
        <f t="shared" si="116"/>
        <v>0</v>
      </c>
      <c r="AO26" s="34">
        <f t="shared" si="116"/>
        <v>0</v>
      </c>
      <c r="AP26" s="34">
        <f t="shared" si="116"/>
        <v>3196156.704317708</v>
      </c>
      <c r="AQ26" s="34">
        <f t="shared" si="116"/>
        <v>3196156.704317708</v>
      </c>
      <c r="AR26" s="34">
        <f t="shared" ref="AR26:BW26" si="117">AQ26+AR25</f>
        <v>3196156.704317708</v>
      </c>
      <c r="AS26" s="34">
        <f t="shared" si="117"/>
        <v>3418040.785770833</v>
      </c>
      <c r="AT26" s="34">
        <f t="shared" si="117"/>
        <v>3418040.785770833</v>
      </c>
      <c r="AU26" s="34">
        <f t="shared" si="117"/>
        <v>3418040.785770833</v>
      </c>
      <c r="AV26" s="34">
        <f t="shared" si="117"/>
        <v>3629358.9585833331</v>
      </c>
      <c r="AW26" s="34">
        <f t="shared" si="117"/>
        <v>3629358.9585833331</v>
      </c>
      <c r="AX26" s="34">
        <f t="shared" si="117"/>
        <v>3629358.9585833331</v>
      </c>
      <c r="AY26" s="34">
        <f t="shared" si="117"/>
        <v>3837064.8549374999</v>
      </c>
      <c r="AZ26" s="34">
        <f t="shared" si="117"/>
        <v>3837064.8549374999</v>
      </c>
      <c r="BA26" s="34">
        <f t="shared" si="117"/>
        <v>3837064.8549374999</v>
      </c>
      <c r="BB26" s="34">
        <f t="shared" si="117"/>
        <v>4036462.5154374996</v>
      </c>
      <c r="BC26" s="34">
        <f t="shared" si="117"/>
        <v>4036462.5154374996</v>
      </c>
      <c r="BD26" s="34">
        <f t="shared" si="117"/>
        <v>4036462.5154374996</v>
      </c>
      <c r="BE26" s="34">
        <f t="shared" si="117"/>
        <v>4225474.8811197914</v>
      </c>
      <c r="BF26" s="34">
        <f t="shared" si="117"/>
        <v>4225474.8811197914</v>
      </c>
      <c r="BG26" s="34">
        <f t="shared" si="117"/>
        <v>4225474.8811197914</v>
      </c>
      <c r="BH26" s="34">
        <f t="shared" si="117"/>
        <v>4404282.5658072913</v>
      </c>
      <c r="BI26" s="34">
        <f t="shared" si="117"/>
        <v>4404282.5658072913</v>
      </c>
      <c r="BJ26" s="34">
        <f t="shared" si="117"/>
        <v>4404282.5658072913</v>
      </c>
      <c r="BK26" s="34">
        <f t="shared" si="117"/>
        <v>4578755.5187447909</v>
      </c>
      <c r="BL26" s="34">
        <f t="shared" si="117"/>
        <v>4578755.5187447909</v>
      </c>
      <c r="BM26" s="34">
        <f t="shared" si="117"/>
        <v>4578755.5187447909</v>
      </c>
      <c r="BN26" s="34">
        <f t="shared" si="117"/>
        <v>4744920.235828124</v>
      </c>
      <c r="BO26" s="34">
        <f t="shared" si="117"/>
        <v>4744920.235828124</v>
      </c>
      <c r="BP26" s="34">
        <f t="shared" si="117"/>
        <v>4744920.235828124</v>
      </c>
      <c r="BQ26" s="34">
        <f t="shared" si="117"/>
        <v>4901060.8857395826</v>
      </c>
      <c r="BR26" s="34">
        <f t="shared" si="117"/>
        <v>4901060.8857395826</v>
      </c>
      <c r="BS26" s="34">
        <f t="shared" si="117"/>
        <v>4901060.8857395826</v>
      </c>
      <c r="BT26" s="34">
        <f t="shared" si="117"/>
        <v>5048983.6067083329</v>
      </c>
      <c r="BU26" s="34">
        <f t="shared" si="117"/>
        <v>5048983.6067083329</v>
      </c>
      <c r="BV26" s="34">
        <f t="shared" si="117"/>
        <v>5048983.6067083329</v>
      </c>
      <c r="BW26" s="34">
        <f t="shared" si="117"/>
        <v>5190223.6162291663</v>
      </c>
      <c r="BX26" s="34">
        <f t="shared" ref="BX26:CO26" si="118">BW26+BX25</f>
        <v>5190223.6162291663</v>
      </c>
      <c r="BY26" s="34">
        <f t="shared" si="118"/>
        <v>5190223.6162291663</v>
      </c>
      <c r="BZ26" s="34">
        <f t="shared" si="118"/>
        <v>5323155.3898958331</v>
      </c>
      <c r="CA26" s="34">
        <f t="shared" si="118"/>
        <v>5323155.3898958331</v>
      </c>
      <c r="CB26" s="34">
        <f t="shared" si="118"/>
        <v>5323155.3898958331</v>
      </c>
      <c r="CC26" s="34">
        <f t="shared" si="118"/>
        <v>5446424.3240364585</v>
      </c>
      <c r="CD26" s="34">
        <f t="shared" si="118"/>
        <v>5446424.3240364585</v>
      </c>
      <c r="CE26" s="34">
        <f t="shared" si="118"/>
        <v>5446424.3240364585</v>
      </c>
      <c r="CF26" s="34">
        <f t="shared" si="118"/>
        <v>5560211.0324739581</v>
      </c>
      <c r="CG26" s="34">
        <f t="shared" si="118"/>
        <v>5560211.0324739581</v>
      </c>
      <c r="CH26" s="34">
        <f t="shared" si="118"/>
        <v>5560211.0324739581</v>
      </c>
      <c r="CI26" s="34">
        <f t="shared" si="118"/>
        <v>5668218.0985781243</v>
      </c>
      <c r="CJ26" s="34">
        <f t="shared" si="118"/>
        <v>5668218.0985781243</v>
      </c>
      <c r="CK26" s="34">
        <f t="shared" si="118"/>
        <v>5668218.0985781243</v>
      </c>
      <c r="CL26" s="34">
        <f t="shared" si="118"/>
        <v>5767916.928828124</v>
      </c>
      <c r="CM26" s="34">
        <f t="shared" si="118"/>
        <v>5767916.928828124</v>
      </c>
      <c r="CN26" s="34">
        <f t="shared" si="118"/>
        <v>5767916.928828124</v>
      </c>
      <c r="CO26" s="34">
        <f t="shared" si="118"/>
        <v>5858314.1471979152</v>
      </c>
      <c r="CP26" s="34">
        <f>CO26+CP25</f>
        <v>5858314.1471979152</v>
      </c>
      <c r="CQ26" s="34">
        <f>CP26+CQ25</f>
        <v>5858314.1471979152</v>
      </c>
      <c r="CR26" s="34">
        <f t="shared" ref="CR26:CT26" si="119">CQ26+CR25</f>
        <v>5939590.3675104156</v>
      </c>
      <c r="CS26" s="34">
        <f t="shared" si="119"/>
        <v>5939590.3675104156</v>
      </c>
      <c r="CT26" s="34">
        <f t="shared" si="119"/>
        <v>5939590.3675104156</v>
      </c>
      <c r="CU26" s="34">
        <f t="shared" ref="CU26:CW26" si="120">CT26+CU25</f>
        <v>6014364.4901979156</v>
      </c>
      <c r="CV26" s="34">
        <f t="shared" si="120"/>
        <v>6014364.4901979156</v>
      </c>
      <c r="CW26" s="34">
        <f t="shared" si="120"/>
        <v>6014364.4901979156</v>
      </c>
      <c r="CX26" s="34">
        <f t="shared" ref="CX26:CZ26" si="121">CW26+CX25</f>
        <v>6080830.377031249</v>
      </c>
      <c r="CY26" s="34">
        <f t="shared" si="121"/>
        <v>6080830.377031249</v>
      </c>
      <c r="CZ26" s="34">
        <f t="shared" si="121"/>
        <v>6080830.377031249</v>
      </c>
      <c r="DA26" s="34">
        <f t="shared" ref="DA26:DC26" si="122">CZ26+DA25</f>
        <v>6138355.8796302071</v>
      </c>
      <c r="DB26" s="34">
        <f t="shared" si="122"/>
        <v>6138355.8796302071</v>
      </c>
      <c r="DC26" s="34">
        <f t="shared" si="122"/>
        <v>6138355.8796302071</v>
      </c>
      <c r="DD26" s="34">
        <f t="shared" ref="DD26:DF26" si="123">DC26+DD25</f>
        <v>6187121.6118177073</v>
      </c>
      <c r="DE26" s="34">
        <f t="shared" si="123"/>
        <v>6187121.6118177073</v>
      </c>
      <c r="DF26" s="34">
        <f t="shared" si="123"/>
        <v>6187121.6118177073</v>
      </c>
      <c r="DG26" s="34">
        <f t="shared" ref="DG26:DI26" si="124">DF26+DG25</f>
        <v>6228662.791088541</v>
      </c>
      <c r="DH26" s="34">
        <f t="shared" si="124"/>
        <v>6228662.791088541</v>
      </c>
      <c r="DI26" s="34">
        <f t="shared" si="124"/>
        <v>6228662.791088541</v>
      </c>
      <c r="DJ26" s="34">
        <f t="shared" ref="DJ26:DL26" si="125">DI26+DJ25</f>
        <v>6261895.7345052073</v>
      </c>
      <c r="DK26" s="34">
        <f t="shared" si="125"/>
        <v>6261895.7345052073</v>
      </c>
      <c r="DL26" s="34">
        <f t="shared" si="125"/>
        <v>6261895.7345052073</v>
      </c>
      <c r="DM26" s="34">
        <f t="shared" ref="DM26:DO26" si="126">DL26+DM25</f>
        <v>6286549.5213333322</v>
      </c>
      <c r="DN26" s="34">
        <f t="shared" si="126"/>
        <v>6286549.5213333322</v>
      </c>
      <c r="DO26" s="34">
        <f t="shared" si="126"/>
        <v>6286549.5213333322</v>
      </c>
      <c r="DP26" s="34">
        <f t="shared" ref="DP26" si="127">DO26+DP25</f>
        <v>6302985.3792187488</v>
      </c>
      <c r="DQ26" s="34">
        <f t="shared" ref="DQ26" si="128">DP26+DQ25</f>
        <v>6302985.3792187488</v>
      </c>
      <c r="DR26" s="34">
        <f t="shared" ref="DR26" si="129">DQ26+DR25</f>
        <v>6302985.3792187488</v>
      </c>
      <c r="DS26" s="34">
        <f t="shared" ref="DS26" si="130">DR26+DS25</f>
        <v>6311293.6150729153</v>
      </c>
    </row>
    <row r="27" spans="1:123" x14ac:dyDescent="0.25">
      <c r="A27" s="43" t="s">
        <v>39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/>
      <c r="K27" s="34">
        <v>0</v>
      </c>
      <c r="L27" s="34">
        <v>0</v>
      </c>
      <c r="M27" s="34"/>
      <c r="N27" s="34">
        <v>0</v>
      </c>
      <c r="O27" s="34">
        <v>0</v>
      </c>
      <c r="P27" s="34"/>
      <c r="Q27" s="34">
        <v>0</v>
      </c>
      <c r="R27" s="34">
        <v>0</v>
      </c>
      <c r="S27" s="34"/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4">
        <v>0</v>
      </c>
      <c r="BS27" s="34">
        <v>0</v>
      </c>
      <c r="BT27" s="34">
        <v>0</v>
      </c>
      <c r="BU27" s="34">
        <v>0</v>
      </c>
      <c r="BV27" s="34">
        <v>0</v>
      </c>
      <c r="BW27" s="34">
        <v>0</v>
      </c>
      <c r="BX27" s="34">
        <v>0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0</v>
      </c>
      <c r="CF27" s="34">
        <v>0</v>
      </c>
      <c r="CG27" s="34">
        <v>0</v>
      </c>
      <c r="CH27" s="34">
        <v>0</v>
      </c>
      <c r="CI27" s="34">
        <v>0</v>
      </c>
      <c r="CJ27" s="34">
        <v>0</v>
      </c>
      <c r="CK27" s="34">
        <v>0</v>
      </c>
      <c r="CL27" s="34">
        <v>0</v>
      </c>
      <c r="CM27" s="34">
        <v>0</v>
      </c>
      <c r="CN27" s="34">
        <v>0</v>
      </c>
      <c r="CO27" s="34">
        <v>0</v>
      </c>
      <c r="CP27" s="34">
        <v>0</v>
      </c>
      <c r="CQ27" s="34">
        <v>0</v>
      </c>
      <c r="CR27" s="34">
        <v>0</v>
      </c>
      <c r="CS27" s="34">
        <v>0</v>
      </c>
      <c r="CT27" s="34">
        <v>0</v>
      </c>
      <c r="CU27" s="34">
        <v>0</v>
      </c>
      <c r="CV27" s="34">
        <v>0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4">
        <v>0</v>
      </c>
      <c r="DC27" s="34">
        <v>0</v>
      </c>
      <c r="DD27" s="34">
        <v>0</v>
      </c>
      <c r="DE27" s="34">
        <v>0</v>
      </c>
      <c r="DF27" s="34">
        <v>0</v>
      </c>
      <c r="DG27" s="34">
        <v>0</v>
      </c>
      <c r="DH27" s="34">
        <v>0</v>
      </c>
      <c r="DI27" s="34">
        <v>0</v>
      </c>
      <c r="DJ27" s="34">
        <v>0</v>
      </c>
      <c r="DK27" s="34">
        <v>0</v>
      </c>
      <c r="DL27" s="34">
        <v>0</v>
      </c>
      <c r="DM27" s="34">
        <v>0</v>
      </c>
      <c r="DN27" s="34">
        <v>0</v>
      </c>
      <c r="DO27" s="34">
        <v>0</v>
      </c>
      <c r="DP27" s="34">
        <v>0</v>
      </c>
      <c r="DQ27" s="34">
        <v>0</v>
      </c>
      <c r="DR27" s="34">
        <v>0</v>
      </c>
      <c r="DS27" s="34">
        <v>0</v>
      </c>
    </row>
    <row r="28" spans="1:123" x14ac:dyDescent="0.25">
      <c r="A28" s="41" t="s">
        <v>40</v>
      </c>
      <c r="B28" s="34">
        <f>B27</f>
        <v>0</v>
      </c>
      <c r="C28" s="34">
        <f t="shared" ref="C28:BB28" si="131">B28+C27</f>
        <v>0</v>
      </c>
      <c r="D28" s="34">
        <f>C28+D27</f>
        <v>0</v>
      </c>
      <c r="E28" s="34">
        <f t="shared" si="131"/>
        <v>0</v>
      </c>
      <c r="F28" s="34">
        <f t="shared" si="131"/>
        <v>0</v>
      </c>
      <c r="G28" s="34">
        <f t="shared" si="131"/>
        <v>0</v>
      </c>
      <c r="H28" s="34">
        <f t="shared" si="131"/>
        <v>0</v>
      </c>
      <c r="I28" s="34">
        <f t="shared" si="131"/>
        <v>0</v>
      </c>
      <c r="J28" s="34">
        <f t="shared" si="131"/>
        <v>0</v>
      </c>
      <c r="K28" s="34">
        <f t="shared" si="131"/>
        <v>0</v>
      </c>
      <c r="L28" s="34">
        <f t="shared" si="131"/>
        <v>0</v>
      </c>
      <c r="M28" s="34">
        <f t="shared" si="131"/>
        <v>0</v>
      </c>
      <c r="N28" s="34">
        <f t="shared" si="131"/>
        <v>0</v>
      </c>
      <c r="O28" s="34">
        <f t="shared" si="131"/>
        <v>0</v>
      </c>
      <c r="P28" s="34">
        <f t="shared" si="131"/>
        <v>0</v>
      </c>
      <c r="Q28" s="34">
        <f t="shared" si="131"/>
        <v>0</v>
      </c>
      <c r="R28" s="34">
        <f t="shared" si="131"/>
        <v>0</v>
      </c>
      <c r="S28" s="34">
        <f t="shared" si="131"/>
        <v>0</v>
      </c>
      <c r="T28" s="34">
        <f t="shared" si="131"/>
        <v>0</v>
      </c>
      <c r="U28" s="34">
        <f t="shared" si="131"/>
        <v>0</v>
      </c>
      <c r="V28" s="34">
        <f t="shared" si="131"/>
        <v>0</v>
      </c>
      <c r="W28" s="34">
        <f t="shared" si="131"/>
        <v>0</v>
      </c>
      <c r="X28" s="34">
        <f t="shared" si="131"/>
        <v>0</v>
      </c>
      <c r="Y28" s="34">
        <f t="shared" si="131"/>
        <v>0</v>
      </c>
      <c r="Z28" s="34">
        <f t="shared" si="131"/>
        <v>0</v>
      </c>
      <c r="AA28" s="34">
        <f t="shared" si="131"/>
        <v>0</v>
      </c>
      <c r="AB28" s="34">
        <f t="shared" si="131"/>
        <v>0</v>
      </c>
      <c r="AC28" s="34">
        <f t="shared" si="131"/>
        <v>0</v>
      </c>
      <c r="AD28" s="34">
        <f t="shared" si="131"/>
        <v>0</v>
      </c>
      <c r="AE28" s="34">
        <f t="shared" si="131"/>
        <v>0</v>
      </c>
      <c r="AF28" s="34">
        <f t="shared" si="131"/>
        <v>0</v>
      </c>
      <c r="AG28" s="34">
        <f t="shared" si="131"/>
        <v>0</v>
      </c>
      <c r="AH28" s="34">
        <f t="shared" si="131"/>
        <v>0</v>
      </c>
      <c r="AI28" s="34">
        <f t="shared" si="131"/>
        <v>0</v>
      </c>
      <c r="AJ28" s="34">
        <f t="shared" si="131"/>
        <v>0</v>
      </c>
      <c r="AK28" s="34">
        <f t="shared" si="131"/>
        <v>0</v>
      </c>
      <c r="AL28" s="34">
        <f t="shared" si="131"/>
        <v>0</v>
      </c>
      <c r="AM28" s="34">
        <f t="shared" si="131"/>
        <v>0</v>
      </c>
      <c r="AN28" s="34">
        <f t="shared" si="131"/>
        <v>0</v>
      </c>
      <c r="AO28" s="34">
        <f t="shared" si="131"/>
        <v>0</v>
      </c>
      <c r="AP28" s="34">
        <f t="shared" si="131"/>
        <v>0</v>
      </c>
      <c r="AQ28" s="34">
        <f t="shared" si="131"/>
        <v>0</v>
      </c>
      <c r="AR28" s="34">
        <f t="shared" si="131"/>
        <v>0</v>
      </c>
      <c r="AS28" s="34">
        <f t="shared" si="131"/>
        <v>0</v>
      </c>
      <c r="AT28" s="34">
        <f t="shared" si="131"/>
        <v>0</v>
      </c>
      <c r="AU28" s="34">
        <f t="shared" si="131"/>
        <v>0</v>
      </c>
      <c r="AV28" s="34">
        <f t="shared" si="131"/>
        <v>0</v>
      </c>
      <c r="AW28" s="34">
        <f t="shared" si="131"/>
        <v>0</v>
      </c>
      <c r="AX28" s="34">
        <f t="shared" si="131"/>
        <v>0</v>
      </c>
      <c r="AY28" s="34">
        <f t="shared" si="131"/>
        <v>0</v>
      </c>
      <c r="AZ28" s="34">
        <f t="shared" si="131"/>
        <v>0</v>
      </c>
      <c r="BA28" s="34">
        <f t="shared" si="131"/>
        <v>0</v>
      </c>
      <c r="BB28" s="34">
        <f t="shared" si="131"/>
        <v>0</v>
      </c>
      <c r="BC28" s="34">
        <f t="shared" ref="BC28:BR28" si="132">BB28+BC27</f>
        <v>0</v>
      </c>
      <c r="BD28" s="34">
        <f t="shared" si="132"/>
        <v>0</v>
      </c>
      <c r="BE28" s="34">
        <f t="shared" si="132"/>
        <v>0</v>
      </c>
      <c r="BF28" s="34">
        <f t="shared" si="132"/>
        <v>0</v>
      </c>
      <c r="BG28" s="34">
        <f t="shared" si="132"/>
        <v>0</v>
      </c>
      <c r="BH28" s="34">
        <f t="shared" si="132"/>
        <v>0</v>
      </c>
      <c r="BI28" s="34">
        <f t="shared" si="132"/>
        <v>0</v>
      </c>
      <c r="BJ28" s="34">
        <f t="shared" si="132"/>
        <v>0</v>
      </c>
      <c r="BK28" s="34">
        <f t="shared" si="132"/>
        <v>0</v>
      </c>
      <c r="BL28" s="34">
        <f t="shared" si="132"/>
        <v>0</v>
      </c>
      <c r="BM28" s="34">
        <f t="shared" si="132"/>
        <v>0</v>
      </c>
      <c r="BN28" s="34">
        <f t="shared" si="132"/>
        <v>0</v>
      </c>
      <c r="BO28" s="34">
        <f t="shared" si="132"/>
        <v>0</v>
      </c>
      <c r="BP28" s="34">
        <f t="shared" si="132"/>
        <v>0</v>
      </c>
      <c r="BQ28" s="34">
        <f t="shared" si="132"/>
        <v>0</v>
      </c>
      <c r="BR28" s="34">
        <f t="shared" si="132"/>
        <v>0</v>
      </c>
      <c r="BS28" s="34">
        <f t="shared" ref="BS28" si="133">BR28+BS27</f>
        <v>0</v>
      </c>
      <c r="BT28" s="34">
        <f t="shared" ref="BT28" si="134">BS28+BT27</f>
        <v>0</v>
      </c>
      <c r="BU28" s="34">
        <f t="shared" ref="BU28" si="135">BT28+BU27</f>
        <v>0</v>
      </c>
      <c r="BV28" s="34">
        <f t="shared" ref="BV28" si="136">BU28+BV27</f>
        <v>0</v>
      </c>
      <c r="BW28" s="34">
        <f t="shared" ref="BW28" si="137">BV28+BW27</f>
        <v>0</v>
      </c>
      <c r="BX28" s="34">
        <f t="shared" ref="BX28" si="138">BW28+BX27</f>
        <v>0</v>
      </c>
      <c r="BY28" s="34">
        <f t="shared" ref="BY28" si="139">BX28+BY27</f>
        <v>0</v>
      </c>
      <c r="BZ28" s="34">
        <f t="shared" ref="BZ28" si="140">BY28+BZ27</f>
        <v>0</v>
      </c>
      <c r="CA28" s="34">
        <f t="shared" ref="CA28" si="141">BZ28+CA27</f>
        <v>0</v>
      </c>
      <c r="CB28" s="34">
        <f t="shared" ref="CB28" si="142">CA28+CB27</f>
        <v>0</v>
      </c>
      <c r="CC28" s="34">
        <f t="shared" ref="CC28" si="143">CB28+CC27</f>
        <v>0</v>
      </c>
      <c r="CD28" s="34">
        <f t="shared" ref="CD28" si="144">CC28+CD27</f>
        <v>0</v>
      </c>
      <c r="CE28" s="34">
        <f t="shared" ref="CE28" si="145">CD28+CE27</f>
        <v>0</v>
      </c>
      <c r="CF28" s="34">
        <f t="shared" ref="CF28" si="146">CE28+CF27</f>
        <v>0</v>
      </c>
      <c r="CG28" s="34">
        <f t="shared" ref="CG28" si="147">CF28+CG27</f>
        <v>0</v>
      </c>
      <c r="CH28" s="34">
        <f t="shared" ref="CH28" si="148">CG28+CH27</f>
        <v>0</v>
      </c>
      <c r="CI28" s="34">
        <f t="shared" ref="CI28" si="149">CH28+CI27</f>
        <v>0</v>
      </c>
      <c r="CJ28" s="34">
        <f t="shared" ref="CJ28" si="150">CI28+CJ27</f>
        <v>0</v>
      </c>
      <c r="CK28" s="34">
        <f t="shared" ref="CK28" si="151">CJ28+CK27</f>
        <v>0</v>
      </c>
      <c r="CL28" s="34">
        <f t="shared" ref="CL28" si="152">CK28+CL27</f>
        <v>0</v>
      </c>
      <c r="CM28" s="34">
        <f t="shared" ref="CM28" si="153">CL28+CM27</f>
        <v>0</v>
      </c>
      <c r="CN28" s="34">
        <f t="shared" ref="CN28" si="154">CM28+CN27</f>
        <v>0</v>
      </c>
      <c r="CO28" s="34">
        <f t="shared" ref="CO28" si="155">CN28+CO27</f>
        <v>0</v>
      </c>
      <c r="CP28" s="34">
        <f t="shared" ref="CP28" si="156">CO28+CP27</f>
        <v>0</v>
      </c>
      <c r="CQ28" s="34">
        <f t="shared" ref="CQ28" si="157">CP28+CQ27</f>
        <v>0</v>
      </c>
      <c r="CR28" s="34">
        <f t="shared" ref="CR28" si="158">CQ28+CR27</f>
        <v>0</v>
      </c>
      <c r="CS28" s="34">
        <f t="shared" ref="CS28" si="159">CR28+CS27</f>
        <v>0</v>
      </c>
      <c r="CT28" s="34">
        <f t="shared" ref="CT28" si="160">CS28+CT27</f>
        <v>0</v>
      </c>
      <c r="CU28" s="34">
        <f t="shared" ref="CU28" si="161">CT28+CU27</f>
        <v>0</v>
      </c>
      <c r="CV28" s="34">
        <f t="shared" ref="CV28" si="162">CU28+CV27</f>
        <v>0</v>
      </c>
      <c r="CW28" s="34">
        <f t="shared" ref="CW28" si="163">CV28+CW27</f>
        <v>0</v>
      </c>
      <c r="CX28" s="34">
        <f t="shared" ref="CX28" si="164">CW28+CX27</f>
        <v>0</v>
      </c>
      <c r="CY28" s="34">
        <f t="shared" ref="CY28" si="165">CX28+CY27</f>
        <v>0</v>
      </c>
      <c r="CZ28" s="34">
        <f t="shared" ref="CZ28" si="166">CY28+CZ27</f>
        <v>0</v>
      </c>
      <c r="DA28" s="34">
        <f t="shared" ref="DA28" si="167">CZ28+DA27</f>
        <v>0</v>
      </c>
      <c r="DB28" s="34">
        <f t="shared" ref="DB28" si="168">DA28+DB27</f>
        <v>0</v>
      </c>
      <c r="DC28" s="34">
        <f t="shared" ref="DC28" si="169">DB28+DC27</f>
        <v>0</v>
      </c>
      <c r="DD28" s="34">
        <f t="shared" ref="DD28" si="170">DC28+DD27</f>
        <v>0</v>
      </c>
      <c r="DE28" s="34">
        <f t="shared" ref="DE28" si="171">DD28+DE27</f>
        <v>0</v>
      </c>
      <c r="DF28" s="34">
        <f t="shared" ref="DF28" si="172">DE28+DF27</f>
        <v>0</v>
      </c>
      <c r="DG28" s="34">
        <f t="shared" ref="DG28" si="173">DF28+DG27</f>
        <v>0</v>
      </c>
      <c r="DH28" s="34">
        <f t="shared" ref="DH28" si="174">DG28+DH27</f>
        <v>0</v>
      </c>
      <c r="DI28" s="34">
        <f t="shared" ref="DI28" si="175">DH28+DI27</f>
        <v>0</v>
      </c>
      <c r="DJ28" s="34">
        <f t="shared" ref="DJ28" si="176">DI28+DJ27</f>
        <v>0</v>
      </c>
      <c r="DK28" s="34">
        <f t="shared" ref="DK28" si="177">DJ28+DK27</f>
        <v>0</v>
      </c>
      <c r="DL28" s="34">
        <f t="shared" ref="DL28" si="178">DK28+DL27</f>
        <v>0</v>
      </c>
      <c r="DM28" s="34">
        <f t="shared" ref="DM28" si="179">DL28+DM27</f>
        <v>0</v>
      </c>
      <c r="DN28" s="34">
        <f t="shared" ref="DN28" si="180">DM28+DN27</f>
        <v>0</v>
      </c>
      <c r="DO28" s="34">
        <f t="shared" ref="DO28" si="181">DN28+DO27</f>
        <v>0</v>
      </c>
      <c r="DP28" s="34">
        <f t="shared" ref="DP28" si="182">DO28+DP27</f>
        <v>0</v>
      </c>
      <c r="DQ28" s="34">
        <f t="shared" ref="DQ28" si="183">DP28+DQ27</f>
        <v>0</v>
      </c>
      <c r="DR28" s="34">
        <f t="shared" ref="DR28" si="184">DQ28+DR27</f>
        <v>0</v>
      </c>
      <c r="DS28" s="34">
        <f t="shared" ref="DS28" si="185">DR28+DS27</f>
        <v>0</v>
      </c>
    </row>
    <row r="29" spans="1:123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</row>
    <row r="30" spans="1:123" s="99" customFormat="1" ht="15" x14ac:dyDescent="0.3">
      <c r="A30" s="100" t="s">
        <v>55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3"/>
      <c r="BT30" s="103"/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3"/>
      <c r="DN30" s="103"/>
      <c r="DO30" s="103"/>
      <c r="DP30" s="103"/>
      <c r="DQ30" s="103"/>
      <c r="DR30" s="103"/>
      <c r="DS30" s="104"/>
    </row>
    <row r="31" spans="1:123" ht="15" x14ac:dyDescent="0.3">
      <c r="A31" s="100" t="s">
        <v>56</v>
      </c>
      <c r="B31" s="34"/>
      <c r="C31" s="34"/>
      <c r="D31" s="34"/>
      <c r="E31" s="34"/>
      <c r="F31" s="34"/>
      <c r="G31" s="34"/>
      <c r="H31" s="106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</row>
    <row r="32" spans="1:123" x14ac:dyDescent="0.25">
      <c r="A32" s="101" t="s">
        <v>29</v>
      </c>
      <c r="B32" s="34"/>
      <c r="C32" s="34"/>
      <c r="D32" s="34"/>
      <c r="E32" s="34"/>
      <c r="F32" s="34"/>
      <c r="G32" s="34"/>
      <c r="H32" s="106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</row>
    <row r="33" spans="1:123" x14ac:dyDescent="0.25">
      <c r="A33" s="101" t="s">
        <v>23</v>
      </c>
      <c r="B33" s="34"/>
      <c r="C33" s="34"/>
      <c r="D33" s="34"/>
      <c r="E33" s="34"/>
      <c r="F33" s="34"/>
      <c r="G33" s="34"/>
      <c r="H33" s="106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</row>
    <row r="34" spans="1:123" x14ac:dyDescent="0.25">
      <c r="A34" s="101" t="s">
        <v>57</v>
      </c>
      <c r="B34" s="34"/>
      <c r="C34" s="34"/>
      <c r="D34" s="34"/>
      <c r="E34" s="34"/>
      <c r="F34" s="34"/>
      <c r="G34" s="34"/>
      <c r="H34" s="106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</row>
    <row r="35" spans="1:123" ht="15" x14ac:dyDescent="0.3">
      <c r="A35" s="46" t="s">
        <v>58</v>
      </c>
      <c r="B35" s="34">
        <f t="shared" ref="B35:BL35" si="186">SUM(B32:B34)</f>
        <v>0</v>
      </c>
      <c r="C35" s="34">
        <f t="shared" si="186"/>
        <v>0</v>
      </c>
      <c r="D35" s="34">
        <f t="shared" si="186"/>
        <v>0</v>
      </c>
      <c r="E35" s="34">
        <f t="shared" si="186"/>
        <v>0</v>
      </c>
      <c r="F35" s="34">
        <f t="shared" si="186"/>
        <v>0</v>
      </c>
      <c r="G35" s="34">
        <f t="shared" si="186"/>
        <v>0</v>
      </c>
      <c r="H35" s="34">
        <f t="shared" si="186"/>
        <v>0</v>
      </c>
      <c r="I35" s="34">
        <f t="shared" si="186"/>
        <v>0</v>
      </c>
      <c r="J35" s="34">
        <f t="shared" si="186"/>
        <v>0</v>
      </c>
      <c r="K35" s="34">
        <f t="shared" si="186"/>
        <v>0</v>
      </c>
      <c r="L35" s="34">
        <f t="shared" si="186"/>
        <v>0</v>
      </c>
      <c r="M35" s="34">
        <f t="shared" si="186"/>
        <v>0</v>
      </c>
      <c r="N35" s="34">
        <f t="shared" si="186"/>
        <v>0</v>
      </c>
      <c r="O35" s="34">
        <f t="shared" si="186"/>
        <v>0</v>
      </c>
      <c r="P35" s="34">
        <f t="shared" si="186"/>
        <v>0</v>
      </c>
      <c r="Q35" s="34">
        <f t="shared" si="186"/>
        <v>0</v>
      </c>
      <c r="R35" s="34">
        <f t="shared" si="186"/>
        <v>0</v>
      </c>
      <c r="S35" s="34">
        <f t="shared" si="186"/>
        <v>0</v>
      </c>
      <c r="T35" s="34">
        <f t="shared" si="186"/>
        <v>0</v>
      </c>
      <c r="U35" s="34">
        <f t="shared" si="186"/>
        <v>0</v>
      </c>
      <c r="V35" s="34">
        <f t="shared" si="186"/>
        <v>0</v>
      </c>
      <c r="W35" s="34">
        <f t="shared" si="186"/>
        <v>0</v>
      </c>
      <c r="X35" s="34">
        <f t="shared" si="186"/>
        <v>0</v>
      </c>
      <c r="Y35" s="34">
        <f t="shared" si="186"/>
        <v>0</v>
      </c>
      <c r="Z35" s="34">
        <f t="shared" si="186"/>
        <v>0</v>
      </c>
      <c r="AA35" s="34">
        <f t="shared" si="186"/>
        <v>0</v>
      </c>
      <c r="AB35" s="34">
        <f t="shared" si="186"/>
        <v>0</v>
      </c>
      <c r="AC35" s="34">
        <f t="shared" si="186"/>
        <v>0</v>
      </c>
      <c r="AD35" s="34">
        <f t="shared" si="186"/>
        <v>0</v>
      </c>
      <c r="AE35" s="34">
        <f t="shared" si="186"/>
        <v>0</v>
      </c>
      <c r="AF35" s="34">
        <f t="shared" si="186"/>
        <v>0</v>
      </c>
      <c r="AG35" s="34">
        <f t="shared" si="186"/>
        <v>0</v>
      </c>
      <c r="AH35" s="34">
        <f t="shared" si="186"/>
        <v>0</v>
      </c>
      <c r="AI35" s="34">
        <f t="shared" si="186"/>
        <v>0</v>
      </c>
      <c r="AJ35" s="34">
        <f t="shared" si="186"/>
        <v>0</v>
      </c>
      <c r="AK35" s="34">
        <f t="shared" si="186"/>
        <v>0</v>
      </c>
      <c r="AL35" s="34">
        <f t="shared" si="186"/>
        <v>0</v>
      </c>
      <c r="AM35" s="34">
        <f t="shared" si="186"/>
        <v>0</v>
      </c>
      <c r="AN35" s="34">
        <f t="shared" si="186"/>
        <v>0</v>
      </c>
      <c r="AO35" s="34">
        <f t="shared" si="186"/>
        <v>0</v>
      </c>
      <c r="AP35" s="34">
        <f t="shared" si="186"/>
        <v>0</v>
      </c>
      <c r="AQ35" s="34">
        <f t="shared" si="186"/>
        <v>0</v>
      </c>
      <c r="AR35" s="34">
        <f t="shared" si="186"/>
        <v>0</v>
      </c>
      <c r="AS35" s="34">
        <f t="shared" si="186"/>
        <v>0</v>
      </c>
      <c r="AT35" s="34">
        <f t="shared" si="186"/>
        <v>0</v>
      </c>
      <c r="AU35" s="34">
        <f t="shared" si="186"/>
        <v>0</v>
      </c>
      <c r="AV35" s="34">
        <f t="shared" si="186"/>
        <v>0</v>
      </c>
      <c r="AW35" s="34">
        <f t="shared" si="186"/>
        <v>0</v>
      </c>
      <c r="AX35" s="34">
        <f t="shared" si="186"/>
        <v>0</v>
      </c>
      <c r="AY35" s="34">
        <f t="shared" si="186"/>
        <v>0</v>
      </c>
      <c r="AZ35" s="34">
        <f t="shared" si="186"/>
        <v>0</v>
      </c>
      <c r="BA35" s="34">
        <f t="shared" si="186"/>
        <v>0</v>
      </c>
      <c r="BB35" s="34">
        <f t="shared" si="186"/>
        <v>0</v>
      </c>
      <c r="BC35" s="34">
        <f t="shared" si="186"/>
        <v>0</v>
      </c>
      <c r="BD35" s="34">
        <f t="shared" si="186"/>
        <v>0</v>
      </c>
      <c r="BE35" s="34">
        <f t="shared" si="186"/>
        <v>0</v>
      </c>
      <c r="BF35" s="34">
        <f t="shared" si="186"/>
        <v>0</v>
      </c>
      <c r="BG35" s="34">
        <f t="shared" si="186"/>
        <v>0</v>
      </c>
      <c r="BH35" s="34">
        <f t="shared" si="186"/>
        <v>0</v>
      </c>
      <c r="BI35" s="34">
        <f t="shared" si="186"/>
        <v>0</v>
      </c>
      <c r="BJ35" s="34">
        <f t="shared" si="186"/>
        <v>0</v>
      </c>
      <c r="BK35" s="34">
        <f t="shared" si="186"/>
        <v>0</v>
      </c>
      <c r="BL35" s="34">
        <f t="shared" si="186"/>
        <v>0</v>
      </c>
      <c r="BM35" s="34">
        <f t="shared" ref="BM35:DS35" si="187">SUM(BM32:BM34)</f>
        <v>0</v>
      </c>
      <c r="BN35" s="34">
        <f t="shared" si="187"/>
        <v>0</v>
      </c>
      <c r="BO35" s="34">
        <f t="shared" si="187"/>
        <v>0</v>
      </c>
      <c r="BP35" s="34">
        <f t="shared" si="187"/>
        <v>0</v>
      </c>
      <c r="BQ35" s="34">
        <f t="shared" si="187"/>
        <v>0</v>
      </c>
      <c r="BR35" s="34">
        <f t="shared" si="187"/>
        <v>0</v>
      </c>
      <c r="BS35" s="34">
        <f t="shared" si="187"/>
        <v>0</v>
      </c>
      <c r="BT35" s="34">
        <f t="shared" si="187"/>
        <v>0</v>
      </c>
      <c r="BU35" s="34">
        <f t="shared" si="187"/>
        <v>0</v>
      </c>
      <c r="BV35" s="34">
        <f t="shared" si="187"/>
        <v>0</v>
      </c>
      <c r="BW35" s="34">
        <f t="shared" si="187"/>
        <v>0</v>
      </c>
      <c r="BX35" s="34">
        <f t="shared" si="187"/>
        <v>0</v>
      </c>
      <c r="BY35" s="34">
        <f t="shared" si="187"/>
        <v>0</v>
      </c>
      <c r="BZ35" s="34">
        <f t="shared" si="187"/>
        <v>0</v>
      </c>
      <c r="CA35" s="34">
        <f t="shared" si="187"/>
        <v>0</v>
      </c>
      <c r="CB35" s="34">
        <f t="shared" si="187"/>
        <v>0</v>
      </c>
      <c r="CC35" s="34">
        <f t="shared" si="187"/>
        <v>0</v>
      </c>
      <c r="CD35" s="34">
        <f t="shared" si="187"/>
        <v>0</v>
      </c>
      <c r="CE35" s="34">
        <f t="shared" si="187"/>
        <v>0</v>
      </c>
      <c r="CF35" s="34">
        <f t="shared" si="187"/>
        <v>0</v>
      </c>
      <c r="CG35" s="34">
        <f t="shared" si="187"/>
        <v>0</v>
      </c>
      <c r="CH35" s="34">
        <f t="shared" si="187"/>
        <v>0</v>
      </c>
      <c r="CI35" s="34">
        <f t="shared" si="187"/>
        <v>0</v>
      </c>
      <c r="CJ35" s="34">
        <f t="shared" si="187"/>
        <v>0</v>
      </c>
      <c r="CK35" s="34">
        <f t="shared" si="187"/>
        <v>0</v>
      </c>
      <c r="CL35" s="34">
        <f t="shared" si="187"/>
        <v>0</v>
      </c>
      <c r="CM35" s="34">
        <f t="shared" si="187"/>
        <v>0</v>
      </c>
      <c r="CN35" s="34">
        <f t="shared" si="187"/>
        <v>0</v>
      </c>
      <c r="CO35" s="34">
        <f t="shared" si="187"/>
        <v>0</v>
      </c>
      <c r="CP35" s="34">
        <f t="shared" si="187"/>
        <v>0</v>
      </c>
      <c r="CQ35" s="34">
        <f t="shared" si="187"/>
        <v>0</v>
      </c>
      <c r="CR35" s="34">
        <f t="shared" si="187"/>
        <v>0</v>
      </c>
      <c r="CS35" s="34">
        <f t="shared" si="187"/>
        <v>0</v>
      </c>
      <c r="CT35" s="34">
        <f t="shared" si="187"/>
        <v>0</v>
      </c>
      <c r="CU35" s="34">
        <f t="shared" si="187"/>
        <v>0</v>
      </c>
      <c r="CV35" s="34">
        <f t="shared" si="187"/>
        <v>0</v>
      </c>
      <c r="CW35" s="34">
        <f t="shared" si="187"/>
        <v>0</v>
      </c>
      <c r="CX35" s="34">
        <f t="shared" si="187"/>
        <v>0</v>
      </c>
      <c r="CY35" s="34">
        <f t="shared" si="187"/>
        <v>0</v>
      </c>
      <c r="CZ35" s="34">
        <f t="shared" si="187"/>
        <v>0</v>
      </c>
      <c r="DA35" s="34">
        <f t="shared" si="187"/>
        <v>0</v>
      </c>
      <c r="DB35" s="34">
        <f t="shared" si="187"/>
        <v>0</v>
      </c>
      <c r="DC35" s="34">
        <f t="shared" si="187"/>
        <v>0</v>
      </c>
      <c r="DD35" s="34">
        <f t="shared" si="187"/>
        <v>0</v>
      </c>
      <c r="DE35" s="34">
        <f t="shared" si="187"/>
        <v>0</v>
      </c>
      <c r="DF35" s="34">
        <f t="shared" si="187"/>
        <v>0</v>
      </c>
      <c r="DG35" s="34">
        <f t="shared" si="187"/>
        <v>0</v>
      </c>
      <c r="DH35" s="34">
        <f t="shared" si="187"/>
        <v>0</v>
      </c>
      <c r="DI35" s="34">
        <f t="shared" si="187"/>
        <v>0</v>
      </c>
      <c r="DJ35" s="34">
        <f t="shared" si="187"/>
        <v>0</v>
      </c>
      <c r="DK35" s="34">
        <f t="shared" si="187"/>
        <v>0</v>
      </c>
      <c r="DL35" s="34">
        <f t="shared" si="187"/>
        <v>0</v>
      </c>
      <c r="DM35" s="34">
        <f t="shared" si="187"/>
        <v>0</v>
      </c>
      <c r="DN35" s="34">
        <f t="shared" si="187"/>
        <v>0</v>
      </c>
      <c r="DO35" s="34">
        <f t="shared" si="187"/>
        <v>0</v>
      </c>
      <c r="DP35" s="34">
        <f t="shared" si="187"/>
        <v>0</v>
      </c>
      <c r="DQ35" s="34">
        <f t="shared" si="187"/>
        <v>0</v>
      </c>
      <c r="DR35" s="34">
        <f t="shared" si="187"/>
        <v>0</v>
      </c>
      <c r="DS35" s="34">
        <f t="shared" si="187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48"/>
  <sheetViews>
    <sheetView showGridLines="0" topLeftCell="A22" workbookViewId="0">
      <selection activeCell="M31" sqref="M31"/>
    </sheetView>
  </sheetViews>
  <sheetFormatPr defaultColWidth="8" defaultRowHeight="12.75" x14ac:dyDescent="0.2"/>
  <cols>
    <col min="1" max="1" width="29" style="3" bestFit="1" customWidth="1"/>
    <col min="2" max="2" width="12" style="3" customWidth="1"/>
    <col min="3" max="3" width="9.7109375" style="3" customWidth="1"/>
    <col min="4" max="4" width="10.42578125" style="3" bestFit="1" customWidth="1"/>
    <col min="5" max="9" width="9.85546875" style="3" bestFit="1" customWidth="1"/>
    <col min="10" max="10" width="13.42578125" style="3" bestFit="1" customWidth="1"/>
    <col min="11" max="11" width="12.42578125" style="3" bestFit="1" customWidth="1"/>
    <col min="12" max="16" width="9.85546875" style="3" bestFit="1" customWidth="1"/>
    <col min="17" max="33" width="9.5703125" style="3" bestFit="1" customWidth="1"/>
    <col min="34" max="41" width="9.140625" style="3" customWidth="1"/>
    <col min="42" max="16384" width="8" style="3"/>
  </cols>
  <sheetData>
    <row r="1" spans="1:7" s="11" customFormat="1" ht="15" x14ac:dyDescent="0.25">
      <c r="A1" s="10" t="s">
        <v>0</v>
      </c>
      <c r="C1" s="10" t="s">
        <v>67</v>
      </c>
    </row>
    <row r="3" spans="1:7" s="15" customFormat="1" ht="18.75" x14ac:dyDescent="0.3">
      <c r="A3" s="14"/>
    </row>
    <row r="4" spans="1:7" s="11" customFormat="1" ht="15" x14ac:dyDescent="0.25">
      <c r="A4" s="10"/>
    </row>
    <row r="5" spans="1:7" s="12" customFormat="1" x14ac:dyDescent="0.2">
      <c r="A5" s="12" t="s">
        <v>4</v>
      </c>
      <c r="B5" s="3"/>
      <c r="C5" s="78">
        <v>41639</v>
      </c>
    </row>
    <row r="7" spans="1:7" x14ac:dyDescent="0.2">
      <c r="A7" s="12" t="s">
        <v>2</v>
      </c>
      <c r="C7" s="79">
        <v>19610526</v>
      </c>
      <c r="D7" s="12"/>
    </row>
    <row r="8" spans="1:7" x14ac:dyDescent="0.2">
      <c r="A8" s="12"/>
    </row>
    <row r="9" spans="1:7" x14ac:dyDescent="0.2">
      <c r="A9" s="12" t="s">
        <v>5</v>
      </c>
      <c r="C9" s="78">
        <f>Disbursement!B8</f>
        <v>41827</v>
      </c>
      <c r="E9" s="57"/>
    </row>
    <row r="10" spans="1:7" x14ac:dyDescent="0.2">
      <c r="A10" s="12"/>
      <c r="C10" s="57"/>
    </row>
    <row r="11" spans="1:7" x14ac:dyDescent="0.2">
      <c r="A11" s="12" t="s">
        <v>3</v>
      </c>
      <c r="C11" s="80">
        <v>0.06</v>
      </c>
      <c r="G11" s="9"/>
    </row>
    <row r="12" spans="1:7" x14ac:dyDescent="0.2">
      <c r="A12" s="12" t="s">
        <v>48</v>
      </c>
      <c r="C12" s="57" t="s">
        <v>60</v>
      </c>
    </row>
    <row r="13" spans="1:7" x14ac:dyDescent="0.2">
      <c r="A13" s="12" t="s">
        <v>71</v>
      </c>
      <c r="C13" s="79">
        <v>6</v>
      </c>
      <c r="D13" s="3" t="s">
        <v>72</v>
      </c>
      <c r="E13" s="78">
        <f>EDATE(C20,C13)</f>
        <v>42011</v>
      </c>
    </row>
    <row r="14" spans="1:7" x14ac:dyDescent="0.2">
      <c r="A14" s="12" t="s">
        <v>73</v>
      </c>
      <c r="C14" s="79">
        <v>2</v>
      </c>
      <c r="D14" s="3" t="s">
        <v>74</v>
      </c>
      <c r="E14" s="78">
        <f>EDATE(C20,24)</f>
        <v>42558</v>
      </c>
    </row>
    <row r="15" spans="1:7" x14ac:dyDescent="0.2">
      <c r="A15" s="12" t="s">
        <v>23</v>
      </c>
      <c r="C15" s="57" t="s">
        <v>54</v>
      </c>
    </row>
    <row r="16" spans="1:7" x14ac:dyDescent="0.2">
      <c r="A16" s="67" t="s">
        <v>49</v>
      </c>
      <c r="C16" s="81">
        <v>360</v>
      </c>
      <c r="D16" s="57" t="s">
        <v>50</v>
      </c>
    </row>
    <row r="17" spans="1:128" x14ac:dyDescent="0.2">
      <c r="A17" s="67" t="s">
        <v>51</v>
      </c>
      <c r="B17" s="57"/>
      <c r="C17" s="82">
        <v>32</v>
      </c>
    </row>
    <row r="18" spans="1:128" x14ac:dyDescent="0.2">
      <c r="A18" s="67"/>
      <c r="B18" s="64"/>
      <c r="C18" s="66"/>
    </row>
    <row r="19" spans="1:128" x14ac:dyDescent="0.2">
      <c r="A19" s="67" t="s">
        <v>52</v>
      </c>
      <c r="B19" s="64"/>
      <c r="C19" s="66"/>
    </row>
    <row r="20" spans="1:128" x14ac:dyDescent="0.2">
      <c r="A20" s="68"/>
      <c r="B20" s="69"/>
      <c r="C20" s="105">
        <f>Disbursement!B8</f>
        <v>41827</v>
      </c>
      <c r="D20" s="69">
        <f>Disbursement!B9</f>
        <v>41921</v>
      </c>
      <c r="E20" s="69">
        <f>Disbursement!B10</f>
        <v>41980</v>
      </c>
    </row>
    <row r="21" spans="1:128" x14ac:dyDescent="0.2">
      <c r="A21" s="70"/>
      <c r="B21" s="71"/>
      <c r="C21" s="74">
        <f>Disbursement!C8</f>
        <v>10120161</v>
      </c>
      <c r="D21" s="74">
        <f>Disbursement!C9</f>
        <v>5028348</v>
      </c>
      <c r="E21" s="74">
        <f>Disbursement!C10</f>
        <v>2190418</v>
      </c>
    </row>
    <row r="22" spans="1:128" x14ac:dyDescent="0.2">
      <c r="A22" s="72"/>
      <c r="B22" s="73"/>
      <c r="C22" s="76">
        <f>C21</f>
        <v>10120161</v>
      </c>
      <c r="D22" s="76">
        <f>C22+D21</f>
        <v>15148509</v>
      </c>
      <c r="E22" s="76">
        <f>D22+E21</f>
        <v>17338927</v>
      </c>
    </row>
    <row r="23" spans="1:128" x14ac:dyDescent="0.2">
      <c r="A23" s="65"/>
      <c r="B23" s="64"/>
      <c r="C23" s="66"/>
    </row>
    <row r="24" spans="1:128" x14ac:dyDescent="0.2">
      <c r="A24" s="12"/>
    </row>
    <row r="25" spans="1:128" s="58" customFormat="1" x14ac:dyDescent="0.2">
      <c r="A25" s="93"/>
      <c r="B25" s="62"/>
      <c r="C25" s="3"/>
      <c r="D25" s="62"/>
      <c r="E25" s="3"/>
      <c r="F25" s="3"/>
      <c r="G25" s="62"/>
      <c r="H25" s="62"/>
      <c r="I25" s="62"/>
      <c r="J25" s="57"/>
      <c r="K25" s="64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</row>
    <row r="26" spans="1:128" x14ac:dyDescent="0.2">
      <c r="D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128" x14ac:dyDescent="0.2">
      <c r="B27" s="57"/>
      <c r="C27" s="4"/>
      <c r="D27" s="4"/>
      <c r="E27" s="4"/>
      <c r="F27" s="1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128" x14ac:dyDescent="0.2">
      <c r="A28" s="12" t="s">
        <v>46</v>
      </c>
      <c r="C28" s="1"/>
      <c r="D28" s="1"/>
      <c r="E28" s="9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128" x14ac:dyDescent="0.2">
      <c r="A29" s="16" t="s">
        <v>11</v>
      </c>
      <c r="B29" s="17"/>
      <c r="C29" s="17"/>
      <c r="D29" s="17"/>
      <c r="E29" s="17"/>
      <c r="F29" s="17"/>
      <c r="G29" s="17"/>
      <c r="H29" s="17"/>
      <c r="I29" s="17"/>
      <c r="J29" s="17">
        <v>1</v>
      </c>
      <c r="K29" s="17">
        <v>2</v>
      </c>
      <c r="L29" s="17">
        <v>3</v>
      </c>
      <c r="M29" s="17">
        <v>4</v>
      </c>
      <c r="N29" s="17">
        <v>5</v>
      </c>
      <c r="O29" s="17">
        <v>6</v>
      </c>
      <c r="P29" s="17">
        <v>7</v>
      </c>
      <c r="Q29" s="17">
        <v>8</v>
      </c>
      <c r="R29" s="17">
        <v>9</v>
      </c>
      <c r="S29" s="17">
        <v>10</v>
      </c>
      <c r="T29" s="17">
        <v>11</v>
      </c>
      <c r="U29" s="17">
        <v>12</v>
      </c>
      <c r="V29" s="17">
        <v>13</v>
      </c>
      <c r="W29" s="17">
        <v>14</v>
      </c>
      <c r="X29" s="17">
        <v>15</v>
      </c>
      <c r="Y29" s="17">
        <v>16</v>
      </c>
      <c r="Z29" s="17">
        <v>17</v>
      </c>
      <c r="AA29" s="17">
        <v>18</v>
      </c>
      <c r="AB29" s="17">
        <v>19</v>
      </c>
      <c r="AC29" s="17">
        <v>20</v>
      </c>
      <c r="AD29" s="17">
        <v>21</v>
      </c>
      <c r="AE29" s="17">
        <v>22</v>
      </c>
      <c r="AF29" s="17">
        <v>23</v>
      </c>
      <c r="AG29" s="17">
        <v>24</v>
      </c>
      <c r="AH29" s="17">
        <v>25</v>
      </c>
      <c r="AI29" s="17">
        <v>26</v>
      </c>
      <c r="AJ29" s="17">
        <v>27</v>
      </c>
      <c r="AK29" s="17">
        <v>28</v>
      </c>
      <c r="AL29" s="17">
        <v>29</v>
      </c>
      <c r="AM29" s="17">
        <v>30</v>
      </c>
      <c r="AN29" s="17">
        <v>31</v>
      </c>
      <c r="AO29" s="17">
        <v>32</v>
      </c>
    </row>
    <row r="30" spans="1:128" x14ac:dyDescent="0.2">
      <c r="A30" s="92" t="s">
        <v>12</v>
      </c>
      <c r="B30" s="91">
        <v>41912</v>
      </c>
      <c r="C30" s="91">
        <v>42003</v>
      </c>
      <c r="D30" s="91">
        <v>42093</v>
      </c>
      <c r="E30" s="91">
        <v>42185</v>
      </c>
      <c r="F30" s="91">
        <v>42277</v>
      </c>
      <c r="G30" s="91">
        <v>42368</v>
      </c>
      <c r="H30" s="91">
        <v>42459</v>
      </c>
      <c r="I30" s="91">
        <v>42551</v>
      </c>
      <c r="J30" s="91">
        <v>42645</v>
      </c>
      <c r="K30" s="91">
        <v>42736</v>
      </c>
      <c r="L30" s="91">
        <v>42824</v>
      </c>
      <c r="M30" s="91">
        <v>42918</v>
      </c>
      <c r="N30" s="91">
        <v>43008</v>
      </c>
      <c r="O30" s="91">
        <v>43099</v>
      </c>
      <c r="P30" s="91">
        <v>43189</v>
      </c>
      <c r="Q30" s="91">
        <v>43281</v>
      </c>
      <c r="R30" s="91">
        <v>43373</v>
      </c>
      <c r="S30" s="91">
        <v>43464</v>
      </c>
      <c r="T30" s="91">
        <v>43554</v>
      </c>
      <c r="U30" s="91">
        <v>43646</v>
      </c>
      <c r="V30" s="91">
        <v>43738</v>
      </c>
      <c r="W30" s="91">
        <v>43829</v>
      </c>
      <c r="X30" s="91">
        <v>43920</v>
      </c>
      <c r="Y30" s="91">
        <v>44012</v>
      </c>
      <c r="Z30" s="91">
        <v>44104</v>
      </c>
      <c r="AA30" s="91">
        <v>44195</v>
      </c>
      <c r="AB30" s="91">
        <v>44285</v>
      </c>
      <c r="AC30" s="91">
        <v>44377</v>
      </c>
      <c r="AD30" s="91">
        <v>44469</v>
      </c>
      <c r="AE30" s="91">
        <v>44560</v>
      </c>
      <c r="AF30" s="91">
        <v>44650</v>
      </c>
      <c r="AG30" s="91">
        <v>44742</v>
      </c>
      <c r="AH30" s="91">
        <v>44834</v>
      </c>
      <c r="AI30" s="91">
        <v>44925</v>
      </c>
      <c r="AJ30" s="91">
        <v>45015</v>
      </c>
      <c r="AK30" s="91">
        <v>45107</v>
      </c>
      <c r="AL30" s="91">
        <v>45199</v>
      </c>
      <c r="AM30" s="91">
        <v>45290</v>
      </c>
      <c r="AN30" s="91">
        <v>45381</v>
      </c>
      <c r="AO30" s="91">
        <v>45473</v>
      </c>
    </row>
    <row r="31" spans="1:128" x14ac:dyDescent="0.2">
      <c r="A31" s="3" t="s">
        <v>6</v>
      </c>
      <c r="B31" s="9">
        <f>C21</f>
        <v>10120161</v>
      </c>
      <c r="C31" s="4">
        <f>B37+D21+E21</f>
        <v>17338927</v>
      </c>
      <c r="D31" s="4">
        <f>C37</f>
        <v>17338927</v>
      </c>
      <c r="E31" s="4">
        <f>D37</f>
        <v>17338927</v>
      </c>
      <c r="F31" s="4">
        <f t="shared" ref="F31:AG31" si="0">E37</f>
        <v>17338927</v>
      </c>
      <c r="G31" s="4">
        <f t="shared" si="0"/>
        <v>17338927</v>
      </c>
      <c r="H31" s="4">
        <f t="shared" si="0"/>
        <v>17338927</v>
      </c>
      <c r="I31" s="4">
        <f t="shared" si="0"/>
        <v>17338927</v>
      </c>
      <c r="J31" s="4">
        <f t="shared" si="0"/>
        <v>17338927</v>
      </c>
      <c r="K31" s="4">
        <f t="shared" si="0"/>
        <v>16797085.53125</v>
      </c>
      <c r="L31" s="4">
        <f t="shared" si="0"/>
        <v>16255244.0625</v>
      </c>
      <c r="M31" s="4">
        <f t="shared" si="0"/>
        <v>15713402.59375</v>
      </c>
      <c r="N31" s="4">
        <f t="shared" si="0"/>
        <v>15171561.125</v>
      </c>
      <c r="O31" s="4">
        <f t="shared" si="0"/>
        <v>14629719.65625</v>
      </c>
      <c r="P31" s="4">
        <f t="shared" si="0"/>
        <v>14087878.1875</v>
      </c>
      <c r="Q31" s="4">
        <f t="shared" si="0"/>
        <v>13546036.71875</v>
      </c>
      <c r="R31" s="4">
        <f t="shared" si="0"/>
        <v>13004195.25</v>
      </c>
      <c r="S31" s="4">
        <f t="shared" si="0"/>
        <v>12462353.78125</v>
      </c>
      <c r="T31" s="4">
        <f t="shared" si="0"/>
        <v>11920512.3125</v>
      </c>
      <c r="U31" s="4">
        <f t="shared" si="0"/>
        <v>11378670.84375</v>
      </c>
      <c r="V31" s="4">
        <f t="shared" si="0"/>
        <v>10836829.375</v>
      </c>
      <c r="W31" s="4">
        <f t="shared" si="0"/>
        <v>10294987.90625</v>
      </c>
      <c r="X31" s="4">
        <f t="shared" si="0"/>
        <v>9753146.4375</v>
      </c>
      <c r="Y31" s="4">
        <f t="shared" si="0"/>
        <v>9211304.96875</v>
      </c>
      <c r="Z31" s="4">
        <f t="shared" si="0"/>
        <v>8669463.5</v>
      </c>
      <c r="AA31" s="4">
        <f t="shared" si="0"/>
        <v>8127622.03125</v>
      </c>
      <c r="AB31" s="4">
        <f t="shared" si="0"/>
        <v>7585780.5625</v>
      </c>
      <c r="AC31" s="4">
        <f t="shared" si="0"/>
        <v>7043939.09375</v>
      </c>
      <c r="AD31" s="4">
        <f t="shared" si="0"/>
        <v>6502097.625</v>
      </c>
      <c r="AE31" s="4">
        <f t="shared" si="0"/>
        <v>5960256.15625</v>
      </c>
      <c r="AF31" s="4">
        <f t="shared" si="0"/>
        <v>5418414.6875</v>
      </c>
      <c r="AG31" s="4">
        <f t="shared" si="0"/>
        <v>4876573.21875</v>
      </c>
      <c r="AH31" s="4">
        <f t="shared" ref="AH31" si="1">AG37</f>
        <v>4334731.75</v>
      </c>
      <c r="AI31" s="4">
        <f t="shared" ref="AI31" si="2">AH37</f>
        <v>3792890.28125</v>
      </c>
      <c r="AJ31" s="4">
        <f t="shared" ref="AJ31" si="3">AI37</f>
        <v>3251048.8125</v>
      </c>
      <c r="AK31" s="4">
        <f t="shared" ref="AK31" si="4">AJ37</f>
        <v>2709207.34375</v>
      </c>
      <c r="AL31" s="4">
        <f t="shared" ref="AL31" si="5">AK37</f>
        <v>2167365.875</v>
      </c>
      <c r="AM31" s="4">
        <f t="shared" ref="AM31" si="6">AL37</f>
        <v>1625524.40625</v>
      </c>
      <c r="AN31" s="4">
        <f t="shared" ref="AN31" si="7">AM37</f>
        <v>1083682.9375</v>
      </c>
      <c r="AO31" s="4">
        <f t="shared" ref="AO31" si="8">AN37</f>
        <v>541841.46875</v>
      </c>
    </row>
    <row r="32" spans="1:128" s="8" customFormat="1" x14ac:dyDescent="0.2">
      <c r="A32" s="8" t="s">
        <v>7</v>
      </c>
      <c r="B32" s="4">
        <v>0</v>
      </c>
      <c r="C32" s="4">
        <v>0</v>
      </c>
      <c r="D32" s="8">
        <f>C22*(D20-C20)*$C$11/360+D22*(E20-D20)*$C$11/360+E22*(D30-E20)*$C$11/360</f>
        <v>634059.31933333329</v>
      </c>
      <c r="E32" s="8">
        <f>D37*(E30-D30)*$C$11/360</f>
        <v>265863.54733333329</v>
      </c>
      <c r="F32" s="8">
        <f>E37*(F30-E30)*$C$11/360</f>
        <v>265863.54733333329</v>
      </c>
      <c r="G32" s="8">
        <f t="shared" ref="G32:AG32" si="9">F37*(G30-F30)*$C$11/360</f>
        <v>262973.72616666666</v>
      </c>
      <c r="H32" s="8">
        <f t="shared" si="9"/>
        <v>262973.72616666666</v>
      </c>
      <c r="I32" s="8">
        <f t="shared" si="9"/>
        <v>265863.54733333329</v>
      </c>
      <c r="J32" s="8">
        <f t="shared" si="9"/>
        <v>271643.18966666667</v>
      </c>
      <c r="K32" s="8">
        <f t="shared" si="9"/>
        <v>254755.79722395833</v>
      </c>
      <c r="L32" s="8">
        <f t="shared" si="9"/>
        <v>238410.24624999997</v>
      </c>
      <c r="M32" s="8">
        <f t="shared" si="9"/>
        <v>246176.64063541667</v>
      </c>
      <c r="N32" s="8">
        <f t="shared" si="9"/>
        <v>227573.416875</v>
      </c>
      <c r="O32" s="8">
        <f t="shared" si="9"/>
        <v>221884.08145312496</v>
      </c>
      <c r="P32" s="8">
        <f t="shared" si="9"/>
        <v>211318.17281249998</v>
      </c>
      <c r="Q32" s="8">
        <f t="shared" si="9"/>
        <v>207705.89635416667</v>
      </c>
      <c r="R32" s="8">
        <f t="shared" si="9"/>
        <v>199397.6605</v>
      </c>
      <c r="S32" s="8">
        <f t="shared" si="9"/>
        <v>189012.36568229165</v>
      </c>
      <c r="T32" s="8">
        <f t="shared" si="9"/>
        <v>178807.6846875</v>
      </c>
      <c r="U32" s="8">
        <f t="shared" si="9"/>
        <v>174472.9529375</v>
      </c>
      <c r="V32" s="8">
        <f t="shared" si="9"/>
        <v>166164.71708333332</v>
      </c>
      <c r="W32" s="8">
        <f t="shared" si="9"/>
        <v>156140.64991145834</v>
      </c>
      <c r="X32" s="8">
        <f t="shared" si="9"/>
        <v>147922.72096874999</v>
      </c>
      <c r="Y32" s="8">
        <f t="shared" si="9"/>
        <v>141240.00952083332</v>
      </c>
      <c r="Z32" s="8">
        <f t="shared" si="9"/>
        <v>132931.77366666665</v>
      </c>
      <c r="AA32" s="8">
        <f t="shared" si="9"/>
        <v>123268.934140625</v>
      </c>
      <c r="AB32" s="8">
        <f t="shared" si="9"/>
        <v>113786.7084375</v>
      </c>
      <c r="AC32" s="8">
        <f t="shared" si="9"/>
        <v>108007.06610416666</v>
      </c>
      <c r="AD32" s="8">
        <f t="shared" si="9"/>
        <v>99698.830249999999</v>
      </c>
      <c r="AE32" s="8">
        <f t="shared" si="9"/>
        <v>90397.218369791663</v>
      </c>
      <c r="AF32" s="8">
        <f t="shared" si="9"/>
        <v>81276.220312499994</v>
      </c>
      <c r="AG32" s="8">
        <f t="shared" si="9"/>
        <v>74774.122687499999</v>
      </c>
      <c r="AH32" s="8">
        <f t="shared" ref="AH32" si="10">AG37*(AH30-AG30)*$C$11/360</f>
        <v>66465.886833333323</v>
      </c>
      <c r="AI32" s="8">
        <f t="shared" ref="AI32" si="11">AH37*(AI30-AH30)*$C$11/360</f>
        <v>57525.50259895833</v>
      </c>
      <c r="AJ32" s="8">
        <f t="shared" ref="AJ32" si="12">AI37*(AJ30-AI30)*$C$11/360</f>
        <v>48765.732187499998</v>
      </c>
      <c r="AK32" s="8">
        <f t="shared" ref="AK32" si="13">AJ37*(AK30-AJ30)*$C$11/360</f>
        <v>41541.179270833331</v>
      </c>
      <c r="AL32" s="8">
        <f t="shared" ref="AL32" si="14">AK37*(AL30-AK30)*$C$11/360</f>
        <v>33232.943416666662</v>
      </c>
      <c r="AM32" s="8">
        <f t="shared" ref="AM32" si="15">AL37*(AM30-AL30)*$C$11/360</f>
        <v>24653.786828124998</v>
      </c>
      <c r="AN32" s="8">
        <f t="shared" ref="AN32" si="16">AM37*(AN30-AM30)*$C$11/360</f>
        <v>16435.857885416666</v>
      </c>
      <c r="AO32" s="8">
        <f t="shared" ref="AO32" si="17">AN37*(AO30-AN30)*$C$11/360</f>
        <v>8308.2358541666654</v>
      </c>
    </row>
    <row r="33" spans="1:244" x14ac:dyDescent="0.2">
      <c r="A33" s="3" t="s">
        <v>13</v>
      </c>
      <c r="B33" s="4">
        <v>0</v>
      </c>
      <c r="C33" s="4">
        <f>C32</f>
        <v>0</v>
      </c>
      <c r="D33" s="4">
        <f t="shared" ref="D33:S33" si="18">D32+C33</f>
        <v>634059.31933333329</v>
      </c>
      <c r="E33" s="4">
        <f t="shared" si="18"/>
        <v>899922.86666666658</v>
      </c>
      <c r="F33" s="4">
        <f t="shared" si="18"/>
        <v>1165786.4139999999</v>
      </c>
      <c r="G33" s="4">
        <f t="shared" si="18"/>
        <v>1428760.1401666666</v>
      </c>
      <c r="H33" s="4">
        <f t="shared" si="18"/>
        <v>1691733.8663333333</v>
      </c>
      <c r="I33" s="4">
        <f t="shared" si="18"/>
        <v>1957597.4136666665</v>
      </c>
      <c r="J33" s="4">
        <f t="shared" si="18"/>
        <v>2229240.603333333</v>
      </c>
      <c r="K33" s="4">
        <f t="shared" si="18"/>
        <v>2483996.4005572912</v>
      </c>
      <c r="L33" s="4">
        <f t="shared" si="18"/>
        <v>2722406.6468072911</v>
      </c>
      <c r="M33" s="4">
        <f t="shared" si="18"/>
        <v>2968583.2874427079</v>
      </c>
      <c r="N33" s="4">
        <f t="shared" si="18"/>
        <v>3196156.704317708</v>
      </c>
      <c r="O33" s="4">
        <f t="shared" si="18"/>
        <v>3418040.785770833</v>
      </c>
      <c r="P33" s="4">
        <f t="shared" si="18"/>
        <v>3629358.9585833331</v>
      </c>
      <c r="Q33" s="4">
        <f t="shared" si="18"/>
        <v>3837064.8549374999</v>
      </c>
      <c r="R33" s="4">
        <f t="shared" si="18"/>
        <v>4036462.5154374996</v>
      </c>
      <c r="S33" s="4">
        <f t="shared" si="18"/>
        <v>4225474.8811197914</v>
      </c>
      <c r="T33" s="4">
        <f t="shared" ref="T33:AC33" si="19">T32+S33</f>
        <v>4404282.5658072913</v>
      </c>
      <c r="U33" s="4">
        <f t="shared" si="19"/>
        <v>4578755.5187447909</v>
      </c>
      <c r="V33" s="4">
        <f t="shared" si="19"/>
        <v>4744920.235828124</v>
      </c>
      <c r="W33" s="4">
        <f t="shared" si="19"/>
        <v>4901060.8857395826</v>
      </c>
      <c r="X33" s="4">
        <f t="shared" si="19"/>
        <v>5048983.6067083329</v>
      </c>
      <c r="Y33" s="4">
        <f t="shared" si="19"/>
        <v>5190223.6162291663</v>
      </c>
      <c r="Z33" s="4">
        <f t="shared" si="19"/>
        <v>5323155.3898958331</v>
      </c>
      <c r="AA33" s="4">
        <f t="shared" si="19"/>
        <v>5446424.3240364585</v>
      </c>
      <c r="AB33" s="4">
        <f t="shared" si="19"/>
        <v>5560211.0324739581</v>
      </c>
      <c r="AC33" s="4">
        <f t="shared" si="19"/>
        <v>5668218.0985781243</v>
      </c>
      <c r="AD33" s="4">
        <f>AD32+AC33</f>
        <v>5767916.928828124</v>
      </c>
      <c r="AE33" s="4">
        <f>AE32+AD33</f>
        <v>5858314.1471979152</v>
      </c>
      <c r="AF33" s="4">
        <f>AF32+AE33</f>
        <v>5939590.3675104156</v>
      </c>
      <c r="AG33" s="4">
        <f>AG32+AF33</f>
        <v>6014364.4901979156</v>
      </c>
      <c r="AH33" s="4">
        <f t="shared" ref="AH33:AJ33" si="20">AH32+AG33</f>
        <v>6080830.377031249</v>
      </c>
      <c r="AI33" s="4">
        <f t="shared" si="20"/>
        <v>6138355.8796302071</v>
      </c>
      <c r="AJ33" s="4">
        <f t="shared" si="20"/>
        <v>6187121.6118177073</v>
      </c>
      <c r="AK33" s="4">
        <f t="shared" ref="AK33" si="21">AK32+AJ33</f>
        <v>6228662.791088541</v>
      </c>
      <c r="AL33" s="4">
        <f t="shared" ref="AL33" si="22">AL32+AK33</f>
        <v>6261895.7345052073</v>
      </c>
      <c r="AM33" s="4">
        <f t="shared" ref="AM33" si="23">AM32+AL33</f>
        <v>6286549.5213333322</v>
      </c>
      <c r="AN33" s="4">
        <f t="shared" ref="AN33" si="24">AN32+AM33</f>
        <v>6302985.3792187488</v>
      </c>
      <c r="AO33" s="4">
        <f t="shared" ref="AO33" si="25">AO32+AN33</f>
        <v>6311293.6150729153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</row>
    <row r="34" spans="1:244" x14ac:dyDescent="0.2">
      <c r="A34" s="3" t="s">
        <v>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f>$I$37/32</f>
        <v>541841.46875</v>
      </c>
      <c r="K34" s="4">
        <f>J34</f>
        <v>541841.46875</v>
      </c>
      <c r="L34" s="4">
        <f t="shared" ref="L34:AJ34" si="26">K34</f>
        <v>541841.46875</v>
      </c>
      <c r="M34" s="4">
        <f t="shared" si="26"/>
        <v>541841.46875</v>
      </c>
      <c r="N34" s="4">
        <f t="shared" si="26"/>
        <v>541841.46875</v>
      </c>
      <c r="O34" s="4">
        <f t="shared" si="26"/>
        <v>541841.46875</v>
      </c>
      <c r="P34" s="4">
        <f t="shared" si="26"/>
        <v>541841.46875</v>
      </c>
      <c r="Q34" s="4">
        <f t="shared" si="26"/>
        <v>541841.46875</v>
      </c>
      <c r="R34" s="4">
        <f t="shared" si="26"/>
        <v>541841.46875</v>
      </c>
      <c r="S34" s="4">
        <f t="shared" si="26"/>
        <v>541841.46875</v>
      </c>
      <c r="T34" s="4">
        <f t="shared" si="26"/>
        <v>541841.46875</v>
      </c>
      <c r="U34" s="4">
        <f t="shared" si="26"/>
        <v>541841.46875</v>
      </c>
      <c r="V34" s="4">
        <f t="shared" si="26"/>
        <v>541841.46875</v>
      </c>
      <c r="W34" s="4">
        <f t="shared" si="26"/>
        <v>541841.46875</v>
      </c>
      <c r="X34" s="4">
        <f t="shared" si="26"/>
        <v>541841.46875</v>
      </c>
      <c r="Y34" s="4">
        <f t="shared" si="26"/>
        <v>541841.46875</v>
      </c>
      <c r="Z34" s="4">
        <f t="shared" si="26"/>
        <v>541841.46875</v>
      </c>
      <c r="AA34" s="4">
        <f t="shared" si="26"/>
        <v>541841.46875</v>
      </c>
      <c r="AB34" s="4">
        <f t="shared" si="26"/>
        <v>541841.46875</v>
      </c>
      <c r="AC34" s="4">
        <f t="shared" si="26"/>
        <v>541841.46875</v>
      </c>
      <c r="AD34" s="4">
        <f t="shared" si="26"/>
        <v>541841.46875</v>
      </c>
      <c r="AE34" s="4">
        <f t="shared" si="26"/>
        <v>541841.46875</v>
      </c>
      <c r="AF34" s="4">
        <f t="shared" si="26"/>
        <v>541841.46875</v>
      </c>
      <c r="AG34" s="4">
        <f t="shared" si="26"/>
        <v>541841.46875</v>
      </c>
      <c r="AH34" s="4">
        <f t="shared" si="26"/>
        <v>541841.46875</v>
      </c>
      <c r="AI34" s="4">
        <f t="shared" si="26"/>
        <v>541841.46875</v>
      </c>
      <c r="AJ34" s="4">
        <f t="shared" si="26"/>
        <v>541841.46875</v>
      </c>
      <c r="AK34" s="4">
        <f t="shared" ref="AK34:AO34" si="27">AJ34</f>
        <v>541841.46875</v>
      </c>
      <c r="AL34" s="4">
        <f t="shared" si="27"/>
        <v>541841.46875</v>
      </c>
      <c r="AM34" s="4">
        <f t="shared" si="27"/>
        <v>541841.46875</v>
      </c>
      <c r="AN34" s="4">
        <f t="shared" si="27"/>
        <v>541841.46875</v>
      </c>
      <c r="AO34" s="4">
        <f t="shared" si="27"/>
        <v>541841.46875</v>
      </c>
    </row>
    <row r="35" spans="1:244" x14ac:dyDescent="0.2">
      <c r="A35" s="3" t="s">
        <v>14</v>
      </c>
      <c r="B35" s="4">
        <v>0</v>
      </c>
      <c r="C35" s="4">
        <f t="shared" ref="C35:AC35" si="28">C34+B35</f>
        <v>0</v>
      </c>
      <c r="D35" s="4">
        <f t="shared" si="28"/>
        <v>0</v>
      </c>
      <c r="E35" s="4">
        <f t="shared" si="28"/>
        <v>0</v>
      </c>
      <c r="F35" s="4">
        <f t="shared" si="28"/>
        <v>0</v>
      </c>
      <c r="G35" s="4">
        <f t="shared" si="28"/>
        <v>0</v>
      </c>
      <c r="H35" s="4">
        <f t="shared" si="28"/>
        <v>0</v>
      </c>
      <c r="I35" s="4">
        <f t="shared" si="28"/>
        <v>0</v>
      </c>
      <c r="J35" s="4">
        <f t="shared" si="28"/>
        <v>541841.46875</v>
      </c>
      <c r="K35" s="4">
        <f t="shared" si="28"/>
        <v>1083682.9375</v>
      </c>
      <c r="L35" s="4">
        <f t="shared" si="28"/>
        <v>1625524.40625</v>
      </c>
      <c r="M35" s="4">
        <f t="shared" si="28"/>
        <v>2167365.875</v>
      </c>
      <c r="N35" s="4">
        <f t="shared" si="28"/>
        <v>2709207.34375</v>
      </c>
      <c r="O35" s="4">
        <f t="shared" si="28"/>
        <v>3251048.8125</v>
      </c>
      <c r="P35" s="4">
        <f t="shared" si="28"/>
        <v>3792890.28125</v>
      </c>
      <c r="Q35" s="4">
        <f t="shared" si="28"/>
        <v>4334731.75</v>
      </c>
      <c r="R35" s="4">
        <f t="shared" si="28"/>
        <v>4876573.21875</v>
      </c>
      <c r="S35" s="4">
        <f t="shared" si="28"/>
        <v>5418414.6875</v>
      </c>
      <c r="T35" s="4">
        <f t="shared" si="28"/>
        <v>5960256.15625</v>
      </c>
      <c r="U35" s="4">
        <f t="shared" si="28"/>
        <v>6502097.625</v>
      </c>
      <c r="V35" s="4">
        <f t="shared" si="28"/>
        <v>7043939.09375</v>
      </c>
      <c r="W35" s="4">
        <f t="shared" si="28"/>
        <v>7585780.5625</v>
      </c>
      <c r="X35" s="4">
        <f t="shared" si="28"/>
        <v>8127622.03125</v>
      </c>
      <c r="Y35" s="4">
        <f t="shared" si="28"/>
        <v>8669463.5</v>
      </c>
      <c r="Z35" s="4">
        <f t="shared" si="28"/>
        <v>9211304.96875</v>
      </c>
      <c r="AA35" s="4">
        <f t="shared" si="28"/>
        <v>9753146.4375</v>
      </c>
      <c r="AB35" s="4">
        <f t="shared" si="28"/>
        <v>10294987.90625</v>
      </c>
      <c r="AC35" s="4">
        <f t="shared" si="28"/>
        <v>10836829.375</v>
      </c>
      <c r="AD35" s="4">
        <f>AD34+AC35</f>
        <v>11378670.84375</v>
      </c>
      <c r="AE35" s="4">
        <f>AE34+AD35</f>
        <v>11920512.3125</v>
      </c>
      <c r="AF35" s="4">
        <f>AF34+AE35</f>
        <v>12462353.78125</v>
      </c>
      <c r="AG35" s="4">
        <f>AG34+AF35</f>
        <v>13004195.25</v>
      </c>
      <c r="AH35" s="4">
        <f t="shared" ref="AH35:AJ35" si="29">AH34+AG35</f>
        <v>13546036.71875</v>
      </c>
      <c r="AI35" s="4">
        <f t="shared" si="29"/>
        <v>14087878.1875</v>
      </c>
      <c r="AJ35" s="4">
        <f t="shared" si="29"/>
        <v>14629719.65625</v>
      </c>
      <c r="AK35" s="4">
        <f t="shared" ref="AK35" si="30">AK34+AJ35</f>
        <v>15171561.125</v>
      </c>
      <c r="AL35" s="4">
        <f t="shared" ref="AL35" si="31">AL34+AK35</f>
        <v>15713402.59375</v>
      </c>
      <c r="AM35" s="4">
        <f t="shared" ref="AM35" si="32">AM34+AL35</f>
        <v>16255244.0625</v>
      </c>
      <c r="AN35" s="4">
        <f t="shared" ref="AN35" si="33">AN34+AM35</f>
        <v>16797085.53125</v>
      </c>
      <c r="AO35" s="4">
        <f t="shared" ref="AO35" si="34">AO34+AN35</f>
        <v>17338927</v>
      </c>
    </row>
    <row r="36" spans="1:244" x14ac:dyDescent="0.2">
      <c r="A36" s="3" t="s">
        <v>9</v>
      </c>
      <c r="B36" s="18">
        <v>0</v>
      </c>
      <c r="C36" s="18">
        <f>C32+C34</f>
        <v>0</v>
      </c>
      <c r="D36" s="18">
        <f t="shared" ref="D36:R36" si="35">D34+D32</f>
        <v>634059.31933333329</v>
      </c>
      <c r="E36" s="18">
        <f t="shared" si="35"/>
        <v>265863.54733333329</v>
      </c>
      <c r="F36" s="18">
        <f t="shared" si="35"/>
        <v>265863.54733333329</v>
      </c>
      <c r="G36" s="18">
        <f t="shared" si="35"/>
        <v>262973.72616666666</v>
      </c>
      <c r="H36" s="18">
        <f t="shared" si="35"/>
        <v>262973.72616666666</v>
      </c>
      <c r="I36" s="18">
        <f t="shared" si="35"/>
        <v>265863.54733333329</v>
      </c>
      <c r="J36" s="18">
        <f t="shared" si="35"/>
        <v>813484.65841666667</v>
      </c>
      <c r="K36" s="18">
        <f t="shared" si="35"/>
        <v>796597.2659739583</v>
      </c>
      <c r="L36" s="18">
        <f t="shared" si="35"/>
        <v>780251.71499999997</v>
      </c>
      <c r="M36" s="18">
        <f t="shared" si="35"/>
        <v>788018.10938541661</v>
      </c>
      <c r="N36" s="18">
        <f t="shared" si="35"/>
        <v>769414.885625</v>
      </c>
      <c r="O36" s="18">
        <f t="shared" si="35"/>
        <v>763725.55020312499</v>
      </c>
      <c r="P36" s="18">
        <f t="shared" si="35"/>
        <v>753159.64156250004</v>
      </c>
      <c r="Q36" s="18">
        <f t="shared" si="35"/>
        <v>749547.36510416667</v>
      </c>
      <c r="R36" s="18">
        <f t="shared" si="35"/>
        <v>741239.12925</v>
      </c>
      <c r="S36" s="18">
        <f>S34+S32</f>
        <v>730853.83443229168</v>
      </c>
      <c r="T36" s="18">
        <f t="shared" ref="T36:AC36" si="36">T34+T32</f>
        <v>720649.1534375</v>
      </c>
      <c r="U36" s="18">
        <f t="shared" si="36"/>
        <v>716314.42168749997</v>
      </c>
      <c r="V36" s="18">
        <f t="shared" si="36"/>
        <v>708006.18583333329</v>
      </c>
      <c r="W36" s="18">
        <f t="shared" si="36"/>
        <v>697982.11866145837</v>
      </c>
      <c r="X36" s="18">
        <f t="shared" si="36"/>
        <v>689764.18971874996</v>
      </c>
      <c r="Y36" s="18">
        <f t="shared" si="36"/>
        <v>683081.47827083338</v>
      </c>
      <c r="Z36" s="18">
        <f t="shared" si="36"/>
        <v>674773.24241666659</v>
      </c>
      <c r="AA36" s="18">
        <f t="shared" si="36"/>
        <v>665110.40289062494</v>
      </c>
      <c r="AB36" s="18">
        <f t="shared" si="36"/>
        <v>655628.17718750006</v>
      </c>
      <c r="AC36" s="18">
        <f t="shared" si="36"/>
        <v>649848.53485416668</v>
      </c>
      <c r="AD36" s="18">
        <f>AD34+AD32</f>
        <v>641540.299</v>
      </c>
      <c r="AE36" s="18">
        <f>AE34+AE32</f>
        <v>632238.68711979163</v>
      </c>
      <c r="AF36" s="18">
        <f>AF34+AF32</f>
        <v>623117.68906250002</v>
      </c>
      <c r="AG36" s="18">
        <f>AG34+AG32</f>
        <v>616615.59143749997</v>
      </c>
      <c r="AH36" s="18">
        <f t="shared" ref="AH36:AJ36" si="37">AH34+AH32</f>
        <v>608307.35558333329</v>
      </c>
      <c r="AI36" s="18">
        <f t="shared" si="37"/>
        <v>599366.97134895832</v>
      </c>
      <c r="AJ36" s="18">
        <f t="shared" si="37"/>
        <v>590607.20093749999</v>
      </c>
      <c r="AK36" s="18">
        <f t="shared" ref="AK36:AO36" si="38">AK34+AK32</f>
        <v>583382.64802083338</v>
      </c>
      <c r="AL36" s="18">
        <f t="shared" si="38"/>
        <v>575074.41216666671</v>
      </c>
      <c r="AM36" s="18">
        <f t="shared" si="38"/>
        <v>566495.25557812501</v>
      </c>
      <c r="AN36" s="18">
        <f t="shared" si="38"/>
        <v>558277.32663541671</v>
      </c>
      <c r="AO36" s="18">
        <f t="shared" si="38"/>
        <v>550149.70460416668</v>
      </c>
    </row>
    <row r="37" spans="1:244" ht="13.5" thickBot="1" x14ac:dyDescent="0.25">
      <c r="A37" s="6" t="s">
        <v>10</v>
      </c>
      <c r="B37" s="19">
        <f t="shared" ref="B37:R37" si="39">B31-B34</f>
        <v>10120161</v>
      </c>
      <c r="C37" s="19">
        <f t="shared" si="39"/>
        <v>17338927</v>
      </c>
      <c r="D37" s="19">
        <f t="shared" si="39"/>
        <v>17338927</v>
      </c>
      <c r="E37" s="19">
        <f t="shared" si="39"/>
        <v>17338927</v>
      </c>
      <c r="F37" s="19">
        <f t="shared" si="39"/>
        <v>17338927</v>
      </c>
      <c r="G37" s="19">
        <f t="shared" si="39"/>
        <v>17338927</v>
      </c>
      <c r="H37" s="19">
        <f t="shared" si="39"/>
        <v>17338927</v>
      </c>
      <c r="I37" s="19">
        <f t="shared" si="39"/>
        <v>17338927</v>
      </c>
      <c r="J37" s="19">
        <f t="shared" si="39"/>
        <v>16797085.53125</v>
      </c>
      <c r="K37" s="19">
        <f t="shared" si="39"/>
        <v>16255244.0625</v>
      </c>
      <c r="L37" s="19">
        <f t="shared" si="39"/>
        <v>15713402.59375</v>
      </c>
      <c r="M37" s="19">
        <f t="shared" si="39"/>
        <v>15171561.125</v>
      </c>
      <c r="N37" s="19">
        <f t="shared" si="39"/>
        <v>14629719.65625</v>
      </c>
      <c r="O37" s="19">
        <f t="shared" si="39"/>
        <v>14087878.1875</v>
      </c>
      <c r="P37" s="19">
        <f t="shared" si="39"/>
        <v>13546036.71875</v>
      </c>
      <c r="Q37" s="19">
        <f t="shared" si="39"/>
        <v>13004195.25</v>
      </c>
      <c r="R37" s="19">
        <f t="shared" si="39"/>
        <v>12462353.78125</v>
      </c>
      <c r="S37" s="19">
        <f>S31-S34</f>
        <v>11920512.3125</v>
      </c>
      <c r="T37" s="19">
        <f t="shared" ref="T37:AC37" si="40">T31-T34</f>
        <v>11378670.84375</v>
      </c>
      <c r="U37" s="19">
        <f t="shared" si="40"/>
        <v>10836829.375</v>
      </c>
      <c r="V37" s="19">
        <f t="shared" si="40"/>
        <v>10294987.90625</v>
      </c>
      <c r="W37" s="19">
        <f t="shared" si="40"/>
        <v>9753146.4375</v>
      </c>
      <c r="X37" s="19">
        <f t="shared" si="40"/>
        <v>9211304.96875</v>
      </c>
      <c r="Y37" s="19">
        <f t="shared" si="40"/>
        <v>8669463.5</v>
      </c>
      <c r="Z37" s="19">
        <f t="shared" si="40"/>
        <v>8127622.03125</v>
      </c>
      <c r="AA37" s="19">
        <f t="shared" si="40"/>
        <v>7585780.5625</v>
      </c>
      <c r="AB37" s="19">
        <f t="shared" si="40"/>
        <v>7043939.09375</v>
      </c>
      <c r="AC37" s="19">
        <f t="shared" si="40"/>
        <v>6502097.625</v>
      </c>
      <c r="AD37" s="19">
        <f>AD31-AD34</f>
        <v>5960256.15625</v>
      </c>
      <c r="AE37" s="19">
        <f>AE31-AE34</f>
        <v>5418414.6875</v>
      </c>
      <c r="AF37" s="19">
        <f>AF31-AF34</f>
        <v>4876573.21875</v>
      </c>
      <c r="AG37" s="19">
        <f>AG31-AG34</f>
        <v>4334731.75</v>
      </c>
      <c r="AH37" s="19">
        <f t="shared" ref="AH37:AJ37" si="41">AH31-AH34</f>
        <v>3792890.28125</v>
      </c>
      <c r="AI37" s="19">
        <f t="shared" si="41"/>
        <v>3251048.8125</v>
      </c>
      <c r="AJ37" s="19">
        <f t="shared" si="41"/>
        <v>2709207.34375</v>
      </c>
      <c r="AK37" s="19">
        <f t="shared" ref="AK37:AO37" si="42">AK31-AK34</f>
        <v>2167365.875</v>
      </c>
      <c r="AL37" s="19">
        <f t="shared" si="42"/>
        <v>1625524.40625</v>
      </c>
      <c r="AM37" s="19">
        <f t="shared" si="42"/>
        <v>1083682.9375</v>
      </c>
      <c r="AN37" s="19">
        <f t="shared" si="42"/>
        <v>541841.46875</v>
      </c>
      <c r="AO37" s="19">
        <f t="shared" si="42"/>
        <v>0</v>
      </c>
    </row>
    <row r="38" spans="1:244" x14ac:dyDescent="0.2">
      <c r="C38" s="5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44" x14ac:dyDescent="0.2">
      <c r="C39" s="5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44" x14ac:dyDescent="0.2">
      <c r="B40" s="89"/>
      <c r="C40" s="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44" x14ac:dyDescent="0.2">
      <c r="C41" s="5"/>
      <c r="D41" s="7" t="s">
        <v>59</v>
      </c>
      <c r="E41" s="7">
        <f>AVERAGE(J36:AO36)</f>
        <v>677894.47504394536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44" x14ac:dyDescent="0.2">
      <c r="C42" s="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44" x14ac:dyDescent="0.2">
      <c r="C43" s="5"/>
      <c r="D43" s="7" t="s">
        <v>75</v>
      </c>
      <c r="E43" s="7">
        <f>AVERAGE(D36:H36)</f>
        <v>338346.77326666669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44" x14ac:dyDescent="0.2">
      <c r="C44" s="5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44" x14ac:dyDescent="0.2">
      <c r="C45" s="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44" x14ac:dyDescent="0.2">
      <c r="A46" s="12" t="s">
        <v>76</v>
      </c>
      <c r="C46" s="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44" x14ac:dyDescent="0.2">
      <c r="A47" s="12" t="s">
        <v>77</v>
      </c>
      <c r="C47" s="5"/>
      <c r="D47" s="91">
        <f>D30</f>
        <v>42093</v>
      </c>
      <c r="E47" s="91">
        <f t="shared" ref="E47:AO47" si="43">E30</f>
        <v>42185</v>
      </c>
      <c r="F47" s="91">
        <f t="shared" si="43"/>
        <v>42277</v>
      </c>
      <c r="G47" s="91">
        <f t="shared" si="43"/>
        <v>42368</v>
      </c>
      <c r="H47" s="91">
        <f t="shared" si="43"/>
        <v>42459</v>
      </c>
      <c r="I47" s="91">
        <f t="shared" si="43"/>
        <v>42551</v>
      </c>
      <c r="J47" s="91">
        <f t="shared" si="43"/>
        <v>42645</v>
      </c>
      <c r="K47" s="91">
        <f t="shared" si="43"/>
        <v>42736</v>
      </c>
      <c r="L47" s="91">
        <f t="shared" si="43"/>
        <v>42824</v>
      </c>
      <c r="M47" s="91">
        <f t="shared" si="43"/>
        <v>42918</v>
      </c>
      <c r="N47" s="91">
        <f t="shared" si="43"/>
        <v>43008</v>
      </c>
      <c r="O47" s="91">
        <f t="shared" si="43"/>
        <v>43099</v>
      </c>
      <c r="P47" s="91">
        <f t="shared" si="43"/>
        <v>43189</v>
      </c>
      <c r="Q47" s="91">
        <f t="shared" si="43"/>
        <v>43281</v>
      </c>
      <c r="R47" s="91">
        <f t="shared" si="43"/>
        <v>43373</v>
      </c>
      <c r="S47" s="91">
        <f t="shared" si="43"/>
        <v>43464</v>
      </c>
      <c r="T47" s="91">
        <f t="shared" si="43"/>
        <v>43554</v>
      </c>
      <c r="U47" s="91">
        <f t="shared" si="43"/>
        <v>43646</v>
      </c>
      <c r="V47" s="91">
        <f t="shared" si="43"/>
        <v>43738</v>
      </c>
      <c r="W47" s="91">
        <f t="shared" si="43"/>
        <v>43829</v>
      </c>
      <c r="X47" s="91">
        <f t="shared" si="43"/>
        <v>43920</v>
      </c>
      <c r="Y47" s="91">
        <f t="shared" si="43"/>
        <v>44012</v>
      </c>
      <c r="Z47" s="91">
        <f t="shared" si="43"/>
        <v>44104</v>
      </c>
      <c r="AA47" s="91">
        <f t="shared" si="43"/>
        <v>44195</v>
      </c>
      <c r="AB47" s="91">
        <f t="shared" si="43"/>
        <v>44285</v>
      </c>
      <c r="AC47" s="91">
        <f t="shared" si="43"/>
        <v>44377</v>
      </c>
      <c r="AD47" s="91">
        <f t="shared" si="43"/>
        <v>44469</v>
      </c>
      <c r="AE47" s="91">
        <f t="shared" si="43"/>
        <v>44560</v>
      </c>
      <c r="AF47" s="91">
        <f t="shared" si="43"/>
        <v>44650</v>
      </c>
      <c r="AG47" s="91">
        <f t="shared" si="43"/>
        <v>44742</v>
      </c>
      <c r="AH47" s="91">
        <f t="shared" si="43"/>
        <v>44834</v>
      </c>
      <c r="AI47" s="91">
        <f t="shared" si="43"/>
        <v>44925</v>
      </c>
      <c r="AJ47" s="91">
        <f t="shared" si="43"/>
        <v>45015</v>
      </c>
      <c r="AK47" s="91">
        <f t="shared" si="43"/>
        <v>45107</v>
      </c>
      <c r="AL47" s="91">
        <f t="shared" si="43"/>
        <v>45199</v>
      </c>
      <c r="AM47" s="91">
        <f t="shared" si="43"/>
        <v>45290</v>
      </c>
      <c r="AN47" s="91">
        <f t="shared" si="43"/>
        <v>45381</v>
      </c>
      <c r="AO47" s="91">
        <f t="shared" si="43"/>
        <v>45473</v>
      </c>
    </row>
    <row r="48" spans="1:244" x14ac:dyDescent="0.2">
      <c r="A48" s="12" t="s">
        <v>64</v>
      </c>
      <c r="D48" s="9">
        <f>AVERAGE(D36)</f>
        <v>634059.31933333329</v>
      </c>
      <c r="E48" s="9">
        <f>AVERAGE($D$36:E36)</f>
        <v>449961.43333333329</v>
      </c>
      <c r="F48" s="9">
        <f>AVERAGE($D$36:F36)</f>
        <v>388595.47133333329</v>
      </c>
      <c r="G48" s="9">
        <f>AVERAGE($D$36:G36)</f>
        <v>357190.03504166665</v>
      </c>
      <c r="H48" s="9">
        <f>AVERAGE($D$36:H36)</f>
        <v>338346.77326666669</v>
      </c>
      <c r="I48" s="9">
        <f>AVERAGE($D$36:I36)</f>
        <v>326266.2356111111</v>
      </c>
      <c r="J48" s="9">
        <f>AVERAGE($D$36:J36)</f>
        <v>395868.86744047614</v>
      </c>
      <c r="K48" s="9">
        <f>AVERAGE($D$36:K36)</f>
        <v>445959.9172571614</v>
      </c>
      <c r="L48" s="9">
        <f>AVERAGE($D$36:L36)</f>
        <v>483103.45033969905</v>
      </c>
      <c r="M48" s="9">
        <f>AVERAGE($D$36:M36)</f>
        <v>513594.91624427086</v>
      </c>
      <c r="N48" s="9">
        <f>AVERAGE($D$36:N36)</f>
        <v>536851.27709706442</v>
      </c>
      <c r="O48" s="9">
        <f>AVERAGE($D$36:O36)</f>
        <v>555757.46652256942</v>
      </c>
      <c r="P48" s="9">
        <f>AVERAGE($D$36:P36)</f>
        <v>570942.24921794876</v>
      </c>
      <c r="Q48" s="9">
        <f>AVERAGE($D$36:Q36)</f>
        <v>583699.75749553577</v>
      </c>
      <c r="R48" s="9">
        <f>AVERAGE($D$36:R36)</f>
        <v>594202.38227916672</v>
      </c>
      <c r="S48" s="9">
        <f>AVERAGE($D$36:S36)</f>
        <v>602743.09803873696</v>
      </c>
      <c r="T48" s="9">
        <f>AVERAGE($D$36:T36)</f>
        <v>609678.74835631135</v>
      </c>
      <c r="U48" s="9">
        <f>AVERAGE($D$36:U36)</f>
        <v>615602.9524302663</v>
      </c>
      <c r="V48" s="9">
        <f>AVERAGE($D$36:V36)</f>
        <v>620466.2805041119</v>
      </c>
      <c r="W48" s="9">
        <f>AVERAGE($D$36:W36)</f>
        <v>624342.0724119792</v>
      </c>
      <c r="X48" s="9">
        <f>AVERAGE($D$36:X36)</f>
        <v>627457.41133134917</v>
      </c>
      <c r="Y48" s="9">
        <f>AVERAGE($D$36:Y36)</f>
        <v>629985.77801041666</v>
      </c>
      <c r="Z48" s="9">
        <f>AVERAGE($D$36:Z36)</f>
        <v>631933.05907155795</v>
      </c>
      <c r="AA48" s="9">
        <f>AVERAGE($D$36:AA36)</f>
        <v>633315.44839735236</v>
      </c>
      <c r="AB48" s="9">
        <f>AVERAGE($D$36:AB36)</f>
        <v>634207.95754895825</v>
      </c>
      <c r="AC48" s="9">
        <f>AVERAGE($D$36:AC36)</f>
        <v>634809.51821454323</v>
      </c>
      <c r="AD48" s="9">
        <f>AVERAGE($D$36:AD36)</f>
        <v>635058.80639178236</v>
      </c>
      <c r="AE48" s="9">
        <f>AVERAGE($D$36:AE36)</f>
        <v>634958.08784635423</v>
      </c>
      <c r="AF48" s="9">
        <f>AVERAGE($D$36:AF36)</f>
        <v>634549.79823311779</v>
      </c>
      <c r="AG48" s="9">
        <f>AVERAGE($D$36:AG36)</f>
        <v>633951.99133993057</v>
      </c>
      <c r="AH48" s="9">
        <f>AVERAGE($D$36:AH36)</f>
        <v>633124.74502520158</v>
      </c>
      <c r="AI48" s="9">
        <f>AVERAGE($D$36:AI36)</f>
        <v>632069.814597819</v>
      </c>
      <c r="AJ48" s="9">
        <f>AVERAGE($D$36:AJ36)</f>
        <v>630813.37175962748</v>
      </c>
      <c r="AK48" s="9">
        <f>AVERAGE($D$36:AK36)</f>
        <v>629418.3504731924</v>
      </c>
      <c r="AL48" s="9">
        <f>AVERAGE($D$36:AL36)</f>
        <v>627865.66652157728</v>
      </c>
      <c r="AM48" s="9">
        <f>AVERAGE($D$36:AM36)</f>
        <v>626160.93288425927</v>
      </c>
      <c r="AN48" s="9">
        <f>AVERAGE($D$36:AN36)</f>
        <v>624326.24082347972</v>
      </c>
      <c r="AO48" s="9">
        <f>AVERAGE($D$36:AO36)</f>
        <v>622374.22671244515</v>
      </c>
    </row>
  </sheetData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8 B38 D38:T38 K37:S37 K33:S33 T33:Y33 K35:R35 K31:Y32 F35:J35 C33 C34:I34 C32 D33:J33 C35:E35 D36:E36 C37:E37 F36:G37 H36:J37 B37 B31:B32 B36:C36 B35 B34 B33 K36:R36 Z31:AL33 Z37:AL37 AC35:AL35 AC36:AL36 AC34:AL34 AM31:AO37 C20:C22 D31:J31 F32:J32" unlockedFormula="1"/>
    <ignoredError sqref="K34:R34 S35:Y35 S34:Y34 S36 Z34:AB34 Z36:AB36 Z35:AB35" formula="1" unlockedFormula="1"/>
    <ignoredError sqref="T36:Y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0"/>
  <sheetViews>
    <sheetView showGridLines="0" topLeftCell="DD13" workbookViewId="0">
      <selection activeCell="DS33" sqref="DS33"/>
    </sheetView>
  </sheetViews>
  <sheetFormatPr defaultColWidth="9.5703125" defaultRowHeight="13.5" x14ac:dyDescent="0.25"/>
  <cols>
    <col min="1" max="1" width="29" style="25" bestFit="1" customWidth="1"/>
    <col min="2" max="2" width="13.42578125" style="25" customWidth="1"/>
    <col min="3" max="3" width="12" style="25" customWidth="1"/>
    <col min="4" max="4" width="10.85546875" style="25" customWidth="1"/>
    <col min="5" max="5" width="11.28515625" style="25" bestFit="1" customWidth="1"/>
    <col min="6" max="6" width="11.42578125" style="25" customWidth="1"/>
    <col min="7" max="7" width="11" style="25" customWidth="1"/>
    <col min="8" max="12" width="11" style="25" bestFit="1" customWidth="1"/>
    <col min="13" max="30" width="10.85546875" style="25" bestFit="1" customWidth="1"/>
    <col min="31" max="31" width="9.85546875" style="25" bestFit="1" customWidth="1"/>
    <col min="32" max="58" width="10.85546875" style="25" bestFit="1" customWidth="1"/>
    <col min="59" max="60" width="10.140625" style="25" bestFit="1" customWidth="1"/>
    <col min="61" max="217" width="9.5703125" style="25" bestFit="1" customWidth="1"/>
    <col min="218" max="16384" width="9.5703125" style="25"/>
  </cols>
  <sheetData>
    <row r="1" spans="1:74" s="21" customFormat="1" ht="16.5" x14ac:dyDescent="0.3">
      <c r="A1" s="20" t="s">
        <v>0</v>
      </c>
      <c r="B1" s="10" t="str">
        <f>Hydron_Loan!C1</f>
        <v>Hydron Bangladesh Private Ltd.</v>
      </c>
    </row>
    <row r="3" spans="1:74" s="23" customFormat="1" ht="18.75" x14ac:dyDescent="0.3">
      <c r="A3" s="22" t="s">
        <v>1</v>
      </c>
    </row>
    <row r="4" spans="1:74" s="21" customFormat="1" ht="16.5" x14ac:dyDescent="0.3">
      <c r="A4" s="20"/>
    </row>
    <row r="5" spans="1:74" s="24" customFormat="1" ht="15" x14ac:dyDescent="0.3">
      <c r="A5" s="24" t="s">
        <v>4</v>
      </c>
      <c r="B5" s="78">
        <f>Hydron_Loan!C5</f>
        <v>41639</v>
      </c>
    </row>
    <row r="6" spans="1:74" x14ac:dyDescent="0.25">
      <c r="B6" s="57"/>
    </row>
    <row r="7" spans="1:74" ht="15" x14ac:dyDescent="0.3">
      <c r="A7" s="24" t="s">
        <v>2</v>
      </c>
      <c r="B7" s="83">
        <f>Hydron_Loan!C7</f>
        <v>19610526</v>
      </c>
      <c r="C7" s="24" t="s">
        <v>47</v>
      </c>
    </row>
    <row r="8" spans="1:74" ht="15" x14ac:dyDescent="0.3">
      <c r="A8" s="24"/>
      <c r="B8" s="57"/>
    </row>
    <row r="9" spans="1:74" ht="15" x14ac:dyDescent="0.3">
      <c r="A9" s="24" t="s">
        <v>5</v>
      </c>
      <c r="B9" s="78">
        <f>Hydron_Loan!C9</f>
        <v>41827</v>
      </c>
    </row>
    <row r="10" spans="1:74" ht="15" x14ac:dyDescent="0.3">
      <c r="A10" s="24"/>
      <c r="B10" s="57"/>
    </row>
    <row r="11" spans="1:74" ht="15" x14ac:dyDescent="0.3">
      <c r="A11" s="24" t="s">
        <v>3</v>
      </c>
      <c r="B11" s="84">
        <v>0.06</v>
      </c>
    </row>
    <row r="12" spans="1:74" ht="15" x14ac:dyDescent="0.3">
      <c r="A12" s="24" t="s">
        <v>48</v>
      </c>
      <c r="B12" s="57" t="s">
        <v>60</v>
      </c>
    </row>
    <row r="13" spans="1:74" ht="15" x14ac:dyDescent="0.3">
      <c r="A13" s="24" t="s">
        <v>49</v>
      </c>
      <c r="B13" s="56">
        <v>360</v>
      </c>
      <c r="C13" s="25" t="s">
        <v>53</v>
      </c>
    </row>
    <row r="14" spans="1:74" ht="15" x14ac:dyDescent="0.3">
      <c r="A14" s="24" t="s">
        <v>23</v>
      </c>
      <c r="B14" s="57" t="str">
        <f>Hydron_Loan!C15</f>
        <v>Level Principal</v>
      </c>
    </row>
    <row r="15" spans="1:74" ht="15" x14ac:dyDescent="0.3">
      <c r="A15" s="24"/>
      <c r="B15" s="13"/>
    </row>
    <row r="16" spans="1:74" s="59" customFormat="1" x14ac:dyDescent="0.25">
      <c r="A16" s="67" t="s">
        <v>52</v>
      </c>
      <c r="B16" s="64"/>
      <c r="C16" s="66"/>
      <c r="D16" s="3"/>
      <c r="E16" s="3"/>
      <c r="F16" s="3"/>
      <c r="G16" s="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</row>
    <row r="17" spans="1:123" x14ac:dyDescent="0.25">
      <c r="A17" s="68"/>
      <c r="B17" s="69">
        <f>Hydron_Loan!C20</f>
        <v>41827</v>
      </c>
      <c r="C17" s="69">
        <f>Hydron_Loan!D20</f>
        <v>41921</v>
      </c>
      <c r="D17" s="69">
        <f>Hydron_Loan!E20</f>
        <v>41980</v>
      </c>
      <c r="E17" s="69"/>
      <c r="F17" s="69"/>
      <c r="G17" s="69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</row>
    <row r="18" spans="1:123" x14ac:dyDescent="0.25">
      <c r="A18" s="70"/>
      <c r="B18" s="74">
        <f>Hydron_Loan!C21</f>
        <v>10120161</v>
      </c>
      <c r="C18" s="74">
        <f>Hydron_Loan!D21</f>
        <v>5028348</v>
      </c>
      <c r="D18" s="74">
        <f>Hydron_Loan!E21</f>
        <v>2190418</v>
      </c>
      <c r="E18" s="74"/>
      <c r="F18" s="75"/>
      <c r="G18" s="75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3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3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</row>
    <row r="19" spans="1:123" s="59" customFormat="1" ht="13.5" customHeight="1" x14ac:dyDescent="0.25">
      <c r="A19" s="72"/>
      <c r="B19" s="76">
        <f>B18</f>
        <v>10120161</v>
      </c>
      <c r="C19" s="76">
        <f>B19+C18</f>
        <v>15148509</v>
      </c>
      <c r="D19" s="76">
        <f>C19+D18</f>
        <v>17338927</v>
      </c>
      <c r="E19" s="76"/>
      <c r="F19" s="77"/>
      <c r="G19" s="77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</row>
    <row r="20" spans="1:123" s="59" customFormat="1" ht="13.5" customHeight="1" x14ac:dyDescent="0.3">
      <c r="A20" s="24"/>
      <c r="B20" s="27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33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6"/>
      <c r="BH20" s="26"/>
      <c r="BI20" s="33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</row>
    <row r="21" spans="1:123" s="59" customFormat="1" x14ac:dyDescent="0.25">
      <c r="A21" s="25"/>
      <c r="B21" s="28"/>
      <c r="C21" s="28"/>
      <c r="D21" s="28"/>
      <c r="E21" s="29"/>
      <c r="F21" s="30"/>
      <c r="G21" s="30"/>
      <c r="H21" s="30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</row>
    <row r="22" spans="1:123" s="59" customFormat="1" ht="15" x14ac:dyDescent="0.3">
      <c r="A22" s="24" t="s">
        <v>15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</row>
    <row r="23" spans="1:123" s="59" customFormat="1" ht="15" x14ac:dyDescent="0.3">
      <c r="A23" s="31" t="s">
        <v>16</v>
      </c>
      <c r="B23" s="32">
        <v>41791</v>
      </c>
      <c r="C23" s="32">
        <v>41821</v>
      </c>
      <c r="D23" s="32">
        <v>41852</v>
      </c>
      <c r="E23" s="32">
        <v>41883</v>
      </c>
      <c r="F23" s="32">
        <v>41913</v>
      </c>
      <c r="G23" s="32">
        <v>41944</v>
      </c>
      <c r="H23" s="32">
        <v>41974</v>
      </c>
      <c r="I23" s="32">
        <v>42005</v>
      </c>
      <c r="J23" s="32">
        <v>42036</v>
      </c>
      <c r="K23" s="32">
        <v>42064</v>
      </c>
      <c r="L23" s="32">
        <v>42095</v>
      </c>
      <c r="M23" s="32">
        <v>42125</v>
      </c>
      <c r="N23" s="32">
        <v>42156</v>
      </c>
      <c r="O23" s="32">
        <v>42186</v>
      </c>
      <c r="P23" s="32">
        <v>42217</v>
      </c>
      <c r="Q23" s="32">
        <v>42248</v>
      </c>
      <c r="R23" s="32">
        <v>42278</v>
      </c>
      <c r="S23" s="32">
        <v>42309</v>
      </c>
      <c r="T23" s="32">
        <v>42339</v>
      </c>
      <c r="U23" s="32">
        <v>42370</v>
      </c>
      <c r="V23" s="32">
        <v>42401</v>
      </c>
      <c r="W23" s="32">
        <v>42430</v>
      </c>
      <c r="X23" s="32">
        <v>42461</v>
      </c>
      <c r="Y23" s="32">
        <v>42491</v>
      </c>
      <c r="Z23" s="32">
        <v>42522</v>
      </c>
      <c r="AA23" s="32">
        <v>42552</v>
      </c>
      <c r="AB23" s="32">
        <v>42583</v>
      </c>
      <c r="AC23" s="32">
        <v>42614</v>
      </c>
      <c r="AD23" s="32">
        <v>42644</v>
      </c>
      <c r="AE23" s="32">
        <v>42675</v>
      </c>
      <c r="AF23" s="32">
        <v>42705</v>
      </c>
      <c r="AG23" s="32">
        <v>42736</v>
      </c>
      <c r="AH23" s="32">
        <v>42767</v>
      </c>
      <c r="AI23" s="32">
        <v>42795</v>
      </c>
      <c r="AJ23" s="32">
        <v>42826</v>
      </c>
      <c r="AK23" s="32">
        <v>42856</v>
      </c>
      <c r="AL23" s="32">
        <v>42887</v>
      </c>
      <c r="AM23" s="32">
        <v>42917</v>
      </c>
      <c r="AN23" s="32">
        <v>42948</v>
      </c>
      <c r="AO23" s="32">
        <v>42979</v>
      </c>
      <c r="AP23" s="32">
        <v>43009</v>
      </c>
      <c r="AQ23" s="32">
        <v>43040</v>
      </c>
      <c r="AR23" s="32">
        <v>43070</v>
      </c>
      <c r="AS23" s="32">
        <v>43101</v>
      </c>
      <c r="AT23" s="32">
        <v>43132</v>
      </c>
      <c r="AU23" s="32">
        <v>43160</v>
      </c>
      <c r="AV23" s="32">
        <v>43191</v>
      </c>
      <c r="AW23" s="32">
        <v>43221</v>
      </c>
      <c r="AX23" s="32">
        <v>43252</v>
      </c>
      <c r="AY23" s="32">
        <v>43282</v>
      </c>
      <c r="AZ23" s="32">
        <v>43313</v>
      </c>
      <c r="BA23" s="32">
        <v>43344</v>
      </c>
      <c r="BB23" s="32">
        <v>43374</v>
      </c>
      <c r="BC23" s="32">
        <v>43405</v>
      </c>
      <c r="BD23" s="32">
        <v>43435</v>
      </c>
      <c r="BE23" s="32">
        <v>43466</v>
      </c>
      <c r="BF23" s="32">
        <v>43497</v>
      </c>
      <c r="BG23" s="32">
        <v>43525</v>
      </c>
      <c r="BH23" s="32">
        <v>43556</v>
      </c>
      <c r="BI23" s="32">
        <v>43586</v>
      </c>
      <c r="BJ23" s="32">
        <v>43617</v>
      </c>
      <c r="BK23" s="32">
        <v>43647</v>
      </c>
      <c r="BL23" s="32">
        <v>43678</v>
      </c>
      <c r="BM23" s="32">
        <v>43709</v>
      </c>
      <c r="BN23" s="32">
        <v>43739</v>
      </c>
      <c r="BO23" s="32">
        <v>43770</v>
      </c>
      <c r="BP23" s="32">
        <v>43800</v>
      </c>
      <c r="BQ23" s="32">
        <v>43831</v>
      </c>
      <c r="BR23" s="32">
        <v>43862</v>
      </c>
      <c r="BS23" s="32">
        <v>43891</v>
      </c>
      <c r="BT23" s="32">
        <v>43922</v>
      </c>
      <c r="BU23" s="32">
        <v>43952</v>
      </c>
      <c r="BV23" s="32">
        <v>43983</v>
      </c>
      <c r="BW23" s="32">
        <v>44013</v>
      </c>
      <c r="BX23" s="32">
        <v>44044</v>
      </c>
      <c r="BY23" s="32">
        <v>44075</v>
      </c>
      <c r="BZ23" s="32">
        <v>44105</v>
      </c>
      <c r="CA23" s="32">
        <v>44136</v>
      </c>
      <c r="CB23" s="32">
        <v>44166</v>
      </c>
      <c r="CC23" s="32">
        <v>44197</v>
      </c>
      <c r="CD23" s="32">
        <v>44228</v>
      </c>
      <c r="CE23" s="32">
        <v>44256</v>
      </c>
      <c r="CF23" s="32">
        <v>44287</v>
      </c>
      <c r="CG23" s="32">
        <v>44317</v>
      </c>
      <c r="CH23" s="32">
        <v>44348</v>
      </c>
      <c r="CI23" s="32">
        <v>44378</v>
      </c>
      <c r="CJ23" s="32">
        <v>44409</v>
      </c>
      <c r="CK23" s="32">
        <v>44440</v>
      </c>
      <c r="CL23" s="32">
        <v>44470</v>
      </c>
      <c r="CM23" s="32">
        <v>44501</v>
      </c>
      <c r="CN23" s="32">
        <v>44531</v>
      </c>
      <c r="CO23" s="32">
        <v>44562</v>
      </c>
      <c r="CP23" s="32">
        <v>44593</v>
      </c>
      <c r="CQ23" s="32">
        <v>44621</v>
      </c>
      <c r="CR23" s="32">
        <v>44652</v>
      </c>
      <c r="CS23" s="32">
        <v>44682</v>
      </c>
      <c r="CT23" s="32">
        <v>44713</v>
      </c>
      <c r="CU23" s="32">
        <v>44743</v>
      </c>
      <c r="CV23" s="32">
        <v>44774</v>
      </c>
      <c r="CW23" s="32">
        <v>44805</v>
      </c>
      <c r="CX23" s="32">
        <v>44835</v>
      </c>
      <c r="CY23" s="32">
        <v>44866</v>
      </c>
      <c r="CZ23" s="32">
        <v>44896</v>
      </c>
      <c r="DA23" s="32">
        <v>44927</v>
      </c>
      <c r="DB23" s="32">
        <v>44958</v>
      </c>
      <c r="DC23" s="32">
        <v>44986</v>
      </c>
      <c r="DD23" s="32">
        <v>45017</v>
      </c>
      <c r="DE23" s="32">
        <v>45047</v>
      </c>
      <c r="DF23" s="32">
        <v>45078</v>
      </c>
      <c r="DG23" s="32">
        <v>45108</v>
      </c>
      <c r="DH23" s="32">
        <v>45139</v>
      </c>
      <c r="DI23" s="32">
        <v>45170</v>
      </c>
      <c r="DJ23" s="32">
        <v>45200</v>
      </c>
      <c r="DK23" s="32">
        <v>45231</v>
      </c>
      <c r="DL23" s="32">
        <v>45261</v>
      </c>
      <c r="DM23" s="32">
        <v>45292</v>
      </c>
      <c r="DN23" s="32">
        <v>45323</v>
      </c>
      <c r="DO23" s="32">
        <v>45352</v>
      </c>
      <c r="DP23" s="32">
        <v>45383</v>
      </c>
      <c r="DQ23" s="32">
        <f>EDATE(DP23,1)</f>
        <v>45413</v>
      </c>
      <c r="DR23" s="32">
        <f t="shared" ref="DR23:DS23" si="0">EDATE(DQ23,1)</f>
        <v>45444</v>
      </c>
      <c r="DS23" s="32">
        <f t="shared" si="0"/>
        <v>45474</v>
      </c>
    </row>
    <row r="24" spans="1:123" s="59" customFormat="1" x14ac:dyDescent="0.25">
      <c r="A24" s="25" t="s">
        <v>6</v>
      </c>
      <c r="B24" s="28">
        <v>0</v>
      </c>
      <c r="C24" s="28">
        <v>0</v>
      </c>
      <c r="D24" s="28">
        <f>B18</f>
        <v>10120161</v>
      </c>
      <c r="E24" s="28">
        <f t="shared" ref="E24:BB24" si="1">D30</f>
        <v>10120161</v>
      </c>
      <c r="F24" s="28">
        <f t="shared" si="1"/>
        <v>10120161</v>
      </c>
      <c r="G24" s="28">
        <f>F30+C18</f>
        <v>15148509</v>
      </c>
      <c r="H24" s="28">
        <f>G30</f>
        <v>15148509</v>
      </c>
      <c r="I24" s="28">
        <f>H30+D18</f>
        <v>17338927</v>
      </c>
      <c r="J24" s="28">
        <f t="shared" si="1"/>
        <v>17338927</v>
      </c>
      <c r="K24" s="28">
        <f t="shared" si="1"/>
        <v>17338927</v>
      </c>
      <c r="L24" s="28">
        <f t="shared" si="1"/>
        <v>17338927</v>
      </c>
      <c r="M24" s="28">
        <f t="shared" si="1"/>
        <v>17338927</v>
      </c>
      <c r="N24" s="28">
        <f t="shared" si="1"/>
        <v>17338927</v>
      </c>
      <c r="O24" s="28">
        <f t="shared" si="1"/>
        <v>17338927</v>
      </c>
      <c r="P24" s="28">
        <f t="shared" si="1"/>
        <v>17338927</v>
      </c>
      <c r="Q24" s="28">
        <f t="shared" si="1"/>
        <v>17338927</v>
      </c>
      <c r="R24" s="28">
        <f t="shared" si="1"/>
        <v>17338927</v>
      </c>
      <c r="S24" s="28">
        <f t="shared" si="1"/>
        <v>17338927</v>
      </c>
      <c r="T24" s="28">
        <f t="shared" si="1"/>
        <v>17338927</v>
      </c>
      <c r="U24" s="28">
        <f t="shared" si="1"/>
        <v>17338927</v>
      </c>
      <c r="V24" s="28">
        <f t="shared" si="1"/>
        <v>17338927</v>
      </c>
      <c r="W24" s="28">
        <f t="shared" si="1"/>
        <v>17338927</v>
      </c>
      <c r="X24" s="28">
        <f t="shared" si="1"/>
        <v>17338927</v>
      </c>
      <c r="Y24" s="28">
        <f t="shared" si="1"/>
        <v>17338927</v>
      </c>
      <c r="Z24" s="28">
        <f t="shared" si="1"/>
        <v>17338927</v>
      </c>
      <c r="AA24" s="28">
        <f t="shared" si="1"/>
        <v>17338927</v>
      </c>
      <c r="AB24" s="28">
        <f t="shared" si="1"/>
        <v>17338927</v>
      </c>
      <c r="AC24" s="28">
        <f t="shared" si="1"/>
        <v>17338927</v>
      </c>
      <c r="AD24" s="28">
        <f t="shared" si="1"/>
        <v>17338927</v>
      </c>
      <c r="AE24" s="28">
        <f t="shared" si="1"/>
        <v>16797085.53125</v>
      </c>
      <c r="AF24" s="28">
        <f t="shared" si="1"/>
        <v>16797085.53125</v>
      </c>
      <c r="AG24" s="28">
        <f t="shared" si="1"/>
        <v>16797085.53125</v>
      </c>
      <c r="AH24" s="28">
        <f t="shared" si="1"/>
        <v>16255244.0625</v>
      </c>
      <c r="AI24" s="28">
        <f t="shared" si="1"/>
        <v>16255244.0625</v>
      </c>
      <c r="AJ24" s="28">
        <f t="shared" si="1"/>
        <v>16255244.0625</v>
      </c>
      <c r="AK24" s="28">
        <f t="shared" si="1"/>
        <v>15713402.59375</v>
      </c>
      <c r="AL24" s="28">
        <f t="shared" si="1"/>
        <v>15713402.59375</v>
      </c>
      <c r="AM24" s="28">
        <f t="shared" si="1"/>
        <v>15713402.59375</v>
      </c>
      <c r="AN24" s="28">
        <f t="shared" si="1"/>
        <v>15171561.125</v>
      </c>
      <c r="AO24" s="28">
        <f t="shared" si="1"/>
        <v>15171561.125</v>
      </c>
      <c r="AP24" s="28">
        <f t="shared" si="1"/>
        <v>15171561.125</v>
      </c>
      <c r="AQ24" s="28">
        <f t="shared" si="1"/>
        <v>14629719.65625</v>
      </c>
      <c r="AR24" s="28">
        <f t="shared" si="1"/>
        <v>14629719.65625</v>
      </c>
      <c r="AS24" s="28">
        <f t="shared" si="1"/>
        <v>14629719.65625</v>
      </c>
      <c r="AT24" s="28">
        <f t="shared" si="1"/>
        <v>14087878.1875</v>
      </c>
      <c r="AU24" s="28">
        <f t="shared" si="1"/>
        <v>14087878.1875</v>
      </c>
      <c r="AV24" s="28">
        <f t="shared" si="1"/>
        <v>14087878.1875</v>
      </c>
      <c r="AW24" s="28">
        <f t="shared" si="1"/>
        <v>13546036.71875</v>
      </c>
      <c r="AX24" s="28">
        <f t="shared" si="1"/>
        <v>13546036.71875</v>
      </c>
      <c r="AY24" s="28">
        <f t="shared" si="1"/>
        <v>13546036.71875</v>
      </c>
      <c r="AZ24" s="28">
        <f t="shared" si="1"/>
        <v>13004195.25</v>
      </c>
      <c r="BA24" s="28">
        <f t="shared" si="1"/>
        <v>13004195.25</v>
      </c>
      <c r="BB24" s="28">
        <f t="shared" si="1"/>
        <v>13004195.25</v>
      </c>
      <c r="BC24" s="28">
        <f>BB30</f>
        <v>12462353.78125</v>
      </c>
      <c r="BD24" s="28">
        <f t="shared" ref="BD24:BR24" si="2">BC30</f>
        <v>12462353.78125</v>
      </c>
      <c r="BE24" s="28">
        <f t="shared" si="2"/>
        <v>12462353.78125</v>
      </c>
      <c r="BF24" s="28">
        <f t="shared" si="2"/>
        <v>11920512.3125</v>
      </c>
      <c r="BG24" s="28">
        <f t="shared" si="2"/>
        <v>11920512.3125</v>
      </c>
      <c r="BH24" s="28">
        <f t="shared" si="2"/>
        <v>11920512.3125</v>
      </c>
      <c r="BI24" s="28">
        <f t="shared" si="2"/>
        <v>11378670.84375</v>
      </c>
      <c r="BJ24" s="28">
        <f t="shared" si="2"/>
        <v>11378670.84375</v>
      </c>
      <c r="BK24" s="28">
        <f t="shared" si="2"/>
        <v>11378670.84375</v>
      </c>
      <c r="BL24" s="28">
        <f t="shared" si="2"/>
        <v>10836829.375</v>
      </c>
      <c r="BM24" s="28">
        <f t="shared" si="2"/>
        <v>10836829.375</v>
      </c>
      <c r="BN24" s="28">
        <f t="shared" si="2"/>
        <v>10836829.375</v>
      </c>
      <c r="BO24" s="28">
        <f t="shared" si="2"/>
        <v>10294987.90625</v>
      </c>
      <c r="BP24" s="28">
        <f t="shared" si="2"/>
        <v>10294987.90625</v>
      </c>
      <c r="BQ24" s="28">
        <f t="shared" si="2"/>
        <v>10294987.90625</v>
      </c>
      <c r="BR24" s="28">
        <f t="shared" si="2"/>
        <v>9753146.4375</v>
      </c>
      <c r="BS24" s="28">
        <f t="shared" ref="BS24:CD24" si="3">BR30</f>
        <v>9753146.4375</v>
      </c>
      <c r="BT24" s="28">
        <f t="shared" si="3"/>
        <v>9753146.4375</v>
      </c>
      <c r="BU24" s="28">
        <f t="shared" si="3"/>
        <v>9211304.96875</v>
      </c>
      <c r="BV24" s="28">
        <f t="shared" si="3"/>
        <v>9211304.96875</v>
      </c>
      <c r="BW24" s="28">
        <f t="shared" si="3"/>
        <v>9211304.96875</v>
      </c>
      <c r="BX24" s="28">
        <f t="shared" si="3"/>
        <v>8669463.5</v>
      </c>
      <c r="BY24" s="28">
        <f t="shared" si="3"/>
        <v>8669463.5</v>
      </c>
      <c r="BZ24" s="28">
        <f t="shared" si="3"/>
        <v>8669463.5</v>
      </c>
      <c r="CA24" s="28">
        <f t="shared" si="3"/>
        <v>8127622.03125</v>
      </c>
      <c r="CB24" s="28">
        <f t="shared" si="3"/>
        <v>8127622.03125</v>
      </c>
      <c r="CC24" s="28">
        <f t="shared" si="3"/>
        <v>8127622.03125</v>
      </c>
      <c r="CD24" s="28">
        <f t="shared" si="3"/>
        <v>7585780.5625</v>
      </c>
      <c r="CE24" s="28">
        <f t="shared" ref="CE24:CO24" si="4">CD30</f>
        <v>7585780.5625</v>
      </c>
      <c r="CF24" s="28">
        <f t="shared" si="4"/>
        <v>7585780.5625</v>
      </c>
      <c r="CG24" s="28">
        <f t="shared" si="4"/>
        <v>7043939.09375</v>
      </c>
      <c r="CH24" s="28">
        <f t="shared" si="4"/>
        <v>7043939.09375</v>
      </c>
      <c r="CI24" s="28">
        <f t="shared" si="4"/>
        <v>7043939.09375</v>
      </c>
      <c r="CJ24" s="28">
        <f t="shared" si="4"/>
        <v>6502097.625</v>
      </c>
      <c r="CK24" s="28">
        <f t="shared" si="4"/>
        <v>6502097.625</v>
      </c>
      <c r="CL24" s="28">
        <f t="shared" si="4"/>
        <v>6502097.625</v>
      </c>
      <c r="CM24" s="28">
        <f t="shared" si="4"/>
        <v>5960256.15625</v>
      </c>
      <c r="CN24" s="28">
        <f t="shared" si="4"/>
        <v>5960256.15625</v>
      </c>
      <c r="CO24" s="28">
        <f t="shared" si="4"/>
        <v>5960256.15625</v>
      </c>
      <c r="CP24" s="28">
        <f>CO30</f>
        <v>5418414.6875</v>
      </c>
      <c r="CQ24" s="28">
        <f>CP30</f>
        <v>5418414.6875</v>
      </c>
      <c r="CR24" s="28">
        <f t="shared" ref="CR24:CT24" si="5">CQ30</f>
        <v>5418414.6875</v>
      </c>
      <c r="CS24" s="28">
        <f t="shared" si="5"/>
        <v>4876573.21875</v>
      </c>
      <c r="CT24" s="28">
        <f t="shared" si="5"/>
        <v>4876573.21875</v>
      </c>
      <c r="CU24" s="28">
        <f t="shared" ref="CU24:CW24" si="6">CT30</f>
        <v>4876573.21875</v>
      </c>
      <c r="CV24" s="28">
        <f t="shared" si="6"/>
        <v>4334731.75</v>
      </c>
      <c r="CW24" s="28">
        <f t="shared" si="6"/>
        <v>4334731.75</v>
      </c>
      <c r="CX24" s="28">
        <f t="shared" ref="CX24:CZ24" si="7">CW30</f>
        <v>4334731.75</v>
      </c>
      <c r="CY24" s="28">
        <f t="shared" si="7"/>
        <v>3792890.28125</v>
      </c>
      <c r="CZ24" s="28">
        <f t="shared" si="7"/>
        <v>3792890.28125</v>
      </c>
      <c r="DA24" s="28">
        <f t="shared" ref="DA24:DC24" si="8">CZ30</f>
        <v>3792890.28125</v>
      </c>
      <c r="DB24" s="28">
        <f t="shared" si="8"/>
        <v>3251048.8125</v>
      </c>
      <c r="DC24" s="28">
        <f t="shared" si="8"/>
        <v>3251048.8125</v>
      </c>
      <c r="DD24" s="28">
        <f t="shared" ref="DD24:DF24" si="9">DC30</f>
        <v>3251048.8125</v>
      </c>
      <c r="DE24" s="28">
        <f t="shared" si="9"/>
        <v>2709207.34375</v>
      </c>
      <c r="DF24" s="28">
        <f t="shared" si="9"/>
        <v>2709207.34375</v>
      </c>
      <c r="DG24" s="28">
        <f t="shared" ref="DG24:DI24" si="10">DF30</f>
        <v>2709207.34375</v>
      </c>
      <c r="DH24" s="28">
        <f t="shared" si="10"/>
        <v>2167365.875</v>
      </c>
      <c r="DI24" s="28">
        <f t="shared" si="10"/>
        <v>2167365.875</v>
      </c>
      <c r="DJ24" s="28">
        <f t="shared" ref="DJ24:DL24" si="11">DI30</f>
        <v>2167365.875</v>
      </c>
      <c r="DK24" s="28">
        <f t="shared" si="11"/>
        <v>1625524.40625</v>
      </c>
      <c r="DL24" s="28">
        <f t="shared" si="11"/>
        <v>1625524.40625</v>
      </c>
      <c r="DM24" s="28">
        <f t="shared" ref="DM24:DO24" si="12">DL30</f>
        <v>1625524.40625</v>
      </c>
      <c r="DN24" s="28">
        <f t="shared" si="12"/>
        <v>1083682.9375</v>
      </c>
      <c r="DO24" s="28">
        <f t="shared" si="12"/>
        <v>1083682.9375</v>
      </c>
      <c r="DP24" s="28">
        <f t="shared" ref="DP24" si="13">DO30</f>
        <v>1083682.9375</v>
      </c>
      <c r="DQ24" s="28">
        <f t="shared" ref="DQ24" si="14">DP30</f>
        <v>541841.46875</v>
      </c>
      <c r="DR24" s="28">
        <f t="shared" ref="DR24" si="15">DQ30</f>
        <v>541841.46875</v>
      </c>
      <c r="DS24" s="28">
        <f t="shared" ref="DS24" si="16">DR30</f>
        <v>541841.46875</v>
      </c>
    </row>
    <row r="25" spans="1:123" s="59" customFormat="1" x14ac:dyDescent="0.25">
      <c r="A25" s="25" t="s">
        <v>7</v>
      </c>
      <c r="B25" s="28">
        <f>B24*(B23-B17)*$B$11/360</f>
        <v>0</v>
      </c>
      <c r="C25" s="28">
        <f>C24*(B17-C23)*$B$11/360</f>
        <v>0</v>
      </c>
      <c r="D25" s="28">
        <f>D24*(D23-B17)*$B$11/360</f>
        <v>42167.337500000001</v>
      </c>
      <c r="E25" s="28">
        <f>E24*(E23-D23)*$B$11/360</f>
        <v>52287.498500000002</v>
      </c>
      <c r="F25" s="28">
        <f t="shared" ref="F25:L25" si="17">F24*(F23-E23)*$B$11/360</f>
        <v>50600.805</v>
      </c>
      <c r="G25" s="28">
        <f>F30*(C17-F23)*$B$11/360+C19*(G23-C17)*$B$11/360</f>
        <v>71562.83249999999</v>
      </c>
      <c r="H25" s="28">
        <f>G30*(H23-G23)*$B$11/360</f>
        <v>75742.544999999998</v>
      </c>
      <c r="I25" s="28">
        <f>H30*(D17-H23)*$B$11/360+D19*(I23-D17)*$B$11/360</f>
        <v>87394.038166666665</v>
      </c>
      <c r="J25" s="28">
        <f t="shared" si="17"/>
        <v>89584.45616666667</v>
      </c>
      <c r="K25" s="28">
        <f t="shared" si="17"/>
        <v>80914.992666666658</v>
      </c>
      <c r="L25" s="28">
        <f t="shared" si="17"/>
        <v>89584.45616666667</v>
      </c>
      <c r="M25" s="28">
        <f t="shared" ref="M25:AA25" si="18">M24*(M23-L23)*$B$11/360</f>
        <v>86694.634999999995</v>
      </c>
      <c r="N25" s="28">
        <f t="shared" si="18"/>
        <v>89584.45616666667</v>
      </c>
      <c r="O25" s="28">
        <f t="shared" si="18"/>
        <v>86694.634999999995</v>
      </c>
      <c r="P25" s="28">
        <f t="shared" si="18"/>
        <v>89584.45616666667</v>
      </c>
      <c r="Q25" s="28">
        <f t="shared" si="18"/>
        <v>89584.45616666667</v>
      </c>
      <c r="R25" s="28">
        <f t="shared" si="18"/>
        <v>86694.634999999995</v>
      </c>
      <c r="S25" s="28">
        <f t="shared" si="18"/>
        <v>89584.45616666667</v>
      </c>
      <c r="T25" s="28">
        <f t="shared" si="18"/>
        <v>86694.634999999995</v>
      </c>
      <c r="U25" s="28">
        <f t="shared" si="18"/>
        <v>89584.45616666667</v>
      </c>
      <c r="V25" s="28">
        <f t="shared" si="18"/>
        <v>89584.45616666667</v>
      </c>
      <c r="W25" s="28">
        <f t="shared" si="18"/>
        <v>83804.813833333334</v>
      </c>
      <c r="X25" s="28">
        <f t="shared" si="18"/>
        <v>89584.45616666667</v>
      </c>
      <c r="Y25" s="28">
        <f t="shared" si="18"/>
        <v>86694.634999999995</v>
      </c>
      <c r="Z25" s="28">
        <f t="shared" si="18"/>
        <v>89584.45616666667</v>
      </c>
      <c r="AA25" s="28">
        <f t="shared" si="18"/>
        <v>86694.634999999995</v>
      </c>
      <c r="AB25" s="28">
        <f>AB24*(AB23-AA23)*$B$11/360</f>
        <v>89584.45616666667</v>
      </c>
      <c r="AC25" s="28">
        <f>AC24*(AC23-AB23)*$B$11/360</f>
        <v>89584.45616666667</v>
      </c>
      <c r="AD25" s="28">
        <f>AD24*(Hydron_Loan!J30-AC23)*$B$11/360+AD30*(AD23-Hydron_Loan!J30)*$B$11/360</f>
        <v>86784.941911458343</v>
      </c>
      <c r="AE25" s="28">
        <f>AE24*(AE23-AD23)*$B$11/360</f>
        <v>86784.941911458329</v>
      </c>
      <c r="AF25" s="28">
        <f>AF24*(AF23-AE23)*$B$11/360</f>
        <v>83985.427656249987</v>
      </c>
      <c r="AG25" s="28">
        <f>AG24*(Hydron_Loan!K30-AF23)*$B$11/360+AG30*(AG23-Hydron_Loan!K30)*$B$11/360</f>
        <v>86784.941911458329</v>
      </c>
      <c r="AH25" s="28">
        <f>AH24*(AH23-AG23)*$B$11/360</f>
        <v>83985.427656249987</v>
      </c>
      <c r="AI25" s="28">
        <f>AI24*(AI23-AH23)*$B$11/360</f>
        <v>75857.805624999994</v>
      </c>
      <c r="AJ25" s="28">
        <f>AJ24*(Hydron_Loan!L30-AI23)*$B$11/360+AJ30*(AJ23-Hydron_Loan!L30)*$B$11/360</f>
        <v>83804.813833333334</v>
      </c>
      <c r="AK25" s="28">
        <f>AK24*(AK23-AJ23)*$B$11/360</f>
        <v>78567.012968750001</v>
      </c>
      <c r="AL25" s="28">
        <f>AL24*(AL23-AK23)*$B$11/360</f>
        <v>81185.91340104166</v>
      </c>
      <c r="AM25" s="28">
        <f>AM24*(Hydron_Loan!M30-AL23)*$B$11/360+AM30*(AM23-Hydron_Loan!M30)*$B$11/360</f>
        <v>78657.319880208321</v>
      </c>
      <c r="AN25" s="28">
        <f>AN24*(AN23-AM23)*$B$11/360</f>
        <v>78386.399145833333</v>
      </c>
      <c r="AO25" s="28">
        <f>AO24*(AO23-AN23)*$B$11/360</f>
        <v>78386.399145833333</v>
      </c>
      <c r="AP25" s="28">
        <f>AP24*(Hydron_Loan!N30-AO23)*$B$11/360+AP30*(AP23-Hydron_Loan!N30)*$B$11/360</f>
        <v>75767.49871354166</v>
      </c>
      <c r="AQ25" s="28">
        <f>AQ24*(AQ23-AP23)*$B$11/360</f>
        <v>75586.884890624991</v>
      </c>
      <c r="AR25" s="28">
        <f>AR24*(AR23-AQ23)*$B$11/360</f>
        <v>73148.598281250001</v>
      </c>
      <c r="AS25" s="28">
        <f>AS24*(Hydron_Loan!O30-AR23)*$B$11/360+AS30*(AS23-Hydron_Loan!O30)*$B$11/360</f>
        <v>75406.271067708323</v>
      </c>
      <c r="AT25" s="28">
        <f>AT24*(AT23-AS23)*$B$11/360</f>
        <v>72787.370635416664</v>
      </c>
      <c r="AU25" s="28">
        <f>AU24*(AU23-AT23)*$B$11/360</f>
        <v>65743.431541666665</v>
      </c>
      <c r="AV25" s="28">
        <f>AV24*(Hydron_Loan!P30-AU23)*$B$11/360+AV30*(AV23-Hydron_Loan!P30)*$B$11/360</f>
        <v>72606.756812499996</v>
      </c>
      <c r="AW25" s="28">
        <f>AW24*(AW23-AV23)*$B$11/360</f>
        <v>67730.18359375</v>
      </c>
      <c r="AX25" s="28">
        <f>AX24*(AX23-AW23)*$B$11/360</f>
        <v>69987.856380208337</v>
      </c>
      <c r="AY25" s="28">
        <f>AY24*(Hydron_Loan!Q30-AX23)*$B$11/360+AY30*(AY23-Hydron_Loan!Q30)*$B$11/360</f>
        <v>67639.876682291666</v>
      </c>
      <c r="AZ25" s="28">
        <f>AZ24*(AZ23-AY23)*$B$11/360</f>
        <v>67188.342124999996</v>
      </c>
      <c r="BA25" s="28">
        <f>BA24*(BA23-AZ23)*$B$11/360</f>
        <v>67188.342124999996</v>
      </c>
      <c r="BB25" s="28">
        <f>BB24*(Hydron_Loan!R30-BA23)*$B$11/360+BB30*(BB23-Hydron_Loan!R30)*$B$11/360</f>
        <v>64930.669338541666</v>
      </c>
      <c r="BC25" s="28">
        <f>BC24*(BC23-BB23)*$B$11/360</f>
        <v>64388.827869791661</v>
      </c>
      <c r="BD25" s="28">
        <f>BD24*(BD23-BC23)*$B$11/360</f>
        <v>62311.768906249999</v>
      </c>
      <c r="BE25" s="28">
        <f>BE24*(Hydron_Loan!S30-BD23)*$B$11/360+BE30*(BE23-Hydron_Loan!S30)*$B$11/360</f>
        <v>64208.214046875</v>
      </c>
      <c r="BF25" s="28">
        <f>BF24*(BF23-BE23)*$B$11/360</f>
        <v>61589.313614583327</v>
      </c>
      <c r="BG25" s="28">
        <f>BG24*(BG23-BF23)*$B$11/360</f>
        <v>55629.057458333329</v>
      </c>
      <c r="BH25" s="28">
        <f>BH24*(Hydron_Loan!T30-BG23)*$B$11/360+BH30*(BH23-Hydron_Loan!T30)*$B$11/360</f>
        <v>61408.699791666666</v>
      </c>
      <c r="BI25" s="28">
        <f>BI24*(BI23-BH23)*$B$11/360</f>
        <v>56893.354218749999</v>
      </c>
      <c r="BJ25" s="28">
        <f>BJ24*(BJ23-BI23)*$B$11/360</f>
        <v>58789.799359375</v>
      </c>
      <c r="BK25" s="28">
        <f>BK24*(Hydron_Loan!U30-BJ23)*$B$11/360+BK30*(BK23-Hydron_Loan!U30)*$B$11/360</f>
        <v>56803.047307291657</v>
      </c>
      <c r="BL25" s="28">
        <f>BL24*(BL23-BK23)*$B$11/360</f>
        <v>55990.285104166665</v>
      </c>
      <c r="BM25" s="28">
        <f>BM24*(BM23-BL23)*$B$11/360</f>
        <v>55990.285104166665</v>
      </c>
      <c r="BN25" s="28">
        <f>BN24*(Hydron_Loan!V30-BM23)*$B$11/360+BN30*(BN23-Hydron_Loan!V30)*$B$11/360</f>
        <v>54093.839963541672</v>
      </c>
      <c r="BO25" s="28">
        <f>BO24*(BO23-BN23)*$B$11/360</f>
        <v>53190.770848958331</v>
      </c>
      <c r="BP25" s="28">
        <f>BP24*(BP23-BO23)*$B$11/360</f>
        <v>51474.939531249998</v>
      </c>
      <c r="BQ25" s="28">
        <f>BQ24*(Hydron_Loan!W30-BP23)*$B$11/360+BQ30*(BQ23-Hydron_Loan!W30)*$B$11/360</f>
        <v>53010.157026041663</v>
      </c>
      <c r="BR25" s="28">
        <f>BR24*(BR23-BQ23)*$B$11/360</f>
        <v>50391.256593750004</v>
      </c>
      <c r="BS25" s="28">
        <f>BS24*(BS23-BR23)*$B$11/360</f>
        <v>47140.207781249999</v>
      </c>
      <c r="BT25" s="28">
        <f>BT24*(Hydron_Loan!X30-BS23)*$B$11/360+BT30*(BT23-Hydron_Loan!X30)*$B$11/360</f>
        <v>50210.642770833336</v>
      </c>
      <c r="BU25" s="28">
        <f>BU24*(BU23-BT23)*$B$11/360</f>
        <v>46056.524843749998</v>
      </c>
      <c r="BV25" s="28">
        <f>BV24*(BV23-BU23)*$B$11/360</f>
        <v>47591.74233854167</v>
      </c>
      <c r="BW25" s="28">
        <f>BW24*(Hydron_Loan!Y30-BV23)*$B$11/360+BW30*(BW23-Hydron_Loan!Y30)*$B$11/360</f>
        <v>45966.217932291664</v>
      </c>
      <c r="BX25" s="28">
        <f>BX24*(BX23-BW23)*$B$11/360</f>
        <v>44792.228083333335</v>
      </c>
      <c r="BY25" s="28">
        <f>BY24*(BY23-BX23)*$B$11/360</f>
        <v>44792.228083333335</v>
      </c>
      <c r="BZ25" s="28">
        <f>BZ24*(Hydron_Loan!Z30-BY23)*$B$11/360+BZ30*(BZ23-Hydron_Loan!Z30)*$B$11/360</f>
        <v>43257.010588541663</v>
      </c>
      <c r="CA25" s="28">
        <f>CA24*(CA23-BZ23)*$B$11/360</f>
        <v>41992.713828124994</v>
      </c>
      <c r="CB25" s="28">
        <f>CB24*(CB23-CA23)*$B$11/360</f>
        <v>40638.110156249997</v>
      </c>
      <c r="CC25" s="28">
        <f>CC24*(Hydron_Loan!AA30-CB23)*$B$11/360+CC30*(CC23-Hydron_Loan!AA30)*$B$11/360</f>
        <v>41812.100005208333</v>
      </c>
      <c r="CD25" s="28">
        <f>CD24*(CD23-CC23)*$B$11/360</f>
        <v>39193.199572916667</v>
      </c>
      <c r="CE25" s="28">
        <f>CE24*(CE23-CD23)*$B$11/360</f>
        <v>35400.309291666665</v>
      </c>
      <c r="CF25" s="28">
        <f>CF24*(Hydron_Loan!AB30-CE23)*$B$11/360+CF30*(CF23-Hydron_Loan!AB30)*$B$11/360</f>
        <v>39012.585749999991</v>
      </c>
      <c r="CG25" s="28">
        <f>CG24*(CG23-CF23)*$B$11/360</f>
        <v>35219.695468750004</v>
      </c>
      <c r="CH25" s="28">
        <f>CH24*(CH23-CG23)*$B$11/360</f>
        <v>36393.685317708332</v>
      </c>
      <c r="CI25" s="28">
        <f>CI24*(Hydron_Loan!AC30-CH23)*$B$11/360+CI30*(CI23-Hydron_Loan!AC30)*$B$11/360</f>
        <v>35129.38855729167</v>
      </c>
      <c r="CJ25" s="28">
        <f>CJ24*(CJ23-CI23)*$B$11/360</f>
        <v>33594.171062499998</v>
      </c>
      <c r="CK25" s="28">
        <f>CK24*(CK23-CJ23)*$B$11/360</f>
        <v>33594.171062499998</v>
      </c>
      <c r="CL25" s="28">
        <f>CL24*(Hydron_Loan!AD30-CK23)*$B$11/360+CL30*(CL23-Hydron_Loan!AD30)*$B$11/360</f>
        <v>32420.181213541666</v>
      </c>
      <c r="CM25" s="28">
        <f>CM24*(CM23-CL23)*$B$11/360</f>
        <v>30794.656807291663</v>
      </c>
      <c r="CN25" s="28">
        <f>CN24*(CN23-CM23)*$B$11/360</f>
        <v>29801.280781249996</v>
      </c>
      <c r="CO25" s="28">
        <f>CO24*(Hydron_Loan!AE30-CN23)*$B$11/360+CO30*(CO23-Hydron_Loan!AE30)*$B$11/360</f>
        <v>30614.042984374999</v>
      </c>
      <c r="CP25" s="28">
        <f>CP24*(CP23-CO23)*$B$11/360</f>
        <v>27995.142552083333</v>
      </c>
      <c r="CQ25" s="28">
        <f>CQ24*(CQ23-CP23)*$B$11/360</f>
        <v>25285.935208333329</v>
      </c>
      <c r="CR25" s="28">
        <f>CR24*(Hydron_Loan!AF30-CQ23)*$B$11/360+CR30*(CR23-Hydron_Loan!AF30)*$B$11/360</f>
        <v>27814.528729166668</v>
      </c>
      <c r="CS25" s="28">
        <f t="shared" ref="CS25:CT25" si="19">CS24*(CS23-CR23)*$B$11/360</f>
        <v>24382.866093749999</v>
      </c>
      <c r="CT25" s="28">
        <f t="shared" si="19"/>
        <v>25195.628296875002</v>
      </c>
      <c r="CU25" s="28">
        <f>CU24*(Hydron_Loan!AG30-CT23)*$B$11/360+CU30*(CU23-Hydron_Loan!AG30)*$B$11/360</f>
        <v>24292.559182291665</v>
      </c>
      <c r="CV25" s="28">
        <f t="shared" ref="CV25:CW25" si="20">CV24*(CV23-CU23)*$B$11/360</f>
        <v>22396.114041666668</v>
      </c>
      <c r="CW25" s="28">
        <f t="shared" si="20"/>
        <v>22396.114041666668</v>
      </c>
      <c r="CX25" s="28">
        <f>CX24*(Hydron_Loan!AH30-CW23)*$B$11/360+CX30*(CX23-Hydron_Loan!AH30)*$B$11/360</f>
        <v>21583.351838541668</v>
      </c>
      <c r="CY25" s="28">
        <f t="shared" ref="CY25:CZ25" si="21">CY24*(CY23-CX23)*$B$11/360</f>
        <v>19596.599786458333</v>
      </c>
      <c r="CZ25" s="28">
        <f t="shared" si="21"/>
        <v>18964.451406249998</v>
      </c>
      <c r="DA25" s="28">
        <f>DA24*(Hydron_Loan!AI30-CZ23)*$B$11/360+DA30*(DA23-Hydron_Loan!AI30)*$B$11/360</f>
        <v>19415.985963541665</v>
      </c>
      <c r="DB25" s="28">
        <f t="shared" ref="DB25:DC25" si="22">DB24*(DB23-DA23)*$B$11/360</f>
        <v>16797.085531249999</v>
      </c>
      <c r="DC25" s="28">
        <f t="shared" si="22"/>
        <v>15171.561125</v>
      </c>
      <c r="DD25" s="28">
        <f>DD24*(Hydron_Loan!AJ30-DC23)*$B$11/360+DD30*(DD23-Hydron_Loan!AJ30)*$B$11/360</f>
        <v>16616.471708333331</v>
      </c>
      <c r="DE25" s="28">
        <f t="shared" ref="DE25:DF25" si="23">DE24*(DE23-DD23)*$B$11/360</f>
        <v>13546.03671875</v>
      </c>
      <c r="DF25" s="28">
        <f t="shared" si="23"/>
        <v>13997.571276041666</v>
      </c>
      <c r="DG25" s="28">
        <f>DG24*(Hydron_Loan!AK30-DF23)*$B$11/360+DG30*(DG23-Hydron_Loan!AK30)*$B$11/360</f>
        <v>13455.729807291667</v>
      </c>
      <c r="DH25" s="28">
        <f t="shared" ref="DH25:DI25" si="24">DH24*(DH23-DG23)*$B$11/360</f>
        <v>11198.057020833334</v>
      </c>
      <c r="DI25" s="28">
        <f t="shared" si="24"/>
        <v>11198.057020833334</v>
      </c>
      <c r="DJ25" s="28">
        <f>DJ24*(Hydron_Loan!AL30-DI23)*$B$11/360+DJ30*(DJ23-Hydron_Loan!AL30)*$B$11/360</f>
        <v>10746.522463541667</v>
      </c>
      <c r="DK25" s="28">
        <f t="shared" ref="DK25:DL25" si="25">DK24*(DK23-DJ23)*$B$11/360</f>
        <v>8398.5427656249994</v>
      </c>
      <c r="DL25" s="28">
        <f t="shared" si="25"/>
        <v>8127.62203125</v>
      </c>
      <c r="DM25" s="28">
        <f>DM24*(Hydron_Loan!AM30-DL23)*$B$11/360+DM30*(DM23-Hydron_Loan!AM30)*$B$11/360</f>
        <v>8217.9289427083331</v>
      </c>
      <c r="DN25" s="28">
        <f t="shared" ref="DN25:DO25" si="26">DN24*(DN23-DM23)*$B$11/360</f>
        <v>5599.0285104166669</v>
      </c>
      <c r="DO25" s="28">
        <f t="shared" si="26"/>
        <v>5237.8008645833334</v>
      </c>
      <c r="DP25" s="28">
        <f>DP24*(Hydron_Loan!AN30-DO23)*$B$11/360+DP30*(DP23-Hydron_Loan!AN30)*$B$11/360</f>
        <v>5418.4146874999997</v>
      </c>
      <c r="DQ25" s="28">
        <f t="shared" ref="DQ25" si="27">DQ24*(DQ23-DP23)*$B$11/360</f>
        <v>2709.2073437499998</v>
      </c>
      <c r="DR25" s="28">
        <f t="shared" ref="DR25" si="28">DR24*(DR23-DQ23)*$B$11/360</f>
        <v>2799.5142552083335</v>
      </c>
      <c r="DS25" s="28">
        <f>DS24*(Hydron_Loan!AO30-DR23)*$B$11/360+DS30*(DS23-Hydron_Loan!AO30)*$B$11/360</f>
        <v>2618.9004322916667</v>
      </c>
    </row>
    <row r="26" spans="1:123" s="60" customFormat="1" x14ac:dyDescent="0.25">
      <c r="A26" s="51" t="s">
        <v>13</v>
      </c>
      <c r="B26" s="52">
        <f>B25</f>
        <v>0</v>
      </c>
      <c r="C26" s="52">
        <f t="shared" ref="C26:AF26" si="29">B26+C25</f>
        <v>0</v>
      </c>
      <c r="D26" s="52">
        <f t="shared" si="29"/>
        <v>42167.337500000001</v>
      </c>
      <c r="E26" s="52">
        <f>D26+E25</f>
        <v>94454.83600000001</v>
      </c>
      <c r="F26" s="52">
        <f>E26+F25</f>
        <v>145055.641</v>
      </c>
      <c r="G26" s="52">
        <f t="shared" si="29"/>
        <v>216618.47349999999</v>
      </c>
      <c r="H26" s="52">
        <f t="shared" si="29"/>
        <v>292361.01850000001</v>
      </c>
      <c r="I26" s="52">
        <f t="shared" si="29"/>
        <v>379755.05666666664</v>
      </c>
      <c r="J26" s="52">
        <f t="shared" si="29"/>
        <v>469339.51283333334</v>
      </c>
      <c r="K26" s="52">
        <f t="shared" si="29"/>
        <v>550254.50549999997</v>
      </c>
      <c r="L26" s="52">
        <f t="shared" si="29"/>
        <v>639838.96166666667</v>
      </c>
      <c r="M26" s="52">
        <f t="shared" si="29"/>
        <v>726533.59666666668</v>
      </c>
      <c r="N26" s="52">
        <f t="shared" si="29"/>
        <v>816118.05283333338</v>
      </c>
      <c r="O26" s="52">
        <f t="shared" si="29"/>
        <v>902812.68783333339</v>
      </c>
      <c r="P26" s="52">
        <f t="shared" si="29"/>
        <v>992397.14400000009</v>
      </c>
      <c r="Q26" s="52">
        <f t="shared" si="29"/>
        <v>1081981.6001666668</v>
      </c>
      <c r="R26" s="52">
        <f t="shared" si="29"/>
        <v>1168676.2351666668</v>
      </c>
      <c r="S26" s="52">
        <f t="shared" si="29"/>
        <v>1258260.6913333335</v>
      </c>
      <c r="T26" s="52">
        <f t="shared" si="29"/>
        <v>1344955.3263333335</v>
      </c>
      <c r="U26" s="52">
        <f t="shared" si="29"/>
        <v>1434539.7825000002</v>
      </c>
      <c r="V26" s="52">
        <f t="shared" si="29"/>
        <v>1524124.2386666669</v>
      </c>
      <c r="W26" s="52">
        <f t="shared" si="29"/>
        <v>1607929.0525000002</v>
      </c>
      <c r="X26" s="52">
        <f t="shared" si="29"/>
        <v>1697513.5086666669</v>
      </c>
      <c r="Y26" s="52">
        <f t="shared" si="29"/>
        <v>1784208.1436666669</v>
      </c>
      <c r="Z26" s="52">
        <f t="shared" si="29"/>
        <v>1873792.5998333336</v>
      </c>
      <c r="AA26" s="52">
        <f t="shared" si="29"/>
        <v>1960487.2348333336</v>
      </c>
      <c r="AB26" s="52">
        <f t="shared" si="29"/>
        <v>2050071.6910000003</v>
      </c>
      <c r="AC26" s="52">
        <f t="shared" si="29"/>
        <v>2139656.147166667</v>
      </c>
      <c r="AD26" s="52">
        <f t="shared" si="29"/>
        <v>2226441.0890781255</v>
      </c>
      <c r="AE26" s="52">
        <f t="shared" si="29"/>
        <v>2313226.030989584</v>
      </c>
      <c r="AF26" s="52">
        <f t="shared" si="29"/>
        <v>2397211.4586458341</v>
      </c>
      <c r="AG26" s="52">
        <f t="shared" ref="AG26:BL26" si="30">AF26+AG25</f>
        <v>2483996.4005572926</v>
      </c>
      <c r="AH26" s="52">
        <f t="shared" si="30"/>
        <v>2567981.8282135427</v>
      </c>
      <c r="AI26" s="52">
        <f t="shared" si="30"/>
        <v>2643839.6338385427</v>
      </c>
      <c r="AJ26" s="52">
        <f t="shared" si="30"/>
        <v>2727644.4476718763</v>
      </c>
      <c r="AK26" s="52">
        <f t="shared" si="30"/>
        <v>2806211.4606406265</v>
      </c>
      <c r="AL26" s="52">
        <f t="shared" si="30"/>
        <v>2887397.3740416681</v>
      </c>
      <c r="AM26" s="52">
        <f t="shared" si="30"/>
        <v>2966054.6939218766</v>
      </c>
      <c r="AN26" s="52">
        <f t="shared" si="30"/>
        <v>3044441.0930677098</v>
      </c>
      <c r="AO26" s="52">
        <f t="shared" si="30"/>
        <v>3122827.492213543</v>
      </c>
      <c r="AP26" s="52">
        <f t="shared" si="30"/>
        <v>3198594.9909270848</v>
      </c>
      <c r="AQ26" s="52">
        <f t="shared" si="30"/>
        <v>3274181.8758177096</v>
      </c>
      <c r="AR26" s="52">
        <f t="shared" si="30"/>
        <v>3347330.4740989595</v>
      </c>
      <c r="AS26" s="52">
        <f t="shared" si="30"/>
        <v>3422736.7451666677</v>
      </c>
      <c r="AT26" s="52">
        <f t="shared" si="30"/>
        <v>3495524.1158020846</v>
      </c>
      <c r="AU26" s="52">
        <f t="shared" si="30"/>
        <v>3561267.5473437514</v>
      </c>
      <c r="AV26" s="52">
        <f t="shared" si="30"/>
        <v>3633874.3041562513</v>
      </c>
      <c r="AW26" s="52">
        <f t="shared" si="30"/>
        <v>3701604.4877500013</v>
      </c>
      <c r="AX26" s="52">
        <f t="shared" si="30"/>
        <v>3771592.3441302096</v>
      </c>
      <c r="AY26" s="52">
        <f t="shared" si="30"/>
        <v>3839232.2208125014</v>
      </c>
      <c r="AZ26" s="52">
        <f t="shared" si="30"/>
        <v>3906420.5629375014</v>
      </c>
      <c r="BA26" s="52">
        <f t="shared" si="30"/>
        <v>3973608.9050625013</v>
      </c>
      <c r="BB26" s="52">
        <f t="shared" si="30"/>
        <v>4038539.5744010429</v>
      </c>
      <c r="BC26" s="52">
        <f t="shared" si="30"/>
        <v>4102928.4022708344</v>
      </c>
      <c r="BD26" s="52">
        <f t="shared" si="30"/>
        <v>4165240.1711770846</v>
      </c>
      <c r="BE26" s="52">
        <f t="shared" si="30"/>
        <v>4229448.3852239596</v>
      </c>
      <c r="BF26" s="52">
        <f t="shared" si="30"/>
        <v>4291037.6988385431</v>
      </c>
      <c r="BG26" s="52">
        <f t="shared" si="30"/>
        <v>4346666.7562968768</v>
      </c>
      <c r="BH26" s="52">
        <f t="shared" si="30"/>
        <v>4408075.4560885439</v>
      </c>
      <c r="BI26" s="52">
        <f t="shared" si="30"/>
        <v>4464968.8103072941</v>
      </c>
      <c r="BJ26" s="52">
        <f t="shared" si="30"/>
        <v>4523758.6096666688</v>
      </c>
      <c r="BK26" s="52">
        <f t="shared" si="30"/>
        <v>4580561.6569739608</v>
      </c>
      <c r="BL26" s="52">
        <f t="shared" si="30"/>
        <v>4636551.9420781275</v>
      </c>
      <c r="BM26" s="52">
        <f t="shared" ref="BM26:CQ26" si="31">BL26+BM25</f>
        <v>4692542.2271822942</v>
      </c>
      <c r="BN26" s="52">
        <f t="shared" si="31"/>
        <v>4746636.0671458356</v>
      </c>
      <c r="BO26" s="52">
        <f t="shared" si="31"/>
        <v>4799826.8379947944</v>
      </c>
      <c r="BP26" s="52">
        <f t="shared" si="31"/>
        <v>4851301.7775260443</v>
      </c>
      <c r="BQ26" s="52">
        <f t="shared" si="31"/>
        <v>4904311.9345520856</v>
      </c>
      <c r="BR26" s="52">
        <f t="shared" si="31"/>
        <v>4954703.1911458354</v>
      </c>
      <c r="BS26" s="52">
        <f t="shared" si="31"/>
        <v>5001843.3989270851</v>
      </c>
      <c r="BT26" s="52">
        <f t="shared" si="31"/>
        <v>5052054.0416979184</v>
      </c>
      <c r="BU26" s="52">
        <f t="shared" si="31"/>
        <v>5098110.566541668</v>
      </c>
      <c r="BV26" s="52">
        <f t="shared" si="31"/>
        <v>5145702.3088802099</v>
      </c>
      <c r="BW26" s="52">
        <f t="shared" si="31"/>
        <v>5191668.5268125013</v>
      </c>
      <c r="BX26" s="52">
        <f t="shared" si="31"/>
        <v>5236460.7548958343</v>
      </c>
      <c r="BY26" s="52">
        <f t="shared" si="31"/>
        <v>5281252.9829791673</v>
      </c>
      <c r="BZ26" s="52">
        <f t="shared" si="31"/>
        <v>5324509.9935677089</v>
      </c>
      <c r="CA26" s="52">
        <f t="shared" si="31"/>
        <v>5366502.7073958339</v>
      </c>
      <c r="CB26" s="52">
        <f t="shared" si="31"/>
        <v>5407140.8175520841</v>
      </c>
      <c r="CC26" s="52">
        <f t="shared" si="31"/>
        <v>5448952.9175572926</v>
      </c>
      <c r="CD26" s="52">
        <f t="shared" si="31"/>
        <v>5488146.1171302097</v>
      </c>
      <c r="CE26" s="52">
        <f t="shared" si="31"/>
        <v>5523546.4264218761</v>
      </c>
      <c r="CF26" s="52">
        <f t="shared" si="31"/>
        <v>5562559.0121718757</v>
      </c>
      <c r="CG26" s="52">
        <f t="shared" si="31"/>
        <v>5597778.7076406255</v>
      </c>
      <c r="CH26" s="52">
        <f t="shared" si="31"/>
        <v>5634172.3929583337</v>
      </c>
      <c r="CI26" s="52">
        <f t="shared" si="31"/>
        <v>5669301.7815156253</v>
      </c>
      <c r="CJ26" s="52">
        <f t="shared" si="31"/>
        <v>5702895.9525781255</v>
      </c>
      <c r="CK26" s="52">
        <f t="shared" si="31"/>
        <v>5736490.1236406257</v>
      </c>
      <c r="CL26" s="52">
        <f t="shared" si="31"/>
        <v>5768910.3048541676</v>
      </c>
      <c r="CM26" s="52">
        <f t="shared" si="31"/>
        <v>5799704.9616614589</v>
      </c>
      <c r="CN26" s="52">
        <f t="shared" si="31"/>
        <v>5829506.2424427094</v>
      </c>
      <c r="CO26" s="52">
        <f t="shared" si="31"/>
        <v>5860120.2854270842</v>
      </c>
      <c r="CP26" s="52">
        <f t="shared" si="31"/>
        <v>5888115.4279791676</v>
      </c>
      <c r="CQ26" s="52">
        <f t="shared" si="31"/>
        <v>5913401.3631875012</v>
      </c>
      <c r="CR26" s="52">
        <f t="shared" ref="CR26" si="32">CQ26+CR25</f>
        <v>5941215.891916668</v>
      </c>
      <c r="CS26" s="52">
        <f t="shared" ref="CS26" si="33">CR26+CS25</f>
        <v>5965598.7580104182</v>
      </c>
      <c r="CT26" s="52">
        <f t="shared" ref="CT26" si="34">CS26+CT25</f>
        <v>5990794.3863072935</v>
      </c>
      <c r="CU26" s="52">
        <f t="shared" ref="CU26" si="35">CT26+CU25</f>
        <v>6015086.9454895854</v>
      </c>
      <c r="CV26" s="52">
        <f t="shared" ref="CV26" si="36">CU26+CV25</f>
        <v>6037483.0595312519</v>
      </c>
      <c r="CW26" s="52">
        <f t="shared" ref="CW26" si="37">CV26+CW25</f>
        <v>6059879.1735729184</v>
      </c>
      <c r="CX26" s="52">
        <f t="shared" ref="CX26" si="38">CW26+CX25</f>
        <v>6081462.5254114596</v>
      </c>
      <c r="CY26" s="52">
        <f t="shared" ref="CY26" si="39">CX26+CY25</f>
        <v>6101059.1251979182</v>
      </c>
      <c r="CZ26" s="52">
        <f t="shared" ref="CZ26" si="40">CY26+CZ25</f>
        <v>6120023.5766041679</v>
      </c>
      <c r="DA26" s="52">
        <f t="shared" ref="DA26" si="41">CZ26+DA25</f>
        <v>6139439.5625677099</v>
      </c>
      <c r="DB26" s="52">
        <f t="shared" ref="DB26" si="42">DA26+DB25</f>
        <v>6156236.6480989596</v>
      </c>
      <c r="DC26" s="52">
        <f t="shared" ref="DC26" si="43">DB26+DC25</f>
        <v>6171408.2092239596</v>
      </c>
      <c r="DD26" s="52">
        <f t="shared" ref="DD26" si="44">DC26+DD25</f>
        <v>6188024.6809322927</v>
      </c>
      <c r="DE26" s="52">
        <f t="shared" ref="DE26" si="45">DD26+DE25</f>
        <v>6201570.7176510431</v>
      </c>
      <c r="DF26" s="52">
        <f t="shared" ref="DF26" si="46">DE26+DF25</f>
        <v>6215568.2889270848</v>
      </c>
      <c r="DG26" s="52">
        <f t="shared" ref="DG26" si="47">DF26+DG25</f>
        <v>6229024.0187343769</v>
      </c>
      <c r="DH26" s="52">
        <f t="shared" ref="DH26" si="48">DG26+DH25</f>
        <v>6240222.0757552106</v>
      </c>
      <c r="DI26" s="52">
        <f t="shared" ref="DI26" si="49">DH26+DI25</f>
        <v>6251420.1327760443</v>
      </c>
      <c r="DJ26" s="52">
        <f t="shared" ref="DJ26" si="50">DI26+DJ25</f>
        <v>6262166.6552395858</v>
      </c>
      <c r="DK26" s="52">
        <f t="shared" ref="DK26" si="51">DJ26+DK25</f>
        <v>6270565.1980052106</v>
      </c>
      <c r="DL26" s="52">
        <f t="shared" ref="DL26" si="52">DK26+DL25</f>
        <v>6278692.8200364606</v>
      </c>
      <c r="DM26" s="52">
        <f t="shared" ref="DM26" si="53">DL26+DM25</f>
        <v>6286910.7489791689</v>
      </c>
      <c r="DN26" s="52">
        <f t="shared" ref="DN26" si="54">DM26+DN25</f>
        <v>6292509.7774895858</v>
      </c>
      <c r="DO26" s="52">
        <f t="shared" ref="DO26" si="55">DN26+DO25</f>
        <v>6297747.5783541687</v>
      </c>
      <c r="DP26" s="52">
        <f t="shared" ref="DP26" si="56">DO26+DP25</f>
        <v>6303165.993041669</v>
      </c>
      <c r="DQ26" s="52">
        <f t="shared" ref="DQ26" si="57">DP26+DQ25</f>
        <v>6305875.2003854187</v>
      </c>
      <c r="DR26" s="52">
        <f t="shared" ref="DR26" si="58">DQ26+DR25</f>
        <v>6308674.7146406267</v>
      </c>
      <c r="DS26" s="52">
        <f t="shared" ref="DS26" si="59">DR26+DS25</f>
        <v>6311293.6150729181</v>
      </c>
    </row>
    <row r="27" spans="1:123" s="59" customFormat="1" x14ac:dyDescent="0.25">
      <c r="A27" s="25" t="s">
        <v>8</v>
      </c>
      <c r="B27" s="28">
        <v>0</v>
      </c>
      <c r="C27" s="28">
        <v>0</v>
      </c>
      <c r="D27" s="28">
        <v>0</v>
      </c>
      <c r="E27" s="28">
        <v>0</v>
      </c>
      <c r="F27" s="28">
        <v>0</v>
      </c>
      <c r="G27" s="28">
        <f>Hydron_Loan!D34</f>
        <v>0</v>
      </c>
      <c r="H27" s="28">
        <v>0</v>
      </c>
      <c r="I27" s="28">
        <v>0</v>
      </c>
      <c r="J27" s="28">
        <v>0</v>
      </c>
      <c r="K27" s="28">
        <v>0</v>
      </c>
      <c r="L27" s="28">
        <f>Hydron_Loan!E34</f>
        <v>0</v>
      </c>
      <c r="M27" s="28">
        <v>0</v>
      </c>
      <c r="N27" s="28">
        <v>0</v>
      </c>
      <c r="O27" s="28">
        <f>Hydron_Loan!F34</f>
        <v>0</v>
      </c>
      <c r="P27" s="28">
        <v>0</v>
      </c>
      <c r="Q27" s="28">
        <v>0</v>
      </c>
      <c r="R27" s="28">
        <f>Hydron_Loan!G34</f>
        <v>0</v>
      </c>
      <c r="S27" s="28">
        <v>0</v>
      </c>
      <c r="T27" s="28">
        <v>0</v>
      </c>
      <c r="U27" s="28">
        <f>Hydron_Loan!H34</f>
        <v>0</v>
      </c>
      <c r="V27" s="28">
        <v>0</v>
      </c>
      <c r="W27" s="28">
        <v>0</v>
      </c>
      <c r="X27" s="28">
        <f>Hydron_Loan!I34</f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f>Hydron_Loan!J34</f>
        <v>541841.46875</v>
      </c>
      <c r="AE27" s="28">
        <v>0</v>
      </c>
      <c r="AF27" s="28">
        <v>0</v>
      </c>
      <c r="AG27" s="28">
        <f>Hydron_Loan!K34</f>
        <v>541841.46875</v>
      </c>
      <c r="AH27" s="28">
        <v>0</v>
      </c>
      <c r="AI27" s="28">
        <v>0</v>
      </c>
      <c r="AJ27" s="28">
        <f>Hydron_Loan!L34</f>
        <v>541841.46875</v>
      </c>
      <c r="AK27" s="28">
        <v>0</v>
      </c>
      <c r="AL27" s="28">
        <v>0</v>
      </c>
      <c r="AM27" s="28">
        <f>Hydron_Loan!M34</f>
        <v>541841.46875</v>
      </c>
      <c r="AN27" s="28">
        <v>0</v>
      </c>
      <c r="AO27" s="28">
        <v>0</v>
      </c>
      <c r="AP27" s="28">
        <f>Hydron_Loan!N34</f>
        <v>541841.46875</v>
      </c>
      <c r="AQ27" s="28">
        <v>0</v>
      </c>
      <c r="AR27" s="28">
        <v>0</v>
      </c>
      <c r="AS27" s="28">
        <f>Hydron_Loan!O34</f>
        <v>541841.46875</v>
      </c>
      <c r="AT27" s="28">
        <v>0</v>
      </c>
      <c r="AU27" s="28">
        <v>0</v>
      </c>
      <c r="AV27" s="28">
        <f>Hydron_Loan!P34</f>
        <v>541841.46875</v>
      </c>
      <c r="AW27" s="28">
        <v>0</v>
      </c>
      <c r="AX27" s="28">
        <v>0</v>
      </c>
      <c r="AY27" s="28">
        <f>Hydron_Loan!Q34</f>
        <v>541841.46875</v>
      </c>
      <c r="AZ27" s="28">
        <v>0</v>
      </c>
      <c r="BA27" s="28">
        <v>0</v>
      </c>
      <c r="BB27" s="28">
        <f>Hydron_Loan!R34</f>
        <v>541841.46875</v>
      </c>
      <c r="BC27" s="28">
        <v>0</v>
      </c>
      <c r="BD27" s="28">
        <v>0</v>
      </c>
      <c r="BE27" s="28">
        <f>Hydron_Loan!S34</f>
        <v>541841.46875</v>
      </c>
      <c r="BF27" s="28">
        <v>0</v>
      </c>
      <c r="BG27" s="28">
        <v>0</v>
      </c>
      <c r="BH27" s="28">
        <f>Hydron_Loan!T34</f>
        <v>541841.46875</v>
      </c>
      <c r="BI27" s="28">
        <v>0</v>
      </c>
      <c r="BJ27" s="28">
        <v>0</v>
      </c>
      <c r="BK27" s="28">
        <f>Hydron_Loan!U34</f>
        <v>541841.46875</v>
      </c>
      <c r="BL27" s="28">
        <v>0</v>
      </c>
      <c r="BM27" s="28">
        <v>0</v>
      </c>
      <c r="BN27" s="28">
        <f>Hydron_Loan!V34</f>
        <v>541841.46875</v>
      </c>
      <c r="BO27" s="28">
        <v>0</v>
      </c>
      <c r="BP27" s="28">
        <v>0</v>
      </c>
      <c r="BQ27" s="28">
        <f>Hydron_Loan!W34</f>
        <v>541841.46875</v>
      </c>
      <c r="BR27" s="28">
        <v>0</v>
      </c>
      <c r="BS27" s="28">
        <v>0</v>
      </c>
      <c r="BT27" s="28">
        <f>Hydron_Loan!X34</f>
        <v>541841.46875</v>
      </c>
      <c r="BU27" s="28">
        <v>0</v>
      </c>
      <c r="BV27" s="28">
        <v>0</v>
      </c>
      <c r="BW27" s="28">
        <f>Hydron_Loan!Y34</f>
        <v>541841.46875</v>
      </c>
      <c r="BX27" s="28">
        <v>0</v>
      </c>
      <c r="BY27" s="28">
        <v>0</v>
      </c>
      <c r="BZ27" s="28">
        <f>Hydron_Loan!Z34</f>
        <v>541841.46875</v>
      </c>
      <c r="CA27" s="28">
        <v>0</v>
      </c>
      <c r="CB27" s="28">
        <v>0</v>
      </c>
      <c r="CC27" s="28">
        <f>Hydron_Loan!AA34</f>
        <v>541841.46875</v>
      </c>
      <c r="CD27" s="28">
        <v>0</v>
      </c>
      <c r="CE27" s="28">
        <v>0</v>
      </c>
      <c r="CF27" s="28">
        <f>Hydron_Loan!AB34</f>
        <v>541841.46875</v>
      </c>
      <c r="CG27" s="28">
        <v>0</v>
      </c>
      <c r="CH27" s="28">
        <v>0</v>
      </c>
      <c r="CI27" s="28">
        <f>Hydron_Loan!AC34</f>
        <v>541841.46875</v>
      </c>
      <c r="CJ27" s="28">
        <v>0</v>
      </c>
      <c r="CK27" s="28">
        <v>0</v>
      </c>
      <c r="CL27" s="28">
        <f>Hydron_Loan!AD34</f>
        <v>541841.46875</v>
      </c>
      <c r="CM27" s="28">
        <v>0</v>
      </c>
      <c r="CN27" s="28">
        <v>0</v>
      </c>
      <c r="CO27" s="28">
        <f>Hydron_Loan!AE34</f>
        <v>541841.46875</v>
      </c>
      <c r="CP27" s="28">
        <v>0</v>
      </c>
      <c r="CQ27" s="28">
        <v>0</v>
      </c>
      <c r="CR27" s="28">
        <f>Hydron_Loan!AF34</f>
        <v>541841.46875</v>
      </c>
      <c r="CS27" s="28">
        <v>0</v>
      </c>
      <c r="CT27" s="28">
        <v>0</v>
      </c>
      <c r="CU27" s="28">
        <f>Hydron_Loan!AG34</f>
        <v>541841.46875</v>
      </c>
      <c r="CV27" s="28">
        <v>0</v>
      </c>
      <c r="CW27" s="28">
        <v>0</v>
      </c>
      <c r="CX27" s="28">
        <f>Hydron_Loan!AH34</f>
        <v>541841.46875</v>
      </c>
      <c r="CY27" s="28">
        <v>0</v>
      </c>
      <c r="CZ27" s="28">
        <v>0</v>
      </c>
      <c r="DA27" s="28">
        <f>Hydron_Loan!AI34</f>
        <v>541841.46875</v>
      </c>
      <c r="DB27" s="28">
        <v>0</v>
      </c>
      <c r="DC27" s="28">
        <v>0</v>
      </c>
      <c r="DD27" s="28">
        <f>Hydron_Loan!AJ34</f>
        <v>541841.46875</v>
      </c>
      <c r="DE27" s="28">
        <v>0</v>
      </c>
      <c r="DF27" s="28">
        <v>0</v>
      </c>
      <c r="DG27" s="28">
        <f>Hydron_Loan!AK34</f>
        <v>541841.46875</v>
      </c>
      <c r="DH27" s="28">
        <v>0</v>
      </c>
      <c r="DI27" s="28">
        <v>0</v>
      </c>
      <c r="DJ27" s="28">
        <f>Hydron_Loan!AL34</f>
        <v>541841.46875</v>
      </c>
      <c r="DK27" s="28">
        <v>0</v>
      </c>
      <c r="DL27" s="28">
        <v>0</v>
      </c>
      <c r="DM27" s="28">
        <f>Hydron_Loan!AM34</f>
        <v>541841.46875</v>
      </c>
      <c r="DN27" s="28">
        <v>0</v>
      </c>
      <c r="DO27" s="28">
        <v>0</v>
      </c>
      <c r="DP27" s="28">
        <f>Hydron_Loan!AN34</f>
        <v>541841.46875</v>
      </c>
      <c r="DQ27" s="59">
        <v>0</v>
      </c>
      <c r="DR27" s="59">
        <v>0</v>
      </c>
      <c r="DS27" s="28">
        <f>Hydron_Loan!AO34</f>
        <v>541841.46875</v>
      </c>
    </row>
    <row r="28" spans="1:123" s="59" customFormat="1" x14ac:dyDescent="0.25">
      <c r="A28" s="25" t="s">
        <v>14</v>
      </c>
      <c r="B28" s="28">
        <f>B27</f>
        <v>0</v>
      </c>
      <c r="C28" s="28">
        <f t="shared" ref="C28:AB28" si="60">B28+C27</f>
        <v>0</v>
      </c>
      <c r="D28" s="28">
        <f t="shared" si="60"/>
        <v>0</v>
      </c>
      <c r="E28" s="28">
        <f t="shared" si="60"/>
        <v>0</v>
      </c>
      <c r="F28" s="28">
        <f t="shared" si="60"/>
        <v>0</v>
      </c>
      <c r="G28" s="28">
        <f t="shared" si="60"/>
        <v>0</v>
      </c>
      <c r="H28" s="28">
        <f t="shared" si="60"/>
        <v>0</v>
      </c>
      <c r="I28" s="28">
        <f t="shared" si="60"/>
        <v>0</v>
      </c>
      <c r="J28" s="28">
        <f t="shared" si="60"/>
        <v>0</v>
      </c>
      <c r="K28" s="28">
        <f t="shared" si="60"/>
        <v>0</v>
      </c>
      <c r="L28" s="28">
        <f t="shared" si="60"/>
        <v>0</v>
      </c>
      <c r="M28" s="28">
        <f t="shared" si="60"/>
        <v>0</v>
      </c>
      <c r="N28" s="28">
        <f t="shared" si="60"/>
        <v>0</v>
      </c>
      <c r="O28" s="28">
        <f t="shared" si="60"/>
        <v>0</v>
      </c>
      <c r="P28" s="28">
        <f t="shared" si="60"/>
        <v>0</v>
      </c>
      <c r="Q28" s="28">
        <f t="shared" si="60"/>
        <v>0</v>
      </c>
      <c r="R28" s="28">
        <f t="shared" si="60"/>
        <v>0</v>
      </c>
      <c r="S28" s="28">
        <f t="shared" si="60"/>
        <v>0</v>
      </c>
      <c r="T28" s="28">
        <f t="shared" si="60"/>
        <v>0</v>
      </c>
      <c r="U28" s="28">
        <f t="shared" si="60"/>
        <v>0</v>
      </c>
      <c r="V28" s="28">
        <f t="shared" si="60"/>
        <v>0</v>
      </c>
      <c r="W28" s="28">
        <f t="shared" si="60"/>
        <v>0</v>
      </c>
      <c r="X28" s="28">
        <f t="shared" si="60"/>
        <v>0</v>
      </c>
      <c r="Y28" s="28">
        <f t="shared" si="60"/>
        <v>0</v>
      </c>
      <c r="Z28" s="28">
        <f t="shared" si="60"/>
        <v>0</v>
      </c>
      <c r="AA28" s="28">
        <f t="shared" si="60"/>
        <v>0</v>
      </c>
      <c r="AB28" s="28">
        <f t="shared" si="60"/>
        <v>0</v>
      </c>
      <c r="AC28" s="28">
        <f t="shared" ref="AC28:BB28" si="61">AB28+AC27</f>
        <v>0</v>
      </c>
      <c r="AD28" s="28">
        <f t="shared" si="61"/>
        <v>541841.46875</v>
      </c>
      <c r="AE28" s="28">
        <f t="shared" si="61"/>
        <v>541841.46875</v>
      </c>
      <c r="AF28" s="28">
        <f t="shared" si="61"/>
        <v>541841.46875</v>
      </c>
      <c r="AG28" s="28">
        <f t="shared" si="61"/>
        <v>1083682.9375</v>
      </c>
      <c r="AH28" s="28">
        <f t="shared" si="61"/>
        <v>1083682.9375</v>
      </c>
      <c r="AI28" s="28">
        <f t="shared" si="61"/>
        <v>1083682.9375</v>
      </c>
      <c r="AJ28" s="28">
        <f t="shared" si="61"/>
        <v>1625524.40625</v>
      </c>
      <c r="AK28" s="28">
        <f t="shared" si="61"/>
        <v>1625524.40625</v>
      </c>
      <c r="AL28" s="28">
        <f t="shared" si="61"/>
        <v>1625524.40625</v>
      </c>
      <c r="AM28" s="28">
        <f t="shared" si="61"/>
        <v>2167365.875</v>
      </c>
      <c r="AN28" s="28">
        <f t="shared" si="61"/>
        <v>2167365.875</v>
      </c>
      <c r="AO28" s="28">
        <f t="shared" si="61"/>
        <v>2167365.875</v>
      </c>
      <c r="AP28" s="28">
        <f t="shared" si="61"/>
        <v>2709207.34375</v>
      </c>
      <c r="AQ28" s="28">
        <f t="shared" si="61"/>
        <v>2709207.34375</v>
      </c>
      <c r="AR28" s="28">
        <f t="shared" si="61"/>
        <v>2709207.34375</v>
      </c>
      <c r="AS28" s="28">
        <f t="shared" si="61"/>
        <v>3251048.8125</v>
      </c>
      <c r="AT28" s="28">
        <f t="shared" si="61"/>
        <v>3251048.8125</v>
      </c>
      <c r="AU28" s="28">
        <f t="shared" si="61"/>
        <v>3251048.8125</v>
      </c>
      <c r="AV28" s="28">
        <f t="shared" si="61"/>
        <v>3792890.28125</v>
      </c>
      <c r="AW28" s="28">
        <f t="shared" si="61"/>
        <v>3792890.28125</v>
      </c>
      <c r="AX28" s="28">
        <f t="shared" si="61"/>
        <v>3792890.28125</v>
      </c>
      <c r="AY28" s="28">
        <f t="shared" si="61"/>
        <v>4334731.75</v>
      </c>
      <c r="AZ28" s="28">
        <f t="shared" si="61"/>
        <v>4334731.75</v>
      </c>
      <c r="BA28" s="28">
        <f t="shared" si="61"/>
        <v>4334731.75</v>
      </c>
      <c r="BB28" s="28">
        <f t="shared" si="61"/>
        <v>4876573.21875</v>
      </c>
      <c r="BC28" s="28">
        <f t="shared" ref="BC28:BQ28" si="62">BB28+BC27</f>
        <v>4876573.21875</v>
      </c>
      <c r="BD28" s="28">
        <f t="shared" si="62"/>
        <v>4876573.21875</v>
      </c>
      <c r="BE28" s="28">
        <f t="shared" si="62"/>
        <v>5418414.6875</v>
      </c>
      <c r="BF28" s="28">
        <f t="shared" si="62"/>
        <v>5418414.6875</v>
      </c>
      <c r="BG28" s="28">
        <f t="shared" si="62"/>
        <v>5418414.6875</v>
      </c>
      <c r="BH28" s="28">
        <f t="shared" si="62"/>
        <v>5960256.15625</v>
      </c>
      <c r="BI28" s="28">
        <f t="shared" si="62"/>
        <v>5960256.15625</v>
      </c>
      <c r="BJ28" s="28">
        <f t="shared" si="62"/>
        <v>5960256.15625</v>
      </c>
      <c r="BK28" s="28">
        <f t="shared" si="62"/>
        <v>6502097.625</v>
      </c>
      <c r="BL28" s="28">
        <f t="shared" si="62"/>
        <v>6502097.625</v>
      </c>
      <c r="BM28" s="28">
        <f t="shared" si="62"/>
        <v>6502097.625</v>
      </c>
      <c r="BN28" s="28">
        <f t="shared" si="62"/>
        <v>7043939.09375</v>
      </c>
      <c r="BO28" s="28">
        <f t="shared" si="62"/>
        <v>7043939.09375</v>
      </c>
      <c r="BP28" s="28">
        <f t="shared" si="62"/>
        <v>7043939.09375</v>
      </c>
      <c r="BQ28" s="28">
        <f t="shared" si="62"/>
        <v>7585780.5625</v>
      </c>
      <c r="BR28" s="28">
        <f>BQ28+BR27</f>
        <v>7585780.5625</v>
      </c>
      <c r="BS28" s="28">
        <f t="shared" ref="BS28:CD28" si="63">BR28+BS27</f>
        <v>7585780.5625</v>
      </c>
      <c r="BT28" s="28">
        <f t="shared" si="63"/>
        <v>8127622.03125</v>
      </c>
      <c r="BU28" s="28">
        <f t="shared" si="63"/>
        <v>8127622.03125</v>
      </c>
      <c r="BV28" s="28">
        <f t="shared" si="63"/>
        <v>8127622.03125</v>
      </c>
      <c r="BW28" s="28">
        <f t="shared" si="63"/>
        <v>8669463.5</v>
      </c>
      <c r="BX28" s="28">
        <f t="shared" si="63"/>
        <v>8669463.5</v>
      </c>
      <c r="BY28" s="28">
        <f t="shared" si="63"/>
        <v>8669463.5</v>
      </c>
      <c r="BZ28" s="28">
        <f t="shared" si="63"/>
        <v>9211304.96875</v>
      </c>
      <c r="CA28" s="28">
        <f t="shared" si="63"/>
        <v>9211304.96875</v>
      </c>
      <c r="CB28" s="28">
        <f t="shared" si="63"/>
        <v>9211304.96875</v>
      </c>
      <c r="CC28" s="28">
        <f t="shared" si="63"/>
        <v>9753146.4375</v>
      </c>
      <c r="CD28" s="28">
        <f t="shared" si="63"/>
        <v>9753146.4375</v>
      </c>
      <c r="CE28" s="28">
        <f t="shared" ref="CE28:CO28" si="64">CD28+CE27</f>
        <v>9753146.4375</v>
      </c>
      <c r="CF28" s="28">
        <f t="shared" si="64"/>
        <v>10294987.90625</v>
      </c>
      <c r="CG28" s="28">
        <f t="shared" si="64"/>
        <v>10294987.90625</v>
      </c>
      <c r="CH28" s="28">
        <f t="shared" si="64"/>
        <v>10294987.90625</v>
      </c>
      <c r="CI28" s="28">
        <f t="shared" si="64"/>
        <v>10836829.375</v>
      </c>
      <c r="CJ28" s="28">
        <f t="shared" si="64"/>
        <v>10836829.375</v>
      </c>
      <c r="CK28" s="28">
        <f t="shared" si="64"/>
        <v>10836829.375</v>
      </c>
      <c r="CL28" s="28">
        <f t="shared" si="64"/>
        <v>11378670.84375</v>
      </c>
      <c r="CM28" s="28">
        <f t="shared" si="64"/>
        <v>11378670.84375</v>
      </c>
      <c r="CN28" s="28">
        <f t="shared" si="64"/>
        <v>11378670.84375</v>
      </c>
      <c r="CO28" s="28">
        <f t="shared" si="64"/>
        <v>11920512.3125</v>
      </c>
      <c r="CP28" s="28">
        <f>CO28+CP27</f>
        <v>11920512.3125</v>
      </c>
      <c r="CQ28" s="28">
        <f>CP28+CQ27</f>
        <v>11920512.3125</v>
      </c>
      <c r="CR28" s="28">
        <f t="shared" ref="CR28:CT28" si="65">CQ28+CR27</f>
        <v>12462353.78125</v>
      </c>
      <c r="CS28" s="28">
        <f t="shared" si="65"/>
        <v>12462353.78125</v>
      </c>
      <c r="CT28" s="28">
        <f t="shared" si="65"/>
        <v>12462353.78125</v>
      </c>
      <c r="CU28" s="28">
        <f t="shared" ref="CU28:CW28" si="66">CT28+CU27</f>
        <v>13004195.25</v>
      </c>
      <c r="CV28" s="28">
        <f t="shared" si="66"/>
        <v>13004195.25</v>
      </c>
      <c r="CW28" s="28">
        <f t="shared" si="66"/>
        <v>13004195.25</v>
      </c>
      <c r="CX28" s="28">
        <f t="shared" ref="CX28:CZ28" si="67">CW28+CX27</f>
        <v>13546036.71875</v>
      </c>
      <c r="CY28" s="28">
        <f t="shared" si="67"/>
        <v>13546036.71875</v>
      </c>
      <c r="CZ28" s="28">
        <f t="shared" si="67"/>
        <v>13546036.71875</v>
      </c>
      <c r="DA28" s="28">
        <f t="shared" ref="DA28:DC28" si="68">CZ28+DA27</f>
        <v>14087878.1875</v>
      </c>
      <c r="DB28" s="28">
        <f t="shared" si="68"/>
        <v>14087878.1875</v>
      </c>
      <c r="DC28" s="28">
        <f t="shared" si="68"/>
        <v>14087878.1875</v>
      </c>
      <c r="DD28" s="28">
        <f t="shared" ref="DD28:DF28" si="69">DC28+DD27</f>
        <v>14629719.65625</v>
      </c>
      <c r="DE28" s="28">
        <f t="shared" si="69"/>
        <v>14629719.65625</v>
      </c>
      <c r="DF28" s="28">
        <f t="shared" si="69"/>
        <v>14629719.65625</v>
      </c>
      <c r="DG28" s="28">
        <f t="shared" ref="DG28:DI28" si="70">DF28+DG27</f>
        <v>15171561.125</v>
      </c>
      <c r="DH28" s="28">
        <f t="shared" si="70"/>
        <v>15171561.125</v>
      </c>
      <c r="DI28" s="28">
        <f t="shared" si="70"/>
        <v>15171561.125</v>
      </c>
      <c r="DJ28" s="28">
        <f t="shared" ref="DJ28:DL28" si="71">DI28+DJ27</f>
        <v>15713402.59375</v>
      </c>
      <c r="DK28" s="28">
        <f t="shared" si="71"/>
        <v>15713402.59375</v>
      </c>
      <c r="DL28" s="28">
        <f t="shared" si="71"/>
        <v>15713402.59375</v>
      </c>
      <c r="DM28" s="28">
        <f t="shared" ref="DM28:DO28" si="72">DL28+DM27</f>
        <v>16255244.0625</v>
      </c>
      <c r="DN28" s="28">
        <f t="shared" si="72"/>
        <v>16255244.0625</v>
      </c>
      <c r="DO28" s="28">
        <f t="shared" si="72"/>
        <v>16255244.0625</v>
      </c>
      <c r="DP28" s="28">
        <f t="shared" ref="DP28" si="73">DO28+DP27</f>
        <v>16797085.53125</v>
      </c>
      <c r="DQ28" s="28">
        <f t="shared" ref="DQ28" si="74">DP28+DQ27</f>
        <v>16797085.53125</v>
      </c>
      <c r="DR28" s="28">
        <f t="shared" ref="DR28" si="75">DQ28+DR27</f>
        <v>16797085.53125</v>
      </c>
      <c r="DS28" s="28">
        <f t="shared" ref="DS28" si="76">DR28+DS27</f>
        <v>17338927</v>
      </c>
    </row>
    <row r="29" spans="1:123" s="59" customFormat="1" x14ac:dyDescent="0.25">
      <c r="A29" s="25" t="s">
        <v>9</v>
      </c>
      <c r="B29" s="35">
        <f t="shared" ref="B29:BK29" si="77">B27+B25</f>
        <v>0</v>
      </c>
      <c r="C29" s="35">
        <f>C27+C25</f>
        <v>0</v>
      </c>
      <c r="D29" s="35">
        <f t="shared" si="77"/>
        <v>42167.337500000001</v>
      </c>
      <c r="E29" s="35">
        <f t="shared" si="77"/>
        <v>52287.498500000002</v>
      </c>
      <c r="F29" s="35">
        <f t="shared" si="77"/>
        <v>50600.805</v>
      </c>
      <c r="G29" s="35">
        <f t="shared" si="77"/>
        <v>71562.83249999999</v>
      </c>
      <c r="H29" s="35">
        <f>H27+H25</f>
        <v>75742.544999999998</v>
      </c>
      <c r="I29" s="35">
        <f t="shared" si="77"/>
        <v>87394.038166666665</v>
      </c>
      <c r="J29" s="35">
        <f t="shared" si="77"/>
        <v>89584.45616666667</v>
      </c>
      <c r="K29" s="35">
        <f t="shared" si="77"/>
        <v>80914.992666666658</v>
      </c>
      <c r="L29" s="35">
        <f t="shared" si="77"/>
        <v>89584.45616666667</v>
      </c>
      <c r="M29" s="35">
        <f t="shared" si="77"/>
        <v>86694.634999999995</v>
      </c>
      <c r="N29" s="35">
        <f t="shared" si="77"/>
        <v>89584.45616666667</v>
      </c>
      <c r="O29" s="35">
        <f t="shared" si="77"/>
        <v>86694.634999999995</v>
      </c>
      <c r="P29" s="35">
        <f t="shared" si="77"/>
        <v>89584.45616666667</v>
      </c>
      <c r="Q29" s="35">
        <f t="shared" si="77"/>
        <v>89584.45616666667</v>
      </c>
      <c r="R29" s="35">
        <f t="shared" si="77"/>
        <v>86694.634999999995</v>
      </c>
      <c r="S29" s="35">
        <f t="shared" si="77"/>
        <v>89584.45616666667</v>
      </c>
      <c r="T29" s="35">
        <f t="shared" si="77"/>
        <v>86694.634999999995</v>
      </c>
      <c r="U29" s="35">
        <f t="shared" si="77"/>
        <v>89584.45616666667</v>
      </c>
      <c r="V29" s="35">
        <f t="shared" si="77"/>
        <v>89584.45616666667</v>
      </c>
      <c r="W29" s="35">
        <f t="shared" si="77"/>
        <v>83804.813833333334</v>
      </c>
      <c r="X29" s="35">
        <f t="shared" si="77"/>
        <v>89584.45616666667</v>
      </c>
      <c r="Y29" s="35">
        <f t="shared" si="77"/>
        <v>86694.634999999995</v>
      </c>
      <c r="Z29" s="35">
        <f t="shared" si="77"/>
        <v>89584.45616666667</v>
      </c>
      <c r="AA29" s="35">
        <f t="shared" si="77"/>
        <v>86694.634999999995</v>
      </c>
      <c r="AB29" s="35">
        <f t="shared" si="77"/>
        <v>89584.45616666667</v>
      </c>
      <c r="AC29" s="35">
        <f t="shared" si="77"/>
        <v>89584.45616666667</v>
      </c>
      <c r="AD29" s="35">
        <f t="shared" si="77"/>
        <v>628626.41066145839</v>
      </c>
      <c r="AE29" s="35">
        <f t="shared" si="77"/>
        <v>86784.941911458329</v>
      </c>
      <c r="AF29" s="35">
        <f t="shared" si="77"/>
        <v>83985.427656249987</v>
      </c>
      <c r="AG29" s="35">
        <f t="shared" si="77"/>
        <v>628626.41066145827</v>
      </c>
      <c r="AH29" s="35">
        <f t="shared" si="77"/>
        <v>83985.427656249987</v>
      </c>
      <c r="AI29" s="35">
        <f t="shared" si="77"/>
        <v>75857.805624999994</v>
      </c>
      <c r="AJ29" s="35">
        <f t="shared" si="77"/>
        <v>625646.28258333332</v>
      </c>
      <c r="AK29" s="35">
        <f t="shared" si="77"/>
        <v>78567.012968750001</v>
      </c>
      <c r="AL29" s="35">
        <f t="shared" si="77"/>
        <v>81185.91340104166</v>
      </c>
      <c r="AM29" s="35">
        <f t="shared" si="77"/>
        <v>620498.78863020835</v>
      </c>
      <c r="AN29" s="35">
        <f t="shared" si="77"/>
        <v>78386.399145833333</v>
      </c>
      <c r="AO29" s="35">
        <f t="shared" si="77"/>
        <v>78386.399145833333</v>
      </c>
      <c r="AP29" s="35">
        <f t="shared" si="77"/>
        <v>617608.96746354166</v>
      </c>
      <c r="AQ29" s="35">
        <f t="shared" si="77"/>
        <v>75586.884890624991</v>
      </c>
      <c r="AR29" s="35">
        <f t="shared" si="77"/>
        <v>73148.598281250001</v>
      </c>
      <c r="AS29" s="35">
        <f t="shared" si="77"/>
        <v>617247.73981770827</v>
      </c>
      <c r="AT29" s="35">
        <f t="shared" si="77"/>
        <v>72787.370635416664</v>
      </c>
      <c r="AU29" s="35">
        <f t="shared" si="77"/>
        <v>65743.431541666665</v>
      </c>
      <c r="AV29" s="35">
        <f t="shared" si="77"/>
        <v>614448.22556249995</v>
      </c>
      <c r="AW29" s="35">
        <f t="shared" si="77"/>
        <v>67730.18359375</v>
      </c>
      <c r="AX29" s="35">
        <f t="shared" si="77"/>
        <v>69987.856380208337</v>
      </c>
      <c r="AY29" s="35">
        <f t="shared" si="77"/>
        <v>609481.34543229162</v>
      </c>
      <c r="AZ29" s="35">
        <f t="shared" si="77"/>
        <v>67188.342124999996</v>
      </c>
      <c r="BA29" s="35">
        <f t="shared" si="77"/>
        <v>67188.342124999996</v>
      </c>
      <c r="BB29" s="35">
        <f t="shared" si="77"/>
        <v>606772.13808854169</v>
      </c>
      <c r="BC29" s="35">
        <f t="shared" si="77"/>
        <v>64388.827869791661</v>
      </c>
      <c r="BD29" s="35">
        <f t="shared" si="77"/>
        <v>62311.768906249999</v>
      </c>
      <c r="BE29" s="35">
        <f t="shared" si="77"/>
        <v>606049.68279687501</v>
      </c>
      <c r="BF29" s="35">
        <f t="shared" si="77"/>
        <v>61589.313614583327</v>
      </c>
      <c r="BG29" s="35">
        <f t="shared" si="77"/>
        <v>55629.057458333329</v>
      </c>
      <c r="BH29" s="35">
        <f t="shared" si="77"/>
        <v>603250.1685416667</v>
      </c>
      <c r="BI29" s="35">
        <f t="shared" si="77"/>
        <v>56893.354218749999</v>
      </c>
      <c r="BJ29" s="35">
        <f t="shared" si="77"/>
        <v>58789.799359375</v>
      </c>
      <c r="BK29" s="35">
        <f t="shared" si="77"/>
        <v>598644.51605729165</v>
      </c>
      <c r="BL29" s="35">
        <f t="shared" ref="BL29:CQ29" si="78">BL27+BL25</f>
        <v>55990.285104166665</v>
      </c>
      <c r="BM29" s="35">
        <f t="shared" si="78"/>
        <v>55990.285104166665</v>
      </c>
      <c r="BN29" s="35">
        <f t="shared" si="78"/>
        <v>595935.30871354172</v>
      </c>
      <c r="BO29" s="35">
        <f t="shared" si="78"/>
        <v>53190.770848958331</v>
      </c>
      <c r="BP29" s="35">
        <f t="shared" si="78"/>
        <v>51474.939531249998</v>
      </c>
      <c r="BQ29" s="35">
        <f t="shared" si="78"/>
        <v>594851.62577604165</v>
      </c>
      <c r="BR29" s="35">
        <f t="shared" si="78"/>
        <v>50391.256593750004</v>
      </c>
      <c r="BS29" s="35">
        <f t="shared" si="78"/>
        <v>47140.207781249999</v>
      </c>
      <c r="BT29" s="35">
        <f t="shared" si="78"/>
        <v>592052.11152083334</v>
      </c>
      <c r="BU29" s="35">
        <f t="shared" si="78"/>
        <v>46056.524843749998</v>
      </c>
      <c r="BV29" s="35">
        <f t="shared" si="78"/>
        <v>47591.74233854167</v>
      </c>
      <c r="BW29" s="35">
        <f t="shared" si="78"/>
        <v>587807.68668229168</v>
      </c>
      <c r="BX29" s="35">
        <f t="shared" si="78"/>
        <v>44792.228083333335</v>
      </c>
      <c r="BY29" s="35">
        <f t="shared" si="78"/>
        <v>44792.228083333335</v>
      </c>
      <c r="BZ29" s="35">
        <f t="shared" si="78"/>
        <v>585098.47933854163</v>
      </c>
      <c r="CA29" s="35">
        <f t="shared" si="78"/>
        <v>41992.713828124994</v>
      </c>
      <c r="CB29" s="35">
        <f t="shared" si="78"/>
        <v>40638.110156249997</v>
      </c>
      <c r="CC29" s="35">
        <f t="shared" si="78"/>
        <v>583653.56875520828</v>
      </c>
      <c r="CD29" s="35">
        <f t="shared" si="78"/>
        <v>39193.199572916667</v>
      </c>
      <c r="CE29" s="35">
        <f t="shared" si="78"/>
        <v>35400.309291666665</v>
      </c>
      <c r="CF29" s="35">
        <f t="shared" si="78"/>
        <v>580854.05449999997</v>
      </c>
      <c r="CG29" s="35">
        <f t="shared" si="78"/>
        <v>35219.695468750004</v>
      </c>
      <c r="CH29" s="35">
        <f t="shared" si="78"/>
        <v>36393.685317708332</v>
      </c>
      <c r="CI29" s="35">
        <f t="shared" si="78"/>
        <v>576970.85730729171</v>
      </c>
      <c r="CJ29" s="35">
        <f t="shared" si="78"/>
        <v>33594.171062499998</v>
      </c>
      <c r="CK29" s="35">
        <f t="shared" si="78"/>
        <v>33594.171062499998</v>
      </c>
      <c r="CL29" s="35">
        <f t="shared" si="78"/>
        <v>574261.64996354165</v>
      </c>
      <c r="CM29" s="35">
        <f t="shared" si="78"/>
        <v>30794.656807291663</v>
      </c>
      <c r="CN29" s="35">
        <f t="shared" si="78"/>
        <v>29801.280781249996</v>
      </c>
      <c r="CO29" s="35">
        <f t="shared" si="78"/>
        <v>572455.51173437503</v>
      </c>
      <c r="CP29" s="35">
        <f t="shared" si="78"/>
        <v>27995.142552083333</v>
      </c>
      <c r="CQ29" s="35">
        <f t="shared" si="78"/>
        <v>25285.935208333329</v>
      </c>
      <c r="CR29" s="35">
        <f t="shared" ref="CR29:DS29" si="79">CR27+CR25</f>
        <v>569655.99747916672</v>
      </c>
      <c r="CS29" s="35">
        <f t="shared" si="79"/>
        <v>24382.866093749999</v>
      </c>
      <c r="CT29" s="35">
        <f t="shared" si="79"/>
        <v>25195.628296875002</v>
      </c>
      <c r="CU29" s="35">
        <f t="shared" si="79"/>
        <v>566134.02793229162</v>
      </c>
      <c r="CV29" s="35">
        <f t="shared" si="79"/>
        <v>22396.114041666668</v>
      </c>
      <c r="CW29" s="35">
        <f t="shared" si="79"/>
        <v>22396.114041666668</v>
      </c>
      <c r="CX29" s="35">
        <f t="shared" si="79"/>
        <v>563424.82058854168</v>
      </c>
      <c r="CY29" s="35">
        <f t="shared" si="79"/>
        <v>19596.599786458333</v>
      </c>
      <c r="CZ29" s="35">
        <f t="shared" si="79"/>
        <v>18964.451406249998</v>
      </c>
      <c r="DA29" s="35">
        <f t="shared" si="79"/>
        <v>561257.45471354167</v>
      </c>
      <c r="DB29" s="35">
        <f t="shared" si="79"/>
        <v>16797.085531249999</v>
      </c>
      <c r="DC29" s="35">
        <f t="shared" si="79"/>
        <v>15171.561125</v>
      </c>
      <c r="DD29" s="35">
        <f t="shared" si="79"/>
        <v>558457.94045833335</v>
      </c>
      <c r="DE29" s="35">
        <f t="shared" si="79"/>
        <v>13546.03671875</v>
      </c>
      <c r="DF29" s="35">
        <f t="shared" si="79"/>
        <v>13997.571276041666</v>
      </c>
      <c r="DG29" s="35">
        <f t="shared" si="79"/>
        <v>555297.19855729165</v>
      </c>
      <c r="DH29" s="35">
        <f t="shared" si="79"/>
        <v>11198.057020833334</v>
      </c>
      <c r="DI29" s="35">
        <f t="shared" si="79"/>
        <v>11198.057020833334</v>
      </c>
      <c r="DJ29" s="35">
        <f t="shared" si="79"/>
        <v>552587.99121354171</v>
      </c>
      <c r="DK29" s="35">
        <f t="shared" si="79"/>
        <v>8398.5427656249994</v>
      </c>
      <c r="DL29" s="35">
        <f t="shared" si="79"/>
        <v>8127.62203125</v>
      </c>
      <c r="DM29" s="35">
        <f t="shared" si="79"/>
        <v>550059.3976927083</v>
      </c>
      <c r="DN29" s="35">
        <f t="shared" si="79"/>
        <v>5599.0285104166669</v>
      </c>
      <c r="DO29" s="35">
        <f t="shared" si="79"/>
        <v>5237.8008645833334</v>
      </c>
      <c r="DP29" s="35">
        <f t="shared" si="79"/>
        <v>547259.88343749999</v>
      </c>
      <c r="DQ29" s="35">
        <f t="shared" si="79"/>
        <v>2709.2073437499998</v>
      </c>
      <c r="DR29" s="35">
        <f t="shared" si="79"/>
        <v>2799.5142552083335</v>
      </c>
      <c r="DS29" s="35">
        <f t="shared" si="79"/>
        <v>544460.36918229167</v>
      </c>
    </row>
    <row r="30" spans="1:123" s="59" customFormat="1" ht="14.25" thickBot="1" x14ac:dyDescent="0.3">
      <c r="A30" s="36" t="s">
        <v>10</v>
      </c>
      <c r="B30" s="37">
        <f t="shared" ref="B30:BB30" si="80">B24-B27</f>
        <v>0</v>
      </c>
      <c r="C30" s="37">
        <f t="shared" si="80"/>
        <v>0</v>
      </c>
      <c r="D30" s="37">
        <f t="shared" si="80"/>
        <v>10120161</v>
      </c>
      <c r="E30" s="37">
        <f t="shared" si="80"/>
        <v>10120161</v>
      </c>
      <c r="F30" s="37">
        <f t="shared" si="80"/>
        <v>10120161</v>
      </c>
      <c r="G30" s="37">
        <f t="shared" si="80"/>
        <v>15148509</v>
      </c>
      <c r="H30" s="37">
        <f t="shared" si="80"/>
        <v>15148509</v>
      </c>
      <c r="I30" s="37">
        <f t="shared" si="80"/>
        <v>17338927</v>
      </c>
      <c r="J30" s="37">
        <f t="shared" si="80"/>
        <v>17338927</v>
      </c>
      <c r="K30" s="37">
        <f t="shared" si="80"/>
        <v>17338927</v>
      </c>
      <c r="L30" s="37">
        <f t="shared" si="80"/>
        <v>17338927</v>
      </c>
      <c r="M30" s="37">
        <f t="shared" si="80"/>
        <v>17338927</v>
      </c>
      <c r="N30" s="37">
        <f t="shared" si="80"/>
        <v>17338927</v>
      </c>
      <c r="O30" s="37">
        <f t="shared" si="80"/>
        <v>17338927</v>
      </c>
      <c r="P30" s="37">
        <f t="shared" si="80"/>
        <v>17338927</v>
      </c>
      <c r="Q30" s="37">
        <f t="shared" si="80"/>
        <v>17338927</v>
      </c>
      <c r="R30" s="37">
        <f t="shared" si="80"/>
        <v>17338927</v>
      </c>
      <c r="S30" s="37">
        <f t="shared" si="80"/>
        <v>17338927</v>
      </c>
      <c r="T30" s="37">
        <f t="shared" si="80"/>
        <v>17338927</v>
      </c>
      <c r="U30" s="37">
        <f t="shared" si="80"/>
        <v>17338927</v>
      </c>
      <c r="V30" s="37">
        <f t="shared" si="80"/>
        <v>17338927</v>
      </c>
      <c r="W30" s="37">
        <f t="shared" si="80"/>
        <v>17338927</v>
      </c>
      <c r="X30" s="37">
        <f t="shared" si="80"/>
        <v>17338927</v>
      </c>
      <c r="Y30" s="37">
        <f t="shared" si="80"/>
        <v>17338927</v>
      </c>
      <c r="Z30" s="37">
        <f t="shared" si="80"/>
        <v>17338927</v>
      </c>
      <c r="AA30" s="37">
        <f t="shared" si="80"/>
        <v>17338927</v>
      </c>
      <c r="AB30" s="37">
        <f t="shared" si="80"/>
        <v>17338927</v>
      </c>
      <c r="AC30" s="37">
        <f t="shared" si="80"/>
        <v>17338927</v>
      </c>
      <c r="AD30" s="37">
        <f t="shared" si="80"/>
        <v>16797085.53125</v>
      </c>
      <c r="AE30" s="37">
        <f t="shared" si="80"/>
        <v>16797085.53125</v>
      </c>
      <c r="AF30" s="37">
        <f t="shared" si="80"/>
        <v>16797085.53125</v>
      </c>
      <c r="AG30" s="37">
        <f t="shared" si="80"/>
        <v>16255244.0625</v>
      </c>
      <c r="AH30" s="37">
        <f t="shared" si="80"/>
        <v>16255244.0625</v>
      </c>
      <c r="AI30" s="37">
        <f t="shared" si="80"/>
        <v>16255244.0625</v>
      </c>
      <c r="AJ30" s="37">
        <f t="shared" si="80"/>
        <v>15713402.59375</v>
      </c>
      <c r="AK30" s="37">
        <f t="shared" si="80"/>
        <v>15713402.59375</v>
      </c>
      <c r="AL30" s="37">
        <f t="shared" si="80"/>
        <v>15713402.59375</v>
      </c>
      <c r="AM30" s="37">
        <f t="shared" si="80"/>
        <v>15171561.125</v>
      </c>
      <c r="AN30" s="37">
        <f t="shared" si="80"/>
        <v>15171561.125</v>
      </c>
      <c r="AO30" s="37">
        <f t="shared" si="80"/>
        <v>15171561.125</v>
      </c>
      <c r="AP30" s="37">
        <f t="shared" si="80"/>
        <v>14629719.65625</v>
      </c>
      <c r="AQ30" s="37">
        <f t="shared" si="80"/>
        <v>14629719.65625</v>
      </c>
      <c r="AR30" s="37">
        <f t="shared" si="80"/>
        <v>14629719.65625</v>
      </c>
      <c r="AS30" s="37">
        <f t="shared" si="80"/>
        <v>14087878.1875</v>
      </c>
      <c r="AT30" s="37">
        <f t="shared" si="80"/>
        <v>14087878.1875</v>
      </c>
      <c r="AU30" s="37">
        <f t="shared" si="80"/>
        <v>14087878.1875</v>
      </c>
      <c r="AV30" s="37">
        <f t="shared" si="80"/>
        <v>13546036.71875</v>
      </c>
      <c r="AW30" s="37">
        <f t="shared" si="80"/>
        <v>13546036.71875</v>
      </c>
      <c r="AX30" s="37">
        <f t="shared" si="80"/>
        <v>13546036.71875</v>
      </c>
      <c r="AY30" s="37">
        <f t="shared" si="80"/>
        <v>13004195.25</v>
      </c>
      <c r="AZ30" s="37">
        <f t="shared" si="80"/>
        <v>13004195.25</v>
      </c>
      <c r="BA30" s="37">
        <f t="shared" si="80"/>
        <v>13004195.25</v>
      </c>
      <c r="BB30" s="37">
        <f t="shared" si="80"/>
        <v>12462353.78125</v>
      </c>
      <c r="BC30" s="37">
        <f t="shared" ref="BC30:BQ30" si="81">BC24-BC27</f>
        <v>12462353.78125</v>
      </c>
      <c r="BD30" s="37">
        <f t="shared" si="81"/>
        <v>12462353.78125</v>
      </c>
      <c r="BE30" s="37">
        <f t="shared" si="81"/>
        <v>11920512.3125</v>
      </c>
      <c r="BF30" s="37">
        <f t="shared" si="81"/>
        <v>11920512.3125</v>
      </c>
      <c r="BG30" s="37">
        <f t="shared" si="81"/>
        <v>11920512.3125</v>
      </c>
      <c r="BH30" s="37">
        <f t="shared" si="81"/>
        <v>11378670.84375</v>
      </c>
      <c r="BI30" s="37">
        <f t="shared" si="81"/>
        <v>11378670.84375</v>
      </c>
      <c r="BJ30" s="37">
        <f t="shared" si="81"/>
        <v>11378670.84375</v>
      </c>
      <c r="BK30" s="37">
        <f t="shared" si="81"/>
        <v>10836829.375</v>
      </c>
      <c r="BL30" s="37">
        <f t="shared" si="81"/>
        <v>10836829.375</v>
      </c>
      <c r="BM30" s="37">
        <f t="shared" si="81"/>
        <v>10836829.375</v>
      </c>
      <c r="BN30" s="37">
        <f t="shared" si="81"/>
        <v>10294987.90625</v>
      </c>
      <c r="BO30" s="37">
        <f t="shared" si="81"/>
        <v>10294987.90625</v>
      </c>
      <c r="BP30" s="37">
        <f t="shared" si="81"/>
        <v>10294987.90625</v>
      </c>
      <c r="BQ30" s="37">
        <f t="shared" si="81"/>
        <v>9753146.4375</v>
      </c>
      <c r="BR30" s="37">
        <f>BR24-BR27</f>
        <v>9753146.4375</v>
      </c>
      <c r="BS30" s="37">
        <f t="shared" ref="BS30:CD30" si="82">BS24-BS27</f>
        <v>9753146.4375</v>
      </c>
      <c r="BT30" s="37">
        <f t="shared" si="82"/>
        <v>9211304.96875</v>
      </c>
      <c r="BU30" s="37">
        <f t="shared" si="82"/>
        <v>9211304.96875</v>
      </c>
      <c r="BV30" s="37">
        <f t="shared" si="82"/>
        <v>9211304.96875</v>
      </c>
      <c r="BW30" s="37">
        <f t="shared" si="82"/>
        <v>8669463.5</v>
      </c>
      <c r="BX30" s="37">
        <f t="shared" si="82"/>
        <v>8669463.5</v>
      </c>
      <c r="BY30" s="37">
        <f t="shared" si="82"/>
        <v>8669463.5</v>
      </c>
      <c r="BZ30" s="37">
        <f t="shared" si="82"/>
        <v>8127622.03125</v>
      </c>
      <c r="CA30" s="37">
        <f t="shared" si="82"/>
        <v>8127622.03125</v>
      </c>
      <c r="CB30" s="37">
        <f t="shared" si="82"/>
        <v>8127622.03125</v>
      </c>
      <c r="CC30" s="37">
        <f t="shared" si="82"/>
        <v>7585780.5625</v>
      </c>
      <c r="CD30" s="37">
        <f t="shared" si="82"/>
        <v>7585780.5625</v>
      </c>
      <c r="CE30" s="37">
        <f>CE24-CE27</f>
        <v>7585780.5625</v>
      </c>
      <c r="CF30" s="37">
        <f>CF24-CF27</f>
        <v>7043939.09375</v>
      </c>
      <c r="CG30" s="37">
        <f>CG24-CG27</f>
        <v>7043939.09375</v>
      </c>
      <c r="CH30" s="37">
        <f>CH24-CH27</f>
        <v>7043939.09375</v>
      </c>
      <c r="CI30" s="37">
        <f>CI24-CI27</f>
        <v>6502097.625</v>
      </c>
      <c r="CJ30" s="37">
        <f t="shared" ref="CJ30:CO30" si="83">CJ24-CJ27</f>
        <v>6502097.625</v>
      </c>
      <c r="CK30" s="37">
        <f t="shared" si="83"/>
        <v>6502097.625</v>
      </c>
      <c r="CL30" s="37">
        <f t="shared" si="83"/>
        <v>5960256.15625</v>
      </c>
      <c r="CM30" s="37">
        <f t="shared" si="83"/>
        <v>5960256.15625</v>
      </c>
      <c r="CN30" s="37">
        <f t="shared" si="83"/>
        <v>5960256.15625</v>
      </c>
      <c r="CO30" s="37">
        <f t="shared" si="83"/>
        <v>5418414.6875</v>
      </c>
      <c r="CP30" s="37">
        <f>CP24-CP27</f>
        <v>5418414.6875</v>
      </c>
      <c r="CQ30" s="37">
        <f>CQ24-CQ27</f>
        <v>5418414.6875</v>
      </c>
      <c r="CR30" s="37">
        <f t="shared" ref="CR30:DS30" si="84">CR24-CR27</f>
        <v>4876573.21875</v>
      </c>
      <c r="CS30" s="37">
        <f t="shared" si="84"/>
        <v>4876573.21875</v>
      </c>
      <c r="CT30" s="37">
        <f t="shared" si="84"/>
        <v>4876573.21875</v>
      </c>
      <c r="CU30" s="37">
        <f t="shared" si="84"/>
        <v>4334731.75</v>
      </c>
      <c r="CV30" s="37">
        <f t="shared" si="84"/>
        <v>4334731.75</v>
      </c>
      <c r="CW30" s="37">
        <f t="shared" si="84"/>
        <v>4334731.75</v>
      </c>
      <c r="CX30" s="37">
        <f t="shared" si="84"/>
        <v>3792890.28125</v>
      </c>
      <c r="CY30" s="37">
        <f t="shared" si="84"/>
        <v>3792890.28125</v>
      </c>
      <c r="CZ30" s="37">
        <f t="shared" si="84"/>
        <v>3792890.28125</v>
      </c>
      <c r="DA30" s="37">
        <f t="shared" si="84"/>
        <v>3251048.8125</v>
      </c>
      <c r="DB30" s="37">
        <f t="shared" si="84"/>
        <v>3251048.8125</v>
      </c>
      <c r="DC30" s="37">
        <f t="shared" si="84"/>
        <v>3251048.8125</v>
      </c>
      <c r="DD30" s="37">
        <f t="shared" si="84"/>
        <v>2709207.34375</v>
      </c>
      <c r="DE30" s="37">
        <f t="shared" si="84"/>
        <v>2709207.34375</v>
      </c>
      <c r="DF30" s="37">
        <f t="shared" si="84"/>
        <v>2709207.34375</v>
      </c>
      <c r="DG30" s="37">
        <f t="shared" si="84"/>
        <v>2167365.875</v>
      </c>
      <c r="DH30" s="37">
        <f t="shared" si="84"/>
        <v>2167365.875</v>
      </c>
      <c r="DI30" s="37">
        <f t="shared" si="84"/>
        <v>2167365.875</v>
      </c>
      <c r="DJ30" s="37">
        <f t="shared" si="84"/>
        <v>1625524.40625</v>
      </c>
      <c r="DK30" s="37">
        <f t="shared" si="84"/>
        <v>1625524.40625</v>
      </c>
      <c r="DL30" s="37">
        <f t="shared" si="84"/>
        <v>1625524.40625</v>
      </c>
      <c r="DM30" s="37">
        <f t="shared" si="84"/>
        <v>1083682.9375</v>
      </c>
      <c r="DN30" s="37">
        <f t="shared" si="84"/>
        <v>1083682.9375</v>
      </c>
      <c r="DO30" s="37">
        <f t="shared" si="84"/>
        <v>1083682.9375</v>
      </c>
      <c r="DP30" s="37">
        <f t="shared" si="84"/>
        <v>541841.46875</v>
      </c>
      <c r="DQ30" s="37">
        <f t="shared" si="84"/>
        <v>541841.46875</v>
      </c>
      <c r="DR30" s="37">
        <f t="shared" si="84"/>
        <v>541841.46875</v>
      </c>
      <c r="DS30" s="37">
        <f t="shared" si="84"/>
        <v>0</v>
      </c>
    </row>
    <row r="31" spans="1:123" s="59" customFormat="1" x14ac:dyDescent="0.25">
      <c r="A31" s="25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</row>
    <row r="32" spans="1:123" s="61" customFormat="1" x14ac:dyDescent="0.25">
      <c r="A32" s="53"/>
      <c r="B32" s="54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</row>
    <row r="33" spans="2:123" x14ac:dyDescent="0.25"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DS33" s="33">
        <f>DS26-Hydron_Loan!AO33</f>
        <v>0</v>
      </c>
    </row>
    <row r="34" spans="2:123" x14ac:dyDescent="0.25"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</row>
    <row r="35" spans="2:123" x14ac:dyDescent="0.25"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</row>
    <row r="36" spans="2:123" x14ac:dyDescent="0.25"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 spans="2:123" x14ac:dyDescent="0.25"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</row>
    <row r="38" spans="2:123" x14ac:dyDescent="0.25"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spans="2:123" x14ac:dyDescent="0.25"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 spans="2:123" x14ac:dyDescent="0.25">
      <c r="E40" s="40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L24:BB24 D29 E24:F24 J24:K24 D26:K28 D24 H24 E29:K29 L25:Y30 Z25:AL30 AM25:AT30 AU25:AY30 AZ25:BB30 BC25:BL30 BC24:BP24 BM25:BP30 BQ24:CE30 CF24:CV30 CW24:DJ30 DK24:DS30 B29 B25:C28 B30:C30 C29 B17:B19 B5:B14 E25:F25 H25 J25:K2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D23" sqref="D23"/>
    </sheetView>
  </sheetViews>
  <sheetFormatPr defaultColWidth="9.140625" defaultRowHeight="12.75" x14ac:dyDescent="0.2"/>
  <cols>
    <col min="1" max="1" width="11" style="108" customWidth="1"/>
    <col min="2" max="2" width="16" style="108" customWidth="1"/>
    <col min="3" max="3" width="15.85546875" style="108" customWidth="1"/>
    <col min="4" max="4" width="18.28515625" style="108" customWidth="1"/>
    <col min="5" max="5" width="17.7109375" style="108" customWidth="1"/>
    <col min="6" max="6" width="21.85546875" style="108" customWidth="1"/>
    <col min="7" max="7" width="17.5703125" style="108" customWidth="1"/>
    <col min="8" max="8" width="14.5703125" style="108" bestFit="1" customWidth="1"/>
    <col min="9" max="16384" width="9.140625" style="108"/>
  </cols>
  <sheetData>
    <row r="1" spans="1:5" ht="15" x14ac:dyDescent="0.25">
      <c r="A1" s="109" t="s">
        <v>0</v>
      </c>
      <c r="B1" s="110"/>
      <c r="C1" s="109" t="str">
        <f>Hydron_Loan!C1</f>
        <v>Hydron Bangladesh Private Ltd.</v>
      </c>
      <c r="D1" s="110"/>
      <c r="E1" s="110"/>
    </row>
    <row r="2" spans="1:5" x14ac:dyDescent="0.2">
      <c r="A2" s="93"/>
      <c r="B2" s="93"/>
      <c r="C2" s="93"/>
      <c r="D2" s="93"/>
      <c r="E2" s="93"/>
    </row>
    <row r="3" spans="1:5" ht="18.75" x14ac:dyDescent="0.3">
      <c r="A3" s="111"/>
      <c r="B3" s="112"/>
      <c r="C3" s="112"/>
      <c r="D3" s="112"/>
      <c r="E3" s="112"/>
    </row>
    <row r="4" spans="1:5" ht="15" x14ac:dyDescent="0.25">
      <c r="A4" s="109"/>
      <c r="B4" s="110"/>
      <c r="C4" s="110"/>
      <c r="D4" s="110"/>
      <c r="E4" s="110"/>
    </row>
    <row r="5" spans="1:5" x14ac:dyDescent="0.2">
      <c r="A5" s="113" t="s">
        <v>4</v>
      </c>
      <c r="B5" s="93"/>
      <c r="C5" s="114">
        <f>Hydron_Loan!C5</f>
        <v>41639</v>
      </c>
      <c r="D5" s="113"/>
      <c r="E5" s="113"/>
    </row>
    <row r="6" spans="1:5" x14ac:dyDescent="0.2">
      <c r="A6" s="93"/>
      <c r="B6" s="93"/>
      <c r="C6" s="93"/>
      <c r="D6" s="93"/>
      <c r="E6" s="93"/>
    </row>
    <row r="7" spans="1:5" x14ac:dyDescent="0.2">
      <c r="A7" s="113" t="s">
        <v>2</v>
      </c>
      <c r="B7" s="93"/>
      <c r="C7" s="115">
        <f>Hydron_Loan!C7</f>
        <v>19610526</v>
      </c>
      <c r="D7" s="113"/>
      <c r="E7" s="93"/>
    </row>
    <row r="8" spans="1:5" x14ac:dyDescent="0.2">
      <c r="A8" s="113"/>
      <c r="B8" s="93"/>
      <c r="C8" s="93"/>
      <c r="D8" s="93"/>
      <c r="E8" s="93"/>
    </row>
    <row r="9" spans="1:5" x14ac:dyDescent="0.2">
      <c r="A9" s="113" t="s">
        <v>5</v>
      </c>
      <c r="B9" s="93"/>
      <c r="C9" s="114">
        <f>Accrual_Hydron!B9</f>
        <v>41827</v>
      </c>
      <c r="D9" s="93"/>
      <c r="E9" s="90"/>
    </row>
    <row r="10" spans="1:5" x14ac:dyDescent="0.2">
      <c r="A10" s="113"/>
      <c r="B10" s="93"/>
      <c r="C10" s="90"/>
      <c r="D10" s="93"/>
      <c r="E10" s="93"/>
    </row>
    <row r="11" spans="1:5" x14ac:dyDescent="0.2">
      <c r="A11" s="113" t="s">
        <v>3</v>
      </c>
      <c r="B11" s="93"/>
      <c r="C11" s="116">
        <f>Hydron_Loan!C11</f>
        <v>0.06</v>
      </c>
      <c r="D11" s="93"/>
      <c r="E11" s="93"/>
    </row>
    <row r="12" spans="1:5" x14ac:dyDescent="0.2">
      <c r="A12" s="113" t="s">
        <v>48</v>
      </c>
      <c r="B12" s="93"/>
      <c r="C12" s="90" t="str">
        <f>Hydron_Loan!C12</f>
        <v>10 years</v>
      </c>
      <c r="D12" s="93"/>
      <c r="E12" s="93"/>
    </row>
    <row r="13" spans="1:5" x14ac:dyDescent="0.2">
      <c r="A13" s="113" t="s">
        <v>23</v>
      </c>
      <c r="B13" s="93"/>
      <c r="C13" s="90" t="str">
        <f>Hydron_Loan!C15</f>
        <v>Level Principal</v>
      </c>
      <c r="D13" s="93"/>
      <c r="E13" s="93"/>
    </row>
    <row r="14" spans="1:5" x14ac:dyDescent="0.2">
      <c r="A14" s="117" t="s">
        <v>49</v>
      </c>
      <c r="B14" s="93"/>
      <c r="C14" s="118">
        <f>Hydron_Loan!C16</f>
        <v>360</v>
      </c>
      <c r="D14" s="90" t="s">
        <v>50</v>
      </c>
      <c r="E14" s="93"/>
    </row>
    <row r="15" spans="1:5" x14ac:dyDescent="0.2">
      <c r="A15" s="117" t="s">
        <v>51</v>
      </c>
      <c r="B15" s="90"/>
      <c r="C15" s="119">
        <f>Hydron_Loan!C17</f>
        <v>32</v>
      </c>
      <c r="D15" s="93"/>
      <c r="E15" s="93"/>
    </row>
    <row r="16" spans="1:5" x14ac:dyDescent="0.2">
      <c r="A16" s="117"/>
      <c r="B16" s="120"/>
      <c r="C16" s="121"/>
      <c r="D16" s="93"/>
      <c r="E16" s="93"/>
    </row>
    <row r="17" spans="1:8" x14ac:dyDescent="0.2">
      <c r="A17" s="117" t="s">
        <v>52</v>
      </c>
      <c r="B17" s="120"/>
      <c r="C17" s="121"/>
      <c r="D17" s="93"/>
      <c r="E17" s="93"/>
    </row>
    <row r="18" spans="1:8" x14ac:dyDescent="0.2">
      <c r="A18" s="68"/>
      <c r="B18" s="69"/>
      <c r="C18" s="105">
        <f>Hydron_Loan!C20</f>
        <v>41827</v>
      </c>
      <c r="D18" s="105">
        <f>Hydron_Loan!D20</f>
        <v>41921</v>
      </c>
      <c r="E18" s="105">
        <f>Hydron_Loan!E20</f>
        <v>41980</v>
      </c>
    </row>
    <row r="19" spans="1:8" x14ac:dyDescent="0.2">
      <c r="A19" s="122"/>
      <c r="B19" s="123"/>
      <c r="C19" s="124">
        <f>Hydron_Loan!C21</f>
        <v>10120161</v>
      </c>
      <c r="D19" s="124">
        <f>Hydron_Loan!D21</f>
        <v>5028348</v>
      </c>
      <c r="E19" s="124">
        <f>Hydron_Loan!E21</f>
        <v>2190418</v>
      </c>
    </row>
    <row r="20" spans="1:8" x14ac:dyDescent="0.2">
      <c r="A20" s="125"/>
      <c r="B20" s="126"/>
      <c r="C20" s="127">
        <f>C19</f>
        <v>10120161</v>
      </c>
      <c r="D20" s="127">
        <f>C20+D19</f>
        <v>15148509</v>
      </c>
      <c r="E20" s="127">
        <f>D20+E19</f>
        <v>17338927</v>
      </c>
    </row>
    <row r="23" spans="1:8" ht="15" x14ac:dyDescent="0.3">
      <c r="A23" s="130" t="str">
        <f t="array" ref="A23:H63">TRANSPOSE(Hydron_Loan!A30:AO37)</f>
        <v>Repayment Date</v>
      </c>
      <c r="B23" s="130" t="str">
        <v>Opening Balance</v>
      </c>
      <c r="C23" s="130" t="str">
        <v>Interest Payment</v>
      </c>
      <c r="D23" s="130" t="str">
        <v>Cumulative interest</v>
      </c>
      <c r="E23" s="130" t="str">
        <v>Principal Payment</v>
      </c>
      <c r="F23" s="130" t="str">
        <v>Cumulative repayment</v>
      </c>
      <c r="G23" s="130" t="str">
        <v>Total Debt Service</v>
      </c>
      <c r="H23" s="130" t="str">
        <v>Closing Balance</v>
      </c>
    </row>
    <row r="24" spans="1:8" ht="13.5" x14ac:dyDescent="0.25">
      <c r="A24" s="129">
        <v>41912</v>
      </c>
      <c r="B24" s="128">
        <v>10120161</v>
      </c>
      <c r="C24" s="128">
        <v>0</v>
      </c>
      <c r="D24" s="128">
        <v>0</v>
      </c>
      <c r="E24" s="128">
        <v>0</v>
      </c>
      <c r="F24" s="128">
        <v>0</v>
      </c>
      <c r="G24" s="128">
        <v>0</v>
      </c>
      <c r="H24" s="128">
        <v>10120161</v>
      </c>
    </row>
    <row r="25" spans="1:8" ht="13.5" x14ac:dyDescent="0.25">
      <c r="A25" s="129">
        <v>42003</v>
      </c>
      <c r="B25" s="128">
        <v>17338927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17338927</v>
      </c>
    </row>
    <row r="26" spans="1:8" ht="13.5" x14ac:dyDescent="0.25">
      <c r="A26" s="129">
        <v>42093</v>
      </c>
      <c r="B26" s="128">
        <v>17338927</v>
      </c>
      <c r="C26" s="128">
        <v>634059.31933333329</v>
      </c>
      <c r="D26" s="128">
        <v>634059.31933333329</v>
      </c>
      <c r="E26" s="128">
        <v>0</v>
      </c>
      <c r="F26" s="128">
        <v>0</v>
      </c>
      <c r="G26" s="128">
        <v>634059.31933333329</v>
      </c>
      <c r="H26" s="128">
        <v>17338927</v>
      </c>
    </row>
    <row r="27" spans="1:8" ht="13.5" x14ac:dyDescent="0.25">
      <c r="A27" s="129">
        <v>42185</v>
      </c>
      <c r="B27" s="128">
        <v>17338927</v>
      </c>
      <c r="C27" s="128">
        <v>265863.54733333329</v>
      </c>
      <c r="D27" s="128">
        <v>899922.86666666658</v>
      </c>
      <c r="E27" s="128">
        <v>0</v>
      </c>
      <c r="F27" s="128">
        <v>0</v>
      </c>
      <c r="G27" s="128">
        <v>265863.54733333329</v>
      </c>
      <c r="H27" s="128">
        <v>17338927</v>
      </c>
    </row>
    <row r="28" spans="1:8" ht="13.5" x14ac:dyDescent="0.25">
      <c r="A28" s="129">
        <v>42277</v>
      </c>
      <c r="B28" s="128">
        <v>17338927</v>
      </c>
      <c r="C28" s="128">
        <v>265863.54733333329</v>
      </c>
      <c r="D28" s="128">
        <v>1165786.4139999999</v>
      </c>
      <c r="E28" s="128">
        <v>0</v>
      </c>
      <c r="F28" s="128">
        <v>0</v>
      </c>
      <c r="G28" s="128">
        <v>265863.54733333329</v>
      </c>
      <c r="H28" s="128">
        <v>17338927</v>
      </c>
    </row>
    <row r="29" spans="1:8" ht="13.5" x14ac:dyDescent="0.25">
      <c r="A29" s="129">
        <v>42368</v>
      </c>
      <c r="B29" s="128">
        <v>17338927</v>
      </c>
      <c r="C29" s="128">
        <v>262973.72616666666</v>
      </c>
      <c r="D29" s="128">
        <v>1428760.1401666666</v>
      </c>
      <c r="E29" s="128">
        <v>0</v>
      </c>
      <c r="F29" s="128">
        <v>0</v>
      </c>
      <c r="G29" s="128">
        <v>262973.72616666666</v>
      </c>
      <c r="H29" s="128">
        <v>17338927</v>
      </c>
    </row>
    <row r="30" spans="1:8" ht="13.5" x14ac:dyDescent="0.25">
      <c r="A30" s="129">
        <v>42459</v>
      </c>
      <c r="B30" s="128">
        <v>17338927</v>
      </c>
      <c r="C30" s="128">
        <v>262973.72616666666</v>
      </c>
      <c r="D30" s="128">
        <v>1691733.8663333333</v>
      </c>
      <c r="E30" s="128">
        <v>0</v>
      </c>
      <c r="F30" s="128">
        <v>0</v>
      </c>
      <c r="G30" s="128">
        <v>262973.72616666666</v>
      </c>
      <c r="H30" s="128">
        <v>17338927</v>
      </c>
    </row>
    <row r="31" spans="1:8" ht="13.5" x14ac:dyDescent="0.25">
      <c r="A31" s="129">
        <v>42551</v>
      </c>
      <c r="B31" s="128">
        <v>17338927</v>
      </c>
      <c r="C31" s="128">
        <v>265863.54733333329</v>
      </c>
      <c r="D31" s="128">
        <v>1957597.4136666665</v>
      </c>
      <c r="E31" s="128">
        <v>0</v>
      </c>
      <c r="F31" s="128">
        <v>0</v>
      </c>
      <c r="G31" s="128">
        <v>265863.54733333329</v>
      </c>
      <c r="H31" s="128">
        <v>17338927</v>
      </c>
    </row>
    <row r="32" spans="1:8" ht="13.5" x14ac:dyDescent="0.25">
      <c r="A32" s="129">
        <v>42645</v>
      </c>
      <c r="B32" s="128">
        <v>17338927</v>
      </c>
      <c r="C32" s="128">
        <v>271643.18966666667</v>
      </c>
      <c r="D32" s="128">
        <v>2229240.603333333</v>
      </c>
      <c r="E32" s="128">
        <v>541841.46875</v>
      </c>
      <c r="F32" s="128">
        <v>541841.46875</v>
      </c>
      <c r="G32" s="128">
        <v>813484.65841666667</v>
      </c>
      <c r="H32" s="128">
        <v>16797085.53125</v>
      </c>
    </row>
    <row r="33" spans="1:8" ht="13.5" x14ac:dyDescent="0.25">
      <c r="A33" s="129">
        <v>42736</v>
      </c>
      <c r="B33" s="128">
        <v>16797085.53125</v>
      </c>
      <c r="C33" s="128">
        <v>254755.79722395833</v>
      </c>
      <c r="D33" s="128">
        <v>2483996.4005572912</v>
      </c>
      <c r="E33" s="128">
        <v>541841.46875</v>
      </c>
      <c r="F33" s="128">
        <v>1083682.9375</v>
      </c>
      <c r="G33" s="128">
        <v>796597.2659739583</v>
      </c>
      <c r="H33" s="128">
        <v>16255244.0625</v>
      </c>
    </row>
    <row r="34" spans="1:8" ht="13.5" x14ac:dyDescent="0.25">
      <c r="A34" s="129">
        <v>42824</v>
      </c>
      <c r="B34" s="128">
        <v>16255244.0625</v>
      </c>
      <c r="C34" s="128">
        <v>238410.24624999997</v>
      </c>
      <c r="D34" s="128">
        <v>2722406.6468072911</v>
      </c>
      <c r="E34" s="128">
        <v>541841.46875</v>
      </c>
      <c r="F34" s="128">
        <v>1625524.40625</v>
      </c>
      <c r="G34" s="128">
        <v>780251.71499999997</v>
      </c>
      <c r="H34" s="128">
        <v>15713402.59375</v>
      </c>
    </row>
    <row r="35" spans="1:8" ht="13.5" x14ac:dyDescent="0.25">
      <c r="A35" s="129">
        <v>42918</v>
      </c>
      <c r="B35" s="128">
        <v>15713402.59375</v>
      </c>
      <c r="C35" s="128">
        <v>246176.64063541667</v>
      </c>
      <c r="D35" s="128">
        <v>2968583.2874427079</v>
      </c>
      <c r="E35" s="128">
        <v>541841.46875</v>
      </c>
      <c r="F35" s="128">
        <v>2167365.875</v>
      </c>
      <c r="G35" s="128">
        <v>788018.10938541661</v>
      </c>
      <c r="H35" s="128">
        <v>15171561.125</v>
      </c>
    </row>
    <row r="36" spans="1:8" ht="13.5" x14ac:dyDescent="0.25">
      <c r="A36" s="129">
        <v>43008</v>
      </c>
      <c r="B36" s="128">
        <v>15171561.125</v>
      </c>
      <c r="C36" s="128">
        <v>227573.416875</v>
      </c>
      <c r="D36" s="128">
        <v>3196156.704317708</v>
      </c>
      <c r="E36" s="128">
        <v>541841.46875</v>
      </c>
      <c r="F36" s="128">
        <v>2709207.34375</v>
      </c>
      <c r="G36" s="128">
        <v>769414.885625</v>
      </c>
      <c r="H36" s="128">
        <v>14629719.65625</v>
      </c>
    </row>
    <row r="37" spans="1:8" ht="13.5" x14ac:dyDescent="0.25">
      <c r="A37" s="129">
        <v>43099</v>
      </c>
      <c r="B37" s="128">
        <v>14629719.65625</v>
      </c>
      <c r="C37" s="128">
        <v>221884.08145312496</v>
      </c>
      <c r="D37" s="128">
        <v>3418040.785770833</v>
      </c>
      <c r="E37" s="128">
        <v>541841.46875</v>
      </c>
      <c r="F37" s="128">
        <v>3251048.8125</v>
      </c>
      <c r="G37" s="128">
        <v>763725.55020312499</v>
      </c>
      <c r="H37" s="128">
        <v>14087878.1875</v>
      </c>
    </row>
    <row r="38" spans="1:8" ht="13.5" x14ac:dyDescent="0.25">
      <c r="A38" s="129">
        <v>43189</v>
      </c>
      <c r="B38" s="128">
        <v>14087878.1875</v>
      </c>
      <c r="C38" s="128">
        <v>211318.17281249998</v>
      </c>
      <c r="D38" s="128">
        <v>3629358.9585833331</v>
      </c>
      <c r="E38" s="128">
        <v>541841.46875</v>
      </c>
      <c r="F38" s="128">
        <v>3792890.28125</v>
      </c>
      <c r="G38" s="128">
        <v>753159.64156250004</v>
      </c>
      <c r="H38" s="128">
        <v>13546036.71875</v>
      </c>
    </row>
    <row r="39" spans="1:8" ht="13.5" x14ac:dyDescent="0.25">
      <c r="A39" s="129">
        <v>43281</v>
      </c>
      <c r="B39" s="128">
        <v>13546036.71875</v>
      </c>
      <c r="C39" s="128">
        <v>207705.89635416667</v>
      </c>
      <c r="D39" s="128">
        <v>3837064.8549374999</v>
      </c>
      <c r="E39" s="128">
        <v>541841.46875</v>
      </c>
      <c r="F39" s="128">
        <v>4334731.75</v>
      </c>
      <c r="G39" s="128">
        <v>749547.36510416667</v>
      </c>
      <c r="H39" s="128">
        <v>13004195.25</v>
      </c>
    </row>
    <row r="40" spans="1:8" ht="13.5" x14ac:dyDescent="0.25">
      <c r="A40" s="129">
        <v>43373</v>
      </c>
      <c r="B40" s="128">
        <v>13004195.25</v>
      </c>
      <c r="C40" s="128">
        <v>199397.6605</v>
      </c>
      <c r="D40" s="128">
        <v>4036462.5154374996</v>
      </c>
      <c r="E40" s="128">
        <v>541841.46875</v>
      </c>
      <c r="F40" s="128">
        <v>4876573.21875</v>
      </c>
      <c r="G40" s="128">
        <v>741239.12925</v>
      </c>
      <c r="H40" s="128">
        <v>12462353.78125</v>
      </c>
    </row>
    <row r="41" spans="1:8" ht="13.5" x14ac:dyDescent="0.25">
      <c r="A41" s="129">
        <v>43464</v>
      </c>
      <c r="B41" s="128">
        <v>12462353.78125</v>
      </c>
      <c r="C41" s="128">
        <v>189012.36568229165</v>
      </c>
      <c r="D41" s="128">
        <v>4225474.8811197914</v>
      </c>
      <c r="E41" s="128">
        <v>541841.46875</v>
      </c>
      <c r="F41" s="128">
        <v>5418414.6875</v>
      </c>
      <c r="G41" s="128">
        <v>730853.83443229168</v>
      </c>
      <c r="H41" s="128">
        <v>11920512.3125</v>
      </c>
    </row>
    <row r="42" spans="1:8" ht="13.5" x14ac:dyDescent="0.25">
      <c r="A42" s="129">
        <v>43554</v>
      </c>
      <c r="B42" s="128">
        <v>11920512.3125</v>
      </c>
      <c r="C42" s="128">
        <v>178807.6846875</v>
      </c>
      <c r="D42" s="128">
        <v>4404282.5658072913</v>
      </c>
      <c r="E42" s="128">
        <v>541841.46875</v>
      </c>
      <c r="F42" s="128">
        <v>5960256.15625</v>
      </c>
      <c r="G42" s="128">
        <v>720649.1534375</v>
      </c>
      <c r="H42" s="128">
        <v>11378670.84375</v>
      </c>
    </row>
    <row r="43" spans="1:8" ht="13.5" x14ac:dyDescent="0.25">
      <c r="A43" s="129">
        <v>43646</v>
      </c>
      <c r="B43" s="128">
        <v>11378670.84375</v>
      </c>
      <c r="C43" s="128">
        <v>174472.9529375</v>
      </c>
      <c r="D43" s="128">
        <v>4578755.5187447909</v>
      </c>
      <c r="E43" s="128">
        <v>541841.46875</v>
      </c>
      <c r="F43" s="128">
        <v>6502097.625</v>
      </c>
      <c r="G43" s="128">
        <v>716314.42168749997</v>
      </c>
      <c r="H43" s="128">
        <v>10836829.375</v>
      </c>
    </row>
    <row r="44" spans="1:8" ht="13.5" x14ac:dyDescent="0.25">
      <c r="A44" s="129">
        <v>43738</v>
      </c>
      <c r="B44" s="128">
        <v>10836829.375</v>
      </c>
      <c r="C44" s="128">
        <v>166164.71708333332</v>
      </c>
      <c r="D44" s="128">
        <v>4744920.235828124</v>
      </c>
      <c r="E44" s="128">
        <v>541841.46875</v>
      </c>
      <c r="F44" s="128">
        <v>7043939.09375</v>
      </c>
      <c r="G44" s="128">
        <v>708006.18583333329</v>
      </c>
      <c r="H44" s="128">
        <v>10294987.90625</v>
      </c>
    </row>
    <row r="45" spans="1:8" ht="13.5" x14ac:dyDescent="0.25">
      <c r="A45" s="129">
        <v>43829</v>
      </c>
      <c r="B45" s="128">
        <v>10294987.90625</v>
      </c>
      <c r="C45" s="128">
        <v>156140.64991145834</v>
      </c>
      <c r="D45" s="128">
        <v>4901060.8857395826</v>
      </c>
      <c r="E45" s="128">
        <v>541841.46875</v>
      </c>
      <c r="F45" s="128">
        <v>7585780.5625</v>
      </c>
      <c r="G45" s="128">
        <v>697982.11866145837</v>
      </c>
      <c r="H45" s="128">
        <v>9753146.4375</v>
      </c>
    </row>
    <row r="46" spans="1:8" ht="13.5" x14ac:dyDescent="0.25">
      <c r="A46" s="129">
        <v>43920</v>
      </c>
      <c r="B46" s="128">
        <v>9753146.4375</v>
      </c>
      <c r="C46" s="128">
        <v>147922.72096874999</v>
      </c>
      <c r="D46" s="128">
        <v>5048983.6067083329</v>
      </c>
      <c r="E46" s="128">
        <v>541841.46875</v>
      </c>
      <c r="F46" s="128">
        <v>8127622.03125</v>
      </c>
      <c r="G46" s="128">
        <v>689764.18971874996</v>
      </c>
      <c r="H46" s="128">
        <v>9211304.96875</v>
      </c>
    </row>
    <row r="47" spans="1:8" ht="13.5" x14ac:dyDescent="0.25">
      <c r="A47" s="129">
        <v>44012</v>
      </c>
      <c r="B47" s="128">
        <v>9211304.96875</v>
      </c>
      <c r="C47" s="128">
        <v>141240.00952083332</v>
      </c>
      <c r="D47" s="128">
        <v>5190223.6162291663</v>
      </c>
      <c r="E47" s="128">
        <v>541841.46875</v>
      </c>
      <c r="F47" s="128">
        <v>8669463.5</v>
      </c>
      <c r="G47" s="128">
        <v>683081.47827083338</v>
      </c>
      <c r="H47" s="128">
        <v>8669463.5</v>
      </c>
    </row>
    <row r="48" spans="1:8" ht="13.5" x14ac:dyDescent="0.25">
      <c r="A48" s="129">
        <v>44104</v>
      </c>
      <c r="B48" s="128">
        <v>8669463.5</v>
      </c>
      <c r="C48" s="128">
        <v>132931.77366666665</v>
      </c>
      <c r="D48" s="128">
        <v>5323155.3898958331</v>
      </c>
      <c r="E48" s="128">
        <v>541841.46875</v>
      </c>
      <c r="F48" s="128">
        <v>9211304.96875</v>
      </c>
      <c r="G48" s="128">
        <v>674773.24241666659</v>
      </c>
      <c r="H48" s="128">
        <v>8127622.03125</v>
      </c>
    </row>
    <row r="49" spans="1:8" ht="13.5" x14ac:dyDescent="0.25">
      <c r="A49" s="129">
        <v>44195</v>
      </c>
      <c r="B49" s="128">
        <v>8127622.03125</v>
      </c>
      <c r="C49" s="128">
        <v>123268.934140625</v>
      </c>
      <c r="D49" s="128">
        <v>5446424.3240364585</v>
      </c>
      <c r="E49" s="128">
        <v>541841.46875</v>
      </c>
      <c r="F49" s="128">
        <v>9753146.4375</v>
      </c>
      <c r="G49" s="128">
        <v>665110.40289062494</v>
      </c>
      <c r="H49" s="128">
        <v>7585780.5625</v>
      </c>
    </row>
    <row r="50" spans="1:8" ht="13.5" x14ac:dyDescent="0.25">
      <c r="A50" s="129">
        <v>44285</v>
      </c>
      <c r="B50" s="128">
        <v>7585780.5625</v>
      </c>
      <c r="C50" s="128">
        <v>113786.7084375</v>
      </c>
      <c r="D50" s="128">
        <v>5560211.0324739581</v>
      </c>
      <c r="E50" s="128">
        <v>541841.46875</v>
      </c>
      <c r="F50" s="128">
        <v>10294987.90625</v>
      </c>
      <c r="G50" s="128">
        <v>655628.17718750006</v>
      </c>
      <c r="H50" s="128">
        <v>7043939.09375</v>
      </c>
    </row>
    <row r="51" spans="1:8" ht="13.5" x14ac:dyDescent="0.25">
      <c r="A51" s="129">
        <v>44377</v>
      </c>
      <c r="B51" s="128">
        <v>7043939.09375</v>
      </c>
      <c r="C51" s="128">
        <v>108007.06610416666</v>
      </c>
      <c r="D51" s="128">
        <v>5668218.0985781243</v>
      </c>
      <c r="E51" s="128">
        <v>541841.46875</v>
      </c>
      <c r="F51" s="128">
        <v>10836829.375</v>
      </c>
      <c r="G51" s="128">
        <v>649848.53485416668</v>
      </c>
      <c r="H51" s="128">
        <v>6502097.625</v>
      </c>
    </row>
    <row r="52" spans="1:8" ht="13.5" x14ac:dyDescent="0.25">
      <c r="A52" s="129">
        <v>44469</v>
      </c>
      <c r="B52" s="128">
        <v>6502097.625</v>
      </c>
      <c r="C52" s="128">
        <v>99698.830249999999</v>
      </c>
      <c r="D52" s="128">
        <v>5767916.928828124</v>
      </c>
      <c r="E52" s="128">
        <v>541841.46875</v>
      </c>
      <c r="F52" s="128">
        <v>11378670.84375</v>
      </c>
      <c r="G52" s="128">
        <v>641540.299</v>
      </c>
      <c r="H52" s="128">
        <v>5960256.15625</v>
      </c>
    </row>
    <row r="53" spans="1:8" ht="13.5" x14ac:dyDescent="0.25">
      <c r="A53" s="129">
        <v>44560</v>
      </c>
      <c r="B53" s="128">
        <v>5960256.15625</v>
      </c>
      <c r="C53" s="128">
        <v>90397.218369791663</v>
      </c>
      <c r="D53" s="128">
        <v>5858314.1471979152</v>
      </c>
      <c r="E53" s="128">
        <v>541841.46875</v>
      </c>
      <c r="F53" s="128">
        <v>11920512.3125</v>
      </c>
      <c r="G53" s="128">
        <v>632238.68711979163</v>
      </c>
      <c r="H53" s="128">
        <v>5418414.6875</v>
      </c>
    </row>
    <row r="54" spans="1:8" ht="13.5" x14ac:dyDescent="0.25">
      <c r="A54" s="129">
        <v>44650</v>
      </c>
      <c r="B54" s="128">
        <v>5418414.6875</v>
      </c>
      <c r="C54" s="128">
        <v>81276.220312499994</v>
      </c>
      <c r="D54" s="128">
        <v>5939590.3675104156</v>
      </c>
      <c r="E54" s="128">
        <v>541841.46875</v>
      </c>
      <c r="F54" s="128">
        <v>12462353.78125</v>
      </c>
      <c r="G54" s="128">
        <v>623117.68906250002</v>
      </c>
      <c r="H54" s="128">
        <v>4876573.21875</v>
      </c>
    </row>
    <row r="55" spans="1:8" ht="13.5" x14ac:dyDescent="0.25">
      <c r="A55" s="129">
        <v>44742</v>
      </c>
      <c r="B55" s="128">
        <v>4876573.21875</v>
      </c>
      <c r="C55" s="128">
        <v>74774.122687499999</v>
      </c>
      <c r="D55" s="128">
        <v>6014364.4901979156</v>
      </c>
      <c r="E55" s="128">
        <v>541841.46875</v>
      </c>
      <c r="F55" s="128">
        <v>13004195.25</v>
      </c>
      <c r="G55" s="128">
        <v>616615.59143749997</v>
      </c>
      <c r="H55" s="128">
        <v>4334731.75</v>
      </c>
    </row>
    <row r="56" spans="1:8" ht="13.5" x14ac:dyDescent="0.25">
      <c r="A56" s="129">
        <v>44834</v>
      </c>
      <c r="B56" s="128">
        <v>4334731.75</v>
      </c>
      <c r="C56" s="128">
        <v>66465.886833333323</v>
      </c>
      <c r="D56" s="128">
        <v>6080830.377031249</v>
      </c>
      <c r="E56" s="128">
        <v>541841.46875</v>
      </c>
      <c r="F56" s="128">
        <v>13546036.71875</v>
      </c>
      <c r="G56" s="128">
        <v>608307.35558333329</v>
      </c>
      <c r="H56" s="128">
        <v>3792890.28125</v>
      </c>
    </row>
    <row r="57" spans="1:8" ht="13.5" x14ac:dyDescent="0.25">
      <c r="A57" s="129">
        <v>44925</v>
      </c>
      <c r="B57" s="128">
        <v>3792890.28125</v>
      </c>
      <c r="C57" s="128">
        <v>57525.50259895833</v>
      </c>
      <c r="D57" s="128">
        <v>6138355.8796302071</v>
      </c>
      <c r="E57" s="128">
        <v>541841.46875</v>
      </c>
      <c r="F57" s="128">
        <v>14087878.1875</v>
      </c>
      <c r="G57" s="128">
        <v>599366.97134895832</v>
      </c>
      <c r="H57" s="128">
        <v>3251048.8125</v>
      </c>
    </row>
    <row r="58" spans="1:8" ht="13.5" x14ac:dyDescent="0.25">
      <c r="A58" s="129">
        <v>45015</v>
      </c>
      <c r="B58" s="128">
        <v>3251048.8125</v>
      </c>
      <c r="C58" s="128">
        <v>48765.732187499998</v>
      </c>
      <c r="D58" s="128">
        <v>6187121.6118177073</v>
      </c>
      <c r="E58" s="128">
        <v>541841.46875</v>
      </c>
      <c r="F58" s="128">
        <v>14629719.65625</v>
      </c>
      <c r="G58" s="128">
        <v>590607.20093749999</v>
      </c>
      <c r="H58" s="128">
        <v>2709207.34375</v>
      </c>
    </row>
    <row r="59" spans="1:8" ht="13.5" x14ac:dyDescent="0.25">
      <c r="A59" s="129">
        <v>45107</v>
      </c>
      <c r="B59" s="128">
        <v>2709207.34375</v>
      </c>
      <c r="C59" s="128">
        <v>41541.179270833331</v>
      </c>
      <c r="D59" s="128">
        <v>6228662.791088541</v>
      </c>
      <c r="E59" s="128">
        <v>541841.46875</v>
      </c>
      <c r="F59" s="128">
        <v>15171561.125</v>
      </c>
      <c r="G59" s="128">
        <v>583382.64802083338</v>
      </c>
      <c r="H59" s="128">
        <v>2167365.875</v>
      </c>
    </row>
    <row r="60" spans="1:8" ht="13.5" x14ac:dyDescent="0.25">
      <c r="A60" s="129">
        <v>45199</v>
      </c>
      <c r="B60" s="128">
        <v>2167365.875</v>
      </c>
      <c r="C60" s="128">
        <v>33232.943416666662</v>
      </c>
      <c r="D60" s="128">
        <v>6261895.7345052073</v>
      </c>
      <c r="E60" s="128">
        <v>541841.46875</v>
      </c>
      <c r="F60" s="128">
        <v>15713402.59375</v>
      </c>
      <c r="G60" s="128">
        <v>575074.41216666671</v>
      </c>
      <c r="H60" s="128">
        <v>1625524.40625</v>
      </c>
    </row>
    <row r="61" spans="1:8" ht="13.5" x14ac:dyDescent="0.25">
      <c r="A61" s="129">
        <v>45290</v>
      </c>
      <c r="B61" s="128">
        <v>1625524.40625</v>
      </c>
      <c r="C61" s="128">
        <v>24653.786828124998</v>
      </c>
      <c r="D61" s="128">
        <v>6286549.5213333322</v>
      </c>
      <c r="E61" s="128">
        <v>541841.46875</v>
      </c>
      <c r="F61" s="128">
        <v>16255244.0625</v>
      </c>
      <c r="G61" s="128">
        <v>566495.25557812501</v>
      </c>
      <c r="H61" s="128">
        <v>1083682.9375</v>
      </c>
    </row>
    <row r="62" spans="1:8" ht="13.5" x14ac:dyDescent="0.25">
      <c r="A62" s="129">
        <v>45381</v>
      </c>
      <c r="B62" s="128">
        <v>1083682.9375</v>
      </c>
      <c r="C62" s="128">
        <v>16435.857885416666</v>
      </c>
      <c r="D62" s="128">
        <v>6302985.3792187488</v>
      </c>
      <c r="E62" s="128">
        <v>541841.46875</v>
      </c>
      <c r="F62" s="128">
        <v>16797085.53125</v>
      </c>
      <c r="G62" s="128">
        <v>558277.32663541671</v>
      </c>
      <c r="H62" s="128">
        <v>541841.46875</v>
      </c>
    </row>
    <row r="63" spans="1:8" ht="13.5" x14ac:dyDescent="0.25">
      <c r="A63" s="129">
        <v>45473</v>
      </c>
      <c r="B63" s="128">
        <v>541841.46875</v>
      </c>
      <c r="C63" s="128">
        <v>8308.2358541666654</v>
      </c>
      <c r="D63" s="128">
        <v>6311293.6150729153</v>
      </c>
      <c r="E63" s="128">
        <v>541841.46875</v>
      </c>
      <c r="F63" s="128">
        <v>17338927</v>
      </c>
      <c r="G63" s="128">
        <v>550149.70460416668</v>
      </c>
      <c r="H63" s="128">
        <v>0</v>
      </c>
    </row>
  </sheetData>
  <pageMargins left="0.7" right="0.7" top="0.75" bottom="0.75" header="0.3" footer="0.3"/>
  <pageSetup orientation="portrait" r:id="rId1"/>
  <ignoredErrors>
    <ignoredError sqref="C5:C17 C20:C2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Hydron_Loan</vt:lpstr>
      <vt:lpstr>Accrual_Hydron</vt:lpstr>
      <vt:lpstr>Repayment Schedule</vt:lpstr>
      <vt:lpstr>Hydron_Loan!Print_Area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Hossain Bhuiyan</dc:creator>
  <cp:lastModifiedBy>ahossain</cp:lastModifiedBy>
  <cp:lastPrinted>2006-10-19T06:35:57Z</cp:lastPrinted>
  <dcterms:created xsi:type="dcterms:W3CDTF">2004-09-21T04:29:34Z</dcterms:created>
  <dcterms:modified xsi:type="dcterms:W3CDTF">2017-07-04T09:12:35Z</dcterms:modified>
</cp:coreProperties>
</file>