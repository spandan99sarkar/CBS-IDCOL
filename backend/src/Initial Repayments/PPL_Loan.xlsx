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INFRASTRUCTURE LOANS\BDT LOANS\"/>
    </mc:Choice>
  </mc:AlternateContent>
  <xr:revisionPtr revIDLastSave="0" documentId="11_5675C487AB94D5ABCBA404C8DB98F48B067BFEA9" xr6:coauthVersionLast="47" xr6:coauthVersionMax="47" xr10:uidLastSave="{00000000-0000-0000-0000-000000000000}"/>
  <bookViews>
    <workbookView xWindow="0" yWindow="0" windowWidth="15360" windowHeight="7752" firstSheet="1" activeTab="1" xr2:uid="{00000000-000D-0000-FFFF-FFFF00000000}"/>
  </bookViews>
  <sheets>
    <sheet name="Disbursement" sheetId="4" r:id="rId1"/>
    <sheet name="Summary" sheetId="5" r:id="rId2"/>
    <sheet name="PPL_Loan" sheetId="2" r:id="rId3"/>
    <sheet name="Accrual_PPL" sheetId="3" r:id="rId4"/>
    <sheet name="Repayment Schedule" sheetId="7" r:id="rId5"/>
  </sheets>
  <definedNames>
    <definedName name="_xlnm.Print_Area" localSheetId="2">PPL_Loan!$A$1:$J$37</definedName>
    <definedName name="_xlnm.Print_Area" localSheetId="4">'Repayment Schedule'!$A$1:$H$56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5" l="1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AN30" i="3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B39" i="2" l="1"/>
  <c r="O36" i="2"/>
  <c r="W24" i="3" l="1"/>
  <c r="F19" i="3"/>
  <c r="F18" i="3"/>
  <c r="J30" i="2"/>
  <c r="F24" i="2"/>
  <c r="F23" i="2"/>
  <c r="F22" i="2"/>
  <c r="F17" i="3" s="1"/>
  <c r="E22" i="2"/>
  <c r="D11" i="4"/>
  <c r="W25" i="3" l="1"/>
  <c r="J31" i="2"/>
  <c r="AI26" i="2"/>
  <c r="G31" i="2"/>
  <c r="H29" i="2"/>
  <c r="G29" i="2"/>
  <c r="E23" i="2" l="1"/>
  <c r="E18" i="3" s="1"/>
  <c r="D10" i="4"/>
  <c r="E17" i="3"/>
  <c r="F31" i="2"/>
  <c r="G30" i="2"/>
  <c r="E24" i="2"/>
  <c r="E19" i="3" l="1"/>
  <c r="O25" i="3"/>
  <c r="O24" i="3"/>
  <c r="M25" i="3"/>
  <c r="N25" i="3"/>
  <c r="L25" i="3"/>
  <c r="K25" i="3"/>
  <c r="J25" i="3"/>
  <c r="I25" i="3"/>
  <c r="CQ1" i="5" l="1"/>
  <c r="CR1" i="5"/>
  <c r="CS1" i="5"/>
  <c r="CT1" i="5"/>
  <c r="CQ19" i="5"/>
  <c r="CR19" i="5"/>
  <c r="CS19" i="5"/>
  <c r="CT19" i="5"/>
  <c r="CQ35" i="5"/>
  <c r="CR35" i="5"/>
  <c r="CS35" i="5"/>
  <c r="CT35" i="5"/>
  <c r="CN1" i="5"/>
  <c r="CO1" i="5"/>
  <c r="CP1" i="5"/>
  <c r="CN19" i="5"/>
  <c r="CO19" i="5"/>
  <c r="CP19" i="5"/>
  <c r="CN35" i="5"/>
  <c r="CO35" i="5"/>
  <c r="CP35" i="5"/>
  <c r="CG1" i="5"/>
  <c r="CH1" i="5"/>
  <c r="CI1" i="5"/>
  <c r="CJ1" i="5"/>
  <c r="CK1" i="5"/>
  <c r="CL1" i="5"/>
  <c r="CM1" i="5"/>
  <c r="CG19" i="5"/>
  <c r="CH19" i="5"/>
  <c r="CI19" i="5"/>
  <c r="CJ19" i="5"/>
  <c r="CK19" i="5"/>
  <c r="CL19" i="5"/>
  <c r="CM19" i="5"/>
  <c r="CG35" i="5"/>
  <c r="CH35" i="5"/>
  <c r="CI35" i="5"/>
  <c r="CJ35" i="5"/>
  <c r="CK35" i="5"/>
  <c r="CL35" i="5"/>
  <c r="CM35" i="5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D41" i="2" l="1"/>
  <c r="E41" i="2" s="1"/>
  <c r="F41" i="2" s="1"/>
  <c r="G41" i="2" s="1"/>
  <c r="H41" i="2" s="1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M41" i="2" s="1"/>
  <c r="AN41" i="2" s="1"/>
  <c r="AO41" i="2" s="1"/>
  <c r="AP41" i="2" s="1"/>
  <c r="AQ41" i="2" s="1"/>
  <c r="AR41" i="2" s="1"/>
  <c r="AS41" i="2" s="1"/>
  <c r="AT41" i="2" s="1"/>
  <c r="AU41" i="2" s="1"/>
  <c r="AV41" i="2" s="1"/>
  <c r="AW41" i="2" s="1"/>
  <c r="AX41" i="2" s="1"/>
  <c r="AY41" i="2" s="1"/>
  <c r="AZ41" i="2" s="1"/>
  <c r="BA41" i="2" s="1"/>
  <c r="BB41" i="2" s="1"/>
  <c r="BC41" i="2" s="1"/>
  <c r="BD41" i="2" s="1"/>
  <c r="BE41" i="2" s="1"/>
  <c r="BF41" i="2" s="1"/>
  <c r="BG41" i="2" s="1"/>
  <c r="BH41" i="2" s="1"/>
  <c r="BI41" i="2" s="1"/>
  <c r="BJ41" i="2" s="1"/>
  <c r="BK41" i="2" s="1"/>
  <c r="BL41" i="2" s="1"/>
  <c r="BM41" i="2" s="1"/>
  <c r="BN41" i="2" s="1"/>
  <c r="BO41" i="2" s="1"/>
  <c r="BP41" i="2" s="1"/>
  <c r="BQ41" i="2" s="1"/>
  <c r="BR41" i="2" s="1"/>
  <c r="BS41" i="2" s="1"/>
  <c r="BT41" i="2" s="1"/>
  <c r="BU41" i="2" s="1"/>
  <c r="BV41" i="2" s="1"/>
  <c r="BW41" i="2" s="1"/>
  <c r="BX41" i="2" s="1"/>
  <c r="BY41" i="2" s="1"/>
  <c r="BZ41" i="2" s="1"/>
  <c r="CA41" i="2" s="1"/>
  <c r="CB41" i="2" s="1"/>
  <c r="CC41" i="2" s="1"/>
  <c r="CD41" i="2" s="1"/>
  <c r="CE41" i="2" s="1"/>
  <c r="CF41" i="2" s="1"/>
  <c r="CG41" i="2" s="1"/>
  <c r="CH41" i="2" s="1"/>
  <c r="CI41" i="2" s="1"/>
  <c r="CJ41" i="2" s="1"/>
  <c r="CK41" i="2" s="1"/>
  <c r="CL41" i="2" s="1"/>
  <c r="CM41" i="2" s="1"/>
  <c r="CN41" i="2" s="1"/>
  <c r="CO41" i="2" s="1"/>
  <c r="CP41" i="2" s="1"/>
  <c r="CQ41" i="2" s="1"/>
  <c r="CR41" i="2" s="1"/>
  <c r="CS41" i="2" s="1"/>
  <c r="CT41" i="2" s="1"/>
  <c r="CU41" i="2" s="1"/>
  <c r="F35" i="5" l="1"/>
  <c r="E35" i="5"/>
  <c r="D35" i="5"/>
  <c r="C35" i="5"/>
  <c r="B35" i="5"/>
  <c r="I35" i="5"/>
  <c r="H35" i="5"/>
  <c r="CJ23" i="3"/>
  <c r="CK23" i="3"/>
  <c r="CL23" i="3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G23" i="3" l="1"/>
  <c r="CH23" i="3" s="1"/>
  <c r="CI23" i="3" s="1"/>
  <c r="B12" i="3"/>
  <c r="B11" i="3"/>
  <c r="Q28" i="2" l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D23" i="2" l="1"/>
  <c r="D18" i="7" s="1"/>
  <c r="D22" i="2"/>
  <c r="D17" i="3" s="1"/>
  <c r="D18" i="3" l="1"/>
  <c r="D17" i="7"/>
  <c r="B28" i="5"/>
  <c r="B5" i="5"/>
  <c r="B26" i="5"/>
  <c r="B11" i="5" s="1"/>
  <c r="B22" i="5"/>
  <c r="P27" i="3" l="1"/>
  <c r="S27" i="3" s="1"/>
  <c r="V27" i="3" s="1"/>
  <c r="Y27" i="3" s="1"/>
  <c r="AB27" i="3" s="1"/>
  <c r="AE27" i="3" s="1"/>
  <c r="AH27" i="3" s="1"/>
  <c r="AK27" i="3" s="1"/>
  <c r="AN27" i="3" s="1"/>
  <c r="O27" i="3"/>
  <c r="R27" i="3" s="1"/>
  <c r="U27" i="3" s="1"/>
  <c r="X27" i="3" s="1"/>
  <c r="AA27" i="3" s="1"/>
  <c r="AD27" i="3" s="1"/>
  <c r="AG27" i="3" s="1"/>
  <c r="AJ27" i="3" s="1"/>
  <c r="AM27" i="3" s="1"/>
  <c r="AP27" i="3" s="1"/>
  <c r="AS27" i="3" s="1"/>
  <c r="AV27" i="3" s="1"/>
  <c r="AY27" i="3" s="1"/>
  <c r="BB27" i="3" s="1"/>
  <c r="BE27" i="3" s="1"/>
  <c r="BH27" i="3" s="1"/>
  <c r="BK27" i="3" s="1"/>
  <c r="BN27" i="3" s="1"/>
  <c r="BQ27" i="3" s="1"/>
  <c r="BT27" i="3" s="1"/>
  <c r="BW27" i="3" s="1"/>
  <c r="BZ27" i="3" s="1"/>
  <c r="CC27" i="3" s="1"/>
  <c r="CF27" i="3" s="1"/>
  <c r="CI27" i="3" s="1"/>
  <c r="CL27" i="3" s="1"/>
  <c r="CO27" i="3" s="1"/>
  <c r="CR27" i="3" s="1"/>
  <c r="CU27" i="3" s="1"/>
  <c r="C1" i="2"/>
  <c r="C54" i="2" l="1"/>
  <c r="DP35" i="5" l="1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L35" i="5" l="1"/>
  <c r="K35" i="5"/>
  <c r="J35" i="5"/>
  <c r="G35" i="5"/>
  <c r="C6" i="7" l="1"/>
  <c r="C23" i="2"/>
  <c r="C30" i="2" s="1"/>
  <c r="C22" i="2"/>
  <c r="C31" i="2" l="1"/>
  <c r="H9" i="2"/>
  <c r="H8" i="2"/>
  <c r="C7" i="2"/>
  <c r="C8" i="7" s="1"/>
  <c r="C18" i="3"/>
  <c r="D24" i="3" s="1"/>
  <c r="C17" i="3"/>
  <c r="C43" i="2" l="1"/>
  <c r="E43" i="2"/>
  <c r="D43" i="2"/>
  <c r="C36" i="2"/>
  <c r="D30" i="3" s="1"/>
  <c r="D25" i="3" s="1"/>
  <c r="E23" i="3"/>
  <c r="D26" i="3" l="1"/>
  <c r="C42" i="2"/>
  <c r="C44" i="2" s="1"/>
  <c r="C46" i="2" s="1"/>
  <c r="D30" i="2"/>
  <c r="F23" i="3"/>
  <c r="G23" i="3" l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D29" i="2"/>
  <c r="C24" i="2"/>
  <c r="D31" i="2" l="1"/>
  <c r="D24" i="2"/>
  <c r="C10" i="5"/>
  <c r="E29" i="2"/>
  <c r="D54" i="2"/>
  <c r="C18" i="7"/>
  <c r="C19" i="7" s="1"/>
  <c r="D19" i="7" s="1"/>
  <c r="C17" i="7"/>
  <c r="C1" i="7"/>
  <c r="CF1" i="5"/>
  <c r="CF19" i="5" s="1"/>
  <c r="CE1" i="5"/>
  <c r="CE19" i="5" s="1"/>
  <c r="CD1" i="5"/>
  <c r="CD19" i="5" s="1"/>
  <c r="CC1" i="5"/>
  <c r="CC19" i="5" s="1"/>
  <c r="CB1" i="5"/>
  <c r="CB19" i="5" s="1"/>
  <c r="CA1" i="5"/>
  <c r="CA19" i="5" s="1"/>
  <c r="BZ1" i="5"/>
  <c r="BZ19" i="5" s="1"/>
  <c r="BY1" i="5"/>
  <c r="BY19" i="5" s="1"/>
  <c r="BX1" i="5"/>
  <c r="BX19" i="5" s="1"/>
  <c r="BW1" i="5"/>
  <c r="BW19" i="5" s="1"/>
  <c r="BV1" i="5"/>
  <c r="BV19" i="5" s="1"/>
  <c r="BU1" i="5"/>
  <c r="BU19" i="5" s="1"/>
  <c r="BT1" i="5"/>
  <c r="BT19" i="5" s="1"/>
  <c r="BS1" i="5"/>
  <c r="BS19" i="5" s="1"/>
  <c r="BR1" i="5"/>
  <c r="BR19" i="5" s="1"/>
  <c r="BQ1" i="5"/>
  <c r="BQ19" i="5" s="1"/>
  <c r="BP1" i="5"/>
  <c r="BP19" i="5" s="1"/>
  <c r="BO1" i="5"/>
  <c r="BO19" i="5" s="1"/>
  <c r="BN1" i="5"/>
  <c r="BN19" i="5" s="1"/>
  <c r="BM1" i="5"/>
  <c r="BM19" i="5" s="1"/>
  <c r="BL1" i="5"/>
  <c r="BL19" i="5" s="1"/>
  <c r="BK1" i="5"/>
  <c r="BK19" i="5" s="1"/>
  <c r="BJ1" i="5"/>
  <c r="BJ19" i="5" s="1"/>
  <c r="BI1" i="5"/>
  <c r="BI19" i="5" s="1"/>
  <c r="BH1" i="5"/>
  <c r="BH19" i="5" s="1"/>
  <c r="BG1" i="5"/>
  <c r="BG19" i="5" s="1"/>
  <c r="BF1" i="5"/>
  <c r="BF19" i="5" s="1"/>
  <c r="BE1" i="5"/>
  <c r="BE19" i="5" s="1"/>
  <c r="BD1" i="5"/>
  <c r="BD19" i="5" s="1"/>
  <c r="BC1" i="5"/>
  <c r="BC19" i="5" s="1"/>
  <c r="BB1" i="5"/>
  <c r="BB19" i="5" s="1"/>
  <c r="BA1" i="5"/>
  <c r="BA19" i="5" s="1"/>
  <c r="AZ1" i="5"/>
  <c r="AZ19" i="5" s="1"/>
  <c r="AY1" i="5"/>
  <c r="AY19" i="5" s="1"/>
  <c r="AX1" i="5"/>
  <c r="AX19" i="5" s="1"/>
  <c r="AW1" i="5"/>
  <c r="AW19" i="5" s="1"/>
  <c r="AV1" i="5"/>
  <c r="AV19" i="5" s="1"/>
  <c r="AU1" i="5"/>
  <c r="AU19" i="5" s="1"/>
  <c r="AT1" i="5"/>
  <c r="AT19" i="5" s="1"/>
  <c r="AS1" i="5"/>
  <c r="AS19" i="5" s="1"/>
  <c r="AR1" i="5"/>
  <c r="AR19" i="5" s="1"/>
  <c r="AQ1" i="5"/>
  <c r="AQ19" i="5" s="1"/>
  <c r="AP1" i="5"/>
  <c r="AP19" i="5" s="1"/>
  <c r="AO1" i="5"/>
  <c r="AO19" i="5" s="1"/>
  <c r="AN1" i="5"/>
  <c r="AN19" i="5" s="1"/>
  <c r="AM1" i="5"/>
  <c r="AM19" i="5" s="1"/>
  <c r="AL1" i="5"/>
  <c r="AL19" i="5" s="1"/>
  <c r="AK1" i="5"/>
  <c r="AK19" i="5" s="1"/>
  <c r="AJ1" i="5"/>
  <c r="AJ19" i="5" s="1"/>
  <c r="AI1" i="5"/>
  <c r="AI19" i="5" s="1"/>
  <c r="AH1" i="5"/>
  <c r="AH19" i="5" s="1"/>
  <c r="AG1" i="5"/>
  <c r="AG19" i="5" s="1"/>
  <c r="AF1" i="5"/>
  <c r="AF19" i="5" s="1"/>
  <c r="AE1" i="5"/>
  <c r="AE19" i="5" s="1"/>
  <c r="AD1" i="5"/>
  <c r="AD19" i="5" s="1"/>
  <c r="AC1" i="5"/>
  <c r="AC19" i="5" s="1"/>
  <c r="AB1" i="5"/>
  <c r="AB19" i="5" s="1"/>
  <c r="AA1" i="5"/>
  <c r="AA19" i="5" s="1"/>
  <c r="Z1" i="5"/>
  <c r="Z19" i="5" s="1"/>
  <c r="Y1" i="5"/>
  <c r="Y19" i="5" s="1"/>
  <c r="X1" i="5"/>
  <c r="X19" i="5" s="1"/>
  <c r="W1" i="5"/>
  <c r="W19" i="5" s="1"/>
  <c r="V1" i="5"/>
  <c r="V19" i="5" s="1"/>
  <c r="U1" i="5"/>
  <c r="U19" i="5" s="1"/>
  <c r="T1" i="5"/>
  <c r="T19" i="5" s="1"/>
  <c r="S1" i="5"/>
  <c r="S19" i="5" s="1"/>
  <c r="R1" i="5"/>
  <c r="R19" i="5" s="1"/>
  <c r="Q1" i="5"/>
  <c r="Q19" i="5" s="1"/>
  <c r="P1" i="5"/>
  <c r="P19" i="5" s="1"/>
  <c r="O1" i="5"/>
  <c r="O19" i="5" s="1"/>
  <c r="N1" i="5"/>
  <c r="N19" i="5" s="1"/>
  <c r="M1" i="5"/>
  <c r="M19" i="5" s="1"/>
  <c r="L1" i="5"/>
  <c r="L19" i="5" s="1"/>
  <c r="K1" i="5"/>
  <c r="K19" i="5" s="1"/>
  <c r="J1" i="5"/>
  <c r="J19" i="5" s="1"/>
  <c r="I1" i="5"/>
  <c r="I19" i="5" s="1"/>
  <c r="H1" i="5"/>
  <c r="H19" i="5" s="1"/>
  <c r="G1" i="5"/>
  <c r="G19" i="5" s="1"/>
  <c r="F1" i="5"/>
  <c r="F19" i="5" s="1"/>
  <c r="E1" i="5"/>
  <c r="E19" i="5" s="1"/>
  <c r="D1" i="5"/>
  <c r="D19" i="5" s="1"/>
  <c r="C1" i="5"/>
  <c r="C19" i="5" s="1"/>
  <c r="B1" i="5"/>
  <c r="B19" i="5" s="1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D28" i="3"/>
  <c r="B1" i="3"/>
  <c r="B7" i="3"/>
  <c r="C19" i="3" s="1"/>
  <c r="D19" i="3" s="1"/>
  <c r="B9" i="3"/>
  <c r="C34" i="2"/>
  <c r="B14" i="3"/>
  <c r="C12" i="7" s="1"/>
  <c r="B5" i="3"/>
  <c r="C4" i="7" s="1"/>
  <c r="D8" i="4"/>
  <c r="D9" i="4" s="1"/>
  <c r="D36" i="2" l="1"/>
  <c r="E31" i="2" s="1"/>
  <c r="F43" i="2"/>
  <c r="H43" i="2"/>
  <c r="G43" i="2"/>
  <c r="D10" i="5"/>
  <c r="E10" i="5" s="1"/>
  <c r="F29" i="2"/>
  <c r="E54" i="2"/>
  <c r="D34" i="2"/>
  <c r="B12" i="5"/>
  <c r="C26" i="5"/>
  <c r="E28" i="3"/>
  <c r="B4" i="5"/>
  <c r="B6" i="5" s="1"/>
  <c r="J43" i="2" l="1"/>
  <c r="I43" i="2"/>
  <c r="K43" i="2"/>
  <c r="G30" i="3"/>
  <c r="H24" i="3" s="1"/>
  <c r="H25" i="3" s="1"/>
  <c r="F10" i="5"/>
  <c r="G10" i="5" s="1"/>
  <c r="H10" i="5" s="1"/>
  <c r="C11" i="5"/>
  <c r="F54" i="2"/>
  <c r="C28" i="5"/>
  <c r="B14" i="5"/>
  <c r="E24" i="3"/>
  <c r="E25" i="3" s="1"/>
  <c r="B3" i="5"/>
  <c r="B7" i="5" s="1"/>
  <c r="C4" i="5"/>
  <c r="C22" i="5" s="1"/>
  <c r="C5" i="5" s="1"/>
  <c r="F28" i="3"/>
  <c r="D42" i="2" l="1"/>
  <c r="D44" i="2" s="1"/>
  <c r="D46" i="2" s="1"/>
  <c r="C12" i="5"/>
  <c r="D26" i="5"/>
  <c r="D11" i="5" s="1"/>
  <c r="G54" i="2"/>
  <c r="D29" i="3"/>
  <c r="C3" i="5"/>
  <c r="E29" i="3"/>
  <c r="E30" i="2"/>
  <c r="E36" i="2" s="1"/>
  <c r="D28" i="5"/>
  <c r="C14" i="5"/>
  <c r="E30" i="3"/>
  <c r="F24" i="3" s="1"/>
  <c r="F25" i="3" s="1"/>
  <c r="C35" i="2"/>
  <c r="G28" i="3"/>
  <c r="D4" i="5"/>
  <c r="D22" i="5" s="1"/>
  <c r="B9" i="5"/>
  <c r="B13" i="5" s="1"/>
  <c r="J30" i="3" l="1"/>
  <c r="K24" i="3" s="1"/>
  <c r="E42" i="2"/>
  <c r="E44" i="2" s="1"/>
  <c r="E46" i="2" s="1"/>
  <c r="D12" i="5"/>
  <c r="E26" i="5"/>
  <c r="E11" i="5" s="1"/>
  <c r="I29" i="2"/>
  <c r="H54" i="2"/>
  <c r="C7" i="5"/>
  <c r="F29" i="3"/>
  <c r="D3" i="5"/>
  <c r="E26" i="3"/>
  <c r="C9" i="5" s="1"/>
  <c r="C13" i="5" s="1"/>
  <c r="E28" i="5"/>
  <c r="D14" i="5"/>
  <c r="F30" i="3"/>
  <c r="D5" i="5"/>
  <c r="D35" i="2"/>
  <c r="C6" i="5"/>
  <c r="H28" i="3"/>
  <c r="E4" i="5"/>
  <c r="N43" i="2" l="1"/>
  <c r="L43" i="2"/>
  <c r="M43" i="2"/>
  <c r="G24" i="3"/>
  <c r="G25" i="3" s="1"/>
  <c r="E22" i="5"/>
  <c r="E5" i="5" s="1"/>
  <c r="J29" i="2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I54" i="2"/>
  <c r="E12" i="5"/>
  <c r="F26" i="5"/>
  <c r="F11" i="5" s="1"/>
  <c r="D7" i="5"/>
  <c r="F26" i="3"/>
  <c r="D9" i="5" s="1"/>
  <c r="D13" i="5" s="1"/>
  <c r="E14" i="5"/>
  <c r="F28" i="5"/>
  <c r="D6" i="5"/>
  <c r="I10" i="5"/>
  <c r="J10" i="5" s="1"/>
  <c r="K10" i="5" s="1"/>
  <c r="F4" i="5"/>
  <c r="I28" i="3"/>
  <c r="E3" i="5" l="1"/>
  <c r="E7" i="5" s="1"/>
  <c r="G42" i="2"/>
  <c r="G44" i="2" s="1"/>
  <c r="G46" i="2" s="1"/>
  <c r="F42" i="2"/>
  <c r="F44" i="2" s="1"/>
  <c r="F46" i="2" s="1"/>
  <c r="AE54" i="2"/>
  <c r="AF29" i="2"/>
  <c r="F22" i="5"/>
  <c r="J54" i="2"/>
  <c r="G29" i="3"/>
  <c r="G28" i="5"/>
  <c r="F14" i="5"/>
  <c r="G26" i="5"/>
  <c r="F12" i="5"/>
  <c r="E6" i="5"/>
  <c r="J28" i="3"/>
  <c r="G4" i="5"/>
  <c r="AF54" i="2" l="1"/>
  <c r="AG29" i="2"/>
  <c r="H29" i="3"/>
  <c r="F5" i="5"/>
  <c r="G22" i="5" s="1"/>
  <c r="G5" i="5" s="1"/>
  <c r="K54" i="2"/>
  <c r="G26" i="3"/>
  <c r="H28" i="5"/>
  <c r="G14" i="5"/>
  <c r="G11" i="5"/>
  <c r="H4" i="5"/>
  <c r="K28" i="3"/>
  <c r="F6" i="5" l="1"/>
  <c r="AH29" i="2"/>
  <c r="AI29" i="2" s="1"/>
  <c r="AG54" i="2"/>
  <c r="H22" i="5"/>
  <c r="H5" i="5" s="1"/>
  <c r="H30" i="3"/>
  <c r="F3" i="5"/>
  <c r="F7" i="5" s="1"/>
  <c r="L54" i="2"/>
  <c r="G12" i="5"/>
  <c r="H26" i="5"/>
  <c r="H11" i="5" s="1"/>
  <c r="E9" i="5"/>
  <c r="E13" i="5" s="1"/>
  <c r="H26" i="3"/>
  <c r="F9" i="5" s="1"/>
  <c r="F13" i="5" s="1"/>
  <c r="H14" i="5"/>
  <c r="I28" i="5"/>
  <c r="G6" i="5"/>
  <c r="L28" i="3"/>
  <c r="I4" i="5"/>
  <c r="I24" i="3" l="1"/>
  <c r="AI54" i="2"/>
  <c r="AH54" i="2"/>
  <c r="M54" i="2"/>
  <c r="I26" i="5"/>
  <c r="I11" i="5" s="1"/>
  <c r="H12" i="5"/>
  <c r="J28" i="5"/>
  <c r="I14" i="5"/>
  <c r="H6" i="5"/>
  <c r="J4" i="5"/>
  <c r="G3" i="5" l="1"/>
  <c r="G7" i="5" s="1"/>
  <c r="H42" i="2"/>
  <c r="H44" i="2" s="1"/>
  <c r="H46" i="2" s="1"/>
  <c r="I29" i="3"/>
  <c r="I26" i="3"/>
  <c r="G9" i="5" s="1"/>
  <c r="G13" i="5" s="1"/>
  <c r="I30" i="3"/>
  <c r="J24" i="3" s="1"/>
  <c r="I12" i="5"/>
  <c r="J26" i="5"/>
  <c r="J11" i="5" s="1"/>
  <c r="N54" i="2"/>
  <c r="J14" i="5"/>
  <c r="K28" i="5"/>
  <c r="J42" i="2" l="1"/>
  <c r="J44" i="2" s="1"/>
  <c r="J46" i="2" s="1"/>
  <c r="H3" i="5"/>
  <c r="H7" i="5" s="1"/>
  <c r="K29" i="3"/>
  <c r="I3" i="5"/>
  <c r="O54" i="2"/>
  <c r="J12" i="5"/>
  <c r="K14" i="5"/>
  <c r="L28" i="5"/>
  <c r="I42" i="2" l="1"/>
  <c r="I44" i="2" s="1"/>
  <c r="I46" i="2" s="1"/>
  <c r="K30" i="3"/>
  <c r="J29" i="3"/>
  <c r="J26" i="3"/>
  <c r="P54" i="2"/>
  <c r="M28" i="5"/>
  <c r="L14" i="5"/>
  <c r="L24" i="3" l="1"/>
  <c r="K26" i="3"/>
  <c r="H9" i="5"/>
  <c r="H13" i="5" s="1"/>
  <c r="Q54" i="2"/>
  <c r="N28" i="5"/>
  <c r="M14" i="5"/>
  <c r="L29" i="3" l="1"/>
  <c r="K42" i="2"/>
  <c r="K44" i="2" s="1"/>
  <c r="K46" i="2" s="1"/>
  <c r="L30" i="3"/>
  <c r="M24" i="3" s="1"/>
  <c r="J3" i="5"/>
  <c r="I9" i="5"/>
  <c r="I13" i="5" s="1"/>
  <c r="L26" i="3"/>
  <c r="J9" i="5" s="1"/>
  <c r="J13" i="5" s="1"/>
  <c r="R54" i="2"/>
  <c r="N14" i="5"/>
  <c r="O28" i="5"/>
  <c r="K3" i="5" l="1"/>
  <c r="S54" i="2"/>
  <c r="P28" i="5"/>
  <c r="O14" i="5"/>
  <c r="T54" i="2" l="1"/>
  <c r="P14" i="5"/>
  <c r="Q28" i="5"/>
  <c r="U54" i="2" l="1"/>
  <c r="Q14" i="5"/>
  <c r="R28" i="5"/>
  <c r="V54" i="2" l="1"/>
  <c r="S28" i="5"/>
  <c r="R14" i="5"/>
  <c r="W54" i="2" l="1"/>
  <c r="S14" i="5"/>
  <c r="T28" i="5"/>
  <c r="X54" i="2" l="1"/>
  <c r="T14" i="5"/>
  <c r="U28" i="5"/>
  <c r="Y54" i="2" l="1"/>
  <c r="U14" i="5"/>
  <c r="V28" i="5"/>
  <c r="Z54" i="2" l="1"/>
  <c r="V14" i="5"/>
  <c r="W28" i="5"/>
  <c r="AA54" i="2" l="1"/>
  <c r="W14" i="5"/>
  <c r="X28" i="5"/>
  <c r="AB54" i="2" l="1"/>
  <c r="X14" i="5"/>
  <c r="Y28" i="5"/>
  <c r="AC54" i="2" l="1"/>
  <c r="Z28" i="5"/>
  <c r="Y14" i="5"/>
  <c r="AD54" i="2" l="1"/>
  <c r="Z14" i="5"/>
  <c r="AA28" i="5"/>
  <c r="AB28" i="5" l="1"/>
  <c r="AA14" i="5"/>
  <c r="AB14" i="5" l="1"/>
  <c r="AC28" i="5"/>
  <c r="AC14" i="5" l="1"/>
  <c r="AD28" i="5"/>
  <c r="AD14" i="5" l="1"/>
  <c r="AE28" i="5"/>
  <c r="AF28" i="5" l="1"/>
  <c r="AE14" i="5"/>
  <c r="AF14" i="5" l="1"/>
  <c r="AG28" i="5"/>
  <c r="AH28" i="5" l="1"/>
  <c r="AG14" i="5"/>
  <c r="AI28" i="5" l="1"/>
  <c r="AH14" i="5"/>
  <c r="AI14" i="5" l="1"/>
  <c r="AJ28" i="5"/>
  <c r="AK28" i="5" l="1"/>
  <c r="AJ14" i="5"/>
  <c r="AL28" i="5" l="1"/>
  <c r="AK14" i="5"/>
  <c r="AM28" i="5" l="1"/>
  <c r="AL14" i="5"/>
  <c r="AN28" i="5" l="1"/>
  <c r="AO28" i="5" s="1"/>
  <c r="AP28" i="5" s="1"/>
  <c r="AQ28" i="5" s="1"/>
  <c r="AR28" i="5" s="1"/>
  <c r="AS28" i="5" s="1"/>
  <c r="AT28" i="5" s="1"/>
  <c r="AU28" i="5" s="1"/>
  <c r="AV28" i="5" s="1"/>
  <c r="AW28" i="5" s="1"/>
  <c r="AX28" i="5" s="1"/>
  <c r="AY28" i="5" s="1"/>
  <c r="AZ28" i="5" s="1"/>
  <c r="BA28" i="5" s="1"/>
  <c r="BB28" i="5" s="1"/>
  <c r="BC28" i="5" s="1"/>
  <c r="BD28" i="5" s="1"/>
  <c r="BE28" i="5" s="1"/>
  <c r="BF28" i="5" s="1"/>
  <c r="BG28" i="5" s="1"/>
  <c r="BH28" i="5" s="1"/>
  <c r="BI28" i="5" s="1"/>
  <c r="BJ28" i="5" s="1"/>
  <c r="BK28" i="5" s="1"/>
  <c r="BL28" i="5" s="1"/>
  <c r="BM28" i="5" s="1"/>
  <c r="BN28" i="5" s="1"/>
  <c r="BO28" i="5" s="1"/>
  <c r="BP28" i="5" s="1"/>
  <c r="BQ28" i="5" s="1"/>
  <c r="BR28" i="5" s="1"/>
  <c r="BS28" i="5" s="1"/>
  <c r="BT28" i="5" s="1"/>
  <c r="BU28" i="5" s="1"/>
  <c r="BV28" i="5" s="1"/>
  <c r="BW28" i="5" s="1"/>
  <c r="BX28" i="5" s="1"/>
  <c r="BY28" i="5" s="1"/>
  <c r="BZ28" i="5" s="1"/>
  <c r="CA28" i="5" s="1"/>
  <c r="CB28" i="5" s="1"/>
  <c r="CC28" i="5" s="1"/>
  <c r="CD28" i="5" s="1"/>
  <c r="CE28" i="5" s="1"/>
  <c r="CF28" i="5" s="1"/>
  <c r="CG28" i="5" s="1"/>
  <c r="CH28" i="5" s="1"/>
  <c r="CI28" i="5" s="1"/>
  <c r="CJ28" i="5" s="1"/>
  <c r="CK28" i="5" s="1"/>
  <c r="CL28" i="5" s="1"/>
  <c r="CM28" i="5" s="1"/>
  <c r="CN28" i="5" s="1"/>
  <c r="CO28" i="5" s="1"/>
  <c r="CP28" i="5" s="1"/>
  <c r="CQ28" i="5" s="1"/>
  <c r="CR28" i="5" s="1"/>
  <c r="CS28" i="5" s="1"/>
  <c r="CT28" i="5" s="1"/>
  <c r="AM14" i="5"/>
  <c r="AN14" i="5" l="1"/>
  <c r="AO14" i="5" l="1"/>
  <c r="AP14" i="5" l="1"/>
  <c r="AQ14" i="5" l="1"/>
  <c r="AR14" i="5" l="1"/>
  <c r="AS14" i="5" l="1"/>
  <c r="AT14" i="5" l="1"/>
  <c r="AU14" i="5" l="1"/>
  <c r="AV14" i="5" l="1"/>
  <c r="AW14" i="5" l="1"/>
  <c r="AX14" i="5" l="1"/>
  <c r="AY14" i="5" l="1"/>
  <c r="AZ14" i="5" l="1"/>
  <c r="BA14" i="5" l="1"/>
  <c r="BB14" i="5" l="1"/>
  <c r="BC14" i="5" l="1"/>
  <c r="BD14" i="5" l="1"/>
  <c r="BE14" i="5" l="1"/>
  <c r="BF14" i="5" l="1"/>
  <c r="BG14" i="5" l="1"/>
  <c r="BH14" i="5" l="1"/>
  <c r="BI14" i="5" l="1"/>
  <c r="BJ14" i="5" l="1"/>
  <c r="BK14" i="5" l="1"/>
  <c r="BL14" i="5" l="1"/>
  <c r="BM14" i="5" l="1"/>
  <c r="BN14" i="5" l="1"/>
  <c r="BO14" i="5" l="1"/>
  <c r="BP14" i="5" l="1"/>
  <c r="BQ14" i="5" l="1"/>
  <c r="BR14" i="5" l="1"/>
  <c r="BS14" i="5" l="1"/>
  <c r="I22" i="5"/>
  <c r="I5" i="5" s="1"/>
  <c r="BT14" i="5" l="1"/>
  <c r="J22" i="5"/>
  <c r="I7" i="5"/>
  <c r="I6" i="5"/>
  <c r="BU14" i="5" l="1"/>
  <c r="J5" i="5"/>
  <c r="BV14" i="5" l="1"/>
  <c r="J6" i="5"/>
  <c r="J7" i="5"/>
  <c r="E34" i="2"/>
  <c r="E35" i="2"/>
  <c r="F30" i="2"/>
  <c r="F36" i="2" s="1"/>
  <c r="M30" i="3" l="1"/>
  <c r="L10" i="5"/>
  <c r="M10" i="5" s="1"/>
  <c r="N10" i="5" s="1"/>
  <c r="BW14" i="5"/>
  <c r="N24" i="3" l="1"/>
  <c r="L42" i="2"/>
  <c r="L44" i="2" s="1"/>
  <c r="L46" i="2" s="1"/>
  <c r="O43" i="2"/>
  <c r="Q43" i="2"/>
  <c r="P43" i="2"/>
  <c r="L3" i="5"/>
  <c r="O10" i="5"/>
  <c r="P10" i="5" s="1"/>
  <c r="Q10" i="5" s="1"/>
  <c r="G36" i="2"/>
  <c r="H31" i="2" s="1"/>
  <c r="BX14" i="5"/>
  <c r="K26" i="5"/>
  <c r="K11" i="5" s="1"/>
  <c r="F34" i="2"/>
  <c r="F35" i="2"/>
  <c r="M42" i="2" l="1"/>
  <c r="M44" i="2" s="1"/>
  <c r="M46" i="2" s="1"/>
  <c r="P30" i="3"/>
  <c r="T27" i="3"/>
  <c r="BY14" i="5"/>
  <c r="AL27" i="3"/>
  <c r="AI27" i="3"/>
  <c r="W27" i="3"/>
  <c r="AF27" i="3"/>
  <c r="AO27" i="3"/>
  <c r="AR27" i="3" s="1"/>
  <c r="AU27" i="3" s="1"/>
  <c r="AX27" i="3" s="1"/>
  <c r="BA27" i="3" s="1"/>
  <c r="BD27" i="3" s="1"/>
  <c r="BG27" i="3" s="1"/>
  <c r="BJ27" i="3" s="1"/>
  <c r="BM27" i="3" s="1"/>
  <c r="BP27" i="3" s="1"/>
  <c r="BS27" i="3" s="1"/>
  <c r="BV27" i="3" s="1"/>
  <c r="BY27" i="3" s="1"/>
  <c r="CB27" i="3" s="1"/>
  <c r="CE27" i="3" s="1"/>
  <c r="CH27" i="3" s="1"/>
  <c r="CK27" i="3" s="1"/>
  <c r="CN27" i="3" s="1"/>
  <c r="CQ27" i="3" s="1"/>
  <c r="CT27" i="3" s="1"/>
  <c r="AC27" i="3"/>
  <c r="Q27" i="3"/>
  <c r="Z27" i="3"/>
  <c r="K12" i="5"/>
  <c r="L26" i="5"/>
  <c r="M28" i="3"/>
  <c r="BZ14" i="5" l="1"/>
  <c r="G35" i="2"/>
  <c r="G34" i="2"/>
  <c r="H34" i="2" s="1"/>
  <c r="I34" i="2" s="1"/>
  <c r="J34" i="2" s="1"/>
  <c r="K34" i="2" s="1"/>
  <c r="L34" i="2" s="1"/>
  <c r="M34" i="2" s="1"/>
  <c r="N34" i="2" s="1"/>
  <c r="O34" i="2" s="1"/>
  <c r="L11" i="5"/>
  <c r="N28" i="3"/>
  <c r="K4" i="5"/>
  <c r="R43" i="2" l="1"/>
  <c r="T43" i="2"/>
  <c r="S43" i="2"/>
  <c r="H30" i="2"/>
  <c r="H36" i="2" s="1"/>
  <c r="I31" i="2" s="1"/>
  <c r="CA14" i="5"/>
  <c r="N30" i="3"/>
  <c r="L4" i="5"/>
  <c r="O28" i="3"/>
  <c r="L12" i="5"/>
  <c r="M26" i="5"/>
  <c r="M26" i="3"/>
  <c r="M29" i="3"/>
  <c r="K22" i="5"/>
  <c r="S30" i="3" l="1"/>
  <c r="M3" i="5"/>
  <c r="CB14" i="5"/>
  <c r="I30" i="2"/>
  <c r="R10" i="5"/>
  <c r="S10" i="5" s="1"/>
  <c r="T10" i="5" s="1"/>
  <c r="H35" i="2"/>
  <c r="N29" i="3"/>
  <c r="M4" i="5"/>
  <c r="P28" i="3"/>
  <c r="K9" i="5"/>
  <c r="K13" i="5" s="1"/>
  <c r="K5" i="5"/>
  <c r="M11" i="5"/>
  <c r="O30" i="3"/>
  <c r="P24" i="3" s="1"/>
  <c r="P25" i="3" s="1"/>
  <c r="N3" i="5" l="1"/>
  <c r="O42" i="2"/>
  <c r="O44" i="2" s="1"/>
  <c r="O46" i="2" s="1"/>
  <c r="U43" i="2"/>
  <c r="W43" i="2"/>
  <c r="V43" i="2"/>
  <c r="O29" i="3"/>
  <c r="N42" i="2"/>
  <c r="N44" i="2" s="1"/>
  <c r="N46" i="2" s="1"/>
  <c r="I36" i="2"/>
  <c r="CC14" i="5"/>
  <c r="I35" i="2"/>
  <c r="U10" i="5"/>
  <c r="V10" i="5" s="1"/>
  <c r="W10" i="5" s="1"/>
  <c r="N26" i="3"/>
  <c r="O26" i="3" s="1"/>
  <c r="Q24" i="3"/>
  <c r="Q25" i="3" s="1"/>
  <c r="M12" i="5"/>
  <c r="N26" i="5"/>
  <c r="K7" i="5"/>
  <c r="K6" i="5"/>
  <c r="Q28" i="3"/>
  <c r="N4" i="5"/>
  <c r="L22" i="5"/>
  <c r="O3" i="5" l="1"/>
  <c r="V30" i="3"/>
  <c r="J35" i="2"/>
  <c r="Q30" i="3"/>
  <c r="R24" i="3" s="1"/>
  <c r="R25" i="3" s="1"/>
  <c r="P42" i="2"/>
  <c r="P44" i="2" s="1"/>
  <c r="CD14" i="5"/>
  <c r="X10" i="5"/>
  <c r="Y10" i="5" s="1"/>
  <c r="Z10" i="5" s="1"/>
  <c r="L9" i="5"/>
  <c r="L13" i="5" s="1"/>
  <c r="P29" i="3"/>
  <c r="O4" i="5"/>
  <c r="R28" i="3"/>
  <c r="M9" i="5"/>
  <c r="M13" i="5" s="1"/>
  <c r="L5" i="5"/>
  <c r="N11" i="5"/>
  <c r="Z43" i="2" l="1"/>
  <c r="Y43" i="2"/>
  <c r="X43" i="2"/>
  <c r="J36" i="2"/>
  <c r="K31" i="2" s="1"/>
  <c r="P3" i="5"/>
  <c r="CE14" i="5"/>
  <c r="AA10" i="5"/>
  <c r="AB10" i="5" s="1"/>
  <c r="AC10" i="5" s="1"/>
  <c r="Q29" i="3"/>
  <c r="P26" i="3"/>
  <c r="R30" i="3"/>
  <c r="S24" i="3" s="1"/>
  <c r="S25" i="3" s="1"/>
  <c r="N12" i="5"/>
  <c r="O26" i="5"/>
  <c r="P45" i="2" s="1"/>
  <c r="P46" i="2" s="1"/>
  <c r="L7" i="5"/>
  <c r="L6" i="5"/>
  <c r="M22" i="5"/>
  <c r="P4" i="5"/>
  <c r="S28" i="3"/>
  <c r="Q3" i="5" l="1"/>
  <c r="R42" i="2"/>
  <c r="R44" i="2" s="1"/>
  <c r="Y30" i="3"/>
  <c r="K30" i="2"/>
  <c r="K36" i="2" s="1"/>
  <c r="L31" i="2" s="1"/>
  <c r="CF14" i="5"/>
  <c r="R29" i="3"/>
  <c r="Q42" i="2"/>
  <c r="Q44" i="2" s="1"/>
  <c r="AD10" i="5"/>
  <c r="AE10" i="5" s="1"/>
  <c r="AF10" i="5" s="1"/>
  <c r="Q26" i="3"/>
  <c r="R26" i="3" s="1"/>
  <c r="N9" i="5"/>
  <c r="N13" i="5" s="1"/>
  <c r="T24" i="3"/>
  <c r="T25" i="3" s="1"/>
  <c r="Q4" i="5"/>
  <c r="T28" i="3"/>
  <c r="O11" i="5"/>
  <c r="M5" i="5"/>
  <c r="AB30" i="3" l="1"/>
  <c r="K35" i="2"/>
  <c r="AA43" i="2"/>
  <c r="AC43" i="2"/>
  <c r="AB43" i="2"/>
  <c r="CG14" i="5"/>
  <c r="S42" i="2"/>
  <c r="S44" i="2" s="1"/>
  <c r="R3" i="5"/>
  <c r="L30" i="2"/>
  <c r="AG10" i="5"/>
  <c r="AH10" i="5" s="1"/>
  <c r="AI10" i="5" s="1"/>
  <c r="O9" i="5"/>
  <c r="O13" i="5" s="1"/>
  <c r="S29" i="3"/>
  <c r="U28" i="3"/>
  <c r="R4" i="5"/>
  <c r="M7" i="5"/>
  <c r="M6" i="5"/>
  <c r="N22" i="5"/>
  <c r="O12" i="5"/>
  <c r="P26" i="5"/>
  <c r="Q45" i="2" s="1"/>
  <c r="Q46" i="2" s="1"/>
  <c r="T30" i="3"/>
  <c r="U24" i="3" s="1"/>
  <c r="U25" i="3" s="1"/>
  <c r="P9" i="5"/>
  <c r="L35" i="2" l="1"/>
  <c r="AD43" i="2"/>
  <c r="AF43" i="2"/>
  <c r="AE43" i="2"/>
  <c r="CH14" i="5"/>
  <c r="S3" i="5"/>
  <c r="L36" i="2"/>
  <c r="M31" i="2" s="1"/>
  <c r="AJ10" i="5"/>
  <c r="AK10" i="5" s="1"/>
  <c r="T29" i="3"/>
  <c r="P11" i="5"/>
  <c r="N5" i="5"/>
  <c r="V28" i="3"/>
  <c r="S4" i="5"/>
  <c r="U30" i="3"/>
  <c r="V24" i="3" s="1"/>
  <c r="V25" i="3" s="1"/>
  <c r="S26" i="3"/>
  <c r="T3" i="5" l="1"/>
  <c r="U42" i="2"/>
  <c r="U44" i="2" s="1"/>
  <c r="AE30" i="3"/>
  <c r="CI14" i="5"/>
  <c r="U29" i="3"/>
  <c r="T42" i="2"/>
  <c r="T44" i="2" s="1"/>
  <c r="M30" i="2"/>
  <c r="P13" i="5"/>
  <c r="Q26" i="5"/>
  <c r="R45" i="2" s="1"/>
  <c r="R46" i="2" s="1"/>
  <c r="T26" i="3"/>
  <c r="Q9" i="5"/>
  <c r="N7" i="5"/>
  <c r="N6" i="5"/>
  <c r="O22" i="5"/>
  <c r="P12" i="5"/>
  <c r="W28" i="3"/>
  <c r="T4" i="5"/>
  <c r="M35" i="2" l="1"/>
  <c r="AH43" i="2"/>
  <c r="AI43" i="2"/>
  <c r="AG43" i="2"/>
  <c r="CJ14" i="5"/>
  <c r="V42" i="2"/>
  <c r="V44" i="2" s="1"/>
  <c r="U3" i="5"/>
  <c r="M36" i="2"/>
  <c r="V29" i="3"/>
  <c r="W30" i="3"/>
  <c r="X24" i="3" s="1"/>
  <c r="X25" i="3" s="1"/>
  <c r="Q11" i="5"/>
  <c r="O5" i="5"/>
  <c r="U26" i="3"/>
  <c r="R9" i="5"/>
  <c r="U4" i="5"/>
  <c r="X28" i="3"/>
  <c r="N31" i="2" l="1"/>
  <c r="AH30" i="3"/>
  <c r="CK14" i="5"/>
  <c r="V3" i="5"/>
  <c r="N30" i="2"/>
  <c r="W29" i="3"/>
  <c r="Q12" i="5"/>
  <c r="R26" i="5"/>
  <c r="S45" i="2" s="1"/>
  <c r="S46" i="2" s="1"/>
  <c r="Q13" i="5"/>
  <c r="V4" i="5"/>
  <c r="Y28" i="3"/>
  <c r="O7" i="5"/>
  <c r="O6" i="5"/>
  <c r="P22" i="5"/>
  <c r="X30" i="3"/>
  <c r="Y24" i="3" s="1"/>
  <c r="Y25" i="3" s="1"/>
  <c r="S9" i="5"/>
  <c r="V26" i="3"/>
  <c r="W3" i="5" l="1"/>
  <c r="X42" i="2"/>
  <c r="X44" i="2" s="1"/>
  <c r="AL43" i="2"/>
  <c r="AK43" i="2"/>
  <c r="AJ43" i="2"/>
  <c r="CL14" i="5"/>
  <c r="X29" i="3"/>
  <c r="W42" i="2"/>
  <c r="W44" i="2" s="1"/>
  <c r="N35" i="2"/>
  <c r="N36" i="2"/>
  <c r="O31" i="2" s="1"/>
  <c r="T9" i="5"/>
  <c r="W26" i="3"/>
  <c r="Z24" i="3"/>
  <c r="Z25" i="3" s="1"/>
  <c r="P5" i="5"/>
  <c r="W4" i="5"/>
  <c r="Z28" i="3"/>
  <c r="R11" i="5"/>
  <c r="AK30" i="3" l="1"/>
  <c r="CM14" i="5"/>
  <c r="Y42" i="2"/>
  <c r="Y44" i="2" s="1"/>
  <c r="X3" i="5"/>
  <c r="O30" i="2"/>
  <c r="P31" i="2" s="1"/>
  <c r="Y29" i="3"/>
  <c r="U9" i="5"/>
  <c r="X26" i="3"/>
  <c r="R12" i="5"/>
  <c r="S26" i="5"/>
  <c r="T45" i="2" s="1"/>
  <c r="T46" i="2" s="1"/>
  <c r="R13" i="5"/>
  <c r="P7" i="5"/>
  <c r="P6" i="5"/>
  <c r="Q22" i="5"/>
  <c r="X4" i="5"/>
  <c r="AA28" i="3"/>
  <c r="Z30" i="3"/>
  <c r="AA24" i="3" s="1"/>
  <c r="AA25" i="3" s="1"/>
  <c r="CN14" i="5" l="1"/>
  <c r="Y3" i="5"/>
  <c r="AG33" i="2"/>
  <c r="AC33" i="2"/>
  <c r="CD27" i="3" s="1"/>
  <c r="Y33" i="2"/>
  <c r="BR27" i="3" s="1"/>
  <c r="U33" i="2"/>
  <c r="BF27" i="3" s="1"/>
  <c r="Q33" i="2"/>
  <c r="AT27" i="3" s="1"/>
  <c r="AB33" i="2"/>
  <c r="CA27" i="3" s="1"/>
  <c r="T33" i="2"/>
  <c r="BC27" i="3" s="1"/>
  <c r="AI33" i="2"/>
  <c r="AE33" i="2"/>
  <c r="AA33" i="2"/>
  <c r="BX27" i="3" s="1"/>
  <c r="W33" i="2"/>
  <c r="BL27" i="3" s="1"/>
  <c r="S33" i="2"/>
  <c r="AZ27" i="3" s="1"/>
  <c r="AH33" i="2"/>
  <c r="AD33" i="2"/>
  <c r="Z33" i="2"/>
  <c r="BU27" i="3" s="1"/>
  <c r="V33" i="2"/>
  <c r="BI27" i="3" s="1"/>
  <c r="R33" i="2"/>
  <c r="AW27" i="3" s="1"/>
  <c r="AF33" i="2"/>
  <c r="X33" i="2"/>
  <c r="BO27" i="3" s="1"/>
  <c r="P33" i="2"/>
  <c r="AQ27" i="3" s="1"/>
  <c r="O35" i="2"/>
  <c r="Z29" i="3"/>
  <c r="AA30" i="3"/>
  <c r="AB24" i="3" s="1"/>
  <c r="AB25" i="3" s="1"/>
  <c r="Q5" i="5"/>
  <c r="V9" i="5"/>
  <c r="Y26" i="3"/>
  <c r="AB28" i="3"/>
  <c r="Y4" i="5"/>
  <c r="S11" i="5"/>
  <c r="Z3" i="5" l="1"/>
  <c r="AA42" i="2"/>
  <c r="AA44" i="2" s="1"/>
  <c r="AL10" i="5"/>
  <c r="AM10" i="5" s="1"/>
  <c r="AN10" i="5" s="1"/>
  <c r="CO14" i="5"/>
  <c r="AA29" i="3"/>
  <c r="Z42" i="2"/>
  <c r="Z44" i="2" s="1"/>
  <c r="CJ27" i="3"/>
  <c r="CS27" i="3"/>
  <c r="CV27" i="3"/>
  <c r="CM27" i="3"/>
  <c r="CG27" i="3"/>
  <c r="CP27" i="3"/>
  <c r="P34" i="2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P30" i="2"/>
  <c r="P36" i="2" s="1"/>
  <c r="Q31" i="2" s="1"/>
  <c r="T26" i="5"/>
  <c r="U45" i="2" s="1"/>
  <c r="U46" i="2" s="1"/>
  <c r="S12" i="5"/>
  <c r="S13" i="5"/>
  <c r="Q7" i="5"/>
  <c r="Q6" i="5"/>
  <c r="R22" i="5"/>
  <c r="AC24" i="3"/>
  <c r="AC25" i="3" s="1"/>
  <c r="AC28" i="3"/>
  <c r="Z4" i="5"/>
  <c r="Z26" i="3"/>
  <c r="W9" i="5"/>
  <c r="CP14" i="5" l="1"/>
  <c r="AB42" i="2"/>
  <c r="AB44" i="2" s="1"/>
  <c r="AA3" i="5"/>
  <c r="Q30" i="2"/>
  <c r="Q36" i="2" s="1"/>
  <c r="R31" i="2" s="1"/>
  <c r="P32" i="2"/>
  <c r="AO10" i="5" s="1"/>
  <c r="P35" i="2"/>
  <c r="AB29" i="3"/>
  <c r="X9" i="5"/>
  <c r="AA26" i="3"/>
  <c r="AC30" i="3"/>
  <c r="AD24" i="3" s="1"/>
  <c r="AD25" i="3" s="1"/>
  <c r="T11" i="5"/>
  <c r="AD28" i="3"/>
  <c r="AA4" i="5"/>
  <c r="R5" i="5"/>
  <c r="AP10" i="5" l="1"/>
  <c r="AQ10" i="5" s="1"/>
  <c r="CQ14" i="5"/>
  <c r="AB3" i="5"/>
  <c r="R30" i="2"/>
  <c r="R36" i="2" s="1"/>
  <c r="S31" i="2" s="1"/>
  <c r="Q32" i="2"/>
  <c r="AR10" i="5" s="1"/>
  <c r="AS10" i="5" s="1"/>
  <c r="AT10" i="5" s="1"/>
  <c r="Q35" i="2"/>
  <c r="AC29" i="3"/>
  <c r="R7" i="5"/>
  <c r="R6" i="5"/>
  <c r="S22" i="5"/>
  <c r="T12" i="5"/>
  <c r="U26" i="5"/>
  <c r="V45" i="2" s="1"/>
  <c r="V46" i="2" s="1"/>
  <c r="T13" i="5"/>
  <c r="Y9" i="5"/>
  <c r="AB26" i="3"/>
  <c r="AB4" i="5"/>
  <c r="AE28" i="3"/>
  <c r="AD30" i="3"/>
  <c r="AE24" i="3" s="1"/>
  <c r="AE25" i="3" s="1"/>
  <c r="AC3" i="5" l="1"/>
  <c r="AD42" i="2"/>
  <c r="AD44" i="2" s="1"/>
  <c r="CR14" i="5"/>
  <c r="AD29" i="3"/>
  <c r="AC42" i="2"/>
  <c r="AC44" i="2" s="1"/>
  <c r="R32" i="2"/>
  <c r="AU10" i="5" s="1"/>
  <c r="AV10" i="5" s="1"/>
  <c r="AW10" i="5" s="1"/>
  <c r="R35" i="2"/>
  <c r="S30" i="2"/>
  <c r="S36" i="2" s="1"/>
  <c r="T31" i="2" s="1"/>
  <c r="AF24" i="3"/>
  <c r="AF25" i="3" s="1"/>
  <c r="AC4" i="5"/>
  <c r="AF28" i="3"/>
  <c r="U11" i="5"/>
  <c r="Z9" i="5"/>
  <c r="AC26" i="3"/>
  <c r="S5" i="5"/>
  <c r="CS14" i="5" l="1"/>
  <c r="CT14" i="5"/>
  <c r="AE42" i="2"/>
  <c r="AE44" i="2" s="1"/>
  <c r="AD3" i="5"/>
  <c r="S35" i="2"/>
  <c r="S32" i="2"/>
  <c r="AX10" i="5" s="1"/>
  <c r="AY10" i="5" s="1"/>
  <c r="AZ10" i="5" s="1"/>
  <c r="T30" i="2"/>
  <c r="T36" i="2" s="1"/>
  <c r="U31" i="2" s="1"/>
  <c r="AE29" i="3"/>
  <c r="U12" i="5"/>
  <c r="V26" i="5"/>
  <c r="W45" i="2" s="1"/>
  <c r="W46" i="2" s="1"/>
  <c r="U13" i="5"/>
  <c r="AG28" i="3"/>
  <c r="AD4" i="5"/>
  <c r="AF30" i="3"/>
  <c r="AG24" i="3" s="1"/>
  <c r="AG25" i="3" s="1"/>
  <c r="S7" i="5"/>
  <c r="S6" i="5"/>
  <c r="T22" i="5"/>
  <c r="AA9" i="5"/>
  <c r="AD26" i="3"/>
  <c r="AE3" i="5" l="1"/>
  <c r="T35" i="2"/>
  <c r="T32" i="2"/>
  <c r="BA10" i="5" s="1"/>
  <c r="BB10" i="5" s="1"/>
  <c r="BC10" i="5" s="1"/>
  <c r="U30" i="2"/>
  <c r="U36" i="2" s="1"/>
  <c r="V31" i="2" s="1"/>
  <c r="AF29" i="3"/>
  <c r="AE4" i="5"/>
  <c r="AH28" i="3"/>
  <c r="T5" i="5"/>
  <c r="AG30" i="3"/>
  <c r="AH24" i="3" s="1"/>
  <c r="AH25" i="3" s="1"/>
  <c r="V11" i="5"/>
  <c r="AB9" i="5"/>
  <c r="AE26" i="3"/>
  <c r="AF3" i="5" l="1"/>
  <c r="AG42" i="2"/>
  <c r="AG44" i="2" s="1"/>
  <c r="AG29" i="3"/>
  <c r="AF42" i="2"/>
  <c r="AF44" i="2" s="1"/>
  <c r="U32" i="2"/>
  <c r="BD10" i="5" s="1"/>
  <c r="BE10" i="5" s="1"/>
  <c r="BF10" i="5" s="1"/>
  <c r="U35" i="2"/>
  <c r="V30" i="2"/>
  <c r="V36" i="2" s="1"/>
  <c r="W31" i="2" s="1"/>
  <c r="W26" i="5"/>
  <c r="X45" i="2" s="1"/>
  <c r="X46" i="2" s="1"/>
  <c r="V12" i="5"/>
  <c r="V13" i="5"/>
  <c r="AF4" i="5"/>
  <c r="AI28" i="3"/>
  <c r="AI24" i="3"/>
  <c r="AI25" i="3" s="1"/>
  <c r="T7" i="5"/>
  <c r="T6" i="5"/>
  <c r="U22" i="5"/>
  <c r="AC9" i="5"/>
  <c r="AF26" i="3"/>
  <c r="AH42" i="2" l="1"/>
  <c r="AH44" i="2" s="1"/>
  <c r="AG3" i="5"/>
  <c r="W30" i="2"/>
  <c r="W36" i="2" s="1"/>
  <c r="X31" i="2" s="1"/>
  <c r="V35" i="2"/>
  <c r="V32" i="2"/>
  <c r="BG10" i="5" s="1"/>
  <c r="BH10" i="5" s="1"/>
  <c r="BI10" i="5" s="1"/>
  <c r="AH29" i="3"/>
  <c r="AD9" i="5"/>
  <c r="AG26" i="3"/>
  <c r="W11" i="5"/>
  <c r="U5" i="5"/>
  <c r="AI30" i="3"/>
  <c r="AJ24" i="3" s="1"/>
  <c r="AJ25" i="3" s="1"/>
  <c r="AG4" i="5"/>
  <c r="AJ28" i="3"/>
  <c r="AH3" i="5" l="1"/>
  <c r="X30" i="2"/>
  <c r="X36" i="2" s="1"/>
  <c r="Y31" i="2" s="1"/>
  <c r="W32" i="2"/>
  <c r="BJ10" i="5" s="1"/>
  <c r="BK10" i="5" s="1"/>
  <c r="BL10" i="5" s="1"/>
  <c r="W35" i="2"/>
  <c r="AI29" i="3"/>
  <c r="U7" i="5"/>
  <c r="U6" i="5"/>
  <c r="V22" i="5"/>
  <c r="W12" i="5"/>
  <c r="X26" i="5"/>
  <c r="Y45" i="2" s="1"/>
  <c r="Y46" i="2" s="1"/>
  <c r="W13" i="5"/>
  <c r="AJ30" i="3"/>
  <c r="AK24" i="3" s="1"/>
  <c r="AK25" i="3" s="1"/>
  <c r="AE9" i="5"/>
  <c r="AH26" i="3"/>
  <c r="AK28" i="3"/>
  <c r="AH4" i="5"/>
  <c r="AI3" i="5" l="1"/>
  <c r="AJ42" i="2"/>
  <c r="AJ44" i="2" s="1"/>
  <c r="AJ29" i="3"/>
  <c r="AI42" i="2"/>
  <c r="AI44" i="2" s="1"/>
  <c r="Y30" i="2"/>
  <c r="Y36" i="2" s="1"/>
  <c r="Z31" i="2" s="1"/>
  <c r="X32" i="2"/>
  <c r="BM10" i="5" s="1"/>
  <c r="BN10" i="5" s="1"/>
  <c r="BO10" i="5" s="1"/>
  <c r="X35" i="2"/>
  <c r="X11" i="5"/>
  <c r="V5" i="5"/>
  <c r="AF9" i="5"/>
  <c r="AI26" i="3"/>
  <c r="AI4" i="5"/>
  <c r="AL28" i="3"/>
  <c r="AL24" i="3"/>
  <c r="AL25" i="3" s="1"/>
  <c r="AK42" i="2" l="1"/>
  <c r="AK44" i="2" s="1"/>
  <c r="AJ3" i="5"/>
  <c r="Z30" i="2"/>
  <c r="Z36" i="2" s="1"/>
  <c r="AA31" i="2" s="1"/>
  <c r="Y35" i="2"/>
  <c r="Y32" i="2"/>
  <c r="BP10" i="5" s="1"/>
  <c r="BQ10" i="5" s="1"/>
  <c r="BR10" i="5" s="1"/>
  <c r="AK29" i="3"/>
  <c r="AG9" i="5"/>
  <c r="AJ26" i="3"/>
  <c r="V7" i="5"/>
  <c r="V6" i="5"/>
  <c r="W22" i="5"/>
  <c r="AL30" i="3"/>
  <c r="AM24" i="3" s="1"/>
  <c r="AM25" i="3" s="1"/>
  <c r="AJ4" i="5"/>
  <c r="AM28" i="3"/>
  <c r="X12" i="5"/>
  <c r="Y26" i="5"/>
  <c r="Z45" i="2" s="1"/>
  <c r="Z46" i="2" s="1"/>
  <c r="X13" i="5"/>
  <c r="AK3" i="5" l="1"/>
  <c r="AA30" i="2"/>
  <c r="AA36" i="2" s="1"/>
  <c r="AB31" i="2" s="1"/>
  <c r="Z32" i="2"/>
  <c r="BS10" i="5" s="1"/>
  <c r="BT10" i="5" s="1"/>
  <c r="BU10" i="5" s="1"/>
  <c r="Z35" i="2"/>
  <c r="AL29" i="3"/>
  <c r="AN28" i="3"/>
  <c r="AK4" i="5"/>
  <c r="AH9" i="5"/>
  <c r="AK26" i="3"/>
  <c r="AM30" i="3"/>
  <c r="AN24" i="3" s="1"/>
  <c r="W5" i="5"/>
  <c r="Y11" i="5"/>
  <c r="AM3" i="5" l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CL3" i="5" s="1"/>
  <c r="CM3" i="5" s="1"/>
  <c r="CN3" i="5" s="1"/>
  <c r="CO3" i="5" s="1"/>
  <c r="CP3" i="5" s="1"/>
  <c r="CQ3" i="5" s="1"/>
  <c r="CR3" i="5" s="1"/>
  <c r="CS3" i="5" s="1"/>
  <c r="CT3" i="5" s="1"/>
  <c r="AM29" i="3"/>
  <c r="AL42" i="2"/>
  <c r="AL44" i="2" s="1"/>
  <c r="AN25" i="3"/>
  <c r="AB30" i="2"/>
  <c r="AB36" i="2" s="1"/>
  <c r="AC31" i="2" s="1"/>
  <c r="AA32" i="2"/>
  <c r="BV10" i="5" s="1"/>
  <c r="BW10" i="5" s="1"/>
  <c r="BX10" i="5" s="1"/>
  <c r="AA35" i="2"/>
  <c r="W7" i="5"/>
  <c r="W6" i="5"/>
  <c r="X22" i="5"/>
  <c r="Z26" i="5"/>
  <c r="AA45" i="2" s="1"/>
  <c r="AA46" i="2" s="1"/>
  <c r="Y12" i="5"/>
  <c r="Y13" i="5"/>
  <c r="AL26" i="3"/>
  <c r="AI9" i="5"/>
  <c r="AL4" i="5"/>
  <c r="AO28" i="3"/>
  <c r="AM42" i="2" l="1"/>
  <c r="AM44" i="2" s="1"/>
  <c r="AO24" i="3"/>
  <c r="AO25" i="3" s="1"/>
  <c r="AB32" i="2"/>
  <c r="BY10" i="5" s="1"/>
  <c r="BZ10" i="5" s="1"/>
  <c r="CA10" i="5" s="1"/>
  <c r="AB35" i="2"/>
  <c r="AC30" i="2"/>
  <c r="AC36" i="2" s="1"/>
  <c r="AD31" i="2" s="1"/>
  <c r="AN29" i="3"/>
  <c r="AM4" i="5"/>
  <c r="AP28" i="3"/>
  <c r="AJ9" i="5"/>
  <c r="AM26" i="3"/>
  <c r="Z11" i="5"/>
  <c r="X5" i="5"/>
  <c r="AN42" i="2" l="1"/>
  <c r="AN44" i="2" s="1"/>
  <c r="AO30" i="3"/>
  <c r="AP24" i="3" s="1"/>
  <c r="AP25" i="3" s="1"/>
  <c r="AD30" i="2"/>
  <c r="AD36" i="2" s="1"/>
  <c r="AE31" i="2" s="1"/>
  <c r="AC32" i="2"/>
  <c r="CB10" i="5" s="1"/>
  <c r="CC10" i="5" s="1"/>
  <c r="CD10" i="5" s="1"/>
  <c r="AC35" i="2"/>
  <c r="AN4" i="5"/>
  <c r="AQ28" i="3"/>
  <c r="AK9" i="5"/>
  <c r="AN26" i="3"/>
  <c r="X7" i="5"/>
  <c r="X6" i="5"/>
  <c r="Y22" i="5"/>
  <c r="Z12" i="5"/>
  <c r="AA26" i="5"/>
  <c r="AB45" i="2" s="1"/>
  <c r="AB46" i="2" s="1"/>
  <c r="Z13" i="5"/>
  <c r="AP30" i="3" l="1"/>
  <c r="AQ24" i="3" s="1"/>
  <c r="AO42" i="2"/>
  <c r="AO44" i="2" s="1"/>
  <c r="AO29" i="3"/>
  <c r="AE30" i="2"/>
  <c r="AE36" i="2" s="1"/>
  <c r="AF31" i="2" s="1"/>
  <c r="AD32" i="2"/>
  <c r="AD35" i="2"/>
  <c r="AR28" i="3"/>
  <c r="AO4" i="5"/>
  <c r="AO26" i="3"/>
  <c r="AL9" i="5"/>
  <c r="Y5" i="5"/>
  <c r="AA11" i="5"/>
  <c r="AQ30" i="3" l="1"/>
  <c r="AR24" i="3" s="1"/>
  <c r="AR25" i="3" s="1"/>
  <c r="AP29" i="3"/>
  <c r="CL10" i="5"/>
  <c r="CE10" i="5"/>
  <c r="CR10" i="5"/>
  <c r="CG10" i="5"/>
  <c r="CM10" i="5"/>
  <c r="CS10" i="5"/>
  <c r="CO10" i="5"/>
  <c r="CI10" i="5"/>
  <c r="CP10" i="5"/>
  <c r="CJ10" i="5"/>
  <c r="AF30" i="2"/>
  <c r="AF36" i="2" s="1"/>
  <c r="AG31" i="2" s="1"/>
  <c r="AE32" i="2"/>
  <c r="CH10" i="5" s="1"/>
  <c r="AE35" i="2"/>
  <c r="CF10" i="5"/>
  <c r="Y7" i="5"/>
  <c r="Y6" i="5"/>
  <c r="Z22" i="5"/>
  <c r="AA12" i="5"/>
  <c r="AB26" i="5"/>
  <c r="AC45" i="2" s="1"/>
  <c r="AC46" i="2" s="1"/>
  <c r="AA13" i="5"/>
  <c r="AP26" i="3"/>
  <c r="AM9" i="5"/>
  <c r="AS28" i="3"/>
  <c r="AP4" i="5"/>
  <c r="AQ25" i="3" l="1"/>
  <c r="AQ42" i="2" s="1"/>
  <c r="AQ44" i="2" s="1"/>
  <c r="AR30" i="3"/>
  <c r="AS24" i="3" s="1"/>
  <c r="AG35" i="2"/>
  <c r="AG30" i="2"/>
  <c r="AG36" i="2" s="1"/>
  <c r="AH31" i="2" s="1"/>
  <c r="AF32" i="2"/>
  <c r="CK10" i="5" s="1"/>
  <c r="AF35" i="2"/>
  <c r="AR29" i="3"/>
  <c r="AQ4" i="5"/>
  <c r="AT28" i="3"/>
  <c r="AN9" i="5"/>
  <c r="AB11" i="5"/>
  <c r="Z5" i="5"/>
  <c r="AS25" i="3" l="1"/>
  <c r="AS29" i="3" s="1"/>
  <c r="AQ29" i="3"/>
  <c r="AQ26" i="3"/>
  <c r="AO9" i="5" s="1"/>
  <c r="AS30" i="3"/>
  <c r="AT24" i="3" s="1"/>
  <c r="AR42" i="2"/>
  <c r="AR44" i="2" s="1"/>
  <c r="AP42" i="2"/>
  <c r="AP44" i="2" s="1"/>
  <c r="AG32" i="2"/>
  <c r="CN10" i="5" s="1"/>
  <c r="AH30" i="2"/>
  <c r="AH36" i="2" s="1"/>
  <c r="AI31" i="2" s="1"/>
  <c r="Z7" i="5"/>
  <c r="Z6" i="5"/>
  <c r="AA22" i="5"/>
  <c r="AC26" i="5"/>
  <c r="AD45" i="2" s="1"/>
  <c r="AD46" i="2" s="1"/>
  <c r="AB12" i="5"/>
  <c r="AB13" i="5"/>
  <c r="AU28" i="3"/>
  <c r="AR4" i="5"/>
  <c r="AT30" i="3" l="1"/>
  <c r="AU24" i="3" s="1"/>
  <c r="AU25" i="3" s="1"/>
  <c r="AR26" i="3"/>
  <c r="AS26" i="3" s="1"/>
  <c r="AI30" i="2"/>
  <c r="AI36" i="2" s="1"/>
  <c r="AH32" i="2"/>
  <c r="CQ10" i="5" s="1"/>
  <c r="AH35" i="2"/>
  <c r="AC11" i="5"/>
  <c r="AS4" i="5"/>
  <c r="AV28" i="3"/>
  <c r="AA5" i="5"/>
  <c r="AT25" i="3" l="1"/>
  <c r="AT42" i="2" s="1"/>
  <c r="AT44" i="2" s="1"/>
  <c r="AP9" i="5"/>
  <c r="AU30" i="3"/>
  <c r="AV24" i="3" s="1"/>
  <c r="AV25" i="3" s="1"/>
  <c r="AI32" i="2"/>
  <c r="CT10" i="5" s="1"/>
  <c r="AI35" i="2"/>
  <c r="AU29" i="3"/>
  <c r="AQ9" i="5"/>
  <c r="AA7" i="5"/>
  <c r="AA6" i="5"/>
  <c r="AB22" i="5"/>
  <c r="AC12" i="5"/>
  <c r="AD26" i="5"/>
  <c r="AE45" i="2" s="1"/>
  <c r="AE46" i="2" s="1"/>
  <c r="AC13" i="5"/>
  <c r="AW28" i="3"/>
  <c r="AT4" i="5"/>
  <c r="AS42" i="2" l="1"/>
  <c r="AS44" i="2" s="1"/>
  <c r="AT29" i="3"/>
  <c r="AT26" i="3"/>
  <c r="AU26" i="3" s="1"/>
  <c r="AV29" i="3"/>
  <c r="AU42" i="2"/>
  <c r="AU44" i="2" s="1"/>
  <c r="A24" i="7" a="1"/>
  <c r="B37" i="7" s="1"/>
  <c r="AV30" i="3"/>
  <c r="AW24" i="3" s="1"/>
  <c r="AB5" i="5"/>
  <c r="AX28" i="3"/>
  <c r="AU4" i="5"/>
  <c r="AD11" i="5"/>
  <c r="AR9" i="5" l="1"/>
  <c r="AW30" i="3"/>
  <c r="AX24" i="3" s="1"/>
  <c r="AX25" i="3" s="1"/>
  <c r="A53" i="7"/>
  <c r="G54" i="7"/>
  <c r="F26" i="7"/>
  <c r="D26" i="7"/>
  <c r="G25" i="7"/>
  <c r="E30" i="7"/>
  <c r="C30" i="7"/>
  <c r="F44" i="7"/>
  <c r="H53" i="7"/>
  <c r="F41" i="7"/>
  <c r="B45" i="7"/>
  <c r="A35" i="7"/>
  <c r="G32" i="7"/>
  <c r="E37" i="7"/>
  <c r="C39" i="7"/>
  <c r="A46" i="7"/>
  <c r="G45" i="7"/>
  <c r="E52" i="7"/>
  <c r="C52" i="7"/>
  <c r="D47" i="7"/>
  <c r="H38" i="7"/>
  <c r="D38" i="7"/>
  <c r="A43" i="7"/>
  <c r="G42" i="7"/>
  <c r="E49" i="7"/>
  <c r="C49" i="7"/>
  <c r="A56" i="7"/>
  <c r="H24" i="7"/>
  <c r="F29" i="7"/>
  <c r="F56" i="7"/>
  <c r="D35" i="7"/>
  <c r="D28" i="7"/>
  <c r="B53" i="7"/>
  <c r="B32" i="7"/>
  <c r="E27" i="7"/>
  <c r="C27" i="7"/>
  <c r="A36" i="7"/>
  <c r="G35" i="7"/>
  <c r="E40" i="7"/>
  <c r="C42" i="7"/>
  <c r="F35" i="7"/>
  <c r="H46" i="7"/>
  <c r="D51" i="7"/>
  <c r="A24" i="7"/>
  <c r="B34" i="7"/>
  <c r="B38" i="7"/>
  <c r="B42" i="7"/>
  <c r="B46" i="7"/>
  <c r="B50" i="7"/>
  <c r="B54" i="7"/>
  <c r="D31" i="7"/>
  <c r="D40" i="7"/>
  <c r="D48" i="7"/>
  <c r="D52" i="7"/>
  <c r="H31" i="7"/>
  <c r="F43" i="7"/>
  <c r="F51" i="7"/>
  <c r="D30" i="7"/>
  <c r="H35" i="7"/>
  <c r="H39" i="7"/>
  <c r="H43" i="7"/>
  <c r="H47" i="7"/>
  <c r="H51" i="7"/>
  <c r="H55" i="7"/>
  <c r="D37" i="7"/>
  <c r="D45" i="7"/>
  <c r="F33" i="7"/>
  <c r="F38" i="7"/>
  <c r="F46" i="7"/>
  <c r="F54" i="7"/>
  <c r="C56" i="7"/>
  <c r="C48" i="7"/>
  <c r="C40" i="7"/>
  <c r="C32" i="7"/>
  <c r="C24" i="7"/>
  <c r="F25" i="7"/>
  <c r="E50" i="7"/>
  <c r="E42" i="7"/>
  <c r="E34" i="7"/>
  <c r="E26" i="7"/>
  <c r="G55" i="7"/>
  <c r="G47" i="7"/>
  <c r="G39" i="7"/>
  <c r="G31" i="7"/>
  <c r="B33" i="7"/>
  <c r="B25" i="7"/>
  <c r="A50" i="7"/>
  <c r="A42" i="7"/>
  <c r="A34" i="7"/>
  <c r="A26" i="7"/>
  <c r="C53" i="7"/>
  <c r="C45" i="7"/>
  <c r="C37" i="7"/>
  <c r="C29" i="7"/>
  <c r="F30" i="7"/>
  <c r="E55" i="7"/>
  <c r="E47" i="7"/>
  <c r="E39" i="7"/>
  <c r="E31" i="7"/>
  <c r="H27" i="7"/>
  <c r="G52" i="7"/>
  <c r="G44" i="7"/>
  <c r="G36" i="7"/>
  <c r="G28" i="7"/>
  <c r="B30" i="7"/>
  <c r="A55" i="7"/>
  <c r="A47" i="7"/>
  <c r="A39" i="7"/>
  <c r="A27" i="7"/>
  <c r="H28" i="7"/>
  <c r="B35" i="7"/>
  <c r="B39" i="7"/>
  <c r="B43" i="7"/>
  <c r="B47" i="7"/>
  <c r="B51" i="7"/>
  <c r="B55" i="7"/>
  <c r="D34" i="7"/>
  <c r="D42" i="7"/>
  <c r="D49" i="7"/>
  <c r="D53" i="7"/>
  <c r="F36" i="7"/>
  <c r="F45" i="7"/>
  <c r="F53" i="7"/>
  <c r="D32" i="7"/>
  <c r="H36" i="7"/>
  <c r="H40" i="7"/>
  <c r="H44" i="7"/>
  <c r="H48" i="7"/>
  <c r="A31" i="7"/>
  <c r="A29" i="7"/>
  <c r="A45" i="7"/>
  <c r="B24" i="7"/>
  <c r="G24" i="7"/>
  <c r="G34" i="7"/>
  <c r="G46" i="7"/>
  <c r="G56" i="7"/>
  <c r="E29" i="7"/>
  <c r="E41" i="7"/>
  <c r="E51" i="7"/>
  <c r="F28" i="7"/>
  <c r="C31" i="7"/>
  <c r="C41" i="7"/>
  <c r="C51" i="7"/>
  <c r="A28" i="7"/>
  <c r="A38" i="7"/>
  <c r="A48" i="7"/>
  <c r="B27" i="7"/>
  <c r="G27" i="7"/>
  <c r="G37" i="7"/>
  <c r="G49" i="7"/>
  <c r="H26" i="7"/>
  <c r="E32" i="7"/>
  <c r="E44" i="7"/>
  <c r="E54" i="7"/>
  <c r="F31" i="7"/>
  <c r="C34" i="7"/>
  <c r="C44" i="7"/>
  <c r="C54" i="7"/>
  <c r="F52" i="7"/>
  <c r="F42" i="7"/>
  <c r="F34" i="7"/>
  <c r="D43" i="7"/>
  <c r="D33" i="7"/>
  <c r="H52" i="7"/>
  <c r="H45" i="7"/>
  <c r="H37" i="7"/>
  <c r="F55" i="7"/>
  <c r="F39" i="7"/>
  <c r="D50" i="7"/>
  <c r="D36" i="7"/>
  <c r="B52" i="7"/>
  <c r="B44" i="7"/>
  <c r="B36" i="7"/>
  <c r="A25" i="7"/>
  <c r="A37" i="7"/>
  <c r="A49" i="7"/>
  <c r="B26" i="7"/>
  <c r="G26" i="7"/>
  <c r="G38" i="7"/>
  <c r="G48" i="7"/>
  <c r="H25" i="7"/>
  <c r="E33" i="7"/>
  <c r="E43" i="7"/>
  <c r="E53" i="7"/>
  <c r="F32" i="7"/>
  <c r="C33" i="7"/>
  <c r="C43" i="7"/>
  <c r="C55" i="7"/>
  <c r="A30" i="7"/>
  <c r="A40" i="7"/>
  <c r="A52" i="7"/>
  <c r="B29" i="7"/>
  <c r="G29" i="7"/>
  <c r="G41" i="7"/>
  <c r="G51" i="7"/>
  <c r="E24" i="7"/>
  <c r="E36" i="7"/>
  <c r="E46" i="7"/>
  <c r="E56" i="7"/>
  <c r="C26" i="7"/>
  <c r="C36" i="7"/>
  <c r="C46" i="7"/>
  <c r="D25" i="7"/>
  <c r="F50" i="7"/>
  <c r="F40" i="7"/>
  <c r="H29" i="7"/>
  <c r="D41" i="7"/>
  <c r="H56" i="7"/>
  <c r="H50" i="7"/>
  <c r="H42" i="7"/>
  <c r="H34" i="7"/>
  <c r="F49" i="7"/>
  <c r="D56" i="7"/>
  <c r="D46" i="7"/>
  <c r="D29" i="7"/>
  <c r="B49" i="7"/>
  <c r="B41" i="7"/>
  <c r="H32" i="7"/>
  <c r="A33" i="7"/>
  <c r="A41" i="7"/>
  <c r="A51" i="7"/>
  <c r="B28" i="7"/>
  <c r="G30" i="7"/>
  <c r="G40" i="7"/>
  <c r="G50" i="7"/>
  <c r="E25" i="7"/>
  <c r="E35" i="7"/>
  <c r="E45" i="7"/>
  <c r="F24" i="7"/>
  <c r="C25" i="7"/>
  <c r="C35" i="7"/>
  <c r="C47" i="7"/>
  <c r="D24" i="7"/>
  <c r="A32" i="7"/>
  <c r="A44" i="7"/>
  <c r="A54" i="7"/>
  <c r="B31" i="7"/>
  <c r="G33" i="7"/>
  <c r="G43" i="7"/>
  <c r="G53" i="7"/>
  <c r="E28" i="7"/>
  <c r="E38" i="7"/>
  <c r="E48" i="7"/>
  <c r="F27" i="7"/>
  <c r="C28" i="7"/>
  <c r="C38" i="7"/>
  <c r="C50" i="7"/>
  <c r="D27" i="7"/>
  <c r="F48" i="7"/>
  <c r="F37" i="7"/>
  <c r="D55" i="7"/>
  <c r="D39" i="7"/>
  <c r="H54" i="7"/>
  <c r="H49" i="7"/>
  <c r="H41" i="7"/>
  <c r="H33" i="7"/>
  <c r="F47" i="7"/>
  <c r="D54" i="7"/>
  <c r="D44" i="7"/>
  <c r="B56" i="7"/>
  <c r="B48" i="7"/>
  <c r="B40" i="7"/>
  <c r="H30" i="7"/>
  <c r="AX30" i="3"/>
  <c r="AY24" i="3" s="1"/>
  <c r="AY25" i="3" s="1"/>
  <c r="AB7" i="5"/>
  <c r="AB6" i="5"/>
  <c r="AC22" i="5"/>
  <c r="AY28" i="3"/>
  <c r="AV4" i="5"/>
  <c r="AD12" i="5"/>
  <c r="AE26" i="5"/>
  <c r="AF45" i="2" s="1"/>
  <c r="AF46" i="2" s="1"/>
  <c r="AD13" i="5"/>
  <c r="AV26" i="3"/>
  <c r="AS9" i="5"/>
  <c r="AW25" i="3" l="1"/>
  <c r="AW29" i="3" s="1"/>
  <c r="AX29" i="3"/>
  <c r="AT9" i="5"/>
  <c r="AE11" i="5"/>
  <c r="AY30" i="3"/>
  <c r="AZ24" i="3" s="1"/>
  <c r="AY29" i="3"/>
  <c r="AC5" i="5"/>
  <c r="AW4" i="5"/>
  <c r="AZ28" i="3"/>
  <c r="AV42" i="2" l="1"/>
  <c r="AV44" i="2" s="1"/>
  <c r="AW26" i="3"/>
  <c r="AX26" i="3" s="1"/>
  <c r="AX42" i="2"/>
  <c r="AX44" i="2" s="1"/>
  <c r="AW42" i="2"/>
  <c r="AW44" i="2" s="1"/>
  <c r="BA28" i="3"/>
  <c r="AX4" i="5"/>
  <c r="AC7" i="5"/>
  <c r="AC6" i="5"/>
  <c r="AD22" i="5"/>
  <c r="AF26" i="5"/>
  <c r="AG45" i="2" s="1"/>
  <c r="AG46" i="2" s="1"/>
  <c r="AE12" i="5"/>
  <c r="AE13" i="5"/>
  <c r="AZ30" i="3"/>
  <c r="BA24" i="3" s="1"/>
  <c r="BA25" i="3" s="1"/>
  <c r="AZ25" i="3" l="1"/>
  <c r="AZ42" i="2" s="1"/>
  <c r="AZ44" i="2" s="1"/>
  <c r="AU9" i="5"/>
  <c r="AF11" i="5"/>
  <c r="AV9" i="5"/>
  <c r="AY26" i="3"/>
  <c r="AD5" i="5"/>
  <c r="BA30" i="3"/>
  <c r="BB24" i="3" s="1"/>
  <c r="BB25" i="3" s="1"/>
  <c r="BB28" i="3"/>
  <c r="AY4" i="5"/>
  <c r="BA42" i="2" l="1"/>
  <c r="BA44" i="2" s="1"/>
  <c r="AZ29" i="3"/>
  <c r="AY42" i="2"/>
  <c r="AY44" i="2" s="1"/>
  <c r="BA29" i="3"/>
  <c r="AF12" i="5"/>
  <c r="AG26" i="5"/>
  <c r="AH45" i="2" s="1"/>
  <c r="AH46" i="2" s="1"/>
  <c r="AF13" i="5"/>
  <c r="BC28" i="3"/>
  <c r="AZ4" i="5"/>
  <c r="BB29" i="3"/>
  <c r="BB30" i="3"/>
  <c r="BC24" i="3" s="1"/>
  <c r="AZ26" i="3"/>
  <c r="AW9" i="5"/>
  <c r="AD7" i="5"/>
  <c r="AD6" i="5"/>
  <c r="AE22" i="5"/>
  <c r="BC30" i="3" l="1"/>
  <c r="BD24" i="3" s="1"/>
  <c r="BD25" i="3" s="1"/>
  <c r="AE5" i="5"/>
  <c r="AG11" i="5"/>
  <c r="AX9" i="5"/>
  <c r="BA26" i="3"/>
  <c r="BA4" i="5"/>
  <c r="BD28" i="3"/>
  <c r="BC25" i="3" l="1"/>
  <c r="BC42" i="2" s="1"/>
  <c r="BC44" i="2" s="1"/>
  <c r="AY9" i="5"/>
  <c r="BB26" i="3"/>
  <c r="AE7" i="5"/>
  <c r="AE6" i="5"/>
  <c r="AF22" i="5"/>
  <c r="BB4" i="5"/>
  <c r="BE28" i="3"/>
  <c r="AG12" i="5"/>
  <c r="AH26" i="5"/>
  <c r="AI45" i="2" s="1"/>
  <c r="AI46" i="2" s="1"/>
  <c r="AG13" i="5"/>
  <c r="BD30" i="3"/>
  <c r="BE24" i="3" s="1"/>
  <c r="BE25" i="3" s="1"/>
  <c r="BD42" i="2" l="1"/>
  <c r="BD44" i="2" s="1"/>
  <c r="BC29" i="3"/>
  <c r="BB42" i="2"/>
  <c r="BB44" i="2" s="1"/>
  <c r="BD29" i="3"/>
  <c r="BC4" i="5"/>
  <c r="BF28" i="3"/>
  <c r="AZ9" i="5"/>
  <c r="BC26" i="3"/>
  <c r="AH11" i="5"/>
  <c r="AF5" i="5"/>
  <c r="BE29" i="3"/>
  <c r="BE30" i="3"/>
  <c r="BF24" i="3" s="1"/>
  <c r="AF7" i="5" l="1"/>
  <c r="AF6" i="5"/>
  <c r="AG22" i="5"/>
  <c r="BA9" i="5"/>
  <c r="BD26" i="3"/>
  <c r="AI26" i="5"/>
  <c r="AJ45" i="2" s="1"/>
  <c r="AJ46" i="2" s="1"/>
  <c r="AH12" i="5"/>
  <c r="AH13" i="5"/>
  <c r="BD4" i="5"/>
  <c r="BG28" i="3"/>
  <c r="BF30" i="3"/>
  <c r="BG24" i="3" s="1"/>
  <c r="BG25" i="3" s="1"/>
  <c r="BF25" i="3" l="1"/>
  <c r="BG30" i="3"/>
  <c r="BH24" i="3" s="1"/>
  <c r="BH25" i="3" s="1"/>
  <c r="AG5" i="5"/>
  <c r="BE4" i="5"/>
  <c r="BH28" i="3"/>
  <c r="AI11" i="5"/>
  <c r="BB9" i="5"/>
  <c r="BE26" i="3"/>
  <c r="BG42" i="2" l="1"/>
  <c r="BG44" i="2" s="1"/>
  <c r="BF29" i="3"/>
  <c r="BE42" i="2"/>
  <c r="BE44" i="2" s="1"/>
  <c r="BF42" i="2"/>
  <c r="BF44" i="2" s="1"/>
  <c r="BG29" i="3"/>
  <c r="BI28" i="3"/>
  <c r="BF4" i="5"/>
  <c r="BF26" i="3"/>
  <c r="BC9" i="5"/>
  <c r="AI12" i="5"/>
  <c r="AJ26" i="5"/>
  <c r="AK45" i="2" s="1"/>
  <c r="AK46" i="2" s="1"/>
  <c r="AI13" i="5"/>
  <c r="AG7" i="5"/>
  <c r="AG6" i="5"/>
  <c r="AH22" i="5"/>
  <c r="BH29" i="3"/>
  <c r="BH30" i="3"/>
  <c r="BI24" i="3" s="1"/>
  <c r="BI30" i="3" l="1"/>
  <c r="BJ24" i="3" s="1"/>
  <c r="BJ25" i="3" s="1"/>
  <c r="AH5" i="5"/>
  <c r="AJ11" i="5"/>
  <c r="BD9" i="5"/>
  <c r="BG26" i="3"/>
  <c r="BG4" i="5"/>
  <c r="BJ28" i="3"/>
  <c r="BI25" i="3" l="1"/>
  <c r="BI42" i="2" s="1"/>
  <c r="BI44" i="2" s="1"/>
  <c r="BH4" i="5"/>
  <c r="BK28" i="3"/>
  <c r="AJ12" i="5"/>
  <c r="AK26" i="5"/>
  <c r="AL45" i="2" s="1"/>
  <c r="AL46" i="2" s="1"/>
  <c r="AJ13" i="5"/>
  <c r="BE9" i="5"/>
  <c r="BH26" i="3"/>
  <c r="BJ30" i="3"/>
  <c r="BK24" i="3" s="1"/>
  <c r="BK25" i="3" s="1"/>
  <c r="AH7" i="5"/>
  <c r="AH6" i="5"/>
  <c r="AI22" i="5"/>
  <c r="BJ42" i="2" l="1"/>
  <c r="BJ44" i="2" s="1"/>
  <c r="BI29" i="3"/>
  <c r="BH42" i="2"/>
  <c r="BH44" i="2" s="1"/>
  <c r="BJ29" i="3"/>
  <c r="AI5" i="5"/>
  <c r="BI4" i="5"/>
  <c r="BL28" i="3"/>
  <c r="AK11" i="5"/>
  <c r="AL25" i="5" s="1"/>
  <c r="BK30" i="3"/>
  <c r="BL24" i="3" s="1"/>
  <c r="BF9" i="5"/>
  <c r="BI26" i="3"/>
  <c r="BK29" i="3" l="1"/>
  <c r="BG9" i="5"/>
  <c r="BJ26" i="3"/>
  <c r="AL26" i="5"/>
  <c r="AM45" i="2" s="1"/>
  <c r="AM46" i="2" s="1"/>
  <c r="AK12" i="5"/>
  <c r="AK13" i="5"/>
  <c r="AI7" i="5"/>
  <c r="AI6" i="5"/>
  <c r="AJ22" i="5"/>
  <c r="BL30" i="3"/>
  <c r="BM24" i="3" s="1"/>
  <c r="BM25" i="3" s="1"/>
  <c r="BJ4" i="5"/>
  <c r="BM28" i="3"/>
  <c r="BL25" i="3" l="1"/>
  <c r="BH9" i="5"/>
  <c r="BK26" i="3"/>
  <c r="BK4" i="5"/>
  <c r="BN28" i="3"/>
  <c r="AJ5" i="5"/>
  <c r="BM30" i="3"/>
  <c r="BN24" i="3" s="1"/>
  <c r="BN25" i="3" s="1"/>
  <c r="AL11" i="5"/>
  <c r="BM42" i="2" l="1"/>
  <c r="BM44" i="2" s="1"/>
  <c r="BL29" i="3"/>
  <c r="BK42" i="2"/>
  <c r="BK44" i="2" s="1"/>
  <c r="BL42" i="2"/>
  <c r="BL44" i="2" s="1"/>
  <c r="BM29" i="3"/>
  <c r="BL4" i="5"/>
  <c r="BO28" i="3"/>
  <c r="AL12" i="5"/>
  <c r="AM26" i="5"/>
  <c r="AN45" i="2" s="1"/>
  <c r="AN46" i="2" s="1"/>
  <c r="AL13" i="5"/>
  <c r="AJ7" i="5"/>
  <c r="AJ6" i="5"/>
  <c r="AK22" i="5"/>
  <c r="BI9" i="5"/>
  <c r="BL26" i="3"/>
  <c r="BN29" i="3"/>
  <c r="BN30" i="3"/>
  <c r="BO24" i="3" s="1"/>
  <c r="BO30" i="3" l="1"/>
  <c r="BP24" i="3" s="1"/>
  <c r="BP25" i="3" s="1"/>
  <c r="AK5" i="5"/>
  <c r="BM4" i="5"/>
  <c r="BP28" i="3"/>
  <c r="BJ9" i="5"/>
  <c r="BM26" i="3"/>
  <c r="AM11" i="5"/>
  <c r="BO25" i="3" l="1"/>
  <c r="BO42" i="2" s="1"/>
  <c r="BO44" i="2" s="1"/>
  <c r="AM12" i="5"/>
  <c r="AN26" i="5"/>
  <c r="AM13" i="5"/>
  <c r="BN4" i="5"/>
  <c r="BQ28" i="3"/>
  <c r="BK9" i="5"/>
  <c r="BN26" i="3"/>
  <c r="AK7" i="5"/>
  <c r="AK6" i="5"/>
  <c r="AL21" i="5"/>
  <c r="AL22" i="5" s="1"/>
  <c r="BP30" i="3"/>
  <c r="BQ24" i="3" s="1"/>
  <c r="BQ25" i="3" s="1"/>
  <c r="BP42" i="2" l="1"/>
  <c r="BP44" i="2" s="1"/>
  <c r="AO45" i="2"/>
  <c r="AO46" i="2" s="1"/>
  <c r="BO29" i="3"/>
  <c r="BN42" i="2"/>
  <c r="BN44" i="2" s="1"/>
  <c r="BP29" i="3"/>
  <c r="AN11" i="5"/>
  <c r="AO26" i="5" s="1"/>
  <c r="AP26" i="5" s="1"/>
  <c r="AQ26" i="5" s="1"/>
  <c r="BO4" i="5"/>
  <c r="BR28" i="3"/>
  <c r="BQ29" i="3"/>
  <c r="BQ30" i="3"/>
  <c r="BR24" i="3" s="1"/>
  <c r="AL5" i="5"/>
  <c r="BL9" i="5"/>
  <c r="BO26" i="3"/>
  <c r="AL7" i="5" l="1"/>
  <c r="AL6" i="5"/>
  <c r="AM22" i="5"/>
  <c r="AP45" i="2"/>
  <c r="AP46" i="2" s="1"/>
  <c r="AN12" i="5"/>
  <c r="AN13" i="5"/>
  <c r="BP26" i="3"/>
  <c r="BM9" i="5"/>
  <c r="BR30" i="3"/>
  <c r="BS24" i="3" s="1"/>
  <c r="BS25" i="3" s="1"/>
  <c r="BS28" i="3"/>
  <c r="BP4" i="5"/>
  <c r="BR25" i="3" l="1"/>
  <c r="BR42" i="2" s="1"/>
  <c r="BR44" i="2" s="1"/>
  <c r="AO11" i="5"/>
  <c r="BQ4" i="5"/>
  <c r="BT28" i="3"/>
  <c r="BN9" i="5"/>
  <c r="BQ26" i="3"/>
  <c r="AM5" i="5"/>
  <c r="BS30" i="3"/>
  <c r="BT24" i="3" s="1"/>
  <c r="BT25" i="3" s="1"/>
  <c r="BS42" i="2" l="1"/>
  <c r="BS44" i="2" s="1"/>
  <c r="BR29" i="3"/>
  <c r="BQ42" i="2"/>
  <c r="BQ44" i="2" s="1"/>
  <c r="BS29" i="3"/>
  <c r="AM7" i="5"/>
  <c r="AM6" i="5"/>
  <c r="AN22" i="5"/>
  <c r="BU28" i="3"/>
  <c r="BR4" i="5"/>
  <c r="BT29" i="3"/>
  <c r="BT30" i="3"/>
  <c r="BU24" i="3" s="1"/>
  <c r="BO9" i="5"/>
  <c r="BR26" i="3"/>
  <c r="AO12" i="5"/>
  <c r="AQ45" i="2"/>
  <c r="AQ46" i="2" s="1"/>
  <c r="AO13" i="5"/>
  <c r="BU30" i="3" l="1"/>
  <c r="BV24" i="3" s="1"/>
  <c r="BV25" i="3" s="1"/>
  <c r="BP9" i="5"/>
  <c r="BS26" i="3"/>
  <c r="AN5" i="5"/>
  <c r="AO22" i="5" s="1"/>
  <c r="AP22" i="5" s="1"/>
  <c r="AQ22" i="5" s="1"/>
  <c r="AP11" i="5"/>
  <c r="BS4" i="5"/>
  <c r="BV28" i="3"/>
  <c r="BU25" i="3" l="1"/>
  <c r="BU42" i="2" s="1"/>
  <c r="BU44" i="2" s="1"/>
  <c r="AN7" i="5"/>
  <c r="AN6" i="5"/>
  <c r="AP12" i="5"/>
  <c r="AR45" i="2"/>
  <c r="AR46" i="2" s="1"/>
  <c r="AP13" i="5"/>
  <c r="BQ9" i="5"/>
  <c r="BT26" i="3"/>
  <c r="BT4" i="5"/>
  <c r="BW28" i="3"/>
  <c r="BV30" i="3"/>
  <c r="BW24" i="3" s="1"/>
  <c r="BW25" i="3" s="1"/>
  <c r="BV42" i="2" l="1"/>
  <c r="BV44" i="2" s="1"/>
  <c r="BU29" i="3"/>
  <c r="BT42" i="2"/>
  <c r="BT44" i="2" s="1"/>
  <c r="BV29" i="3"/>
  <c r="BR9" i="5"/>
  <c r="BU26" i="3"/>
  <c r="BW30" i="3"/>
  <c r="BX24" i="3" s="1"/>
  <c r="BW29" i="3"/>
  <c r="AQ11" i="5"/>
  <c r="AR26" i="5" s="1"/>
  <c r="AS26" i="5" s="1"/>
  <c r="AT26" i="5" s="1"/>
  <c r="AO5" i="5"/>
  <c r="BX28" i="3"/>
  <c r="BU4" i="5"/>
  <c r="BX30" i="3" l="1"/>
  <c r="BY24" i="3" s="1"/>
  <c r="BY25" i="3" s="1"/>
  <c r="BS9" i="5"/>
  <c r="BV26" i="3"/>
  <c r="BY28" i="3"/>
  <c r="BV4" i="5"/>
  <c r="AS45" i="2"/>
  <c r="AS46" i="2" s="1"/>
  <c r="AQ12" i="5"/>
  <c r="AQ13" i="5"/>
  <c r="AO7" i="5"/>
  <c r="AO6" i="5"/>
  <c r="BX25" i="3" l="1"/>
  <c r="BX42" i="2" s="1"/>
  <c r="BX44" i="2" s="1"/>
  <c r="AR11" i="5"/>
  <c r="BZ28" i="3"/>
  <c r="BW4" i="5"/>
  <c r="BT9" i="5"/>
  <c r="BW26" i="3"/>
  <c r="AP5" i="5"/>
  <c r="BY30" i="3"/>
  <c r="BZ24" i="3" s="1"/>
  <c r="BZ25" i="3" s="1"/>
  <c r="BY42" i="2" l="1"/>
  <c r="BY44" i="2" s="1"/>
  <c r="BX29" i="3"/>
  <c r="BW42" i="2"/>
  <c r="BW44" i="2" s="1"/>
  <c r="BY29" i="3"/>
  <c r="BU9" i="5"/>
  <c r="BX26" i="3"/>
  <c r="AP7" i="5"/>
  <c r="AP6" i="5"/>
  <c r="BX4" i="5"/>
  <c r="CA28" i="3"/>
  <c r="AR12" i="5"/>
  <c r="AT45" i="2"/>
  <c r="AT46" i="2" s="1"/>
  <c r="AR13" i="5"/>
  <c r="BZ29" i="3"/>
  <c r="BZ30" i="3"/>
  <c r="CA24" i="3" s="1"/>
  <c r="BV9" i="5" l="1"/>
  <c r="BY26" i="3"/>
  <c r="AS11" i="5"/>
  <c r="AQ5" i="5"/>
  <c r="AR22" i="5" s="1"/>
  <c r="AS22" i="5" s="1"/>
  <c r="AT22" i="5" s="1"/>
  <c r="CA30" i="3"/>
  <c r="CB24" i="3" s="1"/>
  <c r="CB25" i="3" s="1"/>
  <c r="BY4" i="5"/>
  <c r="CB28" i="3"/>
  <c r="CA25" i="3" l="1"/>
  <c r="CA42" i="2" s="1"/>
  <c r="CA44" i="2" s="1"/>
  <c r="CB30" i="3"/>
  <c r="CC24" i="3" s="1"/>
  <c r="CC25" i="3" s="1"/>
  <c r="AQ7" i="5"/>
  <c r="AQ6" i="5"/>
  <c r="AS12" i="5"/>
  <c r="AU45" i="2"/>
  <c r="AU46" i="2" s="1"/>
  <c r="AS13" i="5"/>
  <c r="BW9" i="5"/>
  <c r="BZ26" i="3"/>
  <c r="CC28" i="3"/>
  <c r="BZ4" i="5"/>
  <c r="CB42" i="2" l="1"/>
  <c r="CB44" i="2" s="1"/>
  <c r="CA29" i="3"/>
  <c r="BZ42" i="2"/>
  <c r="BZ44" i="2" s="1"/>
  <c r="CB29" i="3"/>
  <c r="AR5" i="5"/>
  <c r="CA4" i="5"/>
  <c r="CD28" i="3"/>
  <c r="AT11" i="5"/>
  <c r="AU25" i="5" s="1"/>
  <c r="AU26" i="5" s="1"/>
  <c r="AV26" i="5" s="1"/>
  <c r="AW26" i="5" s="1"/>
  <c r="CC29" i="3"/>
  <c r="CC30" i="3"/>
  <c r="CD24" i="3" s="1"/>
  <c r="CA26" i="3"/>
  <c r="BX9" i="5"/>
  <c r="CB26" i="3" l="1"/>
  <c r="BY9" i="5"/>
  <c r="AV45" i="2"/>
  <c r="AV46" i="2" s="1"/>
  <c r="AT12" i="5"/>
  <c r="AT13" i="5"/>
  <c r="AR7" i="5"/>
  <c r="AR6" i="5"/>
  <c r="CD30" i="3"/>
  <c r="CE24" i="3" s="1"/>
  <c r="CE25" i="3" s="1"/>
  <c r="CB4" i="5"/>
  <c r="CE28" i="3"/>
  <c r="CD25" i="3" l="1"/>
  <c r="CE30" i="3"/>
  <c r="CF24" i="3" s="1"/>
  <c r="CF25" i="3" s="1"/>
  <c r="BZ9" i="5"/>
  <c r="CC26" i="3"/>
  <c r="CC4" i="5"/>
  <c r="CF28" i="3"/>
  <c r="CG28" i="3" s="1"/>
  <c r="CH28" i="3" s="1"/>
  <c r="CI28" i="3" s="1"/>
  <c r="AS5" i="5"/>
  <c r="AU11" i="5"/>
  <c r="CE42" i="2" l="1"/>
  <c r="CE44" i="2" s="1"/>
  <c r="CJ28" i="3"/>
  <c r="CG4" i="5"/>
  <c r="CD29" i="3"/>
  <c r="CC42" i="2"/>
  <c r="CC44" i="2" s="1"/>
  <c r="CD42" i="2"/>
  <c r="CD44" i="2" s="1"/>
  <c r="CE29" i="3"/>
  <c r="CA9" i="5"/>
  <c r="CD26" i="3"/>
  <c r="CD4" i="5"/>
  <c r="AU12" i="5"/>
  <c r="AW45" i="2"/>
  <c r="AW46" i="2" s="1"/>
  <c r="AU13" i="5"/>
  <c r="AS7" i="5"/>
  <c r="AS6" i="5"/>
  <c r="CF29" i="3"/>
  <c r="CF30" i="3"/>
  <c r="CG24" i="3" s="1"/>
  <c r="CK28" i="3" l="1"/>
  <c r="CH4" i="5"/>
  <c r="CG30" i="3"/>
  <c r="CH24" i="3" s="1"/>
  <c r="CH25" i="3" s="1"/>
  <c r="AT5" i="5"/>
  <c r="AU21" i="5" s="1"/>
  <c r="AU22" i="5" s="1"/>
  <c r="AV22" i="5" s="1"/>
  <c r="AW22" i="5" s="1"/>
  <c r="AV11" i="5"/>
  <c r="CE4" i="5"/>
  <c r="CB9" i="5"/>
  <c r="CE26" i="3"/>
  <c r="CG25" i="3" l="1"/>
  <c r="CL28" i="3"/>
  <c r="CI4" i="5"/>
  <c r="CH30" i="3"/>
  <c r="CI24" i="3" s="1"/>
  <c r="CI25" i="3" s="1"/>
  <c r="CC9" i="5"/>
  <c r="CF26" i="3"/>
  <c r="AT7" i="5"/>
  <c r="AT6" i="5"/>
  <c r="CF4" i="5"/>
  <c r="AV12" i="5"/>
  <c r="AX45" i="2"/>
  <c r="AX46" i="2" s="1"/>
  <c r="AV13" i="5"/>
  <c r="CM28" i="3" l="1"/>
  <c r="CJ4" i="5"/>
  <c r="CG29" i="3"/>
  <c r="CF42" i="2"/>
  <c r="CF44" i="2" s="1"/>
  <c r="CG42" i="2"/>
  <c r="CG44" i="2" s="1"/>
  <c r="CG26" i="3"/>
  <c r="CI30" i="3"/>
  <c r="CJ24" i="3" s="1"/>
  <c r="CH29" i="3"/>
  <c r="AU5" i="5"/>
  <c r="CD9" i="5"/>
  <c r="AW11" i="5"/>
  <c r="AX25" i="5" s="1"/>
  <c r="AX26" i="5" s="1"/>
  <c r="AY26" i="5" s="1"/>
  <c r="AZ26" i="5" s="1"/>
  <c r="CN28" i="3" l="1"/>
  <c r="CK4" i="5"/>
  <c r="CI29" i="3"/>
  <c r="CH42" i="2"/>
  <c r="CH44" i="2" s="1"/>
  <c r="CJ30" i="3"/>
  <c r="CK24" i="3" s="1"/>
  <c r="CK25" i="3" s="1"/>
  <c r="CH26" i="3"/>
  <c r="CI26" i="3" s="1"/>
  <c r="CG9" i="5" s="1"/>
  <c r="CE9" i="5"/>
  <c r="AY45" i="2"/>
  <c r="AY46" i="2" s="1"/>
  <c r="AW12" i="5"/>
  <c r="AW13" i="5"/>
  <c r="AU7" i="5"/>
  <c r="AU6" i="5"/>
  <c r="CJ25" i="3" l="1"/>
  <c r="CO28" i="3"/>
  <c r="CL4" i="5"/>
  <c r="CK30" i="3"/>
  <c r="CL24" i="3" s="1"/>
  <c r="CL25" i="3" s="1"/>
  <c r="AV5" i="5"/>
  <c r="AX11" i="5"/>
  <c r="CF9" i="5"/>
  <c r="CP28" i="3" l="1"/>
  <c r="CM4" i="5"/>
  <c r="CK29" i="3"/>
  <c r="CJ42" i="2"/>
  <c r="CJ44" i="2" s="1"/>
  <c r="CJ29" i="3"/>
  <c r="CI42" i="2"/>
  <c r="CI44" i="2" s="1"/>
  <c r="CJ26" i="3"/>
  <c r="CL30" i="3"/>
  <c r="CM24" i="3" s="1"/>
  <c r="AX12" i="5"/>
  <c r="AZ45" i="2"/>
  <c r="AZ46" i="2" s="1"/>
  <c r="AX13" i="5"/>
  <c r="AV7" i="5"/>
  <c r="AV6" i="5"/>
  <c r="CK26" i="3" l="1"/>
  <c r="CI9" i="5" s="1"/>
  <c r="CH9" i="5"/>
  <c r="CQ28" i="3"/>
  <c r="CN4" i="5"/>
  <c r="CL29" i="3"/>
  <c r="CK42" i="2"/>
  <c r="CK44" i="2" s="1"/>
  <c r="CM30" i="3"/>
  <c r="CN24" i="3" s="1"/>
  <c r="CN25" i="3" s="1"/>
  <c r="AW5" i="5"/>
  <c r="AX21" i="5" s="1"/>
  <c r="AX22" i="5" s="1"/>
  <c r="AY22" i="5" s="1"/>
  <c r="AZ22" i="5" s="1"/>
  <c r="AY11" i="5"/>
  <c r="CM25" i="3" l="1"/>
  <c r="CL26" i="3"/>
  <c r="CJ9" i="5" s="1"/>
  <c r="CR28" i="3"/>
  <c r="CO4" i="5"/>
  <c r="CN30" i="3"/>
  <c r="CO24" i="3" s="1"/>
  <c r="CO25" i="3" s="1"/>
  <c r="AY12" i="5"/>
  <c r="BA45" i="2"/>
  <c r="BA46" i="2" s="1"/>
  <c r="AY13" i="5"/>
  <c r="AW7" i="5"/>
  <c r="AW6" i="5"/>
  <c r="CS28" i="3" l="1"/>
  <c r="CP4" i="5"/>
  <c r="CN29" i="3"/>
  <c r="CM42" i="2"/>
  <c r="CM44" i="2" s="1"/>
  <c r="CM29" i="3"/>
  <c r="CL42" i="2"/>
  <c r="CL44" i="2" s="1"/>
  <c r="CM26" i="3"/>
  <c r="CO30" i="3"/>
  <c r="CP24" i="3" s="1"/>
  <c r="AX5" i="5"/>
  <c r="AZ11" i="5"/>
  <c r="BA25" i="5" s="1"/>
  <c r="BA26" i="5" s="1"/>
  <c r="BB26" i="5" s="1"/>
  <c r="BC26" i="5" s="1"/>
  <c r="CN26" i="3" l="1"/>
  <c r="CL9" i="5" s="1"/>
  <c r="CK9" i="5"/>
  <c r="CT28" i="3"/>
  <c r="CQ4" i="5"/>
  <c r="CO29" i="3"/>
  <c r="CN42" i="2"/>
  <c r="CN44" i="2" s="1"/>
  <c r="CP30" i="3"/>
  <c r="CQ24" i="3" s="1"/>
  <c r="CQ25" i="3" s="1"/>
  <c r="AX7" i="5"/>
  <c r="AX6" i="5"/>
  <c r="BB45" i="2"/>
  <c r="BB46" i="2" s="1"/>
  <c r="AZ12" i="5"/>
  <c r="AZ13" i="5"/>
  <c r="CP25" i="3" l="1"/>
  <c r="CO26" i="3"/>
  <c r="CM9" i="5" s="1"/>
  <c r="CU28" i="3"/>
  <c r="CR4" i="5"/>
  <c r="CQ30" i="3"/>
  <c r="CR24" i="3" s="1"/>
  <c r="CR25" i="3" s="1"/>
  <c r="BA11" i="5"/>
  <c r="AY5" i="5"/>
  <c r="CV28" i="3" l="1"/>
  <c r="CT4" i="5" s="1"/>
  <c r="CS4" i="5"/>
  <c r="CP29" i="3"/>
  <c r="CO42" i="2"/>
  <c r="CO44" i="2" s="1"/>
  <c r="CQ29" i="3"/>
  <c r="CP42" i="2"/>
  <c r="CP44" i="2" s="1"/>
  <c r="CP26" i="3"/>
  <c r="CR30" i="3"/>
  <c r="CS24" i="3" s="1"/>
  <c r="BA12" i="5"/>
  <c r="BC45" i="2"/>
  <c r="BC46" i="2" s="1"/>
  <c r="BA13" i="5"/>
  <c r="AY7" i="5"/>
  <c r="AY6" i="5"/>
  <c r="CQ26" i="3" l="1"/>
  <c r="CO9" i="5" s="1"/>
  <c r="CN9" i="5"/>
  <c r="CR29" i="3"/>
  <c r="CQ42" i="2"/>
  <c r="CQ44" i="2" s="1"/>
  <c r="CS30" i="3"/>
  <c r="CT24" i="3" s="1"/>
  <c r="CT25" i="3" s="1"/>
  <c r="AZ5" i="5"/>
  <c r="BA21" i="5" s="1"/>
  <c r="BA22" i="5" s="1"/>
  <c r="BB22" i="5" s="1"/>
  <c r="BC22" i="5" s="1"/>
  <c r="BB11" i="5"/>
  <c r="CS25" i="3" l="1"/>
  <c r="CR26" i="3"/>
  <c r="CP9" i="5" s="1"/>
  <c r="CT30" i="3"/>
  <c r="CU24" i="3" s="1"/>
  <c r="CU25" i="3" s="1"/>
  <c r="AZ7" i="5"/>
  <c r="AZ6" i="5"/>
  <c r="BB12" i="5"/>
  <c r="BD45" i="2"/>
  <c r="BD46" i="2" s="1"/>
  <c r="BB13" i="5"/>
  <c r="CT29" i="3" l="1"/>
  <c r="CS42" i="2"/>
  <c r="CS44" i="2" s="1"/>
  <c r="CS29" i="3"/>
  <c r="CR42" i="2"/>
  <c r="CR44" i="2" s="1"/>
  <c r="CS26" i="3"/>
  <c r="CU30" i="3"/>
  <c r="CV24" i="3" s="1"/>
  <c r="BC11" i="5"/>
  <c r="BD25" i="5" s="1"/>
  <c r="BD26" i="5" s="1"/>
  <c r="BE26" i="5" s="1"/>
  <c r="BF26" i="5" s="1"/>
  <c r="BA5" i="5"/>
  <c r="CT26" i="3" l="1"/>
  <c r="CR9" i="5" s="1"/>
  <c r="CQ9" i="5"/>
  <c r="CU29" i="3"/>
  <c r="CT42" i="2"/>
  <c r="CT44" i="2" s="1"/>
  <c r="CV30" i="3"/>
  <c r="CV25" i="3" s="1"/>
  <c r="BE45" i="2"/>
  <c r="BE46" i="2" s="1"/>
  <c r="BC12" i="5"/>
  <c r="BC13" i="5"/>
  <c r="BA7" i="5"/>
  <c r="BA6" i="5"/>
  <c r="CU26" i="3" l="1"/>
  <c r="CS9" i="5" s="1"/>
  <c r="BB5" i="5"/>
  <c r="BD11" i="5"/>
  <c r="CV29" i="3" l="1"/>
  <c r="CU42" i="2"/>
  <c r="CU44" i="2" s="1"/>
  <c r="CV33" i="3"/>
  <c r="CV26" i="3"/>
  <c r="CT9" i="5" s="1"/>
  <c r="BB7" i="5"/>
  <c r="BB6" i="5"/>
  <c r="BD12" i="5"/>
  <c r="BF45" i="2"/>
  <c r="BF46" i="2" s="1"/>
  <c r="BD13" i="5"/>
  <c r="BE11" i="5" l="1"/>
  <c r="BC5" i="5"/>
  <c r="BD21" i="5" s="1"/>
  <c r="BD22" i="5" s="1"/>
  <c r="BE22" i="5" s="1"/>
  <c r="BF22" i="5" s="1"/>
  <c r="BC7" i="5" l="1"/>
  <c r="BC6" i="5"/>
  <c r="BE12" i="5"/>
  <c r="BG45" i="2"/>
  <c r="BG46" i="2" s="1"/>
  <c r="BE13" i="5"/>
  <c r="BD5" i="5" l="1"/>
  <c r="BF11" i="5"/>
  <c r="BG25" i="5" s="1"/>
  <c r="BG26" i="5" s="1"/>
  <c r="BH26" i="5" s="1"/>
  <c r="BI26" i="5" s="1"/>
  <c r="BH45" i="2" l="1"/>
  <c r="BH46" i="2" s="1"/>
  <c r="BF12" i="5"/>
  <c r="BF13" i="5"/>
  <c r="BD7" i="5"/>
  <c r="BD6" i="5"/>
  <c r="BE5" i="5" l="1"/>
  <c r="BG11" i="5"/>
  <c r="BG12" i="5" l="1"/>
  <c r="BI45" i="2"/>
  <c r="BI46" i="2" s="1"/>
  <c r="BG13" i="5"/>
  <c r="BE7" i="5"/>
  <c r="BE6" i="5"/>
  <c r="BH11" i="5" l="1"/>
  <c r="BF5" i="5"/>
  <c r="BG21" i="5" s="1"/>
  <c r="BG22" i="5" s="1"/>
  <c r="BH22" i="5" s="1"/>
  <c r="BI22" i="5" s="1"/>
  <c r="BH12" i="5" l="1"/>
  <c r="BJ45" i="2"/>
  <c r="BJ46" i="2" s="1"/>
  <c r="BH13" i="5"/>
  <c r="BF7" i="5"/>
  <c r="BF6" i="5"/>
  <c r="BG5" i="5" l="1"/>
  <c r="BI11" i="5"/>
  <c r="BJ25" i="5" s="1"/>
  <c r="BJ26" i="5" s="1"/>
  <c r="BK26" i="5" s="1"/>
  <c r="BL26" i="5" s="1"/>
  <c r="BG7" i="5" l="1"/>
  <c r="BG6" i="5"/>
  <c r="BK45" i="2"/>
  <c r="BK46" i="2" s="1"/>
  <c r="BI12" i="5"/>
  <c r="BI13" i="5"/>
  <c r="BJ11" i="5" l="1"/>
  <c r="BH5" i="5"/>
  <c r="BH7" i="5" l="1"/>
  <c r="BH6" i="5"/>
  <c r="BJ12" i="5"/>
  <c r="BL45" i="2"/>
  <c r="BL46" i="2" s="1"/>
  <c r="BJ13" i="5"/>
  <c r="BK11" i="5" l="1"/>
  <c r="BI5" i="5"/>
  <c r="BJ21" i="5" s="1"/>
  <c r="BJ22" i="5" s="1"/>
  <c r="BK22" i="5" s="1"/>
  <c r="BL22" i="5" s="1"/>
  <c r="BK12" i="5" l="1"/>
  <c r="BM45" i="2"/>
  <c r="BM46" i="2" s="1"/>
  <c r="BK13" i="5"/>
  <c r="BI7" i="5"/>
  <c r="BI6" i="5"/>
  <c r="BJ5" i="5" l="1"/>
  <c r="BL11" i="5"/>
  <c r="BM25" i="5" s="1"/>
  <c r="BM26" i="5" s="1"/>
  <c r="BN26" i="5" s="1"/>
  <c r="BO26" i="5" s="1"/>
  <c r="BN45" i="2" l="1"/>
  <c r="BN46" i="2" s="1"/>
  <c r="BL12" i="5"/>
  <c r="BL13" i="5"/>
  <c r="BJ7" i="5"/>
  <c r="BJ6" i="5"/>
  <c r="BK5" i="5" l="1"/>
  <c r="BM11" i="5"/>
  <c r="BM12" i="5" l="1"/>
  <c r="BO45" i="2"/>
  <c r="BO46" i="2" s="1"/>
  <c r="BM13" i="5"/>
  <c r="BK7" i="5"/>
  <c r="BK6" i="5"/>
  <c r="BL5" i="5" l="1"/>
  <c r="BM21" i="5" s="1"/>
  <c r="BM22" i="5" s="1"/>
  <c r="BN22" i="5" s="1"/>
  <c r="BO22" i="5" s="1"/>
  <c r="BN11" i="5"/>
  <c r="BL7" i="5" l="1"/>
  <c r="BL6" i="5"/>
  <c r="BN12" i="5"/>
  <c r="BP45" i="2"/>
  <c r="BP46" i="2" s="1"/>
  <c r="BN13" i="5"/>
  <c r="BO11" i="5" l="1"/>
  <c r="BP25" i="5" s="1"/>
  <c r="BP26" i="5" s="1"/>
  <c r="BQ26" i="5" s="1"/>
  <c r="BR26" i="5" s="1"/>
  <c r="BM5" i="5"/>
  <c r="BQ45" i="2" l="1"/>
  <c r="BQ46" i="2" s="1"/>
  <c r="BO12" i="5"/>
  <c r="BO13" i="5"/>
  <c r="BM7" i="5"/>
  <c r="BM6" i="5"/>
  <c r="BN5" i="5" l="1"/>
  <c r="BP11" i="5"/>
  <c r="BP12" i="5" l="1"/>
  <c r="BR45" i="2"/>
  <c r="BR46" i="2" s="1"/>
  <c r="BP13" i="5"/>
  <c r="BN7" i="5"/>
  <c r="BN6" i="5"/>
  <c r="BO5" i="5" l="1"/>
  <c r="BP21" i="5" s="1"/>
  <c r="BP22" i="5" s="1"/>
  <c r="BQ22" i="5" s="1"/>
  <c r="BR22" i="5" s="1"/>
  <c r="BQ11" i="5"/>
  <c r="BQ12" i="5" l="1"/>
  <c r="BS45" i="2"/>
  <c r="BS46" i="2" s="1"/>
  <c r="BQ13" i="5"/>
  <c r="BO7" i="5"/>
  <c r="BO6" i="5"/>
  <c r="BP5" i="5" l="1"/>
  <c r="BR11" i="5"/>
  <c r="BS25" i="5" s="1"/>
  <c r="BS26" i="5" s="1"/>
  <c r="BT26" i="5" s="1"/>
  <c r="BU26" i="5" s="1"/>
  <c r="BT45" i="2" l="1"/>
  <c r="BT46" i="2" s="1"/>
  <c r="BR12" i="5"/>
  <c r="BR13" i="5"/>
  <c r="BP7" i="5"/>
  <c r="BP6" i="5"/>
  <c r="BQ5" i="5" l="1"/>
  <c r="BS11" i="5"/>
  <c r="BS12" i="5" l="1"/>
  <c r="BU45" i="2"/>
  <c r="BU46" i="2" s="1"/>
  <c r="BS13" i="5"/>
  <c r="BQ7" i="5"/>
  <c r="BQ6" i="5"/>
  <c r="BR5" i="5" l="1"/>
  <c r="BS21" i="5" s="1"/>
  <c r="BS22" i="5" s="1"/>
  <c r="BT22" i="5" s="1"/>
  <c r="BU22" i="5" s="1"/>
  <c r="BT11" i="5"/>
  <c r="BT12" i="5" l="1"/>
  <c r="BV45" i="2"/>
  <c r="BV46" i="2" s="1"/>
  <c r="BT13" i="5"/>
  <c r="BR7" i="5"/>
  <c r="BR6" i="5"/>
  <c r="BS5" i="5" l="1"/>
  <c r="BU11" i="5"/>
  <c r="BV25" i="5" s="1"/>
  <c r="BV26" i="5" s="1"/>
  <c r="BW26" i="5" s="1"/>
  <c r="BX26" i="5" s="1"/>
  <c r="BW45" i="2" l="1"/>
  <c r="BW46" i="2" s="1"/>
  <c r="BU12" i="5"/>
  <c r="BU13" i="5"/>
  <c r="BS7" i="5"/>
  <c r="BS6" i="5"/>
  <c r="BT5" i="5" l="1"/>
  <c r="BV11" i="5"/>
  <c r="BV12" i="5" l="1"/>
  <c r="BX45" i="2"/>
  <c r="BX46" i="2" s="1"/>
  <c r="BV13" i="5"/>
  <c r="BT7" i="5"/>
  <c r="BT6" i="5"/>
  <c r="BU5" i="5" l="1"/>
  <c r="BV21" i="5" s="1"/>
  <c r="BV22" i="5" s="1"/>
  <c r="BW22" i="5" s="1"/>
  <c r="BX22" i="5" s="1"/>
  <c r="BW11" i="5"/>
  <c r="BW12" i="5" l="1"/>
  <c r="BY45" i="2"/>
  <c r="BY46" i="2" s="1"/>
  <c r="BW13" i="5"/>
  <c r="BU7" i="5"/>
  <c r="BU6" i="5"/>
  <c r="BV5" i="5" l="1"/>
  <c r="BX11" i="5"/>
  <c r="BY25" i="5" s="1"/>
  <c r="BY26" i="5" s="1"/>
  <c r="BZ26" i="5" s="1"/>
  <c r="CA26" i="5" s="1"/>
  <c r="BZ45" i="2" l="1"/>
  <c r="BZ46" i="2" s="1"/>
  <c r="BX12" i="5"/>
  <c r="BX13" i="5"/>
  <c r="BV7" i="5"/>
  <c r="BV6" i="5"/>
  <c r="BW5" i="5" l="1"/>
  <c r="BY11" i="5"/>
  <c r="BY12" i="5" l="1"/>
  <c r="CA45" i="2"/>
  <c r="CA46" i="2" s="1"/>
  <c r="BY13" i="5"/>
  <c r="BW7" i="5"/>
  <c r="BW6" i="5"/>
  <c r="BX5" i="5" l="1"/>
  <c r="BY21" i="5" s="1"/>
  <c r="BY22" i="5" s="1"/>
  <c r="BZ22" i="5" s="1"/>
  <c r="CA22" i="5" s="1"/>
  <c r="BZ11" i="5"/>
  <c r="BZ12" i="5" l="1"/>
  <c r="CB45" i="2"/>
  <c r="CB46" i="2" s="1"/>
  <c r="BZ13" i="5"/>
  <c r="BX7" i="5"/>
  <c r="BX6" i="5"/>
  <c r="BY5" i="5" l="1"/>
  <c r="CA11" i="5"/>
  <c r="CB25" i="5" s="1"/>
  <c r="CB26" i="5" s="1"/>
  <c r="CC26" i="5" s="1"/>
  <c r="CD26" i="5" s="1"/>
  <c r="CC45" i="2" l="1"/>
  <c r="CC46" i="2" s="1"/>
  <c r="CA12" i="5"/>
  <c r="CA13" i="5"/>
  <c r="BY7" i="5"/>
  <c r="BY6" i="5"/>
  <c r="BZ5" i="5" l="1"/>
  <c r="CB11" i="5"/>
  <c r="CB12" i="5" l="1"/>
  <c r="CD45" i="2"/>
  <c r="CD46" i="2" s="1"/>
  <c r="CB13" i="5"/>
  <c r="BZ7" i="5"/>
  <c r="BZ6" i="5"/>
  <c r="CA5" i="5" l="1"/>
  <c r="CB21" i="5" s="1"/>
  <c r="CB22" i="5" s="1"/>
  <c r="CC22" i="5" s="1"/>
  <c r="CD22" i="5" s="1"/>
  <c r="CC11" i="5"/>
  <c r="CC12" i="5" l="1"/>
  <c r="CE45" i="2"/>
  <c r="CE46" i="2" s="1"/>
  <c r="CC13" i="5"/>
  <c r="CA7" i="5"/>
  <c r="CA6" i="5"/>
  <c r="CB5" i="5" l="1"/>
  <c r="CD11" i="5"/>
  <c r="CE25" i="5" s="1"/>
  <c r="CE26" i="5" s="1"/>
  <c r="CF26" i="5" s="1"/>
  <c r="CG26" i="5" s="1"/>
  <c r="CF45" i="2" l="1"/>
  <c r="CF46" i="2" s="1"/>
  <c r="CD12" i="5"/>
  <c r="CD13" i="5"/>
  <c r="CB7" i="5"/>
  <c r="CB6" i="5"/>
  <c r="CC5" i="5" l="1"/>
  <c r="CE11" i="5"/>
  <c r="CE12" i="5" l="1"/>
  <c r="CE13" i="5"/>
  <c r="CC7" i="5"/>
  <c r="CC6" i="5"/>
  <c r="CG45" i="2" l="1"/>
  <c r="CG46" i="2" s="1"/>
  <c r="CD5" i="5"/>
  <c r="CE21" i="5" s="1"/>
  <c r="CE22" i="5" s="1"/>
  <c r="CF22" i="5" s="1"/>
  <c r="CG22" i="5" s="1"/>
  <c r="CF11" i="5"/>
  <c r="CG11" i="5" l="1"/>
  <c r="CH25" i="5" s="1"/>
  <c r="CH26" i="5" s="1"/>
  <c r="CI26" i="5" s="1"/>
  <c r="CJ26" i="5" s="1"/>
  <c r="CH45" i="2"/>
  <c r="CH46" i="2" s="1"/>
  <c r="CF12" i="5"/>
  <c r="CF13" i="5"/>
  <c r="CD7" i="5"/>
  <c r="CD6" i="5"/>
  <c r="CG12" i="5" l="1"/>
  <c r="CG13" i="5"/>
  <c r="CE5" i="5"/>
  <c r="CH11" i="5" l="1"/>
  <c r="CI45" i="2"/>
  <c r="CI46" i="2" s="1"/>
  <c r="CE7" i="5"/>
  <c r="CE6" i="5"/>
  <c r="CH12" i="5" l="1"/>
  <c r="CH13" i="5"/>
  <c r="CF5" i="5"/>
  <c r="CG5" i="5" s="1"/>
  <c r="CH21" i="5" s="1"/>
  <c r="CH22" i="5" s="1"/>
  <c r="CI22" i="5" s="1"/>
  <c r="CJ22" i="5" s="1"/>
  <c r="CG6" i="5" l="1"/>
  <c r="CH5" i="5"/>
  <c r="CG7" i="5"/>
  <c r="CJ45" i="2"/>
  <c r="CJ46" i="2" s="1"/>
  <c r="CI11" i="5"/>
  <c r="CF7" i="5"/>
  <c r="CF6" i="5"/>
  <c r="CI5" i="5" l="1"/>
  <c r="CH7" i="5"/>
  <c r="CH6" i="5"/>
  <c r="CI13" i="5"/>
  <c r="CI12" i="5"/>
  <c r="CI7" i="5" l="1"/>
  <c r="CI6" i="5"/>
  <c r="CJ5" i="5"/>
  <c r="CK21" i="5" s="1"/>
  <c r="CK22" i="5" s="1"/>
  <c r="CL22" i="5" s="1"/>
  <c r="CM22" i="5" s="1"/>
  <c r="CK45" i="2"/>
  <c r="CK46" i="2" s="1"/>
  <c r="CJ11" i="5"/>
  <c r="CK25" i="5" s="1"/>
  <c r="CK26" i="5" s="1"/>
  <c r="CL26" i="5" s="1"/>
  <c r="CM26" i="5" s="1"/>
  <c r="CJ6" i="5" l="1"/>
  <c r="CJ7" i="5"/>
  <c r="CK5" i="5"/>
  <c r="CJ12" i="5"/>
  <c r="CJ13" i="5"/>
  <c r="CK7" i="5" l="1"/>
  <c r="CL5" i="5"/>
  <c r="CK6" i="5"/>
  <c r="CK11" i="5"/>
  <c r="CL45" i="2"/>
  <c r="CL46" i="2" s="1"/>
  <c r="CL7" i="5" l="1"/>
  <c r="CL6" i="5"/>
  <c r="CM5" i="5"/>
  <c r="CN21" i="5" s="1"/>
  <c r="CN22" i="5" s="1"/>
  <c r="CO22" i="5" s="1"/>
  <c r="CP22" i="5" s="1"/>
  <c r="CK13" i="5"/>
  <c r="CK12" i="5"/>
  <c r="CN5" i="5" l="1"/>
  <c r="CM6" i="5"/>
  <c r="CM7" i="5"/>
  <c r="CL11" i="5"/>
  <c r="CM45" i="2"/>
  <c r="CM46" i="2" s="1"/>
  <c r="CO5" i="5" l="1"/>
  <c r="CN7" i="5"/>
  <c r="CN6" i="5"/>
  <c r="CL12" i="5"/>
  <c r="CL13" i="5"/>
  <c r="CO6" i="5" l="1"/>
  <c r="CO7" i="5"/>
  <c r="CM11" i="5"/>
  <c r="CN25" i="5" s="1"/>
  <c r="CN26" i="5" s="1"/>
  <c r="CO26" i="5" s="1"/>
  <c r="CP26" i="5" s="1"/>
  <c r="CN45" i="2"/>
  <c r="CN46" i="2" s="1"/>
  <c r="CP5" i="5" l="1"/>
  <c r="CQ21" i="5" s="1"/>
  <c r="CQ22" i="5" s="1"/>
  <c r="CR22" i="5" s="1"/>
  <c r="CS22" i="5" s="1"/>
  <c r="CM12" i="5"/>
  <c r="CM13" i="5"/>
  <c r="CQ5" i="5" l="1"/>
  <c r="CP7" i="5"/>
  <c r="CP6" i="5"/>
  <c r="CN11" i="5"/>
  <c r="CO45" i="2"/>
  <c r="CO46" i="2" s="1"/>
  <c r="CR5" i="5" l="1"/>
  <c r="CQ6" i="5"/>
  <c r="CQ7" i="5"/>
  <c r="CN13" i="5"/>
  <c r="CN12" i="5"/>
  <c r="CR7" i="5" l="1"/>
  <c r="CR6" i="5"/>
  <c r="CS5" i="5"/>
  <c r="CT21" i="5" s="1"/>
  <c r="CT22" i="5" s="1"/>
  <c r="CP45" i="2"/>
  <c r="CP46" i="2" s="1"/>
  <c r="CO11" i="5"/>
  <c r="CS7" i="5" l="1"/>
  <c r="CS6" i="5"/>
  <c r="CT5" i="5"/>
  <c r="CO12" i="5"/>
  <c r="CO13" i="5"/>
  <c r="CT6" i="5" l="1"/>
  <c r="CT7" i="5"/>
  <c r="CP11" i="5"/>
  <c r="CQ25" i="5" s="1"/>
  <c r="CQ26" i="5" s="1"/>
  <c r="CR26" i="5" s="1"/>
  <c r="CS26" i="5" s="1"/>
  <c r="CQ45" i="2"/>
  <c r="CQ46" i="2" s="1"/>
  <c r="CP12" i="5" l="1"/>
  <c r="CP13" i="5"/>
  <c r="CQ11" i="5" l="1"/>
  <c r="CR45" i="2"/>
  <c r="CR46" i="2" s="1"/>
  <c r="CQ12" i="5" l="1"/>
  <c r="CQ13" i="5"/>
  <c r="CS45" i="2" l="1"/>
  <c r="CS46" i="2" s="1"/>
  <c r="CR11" i="5"/>
  <c r="CR13" i="5" l="1"/>
  <c r="CR12" i="5"/>
  <c r="CT45" i="2" l="1"/>
  <c r="CT46" i="2" s="1"/>
  <c r="CS11" i="5"/>
  <c r="CT25" i="5" s="1"/>
  <c r="CT26" i="5" s="1"/>
  <c r="CS12" i="5" l="1"/>
  <c r="CS13" i="5"/>
  <c r="CU45" i="2" l="1"/>
  <c r="CU46" i="2" s="1"/>
  <c r="CT11" i="5"/>
  <c r="CT13" i="5" l="1"/>
  <c r="CT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ahossain</author>
    <author>Zabir Ibne Raquib</author>
  </authors>
  <commentList>
    <comment ref="C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IDCOL Board in its 222</t>
        </r>
        <r>
          <rPr>
            <vertAlign val="superscript"/>
            <sz val="9"/>
            <color indexed="81"/>
            <rFont val="Tahoma"/>
            <family val="2"/>
          </rPr>
          <t xml:space="preserve">nd </t>
        </r>
        <r>
          <rPr>
            <sz val="9"/>
            <color indexed="81"/>
            <rFont val="Tahoma"/>
            <family val="2"/>
          </rPr>
          <t>meeting hled on 29 Dec'16 approved rate reduction to 10%.</t>
        </r>
      </text>
    </comment>
    <comment ref="G31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Zabir Ibne Raquib:</t>
        </r>
        <r>
          <rPr>
            <sz val="9"/>
            <color indexed="81"/>
            <rFont val="Tahoma"/>
            <family val="2"/>
          </rPr>
          <t xml:space="preserve">
+1 day to accommodate interest rate change</t>
        </r>
      </text>
    </comment>
  </commentList>
</comments>
</file>

<file path=xl/sharedStrings.xml><?xml version="1.0" encoding="utf-8"?>
<sst xmlns="http://schemas.openxmlformats.org/spreadsheetml/2006/main" count="135" uniqueCount="90">
  <si>
    <t>Borrower:</t>
  </si>
  <si>
    <t>PARTEX PETRO LIMITED (PPL)</t>
  </si>
  <si>
    <t>Currency:</t>
  </si>
  <si>
    <t>BDT</t>
  </si>
  <si>
    <t xml:space="preserve">Type </t>
  </si>
  <si>
    <t>IDCOL Loan</t>
  </si>
  <si>
    <t>Source:</t>
  </si>
  <si>
    <t>IDCOL Current Account</t>
  </si>
  <si>
    <t>Disbursement Number</t>
  </si>
  <si>
    <t>Disbursement Date</t>
  </si>
  <si>
    <t>Disbursement</t>
  </si>
  <si>
    <t>Cumulative Disbursement</t>
  </si>
  <si>
    <t>Source</t>
  </si>
  <si>
    <t>1 (Part I)</t>
  </si>
  <si>
    <t>1 (Part II)</t>
  </si>
  <si>
    <t>2-9</t>
  </si>
  <si>
    <t>10-13</t>
  </si>
  <si>
    <t xml:space="preserve"> 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</si>
  <si>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</si>
  <si>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</si>
  <si>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</si>
  <si>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</si>
  <si>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</si>
  <si>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</si>
  <si>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</si>
  <si>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</si>
  <si>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</si>
  <si>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</si>
  <si>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</si>
  <si>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</si>
  <si>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</si>
  <si>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</si>
  <si>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</si>
  <si>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</si>
  <si>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Interest receipts:</t>
  </si>
  <si>
    <t>Interest received</t>
  </si>
  <si>
    <t>Interest received (cumulative)</t>
  </si>
  <si>
    <t>LD/others</t>
  </si>
  <si>
    <t>LD/others (cumulative)</t>
  </si>
  <si>
    <t>Actual Payment date</t>
  </si>
  <si>
    <t>Actual Payment amount:</t>
  </si>
  <si>
    <t>LPC</t>
  </si>
  <si>
    <t>Total</t>
  </si>
  <si>
    <t>Project name:</t>
  </si>
  <si>
    <t>Agreement date</t>
  </si>
  <si>
    <t>Loan Amount</t>
  </si>
  <si>
    <t>Interest Grace</t>
  </si>
  <si>
    <t>months</t>
  </si>
  <si>
    <t>Principal Grace</t>
  </si>
  <si>
    <t>First Drawdown Date</t>
  </si>
  <si>
    <t>Interest Grace Ends</t>
  </si>
  <si>
    <t>Request Date</t>
  </si>
  <si>
    <t>Principal Grace Ends</t>
  </si>
  <si>
    <t>Interest Rate</t>
  </si>
  <si>
    <t>Tenor</t>
  </si>
  <si>
    <t>8 years</t>
  </si>
  <si>
    <t>Level principal</t>
  </si>
  <si>
    <t>Interest calculation</t>
  </si>
  <si>
    <t>days basis</t>
  </si>
  <si>
    <t>Number of installments</t>
  </si>
  <si>
    <t>Drawdown</t>
  </si>
  <si>
    <t>Effective date</t>
  </si>
  <si>
    <t>Revised interest rate</t>
  </si>
  <si>
    <t>Repayment</t>
  </si>
  <si>
    <t>Interest capitalized</t>
  </si>
  <si>
    <t>Repayment Period</t>
  </si>
  <si>
    <t>Repayment Date</t>
  </si>
  <si>
    <t>Opening Balance</t>
  </si>
  <si>
    <t>Interest Payment</t>
  </si>
  <si>
    <t>Cumulative interest</t>
  </si>
  <si>
    <t>Principal Payment</t>
  </si>
  <si>
    <t>Cumulative repayment</t>
  </si>
  <si>
    <t>Total Debt Service</t>
  </si>
  <si>
    <t>Closing Balance</t>
  </si>
  <si>
    <t>Total Interest Capitalized</t>
  </si>
  <si>
    <t>Particulars</t>
  </si>
  <si>
    <t>Total interest accrued</t>
  </si>
  <si>
    <t>Total interest capitalized</t>
  </si>
  <si>
    <t>Net interest accrued</t>
  </si>
  <si>
    <t>Total interest received</t>
  </si>
  <si>
    <t>Total interest receivable</t>
  </si>
  <si>
    <t>Average Installment Size</t>
  </si>
  <si>
    <t>Date</t>
  </si>
  <si>
    <t>Average Installment</t>
  </si>
  <si>
    <t>Assumptions:</t>
  </si>
  <si>
    <t>Drawdown Date</t>
  </si>
  <si>
    <t xml:space="preserve"> days basis</t>
  </si>
  <si>
    <t>Accrual of interest</t>
  </si>
  <si>
    <t>Months</t>
  </si>
  <si>
    <t>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</si>
</sst>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</numFmts>
  <fonts count="1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3" fontId="2" fillId="0" borderId="0" xfId="0" applyNumberFormat="1" applyFont="1" applyAlignment="1" applyProtection="1">
      <alignment horizontal="center"/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3" fontId="2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4" fontId="2" fillId="0" borderId="0" xfId="0" applyNumberFormat="1" applyFont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1" xfId="0" applyNumberFormat="1" applyFont="1" applyBorder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10" fontId="11" fillId="0" borderId="0" xfId="0" applyNumberFormat="1" applyFont="1" applyAlignment="1" applyProtection="1">
      <alignment horizontal="center"/>
      <protection locked="0"/>
    </xf>
    <xf numFmtId="3" fontId="12" fillId="0" borderId="0" xfId="0" applyNumberFormat="1" applyFont="1" applyAlignment="1" applyProtection="1">
      <alignment horizontal="right"/>
      <protection locked="0"/>
    </xf>
    <xf numFmtId="3" fontId="12" fillId="0" borderId="0" xfId="0" applyNumberFormat="1" applyFont="1" applyAlignment="1" applyProtection="1">
      <alignment horizontal="center"/>
      <protection locked="0"/>
    </xf>
    <xf numFmtId="4" fontId="12" fillId="0" borderId="0" xfId="0" applyNumberFormat="1" applyFont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Protection="1">
      <protection locked="0"/>
    </xf>
    <xf numFmtId="43" fontId="12" fillId="0" borderId="0" xfId="1" applyFont="1"/>
    <xf numFmtId="0" fontId="12" fillId="0" borderId="1" xfId="0" applyFont="1" applyBorder="1" applyProtection="1">
      <protection locked="0"/>
    </xf>
    <xf numFmtId="3" fontId="12" fillId="0" borderId="1" xfId="0" applyNumberFormat="1" applyFont="1" applyBorder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4" fontId="12" fillId="0" borderId="0" xfId="0" applyNumberFormat="1" applyFont="1" applyProtection="1">
      <protection locked="0"/>
    </xf>
    <xf numFmtId="165" fontId="12" fillId="0" borderId="0" xfId="1" applyNumberFormat="1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0" fontId="14" fillId="0" borderId="0" xfId="0" applyFont="1" applyProtection="1">
      <protection locked="0"/>
    </xf>
    <xf numFmtId="3" fontId="14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 applyProtection="1">
      <protection locked="0"/>
    </xf>
    <xf numFmtId="1" fontId="12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166" fontId="12" fillId="0" borderId="0" xfId="0" applyNumberFormat="1" applyFont="1" applyAlignment="1" applyProtection="1">
      <alignment horizontal="right"/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3" fontId="2" fillId="0" borderId="0" xfId="0" applyNumberFormat="1" applyFont="1"/>
    <xf numFmtId="0" fontId="5" fillId="0" borderId="0" xfId="0" applyFont="1" applyAlignment="1" applyProtection="1">
      <alignment horizontal="right"/>
      <protection locked="0"/>
    </xf>
    <xf numFmtId="3" fontId="5" fillId="0" borderId="0" xfId="0" applyNumberFormat="1" applyFont="1"/>
    <xf numFmtId="43" fontId="12" fillId="0" borderId="0" xfId="0" applyNumberFormat="1" applyFont="1"/>
    <xf numFmtId="3" fontId="5" fillId="2" borderId="2" xfId="0" applyNumberFormat="1" applyFont="1" applyFill="1" applyBorder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Border="1"/>
    <xf numFmtId="164" fontId="5" fillId="0" borderId="5" xfId="0" applyNumberFormat="1" applyFont="1" applyBorder="1" applyAlignment="1" applyProtection="1">
      <alignment horizontal="right"/>
      <protection locked="0"/>
    </xf>
    <xf numFmtId="3" fontId="5" fillId="0" borderId="6" xfId="0" applyNumberFormat="1" applyFont="1" applyBorder="1"/>
    <xf numFmtId="164" fontId="5" fillId="0" borderId="6" xfId="0" applyNumberFormat="1" applyFont="1" applyBorder="1" applyAlignment="1" applyProtection="1">
      <alignment horizontal="right"/>
      <protection locked="0"/>
    </xf>
    <xf numFmtId="164" fontId="2" fillId="0" borderId="4" xfId="0" applyNumberFormat="1" applyFont="1" applyBorder="1" applyAlignment="1" applyProtection="1">
      <alignment horizontal="right"/>
      <protection locked="0"/>
    </xf>
    <xf numFmtId="3" fontId="2" fillId="0" borderId="4" xfId="0" applyNumberFormat="1" applyFont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" fontId="2" fillId="0" borderId="0" xfId="0" applyNumberFormat="1" applyFont="1" applyProtection="1">
      <protection locked="0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43" fontId="15" fillId="0" borderId="0" xfId="1" applyFont="1"/>
    <xf numFmtId="0" fontId="15" fillId="0" borderId="0" xfId="0" applyFont="1"/>
    <xf numFmtId="15" fontId="12" fillId="0" borderId="0" xfId="0" applyNumberFormat="1" applyFont="1" applyAlignment="1">
      <alignment horizontal="center"/>
    </xf>
    <xf numFmtId="164" fontId="12" fillId="0" borderId="4" xfId="0" applyNumberFormat="1" applyFont="1" applyBorder="1" applyAlignment="1" applyProtection="1">
      <alignment horizontal="right"/>
      <protection locked="0"/>
    </xf>
    <xf numFmtId="3" fontId="12" fillId="0" borderId="4" xfId="0" applyNumberFormat="1" applyFont="1" applyBorder="1" applyAlignment="1" applyProtection="1">
      <alignment horizontal="right"/>
      <protection locked="0"/>
    </xf>
    <xf numFmtId="0" fontId="11" fillId="3" borderId="7" xfId="0" applyFont="1" applyFill="1" applyBorder="1"/>
    <xf numFmtId="0" fontId="11" fillId="3" borderId="8" xfId="0" applyFont="1" applyFill="1" applyBorder="1" applyAlignment="1">
      <alignment horizontal="center"/>
    </xf>
    <xf numFmtId="164" fontId="12" fillId="0" borderId="0" xfId="0" applyNumberFormat="1" applyFont="1"/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164" fontId="12" fillId="0" borderId="2" xfId="1" applyNumberFormat="1" applyFont="1" applyBorder="1"/>
    <xf numFmtId="164" fontId="12" fillId="0" borderId="2" xfId="0" applyNumberFormat="1" applyFont="1" applyBorder="1"/>
    <xf numFmtId="164" fontId="12" fillId="0" borderId="3" xfId="0" applyNumberFormat="1" applyFont="1" applyBorder="1"/>
    <xf numFmtId="164" fontId="12" fillId="0" borderId="0" xfId="0" applyNumberFormat="1" applyFont="1" applyAlignment="1" applyProtection="1">
      <alignment horizontal="right"/>
      <protection locked="0"/>
    </xf>
    <xf numFmtId="9" fontId="12" fillId="0" borderId="4" xfId="2" applyFont="1" applyFill="1" applyBorder="1" applyAlignment="1" applyProtection="1">
      <alignment horizontal="right"/>
      <protection locked="0"/>
    </xf>
    <xf numFmtId="3" fontId="11" fillId="0" borderId="0" xfId="0" applyNumberFormat="1" applyFont="1"/>
    <xf numFmtId="0" fontId="12" fillId="0" borderId="4" xfId="0" applyFont="1" applyBorder="1" applyAlignment="1" applyProtection="1">
      <alignment horizontal="right"/>
      <protection locked="0"/>
    </xf>
    <xf numFmtId="164" fontId="11" fillId="0" borderId="0" xfId="0" applyNumberFormat="1" applyFont="1" applyAlignment="1" applyProtection="1">
      <alignment horizontal="right"/>
      <protection locked="0"/>
    </xf>
    <xf numFmtId="0" fontId="11" fillId="0" borderId="0" xfId="0" applyFont="1" applyAlignment="1" applyProtection="1">
      <alignment horizontal="right"/>
      <protection locked="0"/>
    </xf>
    <xf numFmtId="3" fontId="11" fillId="2" borderId="2" xfId="0" applyNumberFormat="1" applyFont="1" applyFill="1" applyBorder="1"/>
    <xf numFmtId="164" fontId="11" fillId="2" borderId="2" xfId="0" applyNumberFormat="1" applyFont="1" applyFill="1" applyBorder="1" applyAlignment="1" applyProtection="1">
      <alignment horizontal="right"/>
      <protection locked="0"/>
    </xf>
    <xf numFmtId="3" fontId="11" fillId="0" borderId="5" xfId="0" applyNumberFormat="1" applyFont="1" applyBorder="1"/>
    <xf numFmtId="164" fontId="11" fillId="0" borderId="5" xfId="0" applyNumberFormat="1" applyFont="1" applyBorder="1" applyAlignment="1" applyProtection="1">
      <alignment horizontal="right"/>
      <protection locked="0"/>
    </xf>
    <xf numFmtId="3" fontId="12" fillId="0" borderId="5" xfId="0" applyNumberFormat="1" applyFont="1" applyBorder="1" applyAlignment="1" applyProtection="1">
      <alignment horizontal="right"/>
      <protection locked="0"/>
    </xf>
    <xf numFmtId="3" fontId="11" fillId="0" borderId="6" xfId="0" applyNumberFormat="1" applyFont="1" applyBorder="1"/>
    <xf numFmtId="164" fontId="11" fillId="0" borderId="6" xfId="0" applyNumberFormat="1" applyFont="1" applyBorder="1" applyAlignment="1" applyProtection="1">
      <alignment horizontal="right"/>
      <protection locked="0"/>
    </xf>
    <xf numFmtId="3" fontId="12" fillId="0" borderId="6" xfId="0" applyNumberFormat="1" applyFont="1" applyBorder="1" applyAlignment="1" applyProtection="1">
      <alignment horizontal="right"/>
      <protection locked="0"/>
    </xf>
    <xf numFmtId="164" fontId="6" fillId="2" borderId="2" xfId="0" applyNumberFormat="1" applyFont="1" applyFill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41" fontId="2" fillId="0" borderId="4" xfId="1" applyNumberFormat="1" applyFont="1" applyFill="1" applyBorder="1" applyAlignment="1" applyProtection="1">
      <alignment horizontal="right"/>
    </xf>
    <xf numFmtId="0" fontId="3" fillId="0" borderId="0" xfId="0" applyFont="1"/>
    <xf numFmtId="3" fontId="2" fillId="0" borderId="5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12" fillId="0" borderId="0" xfId="0" applyNumberFormat="1" applyFont="1" applyAlignment="1">
      <alignment horizontal="right"/>
    </xf>
    <xf numFmtId="0" fontId="7" fillId="0" borderId="0" xfId="0" applyFont="1"/>
    <xf numFmtId="9" fontId="2" fillId="0" borderId="0" xfId="2" applyFont="1" applyFill="1" applyBorder="1" applyAlignment="1" applyProtection="1">
      <alignment horizontal="right"/>
      <protection locked="0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 applyProtection="1">
      <alignment horizontal="left"/>
      <protection locked="0"/>
    </xf>
    <xf numFmtId="43" fontId="12" fillId="0" borderId="0" xfId="1" applyFont="1" applyFill="1"/>
    <xf numFmtId="1" fontId="12" fillId="0" borderId="0" xfId="0" applyNumberFormat="1" applyFont="1" applyAlignment="1">
      <alignment horizontal="center" vertical="center"/>
    </xf>
    <xf numFmtId="164" fontId="12" fillId="0" borderId="4" xfId="0" applyNumberFormat="1" applyFont="1" applyBorder="1"/>
    <xf numFmtId="165" fontId="12" fillId="0" borderId="4" xfId="1" applyNumberFormat="1" applyFont="1" applyFill="1" applyBorder="1"/>
    <xf numFmtId="164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1" fontId="2" fillId="0" borderId="11" xfId="0" applyNumberFormat="1" applyFont="1" applyBorder="1" applyAlignment="1" applyProtection="1">
      <alignment horizontal="right"/>
      <protection locked="0"/>
    </xf>
    <xf numFmtId="164" fontId="2" fillId="0" borderId="0" xfId="0" applyNumberFormat="1" applyFont="1"/>
    <xf numFmtId="164" fontId="2" fillId="0" borderId="4" xfId="0" applyNumberFormat="1" applyFont="1" applyBorder="1" applyAlignment="1">
      <alignment horizontal="center" vertical="center"/>
    </xf>
    <xf numFmtId="164" fontId="12" fillId="0" borderId="0" xfId="0" applyNumberFormat="1" applyFont="1" applyProtection="1">
      <protection locked="0"/>
    </xf>
    <xf numFmtId="164" fontId="12" fillId="0" borderId="4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11" fillId="3" borderId="8" xfId="0" applyFont="1" applyFill="1" applyBorder="1"/>
    <xf numFmtId="0" fontId="11" fillId="3" borderId="9" xfId="0" applyFont="1" applyFill="1" applyBorder="1" applyAlignment="1">
      <alignment horizontal="center"/>
    </xf>
    <xf numFmtId="43" fontId="2" fillId="0" borderId="5" xfId="1" applyFont="1" applyFill="1" applyBorder="1" applyAlignment="1" applyProtection="1">
      <alignment horizontal="right"/>
      <protection locked="0"/>
    </xf>
    <xf numFmtId="43" fontId="2" fillId="0" borderId="0" xfId="1" applyFont="1" applyFill="1" applyBorder="1" applyProtection="1">
      <protection locked="0"/>
    </xf>
    <xf numFmtId="43" fontId="2" fillId="0" borderId="6" xfId="1" applyFont="1" applyFill="1" applyBorder="1" applyAlignment="1" applyProtection="1">
      <alignment horizontal="right"/>
      <protection locked="0"/>
    </xf>
    <xf numFmtId="43" fontId="2" fillId="0" borderId="0" xfId="0" applyNumberFormat="1" applyFont="1" applyProtection="1">
      <protection locked="0"/>
    </xf>
    <xf numFmtId="10" fontId="2" fillId="0" borderId="4" xfId="2" applyNumberFormat="1" applyFont="1" applyFill="1" applyBorder="1" applyAlignment="1" applyProtection="1">
      <alignment horizontal="right"/>
      <protection locked="0"/>
    </xf>
    <xf numFmtId="10" fontId="2" fillId="0" borderId="4" xfId="0" applyNumberFormat="1" applyFont="1" applyBorder="1" applyAlignment="1" applyProtection="1">
      <alignment horizontal="right"/>
      <protection locked="0"/>
    </xf>
    <xf numFmtId="165" fontId="2" fillId="0" borderId="0" xfId="0" applyNumberFormat="1" applyFont="1" applyProtection="1">
      <protection locked="0"/>
    </xf>
    <xf numFmtId="0" fontId="5" fillId="5" borderId="0" xfId="0" applyFont="1" applyFill="1" applyProtection="1">
      <protection locked="0"/>
    </xf>
    <xf numFmtId="165" fontId="5" fillId="5" borderId="0" xfId="0" applyNumberFormat="1" applyFont="1" applyFill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3" fontId="5" fillId="0" borderId="0" xfId="0" applyNumberFormat="1" applyFont="1" applyProtection="1">
      <protection locked="0"/>
    </xf>
    <xf numFmtId="10" fontId="2" fillId="0" borderId="0" xfId="0" applyNumberFormat="1" applyFont="1" applyProtection="1">
      <protection locked="0"/>
    </xf>
    <xf numFmtId="10" fontId="2" fillId="0" borderId="4" xfId="0" applyNumberFormat="1" applyFont="1" applyBorder="1" applyProtection="1">
      <protection locked="0"/>
    </xf>
    <xf numFmtId="164" fontId="2" fillId="0" borderId="4" xfId="0" applyNumberFormat="1" applyFont="1" applyBorder="1" applyProtection="1">
      <protection locked="0"/>
    </xf>
    <xf numFmtId="49" fontId="12" fillId="0" borderId="0" xfId="0" applyNumberFormat="1" applyFont="1" applyAlignment="1">
      <alignment horizont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43" fontId="12" fillId="0" borderId="0" xfId="1" applyFont="1" applyFill="1" applyBorder="1" applyAlignment="1" applyProtection="1">
      <alignment horizontal="right"/>
      <protection locked="0"/>
    </xf>
    <xf numFmtId="165" fontId="2" fillId="5" borderId="0" xfId="1" applyNumberFormat="1" applyFont="1" applyFill="1" applyBorder="1" applyProtection="1"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3" fontId="2" fillId="4" borderId="4" xfId="0" applyNumberFormat="1" applyFont="1" applyFill="1" applyBorder="1" applyAlignment="1" applyProtection="1">
      <alignment horizontal="center" vertical="center"/>
      <protection locked="0"/>
    </xf>
    <xf numFmtId="165" fontId="2" fillId="0" borderId="0" xfId="1" applyNumberFormat="1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2" fillId="0" borderId="0" xfId="0" applyFont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2" borderId="10" xfId="0" applyFont="1" applyFill="1" applyBorder="1" applyAlignment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workbookViewId="0">
      <selection activeCell="B11" sqref="B11"/>
    </sheetView>
  </sheetViews>
  <sheetFormatPr defaultColWidth="9.140625" defaultRowHeight="13.9"/>
  <cols>
    <col min="1" max="1" width="21.42578125" style="22" bestFit="1" customWidth="1"/>
    <col min="2" max="2" width="17.7109375" style="22" customWidth="1"/>
    <col min="3" max="3" width="17.42578125" style="22" customWidth="1"/>
    <col min="4" max="4" width="25.7109375" style="22" customWidth="1"/>
    <col min="5" max="5" width="23.140625" style="22" customWidth="1"/>
    <col min="6" max="6" width="9.28515625" style="22" bestFit="1" customWidth="1"/>
    <col min="7" max="7" width="12.5703125" style="22" customWidth="1"/>
    <col min="8" max="8" width="14" style="22" customWidth="1"/>
    <col min="9" max="9" width="16.5703125" style="22" customWidth="1"/>
    <col min="10" max="10" width="21.28515625" style="22" customWidth="1"/>
    <col min="11" max="11" width="12" style="22" customWidth="1"/>
    <col min="12" max="16384" width="9.140625" style="22"/>
  </cols>
  <sheetData>
    <row r="1" spans="1:11">
      <c r="A1" s="42" t="s">
        <v>0</v>
      </c>
      <c r="B1" s="22" t="s">
        <v>1</v>
      </c>
    </row>
    <row r="2" spans="1:11">
      <c r="A2" s="42" t="s">
        <v>2</v>
      </c>
      <c r="B2" s="22" t="s">
        <v>3</v>
      </c>
    </row>
    <row r="3" spans="1:11">
      <c r="A3" s="42" t="s">
        <v>4</v>
      </c>
      <c r="B3" s="22" t="s">
        <v>5</v>
      </c>
    </row>
    <row r="4" spans="1:11">
      <c r="A4" s="42" t="s">
        <v>6</v>
      </c>
      <c r="B4" s="22" t="s">
        <v>7</v>
      </c>
    </row>
    <row r="6" spans="1:11" ht="14.45" thickBot="1"/>
    <row r="7" spans="1:11" ht="14.45" thickBot="1">
      <c r="A7" s="77" t="s">
        <v>8</v>
      </c>
      <c r="B7" s="78" t="s">
        <v>9</v>
      </c>
      <c r="C7" s="78" t="s">
        <v>10</v>
      </c>
      <c r="D7" s="127" t="s">
        <v>11</v>
      </c>
      <c r="E7" s="128" t="s">
        <v>12</v>
      </c>
      <c r="G7" s="43"/>
      <c r="J7" s="57"/>
    </row>
    <row r="8" spans="1:11">
      <c r="A8" s="67" t="s">
        <v>13</v>
      </c>
      <c r="B8" s="74">
        <v>42808</v>
      </c>
      <c r="C8" s="68">
        <v>90000000</v>
      </c>
      <c r="D8" s="69">
        <f>C8</f>
        <v>90000000</v>
      </c>
      <c r="E8" s="118" t="s">
        <v>7</v>
      </c>
      <c r="F8" s="43"/>
      <c r="G8" s="112"/>
      <c r="H8" s="74"/>
      <c r="I8" s="111"/>
      <c r="J8" s="57"/>
      <c r="K8" s="118"/>
    </row>
    <row r="9" spans="1:11">
      <c r="A9" s="67" t="s">
        <v>14</v>
      </c>
      <c r="B9" s="74">
        <v>42808</v>
      </c>
      <c r="C9" s="68">
        <v>8715714.2899999991</v>
      </c>
      <c r="D9" s="69">
        <f>D8+C9</f>
        <v>98715714.289999992</v>
      </c>
      <c r="E9" s="118" t="s">
        <v>7</v>
      </c>
      <c r="F9" s="43"/>
      <c r="G9" s="112"/>
      <c r="H9" s="117"/>
      <c r="I9" s="30"/>
      <c r="J9" s="57"/>
      <c r="K9" s="118"/>
    </row>
    <row r="10" spans="1:11">
      <c r="A10" s="143" t="s">
        <v>15</v>
      </c>
      <c r="B10" s="74">
        <v>43143</v>
      </c>
      <c r="C10" s="68">
        <v>39593464.289999999</v>
      </c>
      <c r="D10" s="69">
        <f>D9+C10</f>
        <v>138309178.57999998</v>
      </c>
      <c r="E10" s="118" t="s">
        <v>7</v>
      </c>
      <c r="G10" s="112"/>
      <c r="I10" s="57"/>
      <c r="J10" s="57"/>
      <c r="K10" s="118"/>
    </row>
    <row r="11" spans="1:11">
      <c r="A11" s="143" t="s">
        <v>16</v>
      </c>
      <c r="B11" s="74">
        <v>43380</v>
      </c>
      <c r="C11" s="68">
        <v>379545656.25</v>
      </c>
      <c r="D11" s="69">
        <f>D10+C11</f>
        <v>517854834.82999998</v>
      </c>
      <c r="E11" s="118" t="s">
        <v>7</v>
      </c>
      <c r="G11" s="112"/>
      <c r="H11" s="117"/>
      <c r="I11" s="30"/>
      <c r="J11" s="57"/>
      <c r="K11" s="118"/>
    </row>
    <row r="12" spans="1:11">
      <c r="A12" s="67"/>
      <c r="B12" s="74"/>
      <c r="C12" s="30"/>
      <c r="D12" s="69"/>
      <c r="E12" s="118"/>
      <c r="G12" s="43"/>
      <c r="J12" s="57"/>
    </row>
    <row r="13" spans="1:11">
      <c r="A13" s="67"/>
      <c r="B13" s="74"/>
      <c r="C13" s="30"/>
      <c r="D13" s="69"/>
      <c r="E13" s="118"/>
      <c r="G13" s="43"/>
      <c r="J13" s="57"/>
    </row>
    <row r="14" spans="1:11">
      <c r="B14" s="43"/>
      <c r="C14" s="30"/>
      <c r="D14" s="69"/>
      <c r="G14" s="43"/>
      <c r="J14" s="57"/>
    </row>
    <row r="15" spans="1:11">
      <c r="B15" s="43"/>
      <c r="C15" s="30"/>
      <c r="D15" s="44"/>
      <c r="G15" s="43"/>
      <c r="J15" s="57"/>
    </row>
    <row r="16" spans="1:11">
      <c r="B16" s="43"/>
      <c r="C16" s="30"/>
      <c r="D16" s="44"/>
      <c r="E16" s="22" t="s">
        <v>17</v>
      </c>
      <c r="G16" s="43"/>
      <c r="J16" s="57"/>
    </row>
    <row r="17" spans="7:7">
      <c r="G17" s="43"/>
    </row>
    <row r="18" spans="7:7">
      <c r="G18" s="43"/>
    </row>
    <row r="19" spans="7:7">
      <c r="G19" s="43"/>
    </row>
    <row r="20" spans="7:7">
      <c r="G20" s="43"/>
    </row>
    <row r="21" spans="7:7">
      <c r="G21" s="43"/>
    </row>
    <row r="22" spans="7:7">
      <c r="G22" s="4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P35"/>
  <sheetViews>
    <sheetView showGridLines="0" tabSelected="1" zoomScaleNormal="100" workbookViewId="0">
      <pane xSplit="1" ySplit="1" topLeftCell="AI2" activePane="bottomRight" state="frozen"/>
      <selection pane="bottomRight" activeCell="AR26" sqref="AR26"/>
      <selection pane="bottomLeft" activeCell="B31" sqref="B31"/>
      <selection pane="topRight" activeCell="B31" sqref="B31"/>
    </sheetView>
  </sheetViews>
  <sheetFormatPr defaultColWidth="9.140625" defaultRowHeight="13.9"/>
  <cols>
    <col min="1" max="1" width="30.140625" style="36" bestFit="1" customWidth="1"/>
    <col min="2" max="3" width="14.5703125" style="22" bestFit="1" customWidth="1"/>
    <col min="4" max="30" width="15.5703125" style="22" bestFit="1" customWidth="1"/>
    <col min="31" max="36" width="15.5703125" style="22" customWidth="1"/>
    <col min="37" max="38" width="15.5703125" style="22" bestFit="1" customWidth="1"/>
    <col min="39" max="40" width="15.5703125" style="22" customWidth="1"/>
    <col min="41" max="41" width="15.5703125" style="22" bestFit="1" customWidth="1"/>
    <col min="42" max="48" width="15.5703125" style="22" customWidth="1"/>
    <col min="49" max="50" width="15.5703125" style="22" bestFit="1" customWidth="1"/>
    <col min="51" max="52" width="15.5703125" style="22" customWidth="1"/>
    <col min="53" max="108" width="17.28515625" style="22" bestFit="1" customWidth="1"/>
    <col min="109" max="112" width="17.28515625" style="22" customWidth="1"/>
    <col min="113" max="114" width="17.28515625" style="22" bestFit="1" customWidth="1"/>
    <col min="115" max="116" width="17.28515625" style="22" customWidth="1"/>
    <col min="117" max="117" width="17.28515625" style="22" bestFit="1" customWidth="1"/>
    <col min="118" max="120" width="17.28515625" style="22" customWidth="1"/>
    <col min="121" max="122" width="17.28515625" style="22" bestFit="1" customWidth="1"/>
    <col min="123" max="124" width="17.28515625" style="22" customWidth="1"/>
    <col min="125" max="125" width="17.28515625" style="22" bestFit="1" customWidth="1"/>
    <col min="126" max="132" width="17.28515625" style="22" customWidth="1"/>
    <col min="133" max="134" width="17.28515625" style="22" bestFit="1" customWidth="1"/>
    <col min="135" max="136" width="17.28515625" style="22" customWidth="1"/>
    <col min="137" max="137" width="17.28515625" style="22" bestFit="1" customWidth="1"/>
    <col min="138" max="138" width="9.140625" style="22"/>
    <col min="139" max="139" width="4.7109375" style="22" bestFit="1" customWidth="1"/>
    <col min="140" max="16384" width="9.140625" style="22"/>
  </cols>
  <sheetData>
    <row r="1" spans="1:120">
      <c r="B1" s="28">
        <f>Accrual_PPL!D23</f>
        <v>42826</v>
      </c>
      <c r="C1" s="28">
        <f>Accrual_PPL!E23</f>
        <v>42856</v>
      </c>
      <c r="D1" s="28">
        <f>Accrual_PPL!F23</f>
        <v>42887</v>
      </c>
      <c r="E1" s="28">
        <f>Accrual_PPL!G23</f>
        <v>42917</v>
      </c>
      <c r="F1" s="28">
        <f>Accrual_PPL!H23</f>
        <v>42948</v>
      </c>
      <c r="G1" s="28">
        <f>Accrual_PPL!I23</f>
        <v>42979</v>
      </c>
      <c r="H1" s="28">
        <f>Accrual_PPL!J23</f>
        <v>43009</v>
      </c>
      <c r="I1" s="28">
        <f>Accrual_PPL!K23</f>
        <v>43040</v>
      </c>
      <c r="J1" s="28">
        <f>Accrual_PPL!L23</f>
        <v>43070</v>
      </c>
      <c r="K1" s="28">
        <f>Accrual_PPL!M23</f>
        <v>43101</v>
      </c>
      <c r="L1" s="28">
        <f>Accrual_PPL!N23</f>
        <v>43132</v>
      </c>
      <c r="M1" s="28">
        <f>Accrual_PPL!O23</f>
        <v>43160</v>
      </c>
      <c r="N1" s="28">
        <f>Accrual_PPL!P23</f>
        <v>43191</v>
      </c>
      <c r="O1" s="28">
        <f>Accrual_PPL!Q23</f>
        <v>43221</v>
      </c>
      <c r="P1" s="28">
        <f>Accrual_PPL!R23</f>
        <v>43252</v>
      </c>
      <c r="Q1" s="28">
        <f>Accrual_PPL!S23</f>
        <v>43282</v>
      </c>
      <c r="R1" s="28">
        <f>Accrual_PPL!T23</f>
        <v>43313</v>
      </c>
      <c r="S1" s="28">
        <f>Accrual_PPL!U23</f>
        <v>43344</v>
      </c>
      <c r="T1" s="28">
        <f>Accrual_PPL!V23</f>
        <v>43374</v>
      </c>
      <c r="U1" s="28">
        <f>Accrual_PPL!W23</f>
        <v>43405</v>
      </c>
      <c r="V1" s="28">
        <f>Accrual_PPL!X23</f>
        <v>43435</v>
      </c>
      <c r="W1" s="28">
        <f>Accrual_PPL!Y23</f>
        <v>43466</v>
      </c>
      <c r="X1" s="28">
        <f>Accrual_PPL!Z23</f>
        <v>43497</v>
      </c>
      <c r="Y1" s="28">
        <f>Accrual_PPL!AA23</f>
        <v>43525</v>
      </c>
      <c r="Z1" s="28">
        <f>Accrual_PPL!AB23</f>
        <v>43556</v>
      </c>
      <c r="AA1" s="28">
        <f>Accrual_PPL!AC23</f>
        <v>43586</v>
      </c>
      <c r="AB1" s="28">
        <f>Accrual_PPL!AD23</f>
        <v>43617</v>
      </c>
      <c r="AC1" s="28">
        <f>Accrual_PPL!AE23</f>
        <v>43647</v>
      </c>
      <c r="AD1" s="28">
        <f>Accrual_PPL!AF23</f>
        <v>43678</v>
      </c>
      <c r="AE1" s="28">
        <f>Accrual_PPL!AG23</f>
        <v>43709</v>
      </c>
      <c r="AF1" s="28">
        <f>Accrual_PPL!AH23</f>
        <v>43739</v>
      </c>
      <c r="AG1" s="28">
        <f>Accrual_PPL!AI23</f>
        <v>43770</v>
      </c>
      <c r="AH1" s="28">
        <f>Accrual_PPL!AJ23</f>
        <v>43800</v>
      </c>
      <c r="AI1" s="28">
        <f>Accrual_PPL!AK23</f>
        <v>43831</v>
      </c>
      <c r="AJ1" s="28">
        <f>Accrual_PPL!AL23</f>
        <v>43862</v>
      </c>
      <c r="AK1" s="28">
        <f>Accrual_PPL!AM23</f>
        <v>43891</v>
      </c>
      <c r="AL1" s="28">
        <f>Accrual_PPL!AN23</f>
        <v>43922</v>
      </c>
      <c r="AM1" s="28">
        <f>Accrual_PPL!AO23</f>
        <v>43952</v>
      </c>
      <c r="AN1" s="28">
        <f>Accrual_PPL!AP23</f>
        <v>43983</v>
      </c>
      <c r="AO1" s="28">
        <f>Accrual_PPL!AQ23</f>
        <v>44013</v>
      </c>
      <c r="AP1" s="28">
        <f>Accrual_PPL!AR23</f>
        <v>44044</v>
      </c>
      <c r="AQ1" s="28">
        <f>Accrual_PPL!AS23</f>
        <v>44075</v>
      </c>
      <c r="AR1" s="28">
        <f>Accrual_PPL!AT23</f>
        <v>44105</v>
      </c>
      <c r="AS1" s="28">
        <f>Accrual_PPL!AU23</f>
        <v>44136</v>
      </c>
      <c r="AT1" s="28">
        <f>Accrual_PPL!AV23</f>
        <v>44166</v>
      </c>
      <c r="AU1" s="28">
        <f>Accrual_PPL!AW23</f>
        <v>44197</v>
      </c>
      <c r="AV1" s="28">
        <f>Accrual_PPL!AX23</f>
        <v>44228</v>
      </c>
      <c r="AW1" s="28">
        <f>Accrual_PPL!AY23</f>
        <v>44256</v>
      </c>
      <c r="AX1" s="28">
        <f>Accrual_PPL!AZ23</f>
        <v>44287</v>
      </c>
      <c r="AY1" s="28">
        <f>Accrual_PPL!BA23</f>
        <v>44317</v>
      </c>
      <c r="AZ1" s="28">
        <f>Accrual_PPL!BB23</f>
        <v>44348</v>
      </c>
      <c r="BA1" s="28">
        <f>Accrual_PPL!BC23</f>
        <v>44378</v>
      </c>
      <c r="BB1" s="28">
        <f>Accrual_PPL!BD23</f>
        <v>44409</v>
      </c>
      <c r="BC1" s="28">
        <f>Accrual_PPL!BE23</f>
        <v>44440</v>
      </c>
      <c r="BD1" s="28">
        <f>Accrual_PPL!BF23</f>
        <v>44470</v>
      </c>
      <c r="BE1" s="28">
        <f>Accrual_PPL!BG23</f>
        <v>44501</v>
      </c>
      <c r="BF1" s="28">
        <f>Accrual_PPL!BH23</f>
        <v>44531</v>
      </c>
      <c r="BG1" s="28">
        <f>Accrual_PPL!BI23</f>
        <v>44562</v>
      </c>
      <c r="BH1" s="28">
        <f>Accrual_PPL!BJ23</f>
        <v>44593</v>
      </c>
      <c r="BI1" s="28">
        <f>Accrual_PPL!BK23</f>
        <v>44621</v>
      </c>
      <c r="BJ1" s="28">
        <f>Accrual_PPL!BL23</f>
        <v>44652</v>
      </c>
      <c r="BK1" s="28">
        <f>Accrual_PPL!BM23</f>
        <v>44682</v>
      </c>
      <c r="BL1" s="28">
        <f>Accrual_PPL!BN23</f>
        <v>44713</v>
      </c>
      <c r="BM1" s="28">
        <f>Accrual_PPL!BO23</f>
        <v>44743</v>
      </c>
      <c r="BN1" s="28">
        <f>Accrual_PPL!BP23</f>
        <v>44774</v>
      </c>
      <c r="BO1" s="28">
        <f>Accrual_PPL!BQ23</f>
        <v>44805</v>
      </c>
      <c r="BP1" s="28">
        <f>Accrual_PPL!BR23</f>
        <v>44835</v>
      </c>
      <c r="BQ1" s="28">
        <f>Accrual_PPL!BS23</f>
        <v>44866</v>
      </c>
      <c r="BR1" s="28">
        <f>Accrual_PPL!BT23</f>
        <v>44896</v>
      </c>
      <c r="BS1" s="28">
        <f>Accrual_PPL!BU23</f>
        <v>44927</v>
      </c>
      <c r="BT1" s="28">
        <f>Accrual_PPL!BV23</f>
        <v>44958</v>
      </c>
      <c r="BU1" s="28">
        <f>Accrual_PPL!BW23</f>
        <v>44986</v>
      </c>
      <c r="BV1" s="28">
        <f>Accrual_PPL!BX23</f>
        <v>45017</v>
      </c>
      <c r="BW1" s="28">
        <f>Accrual_PPL!BY23</f>
        <v>45047</v>
      </c>
      <c r="BX1" s="28">
        <f>Accrual_PPL!BZ23</f>
        <v>45078</v>
      </c>
      <c r="BY1" s="28">
        <f>Accrual_PPL!CA23</f>
        <v>45108</v>
      </c>
      <c r="BZ1" s="28">
        <f>Accrual_PPL!CB23</f>
        <v>45139</v>
      </c>
      <c r="CA1" s="28">
        <f>Accrual_PPL!CC23</f>
        <v>45170</v>
      </c>
      <c r="CB1" s="28">
        <f>Accrual_PPL!CD23</f>
        <v>45200</v>
      </c>
      <c r="CC1" s="28">
        <f>Accrual_PPL!CE23</f>
        <v>45231</v>
      </c>
      <c r="CD1" s="28">
        <f>Accrual_PPL!CF23</f>
        <v>45261</v>
      </c>
      <c r="CE1" s="28">
        <f>Accrual_PPL!CG23</f>
        <v>45292</v>
      </c>
      <c r="CF1" s="28">
        <f>Accrual_PPL!CH23</f>
        <v>45323</v>
      </c>
      <c r="CG1" s="28">
        <f>Accrual_PPL!CI23</f>
        <v>45352</v>
      </c>
      <c r="CH1" s="28">
        <f>Accrual_PPL!CJ23</f>
        <v>45383</v>
      </c>
      <c r="CI1" s="28">
        <f>Accrual_PPL!CK23</f>
        <v>45413</v>
      </c>
      <c r="CJ1" s="28">
        <f>Accrual_PPL!CL23</f>
        <v>45444</v>
      </c>
      <c r="CK1" s="28">
        <f>Accrual_PPL!CM23</f>
        <v>45474</v>
      </c>
      <c r="CL1" s="28">
        <f>Accrual_PPL!CN23</f>
        <v>45505</v>
      </c>
      <c r="CM1" s="28">
        <f>Accrual_PPL!CO23</f>
        <v>45536</v>
      </c>
      <c r="CN1" s="28">
        <f>Accrual_PPL!CP23</f>
        <v>45566</v>
      </c>
      <c r="CO1" s="28">
        <f>Accrual_PPL!CQ23</f>
        <v>45597</v>
      </c>
      <c r="CP1" s="28">
        <f>Accrual_PPL!CR23</f>
        <v>45627</v>
      </c>
      <c r="CQ1" s="28">
        <f>Accrual_PPL!CS23</f>
        <v>45658</v>
      </c>
      <c r="CR1" s="28">
        <f>Accrual_PPL!CT23</f>
        <v>45689</v>
      </c>
      <c r="CS1" s="28">
        <f>Accrual_PPL!CU23</f>
        <v>45717</v>
      </c>
      <c r="CT1" s="28">
        <f>Accrual_PPL!CV23</f>
        <v>45748</v>
      </c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</row>
    <row r="2" spans="1:120">
      <c r="A2" s="37" t="s">
        <v>18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</row>
    <row r="3" spans="1:120">
      <c r="A3" s="38" t="s">
        <v>19</v>
      </c>
      <c r="B3" s="30">
        <f>Accrual_PPL!D24</f>
        <v>98715714.289999992</v>
      </c>
      <c r="C3" s="30">
        <f>Accrual_PPL!E24</f>
        <v>99181871.829702765</v>
      </c>
      <c r="D3" s="30">
        <f>Accrual_PPL!F24</f>
        <v>99181871.829702765</v>
      </c>
      <c r="E3" s="30">
        <f>Accrual_PPL!G24+PPL_Loan!D31</f>
        <v>101688969.14539804</v>
      </c>
      <c r="F3" s="30">
        <f>Accrual_PPL!H24</f>
        <v>101688969.14539804</v>
      </c>
      <c r="G3" s="30">
        <f>Accrual_PPL!I24</f>
        <v>101688969.14539804</v>
      </c>
      <c r="H3" s="30">
        <f>Accrual_PPL!J24+PPL_Loan!E31</f>
        <v>104160576.03434868</v>
      </c>
      <c r="I3" s="30">
        <f>Accrual_PPL!K24</f>
        <v>104160576.03434868</v>
      </c>
      <c r="J3" s="30">
        <f>Accrual_PPL!L24</f>
        <v>104160576.03434868</v>
      </c>
      <c r="K3" s="30">
        <f>Accrual_PPL!M24+PPL_Loan!F31</f>
        <v>106596052.83648515</v>
      </c>
      <c r="L3" s="30">
        <f>Accrual_PPL!N24</f>
        <v>106596052.83648515</v>
      </c>
      <c r="M3" s="30">
        <f>Accrual_PPL!O24</f>
        <v>146189517.12648514</v>
      </c>
      <c r="N3" s="30">
        <f>Accrual_PPL!P24+PPL_Loan!G31</f>
        <v>149197648.76839095</v>
      </c>
      <c r="O3" s="30">
        <f>Accrual_PPL!Q24</f>
        <v>149197648.76839095</v>
      </c>
      <c r="P3" s="30">
        <f>Accrual_PPL!R24</f>
        <v>149197648.76839095</v>
      </c>
      <c r="Q3" s="30">
        <f>Accrual_PPL!S24+PPL_Loan!H31</f>
        <v>153300584.10952172</v>
      </c>
      <c r="R3" s="30">
        <f>Accrual_PPL!T24</f>
        <v>153300584.10952172</v>
      </c>
      <c r="S3" s="30">
        <f>Accrual_PPL!U24</f>
        <v>153300584.10952172</v>
      </c>
      <c r="T3" s="30">
        <f>Accrual_PPL!V24+PPL_Loan!I31</f>
        <v>157610033.86282271</v>
      </c>
      <c r="U3" s="30">
        <f>Accrual_PPL!W24</f>
        <v>537155690.11282277</v>
      </c>
      <c r="V3" s="30">
        <f>Accrual_PPL!X24</f>
        <v>537155690.11282277</v>
      </c>
      <c r="W3" s="30">
        <f>Accrual_PPL!Y24+PPL_Loan!J31</f>
        <v>551279796.50925851</v>
      </c>
      <c r="X3" s="30">
        <f>Accrual_PPL!Z24</f>
        <v>551279796.50925851</v>
      </c>
      <c r="Y3" s="30">
        <f>Accrual_PPL!AA24</f>
        <v>551279796.50925851</v>
      </c>
      <c r="Z3" s="30">
        <f>Accrual_PPL!AB24+PPL_Loan!K31</f>
        <v>566608437.51775205</v>
      </c>
      <c r="AA3" s="30">
        <f>Accrual_PPL!AC24</f>
        <v>566608437.51775205</v>
      </c>
      <c r="AB3" s="30">
        <f>Accrual_PPL!AD24</f>
        <v>566608437.51775205</v>
      </c>
      <c r="AC3" s="30">
        <f>Accrual_PPL!AE24+PPL_Loan!L31</f>
        <v>582363299.90539849</v>
      </c>
      <c r="AD3" s="30">
        <f>Accrual_PPL!AF24</f>
        <v>582363299.90539849</v>
      </c>
      <c r="AE3" s="30">
        <f>Accrual_PPL!AG24</f>
        <v>582363299.90539849</v>
      </c>
      <c r="AF3" s="30">
        <f>Accrual_PPL!AH24+PPL_Loan!M31</f>
        <v>598734179.33607244</v>
      </c>
      <c r="AG3" s="30">
        <f>Accrual_PPL!AI24</f>
        <v>598734179.33607244</v>
      </c>
      <c r="AH3" s="30">
        <f>Accrual_PPL!AJ24</f>
        <v>598734179.33607244</v>
      </c>
      <c r="AI3" s="30">
        <f>Accrual_PPL!AK24+PPL_Loan!N31</f>
        <v>615382315.82261157</v>
      </c>
      <c r="AJ3" s="30">
        <f>Accrual_PPL!AL24</f>
        <v>615382315.82261157</v>
      </c>
      <c r="AK3" s="30">
        <f>Accrual_PPL!AM24</f>
        <v>615382315.82261157</v>
      </c>
      <c r="AL3" s="30">
        <f>Accrual_PPL!AN24+PPL_Loan!O31</f>
        <v>632681396.47851384</v>
      </c>
      <c r="AM3" s="30">
        <f t="shared" ref="AM3:BX3" si="0">AL3</f>
        <v>632681396.47851384</v>
      </c>
      <c r="AN3" s="30">
        <f t="shared" si="0"/>
        <v>632681396.47851384</v>
      </c>
      <c r="AO3" s="30">
        <f t="shared" si="0"/>
        <v>632681396.47851384</v>
      </c>
      <c r="AP3" s="30">
        <f t="shared" si="0"/>
        <v>632681396.47851384</v>
      </c>
      <c r="AQ3" s="30">
        <f t="shared" si="0"/>
        <v>632681396.47851384</v>
      </c>
      <c r="AR3" s="30">
        <f t="shared" si="0"/>
        <v>632681396.47851384</v>
      </c>
      <c r="AS3" s="30">
        <f t="shared" si="0"/>
        <v>632681396.47851384</v>
      </c>
      <c r="AT3" s="30">
        <f t="shared" si="0"/>
        <v>632681396.47851384</v>
      </c>
      <c r="AU3" s="30">
        <f t="shared" si="0"/>
        <v>632681396.47851384</v>
      </c>
      <c r="AV3" s="30">
        <f t="shared" si="0"/>
        <v>632681396.47851384</v>
      </c>
      <c r="AW3" s="30">
        <f t="shared" si="0"/>
        <v>632681396.47851384</v>
      </c>
      <c r="AX3" s="30">
        <f t="shared" si="0"/>
        <v>632681396.47851384</v>
      </c>
      <c r="AY3" s="30">
        <f t="shared" si="0"/>
        <v>632681396.47851384</v>
      </c>
      <c r="AZ3" s="30">
        <f t="shared" si="0"/>
        <v>632681396.47851384</v>
      </c>
      <c r="BA3" s="30">
        <f t="shared" si="0"/>
        <v>632681396.47851384</v>
      </c>
      <c r="BB3" s="30">
        <f t="shared" si="0"/>
        <v>632681396.47851384</v>
      </c>
      <c r="BC3" s="30">
        <f t="shared" si="0"/>
        <v>632681396.47851384</v>
      </c>
      <c r="BD3" s="30">
        <f t="shared" si="0"/>
        <v>632681396.47851384</v>
      </c>
      <c r="BE3" s="30">
        <f t="shared" si="0"/>
        <v>632681396.47851384</v>
      </c>
      <c r="BF3" s="30">
        <f t="shared" si="0"/>
        <v>632681396.47851384</v>
      </c>
      <c r="BG3" s="30">
        <f t="shared" si="0"/>
        <v>632681396.47851384</v>
      </c>
      <c r="BH3" s="30">
        <f t="shared" si="0"/>
        <v>632681396.47851384</v>
      </c>
      <c r="BI3" s="30">
        <f t="shared" si="0"/>
        <v>632681396.47851384</v>
      </c>
      <c r="BJ3" s="30">
        <f t="shared" si="0"/>
        <v>632681396.47851384</v>
      </c>
      <c r="BK3" s="30">
        <f t="shared" si="0"/>
        <v>632681396.47851384</v>
      </c>
      <c r="BL3" s="30">
        <f t="shared" si="0"/>
        <v>632681396.47851384</v>
      </c>
      <c r="BM3" s="30">
        <f t="shared" si="0"/>
        <v>632681396.47851384</v>
      </c>
      <c r="BN3" s="30">
        <f t="shared" si="0"/>
        <v>632681396.47851384</v>
      </c>
      <c r="BO3" s="30">
        <f t="shared" si="0"/>
        <v>632681396.47851384</v>
      </c>
      <c r="BP3" s="30">
        <f t="shared" si="0"/>
        <v>632681396.47851384</v>
      </c>
      <c r="BQ3" s="30">
        <f t="shared" si="0"/>
        <v>632681396.47851384</v>
      </c>
      <c r="BR3" s="30">
        <f t="shared" si="0"/>
        <v>632681396.47851384</v>
      </c>
      <c r="BS3" s="30">
        <f t="shared" si="0"/>
        <v>632681396.47851384</v>
      </c>
      <c r="BT3" s="30">
        <f t="shared" si="0"/>
        <v>632681396.47851384</v>
      </c>
      <c r="BU3" s="30">
        <f t="shared" si="0"/>
        <v>632681396.47851384</v>
      </c>
      <c r="BV3" s="30">
        <f t="shared" si="0"/>
        <v>632681396.47851384</v>
      </c>
      <c r="BW3" s="30">
        <f t="shared" si="0"/>
        <v>632681396.47851384</v>
      </c>
      <c r="BX3" s="30">
        <f t="shared" si="0"/>
        <v>632681396.47851384</v>
      </c>
      <c r="BY3" s="30">
        <f t="shared" ref="BY3:CF3" si="1">BX3</f>
        <v>632681396.47851384</v>
      </c>
      <c r="BZ3" s="30">
        <f t="shared" si="1"/>
        <v>632681396.47851384</v>
      </c>
      <c r="CA3" s="30">
        <f t="shared" si="1"/>
        <v>632681396.47851384</v>
      </c>
      <c r="CB3" s="30">
        <f t="shared" si="1"/>
        <v>632681396.47851384</v>
      </c>
      <c r="CC3" s="30">
        <f t="shared" si="1"/>
        <v>632681396.47851384</v>
      </c>
      <c r="CD3" s="30">
        <f t="shared" si="1"/>
        <v>632681396.47851384</v>
      </c>
      <c r="CE3" s="30">
        <f t="shared" si="1"/>
        <v>632681396.47851384</v>
      </c>
      <c r="CF3" s="30">
        <f t="shared" si="1"/>
        <v>632681396.47851384</v>
      </c>
      <c r="CG3" s="30">
        <f t="shared" ref="CG3" si="2">CF3</f>
        <v>632681396.47851384</v>
      </c>
      <c r="CH3" s="30">
        <f t="shared" ref="CH3" si="3">CG3</f>
        <v>632681396.47851384</v>
      </c>
      <c r="CI3" s="30">
        <f t="shared" ref="CI3" si="4">CH3</f>
        <v>632681396.47851384</v>
      </c>
      <c r="CJ3" s="30">
        <f t="shared" ref="CJ3" si="5">CI3</f>
        <v>632681396.47851384</v>
      </c>
      <c r="CK3" s="30">
        <f t="shared" ref="CK3" si="6">CJ3</f>
        <v>632681396.47851384</v>
      </c>
      <c r="CL3" s="30">
        <f t="shared" ref="CL3" si="7">CK3</f>
        <v>632681396.47851384</v>
      </c>
      <c r="CM3" s="30">
        <f t="shared" ref="CM3" si="8">CL3</f>
        <v>632681396.47851384</v>
      </c>
      <c r="CN3" s="30">
        <f t="shared" ref="CN3" si="9">CM3</f>
        <v>632681396.47851384</v>
      </c>
      <c r="CO3" s="30">
        <f t="shared" ref="CO3" si="10">CN3</f>
        <v>632681396.47851384</v>
      </c>
      <c r="CP3" s="30">
        <f t="shared" ref="CP3" si="11">CO3</f>
        <v>632681396.47851384</v>
      </c>
      <c r="CQ3" s="30">
        <f t="shared" ref="CQ3" si="12">CP3</f>
        <v>632681396.47851384</v>
      </c>
      <c r="CR3" s="30">
        <f t="shared" ref="CR3" si="13">CQ3</f>
        <v>632681396.47851384</v>
      </c>
      <c r="CS3" s="30">
        <f t="shared" ref="CS3" si="14">CR3</f>
        <v>632681396.47851384</v>
      </c>
      <c r="CT3" s="30">
        <f t="shared" ref="CT3" si="15">CS3</f>
        <v>632681396.47851384</v>
      </c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</row>
    <row r="4" spans="1:120">
      <c r="A4" s="38" t="s">
        <v>20</v>
      </c>
      <c r="B4" s="30">
        <f>Accrual_PPL!D28</f>
        <v>0</v>
      </c>
      <c r="C4" s="30">
        <f>Accrual_PPL!E28</f>
        <v>0</v>
      </c>
      <c r="D4" s="30">
        <f>Accrual_PPL!F28</f>
        <v>0</v>
      </c>
      <c r="E4" s="30">
        <f>Accrual_PPL!G28</f>
        <v>0</v>
      </c>
      <c r="F4" s="30">
        <f>Accrual_PPL!H28</f>
        <v>0</v>
      </c>
      <c r="G4" s="30">
        <f>Accrual_PPL!I28</f>
        <v>0</v>
      </c>
      <c r="H4" s="30">
        <f>Accrual_PPL!J28</f>
        <v>0</v>
      </c>
      <c r="I4" s="30">
        <f>Accrual_PPL!K28</f>
        <v>0</v>
      </c>
      <c r="J4" s="30">
        <f>Accrual_PPL!L28</f>
        <v>0</v>
      </c>
      <c r="K4" s="30">
        <f>Accrual_PPL!M28</f>
        <v>0</v>
      </c>
      <c r="L4" s="30">
        <f>Accrual_PPL!N28</f>
        <v>0</v>
      </c>
      <c r="M4" s="30">
        <f>Accrual_PPL!O28</f>
        <v>0</v>
      </c>
      <c r="N4" s="30">
        <f>Accrual_PPL!P28</f>
        <v>0</v>
      </c>
      <c r="O4" s="30">
        <f>Accrual_PPL!Q28</f>
        <v>0</v>
      </c>
      <c r="P4" s="30">
        <f>Accrual_PPL!R28</f>
        <v>0</v>
      </c>
      <c r="Q4" s="30">
        <f>Accrual_PPL!S28</f>
        <v>0</v>
      </c>
      <c r="R4" s="30">
        <f>Accrual_PPL!T28</f>
        <v>0</v>
      </c>
      <c r="S4" s="30">
        <f>Accrual_PPL!U28</f>
        <v>0</v>
      </c>
      <c r="T4" s="30">
        <f>Accrual_PPL!V28</f>
        <v>0</v>
      </c>
      <c r="U4" s="30">
        <f>Accrual_PPL!W28</f>
        <v>0</v>
      </c>
      <c r="V4" s="30">
        <f>Accrual_PPL!X28</f>
        <v>0</v>
      </c>
      <c r="W4" s="30">
        <f>Accrual_PPL!Y28</f>
        <v>0</v>
      </c>
      <c r="X4" s="30">
        <f>Accrual_PPL!Z28</f>
        <v>0</v>
      </c>
      <c r="Y4" s="30">
        <f>Accrual_PPL!AA28</f>
        <v>0</v>
      </c>
      <c r="Z4" s="30">
        <f>Accrual_PPL!AB28</f>
        <v>0</v>
      </c>
      <c r="AA4" s="30">
        <f>Accrual_PPL!AC28</f>
        <v>0</v>
      </c>
      <c r="AB4" s="30">
        <f>Accrual_PPL!AD28</f>
        <v>0</v>
      </c>
      <c r="AC4" s="30">
        <f>Accrual_PPL!AE28</f>
        <v>0</v>
      </c>
      <c r="AD4" s="30">
        <f>Accrual_PPL!AF28</f>
        <v>0</v>
      </c>
      <c r="AE4" s="30">
        <f>Accrual_PPL!AG28</f>
        <v>0</v>
      </c>
      <c r="AF4" s="30">
        <f>Accrual_PPL!AH28</f>
        <v>0</v>
      </c>
      <c r="AG4" s="30">
        <f>Accrual_PPL!AI28</f>
        <v>0</v>
      </c>
      <c r="AH4" s="30">
        <f>Accrual_PPL!AJ28</f>
        <v>0</v>
      </c>
      <c r="AI4" s="30">
        <f>Accrual_PPL!AK28</f>
        <v>0</v>
      </c>
      <c r="AJ4" s="30">
        <f>Accrual_PPL!AL28</f>
        <v>0</v>
      </c>
      <c r="AK4" s="30">
        <f>Accrual_PPL!AM28</f>
        <v>0</v>
      </c>
      <c r="AL4" s="30">
        <f>Accrual_PPL!AN28</f>
        <v>0</v>
      </c>
      <c r="AM4" s="30">
        <f>Accrual_PPL!AO28</f>
        <v>0</v>
      </c>
      <c r="AN4" s="30">
        <f>Accrual_PPL!AP28</f>
        <v>0</v>
      </c>
      <c r="AO4" s="30">
        <f>Accrual_PPL!AQ28</f>
        <v>31634069.823925693</v>
      </c>
      <c r="AP4" s="30">
        <f>Accrual_PPL!AR28</f>
        <v>31634069.823925693</v>
      </c>
      <c r="AQ4" s="30">
        <f>Accrual_PPL!AS28</f>
        <v>31634069.823925693</v>
      </c>
      <c r="AR4" s="30">
        <f>Accrual_PPL!AT28</f>
        <v>63268139.647851385</v>
      </c>
      <c r="AS4" s="30">
        <f>Accrual_PPL!AU28</f>
        <v>63268139.647851385</v>
      </c>
      <c r="AT4" s="30">
        <f>Accrual_PPL!AV28</f>
        <v>63268139.647851385</v>
      </c>
      <c r="AU4" s="30">
        <f>Accrual_PPL!AW28</f>
        <v>94902209.471777081</v>
      </c>
      <c r="AV4" s="30">
        <f>Accrual_PPL!AX28</f>
        <v>94902209.471777081</v>
      </c>
      <c r="AW4" s="30">
        <f>Accrual_PPL!AY28</f>
        <v>94902209.471777081</v>
      </c>
      <c r="AX4" s="30">
        <f>Accrual_PPL!AZ28</f>
        <v>126536279.29570277</v>
      </c>
      <c r="AY4" s="30">
        <f>Accrual_PPL!BA28</f>
        <v>126536279.29570277</v>
      </c>
      <c r="AZ4" s="30">
        <f>Accrual_PPL!BB28</f>
        <v>126536279.29570277</v>
      </c>
      <c r="BA4" s="30">
        <f>Accrual_PPL!BC28</f>
        <v>158170349.11962846</v>
      </c>
      <c r="BB4" s="30">
        <f>Accrual_PPL!BD28</f>
        <v>158170349.11962846</v>
      </c>
      <c r="BC4" s="30">
        <f>Accrual_PPL!BE28</f>
        <v>158170349.11962846</v>
      </c>
      <c r="BD4" s="30">
        <f>Accrual_PPL!BF28</f>
        <v>189804418.94355416</v>
      </c>
      <c r="BE4" s="30">
        <f>Accrual_PPL!BG28</f>
        <v>189804418.94355416</v>
      </c>
      <c r="BF4" s="30">
        <f>Accrual_PPL!BH28</f>
        <v>189804418.94355416</v>
      </c>
      <c r="BG4" s="30">
        <f>Accrual_PPL!BI28</f>
        <v>221438488.76747987</v>
      </c>
      <c r="BH4" s="30">
        <f>Accrual_PPL!BJ28</f>
        <v>221438488.76747987</v>
      </c>
      <c r="BI4" s="30">
        <f>Accrual_PPL!BK28</f>
        <v>221438488.76747987</v>
      </c>
      <c r="BJ4" s="30">
        <f>Accrual_PPL!BL28</f>
        <v>253072558.59140557</v>
      </c>
      <c r="BK4" s="30">
        <f>Accrual_PPL!BM28</f>
        <v>253072558.59140557</v>
      </c>
      <c r="BL4" s="30">
        <f>Accrual_PPL!BN28</f>
        <v>253072558.59140557</v>
      </c>
      <c r="BM4" s="30">
        <f>Accrual_PPL!BO28</f>
        <v>284706628.41533124</v>
      </c>
      <c r="BN4" s="30">
        <f>Accrual_PPL!BP28</f>
        <v>284706628.41533124</v>
      </c>
      <c r="BO4" s="30">
        <f>Accrual_PPL!BQ28</f>
        <v>284706628.41533124</v>
      </c>
      <c r="BP4" s="30">
        <f>Accrual_PPL!BR28</f>
        <v>316340698.23925692</v>
      </c>
      <c r="BQ4" s="30">
        <f>Accrual_PPL!BS28</f>
        <v>316340698.23925692</v>
      </c>
      <c r="BR4" s="30">
        <f>Accrual_PPL!BT28</f>
        <v>316340698.23925692</v>
      </c>
      <c r="BS4" s="30">
        <f>Accrual_PPL!BU28</f>
        <v>347974768.06318259</v>
      </c>
      <c r="BT4" s="30">
        <f>Accrual_PPL!BV28</f>
        <v>347974768.06318259</v>
      </c>
      <c r="BU4" s="30">
        <f>Accrual_PPL!BW28</f>
        <v>347974768.06318259</v>
      </c>
      <c r="BV4" s="30">
        <f>Accrual_PPL!BX28</f>
        <v>379608837.88710827</v>
      </c>
      <c r="BW4" s="30">
        <f>Accrual_PPL!BY28</f>
        <v>379608837.88710827</v>
      </c>
      <c r="BX4" s="30">
        <f>Accrual_PPL!BZ28</f>
        <v>379608837.88710827</v>
      </c>
      <c r="BY4" s="30">
        <f>Accrual_PPL!CA28</f>
        <v>411242907.71103394</v>
      </c>
      <c r="BZ4" s="30">
        <f>Accrual_PPL!CB28</f>
        <v>411242907.71103394</v>
      </c>
      <c r="CA4" s="30">
        <f>Accrual_PPL!CC28</f>
        <v>411242907.71103394</v>
      </c>
      <c r="CB4" s="30">
        <f>Accrual_PPL!CD28</f>
        <v>442876977.53495961</v>
      </c>
      <c r="CC4" s="30">
        <f>Accrual_PPL!CE28</f>
        <v>442876977.53495961</v>
      </c>
      <c r="CD4" s="30">
        <f>Accrual_PPL!CF28</f>
        <v>442876977.53495961</v>
      </c>
      <c r="CE4" s="30">
        <f>Accrual_PPL!CG28</f>
        <v>474511047.35888529</v>
      </c>
      <c r="CF4" s="30">
        <f>Accrual_PPL!CH28</f>
        <v>474511047.35888529</v>
      </c>
      <c r="CG4" s="30">
        <f>Accrual_PPL!CI28</f>
        <v>474511047.35888529</v>
      </c>
      <c r="CH4" s="30">
        <f>Accrual_PPL!CJ28</f>
        <v>506145117.18281096</v>
      </c>
      <c r="CI4" s="30">
        <f>Accrual_PPL!CK28</f>
        <v>506145117.18281096</v>
      </c>
      <c r="CJ4" s="30">
        <f>Accrual_PPL!CL28</f>
        <v>506145117.18281096</v>
      </c>
      <c r="CK4" s="30">
        <f>Accrual_PPL!CM28</f>
        <v>537779187.00673664</v>
      </c>
      <c r="CL4" s="30">
        <f>Accrual_PPL!CN28</f>
        <v>537779187.00673664</v>
      </c>
      <c r="CM4" s="30">
        <f>Accrual_PPL!CO28</f>
        <v>537779187.00673664</v>
      </c>
      <c r="CN4" s="30">
        <f>Accrual_PPL!CP28</f>
        <v>569413256.83066237</v>
      </c>
      <c r="CO4" s="30">
        <f>Accrual_PPL!CQ28</f>
        <v>569413256.83066237</v>
      </c>
      <c r="CP4" s="30">
        <f>Accrual_PPL!CR28</f>
        <v>569413256.83066237</v>
      </c>
      <c r="CQ4" s="30">
        <f>Accrual_PPL!CS28</f>
        <v>601047326.6545881</v>
      </c>
      <c r="CR4" s="30">
        <f>Accrual_PPL!CT28</f>
        <v>601047326.6545881</v>
      </c>
      <c r="CS4" s="30">
        <f>Accrual_PPL!CU28</f>
        <v>601047326.6545881</v>
      </c>
      <c r="CT4" s="30">
        <f>Accrual_PPL!CV28</f>
        <v>632681396.47851384</v>
      </c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</row>
    <row r="5" spans="1:120">
      <c r="A5" s="38" t="s">
        <v>21</v>
      </c>
      <c r="B5" s="30">
        <f>B22</f>
        <v>0</v>
      </c>
      <c r="C5" s="30">
        <f>C22</f>
        <v>0</v>
      </c>
      <c r="D5" s="30">
        <f t="shared" ref="D5:BC5" si="16">D22</f>
        <v>0</v>
      </c>
      <c r="E5" s="30">
        <f t="shared" si="16"/>
        <v>0</v>
      </c>
      <c r="F5" s="30">
        <f t="shared" si="16"/>
        <v>0</v>
      </c>
      <c r="G5" s="30">
        <f t="shared" si="16"/>
        <v>0</v>
      </c>
      <c r="H5" s="30">
        <f t="shared" si="16"/>
        <v>0</v>
      </c>
      <c r="I5" s="30">
        <f t="shared" si="16"/>
        <v>0</v>
      </c>
      <c r="J5" s="30">
        <f t="shared" si="16"/>
        <v>0</v>
      </c>
      <c r="K5" s="30">
        <f t="shared" si="16"/>
        <v>0</v>
      </c>
      <c r="L5" s="30">
        <f t="shared" si="16"/>
        <v>0</v>
      </c>
      <c r="M5" s="30">
        <f t="shared" si="16"/>
        <v>0</v>
      </c>
      <c r="N5" s="30">
        <f t="shared" si="16"/>
        <v>0</v>
      </c>
      <c r="O5" s="30">
        <f t="shared" si="16"/>
        <v>0</v>
      </c>
      <c r="P5" s="30">
        <f t="shared" si="16"/>
        <v>0</v>
      </c>
      <c r="Q5" s="30">
        <f t="shared" si="16"/>
        <v>0</v>
      </c>
      <c r="R5" s="30">
        <f t="shared" si="16"/>
        <v>0</v>
      </c>
      <c r="S5" s="30">
        <f t="shared" si="16"/>
        <v>0</v>
      </c>
      <c r="T5" s="30">
        <f t="shared" si="16"/>
        <v>0</v>
      </c>
      <c r="U5" s="30">
        <f t="shared" si="16"/>
        <v>0</v>
      </c>
      <c r="V5" s="30">
        <f t="shared" si="16"/>
        <v>0</v>
      </c>
      <c r="W5" s="30">
        <f t="shared" si="16"/>
        <v>0</v>
      </c>
      <c r="X5" s="30">
        <f t="shared" si="16"/>
        <v>0</v>
      </c>
      <c r="Y5" s="30">
        <f t="shared" si="16"/>
        <v>0</v>
      </c>
      <c r="Z5" s="30">
        <f t="shared" si="16"/>
        <v>0</v>
      </c>
      <c r="AA5" s="30">
        <f t="shared" si="16"/>
        <v>0</v>
      </c>
      <c r="AB5" s="30">
        <f t="shared" si="16"/>
        <v>0</v>
      </c>
      <c r="AC5" s="30">
        <f t="shared" si="16"/>
        <v>0</v>
      </c>
      <c r="AD5" s="30">
        <f t="shared" si="16"/>
        <v>0</v>
      </c>
      <c r="AE5" s="30">
        <f t="shared" si="16"/>
        <v>0</v>
      </c>
      <c r="AF5" s="30">
        <f t="shared" si="16"/>
        <v>0</v>
      </c>
      <c r="AG5" s="30">
        <f t="shared" si="16"/>
        <v>0</v>
      </c>
      <c r="AH5" s="30">
        <f t="shared" si="16"/>
        <v>0</v>
      </c>
      <c r="AI5" s="30">
        <f t="shared" si="16"/>
        <v>0</v>
      </c>
      <c r="AJ5" s="30">
        <f t="shared" si="16"/>
        <v>0</v>
      </c>
      <c r="AK5" s="30">
        <f t="shared" si="16"/>
        <v>0</v>
      </c>
      <c r="AL5" s="30">
        <f t="shared" si="16"/>
        <v>0</v>
      </c>
      <c r="AM5" s="30">
        <f t="shared" si="16"/>
        <v>0</v>
      </c>
      <c r="AN5" s="30">
        <f t="shared" si="16"/>
        <v>0</v>
      </c>
      <c r="AO5" s="30">
        <f t="shared" si="16"/>
        <v>0</v>
      </c>
      <c r="AP5" s="30">
        <f t="shared" si="16"/>
        <v>0</v>
      </c>
      <c r="AQ5" s="30">
        <f t="shared" si="16"/>
        <v>0</v>
      </c>
      <c r="AR5" s="30">
        <f t="shared" si="16"/>
        <v>0</v>
      </c>
      <c r="AS5" s="30">
        <f t="shared" si="16"/>
        <v>0</v>
      </c>
      <c r="AT5" s="30">
        <f t="shared" si="16"/>
        <v>0</v>
      </c>
      <c r="AU5" s="30">
        <f t="shared" si="16"/>
        <v>94902209.471777081</v>
      </c>
      <c r="AV5" s="30">
        <f t="shared" si="16"/>
        <v>94902209.471777081</v>
      </c>
      <c r="AW5" s="30">
        <f t="shared" si="16"/>
        <v>94902209.471777081</v>
      </c>
      <c r="AX5" s="30">
        <f t="shared" si="16"/>
        <v>126536279.29570277</v>
      </c>
      <c r="AY5" s="30">
        <f t="shared" si="16"/>
        <v>126536279.29570277</v>
      </c>
      <c r="AZ5" s="30">
        <f t="shared" si="16"/>
        <v>126536279.29570277</v>
      </c>
      <c r="BA5" s="30">
        <f t="shared" si="16"/>
        <v>158170349.11962846</v>
      </c>
      <c r="BB5" s="30">
        <f t="shared" si="16"/>
        <v>158170349.11962846</v>
      </c>
      <c r="BC5" s="30">
        <f t="shared" si="16"/>
        <v>158170349.11962846</v>
      </c>
      <c r="BD5" s="30">
        <f t="shared" ref="BD5:BR5" si="17">BD22</f>
        <v>189804418.94355416</v>
      </c>
      <c r="BE5" s="30">
        <f t="shared" si="17"/>
        <v>189804418.94355416</v>
      </c>
      <c r="BF5" s="30">
        <f t="shared" si="17"/>
        <v>189804418.94355416</v>
      </c>
      <c r="BG5" s="30">
        <f t="shared" si="17"/>
        <v>221438488.76747987</v>
      </c>
      <c r="BH5" s="30">
        <f t="shared" si="17"/>
        <v>221438488.76747987</v>
      </c>
      <c r="BI5" s="30">
        <f t="shared" si="17"/>
        <v>221438488.76747987</v>
      </c>
      <c r="BJ5" s="30">
        <f t="shared" si="17"/>
        <v>253072558.59140557</v>
      </c>
      <c r="BK5" s="30">
        <f t="shared" si="17"/>
        <v>253072558.59140557</v>
      </c>
      <c r="BL5" s="30">
        <f t="shared" si="17"/>
        <v>253072558.59140557</v>
      </c>
      <c r="BM5" s="30">
        <f t="shared" si="17"/>
        <v>284706628.41533124</v>
      </c>
      <c r="BN5" s="30">
        <f t="shared" si="17"/>
        <v>284706628.41533124</v>
      </c>
      <c r="BO5" s="30">
        <f t="shared" si="17"/>
        <v>284706628.41533124</v>
      </c>
      <c r="BP5" s="30">
        <f t="shared" si="17"/>
        <v>316340698.23925692</v>
      </c>
      <c r="BQ5" s="30">
        <f t="shared" si="17"/>
        <v>316340698.23925692</v>
      </c>
      <c r="BR5" s="30">
        <f t="shared" si="17"/>
        <v>316340698.23925692</v>
      </c>
      <c r="BS5" s="30">
        <f t="shared" ref="BS5:CE5" si="18">BS22</f>
        <v>347974768.06318259</v>
      </c>
      <c r="BT5" s="30">
        <f t="shared" si="18"/>
        <v>347974768.06318259</v>
      </c>
      <c r="BU5" s="30">
        <f t="shared" si="18"/>
        <v>347974768.06318259</v>
      </c>
      <c r="BV5" s="30">
        <f t="shared" si="18"/>
        <v>379608837.88710827</v>
      </c>
      <c r="BW5" s="30">
        <f t="shared" si="18"/>
        <v>379608837.88710827</v>
      </c>
      <c r="BX5" s="30">
        <f t="shared" si="18"/>
        <v>379608837.88710827</v>
      </c>
      <c r="BY5" s="30">
        <f t="shared" si="18"/>
        <v>411242907.71103394</v>
      </c>
      <c r="BZ5" s="30">
        <f t="shared" si="18"/>
        <v>411242907.71103394</v>
      </c>
      <c r="CA5" s="30">
        <f t="shared" si="18"/>
        <v>411242907.71103394</v>
      </c>
      <c r="CB5" s="30">
        <f t="shared" si="18"/>
        <v>442876977.53495961</v>
      </c>
      <c r="CC5" s="30">
        <f t="shared" si="18"/>
        <v>442876977.53495961</v>
      </c>
      <c r="CD5" s="30">
        <f t="shared" si="18"/>
        <v>442876977.53495961</v>
      </c>
      <c r="CE5" s="30">
        <f t="shared" si="18"/>
        <v>474511047.35888529</v>
      </c>
      <c r="CF5" s="30">
        <f t="shared" ref="CF5:CM5" si="19">CF22</f>
        <v>474511047.35888529</v>
      </c>
      <c r="CG5" s="30">
        <f t="shared" si="19"/>
        <v>474511047.35888529</v>
      </c>
      <c r="CH5" s="30">
        <f t="shared" si="19"/>
        <v>506145117.18281096</v>
      </c>
      <c r="CI5" s="30">
        <f t="shared" si="19"/>
        <v>506145117.18281096</v>
      </c>
      <c r="CJ5" s="30">
        <f t="shared" si="19"/>
        <v>506145117.18281096</v>
      </c>
      <c r="CK5" s="30">
        <f t="shared" si="19"/>
        <v>537779187.00673664</v>
      </c>
      <c r="CL5" s="30">
        <f t="shared" si="19"/>
        <v>537779187.00673664</v>
      </c>
      <c r="CM5" s="30">
        <f t="shared" si="19"/>
        <v>537779187.00673664</v>
      </c>
      <c r="CN5" s="30">
        <f t="shared" ref="CN5:CT5" si="20">CN22</f>
        <v>569413256.83066237</v>
      </c>
      <c r="CO5" s="30">
        <f t="shared" si="20"/>
        <v>569413256.83066237</v>
      </c>
      <c r="CP5" s="30">
        <f t="shared" si="20"/>
        <v>569413256.83066237</v>
      </c>
      <c r="CQ5" s="30">
        <f t="shared" si="20"/>
        <v>601047326.6545881</v>
      </c>
      <c r="CR5" s="30">
        <f t="shared" si="20"/>
        <v>601047326.6545881</v>
      </c>
      <c r="CS5" s="30">
        <f t="shared" si="20"/>
        <v>601047326.6545881</v>
      </c>
      <c r="CT5" s="30">
        <f t="shared" si="20"/>
        <v>632681396.47851384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</row>
    <row r="6" spans="1:120">
      <c r="A6" s="38" t="s">
        <v>22</v>
      </c>
      <c r="B6" s="30">
        <f>IF((B4-B5)&gt;0,(B4-B5),0)</f>
        <v>0</v>
      </c>
      <c r="C6" s="30">
        <f t="shared" ref="C6:BC6" si="21">IF((C4-C5)&gt;0,(C4-C5),0)</f>
        <v>0</v>
      </c>
      <c r="D6" s="30">
        <f t="shared" si="21"/>
        <v>0</v>
      </c>
      <c r="E6" s="30">
        <f t="shared" si="21"/>
        <v>0</v>
      </c>
      <c r="F6" s="30">
        <f t="shared" si="21"/>
        <v>0</v>
      </c>
      <c r="G6" s="30">
        <f t="shared" si="21"/>
        <v>0</v>
      </c>
      <c r="H6" s="30">
        <f t="shared" si="21"/>
        <v>0</v>
      </c>
      <c r="I6" s="30">
        <f t="shared" si="21"/>
        <v>0</v>
      </c>
      <c r="J6" s="30">
        <f t="shared" si="21"/>
        <v>0</v>
      </c>
      <c r="K6" s="30">
        <f t="shared" si="21"/>
        <v>0</v>
      </c>
      <c r="L6" s="30">
        <f t="shared" si="21"/>
        <v>0</v>
      </c>
      <c r="M6" s="30">
        <f t="shared" si="21"/>
        <v>0</v>
      </c>
      <c r="N6" s="30">
        <f t="shared" si="21"/>
        <v>0</v>
      </c>
      <c r="O6" s="30">
        <f t="shared" si="21"/>
        <v>0</v>
      </c>
      <c r="P6" s="30">
        <f t="shared" si="21"/>
        <v>0</v>
      </c>
      <c r="Q6" s="30">
        <f t="shared" si="21"/>
        <v>0</v>
      </c>
      <c r="R6" s="30">
        <f t="shared" si="21"/>
        <v>0</v>
      </c>
      <c r="S6" s="30">
        <f t="shared" si="21"/>
        <v>0</v>
      </c>
      <c r="T6" s="30">
        <f t="shared" si="21"/>
        <v>0</v>
      </c>
      <c r="U6" s="30">
        <f t="shared" si="21"/>
        <v>0</v>
      </c>
      <c r="V6" s="30">
        <f t="shared" si="21"/>
        <v>0</v>
      </c>
      <c r="W6" s="30">
        <f t="shared" si="21"/>
        <v>0</v>
      </c>
      <c r="X6" s="30">
        <f t="shared" si="21"/>
        <v>0</v>
      </c>
      <c r="Y6" s="30">
        <f t="shared" si="21"/>
        <v>0</v>
      </c>
      <c r="Z6" s="30">
        <f t="shared" si="21"/>
        <v>0</v>
      </c>
      <c r="AA6" s="30">
        <f t="shared" si="21"/>
        <v>0</v>
      </c>
      <c r="AB6" s="30">
        <f t="shared" si="21"/>
        <v>0</v>
      </c>
      <c r="AC6" s="30">
        <f t="shared" si="21"/>
        <v>0</v>
      </c>
      <c r="AD6" s="30">
        <f t="shared" si="21"/>
        <v>0</v>
      </c>
      <c r="AE6" s="30">
        <f t="shared" si="21"/>
        <v>0</v>
      </c>
      <c r="AF6" s="30">
        <f t="shared" si="21"/>
        <v>0</v>
      </c>
      <c r="AG6" s="30">
        <f t="shared" si="21"/>
        <v>0</v>
      </c>
      <c r="AH6" s="30">
        <f t="shared" si="21"/>
        <v>0</v>
      </c>
      <c r="AI6" s="30">
        <f t="shared" si="21"/>
        <v>0</v>
      </c>
      <c r="AJ6" s="30">
        <f t="shared" si="21"/>
        <v>0</v>
      </c>
      <c r="AK6" s="30">
        <f t="shared" si="21"/>
        <v>0</v>
      </c>
      <c r="AL6" s="30">
        <f t="shared" si="21"/>
        <v>0</v>
      </c>
      <c r="AM6" s="30">
        <f t="shared" si="21"/>
        <v>0</v>
      </c>
      <c r="AN6" s="30">
        <f t="shared" si="21"/>
        <v>0</v>
      </c>
      <c r="AO6" s="30">
        <f t="shared" si="21"/>
        <v>31634069.823925693</v>
      </c>
      <c r="AP6" s="30">
        <f t="shared" si="21"/>
        <v>31634069.823925693</v>
      </c>
      <c r="AQ6" s="30">
        <f t="shared" si="21"/>
        <v>31634069.823925693</v>
      </c>
      <c r="AR6" s="30">
        <f t="shared" si="21"/>
        <v>63268139.647851385</v>
      </c>
      <c r="AS6" s="30">
        <f t="shared" si="21"/>
        <v>63268139.647851385</v>
      </c>
      <c r="AT6" s="30">
        <f t="shared" si="21"/>
        <v>63268139.647851385</v>
      </c>
      <c r="AU6" s="30">
        <f t="shared" si="21"/>
        <v>0</v>
      </c>
      <c r="AV6" s="30">
        <f t="shared" si="21"/>
        <v>0</v>
      </c>
      <c r="AW6" s="30">
        <f t="shared" si="21"/>
        <v>0</v>
      </c>
      <c r="AX6" s="30">
        <f t="shared" si="21"/>
        <v>0</v>
      </c>
      <c r="AY6" s="30">
        <f t="shared" si="21"/>
        <v>0</v>
      </c>
      <c r="AZ6" s="30">
        <f t="shared" si="21"/>
        <v>0</v>
      </c>
      <c r="BA6" s="30">
        <f t="shared" si="21"/>
        <v>0</v>
      </c>
      <c r="BB6" s="30">
        <f t="shared" si="21"/>
        <v>0</v>
      </c>
      <c r="BC6" s="30">
        <f t="shared" si="21"/>
        <v>0</v>
      </c>
      <c r="BD6" s="30">
        <f t="shared" ref="BD6:BS6" si="22">IF((BD4-BD5)&gt;0,(BD4-BD5),0)</f>
        <v>0</v>
      </c>
      <c r="BE6" s="30">
        <f t="shared" si="22"/>
        <v>0</v>
      </c>
      <c r="BF6" s="30">
        <f t="shared" si="22"/>
        <v>0</v>
      </c>
      <c r="BG6" s="30">
        <f t="shared" si="22"/>
        <v>0</v>
      </c>
      <c r="BH6" s="30">
        <f t="shared" si="22"/>
        <v>0</v>
      </c>
      <c r="BI6" s="30">
        <f t="shared" si="22"/>
        <v>0</v>
      </c>
      <c r="BJ6" s="30">
        <f t="shared" si="22"/>
        <v>0</v>
      </c>
      <c r="BK6" s="30">
        <f t="shared" si="22"/>
        <v>0</v>
      </c>
      <c r="BL6" s="30">
        <f t="shared" si="22"/>
        <v>0</v>
      </c>
      <c r="BM6" s="30">
        <f t="shared" si="22"/>
        <v>0</v>
      </c>
      <c r="BN6" s="30">
        <f t="shared" si="22"/>
        <v>0</v>
      </c>
      <c r="BO6" s="30">
        <f t="shared" si="22"/>
        <v>0</v>
      </c>
      <c r="BP6" s="30">
        <f t="shared" si="22"/>
        <v>0</v>
      </c>
      <c r="BQ6" s="30">
        <f t="shared" si="22"/>
        <v>0</v>
      </c>
      <c r="BR6" s="30">
        <f t="shared" si="22"/>
        <v>0</v>
      </c>
      <c r="BS6" s="30">
        <f t="shared" si="22"/>
        <v>0</v>
      </c>
      <c r="BT6" s="30">
        <f t="shared" ref="BT6:CE6" si="23">IF((BT4-BT5)&gt;0,(BT4-BT5),0)</f>
        <v>0</v>
      </c>
      <c r="BU6" s="30">
        <f t="shared" si="23"/>
        <v>0</v>
      </c>
      <c r="BV6" s="30">
        <f t="shared" si="23"/>
        <v>0</v>
      </c>
      <c r="BW6" s="30">
        <f t="shared" si="23"/>
        <v>0</v>
      </c>
      <c r="BX6" s="30">
        <f t="shared" si="23"/>
        <v>0</v>
      </c>
      <c r="BY6" s="30">
        <f t="shared" si="23"/>
        <v>0</v>
      </c>
      <c r="BZ6" s="30">
        <f t="shared" si="23"/>
        <v>0</v>
      </c>
      <c r="CA6" s="30">
        <f t="shared" si="23"/>
        <v>0</v>
      </c>
      <c r="CB6" s="30">
        <f t="shared" si="23"/>
        <v>0</v>
      </c>
      <c r="CC6" s="30">
        <f t="shared" si="23"/>
        <v>0</v>
      </c>
      <c r="CD6" s="30">
        <f t="shared" si="23"/>
        <v>0</v>
      </c>
      <c r="CE6" s="30">
        <f t="shared" si="23"/>
        <v>0</v>
      </c>
      <c r="CF6" s="30">
        <f t="shared" ref="CF6:CM6" si="24">IF((CF4-CF5)&gt;0,(CF4-CF5),0)</f>
        <v>0</v>
      </c>
      <c r="CG6" s="30">
        <f t="shared" si="24"/>
        <v>0</v>
      </c>
      <c r="CH6" s="30">
        <f t="shared" si="24"/>
        <v>0</v>
      </c>
      <c r="CI6" s="30">
        <f t="shared" si="24"/>
        <v>0</v>
      </c>
      <c r="CJ6" s="30">
        <f t="shared" si="24"/>
        <v>0</v>
      </c>
      <c r="CK6" s="30">
        <f t="shared" si="24"/>
        <v>0</v>
      </c>
      <c r="CL6" s="30">
        <f t="shared" si="24"/>
        <v>0</v>
      </c>
      <c r="CM6" s="30">
        <f t="shared" si="24"/>
        <v>0</v>
      </c>
      <c r="CN6" s="30">
        <f t="shared" ref="CN6:CT6" si="25">IF((CN4-CN5)&gt;0,(CN4-CN5),0)</f>
        <v>0</v>
      </c>
      <c r="CO6" s="30">
        <f t="shared" si="25"/>
        <v>0</v>
      </c>
      <c r="CP6" s="30">
        <f t="shared" si="25"/>
        <v>0</v>
      </c>
      <c r="CQ6" s="30">
        <f t="shared" si="25"/>
        <v>0</v>
      </c>
      <c r="CR6" s="30">
        <f t="shared" si="25"/>
        <v>0</v>
      </c>
      <c r="CS6" s="30">
        <f t="shared" si="25"/>
        <v>0</v>
      </c>
      <c r="CT6" s="30">
        <f t="shared" si="25"/>
        <v>0</v>
      </c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</row>
    <row r="7" spans="1:120">
      <c r="A7" s="38" t="s">
        <v>23</v>
      </c>
      <c r="B7" s="30">
        <f>B3-B5</f>
        <v>98715714.289999992</v>
      </c>
      <c r="C7" s="30">
        <f t="shared" ref="C7:BC7" si="26">C3-C5</f>
        <v>99181871.829702765</v>
      </c>
      <c r="D7" s="30">
        <f t="shared" si="26"/>
        <v>99181871.829702765</v>
      </c>
      <c r="E7" s="30">
        <f t="shared" si="26"/>
        <v>101688969.14539804</v>
      </c>
      <c r="F7" s="30">
        <f t="shared" si="26"/>
        <v>101688969.14539804</v>
      </c>
      <c r="G7" s="30">
        <f t="shared" si="26"/>
        <v>101688969.14539804</v>
      </c>
      <c r="H7" s="30">
        <f t="shared" si="26"/>
        <v>104160576.03434868</v>
      </c>
      <c r="I7" s="30">
        <f t="shared" si="26"/>
        <v>104160576.03434868</v>
      </c>
      <c r="J7" s="30">
        <f t="shared" si="26"/>
        <v>104160576.03434868</v>
      </c>
      <c r="K7" s="30">
        <f t="shared" si="26"/>
        <v>106596052.83648515</v>
      </c>
      <c r="L7" s="30">
        <f t="shared" si="26"/>
        <v>106596052.83648515</v>
      </c>
      <c r="M7" s="30">
        <f t="shared" si="26"/>
        <v>146189517.12648514</v>
      </c>
      <c r="N7" s="30">
        <f t="shared" si="26"/>
        <v>149197648.76839095</v>
      </c>
      <c r="O7" s="30">
        <f t="shared" si="26"/>
        <v>149197648.76839095</v>
      </c>
      <c r="P7" s="30">
        <f t="shared" si="26"/>
        <v>149197648.76839095</v>
      </c>
      <c r="Q7" s="30">
        <f t="shared" si="26"/>
        <v>153300584.10952172</v>
      </c>
      <c r="R7" s="30">
        <f t="shared" si="26"/>
        <v>153300584.10952172</v>
      </c>
      <c r="S7" s="30">
        <f t="shared" si="26"/>
        <v>153300584.10952172</v>
      </c>
      <c r="T7" s="30">
        <f t="shared" si="26"/>
        <v>157610033.86282271</v>
      </c>
      <c r="U7" s="30">
        <f t="shared" si="26"/>
        <v>537155690.11282277</v>
      </c>
      <c r="V7" s="30">
        <f t="shared" si="26"/>
        <v>537155690.11282277</v>
      </c>
      <c r="W7" s="30">
        <f t="shared" si="26"/>
        <v>551279796.50925851</v>
      </c>
      <c r="X7" s="30">
        <f t="shared" si="26"/>
        <v>551279796.50925851</v>
      </c>
      <c r="Y7" s="30">
        <f t="shared" si="26"/>
        <v>551279796.50925851</v>
      </c>
      <c r="Z7" s="30">
        <f t="shared" si="26"/>
        <v>566608437.51775205</v>
      </c>
      <c r="AA7" s="30">
        <f t="shared" si="26"/>
        <v>566608437.51775205</v>
      </c>
      <c r="AB7" s="30">
        <f t="shared" si="26"/>
        <v>566608437.51775205</v>
      </c>
      <c r="AC7" s="30">
        <f t="shared" si="26"/>
        <v>582363299.90539849</v>
      </c>
      <c r="AD7" s="30">
        <f t="shared" si="26"/>
        <v>582363299.90539849</v>
      </c>
      <c r="AE7" s="30">
        <f t="shared" si="26"/>
        <v>582363299.90539849</v>
      </c>
      <c r="AF7" s="30">
        <f t="shared" si="26"/>
        <v>598734179.33607244</v>
      </c>
      <c r="AG7" s="30">
        <f t="shared" si="26"/>
        <v>598734179.33607244</v>
      </c>
      <c r="AH7" s="30">
        <f t="shared" si="26"/>
        <v>598734179.33607244</v>
      </c>
      <c r="AI7" s="30">
        <f t="shared" si="26"/>
        <v>615382315.82261157</v>
      </c>
      <c r="AJ7" s="30">
        <f t="shared" si="26"/>
        <v>615382315.82261157</v>
      </c>
      <c r="AK7" s="30">
        <f t="shared" si="26"/>
        <v>615382315.82261157</v>
      </c>
      <c r="AL7" s="30">
        <f t="shared" si="26"/>
        <v>632681396.47851384</v>
      </c>
      <c r="AM7" s="30">
        <f t="shared" si="26"/>
        <v>632681396.47851384</v>
      </c>
      <c r="AN7" s="30">
        <f t="shared" si="26"/>
        <v>632681396.47851384</v>
      </c>
      <c r="AO7" s="30">
        <f t="shared" si="26"/>
        <v>632681396.47851384</v>
      </c>
      <c r="AP7" s="30">
        <f t="shared" si="26"/>
        <v>632681396.47851384</v>
      </c>
      <c r="AQ7" s="30">
        <f t="shared" si="26"/>
        <v>632681396.47851384</v>
      </c>
      <c r="AR7" s="30">
        <f t="shared" si="26"/>
        <v>632681396.47851384</v>
      </c>
      <c r="AS7" s="30">
        <f t="shared" si="26"/>
        <v>632681396.47851384</v>
      </c>
      <c r="AT7" s="30">
        <f t="shared" si="26"/>
        <v>632681396.47851384</v>
      </c>
      <c r="AU7" s="30">
        <f t="shared" si="26"/>
        <v>537779187.00673676</v>
      </c>
      <c r="AV7" s="30">
        <f t="shared" si="26"/>
        <v>537779187.00673676</v>
      </c>
      <c r="AW7" s="30">
        <f t="shared" si="26"/>
        <v>537779187.00673676</v>
      </c>
      <c r="AX7" s="30">
        <f t="shared" si="26"/>
        <v>506145117.18281108</v>
      </c>
      <c r="AY7" s="30">
        <f t="shared" si="26"/>
        <v>506145117.18281108</v>
      </c>
      <c r="AZ7" s="30">
        <f t="shared" si="26"/>
        <v>506145117.18281108</v>
      </c>
      <c r="BA7" s="30">
        <f t="shared" si="26"/>
        <v>474511047.35888541</v>
      </c>
      <c r="BB7" s="30">
        <f t="shared" si="26"/>
        <v>474511047.35888541</v>
      </c>
      <c r="BC7" s="30">
        <f t="shared" si="26"/>
        <v>474511047.35888541</v>
      </c>
      <c r="BD7" s="30">
        <f t="shared" ref="BD7:BR7" si="27">BD3-BD5</f>
        <v>442876977.53495967</v>
      </c>
      <c r="BE7" s="30">
        <f t="shared" si="27"/>
        <v>442876977.53495967</v>
      </c>
      <c r="BF7" s="30">
        <f t="shared" si="27"/>
        <v>442876977.53495967</v>
      </c>
      <c r="BG7" s="30">
        <f t="shared" si="27"/>
        <v>411242907.71103394</v>
      </c>
      <c r="BH7" s="30">
        <f t="shared" si="27"/>
        <v>411242907.71103394</v>
      </c>
      <c r="BI7" s="30">
        <f t="shared" si="27"/>
        <v>411242907.71103394</v>
      </c>
      <c r="BJ7" s="30">
        <f t="shared" si="27"/>
        <v>379608837.88710827</v>
      </c>
      <c r="BK7" s="30">
        <f t="shared" si="27"/>
        <v>379608837.88710827</v>
      </c>
      <c r="BL7" s="30">
        <f t="shared" si="27"/>
        <v>379608837.88710827</v>
      </c>
      <c r="BM7" s="30">
        <f t="shared" si="27"/>
        <v>347974768.06318259</v>
      </c>
      <c r="BN7" s="30">
        <f t="shared" si="27"/>
        <v>347974768.06318259</v>
      </c>
      <c r="BO7" s="30">
        <f t="shared" si="27"/>
        <v>347974768.06318259</v>
      </c>
      <c r="BP7" s="30">
        <f t="shared" si="27"/>
        <v>316340698.23925692</v>
      </c>
      <c r="BQ7" s="30">
        <f t="shared" si="27"/>
        <v>316340698.23925692</v>
      </c>
      <c r="BR7" s="30">
        <f t="shared" si="27"/>
        <v>316340698.23925692</v>
      </c>
      <c r="BS7" s="30">
        <f t="shared" ref="BS7:CE7" si="28">BS3-BS5</f>
        <v>284706628.41533124</v>
      </c>
      <c r="BT7" s="30">
        <f t="shared" si="28"/>
        <v>284706628.41533124</v>
      </c>
      <c r="BU7" s="30">
        <f t="shared" si="28"/>
        <v>284706628.41533124</v>
      </c>
      <c r="BV7" s="30">
        <f t="shared" si="28"/>
        <v>253072558.59140557</v>
      </c>
      <c r="BW7" s="30">
        <f t="shared" si="28"/>
        <v>253072558.59140557</v>
      </c>
      <c r="BX7" s="30">
        <f t="shared" si="28"/>
        <v>253072558.59140557</v>
      </c>
      <c r="BY7" s="30">
        <f t="shared" si="28"/>
        <v>221438488.7674799</v>
      </c>
      <c r="BZ7" s="30">
        <f t="shared" si="28"/>
        <v>221438488.7674799</v>
      </c>
      <c r="CA7" s="30">
        <f t="shared" si="28"/>
        <v>221438488.7674799</v>
      </c>
      <c r="CB7" s="30">
        <f t="shared" si="28"/>
        <v>189804418.94355422</v>
      </c>
      <c r="CC7" s="30">
        <f t="shared" si="28"/>
        <v>189804418.94355422</v>
      </c>
      <c r="CD7" s="30">
        <f t="shared" si="28"/>
        <v>189804418.94355422</v>
      </c>
      <c r="CE7" s="30">
        <f t="shared" si="28"/>
        <v>158170349.11962855</v>
      </c>
      <c r="CF7" s="30">
        <f t="shared" ref="CF7:CM7" si="29">CF3-CF5</f>
        <v>158170349.11962855</v>
      </c>
      <c r="CG7" s="30">
        <f t="shared" si="29"/>
        <v>158170349.11962855</v>
      </c>
      <c r="CH7" s="30">
        <f t="shared" si="29"/>
        <v>126536279.29570287</v>
      </c>
      <c r="CI7" s="30">
        <f t="shared" si="29"/>
        <v>126536279.29570287</v>
      </c>
      <c r="CJ7" s="30">
        <f t="shared" si="29"/>
        <v>126536279.29570287</v>
      </c>
      <c r="CK7" s="30">
        <f t="shared" si="29"/>
        <v>94902209.471777201</v>
      </c>
      <c r="CL7" s="30">
        <f t="shared" si="29"/>
        <v>94902209.471777201</v>
      </c>
      <c r="CM7" s="30">
        <f t="shared" si="29"/>
        <v>94902209.471777201</v>
      </c>
      <c r="CN7" s="30">
        <f t="shared" ref="CN7:CT7" si="30">CN3-CN5</f>
        <v>63268139.647851467</v>
      </c>
      <c r="CO7" s="30">
        <f t="shared" si="30"/>
        <v>63268139.647851467</v>
      </c>
      <c r="CP7" s="30">
        <f t="shared" si="30"/>
        <v>63268139.647851467</v>
      </c>
      <c r="CQ7" s="30">
        <f t="shared" si="30"/>
        <v>31634069.823925734</v>
      </c>
      <c r="CR7" s="30">
        <f t="shared" si="30"/>
        <v>31634069.823925734</v>
      </c>
      <c r="CS7" s="30">
        <f t="shared" si="30"/>
        <v>31634069.823925734</v>
      </c>
      <c r="CT7" s="30">
        <f t="shared" si="30"/>
        <v>0</v>
      </c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</row>
    <row r="8" spans="1:120">
      <c r="A8" s="37" t="s">
        <v>24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</row>
    <row r="9" spans="1:120">
      <c r="A9" s="39" t="s">
        <v>25</v>
      </c>
      <c r="B9" s="30">
        <f>Accrual_PPL!D26</f>
        <v>493708.05965547299</v>
      </c>
      <c r="C9" s="30">
        <f>Accrual_PPL!E26</f>
        <v>1320223.6582363294</v>
      </c>
      <c r="D9" s="30">
        <f>Accrual_PPL!F26</f>
        <v>2174289.7767698811</v>
      </c>
      <c r="E9" s="30">
        <f>Accrual_PPL!G26</f>
        <v>3001501.7912717639</v>
      </c>
      <c r="F9" s="30">
        <f>Accrual_PPL!H26</f>
        <v>3877156.803357136</v>
      </c>
      <c r="G9" s="30">
        <f>Accrual_PPL!I26</f>
        <v>4687137.6895361049</v>
      </c>
      <c r="H9" s="30">
        <f>Accrual_PPL!J26</f>
        <v>5471625.2256908482</v>
      </c>
      <c r="I9" s="30">
        <f>Accrual_PPL!K26</f>
        <v>6301293.1472977782</v>
      </c>
      <c r="J9" s="30">
        <f>Accrual_PPL!L26</f>
        <v>7104197.5875625489</v>
      </c>
      <c r="K9" s="30">
        <f>Accrual_PPL!M26</f>
        <v>7935117.0736372434</v>
      </c>
      <c r="L9" s="30">
        <f>Accrual_PPL!N26</f>
        <v>8784184.2444945239</v>
      </c>
      <c r="M9" s="30">
        <f>Accrual_PPL!O26</f>
        <v>9724030.0762793049</v>
      </c>
      <c r="N9" s="30">
        <f>Accrual_PPL!P26</f>
        <v>10888470.188390961</v>
      </c>
      <c r="O9" s="30">
        <f>Accrual_PPL!Q26</f>
        <v>12256115.302101212</v>
      </c>
      <c r="P9" s="30">
        <f>Accrual_PPL!R26</f>
        <v>13669348.58626847</v>
      </c>
      <c r="Q9" s="30">
        <f>Accrual_PPL!S26</f>
        <v>15038247.374666288</v>
      </c>
      <c r="R9" s="30">
        <f>Accrual_PPL!T26</f>
        <v>16490344.574148146</v>
      </c>
      <c r="S9" s="30">
        <f>Accrual_PPL!U26</f>
        <v>17942441.773630004</v>
      </c>
      <c r="T9" s="30">
        <f>Accrual_PPL!V26</f>
        <v>19349013.904280797</v>
      </c>
      <c r="U9" s="30">
        <f>Accrual_PPL!W26</f>
        <v>23741238.265835591</v>
      </c>
      <c r="V9" s="30">
        <f>Accrual_PPL!X26</f>
        <v>28665165.425203133</v>
      </c>
      <c r="W9" s="30">
        <f>Accrual_PPL!Y26</f>
        <v>33761854.888236307</v>
      </c>
      <c r="X9" s="30">
        <f>Accrual_PPL!Z26</f>
        <v>38983699.627393447</v>
      </c>
      <c r="Y9" s="30">
        <f>Accrual_PPL!AA26</f>
        <v>43700204.55308377</v>
      </c>
      <c r="Z9" s="30">
        <f>Accrual_PPL!AB26</f>
        <v>48926733.043660179</v>
      </c>
      <c r="AA9" s="30">
        <f>Accrual_PPL!AC26</f>
        <v>54120643.720906243</v>
      </c>
      <c r="AB9" s="30">
        <f>Accrual_PPL!AD26</f>
        <v>59487684.754060507</v>
      </c>
      <c r="AC9" s="30">
        <f>Accrual_PPL!AE26</f>
        <v>64686409.417036124</v>
      </c>
      <c r="AD9" s="30">
        <f>Accrual_PPL!AF26</f>
        <v>70202684.007806703</v>
      </c>
      <c r="AE9" s="30">
        <f>Accrual_PPL!AG26</f>
        <v>75718958.598577291</v>
      </c>
      <c r="AF9" s="30">
        <f>Accrual_PPL!AH26</f>
        <v>81062291.060869485</v>
      </c>
      <c r="AG9" s="30">
        <f>Accrual_PPL!AI26</f>
        <v>86733634.259580612</v>
      </c>
      <c r="AH9" s="30">
        <f>Accrual_PPL!AJ26</f>
        <v>92222030.903494611</v>
      </c>
      <c r="AI9" s="30">
        <f>Accrual_PPL!AK26</f>
        <v>97903547.96339196</v>
      </c>
      <c r="AJ9" s="30">
        <f>Accrual_PPL!AL26</f>
        <v>103732586.01048948</v>
      </c>
      <c r="AK9" s="30">
        <f>Accrual_PPL!AM26</f>
        <v>109185557.08680651</v>
      </c>
      <c r="AL9" s="30">
        <f>Accrual_PPL!AN26</f>
        <v>115019880.96410444</v>
      </c>
      <c r="AM9" s="30">
        <f>Accrual_PPL!AO26</f>
        <v>120819460.43182415</v>
      </c>
      <c r="AN9" s="30">
        <f>Accrual_PPL!AP26</f>
        <v>126812359.21513452</v>
      </c>
      <c r="AO9" s="30">
        <f>Accrual_PPL!AQ26</f>
        <v>132602272.71707469</v>
      </c>
      <c r="AP9" s="30">
        <f>Accrual_PPL!AR26</f>
        <v>138295526.56121954</v>
      </c>
      <c r="AQ9" s="30">
        <f>Accrual_PPL!AS26</f>
        <v>143988780.40536439</v>
      </c>
      <c r="AR9" s="30">
        <f>Accrual_PPL!AT26</f>
        <v>149488714.9339186</v>
      </c>
      <c r="AS9" s="30">
        <f>Accrual_PPL!AU26</f>
        <v>154882323.83889791</v>
      </c>
      <c r="AT9" s="30">
        <f>Accrual_PPL!AV26</f>
        <v>160101945.35984564</v>
      </c>
      <c r="AU9" s="30">
        <f>Accrual_PPL!AW26</f>
        <v>165476222.3332659</v>
      </c>
      <c r="AV9" s="30">
        <f>Accrual_PPL!AX26</f>
        <v>170570186.29907972</v>
      </c>
      <c r="AW9" s="30">
        <f>Accrual_PPL!AY26</f>
        <v>175171186.01013735</v>
      </c>
      <c r="AX9" s="30">
        <f>Accrual_PPL!AZ26</f>
        <v>180255484.01017162</v>
      </c>
      <c r="AY9" s="30">
        <f>Accrual_PPL!BA26</f>
        <v>184895147.5843474</v>
      </c>
      <c r="AZ9" s="30">
        <f>Accrual_PPL!BB26</f>
        <v>189689466.61099568</v>
      </c>
      <c r="BA9" s="30">
        <f>Accrual_PPL!BC26</f>
        <v>194319464.21939191</v>
      </c>
      <c r="BB9" s="30">
        <f>Accrual_PPL!BD26</f>
        <v>198814138.30687469</v>
      </c>
      <c r="BC9" s="30">
        <f>Accrual_PPL!BE26</f>
        <v>203308812.39435747</v>
      </c>
      <c r="BD9" s="30">
        <f>Accrual_PPL!BF26</f>
        <v>207648831.02936772</v>
      </c>
      <c r="BE9" s="30">
        <f>Accrual_PPL!BG26</f>
        <v>211843860.17768496</v>
      </c>
      <c r="BF9" s="30">
        <f>Accrual_PPL!BH26</f>
        <v>215903565.80508876</v>
      </c>
      <c r="BG9" s="30">
        <f>Accrual_PPL!BI26</f>
        <v>220079263.02184695</v>
      </c>
      <c r="BH9" s="30">
        <f>Accrual_PPL!BJ26</f>
        <v>223974647.23099869</v>
      </c>
      <c r="BI9" s="30">
        <f>Accrual_PPL!BK26</f>
        <v>227493058.77474865</v>
      </c>
      <c r="BJ9" s="30">
        <f>Accrual_PPL!BL26</f>
        <v>231378777.01812086</v>
      </c>
      <c r="BK9" s="30">
        <f>Accrual_PPL!BM26</f>
        <v>234858524.69875267</v>
      </c>
      <c r="BL9" s="30">
        <f>Accrual_PPL!BN26</f>
        <v>238454263.96873888</v>
      </c>
      <c r="BM9" s="30">
        <f>Accrual_PPL!BO26</f>
        <v>241924345.68359119</v>
      </c>
      <c r="BN9" s="30">
        <f>Accrual_PPL!BP26</f>
        <v>245220440.0144119</v>
      </c>
      <c r="BO9" s="30">
        <f>Accrual_PPL!BQ26</f>
        <v>248516534.34523261</v>
      </c>
      <c r="BP9" s="30">
        <f>Accrual_PPL!BR26</f>
        <v>251696637.08669892</v>
      </c>
      <c r="BQ9" s="30">
        <f>Accrual_PPL!BS26</f>
        <v>254693086.4783541</v>
      </c>
      <c r="BR9" s="30">
        <f>Accrual_PPL!BT26</f>
        <v>257592876.21221396</v>
      </c>
      <c r="BS9" s="30">
        <f>Accrual_PPL!BU26</f>
        <v>260569993.67231008</v>
      </c>
      <c r="BT9" s="30">
        <f>Accrual_PPL!BV26</f>
        <v>263266798.12479976</v>
      </c>
      <c r="BU9" s="30">
        <f>Accrual_PPL!BW26</f>
        <v>265702621.50124204</v>
      </c>
      <c r="BV9" s="30">
        <f>Accrual_PPL!BX26</f>
        <v>268389759.98795217</v>
      </c>
      <c r="BW9" s="30">
        <f>Accrual_PPL!BY26</f>
        <v>270709591.77504003</v>
      </c>
      <c r="BX9" s="30">
        <f>Accrual_PPL!BZ26</f>
        <v>273106751.28836417</v>
      </c>
      <c r="BY9" s="30">
        <f>Accrual_PPL!CA26</f>
        <v>275416917.10967255</v>
      </c>
      <c r="BZ9" s="30">
        <f>Accrual_PPL!CB26</f>
        <v>277514431.68383116</v>
      </c>
      <c r="CA9" s="30">
        <f>Accrual_PPL!CC26</f>
        <v>279611946.25798976</v>
      </c>
      <c r="CB9" s="30">
        <f>Accrual_PPL!CD26</f>
        <v>281632133.10591215</v>
      </c>
      <c r="CC9" s="30">
        <f>Accrual_PPL!CE26</f>
        <v>283430002.74090528</v>
      </c>
      <c r="CD9" s="30">
        <f>Accrual_PPL!CF26</f>
        <v>285169876.58122122</v>
      </c>
      <c r="CE9" s="30">
        <f>Accrual_PPL!CG26</f>
        <v>286948414.28465527</v>
      </c>
      <c r="CF9" s="30">
        <f>Accrual_PPL!CH26</f>
        <v>288446638.98048288</v>
      </c>
      <c r="CG9" s="30">
        <f>Accrual_PPL!CI26</f>
        <v>289848204.01851511</v>
      </c>
      <c r="CH9" s="30">
        <f>Accrual_PPL!CJ26</f>
        <v>291336762.74856317</v>
      </c>
      <c r="CI9" s="30">
        <f>Accrual_PPL!CK26</f>
        <v>292496678.64210713</v>
      </c>
      <c r="CJ9" s="30">
        <f>Accrual_PPL!CL26</f>
        <v>293695258.3987692</v>
      </c>
      <c r="CK9" s="30">
        <f>Accrual_PPL!CM26</f>
        <v>294845508.32653362</v>
      </c>
      <c r="CL9" s="30">
        <f>Accrual_PPL!CN26</f>
        <v>295744443.14403015</v>
      </c>
      <c r="CM9" s="30">
        <f>Accrual_PPL!CO26</f>
        <v>296643377.96152669</v>
      </c>
      <c r="CN9" s="30">
        <f>Accrual_PPL!CP26</f>
        <v>297503648.91590512</v>
      </c>
      <c r="CO9" s="30">
        <f>Accrual_PPL!CQ26</f>
        <v>298102938.79423618</v>
      </c>
      <c r="CP9" s="30">
        <f>Accrual_PPL!CR26</f>
        <v>298682896.74100816</v>
      </c>
      <c r="CQ9" s="30">
        <f>Accrual_PPL!CS26</f>
        <v>299262854.68778014</v>
      </c>
      <c r="CR9" s="30">
        <f>Accrual_PPL!CT26</f>
        <v>299562499.62694567</v>
      </c>
      <c r="CS9" s="30">
        <f>Accrual_PPL!CU26</f>
        <v>299833146.66877258</v>
      </c>
      <c r="CT9" s="30">
        <f>Accrual_PPL!CV26</f>
        <v>299958804.22390652</v>
      </c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</row>
    <row r="10" spans="1:120">
      <c r="A10" s="38" t="s">
        <v>26</v>
      </c>
      <c r="B10" s="30">
        <v>0</v>
      </c>
      <c r="C10" s="30">
        <f>PPL_Loan!$C$32</f>
        <v>0</v>
      </c>
      <c r="D10" s="30">
        <f>C10</f>
        <v>0</v>
      </c>
      <c r="E10" s="30">
        <f t="shared" ref="E10:AN10" si="31">D10</f>
        <v>0</v>
      </c>
      <c r="F10" s="30">
        <f>PPL_Loan!$D$32</f>
        <v>0</v>
      </c>
      <c r="G10" s="30">
        <f t="shared" si="31"/>
        <v>0</v>
      </c>
      <c r="H10" s="30">
        <f t="shared" si="31"/>
        <v>0</v>
      </c>
      <c r="I10" s="30">
        <f>PPL_Loan!$E$32</f>
        <v>0</v>
      </c>
      <c r="J10" s="30">
        <f t="shared" si="31"/>
        <v>0</v>
      </c>
      <c r="K10" s="30">
        <f t="shared" si="31"/>
        <v>0</v>
      </c>
      <c r="L10" s="30">
        <f>PPL_Loan!$F$32</f>
        <v>0</v>
      </c>
      <c r="M10" s="30">
        <f t="shared" si="31"/>
        <v>0</v>
      </c>
      <c r="N10" s="30">
        <f t="shared" si="31"/>
        <v>0</v>
      </c>
      <c r="O10" s="30">
        <f>PPL_Loan!$G$32</f>
        <v>0</v>
      </c>
      <c r="P10" s="30">
        <f t="shared" si="31"/>
        <v>0</v>
      </c>
      <c r="Q10" s="30">
        <f t="shared" si="31"/>
        <v>0</v>
      </c>
      <c r="R10" s="30">
        <f>PPL_Loan!$H$32</f>
        <v>0</v>
      </c>
      <c r="S10" s="30">
        <f t="shared" si="31"/>
        <v>0</v>
      </c>
      <c r="T10" s="30">
        <f t="shared" si="31"/>
        <v>0</v>
      </c>
      <c r="U10" s="30">
        <f>PPL_Loan!$I$32</f>
        <v>0</v>
      </c>
      <c r="V10" s="30">
        <f t="shared" si="31"/>
        <v>0</v>
      </c>
      <c r="W10" s="30">
        <f t="shared" si="31"/>
        <v>0</v>
      </c>
      <c r="X10" s="30">
        <f>PPL_Loan!$J$32</f>
        <v>0</v>
      </c>
      <c r="Y10" s="30">
        <f t="shared" si="31"/>
        <v>0</v>
      </c>
      <c r="Z10" s="30">
        <f t="shared" si="31"/>
        <v>0</v>
      </c>
      <c r="AA10" s="30">
        <f>PPL_Loan!$K$32</f>
        <v>0</v>
      </c>
      <c r="AB10" s="30">
        <f t="shared" si="31"/>
        <v>0</v>
      </c>
      <c r="AC10" s="30">
        <f t="shared" si="31"/>
        <v>0</v>
      </c>
      <c r="AD10" s="30">
        <f>PPL_Loan!$L$32</f>
        <v>0</v>
      </c>
      <c r="AE10" s="30">
        <f t="shared" si="31"/>
        <v>0</v>
      </c>
      <c r="AF10" s="30">
        <f t="shared" si="31"/>
        <v>0</v>
      </c>
      <c r="AG10" s="30">
        <f>PPL_Loan!$M$32</f>
        <v>0</v>
      </c>
      <c r="AH10" s="30">
        <f t="shared" si="31"/>
        <v>0</v>
      </c>
      <c r="AI10" s="30">
        <f t="shared" si="31"/>
        <v>0</v>
      </c>
      <c r="AJ10" s="30">
        <f>PPL_Loan!$N$32</f>
        <v>0</v>
      </c>
      <c r="AK10" s="30">
        <f t="shared" si="31"/>
        <v>0</v>
      </c>
      <c r="AL10" s="30">
        <f>PPL_Loan!$O$32</f>
        <v>0</v>
      </c>
      <c r="AM10" s="30">
        <f t="shared" si="31"/>
        <v>0</v>
      </c>
      <c r="AN10" s="30">
        <f t="shared" si="31"/>
        <v>0</v>
      </c>
      <c r="AO10" s="30">
        <f>PPL_Loan!$P$32</f>
        <v>17592057.718749788</v>
      </c>
      <c r="AP10" s="30">
        <f t="shared" ref="AP10" si="32">AO10</f>
        <v>17592057.718749788</v>
      </c>
      <c r="AQ10" s="30">
        <f t="shared" ref="AQ10" si="33">AP10</f>
        <v>17592057.718749788</v>
      </c>
      <c r="AR10" s="30">
        <f>PPL_Loan!$Q$32</f>
        <v>34488165.901373208</v>
      </c>
      <c r="AS10" s="30">
        <f t="shared" ref="AS10" si="34">AR10</f>
        <v>34488165.901373208</v>
      </c>
      <c r="AT10" s="30">
        <f t="shared" ref="AT10" si="35">AS10</f>
        <v>34488165.901373208</v>
      </c>
      <c r="AU10" s="30">
        <f>PPL_Loan!$R$32</f>
        <v>50321017.848248012</v>
      </c>
      <c r="AV10" s="30">
        <f t="shared" ref="AV10" si="36">AU10</f>
        <v>50321017.848248012</v>
      </c>
      <c r="AW10" s="30">
        <f t="shared" ref="AW10" si="37">AV10</f>
        <v>50321017.848248012</v>
      </c>
      <c r="AX10" s="30">
        <f>PPL_Loan!$S$32</f>
        <v>65274266.909185328</v>
      </c>
      <c r="AY10" s="30">
        <f t="shared" ref="AY10" si="38">AX10</f>
        <v>65274266.909185328</v>
      </c>
      <c r="AZ10" s="30">
        <f t="shared" ref="AZ10" si="39">AY10</f>
        <v>65274266.909185328</v>
      </c>
      <c r="BA10" s="30">
        <f>PPL_Loan!$T$32</f>
        <v>79347913.084185153</v>
      </c>
      <c r="BB10" s="30">
        <f t="shared" ref="BB10" si="40">BA10</f>
        <v>79347913.084185153</v>
      </c>
      <c r="BC10" s="30">
        <f t="shared" ref="BC10" si="41">BB10</f>
        <v>79347913.084185153</v>
      </c>
      <c r="BD10" s="30">
        <f>PPL_Loan!$U$32</f>
        <v>92686945.859940484</v>
      </c>
      <c r="BE10" s="30">
        <f t="shared" ref="BE10" si="42">BD10</f>
        <v>92686945.859940484</v>
      </c>
      <c r="BF10" s="30">
        <f t="shared" ref="BF10" si="43">BE10</f>
        <v>92686945.859940484</v>
      </c>
      <c r="BG10" s="30">
        <f>PPL_Loan!$V$32</f>
        <v>105001386.26306534</v>
      </c>
      <c r="BH10" s="30">
        <f t="shared" ref="BH10" si="44">BG10</f>
        <v>105001386.26306534</v>
      </c>
      <c r="BI10" s="30">
        <f t="shared" ref="BI10" si="45">BH10</f>
        <v>105001386.26306534</v>
      </c>
      <c r="BJ10" s="30">
        <f>PPL_Loan!$W$32</f>
        <v>116436223.7802527</v>
      </c>
      <c r="BK10" s="30">
        <f t="shared" ref="BK10" si="46">BJ10</f>
        <v>116436223.7802527</v>
      </c>
      <c r="BL10" s="30">
        <f t="shared" ref="BL10" si="47">BK10</f>
        <v>116436223.7802527</v>
      </c>
      <c r="BM10" s="30">
        <f>PPL_Loan!$X$32</f>
        <v>126991458.41150257</v>
      </c>
      <c r="BN10" s="30">
        <f t="shared" ref="BN10" si="48">BM10</f>
        <v>126991458.41150257</v>
      </c>
      <c r="BO10" s="30">
        <f t="shared" ref="BO10" si="49">BN10</f>
        <v>126991458.41150257</v>
      </c>
      <c r="BP10" s="30">
        <f>PPL_Loan!$Y$32</f>
        <v>136773415.78038982</v>
      </c>
      <c r="BQ10" s="30">
        <f t="shared" ref="BQ10" si="50">BP10</f>
        <v>136773415.78038982</v>
      </c>
      <c r="BR10" s="30">
        <f t="shared" ref="BR10" si="51">BQ10</f>
        <v>136773415.78038982</v>
      </c>
      <c r="BS10" s="30">
        <f>PPL_Loan!$Z$32</f>
        <v>145569444.6397647</v>
      </c>
      <c r="BT10" s="30">
        <f t="shared" ref="BT10" si="52">BS10</f>
        <v>145569444.6397647</v>
      </c>
      <c r="BU10" s="30">
        <f t="shared" ref="BU10" si="53">BT10</f>
        <v>145569444.6397647</v>
      </c>
      <c r="BV10" s="30">
        <f>PPL_Loan!$AA$32</f>
        <v>153485870.6132021</v>
      </c>
      <c r="BW10" s="30">
        <f t="shared" ref="BW10" si="54">BV10</f>
        <v>153485870.6132021</v>
      </c>
      <c r="BX10" s="30">
        <f t="shared" ref="BX10" si="55">BW10</f>
        <v>153485870.6132021</v>
      </c>
      <c r="BY10" s="30">
        <f>PPL_Loan!$AB$32</f>
        <v>160522693.70070201</v>
      </c>
      <c r="BZ10" s="30">
        <f t="shared" ref="BZ10" si="56">BY10</f>
        <v>160522693.70070201</v>
      </c>
      <c r="CA10" s="30">
        <f t="shared" ref="CA10" si="57">BZ10</f>
        <v>160522693.70070201</v>
      </c>
      <c r="CB10" s="30">
        <f>PPL_Loan!$AC$32</f>
        <v>166747575.66272116</v>
      </c>
      <c r="CC10" s="30">
        <f t="shared" ref="CC10" si="58">CB10</f>
        <v>166747575.66272116</v>
      </c>
      <c r="CD10" s="30">
        <f t="shared" ref="CD10" si="59">CC10</f>
        <v>166747575.66272116</v>
      </c>
      <c r="CE10" s="30">
        <f>PPL_Loan!$AD$32</f>
        <v>172025192.97834608</v>
      </c>
      <c r="CF10" s="30">
        <f>PPL_Loan!$AD$32</f>
        <v>172025192.97834608</v>
      </c>
      <c r="CG10" s="30">
        <f>PPL_Loan!$AD$32</f>
        <v>172025192.97834608</v>
      </c>
      <c r="CH10" s="30">
        <f>PPL_Loan!$AE$32</f>
        <v>176471537.2369312</v>
      </c>
      <c r="CI10" s="30">
        <f>PPL_Loan!$AD$32</f>
        <v>172025192.97834608</v>
      </c>
      <c r="CJ10" s="30">
        <f>PPL_Loan!$AD$32</f>
        <v>172025192.97834608</v>
      </c>
      <c r="CK10" s="30">
        <f>PPL_Loan!$AF$32</f>
        <v>179989948.78068116</v>
      </c>
      <c r="CL10" s="30">
        <f>PPL_Loan!$AD$32</f>
        <v>172025192.97834608</v>
      </c>
      <c r="CM10" s="30">
        <f>PPL_Loan!$AD$32</f>
        <v>172025192.97834608</v>
      </c>
      <c r="CN10" s="30">
        <f>PPL_Loan!$AG$32</f>
        <v>182657755.33583224</v>
      </c>
      <c r="CO10" s="30">
        <f>PPL_Loan!$AD$32</f>
        <v>172025192.97834608</v>
      </c>
      <c r="CP10" s="30">
        <f>PPL_Loan!$AD$32</f>
        <v>172025192.97834608</v>
      </c>
      <c r="CQ10" s="30">
        <f>PPL_Loan!$AH$32</f>
        <v>184416961.1077072</v>
      </c>
      <c r="CR10" s="30">
        <f>PPL_Loan!$AD$32</f>
        <v>172025192.97834608</v>
      </c>
      <c r="CS10" s="30">
        <f>PPL_Loan!$AD$32</f>
        <v>172025192.97834608</v>
      </c>
      <c r="CT10" s="30">
        <f>PPL_Loan!$AI$32</f>
        <v>185132242.57539263</v>
      </c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</row>
    <row r="11" spans="1:120">
      <c r="A11" s="38" t="s">
        <v>27</v>
      </c>
      <c r="B11" s="30">
        <f>B26</f>
        <v>0</v>
      </c>
      <c r="C11" s="30">
        <f>C26</f>
        <v>0</v>
      </c>
      <c r="D11" s="30">
        <f t="shared" ref="D11:F11" si="60">D26</f>
        <v>0</v>
      </c>
      <c r="E11" s="30">
        <f t="shared" si="60"/>
        <v>0</v>
      </c>
      <c r="F11" s="30">
        <f t="shared" si="60"/>
        <v>0</v>
      </c>
      <c r="G11" s="30">
        <f t="shared" ref="G11:L11" si="61">G26</f>
        <v>0</v>
      </c>
      <c r="H11" s="30">
        <f t="shared" si="61"/>
        <v>0</v>
      </c>
      <c r="I11" s="30">
        <f t="shared" si="61"/>
        <v>0</v>
      </c>
      <c r="J11" s="30">
        <f t="shared" si="61"/>
        <v>0</v>
      </c>
      <c r="K11" s="30">
        <f t="shared" si="61"/>
        <v>0</v>
      </c>
      <c r="L11" s="30">
        <f t="shared" si="61"/>
        <v>0</v>
      </c>
      <c r="M11" s="30">
        <f t="shared" ref="M11:AQ11" si="62">M26</f>
        <v>0</v>
      </c>
      <c r="N11" s="30">
        <f t="shared" si="62"/>
        <v>0</v>
      </c>
      <c r="O11" s="30">
        <f t="shared" si="62"/>
        <v>0</v>
      </c>
      <c r="P11" s="30">
        <f t="shared" si="62"/>
        <v>0</v>
      </c>
      <c r="Q11" s="30">
        <f t="shared" si="62"/>
        <v>0</v>
      </c>
      <c r="R11" s="30">
        <f t="shared" si="62"/>
        <v>0</v>
      </c>
      <c r="S11" s="30">
        <f t="shared" si="62"/>
        <v>0</v>
      </c>
      <c r="T11" s="30">
        <f t="shared" si="62"/>
        <v>0</v>
      </c>
      <c r="U11" s="30">
        <f t="shared" si="62"/>
        <v>0</v>
      </c>
      <c r="V11" s="30">
        <f t="shared" si="62"/>
        <v>0</v>
      </c>
      <c r="W11" s="30">
        <f t="shared" si="62"/>
        <v>0</v>
      </c>
      <c r="X11" s="30">
        <f t="shared" si="62"/>
        <v>0</v>
      </c>
      <c r="Y11" s="30">
        <f t="shared" si="62"/>
        <v>0</v>
      </c>
      <c r="Z11" s="30">
        <f t="shared" si="62"/>
        <v>0</v>
      </c>
      <c r="AA11" s="30">
        <f t="shared" si="62"/>
        <v>0</v>
      </c>
      <c r="AB11" s="30">
        <f t="shared" si="62"/>
        <v>0</v>
      </c>
      <c r="AC11" s="30">
        <f t="shared" si="62"/>
        <v>0</v>
      </c>
      <c r="AD11" s="30">
        <f t="shared" si="62"/>
        <v>0</v>
      </c>
      <c r="AE11" s="30">
        <f t="shared" si="62"/>
        <v>0</v>
      </c>
      <c r="AF11" s="30">
        <f t="shared" si="62"/>
        <v>0</v>
      </c>
      <c r="AG11" s="30">
        <f t="shared" si="62"/>
        <v>0</v>
      </c>
      <c r="AH11" s="30">
        <f t="shared" si="62"/>
        <v>0</v>
      </c>
      <c r="AI11" s="30">
        <f t="shared" si="62"/>
        <v>0</v>
      </c>
      <c r="AJ11" s="30">
        <f t="shared" si="62"/>
        <v>0</v>
      </c>
      <c r="AK11" s="30">
        <f t="shared" si="62"/>
        <v>0</v>
      </c>
      <c r="AL11" s="30">
        <f t="shared" si="62"/>
        <v>0</v>
      </c>
      <c r="AM11" s="30">
        <f t="shared" si="62"/>
        <v>0</v>
      </c>
      <c r="AN11" s="30">
        <f t="shared" si="62"/>
        <v>0</v>
      </c>
      <c r="AO11" s="30">
        <f t="shared" si="62"/>
        <v>0</v>
      </c>
      <c r="AP11" s="30">
        <f t="shared" si="62"/>
        <v>0</v>
      </c>
      <c r="AQ11" s="30">
        <f t="shared" si="62"/>
        <v>0</v>
      </c>
      <c r="AR11" s="30">
        <f t="shared" ref="AR11:BW11" si="63">AR26</f>
        <v>0</v>
      </c>
      <c r="AS11" s="30">
        <f t="shared" si="63"/>
        <v>0</v>
      </c>
      <c r="AT11" s="30">
        <f t="shared" si="63"/>
        <v>0</v>
      </c>
      <c r="AU11" s="30">
        <f t="shared" si="63"/>
        <v>50321017.848248012</v>
      </c>
      <c r="AV11" s="30">
        <f t="shared" si="63"/>
        <v>50321017.848248012</v>
      </c>
      <c r="AW11" s="30">
        <f t="shared" si="63"/>
        <v>50321017.848248012</v>
      </c>
      <c r="AX11" s="30">
        <f t="shared" si="63"/>
        <v>65274266.909185328</v>
      </c>
      <c r="AY11" s="30">
        <f t="shared" si="63"/>
        <v>65274266.909185328</v>
      </c>
      <c r="AZ11" s="30">
        <f t="shared" si="63"/>
        <v>65274266.909185328</v>
      </c>
      <c r="BA11" s="30">
        <f t="shared" si="63"/>
        <v>79347913.084185153</v>
      </c>
      <c r="BB11" s="30">
        <f t="shared" si="63"/>
        <v>79347913.084185153</v>
      </c>
      <c r="BC11" s="30">
        <f t="shared" si="63"/>
        <v>79347913.084185153</v>
      </c>
      <c r="BD11" s="30">
        <f t="shared" si="63"/>
        <v>92686945.859940484</v>
      </c>
      <c r="BE11" s="30">
        <f t="shared" si="63"/>
        <v>92686945.859940484</v>
      </c>
      <c r="BF11" s="30">
        <f t="shared" si="63"/>
        <v>92686945.859940484</v>
      </c>
      <c r="BG11" s="30">
        <f t="shared" si="63"/>
        <v>105001386.26306534</v>
      </c>
      <c r="BH11" s="30">
        <f t="shared" si="63"/>
        <v>105001386.26306534</v>
      </c>
      <c r="BI11" s="30">
        <f t="shared" si="63"/>
        <v>105001386.26306534</v>
      </c>
      <c r="BJ11" s="30">
        <f t="shared" si="63"/>
        <v>116436223.7802527</v>
      </c>
      <c r="BK11" s="30">
        <f t="shared" si="63"/>
        <v>116436223.7802527</v>
      </c>
      <c r="BL11" s="30">
        <f t="shared" si="63"/>
        <v>116436223.7802527</v>
      </c>
      <c r="BM11" s="30">
        <f t="shared" si="63"/>
        <v>126991458.41150257</v>
      </c>
      <c r="BN11" s="30">
        <f t="shared" si="63"/>
        <v>126991458.41150257</v>
      </c>
      <c r="BO11" s="30">
        <f t="shared" si="63"/>
        <v>126991458.41150257</v>
      </c>
      <c r="BP11" s="30">
        <f t="shared" si="63"/>
        <v>136773415.78038982</v>
      </c>
      <c r="BQ11" s="30">
        <f t="shared" si="63"/>
        <v>136773415.78038982</v>
      </c>
      <c r="BR11" s="30">
        <f t="shared" si="63"/>
        <v>136773415.78038982</v>
      </c>
      <c r="BS11" s="30">
        <f t="shared" si="63"/>
        <v>145569444.6397647</v>
      </c>
      <c r="BT11" s="30">
        <f t="shared" si="63"/>
        <v>145569444.6397647</v>
      </c>
      <c r="BU11" s="30">
        <f t="shared" si="63"/>
        <v>145569444.6397647</v>
      </c>
      <c r="BV11" s="30">
        <f t="shared" si="63"/>
        <v>153485870.6132021</v>
      </c>
      <c r="BW11" s="30">
        <f t="shared" si="63"/>
        <v>153485870.6132021</v>
      </c>
      <c r="BX11" s="30">
        <f t="shared" ref="BX11:CE11" si="64">BX26</f>
        <v>153485870.6132021</v>
      </c>
      <c r="BY11" s="30">
        <f t="shared" si="64"/>
        <v>160522693.70070201</v>
      </c>
      <c r="BZ11" s="30">
        <f t="shared" si="64"/>
        <v>160522693.70070201</v>
      </c>
      <c r="CA11" s="30">
        <f t="shared" si="64"/>
        <v>160522693.70070201</v>
      </c>
      <c r="CB11" s="30">
        <f t="shared" si="64"/>
        <v>166747575.66272116</v>
      </c>
      <c r="CC11" s="30">
        <f t="shared" si="64"/>
        <v>166747575.66272116</v>
      </c>
      <c r="CD11" s="30">
        <f t="shared" si="64"/>
        <v>166747575.66272116</v>
      </c>
      <c r="CE11" s="30">
        <f t="shared" si="64"/>
        <v>172025192.97834608</v>
      </c>
      <c r="CF11" s="30">
        <f t="shared" ref="CF11:CM11" si="65">CF26</f>
        <v>172025192.97834608</v>
      </c>
      <c r="CG11" s="30">
        <f t="shared" si="65"/>
        <v>172025192.97834608</v>
      </c>
      <c r="CH11" s="30">
        <f t="shared" si="65"/>
        <v>176471537.2369312</v>
      </c>
      <c r="CI11" s="30">
        <f t="shared" si="65"/>
        <v>176471537.2369312</v>
      </c>
      <c r="CJ11" s="30">
        <f t="shared" si="65"/>
        <v>176471537.2369312</v>
      </c>
      <c r="CK11" s="30">
        <f t="shared" si="65"/>
        <v>179989948.78068116</v>
      </c>
      <c r="CL11" s="30">
        <f t="shared" si="65"/>
        <v>179989948.78068116</v>
      </c>
      <c r="CM11" s="30">
        <f t="shared" si="65"/>
        <v>179989948.78068116</v>
      </c>
      <c r="CN11" s="30">
        <f t="shared" ref="CN11:CT11" si="66">CN26</f>
        <v>182657755.33583224</v>
      </c>
      <c r="CO11" s="30">
        <f t="shared" si="66"/>
        <v>182657755.33583224</v>
      </c>
      <c r="CP11" s="30">
        <f t="shared" si="66"/>
        <v>182657755.33583224</v>
      </c>
      <c r="CQ11" s="30">
        <f t="shared" si="66"/>
        <v>184416961.1077072</v>
      </c>
      <c r="CR11" s="30">
        <f t="shared" si="66"/>
        <v>184416961.1077072</v>
      </c>
      <c r="CS11" s="30">
        <f t="shared" si="66"/>
        <v>184416961.1077072</v>
      </c>
      <c r="CT11" s="30">
        <f t="shared" si="66"/>
        <v>185132242.57539263</v>
      </c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</row>
    <row r="12" spans="1:120">
      <c r="A12" s="38" t="s">
        <v>28</v>
      </c>
      <c r="B12" s="30">
        <f>IF((B10-B11)&gt;0,(B10-B11),0)</f>
        <v>0</v>
      </c>
      <c r="C12" s="30">
        <f t="shared" ref="C12:BN12" si="67">IF((C10-C11)&gt;0,(C10-C11),0)</f>
        <v>0</v>
      </c>
      <c r="D12" s="30">
        <f t="shared" si="67"/>
        <v>0</v>
      </c>
      <c r="E12" s="30">
        <f t="shared" si="67"/>
        <v>0</v>
      </c>
      <c r="F12" s="30">
        <f t="shared" si="67"/>
        <v>0</v>
      </c>
      <c r="G12" s="30">
        <f t="shared" si="67"/>
        <v>0</v>
      </c>
      <c r="H12" s="30">
        <f t="shared" si="67"/>
        <v>0</v>
      </c>
      <c r="I12" s="30">
        <f t="shared" si="67"/>
        <v>0</v>
      </c>
      <c r="J12" s="30">
        <f t="shared" si="67"/>
        <v>0</v>
      </c>
      <c r="K12" s="30">
        <f t="shared" si="67"/>
        <v>0</v>
      </c>
      <c r="L12" s="30">
        <f t="shared" si="67"/>
        <v>0</v>
      </c>
      <c r="M12" s="30">
        <f t="shared" si="67"/>
        <v>0</v>
      </c>
      <c r="N12" s="30">
        <f t="shared" si="67"/>
        <v>0</v>
      </c>
      <c r="O12" s="30">
        <f t="shared" si="67"/>
        <v>0</v>
      </c>
      <c r="P12" s="30">
        <f t="shared" si="67"/>
        <v>0</v>
      </c>
      <c r="Q12" s="30">
        <f t="shared" si="67"/>
        <v>0</v>
      </c>
      <c r="R12" s="30">
        <f t="shared" si="67"/>
        <v>0</v>
      </c>
      <c r="S12" s="30">
        <f t="shared" si="67"/>
        <v>0</v>
      </c>
      <c r="T12" s="30">
        <f t="shared" si="67"/>
        <v>0</v>
      </c>
      <c r="U12" s="30">
        <f t="shared" si="67"/>
        <v>0</v>
      </c>
      <c r="V12" s="30">
        <f t="shared" si="67"/>
        <v>0</v>
      </c>
      <c r="W12" s="30">
        <f t="shared" si="67"/>
        <v>0</v>
      </c>
      <c r="X12" s="30">
        <f t="shared" si="67"/>
        <v>0</v>
      </c>
      <c r="Y12" s="30">
        <f t="shared" si="67"/>
        <v>0</v>
      </c>
      <c r="Z12" s="30">
        <f t="shared" si="67"/>
        <v>0</v>
      </c>
      <c r="AA12" s="30">
        <f t="shared" si="67"/>
        <v>0</v>
      </c>
      <c r="AB12" s="30">
        <f t="shared" si="67"/>
        <v>0</v>
      </c>
      <c r="AC12" s="30">
        <f t="shared" si="67"/>
        <v>0</v>
      </c>
      <c r="AD12" s="30">
        <f t="shared" si="67"/>
        <v>0</v>
      </c>
      <c r="AE12" s="30">
        <f t="shared" si="67"/>
        <v>0</v>
      </c>
      <c r="AF12" s="30">
        <f t="shared" si="67"/>
        <v>0</v>
      </c>
      <c r="AG12" s="30">
        <f t="shared" si="67"/>
        <v>0</v>
      </c>
      <c r="AH12" s="30">
        <f t="shared" si="67"/>
        <v>0</v>
      </c>
      <c r="AI12" s="30">
        <f t="shared" si="67"/>
        <v>0</v>
      </c>
      <c r="AJ12" s="30">
        <f t="shared" si="67"/>
        <v>0</v>
      </c>
      <c r="AK12" s="30">
        <f t="shared" si="67"/>
        <v>0</v>
      </c>
      <c r="AL12" s="30">
        <f t="shared" si="67"/>
        <v>0</v>
      </c>
      <c r="AM12" s="30">
        <f t="shared" si="67"/>
        <v>0</v>
      </c>
      <c r="AN12" s="30">
        <f t="shared" si="67"/>
        <v>0</v>
      </c>
      <c r="AO12" s="30">
        <f t="shared" si="67"/>
        <v>17592057.718749788</v>
      </c>
      <c r="AP12" s="30">
        <f t="shared" si="67"/>
        <v>17592057.718749788</v>
      </c>
      <c r="AQ12" s="30">
        <f t="shared" si="67"/>
        <v>17592057.718749788</v>
      </c>
      <c r="AR12" s="30">
        <f t="shared" si="67"/>
        <v>34488165.901373208</v>
      </c>
      <c r="AS12" s="30">
        <f t="shared" si="67"/>
        <v>34488165.901373208</v>
      </c>
      <c r="AT12" s="30">
        <f t="shared" si="67"/>
        <v>34488165.901373208</v>
      </c>
      <c r="AU12" s="30">
        <f t="shared" si="67"/>
        <v>0</v>
      </c>
      <c r="AV12" s="30">
        <f t="shared" si="67"/>
        <v>0</v>
      </c>
      <c r="AW12" s="30">
        <f t="shared" si="67"/>
        <v>0</v>
      </c>
      <c r="AX12" s="30">
        <f t="shared" si="67"/>
        <v>0</v>
      </c>
      <c r="AY12" s="30">
        <f t="shared" si="67"/>
        <v>0</v>
      </c>
      <c r="AZ12" s="30">
        <f t="shared" si="67"/>
        <v>0</v>
      </c>
      <c r="BA12" s="30">
        <f t="shared" si="67"/>
        <v>0</v>
      </c>
      <c r="BB12" s="30">
        <f t="shared" si="67"/>
        <v>0</v>
      </c>
      <c r="BC12" s="30">
        <f t="shared" si="67"/>
        <v>0</v>
      </c>
      <c r="BD12" s="30">
        <f t="shared" si="67"/>
        <v>0</v>
      </c>
      <c r="BE12" s="30">
        <f t="shared" si="67"/>
        <v>0</v>
      </c>
      <c r="BF12" s="30">
        <f t="shared" si="67"/>
        <v>0</v>
      </c>
      <c r="BG12" s="30">
        <f t="shared" si="67"/>
        <v>0</v>
      </c>
      <c r="BH12" s="30">
        <f t="shared" si="67"/>
        <v>0</v>
      </c>
      <c r="BI12" s="30">
        <f t="shared" si="67"/>
        <v>0</v>
      </c>
      <c r="BJ12" s="30">
        <f t="shared" si="67"/>
        <v>0</v>
      </c>
      <c r="BK12" s="30">
        <f t="shared" si="67"/>
        <v>0</v>
      </c>
      <c r="BL12" s="30">
        <f t="shared" si="67"/>
        <v>0</v>
      </c>
      <c r="BM12" s="30">
        <f t="shared" si="67"/>
        <v>0</v>
      </c>
      <c r="BN12" s="30">
        <f t="shared" si="67"/>
        <v>0</v>
      </c>
      <c r="BO12" s="30">
        <f t="shared" ref="BO12:CE12" si="68">IF((BO10-BO11)&gt;0,(BO10-BO11),0)</f>
        <v>0</v>
      </c>
      <c r="BP12" s="30">
        <f t="shared" si="68"/>
        <v>0</v>
      </c>
      <c r="BQ12" s="30">
        <f t="shared" si="68"/>
        <v>0</v>
      </c>
      <c r="BR12" s="30">
        <f t="shared" si="68"/>
        <v>0</v>
      </c>
      <c r="BS12" s="30">
        <f t="shared" si="68"/>
        <v>0</v>
      </c>
      <c r="BT12" s="30">
        <f t="shared" si="68"/>
        <v>0</v>
      </c>
      <c r="BU12" s="30">
        <f t="shared" si="68"/>
        <v>0</v>
      </c>
      <c r="BV12" s="30">
        <f t="shared" si="68"/>
        <v>0</v>
      </c>
      <c r="BW12" s="30">
        <f t="shared" si="68"/>
        <v>0</v>
      </c>
      <c r="BX12" s="30">
        <f t="shared" si="68"/>
        <v>0</v>
      </c>
      <c r="BY12" s="30">
        <f t="shared" si="68"/>
        <v>0</v>
      </c>
      <c r="BZ12" s="30">
        <f t="shared" si="68"/>
        <v>0</v>
      </c>
      <c r="CA12" s="30">
        <f t="shared" si="68"/>
        <v>0</v>
      </c>
      <c r="CB12" s="30">
        <f t="shared" si="68"/>
        <v>0</v>
      </c>
      <c r="CC12" s="30">
        <f t="shared" si="68"/>
        <v>0</v>
      </c>
      <c r="CD12" s="30">
        <f t="shared" si="68"/>
        <v>0</v>
      </c>
      <c r="CE12" s="30">
        <f t="shared" si="68"/>
        <v>0</v>
      </c>
      <c r="CF12" s="30">
        <f t="shared" ref="CF12:CM12" si="69">IF((CF10-CF11)&gt;0,(CF10-CF11),0)</f>
        <v>0</v>
      </c>
      <c r="CG12" s="30">
        <f t="shared" si="69"/>
        <v>0</v>
      </c>
      <c r="CH12" s="30">
        <f t="shared" si="69"/>
        <v>0</v>
      </c>
      <c r="CI12" s="30">
        <f t="shared" si="69"/>
        <v>0</v>
      </c>
      <c r="CJ12" s="30">
        <f t="shared" si="69"/>
        <v>0</v>
      </c>
      <c r="CK12" s="30">
        <f t="shared" si="69"/>
        <v>0</v>
      </c>
      <c r="CL12" s="30">
        <f t="shared" si="69"/>
        <v>0</v>
      </c>
      <c r="CM12" s="30">
        <f t="shared" si="69"/>
        <v>0</v>
      </c>
      <c r="CN12" s="30">
        <f t="shared" ref="CN12:CT12" si="70">IF((CN10-CN11)&gt;0,(CN10-CN11),0)</f>
        <v>0</v>
      </c>
      <c r="CO12" s="30">
        <f t="shared" si="70"/>
        <v>0</v>
      </c>
      <c r="CP12" s="30">
        <f t="shared" si="70"/>
        <v>0</v>
      </c>
      <c r="CQ12" s="30">
        <f t="shared" si="70"/>
        <v>0</v>
      </c>
      <c r="CR12" s="30">
        <f t="shared" si="70"/>
        <v>0</v>
      </c>
      <c r="CS12" s="30">
        <f t="shared" si="70"/>
        <v>0</v>
      </c>
      <c r="CT12" s="30">
        <f t="shared" si="70"/>
        <v>0</v>
      </c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</row>
    <row r="13" spans="1:120">
      <c r="A13" s="38" t="s">
        <v>29</v>
      </c>
      <c r="B13" s="30">
        <f t="shared" ref="B13:BM13" si="71">B9-B11</f>
        <v>493708.05965547299</v>
      </c>
      <c r="C13" s="30">
        <f t="shared" si="71"/>
        <v>1320223.6582363294</v>
      </c>
      <c r="D13" s="30">
        <f t="shared" si="71"/>
        <v>2174289.7767698811</v>
      </c>
      <c r="E13" s="30">
        <f t="shared" si="71"/>
        <v>3001501.7912717639</v>
      </c>
      <c r="F13" s="30">
        <f>F9-F11</f>
        <v>3877156.803357136</v>
      </c>
      <c r="G13" s="30">
        <f t="shared" si="71"/>
        <v>4687137.6895361049</v>
      </c>
      <c r="H13" s="30">
        <f t="shared" si="71"/>
        <v>5471625.2256908482</v>
      </c>
      <c r="I13" s="30">
        <f t="shared" si="71"/>
        <v>6301293.1472977782</v>
      </c>
      <c r="J13" s="30">
        <f t="shared" si="71"/>
        <v>7104197.5875625489</v>
      </c>
      <c r="K13" s="30">
        <f t="shared" si="71"/>
        <v>7935117.0736372434</v>
      </c>
      <c r="L13" s="30">
        <f t="shared" si="71"/>
        <v>8784184.2444945239</v>
      </c>
      <c r="M13" s="30">
        <f t="shared" si="71"/>
        <v>9724030.0762793049</v>
      </c>
      <c r="N13" s="30">
        <f t="shared" si="71"/>
        <v>10888470.188390961</v>
      </c>
      <c r="O13" s="30">
        <f t="shared" si="71"/>
        <v>12256115.302101212</v>
      </c>
      <c r="P13" s="30">
        <f t="shared" si="71"/>
        <v>13669348.58626847</v>
      </c>
      <c r="Q13" s="30">
        <f t="shared" si="71"/>
        <v>15038247.374666288</v>
      </c>
      <c r="R13" s="30">
        <f t="shared" si="71"/>
        <v>16490344.574148146</v>
      </c>
      <c r="S13" s="30">
        <f t="shared" si="71"/>
        <v>17942441.773630004</v>
      </c>
      <c r="T13" s="30">
        <f t="shared" si="71"/>
        <v>19349013.904280797</v>
      </c>
      <c r="U13" s="30">
        <f t="shared" si="71"/>
        <v>23741238.265835591</v>
      </c>
      <c r="V13" s="30">
        <f t="shared" si="71"/>
        <v>28665165.425203133</v>
      </c>
      <c r="W13" s="30">
        <f t="shared" si="71"/>
        <v>33761854.888236307</v>
      </c>
      <c r="X13" s="30">
        <f t="shared" si="71"/>
        <v>38983699.627393447</v>
      </c>
      <c r="Y13" s="30">
        <f t="shared" si="71"/>
        <v>43700204.55308377</v>
      </c>
      <c r="Z13" s="30">
        <f t="shared" si="71"/>
        <v>48926733.043660179</v>
      </c>
      <c r="AA13" s="30">
        <f t="shared" si="71"/>
        <v>54120643.720906243</v>
      </c>
      <c r="AB13" s="30">
        <f t="shared" si="71"/>
        <v>59487684.754060507</v>
      </c>
      <c r="AC13" s="30">
        <f t="shared" si="71"/>
        <v>64686409.417036124</v>
      </c>
      <c r="AD13" s="30">
        <f t="shared" si="71"/>
        <v>70202684.007806703</v>
      </c>
      <c r="AE13" s="30">
        <f t="shared" si="71"/>
        <v>75718958.598577291</v>
      </c>
      <c r="AF13" s="30">
        <f t="shared" si="71"/>
        <v>81062291.060869485</v>
      </c>
      <c r="AG13" s="30">
        <f t="shared" si="71"/>
        <v>86733634.259580612</v>
      </c>
      <c r="AH13" s="30">
        <f t="shared" si="71"/>
        <v>92222030.903494611</v>
      </c>
      <c r="AI13" s="30">
        <f t="shared" si="71"/>
        <v>97903547.96339196</v>
      </c>
      <c r="AJ13" s="30">
        <f t="shared" si="71"/>
        <v>103732586.01048948</v>
      </c>
      <c r="AK13" s="30">
        <f t="shared" si="71"/>
        <v>109185557.08680651</v>
      </c>
      <c r="AL13" s="30">
        <f t="shared" si="71"/>
        <v>115019880.96410444</v>
      </c>
      <c r="AM13" s="30">
        <f t="shared" si="71"/>
        <v>120819460.43182415</v>
      </c>
      <c r="AN13" s="30">
        <f t="shared" si="71"/>
        <v>126812359.21513452</v>
      </c>
      <c r="AO13" s="30">
        <f t="shared" si="71"/>
        <v>132602272.71707469</v>
      </c>
      <c r="AP13" s="30">
        <f t="shared" si="71"/>
        <v>138295526.56121954</v>
      </c>
      <c r="AQ13" s="30">
        <f t="shared" si="71"/>
        <v>143988780.40536439</v>
      </c>
      <c r="AR13" s="30">
        <f t="shared" si="71"/>
        <v>149488714.9339186</v>
      </c>
      <c r="AS13" s="30">
        <f t="shared" si="71"/>
        <v>154882323.83889791</v>
      </c>
      <c r="AT13" s="30">
        <f t="shared" si="71"/>
        <v>160101945.35984564</v>
      </c>
      <c r="AU13" s="30">
        <f t="shared" si="71"/>
        <v>115155204.4850179</v>
      </c>
      <c r="AV13" s="30">
        <f t="shared" si="71"/>
        <v>120249168.45083171</v>
      </c>
      <c r="AW13" s="30">
        <f t="shared" si="71"/>
        <v>124850168.16188934</v>
      </c>
      <c r="AX13" s="30">
        <f t="shared" si="71"/>
        <v>114981217.1009863</v>
      </c>
      <c r="AY13" s="30">
        <f t="shared" si="71"/>
        <v>119620880.67516208</v>
      </c>
      <c r="AZ13" s="30">
        <f t="shared" si="71"/>
        <v>124415199.70181036</v>
      </c>
      <c r="BA13" s="30">
        <f t="shared" si="71"/>
        <v>114971551.13520676</v>
      </c>
      <c r="BB13" s="30">
        <f t="shared" si="71"/>
        <v>119466225.22268954</v>
      </c>
      <c r="BC13" s="30">
        <f t="shared" si="71"/>
        <v>123960899.31017232</v>
      </c>
      <c r="BD13" s="30">
        <f t="shared" si="71"/>
        <v>114961885.16942723</v>
      </c>
      <c r="BE13" s="30">
        <f t="shared" si="71"/>
        <v>119156914.31774448</v>
      </c>
      <c r="BF13" s="30">
        <f t="shared" si="71"/>
        <v>123216619.94514827</v>
      </c>
      <c r="BG13" s="30">
        <f t="shared" si="71"/>
        <v>115077876.75878161</v>
      </c>
      <c r="BH13" s="30">
        <f t="shared" si="71"/>
        <v>118973260.96793336</v>
      </c>
      <c r="BI13" s="30">
        <f t="shared" si="71"/>
        <v>122491672.51168332</v>
      </c>
      <c r="BJ13" s="30">
        <f t="shared" si="71"/>
        <v>114942553.23786816</v>
      </c>
      <c r="BK13" s="30">
        <f t="shared" si="71"/>
        <v>118422300.91849998</v>
      </c>
      <c r="BL13" s="30">
        <f t="shared" si="71"/>
        <v>122018040.18848619</v>
      </c>
      <c r="BM13" s="30">
        <f t="shared" si="71"/>
        <v>114932887.27208862</v>
      </c>
      <c r="BN13" s="30">
        <f t="shared" ref="BN13:CE13" si="72">BN9-BN11</f>
        <v>118228981.60290933</v>
      </c>
      <c r="BO13" s="30">
        <f t="shared" si="72"/>
        <v>121525075.93373004</v>
      </c>
      <c r="BP13" s="30">
        <f t="shared" si="72"/>
        <v>114923221.3063091</v>
      </c>
      <c r="BQ13" s="30">
        <f t="shared" si="72"/>
        <v>117919670.69796428</v>
      </c>
      <c r="BR13" s="30">
        <f t="shared" si="72"/>
        <v>120819460.43182415</v>
      </c>
      <c r="BS13" s="30">
        <f t="shared" si="72"/>
        <v>115000549.03254539</v>
      </c>
      <c r="BT13" s="30">
        <f t="shared" si="72"/>
        <v>117697353.48503506</v>
      </c>
      <c r="BU13" s="30">
        <f t="shared" si="72"/>
        <v>120133176.86147735</v>
      </c>
      <c r="BV13" s="30">
        <f t="shared" si="72"/>
        <v>114903889.37475008</v>
      </c>
      <c r="BW13" s="30">
        <f t="shared" si="72"/>
        <v>117223721.16183794</v>
      </c>
      <c r="BX13" s="30">
        <f t="shared" si="72"/>
        <v>119620880.67516208</v>
      </c>
      <c r="BY13" s="30">
        <f t="shared" si="72"/>
        <v>114894223.40897053</v>
      </c>
      <c r="BZ13" s="30">
        <f t="shared" si="72"/>
        <v>116991737.98312914</v>
      </c>
      <c r="CA13" s="30">
        <f t="shared" si="72"/>
        <v>119089252.55728775</v>
      </c>
      <c r="CB13" s="30">
        <f t="shared" si="72"/>
        <v>114884557.44319099</v>
      </c>
      <c r="CC13" s="30">
        <f t="shared" si="72"/>
        <v>116682427.07818413</v>
      </c>
      <c r="CD13" s="30">
        <f t="shared" si="72"/>
        <v>118422300.91850007</v>
      </c>
      <c r="CE13" s="30">
        <f t="shared" si="72"/>
        <v>114923221.30630919</v>
      </c>
      <c r="CF13" s="30">
        <f t="shared" ref="CF13:CM13" si="73">CF9-CF11</f>
        <v>116421446.0021368</v>
      </c>
      <c r="CG13" s="30">
        <f t="shared" si="73"/>
        <v>117823011.04016903</v>
      </c>
      <c r="CH13" s="30">
        <f t="shared" si="73"/>
        <v>114865225.51163197</v>
      </c>
      <c r="CI13" s="30">
        <f t="shared" si="73"/>
        <v>116025141.40517592</v>
      </c>
      <c r="CJ13" s="30">
        <f t="shared" si="73"/>
        <v>117223721.161838</v>
      </c>
      <c r="CK13" s="30">
        <f t="shared" si="73"/>
        <v>114855559.54585245</v>
      </c>
      <c r="CL13" s="30">
        <f t="shared" si="73"/>
        <v>115754494.36334899</v>
      </c>
      <c r="CM13" s="30">
        <f t="shared" si="73"/>
        <v>116653429.18084553</v>
      </c>
      <c r="CN13" s="30">
        <f t="shared" ref="CN13:CT13" si="74">CN9-CN11</f>
        <v>114845893.58007288</v>
      </c>
      <c r="CO13" s="30">
        <f t="shared" si="74"/>
        <v>115445183.45840394</v>
      </c>
      <c r="CP13" s="30">
        <f t="shared" si="74"/>
        <v>116025141.40517592</v>
      </c>
      <c r="CQ13" s="30">
        <f t="shared" si="74"/>
        <v>114845893.58007294</v>
      </c>
      <c r="CR13" s="30">
        <f t="shared" si="74"/>
        <v>115145538.51923847</v>
      </c>
      <c r="CS13" s="30">
        <f t="shared" si="74"/>
        <v>115416185.56106538</v>
      </c>
      <c r="CT13" s="30">
        <f t="shared" si="74"/>
        <v>114826561.64851388</v>
      </c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</row>
    <row r="14" spans="1:120">
      <c r="A14" s="38" t="s">
        <v>30</v>
      </c>
      <c r="B14" s="30">
        <f t="shared" ref="B14:BC14" si="75">B28</f>
        <v>0</v>
      </c>
      <c r="C14" s="30">
        <f t="shared" si="75"/>
        <v>0</v>
      </c>
      <c r="D14" s="30">
        <f t="shared" si="75"/>
        <v>0</v>
      </c>
      <c r="E14" s="30">
        <f t="shared" si="75"/>
        <v>0</v>
      </c>
      <c r="F14" s="30">
        <f t="shared" si="75"/>
        <v>0</v>
      </c>
      <c r="G14" s="30">
        <f t="shared" si="75"/>
        <v>0</v>
      </c>
      <c r="H14" s="30">
        <f t="shared" si="75"/>
        <v>0</v>
      </c>
      <c r="I14" s="30">
        <f t="shared" si="75"/>
        <v>0</v>
      </c>
      <c r="J14" s="30">
        <f t="shared" si="75"/>
        <v>0</v>
      </c>
      <c r="K14" s="30">
        <f t="shared" si="75"/>
        <v>0</v>
      </c>
      <c r="L14" s="30">
        <f t="shared" si="75"/>
        <v>0</v>
      </c>
      <c r="M14" s="30">
        <f t="shared" si="75"/>
        <v>0</v>
      </c>
      <c r="N14" s="30">
        <f t="shared" si="75"/>
        <v>0</v>
      </c>
      <c r="O14" s="30">
        <f t="shared" si="75"/>
        <v>0</v>
      </c>
      <c r="P14" s="30">
        <f t="shared" si="75"/>
        <v>0</v>
      </c>
      <c r="Q14" s="30">
        <f t="shared" si="75"/>
        <v>0</v>
      </c>
      <c r="R14" s="30">
        <f t="shared" si="75"/>
        <v>0</v>
      </c>
      <c r="S14" s="30">
        <f t="shared" si="75"/>
        <v>0</v>
      </c>
      <c r="T14" s="30">
        <f t="shared" si="75"/>
        <v>0</v>
      </c>
      <c r="U14" s="30">
        <f t="shared" si="75"/>
        <v>0</v>
      </c>
      <c r="V14" s="30">
        <f t="shared" si="75"/>
        <v>0</v>
      </c>
      <c r="W14" s="30">
        <f t="shared" si="75"/>
        <v>0</v>
      </c>
      <c r="X14" s="30">
        <f t="shared" si="75"/>
        <v>0</v>
      </c>
      <c r="Y14" s="30">
        <f t="shared" si="75"/>
        <v>0</v>
      </c>
      <c r="Z14" s="30">
        <f t="shared" si="75"/>
        <v>0</v>
      </c>
      <c r="AA14" s="30">
        <f t="shared" si="75"/>
        <v>0</v>
      </c>
      <c r="AB14" s="30">
        <f t="shared" si="75"/>
        <v>0</v>
      </c>
      <c r="AC14" s="30">
        <f t="shared" si="75"/>
        <v>0</v>
      </c>
      <c r="AD14" s="30">
        <f t="shared" si="75"/>
        <v>0</v>
      </c>
      <c r="AE14" s="30">
        <f t="shared" si="75"/>
        <v>0</v>
      </c>
      <c r="AF14" s="30">
        <f t="shared" si="75"/>
        <v>0</v>
      </c>
      <c r="AG14" s="30">
        <f t="shared" si="75"/>
        <v>0</v>
      </c>
      <c r="AH14" s="30">
        <f t="shared" si="75"/>
        <v>0</v>
      </c>
      <c r="AI14" s="30">
        <f t="shared" si="75"/>
        <v>0</v>
      </c>
      <c r="AJ14" s="30">
        <f t="shared" si="75"/>
        <v>0</v>
      </c>
      <c r="AK14" s="30">
        <f t="shared" si="75"/>
        <v>0</v>
      </c>
      <c r="AL14" s="30">
        <f t="shared" si="75"/>
        <v>0</v>
      </c>
      <c r="AM14" s="30">
        <f t="shared" si="75"/>
        <v>0</v>
      </c>
      <c r="AN14" s="30">
        <f t="shared" si="75"/>
        <v>0</v>
      </c>
      <c r="AO14" s="30">
        <f t="shared" si="75"/>
        <v>0</v>
      </c>
      <c r="AP14" s="30">
        <f t="shared" si="75"/>
        <v>0</v>
      </c>
      <c r="AQ14" s="30">
        <f t="shared" si="75"/>
        <v>0</v>
      </c>
      <c r="AR14" s="30">
        <f t="shared" si="75"/>
        <v>0</v>
      </c>
      <c r="AS14" s="30">
        <f t="shared" si="75"/>
        <v>0</v>
      </c>
      <c r="AT14" s="30">
        <f t="shared" si="75"/>
        <v>0</v>
      </c>
      <c r="AU14" s="30">
        <f t="shared" si="75"/>
        <v>0</v>
      </c>
      <c r="AV14" s="30">
        <f t="shared" si="75"/>
        <v>0</v>
      </c>
      <c r="AW14" s="30">
        <f t="shared" si="75"/>
        <v>0</v>
      </c>
      <c r="AX14" s="30">
        <f t="shared" si="75"/>
        <v>0</v>
      </c>
      <c r="AY14" s="30">
        <f t="shared" si="75"/>
        <v>0</v>
      </c>
      <c r="AZ14" s="30">
        <f t="shared" si="75"/>
        <v>0</v>
      </c>
      <c r="BA14" s="30">
        <f t="shared" si="75"/>
        <v>0</v>
      </c>
      <c r="BB14" s="30">
        <f t="shared" si="75"/>
        <v>0</v>
      </c>
      <c r="BC14" s="30">
        <f t="shared" si="75"/>
        <v>0</v>
      </c>
      <c r="BD14" s="30">
        <f t="shared" ref="BD14:BR14" si="76">BD28</f>
        <v>0</v>
      </c>
      <c r="BE14" s="30">
        <f t="shared" si="76"/>
        <v>0</v>
      </c>
      <c r="BF14" s="30">
        <f t="shared" si="76"/>
        <v>0</v>
      </c>
      <c r="BG14" s="30">
        <f t="shared" si="76"/>
        <v>0</v>
      </c>
      <c r="BH14" s="30">
        <f t="shared" si="76"/>
        <v>0</v>
      </c>
      <c r="BI14" s="30">
        <f t="shared" si="76"/>
        <v>0</v>
      </c>
      <c r="BJ14" s="30">
        <f t="shared" si="76"/>
        <v>0</v>
      </c>
      <c r="BK14" s="30">
        <f t="shared" si="76"/>
        <v>0</v>
      </c>
      <c r="BL14" s="30">
        <f t="shared" si="76"/>
        <v>0</v>
      </c>
      <c r="BM14" s="30">
        <f t="shared" si="76"/>
        <v>0</v>
      </c>
      <c r="BN14" s="30">
        <f t="shared" si="76"/>
        <v>0</v>
      </c>
      <c r="BO14" s="30">
        <f t="shared" si="76"/>
        <v>0</v>
      </c>
      <c r="BP14" s="30">
        <f t="shared" si="76"/>
        <v>0</v>
      </c>
      <c r="BQ14" s="30">
        <f t="shared" si="76"/>
        <v>0</v>
      </c>
      <c r="BR14" s="30">
        <f t="shared" si="76"/>
        <v>0</v>
      </c>
      <c r="BS14" s="30">
        <f t="shared" ref="BS14:CE14" si="77">BS28</f>
        <v>0</v>
      </c>
      <c r="BT14" s="30">
        <f t="shared" si="77"/>
        <v>0</v>
      </c>
      <c r="BU14" s="30">
        <f t="shared" si="77"/>
        <v>0</v>
      </c>
      <c r="BV14" s="30">
        <f t="shared" si="77"/>
        <v>0</v>
      </c>
      <c r="BW14" s="30">
        <f t="shared" si="77"/>
        <v>0</v>
      </c>
      <c r="BX14" s="30">
        <f t="shared" si="77"/>
        <v>0</v>
      </c>
      <c r="BY14" s="30">
        <f t="shared" si="77"/>
        <v>0</v>
      </c>
      <c r="BZ14" s="30">
        <f t="shared" si="77"/>
        <v>0</v>
      </c>
      <c r="CA14" s="30">
        <f t="shared" si="77"/>
        <v>0</v>
      </c>
      <c r="CB14" s="30">
        <f t="shared" si="77"/>
        <v>0</v>
      </c>
      <c r="CC14" s="30">
        <f t="shared" si="77"/>
        <v>0</v>
      </c>
      <c r="CD14" s="30">
        <f t="shared" si="77"/>
        <v>0</v>
      </c>
      <c r="CE14" s="30">
        <f t="shared" si="77"/>
        <v>0</v>
      </c>
      <c r="CF14" s="30">
        <f t="shared" ref="CF14:CM14" si="78">CF28</f>
        <v>0</v>
      </c>
      <c r="CG14" s="30">
        <f t="shared" si="78"/>
        <v>0</v>
      </c>
      <c r="CH14" s="30">
        <f t="shared" si="78"/>
        <v>0</v>
      </c>
      <c r="CI14" s="30">
        <f t="shared" si="78"/>
        <v>0</v>
      </c>
      <c r="CJ14" s="30">
        <f t="shared" si="78"/>
        <v>0</v>
      </c>
      <c r="CK14" s="30">
        <f t="shared" si="78"/>
        <v>0</v>
      </c>
      <c r="CL14" s="30">
        <f t="shared" si="78"/>
        <v>0</v>
      </c>
      <c r="CM14" s="30">
        <f t="shared" si="78"/>
        <v>0</v>
      </c>
      <c r="CN14" s="30">
        <f t="shared" ref="CN14:CT14" si="79">CN28</f>
        <v>0</v>
      </c>
      <c r="CO14" s="30">
        <f t="shared" si="79"/>
        <v>0</v>
      </c>
      <c r="CP14" s="30">
        <f t="shared" si="79"/>
        <v>0</v>
      </c>
      <c r="CQ14" s="30">
        <f t="shared" si="79"/>
        <v>0</v>
      </c>
      <c r="CR14" s="30">
        <f t="shared" si="79"/>
        <v>0</v>
      </c>
      <c r="CS14" s="30">
        <f t="shared" si="79"/>
        <v>0</v>
      </c>
      <c r="CT14" s="30">
        <f t="shared" si="79"/>
        <v>0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</row>
    <row r="15" spans="1:120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</row>
    <row r="16" spans="1:120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</row>
    <row r="17" spans="1:120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</row>
    <row r="18" spans="1:120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</row>
    <row r="19" spans="1:120">
      <c r="B19" s="28">
        <f t="shared" ref="B19:BM19" si="80">B1</f>
        <v>42826</v>
      </c>
      <c r="C19" s="28">
        <f t="shared" si="80"/>
        <v>42856</v>
      </c>
      <c r="D19" s="28">
        <f t="shared" si="80"/>
        <v>42887</v>
      </c>
      <c r="E19" s="28">
        <f t="shared" si="80"/>
        <v>42917</v>
      </c>
      <c r="F19" s="28">
        <f t="shared" si="80"/>
        <v>42948</v>
      </c>
      <c r="G19" s="28">
        <f t="shared" si="80"/>
        <v>42979</v>
      </c>
      <c r="H19" s="28">
        <f t="shared" si="80"/>
        <v>43009</v>
      </c>
      <c r="I19" s="28">
        <f t="shared" si="80"/>
        <v>43040</v>
      </c>
      <c r="J19" s="28">
        <f t="shared" si="80"/>
        <v>43070</v>
      </c>
      <c r="K19" s="28">
        <f t="shared" si="80"/>
        <v>43101</v>
      </c>
      <c r="L19" s="28">
        <f t="shared" si="80"/>
        <v>43132</v>
      </c>
      <c r="M19" s="28">
        <f t="shared" si="80"/>
        <v>43160</v>
      </c>
      <c r="N19" s="28">
        <f t="shared" si="80"/>
        <v>43191</v>
      </c>
      <c r="O19" s="28">
        <f t="shared" si="80"/>
        <v>43221</v>
      </c>
      <c r="P19" s="28">
        <f t="shared" si="80"/>
        <v>43252</v>
      </c>
      <c r="Q19" s="28">
        <f t="shared" si="80"/>
        <v>43282</v>
      </c>
      <c r="R19" s="28">
        <f t="shared" si="80"/>
        <v>43313</v>
      </c>
      <c r="S19" s="28">
        <f t="shared" si="80"/>
        <v>43344</v>
      </c>
      <c r="T19" s="28">
        <f t="shared" si="80"/>
        <v>43374</v>
      </c>
      <c r="U19" s="28">
        <f t="shared" si="80"/>
        <v>43405</v>
      </c>
      <c r="V19" s="28">
        <f t="shared" si="80"/>
        <v>43435</v>
      </c>
      <c r="W19" s="28">
        <f t="shared" si="80"/>
        <v>43466</v>
      </c>
      <c r="X19" s="28">
        <f t="shared" si="80"/>
        <v>43497</v>
      </c>
      <c r="Y19" s="28">
        <f t="shared" si="80"/>
        <v>43525</v>
      </c>
      <c r="Z19" s="28">
        <f t="shared" si="80"/>
        <v>43556</v>
      </c>
      <c r="AA19" s="28">
        <f t="shared" si="80"/>
        <v>43586</v>
      </c>
      <c r="AB19" s="28">
        <f t="shared" si="80"/>
        <v>43617</v>
      </c>
      <c r="AC19" s="28">
        <f t="shared" si="80"/>
        <v>43647</v>
      </c>
      <c r="AD19" s="28">
        <f t="shared" si="80"/>
        <v>43678</v>
      </c>
      <c r="AE19" s="28">
        <f t="shared" si="80"/>
        <v>43709</v>
      </c>
      <c r="AF19" s="28">
        <f t="shared" si="80"/>
        <v>43739</v>
      </c>
      <c r="AG19" s="28">
        <f t="shared" si="80"/>
        <v>43770</v>
      </c>
      <c r="AH19" s="28">
        <f t="shared" si="80"/>
        <v>43800</v>
      </c>
      <c r="AI19" s="28">
        <f t="shared" si="80"/>
        <v>43831</v>
      </c>
      <c r="AJ19" s="28">
        <f t="shared" si="80"/>
        <v>43862</v>
      </c>
      <c r="AK19" s="28">
        <f t="shared" si="80"/>
        <v>43891</v>
      </c>
      <c r="AL19" s="28">
        <f t="shared" si="80"/>
        <v>43922</v>
      </c>
      <c r="AM19" s="28">
        <f t="shared" si="80"/>
        <v>43952</v>
      </c>
      <c r="AN19" s="28">
        <f t="shared" si="80"/>
        <v>43983</v>
      </c>
      <c r="AO19" s="28">
        <f t="shared" si="80"/>
        <v>44013</v>
      </c>
      <c r="AP19" s="28">
        <f t="shared" si="80"/>
        <v>44044</v>
      </c>
      <c r="AQ19" s="28">
        <f t="shared" si="80"/>
        <v>44075</v>
      </c>
      <c r="AR19" s="28">
        <f t="shared" si="80"/>
        <v>44105</v>
      </c>
      <c r="AS19" s="28">
        <f t="shared" si="80"/>
        <v>44136</v>
      </c>
      <c r="AT19" s="28">
        <f t="shared" si="80"/>
        <v>44166</v>
      </c>
      <c r="AU19" s="28">
        <f t="shared" si="80"/>
        <v>44197</v>
      </c>
      <c r="AV19" s="28">
        <f t="shared" si="80"/>
        <v>44228</v>
      </c>
      <c r="AW19" s="28">
        <f t="shared" si="80"/>
        <v>44256</v>
      </c>
      <c r="AX19" s="28">
        <f t="shared" si="80"/>
        <v>44287</v>
      </c>
      <c r="AY19" s="28">
        <f t="shared" si="80"/>
        <v>44317</v>
      </c>
      <c r="AZ19" s="28">
        <f t="shared" si="80"/>
        <v>44348</v>
      </c>
      <c r="BA19" s="28">
        <f t="shared" si="80"/>
        <v>44378</v>
      </c>
      <c r="BB19" s="28">
        <f t="shared" si="80"/>
        <v>44409</v>
      </c>
      <c r="BC19" s="28">
        <f t="shared" si="80"/>
        <v>44440</v>
      </c>
      <c r="BD19" s="28">
        <f t="shared" si="80"/>
        <v>44470</v>
      </c>
      <c r="BE19" s="28">
        <f t="shared" si="80"/>
        <v>44501</v>
      </c>
      <c r="BF19" s="28">
        <f t="shared" si="80"/>
        <v>44531</v>
      </c>
      <c r="BG19" s="28">
        <f t="shared" si="80"/>
        <v>44562</v>
      </c>
      <c r="BH19" s="28">
        <f t="shared" si="80"/>
        <v>44593</v>
      </c>
      <c r="BI19" s="28">
        <f t="shared" si="80"/>
        <v>44621</v>
      </c>
      <c r="BJ19" s="28">
        <f t="shared" si="80"/>
        <v>44652</v>
      </c>
      <c r="BK19" s="28">
        <f t="shared" si="80"/>
        <v>44682</v>
      </c>
      <c r="BL19" s="28">
        <f t="shared" si="80"/>
        <v>44713</v>
      </c>
      <c r="BM19" s="28">
        <f t="shared" si="80"/>
        <v>44743</v>
      </c>
      <c r="BN19" s="28">
        <f t="shared" ref="BN19:CF19" si="81">BN1</f>
        <v>44774</v>
      </c>
      <c r="BO19" s="28">
        <f t="shared" si="81"/>
        <v>44805</v>
      </c>
      <c r="BP19" s="28">
        <f t="shared" si="81"/>
        <v>44835</v>
      </c>
      <c r="BQ19" s="28">
        <f t="shared" si="81"/>
        <v>44866</v>
      </c>
      <c r="BR19" s="28">
        <f t="shared" si="81"/>
        <v>44896</v>
      </c>
      <c r="BS19" s="28">
        <f t="shared" si="81"/>
        <v>44927</v>
      </c>
      <c r="BT19" s="28">
        <f t="shared" si="81"/>
        <v>44958</v>
      </c>
      <c r="BU19" s="28">
        <f t="shared" si="81"/>
        <v>44986</v>
      </c>
      <c r="BV19" s="28">
        <f t="shared" si="81"/>
        <v>45017</v>
      </c>
      <c r="BW19" s="28">
        <f t="shared" si="81"/>
        <v>45047</v>
      </c>
      <c r="BX19" s="28">
        <f t="shared" si="81"/>
        <v>45078</v>
      </c>
      <c r="BY19" s="28">
        <f t="shared" si="81"/>
        <v>45108</v>
      </c>
      <c r="BZ19" s="28">
        <f t="shared" si="81"/>
        <v>45139</v>
      </c>
      <c r="CA19" s="28">
        <f t="shared" si="81"/>
        <v>45170</v>
      </c>
      <c r="CB19" s="28">
        <f t="shared" si="81"/>
        <v>45200</v>
      </c>
      <c r="CC19" s="28">
        <f t="shared" si="81"/>
        <v>45231</v>
      </c>
      <c r="CD19" s="28">
        <f t="shared" si="81"/>
        <v>45261</v>
      </c>
      <c r="CE19" s="28">
        <f t="shared" si="81"/>
        <v>45292</v>
      </c>
      <c r="CF19" s="28">
        <f t="shared" si="81"/>
        <v>45323</v>
      </c>
      <c r="CG19" s="28">
        <f t="shared" ref="CG19:CN19" si="82">CG1</f>
        <v>45352</v>
      </c>
      <c r="CH19" s="28">
        <f t="shared" si="82"/>
        <v>45383</v>
      </c>
      <c r="CI19" s="28">
        <f t="shared" si="82"/>
        <v>45413</v>
      </c>
      <c r="CJ19" s="28">
        <f t="shared" si="82"/>
        <v>45444</v>
      </c>
      <c r="CK19" s="28">
        <f t="shared" si="82"/>
        <v>45474</v>
      </c>
      <c r="CL19" s="28">
        <f t="shared" si="82"/>
        <v>45505</v>
      </c>
      <c r="CM19" s="28">
        <f t="shared" si="82"/>
        <v>45536</v>
      </c>
      <c r="CN19" s="28">
        <f t="shared" si="82"/>
        <v>45566</v>
      </c>
      <c r="CO19" s="28">
        <f t="shared" ref="CO19:CT19" si="83">CO1</f>
        <v>45597</v>
      </c>
      <c r="CP19" s="28">
        <f t="shared" si="83"/>
        <v>45627</v>
      </c>
      <c r="CQ19" s="28">
        <f t="shared" si="83"/>
        <v>45658</v>
      </c>
      <c r="CR19" s="28">
        <f t="shared" si="83"/>
        <v>45689</v>
      </c>
      <c r="CS19" s="28">
        <f t="shared" si="83"/>
        <v>45717</v>
      </c>
      <c r="CT19" s="28">
        <f t="shared" si="83"/>
        <v>45748</v>
      </c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</row>
    <row r="20" spans="1:120">
      <c r="A20" s="40" t="s">
        <v>31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</row>
    <row r="21" spans="1:120">
      <c r="A21" s="38" t="s">
        <v>32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>
        <f t="shared" ref="AL21" si="84">AL4-AK5</f>
        <v>0</v>
      </c>
      <c r="AM21" s="41"/>
      <c r="AN21" s="41"/>
      <c r="AO21" s="41">
        <v>0</v>
      </c>
      <c r="AP21" s="41"/>
      <c r="AQ21" s="41"/>
      <c r="AR21" s="41">
        <v>0</v>
      </c>
      <c r="AS21" s="41"/>
      <c r="AT21" s="41"/>
      <c r="AU21" s="41">
        <f t="shared" ref="AU21" si="85">AU4-AT5</f>
        <v>94902209.471777081</v>
      </c>
      <c r="AV21" s="41"/>
      <c r="AW21" s="41"/>
      <c r="AX21" s="41">
        <f t="shared" ref="AX21" si="86">AX4-AW5</f>
        <v>31634069.823925689</v>
      </c>
      <c r="AY21" s="41"/>
      <c r="AZ21" s="41"/>
      <c r="BA21" s="41">
        <f t="shared" ref="BA21" si="87">BA4-AZ5</f>
        <v>31634069.823925689</v>
      </c>
      <c r="BB21" s="41"/>
      <c r="BC21" s="41"/>
      <c r="BD21" s="41">
        <f t="shared" ref="BD21" si="88">BD4-BC5</f>
        <v>31634069.823925704</v>
      </c>
      <c r="BE21" s="41"/>
      <c r="BF21" s="41"/>
      <c r="BG21" s="41">
        <f t="shared" ref="BG21" si="89">BG4-BF5</f>
        <v>31634069.823925704</v>
      </c>
      <c r="BH21" s="41"/>
      <c r="BI21" s="41"/>
      <c r="BJ21" s="41">
        <f t="shared" ref="BJ21" si="90">BJ4-BI5</f>
        <v>31634069.823925704</v>
      </c>
      <c r="BK21" s="41"/>
      <c r="BL21" s="41"/>
      <c r="BM21" s="41">
        <f t="shared" ref="BM21" si="91">BM4-BL5</f>
        <v>31634069.823925674</v>
      </c>
      <c r="BN21" s="41"/>
      <c r="BO21" s="41"/>
      <c r="BP21" s="41">
        <f t="shared" ref="BP21" si="92">BP4-BO5</f>
        <v>31634069.823925674</v>
      </c>
      <c r="BQ21" s="41"/>
      <c r="BR21" s="41"/>
      <c r="BS21" s="41">
        <f t="shared" ref="BS21" si="93">BS4-BR5</f>
        <v>31634069.823925674</v>
      </c>
      <c r="BT21" s="41"/>
      <c r="BU21" s="41"/>
      <c r="BV21" s="41">
        <f t="shared" ref="BV21" si="94">BV4-BU5</f>
        <v>31634069.823925674</v>
      </c>
      <c r="BW21" s="41"/>
      <c r="BX21" s="41"/>
      <c r="BY21" s="41">
        <f t="shared" ref="BY21" si="95">BY4-BX5</f>
        <v>31634069.823925674</v>
      </c>
      <c r="BZ21" s="41"/>
      <c r="CA21" s="41"/>
      <c r="CB21" s="41">
        <f t="shared" ref="CB21" si="96">CB4-CA5</f>
        <v>31634069.823925674</v>
      </c>
      <c r="CC21" s="41"/>
      <c r="CD21" s="41"/>
      <c r="CE21" s="41">
        <f t="shared" ref="CE21" si="97">CE4-CD5</f>
        <v>31634069.823925674</v>
      </c>
      <c r="CF21" s="41"/>
      <c r="CG21" s="41"/>
      <c r="CH21" s="41">
        <f t="shared" ref="CH21" si="98">CH4-CG5</f>
        <v>31634069.823925674</v>
      </c>
      <c r="CI21" s="41"/>
      <c r="CJ21" s="41"/>
      <c r="CK21" s="41">
        <f t="shared" ref="CK21" si="99">CK4-CJ5</f>
        <v>31634069.823925674</v>
      </c>
      <c r="CL21" s="41"/>
      <c r="CM21" s="41"/>
      <c r="CN21" s="41">
        <f t="shared" ref="CN21" si="100">CN4-CM5</f>
        <v>31634069.823925734</v>
      </c>
      <c r="CO21" s="41"/>
      <c r="CP21" s="41"/>
      <c r="CQ21" s="41">
        <f t="shared" ref="CQ21" si="101">CQ4-CP5</f>
        <v>31634069.823925734</v>
      </c>
      <c r="CR21" s="41"/>
      <c r="CS21" s="41"/>
      <c r="CT21" s="41">
        <f t="shared" ref="CT21" si="102">CT4-CS5</f>
        <v>31634069.823925734</v>
      </c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M21" s="41"/>
      <c r="DP21" s="41"/>
    </row>
    <row r="22" spans="1:120">
      <c r="A22" s="38" t="s">
        <v>33</v>
      </c>
      <c r="B22" s="30">
        <f>B21</f>
        <v>0</v>
      </c>
      <c r="C22" s="30">
        <f t="shared" ref="C22:AN22" si="103">B22+C21</f>
        <v>0</v>
      </c>
      <c r="D22" s="30">
        <f t="shared" si="103"/>
        <v>0</v>
      </c>
      <c r="E22" s="30">
        <f t="shared" si="103"/>
        <v>0</v>
      </c>
      <c r="F22" s="30">
        <f t="shared" si="103"/>
        <v>0</v>
      </c>
      <c r="G22" s="30">
        <f t="shared" si="103"/>
        <v>0</v>
      </c>
      <c r="H22" s="30">
        <f t="shared" si="103"/>
        <v>0</v>
      </c>
      <c r="I22" s="30">
        <f t="shared" si="103"/>
        <v>0</v>
      </c>
      <c r="J22" s="30">
        <f t="shared" si="103"/>
        <v>0</v>
      </c>
      <c r="K22" s="30">
        <f t="shared" si="103"/>
        <v>0</v>
      </c>
      <c r="L22" s="30">
        <f t="shared" si="103"/>
        <v>0</v>
      </c>
      <c r="M22" s="30">
        <f t="shared" si="103"/>
        <v>0</v>
      </c>
      <c r="N22" s="30">
        <f t="shared" si="103"/>
        <v>0</v>
      </c>
      <c r="O22" s="30">
        <f t="shared" si="103"/>
        <v>0</v>
      </c>
      <c r="P22" s="30">
        <f t="shared" si="103"/>
        <v>0</v>
      </c>
      <c r="Q22" s="30">
        <f t="shared" si="103"/>
        <v>0</v>
      </c>
      <c r="R22" s="30">
        <f t="shared" si="103"/>
        <v>0</v>
      </c>
      <c r="S22" s="30">
        <f t="shared" si="103"/>
        <v>0</v>
      </c>
      <c r="T22" s="30">
        <f t="shared" si="103"/>
        <v>0</v>
      </c>
      <c r="U22" s="30">
        <f t="shared" si="103"/>
        <v>0</v>
      </c>
      <c r="V22" s="30">
        <f t="shared" si="103"/>
        <v>0</v>
      </c>
      <c r="W22" s="30">
        <f t="shared" si="103"/>
        <v>0</v>
      </c>
      <c r="X22" s="30">
        <f t="shared" si="103"/>
        <v>0</v>
      </c>
      <c r="Y22" s="30">
        <f t="shared" si="103"/>
        <v>0</v>
      </c>
      <c r="Z22" s="30">
        <f t="shared" si="103"/>
        <v>0</v>
      </c>
      <c r="AA22" s="30">
        <f t="shared" si="103"/>
        <v>0</v>
      </c>
      <c r="AB22" s="30">
        <f t="shared" si="103"/>
        <v>0</v>
      </c>
      <c r="AC22" s="30">
        <f t="shared" si="103"/>
        <v>0</v>
      </c>
      <c r="AD22" s="30">
        <f t="shared" si="103"/>
        <v>0</v>
      </c>
      <c r="AE22" s="30">
        <f t="shared" si="103"/>
        <v>0</v>
      </c>
      <c r="AF22" s="30">
        <f t="shared" si="103"/>
        <v>0</v>
      </c>
      <c r="AG22" s="30">
        <f t="shared" si="103"/>
        <v>0</v>
      </c>
      <c r="AH22" s="30">
        <f t="shared" si="103"/>
        <v>0</v>
      </c>
      <c r="AI22" s="30">
        <f t="shared" si="103"/>
        <v>0</v>
      </c>
      <c r="AJ22" s="30">
        <f t="shared" si="103"/>
        <v>0</v>
      </c>
      <c r="AK22" s="30">
        <f t="shared" si="103"/>
        <v>0</v>
      </c>
      <c r="AL22" s="30">
        <f t="shared" si="103"/>
        <v>0</v>
      </c>
      <c r="AM22" s="30">
        <f t="shared" si="103"/>
        <v>0</v>
      </c>
      <c r="AN22" s="30">
        <f t="shared" si="103"/>
        <v>0</v>
      </c>
      <c r="AO22" s="30">
        <f t="shared" ref="AO22" si="104">AN22+AO21</f>
        <v>0</v>
      </c>
      <c r="AP22" s="30">
        <f t="shared" ref="AP22" si="105">AO22+AP21</f>
        <v>0</v>
      </c>
      <c r="AQ22" s="30">
        <f t="shared" ref="AQ22" si="106">AP22+AQ21</f>
        <v>0</v>
      </c>
      <c r="AR22" s="30">
        <f t="shared" ref="AR22" si="107">AQ22+AR21</f>
        <v>0</v>
      </c>
      <c r="AS22" s="30">
        <f t="shared" ref="AS22" si="108">AR22+AS21</f>
        <v>0</v>
      </c>
      <c r="AT22" s="30">
        <f t="shared" ref="AT22" si="109">AS22+AT21</f>
        <v>0</v>
      </c>
      <c r="AU22" s="30">
        <f t="shared" ref="AU22" si="110">AT22+AU21</f>
        <v>94902209.471777081</v>
      </c>
      <c r="AV22" s="30">
        <f t="shared" ref="AV22" si="111">AU22+AV21</f>
        <v>94902209.471777081</v>
      </c>
      <c r="AW22" s="30">
        <f t="shared" ref="AW22" si="112">AV22+AW21</f>
        <v>94902209.471777081</v>
      </c>
      <c r="AX22" s="30">
        <f t="shared" ref="AX22" si="113">AW22+AX21</f>
        <v>126536279.29570277</v>
      </c>
      <c r="AY22" s="30">
        <f t="shared" ref="AY22" si="114">AX22+AY21</f>
        <v>126536279.29570277</v>
      </c>
      <c r="AZ22" s="30">
        <f t="shared" ref="AZ22" si="115">AY22+AZ21</f>
        <v>126536279.29570277</v>
      </c>
      <c r="BA22" s="30">
        <f t="shared" ref="BA22" si="116">AZ22+BA21</f>
        <v>158170349.11962846</v>
      </c>
      <c r="BB22" s="30">
        <f t="shared" ref="BB22" si="117">BA22+BB21</f>
        <v>158170349.11962846</v>
      </c>
      <c r="BC22" s="30">
        <f t="shared" ref="BC22" si="118">BB22+BC21</f>
        <v>158170349.11962846</v>
      </c>
      <c r="BD22" s="30">
        <f t="shared" ref="BD22" si="119">BC22+BD21</f>
        <v>189804418.94355416</v>
      </c>
      <c r="BE22" s="30">
        <f t="shared" ref="BE22" si="120">BD22+BE21</f>
        <v>189804418.94355416</v>
      </c>
      <c r="BF22" s="30">
        <f t="shared" ref="BF22" si="121">BE22+BF21</f>
        <v>189804418.94355416</v>
      </c>
      <c r="BG22" s="30">
        <f t="shared" ref="BG22" si="122">BF22+BG21</f>
        <v>221438488.76747987</v>
      </c>
      <c r="BH22" s="30">
        <f t="shared" ref="BH22" si="123">BG22+BH21</f>
        <v>221438488.76747987</v>
      </c>
      <c r="BI22" s="30">
        <f t="shared" ref="BI22" si="124">BH22+BI21</f>
        <v>221438488.76747987</v>
      </c>
      <c r="BJ22" s="30">
        <f t="shared" ref="BJ22" si="125">BI22+BJ21</f>
        <v>253072558.59140557</v>
      </c>
      <c r="BK22" s="30">
        <f t="shared" ref="BK22" si="126">BJ22+BK21</f>
        <v>253072558.59140557</v>
      </c>
      <c r="BL22" s="30">
        <f t="shared" ref="BL22" si="127">BK22+BL21</f>
        <v>253072558.59140557</v>
      </c>
      <c r="BM22" s="30">
        <f t="shared" ref="BM22" si="128">BL22+BM21</f>
        <v>284706628.41533124</v>
      </c>
      <c r="BN22" s="30">
        <f t="shared" ref="BN22" si="129">BM22+BN21</f>
        <v>284706628.41533124</v>
      </c>
      <c r="BO22" s="30">
        <f t="shared" ref="BO22" si="130">BN22+BO21</f>
        <v>284706628.41533124</v>
      </c>
      <c r="BP22" s="30">
        <f t="shared" ref="BP22" si="131">BO22+BP21</f>
        <v>316340698.23925692</v>
      </c>
      <c r="BQ22" s="30">
        <f t="shared" ref="BQ22" si="132">BP22+BQ21</f>
        <v>316340698.23925692</v>
      </c>
      <c r="BR22" s="30">
        <f t="shared" ref="BR22" si="133">BQ22+BR21</f>
        <v>316340698.23925692</v>
      </c>
      <c r="BS22" s="30">
        <f t="shared" ref="BS22" si="134">BR22+BS21</f>
        <v>347974768.06318259</v>
      </c>
      <c r="BT22" s="30">
        <f t="shared" ref="BT22" si="135">BS22+BT21</f>
        <v>347974768.06318259</v>
      </c>
      <c r="BU22" s="30">
        <f t="shared" ref="BU22" si="136">BT22+BU21</f>
        <v>347974768.06318259</v>
      </c>
      <c r="BV22" s="30">
        <f t="shared" ref="BV22" si="137">BU22+BV21</f>
        <v>379608837.88710827</v>
      </c>
      <c r="BW22" s="30">
        <f t="shared" ref="BW22" si="138">BV22+BW21</f>
        <v>379608837.88710827</v>
      </c>
      <c r="BX22" s="30">
        <f t="shared" ref="BX22" si="139">BW22+BX21</f>
        <v>379608837.88710827</v>
      </c>
      <c r="BY22" s="30">
        <f t="shared" ref="BY22" si="140">BX22+BY21</f>
        <v>411242907.71103394</v>
      </c>
      <c r="BZ22" s="30">
        <f t="shared" ref="BZ22" si="141">BY22+BZ21</f>
        <v>411242907.71103394</v>
      </c>
      <c r="CA22" s="30">
        <f t="shared" ref="CA22" si="142">BZ22+CA21</f>
        <v>411242907.71103394</v>
      </c>
      <c r="CB22" s="30">
        <f t="shared" ref="CB22" si="143">CA22+CB21</f>
        <v>442876977.53495961</v>
      </c>
      <c r="CC22" s="30">
        <f t="shared" ref="CC22" si="144">CB22+CC21</f>
        <v>442876977.53495961</v>
      </c>
      <c r="CD22" s="30">
        <f t="shared" ref="CD22" si="145">CC22+CD21</f>
        <v>442876977.53495961</v>
      </c>
      <c r="CE22" s="30">
        <f t="shared" ref="CE22" si="146">CD22+CE21</f>
        <v>474511047.35888529</v>
      </c>
      <c r="CF22" s="30">
        <f t="shared" ref="CF22" si="147">CE22+CF21</f>
        <v>474511047.35888529</v>
      </c>
      <c r="CG22" s="30">
        <f t="shared" ref="CG22" si="148">CF22+CG21</f>
        <v>474511047.35888529</v>
      </c>
      <c r="CH22" s="30">
        <f t="shared" ref="CH22" si="149">CG22+CH21</f>
        <v>506145117.18281096</v>
      </c>
      <c r="CI22" s="30">
        <f t="shared" ref="CI22" si="150">CH22+CI21</f>
        <v>506145117.18281096</v>
      </c>
      <c r="CJ22" s="30">
        <f t="shared" ref="CJ22" si="151">CI22+CJ21</f>
        <v>506145117.18281096</v>
      </c>
      <c r="CK22" s="30">
        <f t="shared" ref="CK22" si="152">CJ22+CK21</f>
        <v>537779187.00673664</v>
      </c>
      <c r="CL22" s="30">
        <f t="shared" ref="CL22" si="153">CK22+CL21</f>
        <v>537779187.00673664</v>
      </c>
      <c r="CM22" s="30">
        <f t="shared" ref="CM22" si="154">CL22+CM21</f>
        <v>537779187.00673664</v>
      </c>
      <c r="CN22" s="30">
        <f t="shared" ref="CN22" si="155">CM22+CN21</f>
        <v>569413256.83066237</v>
      </c>
      <c r="CO22" s="30">
        <f t="shared" ref="CO22" si="156">CN22+CO21</f>
        <v>569413256.83066237</v>
      </c>
      <c r="CP22" s="30">
        <f t="shared" ref="CP22" si="157">CO22+CP21</f>
        <v>569413256.83066237</v>
      </c>
      <c r="CQ22" s="30">
        <f t="shared" ref="CQ22" si="158">CP22+CQ21</f>
        <v>601047326.6545881</v>
      </c>
      <c r="CR22" s="30">
        <f t="shared" ref="CR22" si="159">CQ22+CR21</f>
        <v>601047326.6545881</v>
      </c>
      <c r="CS22" s="30">
        <f t="shared" ref="CS22" si="160">CR22+CS21</f>
        <v>601047326.6545881</v>
      </c>
      <c r="CT22" s="30">
        <f t="shared" ref="CT22" si="161">CS22+CT21</f>
        <v>632681396.47851384</v>
      </c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</row>
    <row r="23" spans="1:120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</row>
    <row r="24" spans="1:120">
      <c r="A24" s="40" t="s">
        <v>34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</row>
    <row r="25" spans="1:120" s="73" customFormat="1">
      <c r="A25" s="38" t="s">
        <v>35</v>
      </c>
      <c r="B25" s="41">
        <v>0</v>
      </c>
      <c r="C25" s="30">
        <v>0</v>
      </c>
      <c r="D25" s="41"/>
      <c r="E25" s="41"/>
      <c r="F25" s="30"/>
      <c r="G25" s="41"/>
      <c r="H25" s="41"/>
      <c r="I25" s="30"/>
      <c r="J25" s="41"/>
      <c r="K25" s="41"/>
      <c r="L25" s="41">
        <v>0</v>
      </c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>
        <f t="shared" ref="AL25" si="162">AL10-AK11</f>
        <v>0</v>
      </c>
      <c r="AM25" s="41"/>
      <c r="AN25" s="41"/>
      <c r="AO25" s="41">
        <v>0</v>
      </c>
      <c r="AP25" s="41"/>
      <c r="AQ25" s="41"/>
      <c r="AR25" s="41">
        <v>0</v>
      </c>
      <c r="AS25" s="41"/>
      <c r="AT25" s="41"/>
      <c r="AU25" s="41">
        <f t="shared" ref="AU25" si="163">AU10-AT11</f>
        <v>50321017.848248012</v>
      </c>
      <c r="AV25" s="41"/>
      <c r="AW25" s="41"/>
      <c r="AX25" s="41">
        <f t="shared" ref="AX25" si="164">AX10-AW11</f>
        <v>14953249.060937315</v>
      </c>
      <c r="AY25" s="41"/>
      <c r="AZ25" s="41"/>
      <c r="BA25" s="41">
        <f t="shared" ref="BA25" si="165">BA10-AZ11</f>
        <v>14073646.174999826</v>
      </c>
      <c r="BB25" s="41"/>
      <c r="BC25" s="41"/>
      <c r="BD25" s="41">
        <f t="shared" ref="BD25" si="166">BD10-BC11</f>
        <v>13339032.775755331</v>
      </c>
      <c r="BE25" s="41"/>
      <c r="BF25" s="41"/>
      <c r="BG25" s="41">
        <f t="shared" ref="BG25" si="167">BG10-BF11</f>
        <v>12314440.403124854</v>
      </c>
      <c r="BH25" s="41"/>
      <c r="BI25" s="41"/>
      <c r="BJ25" s="41">
        <f t="shared" ref="BJ25" si="168">BJ10-BI11</f>
        <v>11434837.517187357</v>
      </c>
      <c r="BK25" s="41"/>
      <c r="BL25" s="41"/>
      <c r="BM25" s="41">
        <f t="shared" ref="BM25" si="169">BM10-BL11</f>
        <v>10555234.631249875</v>
      </c>
      <c r="BN25" s="41"/>
      <c r="BO25" s="41"/>
      <c r="BP25" s="41">
        <f t="shared" ref="BP25" si="170">BP10-BO11</f>
        <v>9781957.3688872457</v>
      </c>
      <c r="BQ25" s="41"/>
      <c r="BR25" s="41"/>
      <c r="BS25" s="41">
        <f t="shared" ref="BS25" si="171">BS10-BR11</f>
        <v>8796028.8593748808</v>
      </c>
      <c r="BT25" s="41"/>
      <c r="BU25" s="41"/>
      <c r="BV25" s="41">
        <f t="shared" ref="BV25" si="172">BV10-BU11</f>
        <v>7916425.9734373987</v>
      </c>
      <c r="BW25" s="41"/>
      <c r="BX25" s="41"/>
      <c r="BY25" s="41">
        <f t="shared" ref="BY25" si="173">BY10-BX11</f>
        <v>7036823.0874999166</v>
      </c>
      <c r="BZ25" s="41"/>
      <c r="CA25" s="41"/>
      <c r="CB25" s="41">
        <f t="shared" ref="CB25" si="174">CB10-CA11</f>
        <v>6224881.9620191455</v>
      </c>
      <c r="CC25" s="41"/>
      <c r="CD25" s="41"/>
      <c r="CE25" s="41">
        <f t="shared" ref="CE25" si="175">CE10-CD11</f>
        <v>5277617.3156249225</v>
      </c>
      <c r="CF25" s="41"/>
      <c r="CG25" s="41"/>
      <c r="CH25" s="41">
        <f t="shared" ref="CH25" si="176">CH10-CG11</f>
        <v>4446344.2585851252</v>
      </c>
      <c r="CI25" s="41"/>
      <c r="CJ25" s="41"/>
      <c r="CK25" s="41">
        <f t="shared" ref="CK25" si="177">CK10-CJ11</f>
        <v>3518411.5437499583</v>
      </c>
      <c r="CL25" s="41"/>
      <c r="CM25" s="41"/>
      <c r="CN25" s="41">
        <f t="shared" ref="CN25" si="178">CN10-CM11</f>
        <v>2667806.5551510751</v>
      </c>
      <c r="CO25" s="41"/>
      <c r="CP25" s="41"/>
      <c r="CQ25" s="41">
        <f t="shared" ref="CQ25" si="179">CQ10-CP11</f>
        <v>1759205.7718749642</v>
      </c>
      <c r="CR25" s="41"/>
      <c r="CS25" s="41"/>
      <c r="CT25" s="41">
        <f t="shared" ref="CT25" si="180">CT10-CS11</f>
        <v>715281.46768543124</v>
      </c>
      <c r="CU25" s="41"/>
      <c r="CV25" s="72"/>
      <c r="CW25" s="72"/>
      <c r="CX25" s="41"/>
      <c r="CY25" s="72"/>
      <c r="CZ25" s="72"/>
      <c r="DA25" s="41"/>
      <c r="DB25" s="72"/>
      <c r="DC25" s="72"/>
      <c r="DD25" s="41"/>
      <c r="DE25" s="72"/>
      <c r="DF25" s="72"/>
      <c r="DG25" s="41"/>
      <c r="DH25" s="72"/>
      <c r="DI25" s="72"/>
      <c r="DJ25" s="41"/>
      <c r="DM25" s="41"/>
      <c r="DP25" s="41"/>
    </row>
    <row r="26" spans="1:120">
      <c r="A26" s="38" t="s">
        <v>36</v>
      </c>
      <c r="B26" s="30">
        <f>+B25</f>
        <v>0</v>
      </c>
      <c r="C26" s="30">
        <f>B26+C25</f>
        <v>0</v>
      </c>
      <c r="D26" s="30">
        <f>C26+D25</f>
        <v>0</v>
      </c>
      <c r="E26" s="30">
        <f>D26+E25</f>
        <v>0</v>
      </c>
      <c r="F26" s="30">
        <f>E26+F25</f>
        <v>0</v>
      </c>
      <c r="G26" s="30">
        <f t="shared" ref="G26:L26" si="181">F26+G25</f>
        <v>0</v>
      </c>
      <c r="H26" s="30">
        <f t="shared" si="181"/>
        <v>0</v>
      </c>
      <c r="I26" s="30">
        <f t="shared" si="181"/>
        <v>0</v>
      </c>
      <c r="J26" s="30">
        <f t="shared" si="181"/>
        <v>0</v>
      </c>
      <c r="K26" s="30">
        <f>J26+K25</f>
        <v>0</v>
      </c>
      <c r="L26" s="30">
        <f t="shared" si="181"/>
        <v>0</v>
      </c>
      <c r="M26" s="30">
        <f t="shared" ref="M26:AN26" si="182">L26+M25</f>
        <v>0</v>
      </c>
      <c r="N26" s="30">
        <f t="shared" si="182"/>
        <v>0</v>
      </c>
      <c r="O26" s="30">
        <f t="shared" si="182"/>
        <v>0</v>
      </c>
      <c r="P26" s="30">
        <f t="shared" si="182"/>
        <v>0</v>
      </c>
      <c r="Q26" s="30">
        <f t="shared" si="182"/>
        <v>0</v>
      </c>
      <c r="R26" s="30">
        <f t="shared" si="182"/>
        <v>0</v>
      </c>
      <c r="S26" s="30">
        <f t="shared" si="182"/>
        <v>0</v>
      </c>
      <c r="T26" s="30">
        <f t="shared" si="182"/>
        <v>0</v>
      </c>
      <c r="U26" s="30">
        <f t="shared" si="182"/>
        <v>0</v>
      </c>
      <c r="V26" s="30">
        <f t="shared" si="182"/>
        <v>0</v>
      </c>
      <c r="W26" s="30">
        <f t="shared" si="182"/>
        <v>0</v>
      </c>
      <c r="X26" s="30">
        <f t="shared" si="182"/>
        <v>0</v>
      </c>
      <c r="Y26" s="30">
        <f t="shared" si="182"/>
        <v>0</v>
      </c>
      <c r="Z26" s="30">
        <f t="shared" si="182"/>
        <v>0</v>
      </c>
      <c r="AA26" s="30">
        <f t="shared" si="182"/>
        <v>0</v>
      </c>
      <c r="AB26" s="30">
        <f t="shared" si="182"/>
        <v>0</v>
      </c>
      <c r="AC26" s="30">
        <f t="shared" si="182"/>
        <v>0</v>
      </c>
      <c r="AD26" s="30">
        <f t="shared" si="182"/>
        <v>0</v>
      </c>
      <c r="AE26" s="30">
        <f t="shared" si="182"/>
        <v>0</v>
      </c>
      <c r="AF26" s="30">
        <f t="shared" si="182"/>
        <v>0</v>
      </c>
      <c r="AG26" s="30">
        <f t="shared" si="182"/>
        <v>0</v>
      </c>
      <c r="AH26" s="30">
        <f t="shared" si="182"/>
        <v>0</v>
      </c>
      <c r="AI26" s="30">
        <f t="shared" si="182"/>
        <v>0</v>
      </c>
      <c r="AJ26" s="30">
        <f t="shared" si="182"/>
        <v>0</v>
      </c>
      <c r="AK26" s="30">
        <f t="shared" si="182"/>
        <v>0</v>
      </c>
      <c r="AL26" s="30">
        <f t="shared" si="182"/>
        <v>0</v>
      </c>
      <c r="AM26" s="30">
        <f t="shared" si="182"/>
        <v>0</v>
      </c>
      <c r="AN26" s="30">
        <f t="shared" si="182"/>
        <v>0</v>
      </c>
      <c r="AO26" s="30">
        <f t="shared" ref="AO26" si="183">AN26+AO25</f>
        <v>0</v>
      </c>
      <c r="AP26" s="30">
        <f t="shared" ref="AP26" si="184">AO26+AP25</f>
        <v>0</v>
      </c>
      <c r="AQ26" s="30">
        <f t="shared" ref="AQ26" si="185">AP26+AQ25</f>
        <v>0</v>
      </c>
      <c r="AR26" s="30">
        <f t="shared" ref="AR26" si="186">AQ26+AR25</f>
        <v>0</v>
      </c>
      <c r="AS26" s="30">
        <f t="shared" ref="AS26" si="187">AR26+AS25</f>
        <v>0</v>
      </c>
      <c r="AT26" s="30">
        <f t="shared" ref="AT26" si="188">AS26+AT25</f>
        <v>0</v>
      </c>
      <c r="AU26" s="30">
        <f t="shared" ref="AU26" si="189">AT26+AU25</f>
        <v>50321017.848248012</v>
      </c>
      <c r="AV26" s="30">
        <f t="shared" ref="AV26" si="190">AU26+AV25</f>
        <v>50321017.848248012</v>
      </c>
      <c r="AW26" s="30">
        <f t="shared" ref="AW26" si="191">AV26+AW25</f>
        <v>50321017.848248012</v>
      </c>
      <c r="AX26" s="30">
        <f t="shared" ref="AX26" si="192">AW26+AX25</f>
        <v>65274266.909185328</v>
      </c>
      <c r="AY26" s="30">
        <f t="shared" ref="AY26" si="193">AX26+AY25</f>
        <v>65274266.909185328</v>
      </c>
      <c r="AZ26" s="30">
        <f t="shared" ref="AZ26" si="194">AY26+AZ25</f>
        <v>65274266.909185328</v>
      </c>
      <c r="BA26" s="30">
        <f t="shared" ref="BA26" si="195">AZ26+BA25</f>
        <v>79347913.084185153</v>
      </c>
      <c r="BB26" s="30">
        <f t="shared" ref="BB26" si="196">BA26+BB25</f>
        <v>79347913.084185153</v>
      </c>
      <c r="BC26" s="30">
        <f t="shared" ref="BC26" si="197">BB26+BC25</f>
        <v>79347913.084185153</v>
      </c>
      <c r="BD26" s="30">
        <f t="shared" ref="BD26" si="198">BC26+BD25</f>
        <v>92686945.859940484</v>
      </c>
      <c r="BE26" s="30">
        <f t="shared" ref="BE26" si="199">BD26+BE25</f>
        <v>92686945.859940484</v>
      </c>
      <c r="BF26" s="30">
        <f t="shared" ref="BF26" si="200">BE26+BF25</f>
        <v>92686945.859940484</v>
      </c>
      <c r="BG26" s="30">
        <f t="shared" ref="BG26" si="201">BF26+BG25</f>
        <v>105001386.26306534</v>
      </c>
      <c r="BH26" s="30">
        <f t="shared" ref="BH26" si="202">BG26+BH25</f>
        <v>105001386.26306534</v>
      </c>
      <c r="BI26" s="30">
        <f t="shared" ref="BI26" si="203">BH26+BI25</f>
        <v>105001386.26306534</v>
      </c>
      <c r="BJ26" s="30">
        <f t="shared" ref="BJ26" si="204">BI26+BJ25</f>
        <v>116436223.7802527</v>
      </c>
      <c r="BK26" s="30">
        <f t="shared" ref="BK26" si="205">BJ26+BK25</f>
        <v>116436223.7802527</v>
      </c>
      <c r="BL26" s="30">
        <f t="shared" ref="BL26" si="206">BK26+BL25</f>
        <v>116436223.7802527</v>
      </c>
      <c r="BM26" s="30">
        <f t="shared" ref="BM26" si="207">BL26+BM25</f>
        <v>126991458.41150257</v>
      </c>
      <c r="BN26" s="30">
        <f t="shared" ref="BN26" si="208">BM26+BN25</f>
        <v>126991458.41150257</v>
      </c>
      <c r="BO26" s="30">
        <f t="shared" ref="BO26" si="209">BN26+BO25</f>
        <v>126991458.41150257</v>
      </c>
      <c r="BP26" s="30">
        <f t="shared" ref="BP26" si="210">BO26+BP25</f>
        <v>136773415.78038982</v>
      </c>
      <c r="BQ26" s="30">
        <f t="shared" ref="BQ26" si="211">BP26+BQ25</f>
        <v>136773415.78038982</v>
      </c>
      <c r="BR26" s="30">
        <f t="shared" ref="BR26" si="212">BQ26+BR25</f>
        <v>136773415.78038982</v>
      </c>
      <c r="BS26" s="30">
        <f t="shared" ref="BS26" si="213">BR26+BS25</f>
        <v>145569444.6397647</v>
      </c>
      <c r="BT26" s="30">
        <f t="shared" ref="BT26" si="214">BS26+BT25</f>
        <v>145569444.6397647</v>
      </c>
      <c r="BU26" s="30">
        <f t="shared" ref="BU26" si="215">BT26+BU25</f>
        <v>145569444.6397647</v>
      </c>
      <c r="BV26" s="30">
        <f t="shared" ref="BV26" si="216">BU26+BV25</f>
        <v>153485870.6132021</v>
      </c>
      <c r="BW26" s="30">
        <f t="shared" ref="BW26" si="217">BV26+BW25</f>
        <v>153485870.6132021</v>
      </c>
      <c r="BX26" s="30">
        <f t="shared" ref="BX26" si="218">BW26+BX25</f>
        <v>153485870.6132021</v>
      </c>
      <c r="BY26" s="30">
        <f t="shared" ref="BY26" si="219">BX26+BY25</f>
        <v>160522693.70070201</v>
      </c>
      <c r="BZ26" s="30">
        <f t="shared" ref="BZ26" si="220">BY26+BZ25</f>
        <v>160522693.70070201</v>
      </c>
      <c r="CA26" s="30">
        <f t="shared" ref="CA26" si="221">BZ26+CA25</f>
        <v>160522693.70070201</v>
      </c>
      <c r="CB26" s="30">
        <f t="shared" ref="CB26" si="222">CA26+CB25</f>
        <v>166747575.66272116</v>
      </c>
      <c r="CC26" s="30">
        <f t="shared" ref="CC26" si="223">CB26+CC25</f>
        <v>166747575.66272116</v>
      </c>
      <c r="CD26" s="30">
        <f t="shared" ref="CD26" si="224">CC26+CD25</f>
        <v>166747575.66272116</v>
      </c>
      <c r="CE26" s="30">
        <f t="shared" ref="CE26" si="225">CD26+CE25</f>
        <v>172025192.97834608</v>
      </c>
      <c r="CF26" s="30">
        <f t="shared" ref="CF26" si="226">CE26+CF25</f>
        <v>172025192.97834608</v>
      </c>
      <c r="CG26" s="30">
        <f t="shared" ref="CG26" si="227">CF26+CG25</f>
        <v>172025192.97834608</v>
      </c>
      <c r="CH26" s="30">
        <f t="shared" ref="CH26" si="228">CG26+CH25</f>
        <v>176471537.2369312</v>
      </c>
      <c r="CI26" s="30">
        <f t="shared" ref="CI26" si="229">CH26+CI25</f>
        <v>176471537.2369312</v>
      </c>
      <c r="CJ26" s="30">
        <f t="shared" ref="CJ26" si="230">CI26+CJ25</f>
        <v>176471537.2369312</v>
      </c>
      <c r="CK26" s="30">
        <f t="shared" ref="CK26" si="231">CJ26+CK25</f>
        <v>179989948.78068116</v>
      </c>
      <c r="CL26" s="30">
        <f t="shared" ref="CL26" si="232">CK26+CL25</f>
        <v>179989948.78068116</v>
      </c>
      <c r="CM26" s="30">
        <f t="shared" ref="CM26" si="233">CL26+CM25</f>
        <v>179989948.78068116</v>
      </c>
      <c r="CN26" s="30">
        <f t="shared" ref="CN26" si="234">CM26+CN25</f>
        <v>182657755.33583224</v>
      </c>
      <c r="CO26" s="30">
        <f t="shared" ref="CO26" si="235">CN26+CO25</f>
        <v>182657755.33583224</v>
      </c>
      <c r="CP26" s="30">
        <f t="shared" ref="CP26" si="236">CO26+CP25</f>
        <v>182657755.33583224</v>
      </c>
      <c r="CQ26" s="30">
        <f t="shared" ref="CQ26" si="237">CP26+CQ25</f>
        <v>184416961.1077072</v>
      </c>
      <c r="CR26" s="30">
        <f t="shared" ref="CR26" si="238">CQ26+CR25</f>
        <v>184416961.1077072</v>
      </c>
      <c r="CS26" s="30">
        <f t="shared" ref="CS26" si="239">CR26+CS25</f>
        <v>184416961.1077072</v>
      </c>
      <c r="CT26" s="30">
        <f t="shared" ref="CT26" si="240">CS26+CT25</f>
        <v>185132242.57539263</v>
      </c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</row>
    <row r="27" spans="1:120">
      <c r="A27" s="38" t="s">
        <v>37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/>
      <c r="L27" s="30">
        <v>0</v>
      </c>
      <c r="M27" s="30">
        <v>0</v>
      </c>
      <c r="N27" s="30"/>
      <c r="O27" s="30">
        <v>0</v>
      </c>
      <c r="P27" s="30">
        <v>0</v>
      </c>
      <c r="Q27" s="30"/>
      <c r="R27" s="30">
        <v>0</v>
      </c>
      <c r="S27" s="30">
        <v>0</v>
      </c>
      <c r="T27" s="30"/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  <c r="CF27" s="30">
        <v>0</v>
      </c>
      <c r="CG27" s="30">
        <v>0</v>
      </c>
      <c r="CH27" s="30">
        <v>0</v>
      </c>
      <c r="CI27" s="30">
        <v>0</v>
      </c>
      <c r="CJ27" s="30">
        <v>0</v>
      </c>
      <c r="CK27" s="30">
        <v>0</v>
      </c>
      <c r="CL27" s="30">
        <v>0</v>
      </c>
      <c r="CM27" s="30">
        <v>0</v>
      </c>
      <c r="CN27" s="30">
        <v>0</v>
      </c>
      <c r="CO27" s="30">
        <v>0</v>
      </c>
      <c r="CP27" s="30">
        <v>0</v>
      </c>
      <c r="CQ27" s="30">
        <v>0</v>
      </c>
      <c r="CR27" s="30">
        <v>0</v>
      </c>
      <c r="CS27" s="30">
        <v>0</v>
      </c>
      <c r="CT27" s="30">
        <v>0</v>
      </c>
    </row>
    <row r="28" spans="1:120">
      <c r="A28" s="36" t="s">
        <v>38</v>
      </c>
      <c r="B28" s="30">
        <f>+B27</f>
        <v>0</v>
      </c>
      <c r="C28" s="30">
        <f t="shared" ref="C28:AN28" si="241">B28+C27</f>
        <v>0</v>
      </c>
      <c r="D28" s="30">
        <f t="shared" si="241"/>
        <v>0</v>
      </c>
      <c r="E28" s="30">
        <f t="shared" si="241"/>
        <v>0</v>
      </c>
      <c r="F28" s="30">
        <f t="shared" si="241"/>
        <v>0</v>
      </c>
      <c r="G28" s="30">
        <f t="shared" si="241"/>
        <v>0</v>
      </c>
      <c r="H28" s="30">
        <f t="shared" si="241"/>
        <v>0</v>
      </c>
      <c r="I28" s="30">
        <f t="shared" si="241"/>
        <v>0</v>
      </c>
      <c r="J28" s="30">
        <f t="shared" si="241"/>
        <v>0</v>
      </c>
      <c r="K28" s="30">
        <f t="shared" si="241"/>
        <v>0</v>
      </c>
      <c r="L28" s="30">
        <f t="shared" si="241"/>
        <v>0</v>
      </c>
      <c r="M28" s="30">
        <f t="shared" si="241"/>
        <v>0</v>
      </c>
      <c r="N28" s="30">
        <f t="shared" si="241"/>
        <v>0</v>
      </c>
      <c r="O28" s="30">
        <f t="shared" si="241"/>
        <v>0</v>
      </c>
      <c r="P28" s="30">
        <f t="shared" si="241"/>
        <v>0</v>
      </c>
      <c r="Q28" s="30">
        <f t="shared" si="241"/>
        <v>0</v>
      </c>
      <c r="R28" s="30">
        <f t="shared" si="241"/>
        <v>0</v>
      </c>
      <c r="S28" s="30">
        <f t="shared" si="241"/>
        <v>0</v>
      </c>
      <c r="T28" s="30">
        <f t="shared" si="241"/>
        <v>0</v>
      </c>
      <c r="U28" s="30">
        <f t="shared" si="241"/>
        <v>0</v>
      </c>
      <c r="V28" s="30">
        <f t="shared" si="241"/>
        <v>0</v>
      </c>
      <c r="W28" s="30">
        <f t="shared" si="241"/>
        <v>0</v>
      </c>
      <c r="X28" s="30">
        <f t="shared" si="241"/>
        <v>0</v>
      </c>
      <c r="Y28" s="30">
        <f t="shared" si="241"/>
        <v>0</v>
      </c>
      <c r="Z28" s="30">
        <f t="shared" si="241"/>
        <v>0</v>
      </c>
      <c r="AA28" s="30">
        <f t="shared" si="241"/>
        <v>0</v>
      </c>
      <c r="AB28" s="30">
        <f t="shared" si="241"/>
        <v>0</v>
      </c>
      <c r="AC28" s="30">
        <f t="shared" si="241"/>
        <v>0</v>
      </c>
      <c r="AD28" s="30">
        <f t="shared" si="241"/>
        <v>0</v>
      </c>
      <c r="AE28" s="30">
        <f t="shared" si="241"/>
        <v>0</v>
      </c>
      <c r="AF28" s="30">
        <f t="shared" si="241"/>
        <v>0</v>
      </c>
      <c r="AG28" s="30">
        <f t="shared" si="241"/>
        <v>0</v>
      </c>
      <c r="AH28" s="30">
        <f t="shared" si="241"/>
        <v>0</v>
      </c>
      <c r="AI28" s="30">
        <f t="shared" si="241"/>
        <v>0</v>
      </c>
      <c r="AJ28" s="30">
        <f t="shared" si="241"/>
        <v>0</v>
      </c>
      <c r="AK28" s="30">
        <f t="shared" si="241"/>
        <v>0</v>
      </c>
      <c r="AL28" s="30">
        <f t="shared" si="241"/>
        <v>0</v>
      </c>
      <c r="AM28" s="30">
        <f t="shared" si="241"/>
        <v>0</v>
      </c>
      <c r="AN28" s="30">
        <f t="shared" si="241"/>
        <v>0</v>
      </c>
      <c r="AO28" s="30">
        <f t="shared" ref="AO28" si="242">AN28+AO27</f>
        <v>0</v>
      </c>
      <c r="AP28" s="30">
        <f t="shared" ref="AP28" si="243">AO28+AP27</f>
        <v>0</v>
      </c>
      <c r="AQ28" s="30">
        <f t="shared" ref="AQ28" si="244">AP28+AQ27</f>
        <v>0</v>
      </c>
      <c r="AR28" s="30">
        <f t="shared" ref="AR28" si="245">AQ28+AR27</f>
        <v>0</v>
      </c>
      <c r="AS28" s="30">
        <f t="shared" ref="AS28" si="246">AR28+AS27</f>
        <v>0</v>
      </c>
      <c r="AT28" s="30">
        <f t="shared" ref="AT28" si="247">AS28+AT27</f>
        <v>0</v>
      </c>
      <c r="AU28" s="30">
        <f t="shared" ref="AU28" si="248">AT28+AU27</f>
        <v>0</v>
      </c>
      <c r="AV28" s="30">
        <f t="shared" ref="AV28" si="249">AU28+AV27</f>
        <v>0</v>
      </c>
      <c r="AW28" s="30">
        <f t="shared" ref="AW28" si="250">AV28+AW27</f>
        <v>0</v>
      </c>
      <c r="AX28" s="30">
        <f t="shared" ref="AX28" si="251">AW28+AX27</f>
        <v>0</v>
      </c>
      <c r="AY28" s="30">
        <f t="shared" ref="AY28" si="252">AX28+AY27</f>
        <v>0</v>
      </c>
      <c r="AZ28" s="30">
        <f t="shared" ref="AZ28" si="253">AY28+AZ27</f>
        <v>0</v>
      </c>
      <c r="BA28" s="30">
        <f t="shared" ref="BA28" si="254">AZ28+BA27</f>
        <v>0</v>
      </c>
      <c r="BB28" s="30">
        <f t="shared" ref="BB28" si="255">BA28+BB27</f>
        <v>0</v>
      </c>
      <c r="BC28" s="30">
        <f t="shared" ref="BC28" si="256">BB28+BC27</f>
        <v>0</v>
      </c>
      <c r="BD28" s="30">
        <f t="shared" ref="BD28" si="257">BC28+BD27</f>
        <v>0</v>
      </c>
      <c r="BE28" s="30">
        <f t="shared" ref="BE28" si="258">BD28+BE27</f>
        <v>0</v>
      </c>
      <c r="BF28" s="30">
        <f t="shared" ref="BF28" si="259">BE28+BF27</f>
        <v>0</v>
      </c>
      <c r="BG28" s="30">
        <f t="shared" ref="BG28" si="260">BF28+BG27</f>
        <v>0</v>
      </c>
      <c r="BH28" s="30">
        <f t="shared" ref="BH28" si="261">BG28+BH27</f>
        <v>0</v>
      </c>
      <c r="BI28" s="30">
        <f t="shared" ref="BI28" si="262">BH28+BI27</f>
        <v>0</v>
      </c>
      <c r="BJ28" s="30">
        <f t="shared" ref="BJ28" si="263">BI28+BJ27</f>
        <v>0</v>
      </c>
      <c r="BK28" s="30">
        <f t="shared" ref="BK28" si="264">BJ28+BK27</f>
        <v>0</v>
      </c>
      <c r="BL28" s="30">
        <f t="shared" ref="BL28" si="265">BK28+BL27</f>
        <v>0</v>
      </c>
      <c r="BM28" s="30">
        <f t="shared" ref="BM28" si="266">BL28+BM27</f>
        <v>0</v>
      </c>
      <c r="BN28" s="30">
        <f t="shared" ref="BN28" si="267">BM28+BN27</f>
        <v>0</v>
      </c>
      <c r="BO28" s="30">
        <f t="shared" ref="BO28" si="268">BN28+BO27</f>
        <v>0</v>
      </c>
      <c r="BP28" s="30">
        <f t="shared" ref="BP28" si="269">BO28+BP27</f>
        <v>0</v>
      </c>
      <c r="BQ28" s="30">
        <f t="shared" ref="BQ28" si="270">BP28+BQ27</f>
        <v>0</v>
      </c>
      <c r="BR28" s="30">
        <f t="shared" ref="BR28" si="271">BQ28+BR27</f>
        <v>0</v>
      </c>
      <c r="BS28" s="30">
        <f t="shared" ref="BS28" si="272">BR28+BS27</f>
        <v>0</v>
      </c>
      <c r="BT28" s="30">
        <f t="shared" ref="BT28" si="273">BS28+BT27</f>
        <v>0</v>
      </c>
      <c r="BU28" s="30">
        <f t="shared" ref="BU28" si="274">BT28+BU27</f>
        <v>0</v>
      </c>
      <c r="BV28" s="30">
        <f t="shared" ref="BV28" si="275">BU28+BV27</f>
        <v>0</v>
      </c>
      <c r="BW28" s="30">
        <f t="shared" ref="BW28" si="276">BV28+BW27</f>
        <v>0</v>
      </c>
      <c r="BX28" s="30">
        <f t="shared" ref="BX28" si="277">BW28+BX27</f>
        <v>0</v>
      </c>
      <c r="BY28" s="30">
        <f t="shared" ref="BY28" si="278">BX28+BY27</f>
        <v>0</v>
      </c>
      <c r="BZ28" s="30">
        <f t="shared" ref="BZ28" si="279">BY28+BZ27</f>
        <v>0</v>
      </c>
      <c r="CA28" s="30">
        <f t="shared" ref="CA28" si="280">BZ28+CA27</f>
        <v>0</v>
      </c>
      <c r="CB28" s="30">
        <f t="shared" ref="CB28" si="281">CA28+CB27</f>
        <v>0</v>
      </c>
      <c r="CC28" s="30">
        <f t="shared" ref="CC28" si="282">CB28+CC27</f>
        <v>0</v>
      </c>
      <c r="CD28" s="30">
        <f t="shared" ref="CD28" si="283">CC28+CD27</f>
        <v>0</v>
      </c>
      <c r="CE28" s="30">
        <f t="shared" ref="CE28" si="284">CD28+CE27</f>
        <v>0</v>
      </c>
      <c r="CF28" s="30">
        <f t="shared" ref="CF28" si="285">CE28+CF27</f>
        <v>0</v>
      </c>
      <c r="CG28" s="30">
        <f t="shared" ref="CG28" si="286">CF28+CG27</f>
        <v>0</v>
      </c>
      <c r="CH28" s="30">
        <f t="shared" ref="CH28" si="287">CG28+CH27</f>
        <v>0</v>
      </c>
      <c r="CI28" s="30">
        <f t="shared" ref="CI28" si="288">CH28+CI27</f>
        <v>0</v>
      </c>
      <c r="CJ28" s="30">
        <f t="shared" ref="CJ28" si="289">CI28+CJ27</f>
        <v>0</v>
      </c>
      <c r="CK28" s="30">
        <f t="shared" ref="CK28" si="290">CJ28+CK27</f>
        <v>0</v>
      </c>
      <c r="CL28" s="30">
        <f t="shared" ref="CL28" si="291">CK28+CL27</f>
        <v>0</v>
      </c>
      <c r="CM28" s="30">
        <f t="shared" ref="CM28" si="292">CL28+CM27</f>
        <v>0</v>
      </c>
      <c r="CN28" s="30">
        <f t="shared" ref="CN28" si="293">CM28+CN27</f>
        <v>0</v>
      </c>
      <c r="CO28" s="30">
        <f t="shared" ref="CO28" si="294">CN28+CO27</f>
        <v>0</v>
      </c>
      <c r="CP28" s="30">
        <f t="shared" ref="CP28" si="295">CO28+CP27</f>
        <v>0</v>
      </c>
      <c r="CQ28" s="30">
        <f t="shared" ref="CQ28" si="296">CP28+CQ27</f>
        <v>0</v>
      </c>
      <c r="CR28" s="30">
        <f t="shared" ref="CR28" si="297">CQ28+CR27</f>
        <v>0</v>
      </c>
      <c r="CS28" s="30">
        <f t="shared" ref="CS28" si="298">CR28+CS27</f>
        <v>0</v>
      </c>
      <c r="CT28" s="30">
        <f t="shared" ref="CT28" si="299">CS28+CT27</f>
        <v>0</v>
      </c>
    </row>
    <row r="29" spans="1:120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</row>
    <row r="30" spans="1:120" s="79" customFormat="1">
      <c r="A30" s="80" t="s">
        <v>39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4"/>
    </row>
    <row r="31" spans="1:120">
      <c r="A31" s="80" t="s">
        <v>40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</row>
    <row r="32" spans="1:120">
      <c r="A32" s="81" t="s">
        <v>24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</row>
    <row r="33" spans="1:120">
      <c r="A33" s="81" t="s">
        <v>18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</row>
    <row r="34" spans="1:120">
      <c r="A34" s="81" t="s">
        <v>41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</row>
    <row r="35" spans="1:120">
      <c r="A35" s="40" t="s">
        <v>42</v>
      </c>
      <c r="B35" s="30">
        <f t="shared" ref="B35:F35" si="300">SUM(B32:B34)</f>
        <v>0</v>
      </c>
      <c r="C35" s="30">
        <f t="shared" si="300"/>
        <v>0</v>
      </c>
      <c r="D35" s="30">
        <f t="shared" si="300"/>
        <v>0</v>
      </c>
      <c r="E35" s="30">
        <f t="shared" si="300"/>
        <v>0</v>
      </c>
      <c r="F35" s="30">
        <f t="shared" si="300"/>
        <v>0</v>
      </c>
      <c r="G35" s="30">
        <f t="shared" ref="G35:L35" si="301">SUM(G32:G34)</f>
        <v>0</v>
      </c>
      <c r="H35" s="30">
        <f t="shared" ref="H35:I35" si="302">SUM(H32:H34)</f>
        <v>0</v>
      </c>
      <c r="I35" s="30">
        <f t="shared" si="302"/>
        <v>0</v>
      </c>
      <c r="J35" s="30">
        <f t="shared" si="301"/>
        <v>0</v>
      </c>
      <c r="K35" s="30">
        <f t="shared" si="301"/>
        <v>0</v>
      </c>
      <c r="L35" s="30">
        <f t="shared" si="301"/>
        <v>0</v>
      </c>
      <c r="M35" s="30">
        <f t="shared" ref="M35:BM35" si="303">SUM(M32:M34)</f>
        <v>0</v>
      </c>
      <c r="N35" s="30">
        <f t="shared" si="303"/>
        <v>0</v>
      </c>
      <c r="O35" s="30">
        <f t="shared" si="303"/>
        <v>0</v>
      </c>
      <c r="P35" s="30">
        <f t="shared" si="303"/>
        <v>0</v>
      </c>
      <c r="Q35" s="30">
        <f t="shared" si="303"/>
        <v>0</v>
      </c>
      <c r="R35" s="30">
        <f t="shared" si="303"/>
        <v>0</v>
      </c>
      <c r="S35" s="30">
        <f t="shared" si="303"/>
        <v>0</v>
      </c>
      <c r="T35" s="30">
        <f t="shared" si="303"/>
        <v>0</v>
      </c>
      <c r="U35" s="30">
        <f t="shared" si="303"/>
        <v>0</v>
      </c>
      <c r="V35" s="30">
        <f t="shared" si="303"/>
        <v>0</v>
      </c>
      <c r="W35" s="30">
        <f t="shared" si="303"/>
        <v>0</v>
      </c>
      <c r="X35" s="30">
        <f t="shared" si="303"/>
        <v>0</v>
      </c>
      <c r="Y35" s="30">
        <f t="shared" si="303"/>
        <v>0</v>
      </c>
      <c r="Z35" s="30">
        <f t="shared" si="303"/>
        <v>0</v>
      </c>
      <c r="AA35" s="30">
        <f t="shared" si="303"/>
        <v>0</v>
      </c>
      <c r="AB35" s="30">
        <f t="shared" si="303"/>
        <v>0</v>
      </c>
      <c r="AC35" s="30">
        <f t="shared" si="303"/>
        <v>0</v>
      </c>
      <c r="AD35" s="30">
        <f t="shared" si="303"/>
        <v>0</v>
      </c>
      <c r="AE35" s="30">
        <f t="shared" si="303"/>
        <v>0</v>
      </c>
      <c r="AF35" s="30">
        <f t="shared" si="303"/>
        <v>0</v>
      </c>
      <c r="AG35" s="30">
        <f t="shared" si="303"/>
        <v>0</v>
      </c>
      <c r="AH35" s="30">
        <f t="shared" si="303"/>
        <v>0</v>
      </c>
      <c r="AI35" s="30">
        <f t="shared" si="303"/>
        <v>0</v>
      </c>
      <c r="AJ35" s="30">
        <f t="shared" si="303"/>
        <v>0</v>
      </c>
      <c r="AK35" s="30">
        <f t="shared" si="303"/>
        <v>0</v>
      </c>
      <c r="AL35" s="30">
        <f t="shared" si="303"/>
        <v>0</v>
      </c>
      <c r="AM35" s="30">
        <f t="shared" si="303"/>
        <v>0</v>
      </c>
      <c r="AN35" s="30">
        <f t="shared" si="303"/>
        <v>0</v>
      </c>
      <c r="AO35" s="30">
        <f t="shared" si="303"/>
        <v>0</v>
      </c>
      <c r="AP35" s="30">
        <f t="shared" si="303"/>
        <v>0</v>
      </c>
      <c r="AQ35" s="30">
        <f t="shared" si="303"/>
        <v>0</v>
      </c>
      <c r="AR35" s="30">
        <f t="shared" si="303"/>
        <v>0</v>
      </c>
      <c r="AS35" s="30">
        <f t="shared" si="303"/>
        <v>0</v>
      </c>
      <c r="AT35" s="30">
        <f t="shared" si="303"/>
        <v>0</v>
      </c>
      <c r="AU35" s="30">
        <f t="shared" si="303"/>
        <v>0</v>
      </c>
      <c r="AV35" s="30">
        <f t="shared" si="303"/>
        <v>0</v>
      </c>
      <c r="AW35" s="30">
        <f t="shared" si="303"/>
        <v>0</v>
      </c>
      <c r="AX35" s="30">
        <f t="shared" si="303"/>
        <v>0</v>
      </c>
      <c r="AY35" s="30">
        <f t="shared" si="303"/>
        <v>0</v>
      </c>
      <c r="AZ35" s="30">
        <f t="shared" si="303"/>
        <v>0</v>
      </c>
      <c r="BA35" s="30">
        <f t="shared" si="303"/>
        <v>0</v>
      </c>
      <c r="BB35" s="30">
        <f t="shared" si="303"/>
        <v>0</v>
      </c>
      <c r="BC35" s="30">
        <f t="shared" si="303"/>
        <v>0</v>
      </c>
      <c r="BD35" s="30">
        <f t="shared" si="303"/>
        <v>0</v>
      </c>
      <c r="BE35" s="30">
        <f t="shared" si="303"/>
        <v>0</v>
      </c>
      <c r="BF35" s="30">
        <f t="shared" si="303"/>
        <v>0</v>
      </c>
      <c r="BG35" s="30">
        <f t="shared" si="303"/>
        <v>0</v>
      </c>
      <c r="BH35" s="30">
        <f t="shared" si="303"/>
        <v>0</v>
      </c>
      <c r="BI35" s="30">
        <f t="shared" si="303"/>
        <v>0</v>
      </c>
      <c r="BJ35" s="30">
        <f t="shared" si="303"/>
        <v>0</v>
      </c>
      <c r="BK35" s="30">
        <f t="shared" si="303"/>
        <v>0</v>
      </c>
      <c r="BL35" s="30">
        <f t="shared" si="303"/>
        <v>0</v>
      </c>
      <c r="BM35" s="30">
        <f t="shared" si="303"/>
        <v>0</v>
      </c>
      <c r="BN35" s="30">
        <f t="shared" ref="BN35:DP35" si="304">SUM(BN32:BN34)</f>
        <v>0</v>
      </c>
      <c r="BO35" s="30">
        <f t="shared" si="304"/>
        <v>0</v>
      </c>
      <c r="BP35" s="30">
        <f t="shared" si="304"/>
        <v>0</v>
      </c>
      <c r="BQ35" s="30">
        <f t="shared" si="304"/>
        <v>0</v>
      </c>
      <c r="BR35" s="30">
        <f t="shared" si="304"/>
        <v>0</v>
      </c>
      <c r="BS35" s="30">
        <f t="shared" si="304"/>
        <v>0</v>
      </c>
      <c r="BT35" s="30">
        <f t="shared" si="304"/>
        <v>0</v>
      </c>
      <c r="BU35" s="30">
        <f t="shared" si="304"/>
        <v>0</v>
      </c>
      <c r="BV35" s="30">
        <f t="shared" si="304"/>
        <v>0</v>
      </c>
      <c r="BW35" s="30">
        <f t="shared" si="304"/>
        <v>0</v>
      </c>
      <c r="BX35" s="30">
        <f t="shared" si="304"/>
        <v>0</v>
      </c>
      <c r="BY35" s="30">
        <f t="shared" si="304"/>
        <v>0</v>
      </c>
      <c r="BZ35" s="30">
        <f t="shared" si="304"/>
        <v>0</v>
      </c>
      <c r="CA35" s="30">
        <f t="shared" si="304"/>
        <v>0</v>
      </c>
      <c r="CB35" s="30">
        <f t="shared" si="304"/>
        <v>0</v>
      </c>
      <c r="CC35" s="30">
        <f t="shared" si="304"/>
        <v>0</v>
      </c>
      <c r="CD35" s="30">
        <f t="shared" si="304"/>
        <v>0</v>
      </c>
      <c r="CE35" s="30">
        <f t="shared" si="304"/>
        <v>0</v>
      </c>
      <c r="CF35" s="30">
        <f t="shared" si="304"/>
        <v>0</v>
      </c>
      <c r="CG35" s="30">
        <f t="shared" ref="CG35:CN35" si="305">SUM(CG32:CG34)</f>
        <v>0</v>
      </c>
      <c r="CH35" s="30">
        <f t="shared" si="305"/>
        <v>0</v>
      </c>
      <c r="CI35" s="30">
        <f t="shared" si="305"/>
        <v>0</v>
      </c>
      <c r="CJ35" s="30">
        <f t="shared" si="305"/>
        <v>0</v>
      </c>
      <c r="CK35" s="30">
        <f t="shared" si="305"/>
        <v>0</v>
      </c>
      <c r="CL35" s="30">
        <f t="shared" si="305"/>
        <v>0</v>
      </c>
      <c r="CM35" s="30">
        <f t="shared" si="305"/>
        <v>0</v>
      </c>
      <c r="CN35" s="30">
        <f t="shared" si="305"/>
        <v>0</v>
      </c>
      <c r="CO35" s="30">
        <f t="shared" ref="CO35:CT35" si="306">SUM(CO32:CO34)</f>
        <v>0</v>
      </c>
      <c r="CP35" s="30">
        <f t="shared" si="306"/>
        <v>0</v>
      </c>
      <c r="CQ35" s="30">
        <f t="shared" si="306"/>
        <v>0</v>
      </c>
      <c r="CR35" s="30">
        <f t="shared" si="306"/>
        <v>0</v>
      </c>
      <c r="CS35" s="30">
        <f t="shared" si="306"/>
        <v>0</v>
      </c>
      <c r="CT35" s="30">
        <f t="shared" si="306"/>
        <v>0</v>
      </c>
      <c r="CU35" s="30">
        <f t="shared" si="304"/>
        <v>0</v>
      </c>
      <c r="CV35" s="30">
        <f t="shared" si="304"/>
        <v>0</v>
      </c>
      <c r="CW35" s="30">
        <f t="shared" si="304"/>
        <v>0</v>
      </c>
      <c r="CX35" s="30">
        <f t="shared" si="304"/>
        <v>0</v>
      </c>
      <c r="CY35" s="30">
        <f t="shared" si="304"/>
        <v>0</v>
      </c>
      <c r="CZ35" s="30">
        <f t="shared" si="304"/>
        <v>0</v>
      </c>
      <c r="DA35" s="30">
        <f t="shared" si="304"/>
        <v>0</v>
      </c>
      <c r="DB35" s="30">
        <f t="shared" si="304"/>
        <v>0</v>
      </c>
      <c r="DC35" s="30">
        <f t="shared" si="304"/>
        <v>0</v>
      </c>
      <c r="DD35" s="30">
        <f t="shared" si="304"/>
        <v>0</v>
      </c>
      <c r="DE35" s="30">
        <f t="shared" si="304"/>
        <v>0</v>
      </c>
      <c r="DF35" s="30">
        <f t="shared" si="304"/>
        <v>0</v>
      </c>
      <c r="DG35" s="30">
        <f t="shared" si="304"/>
        <v>0</v>
      </c>
      <c r="DH35" s="30">
        <f t="shared" si="304"/>
        <v>0</v>
      </c>
      <c r="DI35" s="30">
        <f t="shared" si="304"/>
        <v>0</v>
      </c>
      <c r="DJ35" s="30">
        <f t="shared" si="304"/>
        <v>0</v>
      </c>
      <c r="DK35" s="30">
        <f t="shared" si="304"/>
        <v>0</v>
      </c>
      <c r="DL35" s="30">
        <f t="shared" si="304"/>
        <v>0</v>
      </c>
      <c r="DM35" s="30">
        <f t="shared" si="304"/>
        <v>0</v>
      </c>
      <c r="DN35" s="30">
        <f t="shared" si="304"/>
        <v>0</v>
      </c>
      <c r="DO35" s="30">
        <f t="shared" si="304"/>
        <v>0</v>
      </c>
      <c r="DP35" s="30">
        <f t="shared" si="304"/>
        <v>0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C58"/>
  <sheetViews>
    <sheetView showGridLines="0" topLeftCell="F16" zoomScaleNormal="100" workbookViewId="0">
      <selection activeCell="O31" sqref="O31"/>
    </sheetView>
  </sheetViews>
  <sheetFormatPr defaultColWidth="8" defaultRowHeight="13.15"/>
  <cols>
    <col min="1" max="1" width="29" style="3" bestFit="1" customWidth="1"/>
    <col min="2" max="2" width="12" style="3" customWidth="1"/>
    <col min="3" max="3" width="16.42578125" style="3" customWidth="1"/>
    <col min="4" max="4" width="13.7109375" style="3" bestFit="1" customWidth="1"/>
    <col min="5" max="5" width="14.7109375" style="3" bestFit="1" customWidth="1"/>
    <col min="6" max="6" width="15" style="3" customWidth="1"/>
    <col min="7" max="7" width="13.5703125" style="3" bestFit="1" customWidth="1"/>
    <col min="8" max="8" width="13" style="3" customWidth="1"/>
    <col min="9" max="9" width="10.85546875" style="3" bestFit="1" customWidth="1"/>
    <col min="10" max="10" width="11.28515625" style="3" bestFit="1" customWidth="1"/>
    <col min="11" max="11" width="11.5703125" style="3" bestFit="1" customWidth="1"/>
    <col min="12" max="12" width="12.5703125" style="3" customWidth="1"/>
    <col min="13" max="35" width="11.28515625" style="3" bestFit="1" customWidth="1"/>
    <col min="36" max="38" width="9.85546875" style="3" bestFit="1" customWidth="1"/>
    <col min="39" max="41" width="10.7109375" style="3" bestFit="1" customWidth="1"/>
    <col min="42" max="59" width="12" style="3" bestFit="1" customWidth="1"/>
    <col min="60" max="99" width="12.85546875" style="3" bestFit="1" customWidth="1"/>
    <col min="100" max="16384" width="8" style="3"/>
  </cols>
  <sheetData>
    <row r="1" spans="1:9" s="10" customFormat="1" ht="13.9">
      <c r="A1" s="9" t="s">
        <v>43</v>
      </c>
      <c r="C1" s="9" t="str">
        <f>Disbursement!B1</f>
        <v>PARTEX PETRO LIMITED (PPL)</v>
      </c>
    </row>
    <row r="2" spans="1:9" s="10" customFormat="1" ht="13.9">
      <c r="A2" s="9"/>
    </row>
    <row r="3" spans="1:9" s="11" customFormat="1">
      <c r="A3" s="11" t="s">
        <v>44</v>
      </c>
      <c r="B3" s="3"/>
      <c r="C3" s="64">
        <v>42723</v>
      </c>
    </row>
    <row r="5" spans="1:9">
      <c r="A5" s="11" t="s">
        <v>45</v>
      </c>
      <c r="C5" s="65">
        <v>980000000</v>
      </c>
      <c r="D5" s="11"/>
      <c r="F5" s="11" t="s">
        <v>46</v>
      </c>
      <c r="H5" s="66">
        <v>36</v>
      </c>
      <c r="I5" s="3" t="s">
        <v>47</v>
      </c>
    </row>
    <row r="6" spans="1:9">
      <c r="A6" s="11"/>
      <c r="F6" s="11" t="s">
        <v>48</v>
      </c>
      <c r="H6" s="66">
        <v>39</v>
      </c>
      <c r="I6" s="3" t="s">
        <v>47</v>
      </c>
    </row>
    <row r="7" spans="1:9">
      <c r="A7" s="11" t="s">
        <v>49</v>
      </c>
      <c r="C7" s="64">
        <f>C22</f>
        <v>42808</v>
      </c>
      <c r="E7" s="50"/>
    </row>
    <row r="8" spans="1:9">
      <c r="A8" s="11"/>
      <c r="C8" s="50"/>
      <c r="E8" s="50"/>
      <c r="F8" s="11" t="s">
        <v>50</v>
      </c>
      <c r="H8" s="64">
        <f>EDATE(C22,H5)</f>
        <v>43904</v>
      </c>
    </row>
    <row r="9" spans="1:9">
      <c r="A9" s="11" t="s">
        <v>51</v>
      </c>
      <c r="C9" s="64">
        <v>42796</v>
      </c>
      <c r="E9" s="50"/>
      <c r="F9" s="11" t="s">
        <v>52</v>
      </c>
      <c r="H9" s="64">
        <f>EDATE(C22,H6)</f>
        <v>43996</v>
      </c>
    </row>
    <row r="10" spans="1:9">
      <c r="A10" s="11"/>
      <c r="C10" s="50"/>
    </row>
    <row r="11" spans="1:9">
      <c r="A11" s="11" t="s">
        <v>53</v>
      </c>
      <c r="C11" s="133">
        <v>0.1</v>
      </c>
    </row>
    <row r="12" spans="1:9">
      <c r="A12" s="11"/>
      <c r="C12" s="107"/>
    </row>
    <row r="13" spans="1:9">
      <c r="A13" s="11" t="s">
        <v>54</v>
      </c>
      <c r="C13" s="64" t="s">
        <v>55</v>
      </c>
    </row>
    <row r="14" spans="1:9">
      <c r="A14" s="11"/>
      <c r="C14" s="50"/>
    </row>
    <row r="15" spans="1:9">
      <c r="A15" s="11" t="s">
        <v>18</v>
      </c>
      <c r="C15" s="126" t="s">
        <v>56</v>
      </c>
      <c r="D15" s="120"/>
      <c r="E15" s="120"/>
    </row>
    <row r="16" spans="1:9">
      <c r="A16" s="11"/>
      <c r="C16" s="50"/>
    </row>
    <row r="17" spans="1:237">
      <c r="A17" s="56" t="s">
        <v>57</v>
      </c>
      <c r="C17" s="66">
        <v>360</v>
      </c>
      <c r="D17" s="50" t="s">
        <v>58</v>
      </c>
    </row>
    <row r="18" spans="1:237">
      <c r="A18" s="56"/>
      <c r="C18" s="5"/>
      <c r="D18" s="50"/>
    </row>
    <row r="19" spans="1:237">
      <c r="A19" s="56" t="s">
        <v>59</v>
      </c>
      <c r="B19" s="50"/>
      <c r="C19" s="66">
        <v>20</v>
      </c>
    </row>
    <row r="20" spans="1:237">
      <c r="A20" s="56"/>
      <c r="B20" s="53"/>
      <c r="C20" s="55"/>
    </row>
    <row r="21" spans="1:237">
      <c r="A21" s="56" t="s">
        <v>60</v>
      </c>
      <c r="B21" s="53"/>
      <c r="C21" s="55"/>
      <c r="K21" s="140"/>
    </row>
    <row r="22" spans="1:237" ht="26.45">
      <c r="A22" s="58"/>
      <c r="B22" s="59"/>
      <c r="C22" s="59">
        <f>Disbursement!B8</f>
        <v>42808</v>
      </c>
      <c r="D22" s="59">
        <f>Disbursement!B9</f>
        <v>42808</v>
      </c>
      <c r="E22" s="59">
        <f>Disbursement!B10</f>
        <v>43143</v>
      </c>
      <c r="F22" s="59">
        <f>Disbursement!B11</f>
        <v>43380</v>
      </c>
      <c r="G22" s="59"/>
      <c r="H22" s="59"/>
      <c r="K22" s="144" t="s">
        <v>61</v>
      </c>
      <c r="L22" s="145" t="s">
        <v>62</v>
      </c>
    </row>
    <row r="23" spans="1:237">
      <c r="A23" s="60"/>
      <c r="B23" s="61"/>
      <c r="C23" s="129">
        <f>Disbursement!C8</f>
        <v>90000000</v>
      </c>
      <c r="D23" s="129">
        <f>Disbursement!C9</f>
        <v>8715714.2899999991</v>
      </c>
      <c r="E23" s="129">
        <f>Disbursement!C10</f>
        <v>39593464.289999999</v>
      </c>
      <c r="F23" s="129">
        <f>Disbursement!C11</f>
        <v>379545656.25</v>
      </c>
      <c r="G23" s="130"/>
      <c r="H23" s="132"/>
      <c r="K23" s="142">
        <v>42948</v>
      </c>
      <c r="L23" s="141">
        <v>9.2499999999999999E-2</v>
      </c>
    </row>
    <row r="24" spans="1:237">
      <c r="A24" s="62"/>
      <c r="B24" s="63"/>
      <c r="C24" s="131">
        <f>C23</f>
        <v>90000000</v>
      </c>
      <c r="D24" s="131">
        <f>D23+C24</f>
        <v>98715714.289999992</v>
      </c>
      <c r="E24" s="131">
        <f>E23+D24</f>
        <v>138309178.57999998</v>
      </c>
      <c r="F24" s="131">
        <f>F23+E24</f>
        <v>517854834.82999998</v>
      </c>
      <c r="G24" s="131"/>
      <c r="H24" s="131"/>
      <c r="K24" s="142">
        <v>43191</v>
      </c>
      <c r="L24" s="141">
        <v>0.11</v>
      </c>
    </row>
    <row r="25" spans="1:237">
      <c r="A25" s="54"/>
      <c r="B25" s="53"/>
      <c r="C25" s="55"/>
    </row>
    <row r="26" spans="1:237">
      <c r="B26" s="50"/>
      <c r="C26" s="4"/>
      <c r="D26" s="4"/>
      <c r="E26" s="4"/>
      <c r="F26" s="1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AI26" s="3">
        <f>AI29-AH29</f>
        <v>74</v>
      </c>
    </row>
    <row r="27" spans="1:237">
      <c r="A27" s="11" t="s">
        <v>63</v>
      </c>
      <c r="C27" s="149" t="s">
        <v>64</v>
      </c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"/>
      <c r="Q27" s="1"/>
      <c r="R27" s="1"/>
      <c r="S27" s="1"/>
      <c r="T27" s="1"/>
      <c r="U27" s="1"/>
    </row>
    <row r="28" spans="1:237">
      <c r="A28" s="13" t="s">
        <v>65</v>
      </c>
      <c r="B28" s="14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">
        <v>1</v>
      </c>
      <c r="Q28" s="14">
        <f>P28+1</f>
        <v>2</v>
      </c>
      <c r="R28" s="14">
        <f t="shared" ref="R28:AI28" si="0">Q28+1</f>
        <v>3</v>
      </c>
      <c r="S28" s="14">
        <f t="shared" si="0"/>
        <v>4</v>
      </c>
      <c r="T28" s="14">
        <f t="shared" si="0"/>
        <v>5</v>
      </c>
      <c r="U28" s="14">
        <f t="shared" si="0"/>
        <v>6</v>
      </c>
      <c r="V28" s="14">
        <f t="shared" si="0"/>
        <v>7</v>
      </c>
      <c r="W28" s="14">
        <f t="shared" si="0"/>
        <v>8</v>
      </c>
      <c r="X28" s="14">
        <f t="shared" si="0"/>
        <v>9</v>
      </c>
      <c r="Y28" s="14">
        <f t="shared" si="0"/>
        <v>10</v>
      </c>
      <c r="Z28" s="14">
        <f t="shared" si="0"/>
        <v>11</v>
      </c>
      <c r="AA28" s="14">
        <f t="shared" si="0"/>
        <v>12</v>
      </c>
      <c r="AB28" s="14">
        <f t="shared" si="0"/>
        <v>13</v>
      </c>
      <c r="AC28" s="14">
        <f t="shared" si="0"/>
        <v>14</v>
      </c>
      <c r="AD28" s="14">
        <f t="shared" si="0"/>
        <v>15</v>
      </c>
      <c r="AE28" s="14">
        <f t="shared" si="0"/>
        <v>16</v>
      </c>
      <c r="AF28" s="14">
        <f t="shared" si="0"/>
        <v>17</v>
      </c>
      <c r="AG28" s="14">
        <f t="shared" si="0"/>
        <v>18</v>
      </c>
      <c r="AH28" s="14">
        <f t="shared" si="0"/>
        <v>19</v>
      </c>
      <c r="AI28" s="14">
        <f t="shared" si="0"/>
        <v>20</v>
      </c>
      <c r="AJ28" s="14"/>
      <c r="AK28" s="14"/>
      <c r="AL28" s="14"/>
      <c r="AM28" s="14"/>
      <c r="AN28" s="14"/>
      <c r="AO28" s="14"/>
      <c r="AP28" s="14"/>
    </row>
    <row r="29" spans="1:237">
      <c r="A29" s="151" t="s">
        <v>66</v>
      </c>
      <c r="B29" s="151"/>
      <c r="C29" s="71">
        <v>42825</v>
      </c>
      <c r="D29" s="71">
        <f t="shared" ref="D29:J29" si="1">EDATE(C29,3)</f>
        <v>42916</v>
      </c>
      <c r="E29" s="71">
        <f t="shared" si="1"/>
        <v>43008</v>
      </c>
      <c r="F29" s="71">
        <f t="shared" si="1"/>
        <v>43099</v>
      </c>
      <c r="G29" s="71">
        <f>EDATE(F29,3)+1</f>
        <v>43190</v>
      </c>
      <c r="H29" s="71">
        <f>EDATE(G29,3)</f>
        <v>43281</v>
      </c>
      <c r="I29" s="71">
        <f t="shared" si="1"/>
        <v>43373</v>
      </c>
      <c r="J29" s="71">
        <f t="shared" si="1"/>
        <v>43464</v>
      </c>
      <c r="K29" s="71">
        <f t="shared" ref="K29" si="2">EDATE(J29,3)+1</f>
        <v>43555</v>
      </c>
      <c r="L29" s="71">
        <f t="shared" ref="L29" si="3">EDATE(K29,3)</f>
        <v>43646</v>
      </c>
      <c r="M29" s="71">
        <f t="shared" ref="M29" si="4">EDATE(L29,3)</f>
        <v>43738</v>
      </c>
      <c r="N29" s="71">
        <f t="shared" ref="N29" si="5">EDATE(M29,3)</f>
        <v>43829</v>
      </c>
      <c r="O29" s="71">
        <f t="shared" ref="O29" si="6">EDATE(N29,3)+1</f>
        <v>43921</v>
      </c>
      <c r="P29" s="71">
        <f t="shared" ref="P29" si="7">EDATE(O29,3)</f>
        <v>44012</v>
      </c>
      <c r="Q29" s="71">
        <f t="shared" ref="Q29" si="8">EDATE(P29,3)</f>
        <v>44104</v>
      </c>
      <c r="R29" s="71">
        <f t="shared" ref="R29" si="9">EDATE(Q29,3)</f>
        <v>44195</v>
      </c>
      <c r="S29" s="71">
        <f t="shared" ref="S29" si="10">EDATE(R29,3)+1</f>
        <v>44286</v>
      </c>
      <c r="T29" s="71">
        <f t="shared" ref="T29" si="11">EDATE(S29,3)</f>
        <v>44377</v>
      </c>
      <c r="U29" s="71">
        <f t="shared" ref="U29" si="12">EDATE(T29,3)</f>
        <v>44469</v>
      </c>
      <c r="V29" s="71">
        <f t="shared" ref="V29" si="13">EDATE(U29,3)</f>
        <v>44560</v>
      </c>
      <c r="W29" s="71">
        <f t="shared" ref="W29" si="14">EDATE(V29,3)+1</f>
        <v>44651</v>
      </c>
      <c r="X29" s="71">
        <f t="shared" ref="X29" si="15">EDATE(W29,3)</f>
        <v>44742</v>
      </c>
      <c r="Y29" s="71">
        <f t="shared" ref="Y29" si="16">EDATE(X29,3)</f>
        <v>44834</v>
      </c>
      <c r="Z29" s="71">
        <f t="shared" ref="Z29" si="17">EDATE(Y29,3)</f>
        <v>44925</v>
      </c>
      <c r="AA29" s="71">
        <f t="shared" ref="AA29:AE29" si="18">EDATE(Z29,3)+1</f>
        <v>45016</v>
      </c>
      <c r="AB29" s="71">
        <f t="shared" ref="AB29" si="19">EDATE(AA29,3)</f>
        <v>45107</v>
      </c>
      <c r="AC29" s="71">
        <f t="shared" ref="AC29" si="20">EDATE(AB29,3)</f>
        <v>45199</v>
      </c>
      <c r="AD29" s="71">
        <f t="shared" ref="AD29" si="21">EDATE(AC29,3)</f>
        <v>45290</v>
      </c>
      <c r="AE29" s="71">
        <f t="shared" si="18"/>
        <v>45382</v>
      </c>
      <c r="AF29" s="71">
        <f t="shared" ref="AF29" si="22">EDATE(AE29,3)</f>
        <v>45473</v>
      </c>
      <c r="AG29" s="71">
        <f t="shared" ref="AG29" si="23">EDATE(AF29,3)</f>
        <v>45565</v>
      </c>
      <c r="AH29" s="71">
        <f t="shared" ref="AH29" si="24">EDATE(AG29,3)</f>
        <v>45656</v>
      </c>
      <c r="AI29" s="71">
        <f>EDATE(AH29,3)-16</f>
        <v>45730</v>
      </c>
      <c r="AJ29" s="71"/>
      <c r="AK29" s="71"/>
      <c r="AL29" s="71"/>
      <c r="AM29" s="71"/>
      <c r="AN29" s="71"/>
      <c r="AO29" s="71"/>
      <c r="AP29" s="71"/>
    </row>
    <row r="30" spans="1:237">
      <c r="A30" s="152" t="s">
        <v>67</v>
      </c>
      <c r="B30" s="152"/>
      <c r="C30" s="4">
        <f>C23+D23</f>
        <v>98715714.289999992</v>
      </c>
      <c r="D30" s="4">
        <f>C36</f>
        <v>99181871.829702765</v>
      </c>
      <c r="E30" s="4">
        <f t="shared" ref="E30:H30" si="25">D36</f>
        <v>101688969.14539804</v>
      </c>
      <c r="F30" s="4">
        <f t="shared" si="25"/>
        <v>104160576.03434868</v>
      </c>
      <c r="G30" s="4">
        <f>F36+E23</f>
        <v>146189517.12648514</v>
      </c>
      <c r="H30" s="4">
        <f t="shared" si="25"/>
        <v>149197648.76839095</v>
      </c>
      <c r="I30" s="4">
        <f t="shared" ref="I30:AD30" si="26">H36</f>
        <v>153300584.10952172</v>
      </c>
      <c r="J30" s="4">
        <f>I36+F23</f>
        <v>537155690.11282277</v>
      </c>
      <c r="K30" s="4">
        <f t="shared" si="26"/>
        <v>551279796.50925851</v>
      </c>
      <c r="L30" s="4">
        <f t="shared" si="26"/>
        <v>566608437.51775205</v>
      </c>
      <c r="M30" s="4">
        <f t="shared" si="26"/>
        <v>582363299.90539849</v>
      </c>
      <c r="N30" s="4">
        <f t="shared" si="26"/>
        <v>598734179.33607244</v>
      </c>
      <c r="O30" s="4">
        <f t="shared" si="26"/>
        <v>615382315.82261157</v>
      </c>
      <c r="P30" s="4">
        <f t="shared" si="26"/>
        <v>632681396.47851384</v>
      </c>
      <c r="Q30" s="4">
        <f t="shared" si="26"/>
        <v>601047326.6545881</v>
      </c>
      <c r="R30" s="4">
        <f t="shared" si="26"/>
        <v>569413256.83066237</v>
      </c>
      <c r="S30" s="4">
        <f t="shared" si="26"/>
        <v>537779187.00673664</v>
      </c>
      <c r="T30" s="4">
        <f t="shared" si="26"/>
        <v>506145117.18281096</v>
      </c>
      <c r="U30" s="4">
        <f t="shared" si="26"/>
        <v>474511047.35888529</v>
      </c>
      <c r="V30" s="4">
        <f t="shared" si="26"/>
        <v>442876977.53495961</v>
      </c>
      <c r="W30" s="4">
        <f t="shared" si="26"/>
        <v>411242907.71103394</v>
      </c>
      <c r="X30" s="4">
        <f t="shared" si="26"/>
        <v>379608837.88710827</v>
      </c>
      <c r="Y30" s="4">
        <f t="shared" si="26"/>
        <v>347974768.06318259</v>
      </c>
      <c r="Z30" s="4">
        <f t="shared" si="26"/>
        <v>316340698.23925692</v>
      </c>
      <c r="AA30" s="4">
        <f t="shared" si="26"/>
        <v>284706628.41533124</v>
      </c>
      <c r="AB30" s="4">
        <f t="shared" si="26"/>
        <v>253072558.59140554</v>
      </c>
      <c r="AC30" s="4">
        <f t="shared" si="26"/>
        <v>221438488.76747984</v>
      </c>
      <c r="AD30" s="4">
        <f t="shared" si="26"/>
        <v>189804418.94355413</v>
      </c>
      <c r="AE30" s="4">
        <f t="shared" ref="AE30" si="27">AD36</f>
        <v>158170349.11962843</v>
      </c>
      <c r="AF30" s="4">
        <f t="shared" ref="AF30" si="28">AE36</f>
        <v>126536279.29570274</v>
      </c>
      <c r="AG30" s="4">
        <f t="shared" ref="AG30" si="29">AF36</f>
        <v>94902209.471777052</v>
      </c>
      <c r="AH30" s="4">
        <f t="shared" ref="AH30" si="30">AG36</f>
        <v>63268139.647851363</v>
      </c>
      <c r="AI30" s="4">
        <f t="shared" ref="AI30" si="31">AH36</f>
        <v>31634069.82392567</v>
      </c>
      <c r="AJ30" s="4"/>
      <c r="AK30" s="4"/>
      <c r="AL30" s="4"/>
      <c r="AM30" s="4"/>
      <c r="AN30" s="4"/>
      <c r="AO30" s="4"/>
      <c r="AP30" s="4"/>
    </row>
    <row r="31" spans="1:237" s="7" customFormat="1">
      <c r="A31" s="150" t="s">
        <v>68</v>
      </c>
      <c r="B31" s="150"/>
      <c r="C31" s="147">
        <f>C30*(C29-C22)*$C$11/360</f>
        <v>466157.53970277775</v>
      </c>
      <c r="D31" s="147">
        <f>C36*(D29-C29)*$C$11/360</f>
        <v>2507097.3156952644</v>
      </c>
      <c r="E31" s="147">
        <f>D36*(K23-D29)*$C$11/360+D36*(E29-K23)*$L$23/360</f>
        <v>2471606.8889506469</v>
      </c>
      <c r="F31" s="147">
        <f>E36*(F29-E29)*$L$23/360</f>
        <v>2435476.8021364724</v>
      </c>
      <c r="G31" s="147">
        <f>F36*($E$22-F29)*$L$23/360+(F36+E23)*(G29-$E$22+1)*$L$23/360</f>
        <v>3008131.6419058014</v>
      </c>
      <c r="H31" s="147">
        <f>G36*(H29-G29-1)*$L$24/360</f>
        <v>4102935.3411307512</v>
      </c>
      <c r="I31" s="147">
        <f t="shared" ref="I31:AI31" si="32">H36*(I29-H29)*$L$24/360</f>
        <v>4309449.7533009993</v>
      </c>
      <c r="J31" s="147">
        <f>I36*(F22-I29)*$L$24/360+J30*(J29-F22)*$L$24/360</f>
        <v>14124106.396435712</v>
      </c>
      <c r="K31" s="147">
        <f t="shared" si="32"/>
        <v>15328641.008493548</v>
      </c>
      <c r="L31" s="147">
        <f t="shared" si="32"/>
        <v>15754862.387646385</v>
      </c>
      <c r="M31" s="147">
        <f t="shared" si="32"/>
        <v>16370879.430673981</v>
      </c>
      <c r="N31" s="147">
        <f t="shared" si="32"/>
        <v>16648136.486539125</v>
      </c>
      <c r="O31" s="147">
        <f t="shared" si="32"/>
        <v>17299080.655902304</v>
      </c>
      <c r="P31" s="7">
        <f t="shared" si="32"/>
        <v>17592057.718749788</v>
      </c>
      <c r="Q31" s="7">
        <f t="shared" si="32"/>
        <v>16896108.18262342</v>
      </c>
      <c r="R31" s="7">
        <f t="shared" si="32"/>
        <v>15832851.946874807</v>
      </c>
      <c r="S31" s="7">
        <f t="shared" si="32"/>
        <v>14953249.060937317</v>
      </c>
      <c r="T31" s="7">
        <f t="shared" si="32"/>
        <v>14073646.174999828</v>
      </c>
      <c r="U31" s="7">
        <f t="shared" si="32"/>
        <v>13339032.775755331</v>
      </c>
      <c r="V31" s="7">
        <f t="shared" si="32"/>
        <v>12314440.403124848</v>
      </c>
      <c r="W31" s="7">
        <f t="shared" si="32"/>
        <v>11434837.517187359</v>
      </c>
      <c r="X31" s="7">
        <f t="shared" si="32"/>
        <v>10555234.631249871</v>
      </c>
      <c r="Y31" s="7">
        <f t="shared" si="32"/>
        <v>9781957.3688872438</v>
      </c>
      <c r="Z31" s="7">
        <f t="shared" si="32"/>
        <v>8796028.8593748938</v>
      </c>
      <c r="AA31" s="7">
        <f t="shared" si="32"/>
        <v>7916425.9734374043</v>
      </c>
      <c r="AB31" s="7">
        <f t="shared" si="32"/>
        <v>7036823.0874999156</v>
      </c>
      <c r="AC31" s="7">
        <f t="shared" si="32"/>
        <v>6224881.9620191557</v>
      </c>
      <c r="AD31" s="7">
        <f t="shared" si="32"/>
        <v>5277617.3156249356</v>
      </c>
      <c r="AE31" s="7">
        <f t="shared" si="32"/>
        <v>4446344.2585851103</v>
      </c>
      <c r="AF31" s="7">
        <f t="shared" si="32"/>
        <v>3518411.5437499569</v>
      </c>
      <c r="AG31" s="7">
        <f t="shared" si="32"/>
        <v>2667806.5551510658</v>
      </c>
      <c r="AH31" s="7">
        <f t="shared" si="32"/>
        <v>1759205.7718749784</v>
      </c>
      <c r="AI31" s="7">
        <f t="shared" si="32"/>
        <v>715281.46768543043</v>
      </c>
    </row>
    <row r="32" spans="1:237">
      <c r="A32" s="153" t="s">
        <v>69</v>
      </c>
      <c r="B32" s="153"/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f t="shared" ref="P32:S32" si="33">P31+O32</f>
        <v>17592057.718749788</v>
      </c>
      <c r="Q32" s="4">
        <f t="shared" si="33"/>
        <v>34488165.901373208</v>
      </c>
      <c r="R32" s="4">
        <f t="shared" si="33"/>
        <v>50321017.848248012</v>
      </c>
      <c r="S32" s="4">
        <f t="shared" si="33"/>
        <v>65274266.909185328</v>
      </c>
      <c r="T32" s="4">
        <f t="shared" ref="T32:AC32" si="34">T31+S32</f>
        <v>79347913.084185153</v>
      </c>
      <c r="U32" s="4">
        <f t="shared" si="34"/>
        <v>92686945.859940484</v>
      </c>
      <c r="V32" s="4">
        <f t="shared" si="34"/>
        <v>105001386.26306534</v>
      </c>
      <c r="W32" s="4">
        <f t="shared" si="34"/>
        <v>116436223.7802527</v>
      </c>
      <c r="X32" s="4">
        <f t="shared" si="34"/>
        <v>126991458.41150257</v>
      </c>
      <c r="Y32" s="4">
        <f t="shared" si="34"/>
        <v>136773415.78038982</v>
      </c>
      <c r="Z32" s="4">
        <f t="shared" si="34"/>
        <v>145569444.6397647</v>
      </c>
      <c r="AA32" s="4">
        <f t="shared" si="34"/>
        <v>153485870.6132021</v>
      </c>
      <c r="AB32" s="4">
        <f t="shared" si="34"/>
        <v>160522693.70070201</v>
      </c>
      <c r="AC32" s="4">
        <f t="shared" si="34"/>
        <v>166747575.66272116</v>
      </c>
      <c r="AD32" s="4">
        <f>AD31+AC32</f>
        <v>172025192.97834608</v>
      </c>
      <c r="AE32" s="4">
        <f t="shared" ref="AE32:AI32" si="35">AE31+AD32</f>
        <v>176471537.2369312</v>
      </c>
      <c r="AF32" s="4">
        <f t="shared" si="35"/>
        <v>179989948.78068116</v>
      </c>
      <c r="AG32" s="4">
        <f t="shared" si="35"/>
        <v>182657755.33583224</v>
      </c>
      <c r="AH32" s="4">
        <f t="shared" si="35"/>
        <v>184416961.1077072</v>
      </c>
      <c r="AI32" s="4">
        <f t="shared" si="35"/>
        <v>185132242.57539263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</row>
    <row r="33" spans="1:99">
      <c r="A33" s="153" t="s">
        <v>70</v>
      </c>
      <c r="B33" s="153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f>$O$36/$C$19</f>
        <v>31634069.823925693</v>
      </c>
      <c r="Q33" s="4">
        <f t="shared" ref="Q33:AI33" si="36">$O$36/$C$19</f>
        <v>31634069.823925693</v>
      </c>
      <c r="R33" s="4">
        <f t="shared" si="36"/>
        <v>31634069.823925693</v>
      </c>
      <c r="S33" s="4">
        <f t="shared" si="36"/>
        <v>31634069.823925693</v>
      </c>
      <c r="T33" s="4">
        <f t="shared" si="36"/>
        <v>31634069.823925693</v>
      </c>
      <c r="U33" s="4">
        <f t="shared" si="36"/>
        <v>31634069.823925693</v>
      </c>
      <c r="V33" s="4">
        <f t="shared" si="36"/>
        <v>31634069.823925693</v>
      </c>
      <c r="W33" s="4">
        <f t="shared" si="36"/>
        <v>31634069.823925693</v>
      </c>
      <c r="X33" s="4">
        <f t="shared" si="36"/>
        <v>31634069.823925693</v>
      </c>
      <c r="Y33" s="4">
        <f t="shared" si="36"/>
        <v>31634069.823925693</v>
      </c>
      <c r="Z33" s="4">
        <f t="shared" si="36"/>
        <v>31634069.823925693</v>
      </c>
      <c r="AA33" s="4">
        <f t="shared" si="36"/>
        <v>31634069.823925693</v>
      </c>
      <c r="AB33" s="4">
        <f t="shared" si="36"/>
        <v>31634069.823925693</v>
      </c>
      <c r="AC33" s="4">
        <f t="shared" si="36"/>
        <v>31634069.823925693</v>
      </c>
      <c r="AD33" s="4">
        <f t="shared" si="36"/>
        <v>31634069.823925693</v>
      </c>
      <c r="AE33" s="4">
        <f t="shared" si="36"/>
        <v>31634069.823925693</v>
      </c>
      <c r="AF33" s="4">
        <f t="shared" si="36"/>
        <v>31634069.823925693</v>
      </c>
      <c r="AG33" s="4">
        <f t="shared" si="36"/>
        <v>31634069.823925693</v>
      </c>
      <c r="AH33" s="4">
        <f t="shared" si="36"/>
        <v>31634069.823925693</v>
      </c>
      <c r="AI33" s="4">
        <f t="shared" si="36"/>
        <v>31634069.823925693</v>
      </c>
      <c r="AJ33" s="4"/>
      <c r="AK33" s="4"/>
      <c r="AL33" s="4"/>
      <c r="AM33" s="4"/>
      <c r="AN33" s="4"/>
      <c r="AO33" s="4"/>
      <c r="AP33" s="4"/>
    </row>
    <row r="34" spans="1:99">
      <c r="A34" s="153" t="s">
        <v>71</v>
      </c>
      <c r="B34" s="153"/>
      <c r="C34" s="4">
        <f t="shared" ref="C34:AC34" si="37">C33+B34</f>
        <v>0</v>
      </c>
      <c r="D34" s="4">
        <f>D33+C34</f>
        <v>0</v>
      </c>
      <c r="E34" s="4">
        <f t="shared" si="37"/>
        <v>0</v>
      </c>
      <c r="F34" s="4">
        <f t="shared" si="37"/>
        <v>0</v>
      </c>
      <c r="G34" s="4">
        <f t="shared" si="37"/>
        <v>0</v>
      </c>
      <c r="H34" s="4">
        <f t="shared" si="37"/>
        <v>0</v>
      </c>
      <c r="I34" s="4">
        <f t="shared" si="37"/>
        <v>0</v>
      </c>
      <c r="J34" s="4">
        <f t="shared" si="37"/>
        <v>0</v>
      </c>
      <c r="K34" s="4">
        <f t="shared" si="37"/>
        <v>0</v>
      </c>
      <c r="L34" s="4">
        <f t="shared" si="37"/>
        <v>0</v>
      </c>
      <c r="M34" s="4">
        <f t="shared" si="37"/>
        <v>0</v>
      </c>
      <c r="N34" s="4">
        <f t="shared" si="37"/>
        <v>0</v>
      </c>
      <c r="O34" s="4">
        <f t="shared" si="37"/>
        <v>0</v>
      </c>
      <c r="P34" s="4">
        <f t="shared" si="37"/>
        <v>31634069.823925693</v>
      </c>
      <c r="Q34" s="4">
        <f t="shared" si="37"/>
        <v>63268139.647851385</v>
      </c>
      <c r="R34" s="4">
        <f t="shared" si="37"/>
        <v>94902209.471777081</v>
      </c>
      <c r="S34" s="4">
        <f t="shared" si="37"/>
        <v>126536279.29570277</v>
      </c>
      <c r="T34" s="4">
        <f t="shared" si="37"/>
        <v>158170349.11962846</v>
      </c>
      <c r="U34" s="4">
        <f t="shared" si="37"/>
        <v>189804418.94355416</v>
      </c>
      <c r="V34" s="4">
        <f t="shared" si="37"/>
        <v>221438488.76747987</v>
      </c>
      <c r="W34" s="4">
        <f t="shared" si="37"/>
        <v>253072558.59140557</v>
      </c>
      <c r="X34" s="4">
        <f t="shared" si="37"/>
        <v>284706628.41533124</v>
      </c>
      <c r="Y34" s="4">
        <f t="shared" si="37"/>
        <v>316340698.23925692</v>
      </c>
      <c r="Z34" s="4">
        <f t="shared" si="37"/>
        <v>347974768.06318259</v>
      </c>
      <c r="AA34" s="4">
        <f t="shared" si="37"/>
        <v>379608837.88710827</v>
      </c>
      <c r="AB34" s="4">
        <f t="shared" si="37"/>
        <v>411242907.71103394</v>
      </c>
      <c r="AC34" s="4">
        <f t="shared" si="37"/>
        <v>442876977.53495961</v>
      </c>
      <c r="AD34" s="4">
        <f>AD33+AC34</f>
        <v>474511047.35888529</v>
      </c>
      <c r="AE34" s="4">
        <f t="shared" ref="AE34:AI34" si="38">AE33+AD34</f>
        <v>506145117.18281096</v>
      </c>
      <c r="AF34" s="4">
        <f t="shared" si="38"/>
        <v>537779187.00673664</v>
      </c>
      <c r="AG34" s="4">
        <f t="shared" si="38"/>
        <v>569413256.83066237</v>
      </c>
      <c r="AH34" s="4">
        <f t="shared" si="38"/>
        <v>601047326.6545881</v>
      </c>
      <c r="AI34" s="4">
        <f t="shared" si="38"/>
        <v>632681396.47851384</v>
      </c>
      <c r="AJ34" s="4"/>
      <c r="AK34" s="4"/>
      <c r="AL34" s="4"/>
      <c r="AM34" s="4"/>
      <c r="AN34" s="4"/>
      <c r="AO34" s="4"/>
      <c r="AP34" s="4"/>
    </row>
    <row r="35" spans="1:99">
      <c r="A35" s="153" t="s">
        <v>72</v>
      </c>
      <c r="B35" s="153"/>
      <c r="C35" s="8">
        <f>C31+C33</f>
        <v>466157.53970277775</v>
      </c>
      <c r="D35" s="8">
        <f t="shared" ref="D35:R35" si="39">D33+D31</f>
        <v>2507097.3156952644</v>
      </c>
      <c r="E35" s="8">
        <f t="shared" si="39"/>
        <v>2471606.8889506469</v>
      </c>
      <c r="F35" s="8">
        <f t="shared" si="39"/>
        <v>2435476.8021364724</v>
      </c>
      <c r="G35" s="8">
        <f t="shared" si="39"/>
        <v>3008131.6419058014</v>
      </c>
      <c r="H35" s="8">
        <f t="shared" si="39"/>
        <v>4102935.3411307512</v>
      </c>
      <c r="I35" s="8">
        <f t="shared" si="39"/>
        <v>4309449.7533009993</v>
      </c>
      <c r="J35" s="8">
        <f t="shared" si="39"/>
        <v>14124106.396435712</v>
      </c>
      <c r="K35" s="8">
        <f t="shared" si="39"/>
        <v>15328641.008493548</v>
      </c>
      <c r="L35" s="8">
        <f t="shared" si="39"/>
        <v>15754862.387646385</v>
      </c>
      <c r="M35" s="8">
        <f t="shared" si="39"/>
        <v>16370879.430673981</v>
      </c>
      <c r="N35" s="8">
        <f t="shared" si="39"/>
        <v>16648136.486539125</v>
      </c>
      <c r="O35" s="8">
        <f t="shared" si="39"/>
        <v>17299080.655902304</v>
      </c>
      <c r="P35" s="8">
        <f t="shared" si="39"/>
        <v>49226127.54267548</v>
      </c>
      <c r="Q35" s="8">
        <f t="shared" si="39"/>
        <v>48530178.006549112</v>
      </c>
      <c r="R35" s="8">
        <f t="shared" si="39"/>
        <v>47466921.770800501</v>
      </c>
      <c r="S35" s="8">
        <f>S33+S31</f>
        <v>46587318.884863012</v>
      </c>
      <c r="T35" s="8">
        <f t="shared" ref="T35:AC35" si="40">T33+T31</f>
        <v>45707715.998925522</v>
      </c>
      <c r="U35" s="8">
        <f t="shared" si="40"/>
        <v>44973102.59968102</v>
      </c>
      <c r="V35" s="8">
        <f t="shared" si="40"/>
        <v>43948510.227050543</v>
      </c>
      <c r="W35" s="8">
        <f t="shared" si="40"/>
        <v>43068907.341113053</v>
      </c>
      <c r="X35" s="8">
        <f t="shared" si="40"/>
        <v>42189304.455175564</v>
      </c>
      <c r="Y35" s="8">
        <f t="shared" si="40"/>
        <v>41416027.192812935</v>
      </c>
      <c r="Z35" s="8">
        <f t="shared" si="40"/>
        <v>40430098.683300585</v>
      </c>
      <c r="AA35" s="8">
        <f t="shared" si="40"/>
        <v>39550495.797363095</v>
      </c>
      <c r="AB35" s="8">
        <f t="shared" si="40"/>
        <v>38670892.911425605</v>
      </c>
      <c r="AC35" s="8">
        <f t="shared" si="40"/>
        <v>37858951.785944849</v>
      </c>
      <c r="AD35" s="8">
        <f>AD33+AD31</f>
        <v>36911687.139550626</v>
      </c>
      <c r="AE35" s="8">
        <f t="shared" ref="AE35:AI35" si="41">AE33+AE31</f>
        <v>36080414.082510799</v>
      </c>
      <c r="AF35" s="8">
        <f t="shared" si="41"/>
        <v>35152481.367675647</v>
      </c>
      <c r="AG35" s="8">
        <f t="shared" si="41"/>
        <v>34301876.379076757</v>
      </c>
      <c r="AH35" s="8">
        <f t="shared" si="41"/>
        <v>33393275.595800672</v>
      </c>
      <c r="AI35" s="8">
        <f t="shared" si="41"/>
        <v>32349351.291611124</v>
      </c>
      <c r="AJ35" s="8"/>
      <c r="AK35" s="8"/>
      <c r="AL35" s="8"/>
      <c r="AM35" s="8"/>
      <c r="AN35" s="8"/>
      <c r="AO35" s="8"/>
      <c r="AP35" s="8"/>
    </row>
    <row r="36" spans="1:99" ht="13.9" thickBot="1">
      <c r="A36" s="154" t="s">
        <v>73</v>
      </c>
      <c r="B36" s="154"/>
      <c r="C36" s="15">
        <f>C30+C31</f>
        <v>99181871.829702765</v>
      </c>
      <c r="D36" s="15">
        <f t="shared" ref="D36:O36" si="42">D30+D31</f>
        <v>101688969.14539804</v>
      </c>
      <c r="E36" s="15">
        <f t="shared" si="42"/>
        <v>104160576.03434868</v>
      </c>
      <c r="F36" s="15">
        <f t="shared" si="42"/>
        <v>106596052.83648515</v>
      </c>
      <c r="G36" s="15">
        <f t="shared" si="42"/>
        <v>149197648.76839095</v>
      </c>
      <c r="H36" s="15">
        <f t="shared" si="42"/>
        <v>153300584.10952172</v>
      </c>
      <c r="I36" s="15">
        <f t="shared" si="42"/>
        <v>157610033.86282271</v>
      </c>
      <c r="J36" s="15">
        <f t="shared" si="42"/>
        <v>551279796.50925851</v>
      </c>
      <c r="K36" s="15">
        <f t="shared" si="42"/>
        <v>566608437.51775205</v>
      </c>
      <c r="L36" s="15">
        <f t="shared" si="42"/>
        <v>582363299.90539849</v>
      </c>
      <c r="M36" s="15">
        <f t="shared" si="42"/>
        <v>598734179.33607244</v>
      </c>
      <c r="N36" s="15">
        <f t="shared" si="42"/>
        <v>615382315.82261157</v>
      </c>
      <c r="O36" s="15">
        <f t="shared" si="42"/>
        <v>632681396.47851384</v>
      </c>
      <c r="P36" s="15">
        <f t="shared" ref="P36:R36" si="43">P30-P33</f>
        <v>601047326.6545881</v>
      </c>
      <c r="Q36" s="15">
        <f t="shared" si="43"/>
        <v>569413256.83066237</v>
      </c>
      <c r="R36" s="15">
        <f t="shared" si="43"/>
        <v>537779187.00673664</v>
      </c>
      <c r="S36" s="15">
        <f>S30-S33</f>
        <v>506145117.18281096</v>
      </c>
      <c r="T36" s="15">
        <f t="shared" ref="T36:AC36" si="44">T30-T33</f>
        <v>474511047.35888529</v>
      </c>
      <c r="U36" s="15">
        <f t="shared" si="44"/>
        <v>442876977.53495961</v>
      </c>
      <c r="V36" s="15">
        <f t="shared" si="44"/>
        <v>411242907.71103394</v>
      </c>
      <c r="W36" s="15">
        <f t="shared" si="44"/>
        <v>379608837.88710827</v>
      </c>
      <c r="X36" s="15">
        <f t="shared" si="44"/>
        <v>347974768.06318259</v>
      </c>
      <c r="Y36" s="15">
        <f t="shared" si="44"/>
        <v>316340698.23925692</v>
      </c>
      <c r="Z36" s="15">
        <f t="shared" si="44"/>
        <v>284706628.41533124</v>
      </c>
      <c r="AA36" s="15">
        <f t="shared" si="44"/>
        <v>253072558.59140554</v>
      </c>
      <c r="AB36" s="15">
        <f t="shared" si="44"/>
        <v>221438488.76747984</v>
      </c>
      <c r="AC36" s="15">
        <f t="shared" si="44"/>
        <v>189804418.94355413</v>
      </c>
      <c r="AD36" s="15">
        <f>AD30-AD33</f>
        <v>158170349.11962843</v>
      </c>
      <c r="AE36" s="15">
        <f t="shared" ref="AE36:AI36" si="45">AE30-AE33</f>
        <v>126536279.29570274</v>
      </c>
      <c r="AF36" s="15">
        <f t="shared" si="45"/>
        <v>94902209.471777052</v>
      </c>
      <c r="AG36" s="15">
        <f t="shared" si="45"/>
        <v>63268139.647851363</v>
      </c>
      <c r="AH36" s="15">
        <f t="shared" si="45"/>
        <v>31634069.82392567</v>
      </c>
      <c r="AI36" s="15">
        <f t="shared" si="45"/>
        <v>0</v>
      </c>
      <c r="AJ36" s="15"/>
      <c r="AK36" s="15"/>
      <c r="AL36" s="15"/>
      <c r="AM36" s="15"/>
      <c r="AN36" s="15"/>
      <c r="AO36" s="15"/>
      <c r="AP36" s="15"/>
    </row>
    <row r="37" spans="1:99"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99"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99">
      <c r="A39" s="136" t="s">
        <v>74</v>
      </c>
      <c r="B39" s="137">
        <f>SUM(C31:O31)</f>
        <v>114826561.64851376</v>
      </c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99"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99">
      <c r="A41" s="13" t="s">
        <v>75</v>
      </c>
      <c r="B41" s="13"/>
      <c r="C41" s="138">
        <v>42825</v>
      </c>
      <c r="D41" s="138">
        <f>EOMONTH(C41,1)</f>
        <v>42855</v>
      </c>
      <c r="E41" s="138">
        <f t="shared" ref="E41:M41" si="46">EOMONTH(D41,1)</f>
        <v>42886</v>
      </c>
      <c r="F41" s="138">
        <f t="shared" si="46"/>
        <v>42916</v>
      </c>
      <c r="G41" s="138">
        <f t="shared" si="46"/>
        <v>42947</v>
      </c>
      <c r="H41" s="138">
        <f t="shared" si="46"/>
        <v>42978</v>
      </c>
      <c r="I41" s="138">
        <f t="shared" si="46"/>
        <v>43008</v>
      </c>
      <c r="J41" s="138">
        <f t="shared" si="46"/>
        <v>43039</v>
      </c>
      <c r="K41" s="138">
        <f t="shared" si="46"/>
        <v>43069</v>
      </c>
      <c r="L41" s="138">
        <f t="shared" si="46"/>
        <v>43100</v>
      </c>
      <c r="M41" s="138">
        <f t="shared" si="46"/>
        <v>43131</v>
      </c>
      <c r="N41" s="138">
        <f t="shared" ref="N41" si="47">EOMONTH(M41,1)</f>
        <v>43159</v>
      </c>
      <c r="O41" s="138">
        <f t="shared" ref="O41" si="48">EOMONTH(N41,1)</f>
        <v>43190</v>
      </c>
      <c r="P41" s="138">
        <f t="shared" ref="P41" si="49">EOMONTH(O41,1)</f>
        <v>43220</v>
      </c>
      <c r="Q41" s="138">
        <f t="shared" ref="Q41" si="50">EOMONTH(P41,1)</f>
        <v>43251</v>
      </c>
      <c r="R41" s="138">
        <f t="shared" ref="R41" si="51">EOMONTH(Q41,1)</f>
        <v>43281</v>
      </c>
      <c r="S41" s="138">
        <f t="shared" ref="S41" si="52">EOMONTH(R41,1)</f>
        <v>43312</v>
      </c>
      <c r="T41" s="138">
        <f t="shared" ref="T41" si="53">EOMONTH(S41,1)</f>
        <v>43343</v>
      </c>
      <c r="U41" s="138">
        <f t="shared" ref="U41" si="54">EOMONTH(T41,1)</f>
        <v>43373</v>
      </c>
      <c r="V41" s="138">
        <f t="shared" ref="V41" si="55">EOMONTH(U41,1)</f>
        <v>43404</v>
      </c>
      <c r="W41" s="138">
        <f t="shared" ref="W41" si="56">EOMONTH(V41,1)</f>
        <v>43434</v>
      </c>
      <c r="X41" s="138">
        <f t="shared" ref="X41" si="57">EOMONTH(W41,1)</f>
        <v>43465</v>
      </c>
      <c r="Y41" s="138">
        <f t="shared" ref="Y41" si="58">EOMONTH(X41,1)</f>
        <v>43496</v>
      </c>
      <c r="Z41" s="138">
        <f t="shared" ref="Z41" si="59">EOMONTH(Y41,1)</f>
        <v>43524</v>
      </c>
      <c r="AA41" s="138">
        <f t="shared" ref="AA41" si="60">EOMONTH(Z41,1)</f>
        <v>43555</v>
      </c>
      <c r="AB41" s="138">
        <f t="shared" ref="AB41" si="61">EOMONTH(AA41,1)</f>
        <v>43585</v>
      </c>
      <c r="AC41" s="138">
        <f t="shared" ref="AC41" si="62">EOMONTH(AB41,1)</f>
        <v>43616</v>
      </c>
      <c r="AD41" s="138">
        <f t="shared" ref="AD41" si="63">EOMONTH(AC41,1)</f>
        <v>43646</v>
      </c>
      <c r="AE41" s="138">
        <f t="shared" ref="AE41" si="64">EOMONTH(AD41,1)</f>
        <v>43677</v>
      </c>
      <c r="AF41" s="138">
        <f t="shared" ref="AF41" si="65">EOMONTH(AE41,1)</f>
        <v>43708</v>
      </c>
      <c r="AG41" s="138">
        <f t="shared" ref="AG41" si="66">EOMONTH(AF41,1)</f>
        <v>43738</v>
      </c>
      <c r="AH41" s="138">
        <f t="shared" ref="AH41" si="67">EOMONTH(AG41,1)</f>
        <v>43769</v>
      </c>
      <c r="AI41" s="138">
        <f t="shared" ref="AI41" si="68">EOMONTH(AH41,1)</f>
        <v>43799</v>
      </c>
      <c r="AJ41" s="138">
        <f t="shared" ref="AJ41" si="69">EOMONTH(AI41,1)</f>
        <v>43830</v>
      </c>
      <c r="AK41" s="138">
        <f t="shared" ref="AK41" si="70">EOMONTH(AJ41,1)</f>
        <v>43861</v>
      </c>
      <c r="AL41" s="138">
        <f t="shared" ref="AL41" si="71">EOMONTH(AK41,1)</f>
        <v>43890</v>
      </c>
      <c r="AM41" s="138">
        <f t="shared" ref="AM41" si="72">EOMONTH(AL41,1)</f>
        <v>43921</v>
      </c>
      <c r="AN41" s="138">
        <f t="shared" ref="AN41" si="73">EOMONTH(AM41,1)</f>
        <v>43951</v>
      </c>
      <c r="AO41" s="138">
        <f t="shared" ref="AO41" si="74">EOMONTH(AN41,1)</f>
        <v>43982</v>
      </c>
      <c r="AP41" s="138">
        <f t="shared" ref="AP41" si="75">EOMONTH(AO41,1)</f>
        <v>44012</v>
      </c>
      <c r="AQ41" s="138">
        <f t="shared" ref="AQ41" si="76">EOMONTH(AP41,1)</f>
        <v>44043</v>
      </c>
      <c r="AR41" s="138">
        <f t="shared" ref="AR41" si="77">EOMONTH(AQ41,1)</f>
        <v>44074</v>
      </c>
      <c r="AS41" s="138">
        <f t="shared" ref="AS41" si="78">EOMONTH(AR41,1)</f>
        <v>44104</v>
      </c>
      <c r="AT41" s="138">
        <f t="shared" ref="AT41" si="79">EOMONTH(AS41,1)</f>
        <v>44135</v>
      </c>
      <c r="AU41" s="138">
        <f t="shared" ref="AU41" si="80">EOMONTH(AT41,1)</f>
        <v>44165</v>
      </c>
      <c r="AV41" s="138">
        <f t="shared" ref="AV41" si="81">EOMONTH(AU41,1)</f>
        <v>44196</v>
      </c>
      <c r="AW41" s="138">
        <f t="shared" ref="AW41" si="82">EOMONTH(AV41,1)</f>
        <v>44227</v>
      </c>
      <c r="AX41" s="138">
        <f t="shared" ref="AX41" si="83">EOMONTH(AW41,1)</f>
        <v>44255</v>
      </c>
      <c r="AY41" s="138">
        <f t="shared" ref="AY41" si="84">EOMONTH(AX41,1)</f>
        <v>44286</v>
      </c>
      <c r="AZ41" s="138">
        <f t="shared" ref="AZ41" si="85">EOMONTH(AY41,1)</f>
        <v>44316</v>
      </c>
      <c r="BA41" s="138">
        <f t="shared" ref="BA41" si="86">EOMONTH(AZ41,1)</f>
        <v>44347</v>
      </c>
      <c r="BB41" s="138">
        <f t="shared" ref="BB41" si="87">EOMONTH(BA41,1)</f>
        <v>44377</v>
      </c>
      <c r="BC41" s="138">
        <f t="shared" ref="BC41" si="88">EOMONTH(BB41,1)</f>
        <v>44408</v>
      </c>
      <c r="BD41" s="138">
        <f t="shared" ref="BD41" si="89">EOMONTH(BC41,1)</f>
        <v>44439</v>
      </c>
      <c r="BE41" s="138">
        <f t="shared" ref="BE41" si="90">EOMONTH(BD41,1)</f>
        <v>44469</v>
      </c>
      <c r="BF41" s="138">
        <f t="shared" ref="BF41" si="91">EOMONTH(BE41,1)</f>
        <v>44500</v>
      </c>
      <c r="BG41" s="138">
        <f t="shared" ref="BG41" si="92">EOMONTH(BF41,1)</f>
        <v>44530</v>
      </c>
      <c r="BH41" s="138">
        <f t="shared" ref="BH41" si="93">EOMONTH(BG41,1)</f>
        <v>44561</v>
      </c>
      <c r="BI41" s="138">
        <f t="shared" ref="BI41" si="94">EOMONTH(BH41,1)</f>
        <v>44592</v>
      </c>
      <c r="BJ41" s="138">
        <f t="shared" ref="BJ41" si="95">EOMONTH(BI41,1)</f>
        <v>44620</v>
      </c>
      <c r="BK41" s="138">
        <f t="shared" ref="BK41" si="96">EOMONTH(BJ41,1)</f>
        <v>44651</v>
      </c>
      <c r="BL41" s="138">
        <f t="shared" ref="BL41" si="97">EOMONTH(BK41,1)</f>
        <v>44681</v>
      </c>
      <c r="BM41" s="138">
        <f t="shared" ref="BM41" si="98">EOMONTH(BL41,1)</f>
        <v>44712</v>
      </c>
      <c r="BN41" s="138">
        <f t="shared" ref="BN41" si="99">EOMONTH(BM41,1)</f>
        <v>44742</v>
      </c>
      <c r="BO41" s="138">
        <f t="shared" ref="BO41" si="100">EOMONTH(BN41,1)</f>
        <v>44773</v>
      </c>
      <c r="BP41" s="138">
        <f t="shared" ref="BP41" si="101">EOMONTH(BO41,1)</f>
        <v>44804</v>
      </c>
      <c r="BQ41" s="138">
        <f t="shared" ref="BQ41" si="102">EOMONTH(BP41,1)</f>
        <v>44834</v>
      </c>
      <c r="BR41" s="138">
        <f t="shared" ref="BR41" si="103">EOMONTH(BQ41,1)</f>
        <v>44865</v>
      </c>
      <c r="BS41" s="138">
        <f t="shared" ref="BS41" si="104">EOMONTH(BR41,1)</f>
        <v>44895</v>
      </c>
      <c r="BT41" s="138">
        <f t="shared" ref="BT41" si="105">EOMONTH(BS41,1)</f>
        <v>44926</v>
      </c>
      <c r="BU41" s="138">
        <f t="shared" ref="BU41" si="106">EOMONTH(BT41,1)</f>
        <v>44957</v>
      </c>
      <c r="BV41" s="138">
        <f t="shared" ref="BV41" si="107">EOMONTH(BU41,1)</f>
        <v>44985</v>
      </c>
      <c r="BW41" s="138">
        <f t="shared" ref="BW41" si="108">EOMONTH(BV41,1)</f>
        <v>45016</v>
      </c>
      <c r="BX41" s="138">
        <f t="shared" ref="BX41" si="109">EOMONTH(BW41,1)</f>
        <v>45046</v>
      </c>
      <c r="BY41" s="138">
        <f t="shared" ref="BY41" si="110">EOMONTH(BX41,1)</f>
        <v>45077</v>
      </c>
      <c r="BZ41" s="138">
        <f t="shared" ref="BZ41" si="111">EOMONTH(BY41,1)</f>
        <v>45107</v>
      </c>
      <c r="CA41" s="138">
        <f t="shared" ref="CA41" si="112">EOMONTH(BZ41,1)</f>
        <v>45138</v>
      </c>
      <c r="CB41" s="138">
        <f t="shared" ref="CB41" si="113">EOMONTH(CA41,1)</f>
        <v>45169</v>
      </c>
      <c r="CC41" s="138">
        <f t="shared" ref="CC41" si="114">EOMONTH(CB41,1)</f>
        <v>45199</v>
      </c>
      <c r="CD41" s="138">
        <f t="shared" ref="CD41" si="115">EOMONTH(CC41,1)</f>
        <v>45230</v>
      </c>
      <c r="CE41" s="138">
        <f t="shared" ref="CE41" si="116">EOMONTH(CD41,1)</f>
        <v>45260</v>
      </c>
      <c r="CF41" s="138">
        <f t="shared" ref="CF41" si="117">EOMONTH(CE41,1)</f>
        <v>45291</v>
      </c>
      <c r="CG41" s="138">
        <f t="shared" ref="CG41" si="118">EOMONTH(CF41,1)</f>
        <v>45322</v>
      </c>
      <c r="CH41" s="138">
        <f t="shared" ref="CH41" si="119">EOMONTH(CG41,1)</f>
        <v>45351</v>
      </c>
      <c r="CI41" s="138">
        <f t="shared" ref="CI41" si="120">EOMONTH(CH41,1)</f>
        <v>45382</v>
      </c>
      <c r="CJ41" s="138">
        <f t="shared" ref="CJ41" si="121">EOMONTH(CI41,1)</f>
        <v>45412</v>
      </c>
      <c r="CK41" s="138">
        <f t="shared" ref="CK41" si="122">EOMONTH(CJ41,1)</f>
        <v>45443</v>
      </c>
      <c r="CL41" s="138">
        <f t="shared" ref="CL41" si="123">EOMONTH(CK41,1)</f>
        <v>45473</v>
      </c>
      <c r="CM41" s="138">
        <f t="shared" ref="CM41" si="124">EOMONTH(CL41,1)</f>
        <v>45504</v>
      </c>
      <c r="CN41" s="138">
        <f t="shared" ref="CN41" si="125">EOMONTH(CM41,1)</f>
        <v>45535</v>
      </c>
      <c r="CO41" s="138">
        <f t="shared" ref="CO41" si="126">EOMONTH(CN41,1)</f>
        <v>45565</v>
      </c>
      <c r="CP41" s="138">
        <f t="shared" ref="CP41" si="127">EOMONTH(CO41,1)</f>
        <v>45596</v>
      </c>
      <c r="CQ41" s="138">
        <f t="shared" ref="CQ41" si="128">EOMONTH(CP41,1)</f>
        <v>45626</v>
      </c>
      <c r="CR41" s="138">
        <f t="shared" ref="CR41" si="129">EOMONTH(CQ41,1)</f>
        <v>45657</v>
      </c>
      <c r="CS41" s="138">
        <f t="shared" ref="CS41" si="130">EOMONTH(CR41,1)</f>
        <v>45688</v>
      </c>
      <c r="CT41" s="138">
        <f t="shared" ref="CT41" si="131">EOMONTH(CS41,1)</f>
        <v>45716</v>
      </c>
      <c r="CU41" s="138">
        <f t="shared" ref="CU41" si="132">EOMONTH(CT41,1)</f>
        <v>45747</v>
      </c>
    </row>
    <row r="42" spans="1:99">
      <c r="A42" s="3" t="s">
        <v>76</v>
      </c>
      <c r="C42" s="8">
        <f>SUM(Accrual_PPL!$D$25)</f>
        <v>493708.05965547299</v>
      </c>
      <c r="D42" s="8">
        <f>SUM(Accrual_PPL!$D$25:E25)</f>
        <v>1320223.6582363294</v>
      </c>
      <c r="E42" s="8">
        <f>SUM(Accrual_PPL!$D$25:F25)</f>
        <v>2174289.7767698811</v>
      </c>
      <c r="F42" s="8">
        <f>SUM(Accrual_PPL!$D$25:G25)</f>
        <v>3001501.7912717639</v>
      </c>
      <c r="G42" s="8">
        <f>SUM(Accrual_PPL!$D$25:H25)</f>
        <v>3877156.803357136</v>
      </c>
      <c r="H42" s="8">
        <f>SUM(Accrual_PPL!$D$25:I25)</f>
        <v>4687137.6895361049</v>
      </c>
      <c r="I42" s="8">
        <f>SUM(Accrual_PPL!$D$25:J25)</f>
        <v>5471625.2256908482</v>
      </c>
      <c r="J42" s="8">
        <f>SUM(Accrual_PPL!$D$25:K25)</f>
        <v>6301293.1472977782</v>
      </c>
      <c r="K42" s="8">
        <f>SUM(Accrual_PPL!$D$25:L25)</f>
        <v>7104197.5875625489</v>
      </c>
      <c r="L42" s="8">
        <f>SUM(Accrual_PPL!$D$25:M25)</f>
        <v>7935117.0736372434</v>
      </c>
      <c r="M42" s="8">
        <f>SUM(Accrual_PPL!$D$25:N25)</f>
        <v>8784184.2444945239</v>
      </c>
      <c r="N42" s="8">
        <f>SUM(Accrual_PPL!$D$25:O25)</f>
        <v>9724030.0762793049</v>
      </c>
      <c r="O42" s="8">
        <f>SUM(Accrual_PPL!$D$25:P25)</f>
        <v>10888470.188390961</v>
      </c>
      <c r="P42" s="8">
        <f>SUM(Accrual_PPL!$D$25:Q25)</f>
        <v>12256115.302101212</v>
      </c>
      <c r="Q42" s="8">
        <f>SUM(Accrual_PPL!$D$25:R25)</f>
        <v>13669348.58626847</v>
      </c>
      <c r="R42" s="8">
        <f>SUM(Accrual_PPL!$D$25:S25)</f>
        <v>15038247.374666288</v>
      </c>
      <c r="S42" s="8">
        <f>SUM(Accrual_PPL!$D$25:T25)</f>
        <v>16490344.574148146</v>
      </c>
      <c r="T42" s="8">
        <f>SUM(Accrual_PPL!$D$25:U25)</f>
        <v>17942441.773630004</v>
      </c>
      <c r="U42" s="8">
        <f>SUM(Accrual_PPL!$D$25:V25)</f>
        <v>19349013.904280797</v>
      </c>
      <c r="V42" s="8">
        <f>SUM(Accrual_PPL!$D$25:W25)</f>
        <v>23741238.265835591</v>
      </c>
      <c r="W42" s="8">
        <f>SUM(Accrual_PPL!$D$25:X25)</f>
        <v>28665165.425203133</v>
      </c>
      <c r="X42" s="8">
        <f>SUM(Accrual_PPL!$D$25:Y25)</f>
        <v>33761854.888236307</v>
      </c>
      <c r="Y42" s="8">
        <f>SUM(Accrual_PPL!$D$25:Z25)</f>
        <v>38983699.627393447</v>
      </c>
      <c r="Z42" s="8">
        <f>SUM(Accrual_PPL!$D$25:AA25)</f>
        <v>43700204.55308377</v>
      </c>
      <c r="AA42" s="8">
        <f>SUM(Accrual_PPL!$D$25:AB25)</f>
        <v>48926733.043660179</v>
      </c>
      <c r="AB42" s="8">
        <f>SUM(Accrual_PPL!$D$25:AC25)</f>
        <v>54120643.720906243</v>
      </c>
      <c r="AC42" s="8">
        <f>SUM(Accrual_PPL!$D$25:AD25)</f>
        <v>59487684.754060507</v>
      </c>
      <c r="AD42" s="8">
        <f>SUM(Accrual_PPL!$D$25:AE25)</f>
        <v>64686409.417036124</v>
      </c>
      <c r="AE42" s="8">
        <f>SUM(Accrual_PPL!$D$25:AF25)</f>
        <v>70202684.007806703</v>
      </c>
      <c r="AF42" s="8">
        <f>SUM(Accrual_PPL!$D$25:AG25)</f>
        <v>75718958.598577291</v>
      </c>
      <c r="AG42" s="8">
        <f>SUM(Accrual_PPL!$D$25:AH25)</f>
        <v>81062291.060869485</v>
      </c>
      <c r="AH42" s="8">
        <f>SUM(Accrual_PPL!$D$25:AI25)</f>
        <v>86733634.259580612</v>
      </c>
      <c r="AI42" s="8">
        <f>SUM(Accrual_PPL!$D$25:AJ25)</f>
        <v>92222030.903494611</v>
      </c>
      <c r="AJ42" s="8">
        <f>SUM(Accrual_PPL!$D$25:AK25)</f>
        <v>97903547.96339196</v>
      </c>
      <c r="AK42" s="8">
        <f>SUM(Accrual_PPL!$D$25:AL25)</f>
        <v>103732586.01048948</v>
      </c>
      <c r="AL42" s="8">
        <f>SUM(Accrual_PPL!$D$25:AM25)</f>
        <v>109185557.08680651</v>
      </c>
      <c r="AM42" s="8">
        <f>SUM(Accrual_PPL!$D$25:AN25)</f>
        <v>115019880.96410444</v>
      </c>
      <c r="AN42" s="8">
        <f>SUM(Accrual_PPL!$D$25:AO25)</f>
        <v>120819460.43182415</v>
      </c>
      <c r="AO42" s="8">
        <f>SUM(Accrual_PPL!$D$25:AP25)</f>
        <v>126812359.21513452</v>
      </c>
      <c r="AP42" s="8">
        <f>SUM(Accrual_PPL!$D$25:AQ25)</f>
        <v>132602272.71707469</v>
      </c>
      <c r="AQ42" s="8">
        <f>SUM(Accrual_PPL!$D$25:AR25)</f>
        <v>138295526.56121954</v>
      </c>
      <c r="AR42" s="8">
        <f>SUM(Accrual_PPL!$D$25:AS25)</f>
        <v>143988780.40536439</v>
      </c>
      <c r="AS42" s="8">
        <f>SUM(Accrual_PPL!$D$25:AT25)</f>
        <v>149488714.9339186</v>
      </c>
      <c r="AT42" s="8">
        <f>SUM(Accrual_PPL!$D$25:AU25)</f>
        <v>154882323.83889791</v>
      </c>
      <c r="AU42" s="8">
        <f>SUM(Accrual_PPL!$D$25:AV25)</f>
        <v>160101945.35984564</v>
      </c>
      <c r="AV42" s="8">
        <f>SUM(Accrual_PPL!$D$25:AW25)</f>
        <v>165476222.3332659</v>
      </c>
      <c r="AW42" s="8">
        <f>SUM(Accrual_PPL!$D$25:AX25)</f>
        <v>170570186.29907972</v>
      </c>
      <c r="AX42" s="8">
        <f>SUM(Accrual_PPL!$D$25:AY25)</f>
        <v>175171186.01013735</v>
      </c>
      <c r="AY42" s="8">
        <f>SUM(Accrual_PPL!$D$25:AZ25)</f>
        <v>180255484.01017162</v>
      </c>
      <c r="AZ42" s="8">
        <f>SUM(Accrual_PPL!$D$25:BA25)</f>
        <v>184895147.5843474</v>
      </c>
      <c r="BA42" s="8">
        <f>SUM(Accrual_PPL!$D$25:BB25)</f>
        <v>189689466.61099568</v>
      </c>
      <c r="BB42" s="8">
        <f>SUM(Accrual_PPL!$D$25:BC25)</f>
        <v>194319464.21939191</v>
      </c>
      <c r="BC42" s="8">
        <f>SUM(Accrual_PPL!$D$25:BD25)</f>
        <v>198814138.30687469</v>
      </c>
      <c r="BD42" s="8">
        <f>SUM(Accrual_PPL!$D$25:BE25)</f>
        <v>203308812.39435747</v>
      </c>
      <c r="BE42" s="8">
        <f>SUM(Accrual_PPL!$D$25:BF25)</f>
        <v>207648831.02936772</v>
      </c>
      <c r="BF42" s="8">
        <f>SUM(Accrual_PPL!$D$25:BG25)</f>
        <v>211843860.17768496</v>
      </c>
      <c r="BG42" s="8">
        <f>SUM(Accrual_PPL!$D$25:BH25)</f>
        <v>215903565.80508876</v>
      </c>
      <c r="BH42" s="8">
        <f>SUM(Accrual_PPL!$D$25:BI25)</f>
        <v>220079263.02184695</v>
      </c>
      <c r="BI42" s="8">
        <f>SUM(Accrual_PPL!$D$25:BJ25)</f>
        <v>223974647.23099869</v>
      </c>
      <c r="BJ42" s="8">
        <f>SUM(Accrual_PPL!$D$25:BK25)</f>
        <v>227493058.77474865</v>
      </c>
      <c r="BK42" s="8">
        <f>SUM(Accrual_PPL!$D$25:BL25)</f>
        <v>231378777.01812086</v>
      </c>
      <c r="BL42" s="8">
        <f>SUM(Accrual_PPL!$D$25:BM25)</f>
        <v>234858524.69875267</v>
      </c>
      <c r="BM42" s="8">
        <f>SUM(Accrual_PPL!$D$25:BN25)</f>
        <v>238454263.96873888</v>
      </c>
      <c r="BN42" s="8">
        <f>SUM(Accrual_PPL!$D$25:BO25)</f>
        <v>241924345.68359119</v>
      </c>
      <c r="BO42" s="8">
        <f>SUM(Accrual_PPL!$D$25:BP25)</f>
        <v>245220440.0144119</v>
      </c>
      <c r="BP42" s="8">
        <f>SUM(Accrual_PPL!$D$25:BQ25)</f>
        <v>248516534.34523261</v>
      </c>
      <c r="BQ42" s="8">
        <f>SUM(Accrual_PPL!$D$25:BR25)</f>
        <v>251696637.08669892</v>
      </c>
      <c r="BR42" s="8">
        <f>SUM(Accrual_PPL!$D$25:BS25)</f>
        <v>254693086.4783541</v>
      </c>
      <c r="BS42" s="8">
        <f>SUM(Accrual_PPL!$D$25:BT25)</f>
        <v>257592876.21221396</v>
      </c>
      <c r="BT42" s="8">
        <f>SUM(Accrual_PPL!$D$25:BU25)</f>
        <v>260569993.67231008</v>
      </c>
      <c r="BU42" s="8">
        <f>SUM(Accrual_PPL!$D$25:BV25)</f>
        <v>263266798.12479976</v>
      </c>
      <c r="BV42" s="8">
        <f>SUM(Accrual_PPL!$D$25:BW25)</f>
        <v>265702621.50124204</v>
      </c>
      <c r="BW42" s="8">
        <f>SUM(Accrual_PPL!$D$25:BX25)</f>
        <v>268389759.98795217</v>
      </c>
      <c r="BX42" s="8">
        <f>SUM(Accrual_PPL!$D$25:BY25)</f>
        <v>270709591.77504003</v>
      </c>
      <c r="BY42" s="8">
        <f>SUM(Accrual_PPL!$D$25:BZ25)</f>
        <v>273106751.28836417</v>
      </c>
      <c r="BZ42" s="8">
        <f>SUM(Accrual_PPL!$D$25:CA25)</f>
        <v>275416917.10967255</v>
      </c>
      <c r="CA42" s="8">
        <f>SUM(Accrual_PPL!$D$25:CB25)</f>
        <v>277514431.68383116</v>
      </c>
      <c r="CB42" s="8">
        <f>SUM(Accrual_PPL!$D$25:CC25)</f>
        <v>279611946.25798976</v>
      </c>
      <c r="CC42" s="8">
        <f>SUM(Accrual_PPL!$D$25:CD25)</f>
        <v>281632133.10591215</v>
      </c>
      <c r="CD42" s="8">
        <f>SUM(Accrual_PPL!$D$25:CE25)</f>
        <v>283430002.74090528</v>
      </c>
      <c r="CE42" s="8">
        <f>SUM(Accrual_PPL!$D$25:CF25)</f>
        <v>285169876.58122122</v>
      </c>
      <c r="CF42" s="8">
        <f>SUM(Accrual_PPL!$D$25:CG25)</f>
        <v>286948414.28465527</v>
      </c>
      <c r="CG42" s="8">
        <f>SUM(Accrual_PPL!$D$25:CH25)</f>
        <v>288446638.98048288</v>
      </c>
      <c r="CH42" s="8">
        <f>SUM(Accrual_PPL!$D$25:CI25)</f>
        <v>289848204.01851511</v>
      </c>
      <c r="CI42" s="8">
        <f>SUM(Accrual_PPL!$D$25:CJ25)</f>
        <v>291336762.74856317</v>
      </c>
      <c r="CJ42" s="8">
        <f>SUM(Accrual_PPL!$D$25:CK25)</f>
        <v>292496678.64210713</v>
      </c>
      <c r="CK42" s="8">
        <f>SUM(Accrual_PPL!$D$25:CL25)</f>
        <v>293695258.3987692</v>
      </c>
      <c r="CL42" s="8">
        <f>SUM(Accrual_PPL!$D$25:CM25)</f>
        <v>294845508.32653362</v>
      </c>
      <c r="CM42" s="8">
        <f>SUM(Accrual_PPL!$D$25:CN25)</f>
        <v>295744443.14403015</v>
      </c>
      <c r="CN42" s="8">
        <f>SUM(Accrual_PPL!$D$25:CO25)</f>
        <v>296643377.96152669</v>
      </c>
      <c r="CO42" s="8">
        <f>SUM(Accrual_PPL!$D$25:CP25)</f>
        <v>297503648.91590512</v>
      </c>
      <c r="CP42" s="8">
        <f>SUM(Accrual_PPL!$D$25:CQ25)</f>
        <v>298102938.79423618</v>
      </c>
      <c r="CQ42" s="8">
        <f>SUM(Accrual_PPL!$D$25:CR25)</f>
        <v>298682896.74100816</v>
      </c>
      <c r="CR42" s="8">
        <f>SUM(Accrual_PPL!$D$25:CS25)</f>
        <v>299262854.68778014</v>
      </c>
      <c r="CS42" s="8">
        <f>SUM(Accrual_PPL!$D$25:CT25)</f>
        <v>299562499.62694567</v>
      </c>
      <c r="CT42" s="8">
        <f>SUM(Accrual_PPL!$D$25:CU25)</f>
        <v>299833146.66877258</v>
      </c>
      <c r="CU42" s="8">
        <f>SUM(Accrual_PPL!$D$25:CV25)</f>
        <v>299958804.22390652</v>
      </c>
    </row>
    <row r="43" spans="1:99">
      <c r="A43" s="3" t="s">
        <v>77</v>
      </c>
      <c r="C43" s="135">
        <f>SUM($C$31)</f>
        <v>466157.53970277775</v>
      </c>
      <c r="D43" s="135">
        <f>SUM($C$31)</f>
        <v>466157.53970277775</v>
      </c>
      <c r="E43" s="135">
        <f>SUM($C$31)</f>
        <v>466157.53970277775</v>
      </c>
      <c r="F43" s="135">
        <f>SUM($C$31:$D$31)</f>
        <v>2973254.8553980421</v>
      </c>
      <c r="G43" s="135">
        <f t="shared" ref="G43:H43" si="133">SUM($C$31:$D$31)</f>
        <v>2973254.8553980421</v>
      </c>
      <c r="H43" s="135">
        <f t="shared" si="133"/>
        <v>2973254.8553980421</v>
      </c>
      <c r="I43" s="135">
        <f>SUM($C$31:$E$31)</f>
        <v>5444861.744348689</v>
      </c>
      <c r="J43" s="135">
        <f t="shared" ref="J43:K43" si="134">SUM($C$31:$E$31)</f>
        <v>5444861.744348689</v>
      </c>
      <c r="K43" s="135">
        <f t="shared" si="134"/>
        <v>5444861.744348689</v>
      </c>
      <c r="L43" s="135">
        <f>SUM($C$31:$F$31)</f>
        <v>7880338.5464851614</v>
      </c>
      <c r="M43" s="135">
        <f t="shared" ref="M43:N43" si="135">SUM($C$31:$F$31)</f>
        <v>7880338.5464851614</v>
      </c>
      <c r="N43" s="135">
        <f t="shared" si="135"/>
        <v>7880338.5464851614</v>
      </c>
      <c r="O43" s="135">
        <f>SUM($C$31:$G$31)</f>
        <v>10888470.188390963</v>
      </c>
      <c r="P43" s="135">
        <f t="shared" ref="P43:Q43" si="136">SUM($C$31:$G$31)</f>
        <v>10888470.188390963</v>
      </c>
      <c r="Q43" s="135">
        <f t="shared" si="136"/>
        <v>10888470.188390963</v>
      </c>
      <c r="R43" s="135">
        <f>SUM($C$31:$H$31)</f>
        <v>14991405.529521715</v>
      </c>
      <c r="S43" s="135">
        <f t="shared" ref="S43:T43" si="137">SUM($C$31:$H$31)</f>
        <v>14991405.529521715</v>
      </c>
      <c r="T43" s="135">
        <f t="shared" si="137"/>
        <v>14991405.529521715</v>
      </c>
      <c r="U43" s="135">
        <f>SUM($C$31:$I$31)</f>
        <v>19300855.282822713</v>
      </c>
      <c r="V43" s="135">
        <f t="shared" ref="V43:W43" si="138">SUM($C$31:$I$31)</f>
        <v>19300855.282822713</v>
      </c>
      <c r="W43" s="135">
        <f t="shared" si="138"/>
        <v>19300855.282822713</v>
      </c>
      <c r="X43" s="135">
        <f>SUM($C$31:$J$31)</f>
        <v>33424961.679258425</v>
      </c>
      <c r="Y43" s="135">
        <f t="shared" ref="Y43:Z43" si="139">SUM($C$31:$J$31)</f>
        <v>33424961.679258425</v>
      </c>
      <c r="Z43" s="135">
        <f t="shared" si="139"/>
        <v>33424961.679258425</v>
      </c>
      <c r="AA43" s="135">
        <f>SUM($C$31:$K$31)</f>
        <v>48753602.687751971</v>
      </c>
      <c r="AB43" s="135">
        <f t="shared" ref="AB43:AC43" si="140">SUM($C$31:$K$31)</f>
        <v>48753602.687751971</v>
      </c>
      <c r="AC43" s="135">
        <f t="shared" si="140"/>
        <v>48753602.687751971</v>
      </c>
      <c r="AD43" s="135">
        <f>SUM($C$31:$L$31)</f>
        <v>64508465.075398356</v>
      </c>
      <c r="AE43" s="135">
        <f t="shared" ref="AE43:AF43" si="141">SUM($C$31:$L$31)</f>
        <v>64508465.075398356</v>
      </c>
      <c r="AF43" s="135">
        <f t="shared" si="141"/>
        <v>64508465.075398356</v>
      </c>
      <c r="AG43" s="135">
        <f>SUM($C$31:$M$31)</f>
        <v>80879344.506072342</v>
      </c>
      <c r="AH43" s="135">
        <f t="shared" ref="AH43:AI43" si="142">SUM($C$31:$M$31)</f>
        <v>80879344.506072342</v>
      </c>
      <c r="AI43" s="135">
        <f t="shared" si="142"/>
        <v>80879344.506072342</v>
      </c>
      <c r="AJ43" s="135">
        <f>SUM($C$31:$N$31)</f>
        <v>97527480.992611468</v>
      </c>
      <c r="AK43" s="135">
        <f t="shared" ref="AK43:AL43" si="143">SUM($C$31:$N$31)</f>
        <v>97527480.992611468</v>
      </c>
      <c r="AL43" s="135">
        <f t="shared" si="143"/>
        <v>97527480.992611468</v>
      </c>
      <c r="AM43" s="135">
        <f>SUM($C$31:$O$31)</f>
        <v>114826561.64851376</v>
      </c>
      <c r="AN43" s="135">
        <f t="shared" ref="AN43:CU43" si="144">SUM($C$31:$O$31)</f>
        <v>114826561.64851376</v>
      </c>
      <c r="AO43" s="135">
        <f t="shared" si="144"/>
        <v>114826561.64851376</v>
      </c>
      <c r="AP43" s="135">
        <f t="shared" si="144"/>
        <v>114826561.64851376</v>
      </c>
      <c r="AQ43" s="135">
        <f t="shared" si="144"/>
        <v>114826561.64851376</v>
      </c>
      <c r="AR43" s="135">
        <f t="shared" si="144"/>
        <v>114826561.64851376</v>
      </c>
      <c r="AS43" s="135">
        <f t="shared" si="144"/>
        <v>114826561.64851376</v>
      </c>
      <c r="AT43" s="135">
        <f t="shared" si="144"/>
        <v>114826561.64851376</v>
      </c>
      <c r="AU43" s="135">
        <f t="shared" si="144"/>
        <v>114826561.64851376</v>
      </c>
      <c r="AV43" s="135">
        <f t="shared" si="144"/>
        <v>114826561.64851376</v>
      </c>
      <c r="AW43" s="135">
        <f t="shared" si="144"/>
        <v>114826561.64851376</v>
      </c>
      <c r="AX43" s="135">
        <f t="shared" si="144"/>
        <v>114826561.64851376</v>
      </c>
      <c r="AY43" s="135">
        <f t="shared" si="144"/>
        <v>114826561.64851376</v>
      </c>
      <c r="AZ43" s="135">
        <f t="shared" si="144"/>
        <v>114826561.64851376</v>
      </c>
      <c r="BA43" s="135">
        <f t="shared" si="144"/>
        <v>114826561.64851376</v>
      </c>
      <c r="BB43" s="135">
        <f t="shared" si="144"/>
        <v>114826561.64851376</v>
      </c>
      <c r="BC43" s="135">
        <f t="shared" si="144"/>
        <v>114826561.64851376</v>
      </c>
      <c r="BD43" s="135">
        <f t="shared" si="144"/>
        <v>114826561.64851376</v>
      </c>
      <c r="BE43" s="135">
        <f t="shared" si="144"/>
        <v>114826561.64851376</v>
      </c>
      <c r="BF43" s="135">
        <f t="shared" si="144"/>
        <v>114826561.64851376</v>
      </c>
      <c r="BG43" s="135">
        <f t="shared" si="144"/>
        <v>114826561.64851376</v>
      </c>
      <c r="BH43" s="135">
        <f t="shared" si="144"/>
        <v>114826561.64851376</v>
      </c>
      <c r="BI43" s="135">
        <f t="shared" si="144"/>
        <v>114826561.64851376</v>
      </c>
      <c r="BJ43" s="135">
        <f t="shared" si="144"/>
        <v>114826561.64851376</v>
      </c>
      <c r="BK43" s="135">
        <f t="shared" si="144"/>
        <v>114826561.64851376</v>
      </c>
      <c r="BL43" s="135">
        <f t="shared" si="144"/>
        <v>114826561.64851376</v>
      </c>
      <c r="BM43" s="135">
        <f t="shared" si="144"/>
        <v>114826561.64851376</v>
      </c>
      <c r="BN43" s="135">
        <f t="shared" si="144"/>
        <v>114826561.64851376</v>
      </c>
      <c r="BO43" s="135">
        <f t="shared" si="144"/>
        <v>114826561.64851376</v>
      </c>
      <c r="BP43" s="135">
        <f t="shared" si="144"/>
        <v>114826561.64851376</v>
      </c>
      <c r="BQ43" s="135">
        <f t="shared" si="144"/>
        <v>114826561.64851376</v>
      </c>
      <c r="BR43" s="135">
        <f t="shared" si="144"/>
        <v>114826561.64851376</v>
      </c>
      <c r="BS43" s="135">
        <f t="shared" si="144"/>
        <v>114826561.64851376</v>
      </c>
      <c r="BT43" s="135">
        <f t="shared" si="144"/>
        <v>114826561.64851376</v>
      </c>
      <c r="BU43" s="135">
        <f t="shared" si="144"/>
        <v>114826561.64851376</v>
      </c>
      <c r="BV43" s="135">
        <f t="shared" si="144"/>
        <v>114826561.64851376</v>
      </c>
      <c r="BW43" s="135">
        <f t="shared" si="144"/>
        <v>114826561.64851376</v>
      </c>
      <c r="BX43" s="135">
        <f t="shared" si="144"/>
        <v>114826561.64851376</v>
      </c>
      <c r="BY43" s="135">
        <f t="shared" si="144"/>
        <v>114826561.64851376</v>
      </c>
      <c r="BZ43" s="135">
        <f t="shared" si="144"/>
        <v>114826561.64851376</v>
      </c>
      <c r="CA43" s="135">
        <f t="shared" si="144"/>
        <v>114826561.64851376</v>
      </c>
      <c r="CB43" s="135">
        <f t="shared" si="144"/>
        <v>114826561.64851376</v>
      </c>
      <c r="CC43" s="135">
        <f t="shared" si="144"/>
        <v>114826561.64851376</v>
      </c>
      <c r="CD43" s="135">
        <f t="shared" si="144"/>
        <v>114826561.64851376</v>
      </c>
      <c r="CE43" s="135">
        <f t="shared" si="144"/>
        <v>114826561.64851376</v>
      </c>
      <c r="CF43" s="135">
        <f t="shared" si="144"/>
        <v>114826561.64851376</v>
      </c>
      <c r="CG43" s="135">
        <f t="shared" si="144"/>
        <v>114826561.64851376</v>
      </c>
      <c r="CH43" s="135">
        <f t="shared" si="144"/>
        <v>114826561.64851376</v>
      </c>
      <c r="CI43" s="135">
        <f t="shared" si="144"/>
        <v>114826561.64851376</v>
      </c>
      <c r="CJ43" s="135">
        <f t="shared" si="144"/>
        <v>114826561.64851376</v>
      </c>
      <c r="CK43" s="135">
        <f t="shared" si="144"/>
        <v>114826561.64851376</v>
      </c>
      <c r="CL43" s="135">
        <f t="shared" si="144"/>
        <v>114826561.64851376</v>
      </c>
      <c r="CM43" s="135">
        <f t="shared" si="144"/>
        <v>114826561.64851376</v>
      </c>
      <c r="CN43" s="135">
        <f t="shared" si="144"/>
        <v>114826561.64851376</v>
      </c>
      <c r="CO43" s="135">
        <f t="shared" si="144"/>
        <v>114826561.64851376</v>
      </c>
      <c r="CP43" s="135">
        <f t="shared" si="144"/>
        <v>114826561.64851376</v>
      </c>
      <c r="CQ43" s="135">
        <f t="shared" si="144"/>
        <v>114826561.64851376</v>
      </c>
      <c r="CR43" s="135">
        <f t="shared" si="144"/>
        <v>114826561.64851376</v>
      </c>
      <c r="CS43" s="135">
        <f t="shared" si="144"/>
        <v>114826561.64851376</v>
      </c>
      <c r="CT43" s="135">
        <f t="shared" si="144"/>
        <v>114826561.64851376</v>
      </c>
      <c r="CU43" s="135">
        <f t="shared" si="144"/>
        <v>114826561.64851376</v>
      </c>
    </row>
    <row r="44" spans="1:99">
      <c r="A44" s="11" t="s">
        <v>78</v>
      </c>
      <c r="B44" s="11"/>
      <c r="C44" s="139">
        <f>C42-C43</f>
        <v>27550.519952695235</v>
      </c>
      <c r="D44" s="139">
        <f t="shared" ref="D44:M44" si="145">D42-D43</f>
        <v>854066.11853355169</v>
      </c>
      <c r="E44" s="139">
        <f t="shared" si="145"/>
        <v>1708132.2370671034</v>
      </c>
      <c r="F44" s="139">
        <f t="shared" si="145"/>
        <v>28246.935873721726</v>
      </c>
      <c r="G44" s="139">
        <f t="shared" si="145"/>
        <v>903901.94795909384</v>
      </c>
      <c r="H44" s="139">
        <f t="shared" si="145"/>
        <v>1713882.8341380628</v>
      </c>
      <c r="I44" s="139">
        <f t="shared" si="145"/>
        <v>26763.481342159212</v>
      </c>
      <c r="J44" s="139">
        <f t="shared" si="145"/>
        <v>856431.40294908918</v>
      </c>
      <c r="K44" s="139">
        <f t="shared" si="145"/>
        <v>1659335.8432138599</v>
      </c>
      <c r="L44" s="139">
        <f t="shared" si="145"/>
        <v>54778.527152081951</v>
      </c>
      <c r="M44" s="139">
        <f t="shared" si="145"/>
        <v>903845.69800936244</v>
      </c>
      <c r="N44" s="139">
        <f t="shared" ref="N44:BY44" si="146">N42-N43</f>
        <v>1843691.5297941435</v>
      </c>
      <c r="O44" s="139">
        <f t="shared" si="146"/>
        <v>0</v>
      </c>
      <c r="P44" s="139">
        <f t="shared" si="146"/>
        <v>1367645.1137102488</v>
      </c>
      <c r="Q44" s="139">
        <f t="shared" si="146"/>
        <v>2780878.3978775069</v>
      </c>
      <c r="R44" s="139">
        <f t="shared" si="146"/>
        <v>46841.845144573599</v>
      </c>
      <c r="S44" s="139">
        <f t="shared" si="146"/>
        <v>1498939.0446264315</v>
      </c>
      <c r="T44" s="139">
        <f t="shared" si="146"/>
        <v>2951036.2441082895</v>
      </c>
      <c r="U44" s="139">
        <f t="shared" si="146"/>
        <v>48158.621458083391</v>
      </c>
      <c r="V44" s="139">
        <f t="shared" si="146"/>
        <v>4440382.9830128774</v>
      </c>
      <c r="W44" s="139">
        <f t="shared" si="146"/>
        <v>9364310.1423804201</v>
      </c>
      <c r="X44" s="139">
        <f t="shared" si="146"/>
        <v>336893.20897788182</v>
      </c>
      <c r="Y44" s="139">
        <f t="shared" si="146"/>
        <v>5558737.9481350221</v>
      </c>
      <c r="Z44" s="139">
        <f t="shared" si="146"/>
        <v>10275242.873825345</v>
      </c>
      <c r="AA44" s="139">
        <f t="shared" si="146"/>
        <v>173130.3559082076</v>
      </c>
      <c r="AB44" s="139">
        <f t="shared" si="146"/>
        <v>5367041.0331542715</v>
      </c>
      <c r="AC44" s="139">
        <f t="shared" si="146"/>
        <v>10734082.066308536</v>
      </c>
      <c r="AD44" s="139">
        <f t="shared" si="146"/>
        <v>177944.34163776785</v>
      </c>
      <c r="AE44" s="139">
        <f t="shared" si="146"/>
        <v>5694218.9324083477</v>
      </c>
      <c r="AF44" s="139">
        <f t="shared" si="146"/>
        <v>11210493.523178935</v>
      </c>
      <c r="AG44" s="139">
        <f t="shared" si="146"/>
        <v>182946.55479714274</v>
      </c>
      <c r="AH44" s="139">
        <f t="shared" si="146"/>
        <v>5854289.7535082698</v>
      </c>
      <c r="AI44" s="139">
        <f t="shared" si="146"/>
        <v>11342686.397422269</v>
      </c>
      <c r="AJ44" s="139">
        <f t="shared" si="146"/>
        <v>376066.97078049183</v>
      </c>
      <c r="AK44" s="139">
        <f t="shared" si="146"/>
        <v>6205105.0178780109</v>
      </c>
      <c r="AL44" s="139">
        <f t="shared" si="146"/>
        <v>11658076.094195038</v>
      </c>
      <c r="AM44" s="139">
        <f t="shared" si="146"/>
        <v>193319.31559067965</v>
      </c>
      <c r="AN44" s="139">
        <f t="shared" si="146"/>
        <v>5992898.7833103836</v>
      </c>
      <c r="AO44" s="139">
        <f t="shared" si="146"/>
        <v>11985797.566620752</v>
      </c>
      <c r="AP44" s="139">
        <f t="shared" si="146"/>
        <v>17775711.068560928</v>
      </c>
      <c r="AQ44" s="139">
        <f t="shared" si="146"/>
        <v>23468964.912705779</v>
      </c>
      <c r="AR44" s="139">
        <f t="shared" si="146"/>
        <v>29162218.75685063</v>
      </c>
      <c r="AS44" s="139">
        <f t="shared" si="146"/>
        <v>34662153.285404831</v>
      </c>
      <c r="AT44" s="139">
        <f t="shared" si="146"/>
        <v>40055762.19038415</v>
      </c>
      <c r="AU44" s="139">
        <f t="shared" si="146"/>
        <v>45275383.711331874</v>
      </c>
      <c r="AV44" s="139">
        <f t="shared" si="146"/>
        <v>50649660.684752136</v>
      </c>
      <c r="AW44" s="139">
        <f t="shared" si="146"/>
        <v>55743624.650565952</v>
      </c>
      <c r="AX44" s="139">
        <f t="shared" si="146"/>
        <v>60344624.361623585</v>
      </c>
      <c r="AY44" s="139">
        <f t="shared" si="146"/>
        <v>65428922.361657858</v>
      </c>
      <c r="AZ44" s="139">
        <f t="shared" si="146"/>
        <v>70068585.935833633</v>
      </c>
      <c r="BA44" s="139">
        <f t="shared" si="146"/>
        <v>74862904.962481916</v>
      </c>
      <c r="BB44" s="139">
        <f t="shared" si="146"/>
        <v>79492902.570878148</v>
      </c>
      <c r="BC44" s="139">
        <f t="shared" si="146"/>
        <v>83987576.658360928</v>
      </c>
      <c r="BD44" s="139">
        <f t="shared" si="146"/>
        <v>88482250.745843709</v>
      </c>
      <c r="BE44" s="139">
        <f t="shared" si="146"/>
        <v>92822269.380853951</v>
      </c>
      <c r="BF44" s="139">
        <f t="shared" si="146"/>
        <v>97017298.529171199</v>
      </c>
      <c r="BG44" s="139">
        <f t="shared" si="146"/>
        <v>101077004.15657499</v>
      </c>
      <c r="BH44" s="139">
        <f t="shared" si="146"/>
        <v>105252701.37333319</v>
      </c>
      <c r="BI44" s="139">
        <f t="shared" si="146"/>
        <v>109148085.58248493</v>
      </c>
      <c r="BJ44" s="139">
        <f t="shared" si="146"/>
        <v>112666497.12623489</v>
      </c>
      <c r="BK44" s="139">
        <f t="shared" si="146"/>
        <v>116552215.36960709</v>
      </c>
      <c r="BL44" s="139">
        <f t="shared" si="146"/>
        <v>120031963.05023891</v>
      </c>
      <c r="BM44" s="139">
        <f t="shared" si="146"/>
        <v>123627702.32022512</v>
      </c>
      <c r="BN44" s="139">
        <f t="shared" si="146"/>
        <v>127097784.03507742</v>
      </c>
      <c r="BO44" s="139">
        <f t="shared" si="146"/>
        <v>130393878.36589813</v>
      </c>
      <c r="BP44" s="139">
        <f t="shared" si="146"/>
        <v>133689972.69671884</v>
      </c>
      <c r="BQ44" s="139">
        <f t="shared" si="146"/>
        <v>136870075.43818516</v>
      </c>
      <c r="BR44" s="139">
        <f t="shared" si="146"/>
        <v>139866524.82984033</v>
      </c>
      <c r="BS44" s="139">
        <f t="shared" si="146"/>
        <v>142766314.5637002</v>
      </c>
      <c r="BT44" s="139">
        <f t="shared" si="146"/>
        <v>145743432.02379632</v>
      </c>
      <c r="BU44" s="139">
        <f t="shared" si="146"/>
        <v>148440236.47628599</v>
      </c>
      <c r="BV44" s="139">
        <f t="shared" si="146"/>
        <v>150876059.85272828</v>
      </c>
      <c r="BW44" s="139">
        <f t="shared" si="146"/>
        <v>153563198.33943841</v>
      </c>
      <c r="BX44" s="139">
        <f t="shared" si="146"/>
        <v>155883030.12652627</v>
      </c>
      <c r="BY44" s="139">
        <f t="shared" si="146"/>
        <v>158280189.63985041</v>
      </c>
      <c r="BZ44" s="139">
        <f t="shared" ref="BZ44:CU44" si="147">BZ42-BZ43</f>
        <v>160590355.46115878</v>
      </c>
      <c r="CA44" s="139">
        <f t="shared" si="147"/>
        <v>162687870.03531739</v>
      </c>
      <c r="CB44" s="139">
        <f t="shared" si="147"/>
        <v>164785384.609476</v>
      </c>
      <c r="CC44" s="139">
        <f t="shared" si="147"/>
        <v>166805571.45739838</v>
      </c>
      <c r="CD44" s="139">
        <f t="shared" si="147"/>
        <v>168603441.09239152</v>
      </c>
      <c r="CE44" s="139">
        <f t="shared" si="147"/>
        <v>170343314.93270746</v>
      </c>
      <c r="CF44" s="139">
        <f t="shared" si="147"/>
        <v>172121852.63614151</v>
      </c>
      <c r="CG44" s="139">
        <f t="shared" si="147"/>
        <v>173620077.33196911</v>
      </c>
      <c r="CH44" s="139">
        <f t="shared" si="147"/>
        <v>175021642.37000135</v>
      </c>
      <c r="CI44" s="139">
        <f t="shared" si="147"/>
        <v>176510201.10004941</v>
      </c>
      <c r="CJ44" s="139">
        <f t="shared" si="147"/>
        <v>177670116.99359336</v>
      </c>
      <c r="CK44" s="139">
        <f t="shared" si="147"/>
        <v>178868696.75025544</v>
      </c>
      <c r="CL44" s="139">
        <f t="shared" si="147"/>
        <v>180018946.67801985</v>
      </c>
      <c r="CM44" s="139">
        <f t="shared" si="147"/>
        <v>180917881.49551639</v>
      </c>
      <c r="CN44" s="139">
        <f t="shared" si="147"/>
        <v>181816816.31301293</v>
      </c>
      <c r="CO44" s="139">
        <f t="shared" si="147"/>
        <v>182677087.26739135</v>
      </c>
      <c r="CP44" s="139">
        <f t="shared" si="147"/>
        <v>183276377.14572242</v>
      </c>
      <c r="CQ44" s="139">
        <f t="shared" si="147"/>
        <v>183856335.0924944</v>
      </c>
      <c r="CR44" s="139">
        <f t="shared" si="147"/>
        <v>184436293.03926638</v>
      </c>
      <c r="CS44" s="139">
        <f t="shared" si="147"/>
        <v>184735937.97843191</v>
      </c>
      <c r="CT44" s="139">
        <f t="shared" si="147"/>
        <v>185006585.02025881</v>
      </c>
      <c r="CU44" s="139">
        <f t="shared" si="147"/>
        <v>185132242.57539275</v>
      </c>
    </row>
    <row r="45" spans="1:99">
      <c r="A45" s="3" t="s">
        <v>79</v>
      </c>
      <c r="C45" s="132">
        <f>Summary!B26</f>
        <v>0</v>
      </c>
      <c r="D45" s="132">
        <f>Summary!C26</f>
        <v>0</v>
      </c>
      <c r="E45" s="132">
        <f>Summary!D26</f>
        <v>0</v>
      </c>
      <c r="F45" s="132">
        <f>Summary!E26</f>
        <v>0</v>
      </c>
      <c r="G45" s="132">
        <f>Summary!F26</f>
        <v>0</v>
      </c>
      <c r="H45" s="132">
        <f>Summary!G26</f>
        <v>0</v>
      </c>
      <c r="I45" s="132">
        <f>Summary!H26</f>
        <v>0</v>
      </c>
      <c r="J45" s="132">
        <f>Summary!I26</f>
        <v>0</v>
      </c>
      <c r="K45" s="132">
        <f>Summary!J26</f>
        <v>0</v>
      </c>
      <c r="L45" s="132">
        <f>Summary!K26</f>
        <v>0</v>
      </c>
      <c r="M45" s="132">
        <f>Summary!L26</f>
        <v>0</v>
      </c>
      <c r="N45" s="132">
        <f>Summary!M26</f>
        <v>0</v>
      </c>
      <c r="O45" s="132">
        <f>Summary!N26</f>
        <v>0</v>
      </c>
      <c r="P45" s="132">
        <f>Summary!O26</f>
        <v>0</v>
      </c>
      <c r="Q45" s="132">
        <f>Summary!P26</f>
        <v>0</v>
      </c>
      <c r="R45" s="132">
        <f>Summary!Q26</f>
        <v>0</v>
      </c>
      <c r="S45" s="132">
        <f>Summary!R26</f>
        <v>0</v>
      </c>
      <c r="T45" s="132">
        <f>Summary!S26</f>
        <v>0</v>
      </c>
      <c r="U45" s="132">
        <f>Summary!T26</f>
        <v>0</v>
      </c>
      <c r="V45" s="132">
        <f>Summary!U26</f>
        <v>0</v>
      </c>
      <c r="W45" s="132">
        <f>Summary!V26</f>
        <v>0</v>
      </c>
      <c r="X45" s="132">
        <f>Summary!W26</f>
        <v>0</v>
      </c>
      <c r="Y45" s="132">
        <f>Summary!X26</f>
        <v>0</v>
      </c>
      <c r="Z45" s="132">
        <f>Summary!Y26</f>
        <v>0</v>
      </c>
      <c r="AA45" s="132">
        <f>Summary!Z26</f>
        <v>0</v>
      </c>
      <c r="AB45" s="132">
        <f>Summary!AA26</f>
        <v>0</v>
      </c>
      <c r="AC45" s="132">
        <f>Summary!AB26</f>
        <v>0</v>
      </c>
      <c r="AD45" s="132">
        <f>Summary!AC26</f>
        <v>0</v>
      </c>
      <c r="AE45" s="132">
        <f>Summary!AD26</f>
        <v>0</v>
      </c>
      <c r="AF45" s="132">
        <f>Summary!AE26</f>
        <v>0</v>
      </c>
      <c r="AG45" s="132">
        <f>Summary!AF26</f>
        <v>0</v>
      </c>
      <c r="AH45" s="132">
        <f>Summary!AG26</f>
        <v>0</v>
      </c>
      <c r="AI45" s="132">
        <f>Summary!AH26</f>
        <v>0</v>
      </c>
      <c r="AJ45" s="132">
        <f>Summary!AI26</f>
        <v>0</v>
      </c>
      <c r="AK45" s="132">
        <f>Summary!AJ26</f>
        <v>0</v>
      </c>
      <c r="AL45" s="132">
        <f>Summary!AK26</f>
        <v>0</v>
      </c>
      <c r="AM45" s="132">
        <f>Summary!AL26</f>
        <v>0</v>
      </c>
      <c r="AN45" s="132">
        <f>Summary!AM26</f>
        <v>0</v>
      </c>
      <c r="AO45" s="132">
        <f>Summary!AN26</f>
        <v>0</v>
      </c>
      <c r="AP45" s="132">
        <f>Summary!AO26</f>
        <v>0</v>
      </c>
      <c r="AQ45" s="132">
        <f>Summary!AP26</f>
        <v>0</v>
      </c>
      <c r="AR45" s="132">
        <f>Summary!AQ26</f>
        <v>0</v>
      </c>
      <c r="AS45" s="132">
        <f>Summary!AR26</f>
        <v>0</v>
      </c>
      <c r="AT45" s="132">
        <f>Summary!AS26</f>
        <v>0</v>
      </c>
      <c r="AU45" s="132">
        <f>Summary!AT26</f>
        <v>0</v>
      </c>
      <c r="AV45" s="132">
        <f>Summary!AU26</f>
        <v>50321017.848248012</v>
      </c>
      <c r="AW45" s="132">
        <f>Summary!AV26</f>
        <v>50321017.848248012</v>
      </c>
      <c r="AX45" s="132">
        <f>Summary!AW26</f>
        <v>50321017.848248012</v>
      </c>
      <c r="AY45" s="132">
        <f>Summary!AX26</f>
        <v>65274266.909185328</v>
      </c>
      <c r="AZ45" s="132">
        <f>Summary!AY26</f>
        <v>65274266.909185328</v>
      </c>
      <c r="BA45" s="132">
        <f>Summary!AZ26</f>
        <v>65274266.909185328</v>
      </c>
      <c r="BB45" s="132">
        <f>Summary!BA26</f>
        <v>79347913.084185153</v>
      </c>
      <c r="BC45" s="132">
        <f>Summary!BB26</f>
        <v>79347913.084185153</v>
      </c>
      <c r="BD45" s="132">
        <f>Summary!BC26</f>
        <v>79347913.084185153</v>
      </c>
      <c r="BE45" s="132">
        <f>Summary!BD26</f>
        <v>92686945.859940484</v>
      </c>
      <c r="BF45" s="132">
        <f>Summary!BE26</f>
        <v>92686945.859940484</v>
      </c>
      <c r="BG45" s="132">
        <f>Summary!BF26</f>
        <v>92686945.859940484</v>
      </c>
      <c r="BH45" s="132">
        <f>Summary!BG26</f>
        <v>105001386.26306534</v>
      </c>
      <c r="BI45" s="132">
        <f>Summary!BH26</f>
        <v>105001386.26306534</v>
      </c>
      <c r="BJ45" s="132">
        <f>Summary!BI26</f>
        <v>105001386.26306534</v>
      </c>
      <c r="BK45" s="132">
        <f>Summary!BJ26</f>
        <v>116436223.7802527</v>
      </c>
      <c r="BL45" s="132">
        <f>Summary!BK26</f>
        <v>116436223.7802527</v>
      </c>
      <c r="BM45" s="132">
        <f>Summary!BL26</f>
        <v>116436223.7802527</v>
      </c>
      <c r="BN45" s="132">
        <f>Summary!BM26</f>
        <v>126991458.41150257</v>
      </c>
      <c r="BO45" s="132">
        <f>Summary!BN26</f>
        <v>126991458.41150257</v>
      </c>
      <c r="BP45" s="132">
        <f>Summary!BO26</f>
        <v>126991458.41150257</v>
      </c>
      <c r="BQ45" s="132">
        <f>Summary!BP26</f>
        <v>136773415.78038982</v>
      </c>
      <c r="BR45" s="132">
        <f>Summary!BQ26</f>
        <v>136773415.78038982</v>
      </c>
      <c r="BS45" s="132">
        <f>Summary!BR26</f>
        <v>136773415.78038982</v>
      </c>
      <c r="BT45" s="132">
        <f>Summary!BS26</f>
        <v>145569444.6397647</v>
      </c>
      <c r="BU45" s="132">
        <f>Summary!BT26</f>
        <v>145569444.6397647</v>
      </c>
      <c r="BV45" s="132">
        <f>Summary!BU26</f>
        <v>145569444.6397647</v>
      </c>
      <c r="BW45" s="132">
        <f>Summary!BV26</f>
        <v>153485870.6132021</v>
      </c>
      <c r="BX45" s="132">
        <f>Summary!BW26</f>
        <v>153485870.6132021</v>
      </c>
      <c r="BY45" s="132">
        <f>Summary!BX26</f>
        <v>153485870.6132021</v>
      </c>
      <c r="BZ45" s="132">
        <f>Summary!BY26</f>
        <v>160522693.70070201</v>
      </c>
      <c r="CA45" s="132">
        <f>Summary!BZ26</f>
        <v>160522693.70070201</v>
      </c>
      <c r="CB45" s="132">
        <f>Summary!CA26</f>
        <v>160522693.70070201</v>
      </c>
      <c r="CC45" s="132">
        <f>Summary!CB26</f>
        <v>166747575.66272116</v>
      </c>
      <c r="CD45" s="132">
        <f>Summary!CC26</f>
        <v>166747575.66272116</v>
      </c>
      <c r="CE45" s="132">
        <f>Summary!CD26</f>
        <v>166747575.66272116</v>
      </c>
      <c r="CF45" s="132">
        <f>Summary!CE26</f>
        <v>172025192.97834608</v>
      </c>
      <c r="CG45" s="132">
        <f>Summary!CF26</f>
        <v>172025192.97834608</v>
      </c>
      <c r="CH45" s="132">
        <f>Summary!CG26</f>
        <v>172025192.97834608</v>
      </c>
      <c r="CI45" s="132">
        <f>Summary!CH26</f>
        <v>176471537.2369312</v>
      </c>
      <c r="CJ45" s="132">
        <f>Summary!CI26</f>
        <v>176471537.2369312</v>
      </c>
      <c r="CK45" s="132">
        <f>Summary!CJ26</f>
        <v>176471537.2369312</v>
      </c>
      <c r="CL45" s="132">
        <f>Summary!CK26</f>
        <v>179989948.78068116</v>
      </c>
      <c r="CM45" s="132">
        <f>Summary!CL26</f>
        <v>179989948.78068116</v>
      </c>
      <c r="CN45" s="132">
        <f>Summary!CM26</f>
        <v>179989948.78068116</v>
      </c>
      <c r="CO45" s="132">
        <f>Summary!CN26</f>
        <v>182657755.33583224</v>
      </c>
      <c r="CP45" s="132">
        <f>Summary!CO26</f>
        <v>182657755.33583224</v>
      </c>
      <c r="CQ45" s="132">
        <f>Summary!CP26</f>
        <v>182657755.33583224</v>
      </c>
      <c r="CR45" s="132">
        <f>Summary!CQ26</f>
        <v>184416961.1077072</v>
      </c>
      <c r="CS45" s="132">
        <f>Summary!CR26</f>
        <v>184416961.1077072</v>
      </c>
      <c r="CT45" s="132">
        <f>Summary!CS26</f>
        <v>184416961.1077072</v>
      </c>
      <c r="CU45" s="132">
        <f>Summary!CT26</f>
        <v>185132242.57539263</v>
      </c>
    </row>
    <row r="46" spans="1:99">
      <c r="A46" s="11" t="s">
        <v>80</v>
      </c>
      <c r="B46" s="11"/>
      <c r="C46" s="139">
        <f>C44-C45</f>
        <v>27550.519952695235</v>
      </c>
      <c r="D46" s="139">
        <f t="shared" ref="D46:M46" si="148">D44-D45</f>
        <v>854066.11853355169</v>
      </c>
      <c r="E46" s="139">
        <f t="shared" si="148"/>
        <v>1708132.2370671034</v>
      </c>
      <c r="F46" s="139">
        <f t="shared" si="148"/>
        <v>28246.935873721726</v>
      </c>
      <c r="G46" s="139">
        <f t="shared" si="148"/>
        <v>903901.94795909384</v>
      </c>
      <c r="H46" s="139">
        <f t="shared" si="148"/>
        <v>1713882.8341380628</v>
      </c>
      <c r="I46" s="139">
        <f t="shared" si="148"/>
        <v>26763.481342159212</v>
      </c>
      <c r="J46" s="139">
        <f t="shared" si="148"/>
        <v>856431.40294908918</v>
      </c>
      <c r="K46" s="139">
        <f t="shared" si="148"/>
        <v>1659335.8432138599</v>
      </c>
      <c r="L46" s="139">
        <f t="shared" si="148"/>
        <v>54778.527152081951</v>
      </c>
      <c r="M46" s="139">
        <f t="shared" si="148"/>
        <v>903845.69800936244</v>
      </c>
      <c r="N46" s="139">
        <f t="shared" ref="N46:BY46" si="149">N44-N45</f>
        <v>1843691.5297941435</v>
      </c>
      <c r="O46" s="139">
        <f t="shared" si="149"/>
        <v>0</v>
      </c>
      <c r="P46" s="139">
        <f t="shared" si="149"/>
        <v>1367645.1137102488</v>
      </c>
      <c r="Q46" s="139">
        <f t="shared" si="149"/>
        <v>2780878.3978775069</v>
      </c>
      <c r="R46" s="139">
        <f t="shared" si="149"/>
        <v>46841.845144573599</v>
      </c>
      <c r="S46" s="139">
        <f t="shared" si="149"/>
        <v>1498939.0446264315</v>
      </c>
      <c r="T46" s="139">
        <f t="shared" si="149"/>
        <v>2951036.2441082895</v>
      </c>
      <c r="U46" s="139">
        <f t="shared" si="149"/>
        <v>48158.621458083391</v>
      </c>
      <c r="V46" s="139">
        <f t="shared" si="149"/>
        <v>4440382.9830128774</v>
      </c>
      <c r="W46" s="139">
        <f t="shared" si="149"/>
        <v>9364310.1423804201</v>
      </c>
      <c r="X46" s="139">
        <f t="shared" si="149"/>
        <v>336893.20897788182</v>
      </c>
      <c r="Y46" s="139">
        <f t="shared" si="149"/>
        <v>5558737.9481350221</v>
      </c>
      <c r="Z46" s="139">
        <f t="shared" si="149"/>
        <v>10275242.873825345</v>
      </c>
      <c r="AA46" s="139">
        <f t="shared" si="149"/>
        <v>173130.3559082076</v>
      </c>
      <c r="AB46" s="139">
        <f t="shared" si="149"/>
        <v>5367041.0331542715</v>
      </c>
      <c r="AC46" s="139">
        <f t="shared" si="149"/>
        <v>10734082.066308536</v>
      </c>
      <c r="AD46" s="139">
        <f t="shared" si="149"/>
        <v>177944.34163776785</v>
      </c>
      <c r="AE46" s="139">
        <f t="shared" si="149"/>
        <v>5694218.9324083477</v>
      </c>
      <c r="AF46" s="139">
        <f t="shared" si="149"/>
        <v>11210493.523178935</v>
      </c>
      <c r="AG46" s="139">
        <f t="shared" si="149"/>
        <v>182946.55479714274</v>
      </c>
      <c r="AH46" s="139">
        <f t="shared" si="149"/>
        <v>5854289.7535082698</v>
      </c>
      <c r="AI46" s="139">
        <f t="shared" si="149"/>
        <v>11342686.397422269</v>
      </c>
      <c r="AJ46" s="139">
        <f t="shared" si="149"/>
        <v>376066.97078049183</v>
      </c>
      <c r="AK46" s="139">
        <f t="shared" si="149"/>
        <v>6205105.0178780109</v>
      </c>
      <c r="AL46" s="139">
        <f t="shared" si="149"/>
        <v>11658076.094195038</v>
      </c>
      <c r="AM46" s="139">
        <f t="shared" si="149"/>
        <v>193319.31559067965</v>
      </c>
      <c r="AN46" s="139">
        <f t="shared" si="149"/>
        <v>5992898.7833103836</v>
      </c>
      <c r="AO46" s="139">
        <f t="shared" si="149"/>
        <v>11985797.566620752</v>
      </c>
      <c r="AP46" s="139">
        <f t="shared" si="149"/>
        <v>17775711.068560928</v>
      </c>
      <c r="AQ46" s="139">
        <f t="shared" si="149"/>
        <v>23468964.912705779</v>
      </c>
      <c r="AR46" s="139">
        <f t="shared" si="149"/>
        <v>29162218.75685063</v>
      </c>
      <c r="AS46" s="139">
        <f t="shared" si="149"/>
        <v>34662153.285404831</v>
      </c>
      <c r="AT46" s="139">
        <f t="shared" si="149"/>
        <v>40055762.19038415</v>
      </c>
      <c r="AU46" s="139">
        <f t="shared" si="149"/>
        <v>45275383.711331874</v>
      </c>
      <c r="AV46" s="139">
        <f t="shared" si="149"/>
        <v>328642.8365041241</v>
      </c>
      <c r="AW46" s="139">
        <f t="shared" si="149"/>
        <v>5422606.8023179397</v>
      </c>
      <c r="AX46" s="139">
        <f t="shared" si="149"/>
        <v>10023606.513375573</v>
      </c>
      <c r="AY46" s="139">
        <f t="shared" si="149"/>
        <v>154655.45247253031</v>
      </c>
      <c r="AZ46" s="139">
        <f t="shared" si="149"/>
        <v>4794319.0266483054</v>
      </c>
      <c r="BA46" s="139">
        <f t="shared" si="149"/>
        <v>9588638.0532965884</v>
      </c>
      <c r="BB46" s="139">
        <f t="shared" si="149"/>
        <v>144989.48669299483</v>
      </c>
      <c r="BC46" s="139">
        <f t="shared" si="149"/>
        <v>4639663.5741757751</v>
      </c>
      <c r="BD46" s="139">
        <f t="shared" si="149"/>
        <v>9134337.6616585553</v>
      </c>
      <c r="BE46" s="139">
        <f t="shared" si="149"/>
        <v>135323.52091346681</v>
      </c>
      <c r="BF46" s="139">
        <f t="shared" si="149"/>
        <v>4330352.6692307144</v>
      </c>
      <c r="BG46" s="139">
        <f t="shared" si="149"/>
        <v>8390058.2966345102</v>
      </c>
      <c r="BH46" s="139">
        <f t="shared" si="149"/>
        <v>251315.11026784778</v>
      </c>
      <c r="BI46" s="139">
        <f t="shared" si="149"/>
        <v>4146699.3194195926</v>
      </c>
      <c r="BJ46" s="139">
        <f t="shared" si="149"/>
        <v>7665110.8631695509</v>
      </c>
      <c r="BK46" s="139">
        <f t="shared" si="149"/>
        <v>115991.58935439587</v>
      </c>
      <c r="BL46" s="139">
        <f t="shared" si="149"/>
        <v>3595739.2699862123</v>
      </c>
      <c r="BM46" s="139">
        <f t="shared" si="149"/>
        <v>7191478.5399724245</v>
      </c>
      <c r="BN46" s="139">
        <f t="shared" si="149"/>
        <v>106325.62357485294</v>
      </c>
      <c r="BO46" s="139">
        <f t="shared" si="149"/>
        <v>3402419.9543955624</v>
      </c>
      <c r="BP46" s="139">
        <f t="shared" si="149"/>
        <v>6698514.2852162719</v>
      </c>
      <c r="BQ46" s="139">
        <f t="shared" si="149"/>
        <v>96659.657795339823</v>
      </c>
      <c r="BR46" s="139">
        <f t="shared" si="149"/>
        <v>3093109.0494505167</v>
      </c>
      <c r="BS46" s="139">
        <f t="shared" si="149"/>
        <v>5992898.7833103836</v>
      </c>
      <c r="BT46" s="139">
        <f t="shared" si="149"/>
        <v>173987.3840316236</v>
      </c>
      <c r="BU46" s="139">
        <f t="shared" si="149"/>
        <v>2870791.8365212977</v>
      </c>
      <c r="BV46" s="139">
        <f t="shared" si="149"/>
        <v>5306615.2129635811</v>
      </c>
      <c r="BW46" s="139">
        <f t="shared" si="149"/>
        <v>77327.726236313581</v>
      </c>
      <c r="BX46" s="139">
        <f t="shared" si="149"/>
        <v>2397159.5133241713</v>
      </c>
      <c r="BY46" s="139">
        <f t="shared" si="149"/>
        <v>4794319.0266483128</v>
      </c>
      <c r="BZ46" s="139">
        <f t="shared" ref="BZ46:CU46" si="150">BZ44-BZ45</f>
        <v>67661.760456770658</v>
      </c>
      <c r="CA46" s="139">
        <f t="shared" si="150"/>
        <v>2165176.3346153796</v>
      </c>
      <c r="CB46" s="139">
        <f t="shared" si="150"/>
        <v>4262690.9087739885</v>
      </c>
      <c r="CC46" s="139">
        <f t="shared" si="150"/>
        <v>57995.794677227736</v>
      </c>
      <c r="CD46" s="139">
        <f t="shared" si="150"/>
        <v>1855865.4296703637</v>
      </c>
      <c r="CE46" s="139">
        <f t="shared" si="150"/>
        <v>3595739.2699863017</v>
      </c>
      <c r="CF46" s="139">
        <f t="shared" si="150"/>
        <v>96659.65779542923</v>
      </c>
      <c r="CG46" s="139">
        <f t="shared" si="150"/>
        <v>1594884.3536230326</v>
      </c>
      <c r="CH46" s="139">
        <f t="shared" si="150"/>
        <v>2996449.3916552663</v>
      </c>
      <c r="CI46" s="139">
        <f t="shared" si="150"/>
        <v>38663.863118201494</v>
      </c>
      <c r="CJ46" s="139">
        <f t="shared" si="150"/>
        <v>1198579.7566621602</v>
      </c>
      <c r="CK46" s="139">
        <f t="shared" si="150"/>
        <v>2397159.5133242309</v>
      </c>
      <c r="CL46" s="139">
        <f t="shared" si="150"/>
        <v>28997.897338688374</v>
      </c>
      <c r="CM46" s="139">
        <f t="shared" si="150"/>
        <v>927932.71483522654</v>
      </c>
      <c r="CN46" s="139">
        <f t="shared" si="150"/>
        <v>1826867.5323317647</v>
      </c>
      <c r="CO46" s="139">
        <f t="shared" si="150"/>
        <v>19331.931559115648</v>
      </c>
      <c r="CP46" s="139">
        <f t="shared" si="150"/>
        <v>618621.80989018083</v>
      </c>
      <c r="CQ46" s="139">
        <f t="shared" si="150"/>
        <v>1198579.7566621602</v>
      </c>
      <c r="CR46" s="139">
        <f t="shared" si="150"/>
        <v>19331.931559175253</v>
      </c>
      <c r="CS46" s="139">
        <f t="shared" si="150"/>
        <v>318976.87072470784</v>
      </c>
      <c r="CT46" s="139">
        <f t="shared" si="150"/>
        <v>589623.91255161166</v>
      </c>
      <c r="CU46" s="139">
        <f t="shared" si="150"/>
        <v>0</v>
      </c>
    </row>
    <row r="47" spans="1:99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99"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35"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35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35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3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35">
      <c r="A53" s="11" t="s">
        <v>81</v>
      </c>
      <c r="B53" s="70"/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35">
      <c r="A54" s="155" t="s">
        <v>82</v>
      </c>
      <c r="B54" s="151"/>
      <c r="C54" s="119">
        <f>C29</f>
        <v>42825</v>
      </c>
      <c r="D54" s="119">
        <f t="shared" ref="D54:AI54" si="151">D29</f>
        <v>42916</v>
      </c>
      <c r="E54" s="119">
        <f t="shared" si="151"/>
        <v>43008</v>
      </c>
      <c r="F54" s="119">
        <f t="shared" si="151"/>
        <v>43099</v>
      </c>
      <c r="G54" s="119">
        <f t="shared" si="151"/>
        <v>43190</v>
      </c>
      <c r="H54" s="119">
        <f t="shared" si="151"/>
        <v>43281</v>
      </c>
      <c r="I54" s="119">
        <f t="shared" si="151"/>
        <v>43373</v>
      </c>
      <c r="J54" s="119">
        <f t="shared" si="151"/>
        <v>43464</v>
      </c>
      <c r="K54" s="119">
        <f t="shared" si="151"/>
        <v>43555</v>
      </c>
      <c r="L54" s="119">
        <f t="shared" si="151"/>
        <v>43646</v>
      </c>
      <c r="M54" s="119">
        <f t="shared" si="151"/>
        <v>43738</v>
      </c>
      <c r="N54" s="119">
        <f t="shared" si="151"/>
        <v>43829</v>
      </c>
      <c r="O54" s="119">
        <f t="shared" si="151"/>
        <v>43921</v>
      </c>
      <c r="P54" s="119">
        <f t="shared" si="151"/>
        <v>44012</v>
      </c>
      <c r="Q54" s="119">
        <f t="shared" si="151"/>
        <v>44104</v>
      </c>
      <c r="R54" s="119">
        <f t="shared" si="151"/>
        <v>44195</v>
      </c>
      <c r="S54" s="119">
        <f t="shared" si="151"/>
        <v>44286</v>
      </c>
      <c r="T54" s="119">
        <f t="shared" si="151"/>
        <v>44377</v>
      </c>
      <c r="U54" s="119">
        <f t="shared" si="151"/>
        <v>44469</v>
      </c>
      <c r="V54" s="119">
        <f t="shared" si="151"/>
        <v>44560</v>
      </c>
      <c r="W54" s="119">
        <f t="shared" si="151"/>
        <v>44651</v>
      </c>
      <c r="X54" s="119">
        <f t="shared" si="151"/>
        <v>44742</v>
      </c>
      <c r="Y54" s="119">
        <f t="shared" si="151"/>
        <v>44834</v>
      </c>
      <c r="Z54" s="119">
        <f t="shared" si="151"/>
        <v>44925</v>
      </c>
      <c r="AA54" s="119">
        <f t="shared" si="151"/>
        <v>45016</v>
      </c>
      <c r="AB54" s="119">
        <f t="shared" si="151"/>
        <v>45107</v>
      </c>
      <c r="AC54" s="119">
        <f t="shared" si="151"/>
        <v>45199</v>
      </c>
      <c r="AD54" s="119">
        <f t="shared" si="151"/>
        <v>45290</v>
      </c>
      <c r="AE54" s="119">
        <f t="shared" si="151"/>
        <v>45382</v>
      </c>
      <c r="AF54" s="119">
        <f t="shared" si="151"/>
        <v>45473</v>
      </c>
      <c r="AG54" s="119">
        <f t="shared" si="151"/>
        <v>45565</v>
      </c>
      <c r="AH54" s="119">
        <f t="shared" si="151"/>
        <v>45656</v>
      </c>
      <c r="AI54" s="119">
        <f t="shared" si="151"/>
        <v>45730</v>
      </c>
    </row>
    <row r="55" spans="1:35">
      <c r="A55" s="3" t="s">
        <v>83</v>
      </c>
      <c r="C55" s="4">
        <f>AVERAGE($P$35)</f>
        <v>49226127.54267548</v>
      </c>
      <c r="D55" s="4">
        <f t="shared" ref="D55:P55" si="152">AVERAGE($P$35)</f>
        <v>49226127.54267548</v>
      </c>
      <c r="E55" s="4">
        <f t="shared" si="152"/>
        <v>49226127.54267548</v>
      </c>
      <c r="F55" s="4">
        <f t="shared" si="152"/>
        <v>49226127.54267548</v>
      </c>
      <c r="G55" s="4">
        <f t="shared" si="152"/>
        <v>49226127.54267548</v>
      </c>
      <c r="H55" s="4">
        <f t="shared" si="152"/>
        <v>49226127.54267548</v>
      </c>
      <c r="I55" s="4">
        <f t="shared" si="152"/>
        <v>49226127.54267548</v>
      </c>
      <c r="J55" s="4">
        <f t="shared" si="152"/>
        <v>49226127.54267548</v>
      </c>
      <c r="K55" s="4">
        <f t="shared" si="152"/>
        <v>49226127.54267548</v>
      </c>
      <c r="L55" s="4">
        <f t="shared" si="152"/>
        <v>49226127.54267548</v>
      </c>
      <c r="M55" s="4">
        <f t="shared" si="152"/>
        <v>49226127.54267548</v>
      </c>
      <c r="N55" s="4">
        <f t="shared" si="152"/>
        <v>49226127.54267548</v>
      </c>
      <c r="O55" s="4">
        <f t="shared" si="152"/>
        <v>49226127.54267548</v>
      </c>
      <c r="P55" s="4">
        <f t="shared" si="152"/>
        <v>49226127.54267548</v>
      </c>
      <c r="Q55" s="4">
        <f>AVERAGE($P$35:Q35)</f>
        <v>48878152.774612293</v>
      </c>
      <c r="R55" s="4">
        <f>AVERAGE($P$35:R35)</f>
        <v>48407742.440008365</v>
      </c>
      <c r="S55" s="4">
        <f>AVERAGE($P$35:S35)</f>
        <v>47952636.551222026</v>
      </c>
      <c r="T55" s="4">
        <f>AVERAGE($P$35:T35)</f>
        <v>47503652.440762721</v>
      </c>
      <c r="U55" s="4">
        <f>AVERAGE($P$35:U35)</f>
        <v>47081894.133915775</v>
      </c>
      <c r="V55" s="4">
        <f>AVERAGE($P$35:V35)</f>
        <v>46634267.861506455</v>
      </c>
      <c r="W55" s="4">
        <f>AVERAGE($P$35:W35)</f>
        <v>46188597.796457276</v>
      </c>
      <c r="X55" s="4">
        <f>AVERAGE($P$35:X35)</f>
        <v>45744231.869648196</v>
      </c>
      <c r="Y55" s="4">
        <f>AVERAGE($P$35:Y35)</f>
        <v>45311411.401964672</v>
      </c>
      <c r="Z55" s="4">
        <f>AVERAGE($P$35:Z35)</f>
        <v>44867655.700267933</v>
      </c>
      <c r="AA55" s="4">
        <f>AVERAGE($P$35:AA35)</f>
        <v>44424559.041692533</v>
      </c>
      <c r="AB55" s="4">
        <f>AVERAGE($P$35:AB35)</f>
        <v>43981969.339364305</v>
      </c>
      <c r="AC55" s="4">
        <f>AVERAGE($P$35:AC35)</f>
        <v>43544610.94269149</v>
      </c>
      <c r="AD55" s="4">
        <f>AVERAGE($P$35:AD35)</f>
        <v>43102416.02248209</v>
      </c>
      <c r="AE55" s="4">
        <f>AVERAGE($P$35:AE35)</f>
        <v>42663540.901233889</v>
      </c>
      <c r="AF55" s="4">
        <f>AVERAGE($P$35:AF35)</f>
        <v>42221713.86984811</v>
      </c>
      <c r="AG55" s="4">
        <f>AVERAGE($P$35:AG35)</f>
        <v>41781722.89813859</v>
      </c>
      <c r="AH55" s="4">
        <f>AVERAGE($P$35:AH35)</f>
        <v>41340225.671699747</v>
      </c>
      <c r="AI55" s="4">
        <f>AVERAGE($P$35:AI35)</f>
        <v>40890681.952695318</v>
      </c>
    </row>
    <row r="56" spans="1:35"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35"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35">
      <c r="F58" s="7"/>
    </row>
  </sheetData>
  <mergeCells count="10">
    <mergeCell ref="C27:O27"/>
    <mergeCell ref="A54:B54"/>
    <mergeCell ref="A35:B35"/>
    <mergeCell ref="A36:B36"/>
    <mergeCell ref="A29:B29"/>
    <mergeCell ref="A30:B30"/>
    <mergeCell ref="A31:B31"/>
    <mergeCell ref="A32:B32"/>
    <mergeCell ref="A33:B33"/>
    <mergeCell ref="A34:B34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7 B37 D37:T37 C34 F35 C35:E35 D29 Y30 C24 G35 H35:M35 I30 G34:M34 P32:S32 X30 N35:S35 T35:X36 N30:W30 N34:X34 T32:X32 Y32 Y34:Y36 AC32:AD32 Z34:AA34 Z30:AD30 Z35:AD36 AB34:AD34 Z32:AB32 F29 E29 I29:J29 E34:F34 P36:S36 K30:M30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R40"/>
  <sheetViews>
    <sheetView showGridLines="0" topLeftCell="J4" workbookViewId="0">
      <selection activeCell="AE24" sqref="AE24"/>
    </sheetView>
  </sheetViews>
  <sheetFormatPr defaultColWidth="9.5703125" defaultRowHeight="13.9"/>
  <cols>
    <col min="1" max="1" width="29" style="21" bestFit="1" customWidth="1"/>
    <col min="2" max="2" width="13.42578125" style="21" customWidth="1"/>
    <col min="3" max="3" width="12" style="21" customWidth="1"/>
    <col min="4" max="4" width="10.85546875" style="21" customWidth="1"/>
    <col min="5" max="5" width="11.28515625" style="21" bestFit="1" customWidth="1"/>
    <col min="6" max="6" width="11.42578125" style="21" customWidth="1"/>
    <col min="7" max="7" width="11" style="21" customWidth="1"/>
    <col min="8" max="9" width="11" style="21" bestFit="1" customWidth="1"/>
    <col min="10" max="10" width="10.85546875" style="21" bestFit="1" customWidth="1"/>
    <col min="11" max="80" width="11.42578125" style="21" bestFit="1" customWidth="1"/>
    <col min="81" max="84" width="9.85546875" style="21" bestFit="1" customWidth="1"/>
    <col min="85" max="100" width="10.85546875" style="21" bestFit="1" customWidth="1"/>
    <col min="101" max="211" width="9.5703125" style="21" bestFit="1" customWidth="1"/>
    <col min="212" max="16384" width="9.5703125" style="21"/>
  </cols>
  <sheetData>
    <row r="1" spans="1:58" s="17" customFormat="1" ht="14.45">
      <c r="A1" s="16" t="s">
        <v>43</v>
      </c>
      <c r="B1" s="102" t="str">
        <f>PPL_Loan!C1</f>
        <v>PARTEX PETRO LIMITED (PPL)</v>
      </c>
    </row>
    <row r="3" spans="1:58" s="19" customFormat="1" ht="18">
      <c r="A3" s="18" t="s">
        <v>84</v>
      </c>
    </row>
    <row r="4" spans="1:58" s="17" customFormat="1" ht="14.45">
      <c r="A4" s="16"/>
    </row>
    <row r="5" spans="1:58" s="20" customFormat="1">
      <c r="A5" s="20" t="s">
        <v>44</v>
      </c>
      <c r="B5" s="100">
        <f>PPL_Loan!C3</f>
        <v>42723</v>
      </c>
    </row>
    <row r="6" spans="1:58">
      <c r="B6" s="50"/>
    </row>
    <row r="7" spans="1:58">
      <c r="A7" s="20" t="s">
        <v>45</v>
      </c>
      <c r="B7" s="101">
        <f>PPL_Loan!C5</f>
        <v>980000000</v>
      </c>
      <c r="C7" s="20" t="s">
        <v>3</v>
      </c>
    </row>
    <row r="8" spans="1:58">
      <c r="A8" s="20"/>
      <c r="B8" s="50"/>
    </row>
    <row r="9" spans="1:58">
      <c r="A9" s="20" t="s">
        <v>85</v>
      </c>
      <c r="B9" s="100">
        <f>PPL_Loan!C7</f>
        <v>42808</v>
      </c>
    </row>
    <row r="10" spans="1:58">
      <c r="A10" s="20"/>
      <c r="B10" s="50"/>
    </row>
    <row r="11" spans="1:58">
      <c r="A11" s="20" t="s">
        <v>53</v>
      </c>
      <c r="B11" s="134">
        <f>PPL_Loan!C11</f>
        <v>0.1</v>
      </c>
    </row>
    <row r="12" spans="1:58">
      <c r="A12" s="20" t="s">
        <v>54</v>
      </c>
      <c r="B12" s="50" t="str">
        <f>PPL_Loan!C13</f>
        <v>8 years</v>
      </c>
    </row>
    <row r="13" spans="1:58">
      <c r="A13" s="20" t="s">
        <v>57</v>
      </c>
      <c r="B13" s="121">
        <v>360</v>
      </c>
      <c r="C13" s="21" t="s">
        <v>86</v>
      </c>
    </row>
    <row r="14" spans="1:58">
      <c r="A14" s="20" t="s">
        <v>18</v>
      </c>
      <c r="B14" s="123" t="str">
        <f>PPL_Loan!C15</f>
        <v>Level principal</v>
      </c>
      <c r="C14" s="122"/>
    </row>
    <row r="15" spans="1:58">
      <c r="A15" s="20"/>
      <c r="B15" s="12"/>
    </row>
    <row r="16" spans="1:58" s="22" customFormat="1">
      <c r="A16" s="56" t="s">
        <v>60</v>
      </c>
      <c r="B16" s="53"/>
      <c r="C16" s="55"/>
      <c r="D16" s="3"/>
      <c r="E16" s="3"/>
      <c r="F16" s="3"/>
      <c r="G16" s="3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</row>
    <row r="17" spans="1:122" ht="26.45">
      <c r="A17" s="58"/>
      <c r="B17" s="59"/>
      <c r="C17" s="59">
        <f>PPL_Loan!C22</f>
        <v>42808</v>
      </c>
      <c r="D17" s="59">
        <f>PPL_Loan!D22</f>
        <v>42808</v>
      </c>
      <c r="E17" s="59">
        <f>PPL_Loan!E22</f>
        <v>43143</v>
      </c>
      <c r="F17" s="59">
        <f>PPL_Loan!F22</f>
        <v>43380</v>
      </c>
      <c r="G17" s="59"/>
      <c r="H17" s="59"/>
      <c r="I17" s="52"/>
      <c r="J17" s="52"/>
      <c r="K17" s="52"/>
      <c r="L17" s="52"/>
      <c r="M17" s="52"/>
      <c r="N17" s="144" t="s">
        <v>61</v>
      </c>
      <c r="O17" s="145" t="s">
        <v>62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</row>
    <row r="18" spans="1:122">
      <c r="A18" s="60"/>
      <c r="B18" s="61"/>
      <c r="C18" s="103">
        <f>PPL_Loan!C23</f>
        <v>90000000</v>
      </c>
      <c r="D18" s="103">
        <f>PPL_Loan!D23</f>
        <v>8715714.2899999991</v>
      </c>
      <c r="E18" s="103">
        <f>PPL_Loan!E23</f>
        <v>39593464.289999999</v>
      </c>
      <c r="F18" s="103">
        <f>PPL_Loan!F23</f>
        <v>379545656.25</v>
      </c>
      <c r="G18" s="103"/>
      <c r="H18" s="103"/>
      <c r="I18" s="52"/>
      <c r="J18" s="52"/>
      <c r="K18" s="52"/>
      <c r="L18" s="52"/>
      <c r="M18" s="52"/>
      <c r="N18" s="142">
        <v>42948</v>
      </c>
      <c r="O18" s="141">
        <v>9.2499999999999999E-2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29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29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</row>
    <row r="19" spans="1:122" s="22" customFormat="1" ht="13.5" customHeight="1">
      <c r="A19" s="62"/>
      <c r="B19" s="63"/>
      <c r="C19" s="104">
        <f>C18</f>
        <v>90000000</v>
      </c>
      <c r="D19" s="104">
        <f>C19+D18</f>
        <v>98715714.289999992</v>
      </c>
      <c r="E19" s="104">
        <f>D19+E18</f>
        <v>138309178.57999998</v>
      </c>
      <c r="F19" s="104">
        <f>E19+F18</f>
        <v>517854834.82999998</v>
      </c>
      <c r="G19" s="104"/>
      <c r="H19" s="104"/>
      <c r="I19" s="52"/>
      <c r="J19" s="52"/>
      <c r="K19" s="52"/>
      <c r="L19" s="52"/>
      <c r="M19" s="52"/>
      <c r="N19" s="142">
        <v>43191</v>
      </c>
      <c r="O19" s="141">
        <v>0.11</v>
      </c>
      <c r="P19" s="146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</row>
    <row r="20" spans="1:122" s="22" customFormat="1" ht="13.5" customHeight="1">
      <c r="A20" s="20"/>
      <c r="B20" s="23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9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I20" s="29"/>
      <c r="CV20" s="111"/>
    </row>
    <row r="21" spans="1:122" s="22" customFormat="1">
      <c r="A21" s="21"/>
      <c r="B21" s="24"/>
      <c r="C21" s="24"/>
      <c r="D21" s="24"/>
      <c r="E21" s="25"/>
      <c r="F21" s="26"/>
      <c r="G21" s="26"/>
      <c r="H21" s="26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CV21" s="111"/>
    </row>
    <row r="22" spans="1:122" s="22" customFormat="1">
      <c r="A22" s="20" t="s">
        <v>87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122" s="22" customFormat="1">
      <c r="A23" s="27" t="s">
        <v>88</v>
      </c>
      <c r="B23" s="28"/>
      <c r="C23" s="28"/>
      <c r="D23" s="99">
        <v>42826</v>
      </c>
      <c r="E23" s="99">
        <f t="shared" ref="E23:BP23" si="0">EDATE(D23,1)</f>
        <v>42856</v>
      </c>
      <c r="F23" s="99">
        <f t="shared" si="0"/>
        <v>42887</v>
      </c>
      <c r="G23" s="99">
        <f t="shared" si="0"/>
        <v>42917</v>
      </c>
      <c r="H23" s="99">
        <f t="shared" si="0"/>
        <v>42948</v>
      </c>
      <c r="I23" s="99">
        <f t="shared" si="0"/>
        <v>42979</v>
      </c>
      <c r="J23" s="99">
        <f t="shared" si="0"/>
        <v>43009</v>
      </c>
      <c r="K23" s="99">
        <f t="shared" si="0"/>
        <v>43040</v>
      </c>
      <c r="L23" s="99">
        <f t="shared" si="0"/>
        <v>43070</v>
      </c>
      <c r="M23" s="99">
        <f t="shared" si="0"/>
        <v>43101</v>
      </c>
      <c r="N23" s="99">
        <f t="shared" si="0"/>
        <v>43132</v>
      </c>
      <c r="O23" s="99">
        <f t="shared" si="0"/>
        <v>43160</v>
      </c>
      <c r="P23" s="99">
        <f t="shared" si="0"/>
        <v>43191</v>
      </c>
      <c r="Q23" s="99">
        <f t="shared" si="0"/>
        <v>43221</v>
      </c>
      <c r="R23" s="99">
        <f t="shared" si="0"/>
        <v>43252</v>
      </c>
      <c r="S23" s="99">
        <f t="shared" si="0"/>
        <v>43282</v>
      </c>
      <c r="T23" s="99">
        <f t="shared" si="0"/>
        <v>43313</v>
      </c>
      <c r="U23" s="99">
        <f t="shared" si="0"/>
        <v>43344</v>
      </c>
      <c r="V23" s="99">
        <f t="shared" si="0"/>
        <v>43374</v>
      </c>
      <c r="W23" s="99">
        <f t="shared" si="0"/>
        <v>43405</v>
      </c>
      <c r="X23" s="99">
        <f t="shared" si="0"/>
        <v>43435</v>
      </c>
      <c r="Y23" s="99">
        <f t="shared" si="0"/>
        <v>43466</v>
      </c>
      <c r="Z23" s="99">
        <f t="shared" si="0"/>
        <v>43497</v>
      </c>
      <c r="AA23" s="99">
        <f t="shared" si="0"/>
        <v>43525</v>
      </c>
      <c r="AB23" s="99">
        <f t="shared" si="0"/>
        <v>43556</v>
      </c>
      <c r="AC23" s="99">
        <f t="shared" si="0"/>
        <v>43586</v>
      </c>
      <c r="AD23" s="99">
        <f t="shared" si="0"/>
        <v>43617</v>
      </c>
      <c r="AE23" s="99">
        <f t="shared" si="0"/>
        <v>43647</v>
      </c>
      <c r="AF23" s="99">
        <f t="shared" si="0"/>
        <v>43678</v>
      </c>
      <c r="AG23" s="99">
        <f t="shared" si="0"/>
        <v>43709</v>
      </c>
      <c r="AH23" s="99">
        <f t="shared" si="0"/>
        <v>43739</v>
      </c>
      <c r="AI23" s="99">
        <f t="shared" si="0"/>
        <v>43770</v>
      </c>
      <c r="AJ23" s="99">
        <f t="shared" si="0"/>
        <v>43800</v>
      </c>
      <c r="AK23" s="99">
        <f t="shared" si="0"/>
        <v>43831</v>
      </c>
      <c r="AL23" s="99">
        <f t="shared" si="0"/>
        <v>43862</v>
      </c>
      <c r="AM23" s="99">
        <f t="shared" si="0"/>
        <v>43891</v>
      </c>
      <c r="AN23" s="99">
        <f t="shared" si="0"/>
        <v>43922</v>
      </c>
      <c r="AO23" s="99">
        <f t="shared" si="0"/>
        <v>43952</v>
      </c>
      <c r="AP23" s="99">
        <f t="shared" si="0"/>
        <v>43983</v>
      </c>
      <c r="AQ23" s="99">
        <f t="shared" si="0"/>
        <v>44013</v>
      </c>
      <c r="AR23" s="99">
        <f t="shared" si="0"/>
        <v>44044</v>
      </c>
      <c r="AS23" s="99">
        <f t="shared" si="0"/>
        <v>44075</v>
      </c>
      <c r="AT23" s="99">
        <f t="shared" si="0"/>
        <v>44105</v>
      </c>
      <c r="AU23" s="99">
        <f t="shared" si="0"/>
        <v>44136</v>
      </c>
      <c r="AV23" s="99">
        <f t="shared" si="0"/>
        <v>44166</v>
      </c>
      <c r="AW23" s="99">
        <f t="shared" si="0"/>
        <v>44197</v>
      </c>
      <c r="AX23" s="99">
        <f t="shared" si="0"/>
        <v>44228</v>
      </c>
      <c r="AY23" s="99">
        <f t="shared" si="0"/>
        <v>44256</v>
      </c>
      <c r="AZ23" s="99">
        <f t="shared" si="0"/>
        <v>44287</v>
      </c>
      <c r="BA23" s="99">
        <f t="shared" si="0"/>
        <v>44317</v>
      </c>
      <c r="BB23" s="99">
        <f t="shared" si="0"/>
        <v>44348</v>
      </c>
      <c r="BC23" s="99">
        <f t="shared" si="0"/>
        <v>44378</v>
      </c>
      <c r="BD23" s="99">
        <f t="shared" si="0"/>
        <v>44409</v>
      </c>
      <c r="BE23" s="99">
        <f t="shared" si="0"/>
        <v>44440</v>
      </c>
      <c r="BF23" s="99">
        <f t="shared" si="0"/>
        <v>44470</v>
      </c>
      <c r="BG23" s="99">
        <f t="shared" si="0"/>
        <v>44501</v>
      </c>
      <c r="BH23" s="99">
        <f t="shared" si="0"/>
        <v>44531</v>
      </c>
      <c r="BI23" s="99">
        <f t="shared" si="0"/>
        <v>44562</v>
      </c>
      <c r="BJ23" s="99">
        <f t="shared" si="0"/>
        <v>44593</v>
      </c>
      <c r="BK23" s="99">
        <f t="shared" si="0"/>
        <v>44621</v>
      </c>
      <c r="BL23" s="99">
        <f t="shared" si="0"/>
        <v>44652</v>
      </c>
      <c r="BM23" s="99">
        <f t="shared" si="0"/>
        <v>44682</v>
      </c>
      <c r="BN23" s="99">
        <f t="shared" si="0"/>
        <v>44713</v>
      </c>
      <c r="BO23" s="99">
        <f t="shared" si="0"/>
        <v>44743</v>
      </c>
      <c r="BP23" s="99">
        <f t="shared" si="0"/>
        <v>44774</v>
      </c>
      <c r="BQ23" s="99">
        <f t="shared" ref="BQ23:CF23" si="1">EDATE(BP23,1)</f>
        <v>44805</v>
      </c>
      <c r="BR23" s="99">
        <f t="shared" si="1"/>
        <v>44835</v>
      </c>
      <c r="BS23" s="99">
        <f t="shared" si="1"/>
        <v>44866</v>
      </c>
      <c r="BT23" s="99">
        <f t="shared" si="1"/>
        <v>44896</v>
      </c>
      <c r="BU23" s="99">
        <f t="shared" si="1"/>
        <v>44927</v>
      </c>
      <c r="BV23" s="99">
        <f t="shared" si="1"/>
        <v>44958</v>
      </c>
      <c r="BW23" s="99">
        <f t="shared" si="1"/>
        <v>44986</v>
      </c>
      <c r="BX23" s="99">
        <f t="shared" si="1"/>
        <v>45017</v>
      </c>
      <c r="BY23" s="99">
        <f t="shared" si="1"/>
        <v>45047</v>
      </c>
      <c r="BZ23" s="99">
        <f t="shared" si="1"/>
        <v>45078</v>
      </c>
      <c r="CA23" s="99">
        <f t="shared" si="1"/>
        <v>45108</v>
      </c>
      <c r="CB23" s="99">
        <f t="shared" si="1"/>
        <v>45139</v>
      </c>
      <c r="CC23" s="99">
        <f t="shared" si="1"/>
        <v>45170</v>
      </c>
      <c r="CD23" s="99">
        <f t="shared" si="1"/>
        <v>45200</v>
      </c>
      <c r="CE23" s="99">
        <f t="shared" si="1"/>
        <v>45231</v>
      </c>
      <c r="CF23" s="99">
        <f t="shared" si="1"/>
        <v>45261</v>
      </c>
      <c r="CG23" s="99">
        <f t="shared" ref="CG23" si="2">EDATE(CF23,1)</f>
        <v>45292</v>
      </c>
      <c r="CH23" s="99">
        <f t="shared" ref="CH23" si="3">EDATE(CG23,1)</f>
        <v>45323</v>
      </c>
      <c r="CI23" s="99">
        <f t="shared" ref="CI23" si="4">EDATE(CH23,1)</f>
        <v>45352</v>
      </c>
      <c r="CJ23" s="99">
        <f t="shared" ref="CJ23" si="5">EDATE(CI23,1)</f>
        <v>45383</v>
      </c>
      <c r="CK23" s="99">
        <f t="shared" ref="CK23" si="6">EDATE(CJ23,1)</f>
        <v>45413</v>
      </c>
      <c r="CL23" s="99">
        <f t="shared" ref="CL23" si="7">EDATE(CK23,1)</f>
        <v>45444</v>
      </c>
      <c r="CM23" s="99">
        <f t="shared" ref="CM23" si="8">EDATE(CL23,1)</f>
        <v>45474</v>
      </c>
      <c r="CN23" s="99">
        <f t="shared" ref="CN23" si="9">EDATE(CM23,1)</f>
        <v>45505</v>
      </c>
      <c r="CO23" s="99">
        <f t="shared" ref="CO23" si="10">EDATE(CN23,1)</f>
        <v>45536</v>
      </c>
      <c r="CP23" s="99">
        <f t="shared" ref="CP23" si="11">EDATE(CO23,1)</f>
        <v>45566</v>
      </c>
      <c r="CQ23" s="99">
        <f t="shared" ref="CQ23" si="12">EDATE(CP23,1)</f>
        <v>45597</v>
      </c>
      <c r="CR23" s="99">
        <f t="shared" ref="CR23" si="13">EDATE(CQ23,1)</f>
        <v>45627</v>
      </c>
      <c r="CS23" s="99">
        <f t="shared" ref="CS23" si="14">EDATE(CR23,1)</f>
        <v>45658</v>
      </c>
      <c r="CT23" s="99">
        <f t="shared" ref="CT23" si="15">EDATE(CS23,1)</f>
        <v>45689</v>
      </c>
      <c r="CU23" s="99">
        <f t="shared" ref="CU23" si="16">EDATE(CT23,1)</f>
        <v>45717</v>
      </c>
      <c r="CV23" s="99">
        <f t="shared" ref="CV23" si="17">EDATE(CU23,1)</f>
        <v>45748</v>
      </c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  <c r="DQ23" s="99"/>
      <c r="DR23" s="99"/>
    </row>
    <row r="24" spans="1:122" s="22" customFormat="1">
      <c r="A24" s="21" t="s">
        <v>67</v>
      </c>
      <c r="B24" s="29"/>
      <c r="C24" s="29"/>
      <c r="D24" s="24">
        <f>C18+D18</f>
        <v>98715714.289999992</v>
      </c>
      <c r="E24" s="105">
        <f>D30</f>
        <v>99181871.829702765</v>
      </c>
      <c r="F24" s="105">
        <f t="shared" ref="F24:N24" si="18">E30</f>
        <v>99181871.829702765</v>
      </c>
      <c r="G24" s="105">
        <f t="shared" si="18"/>
        <v>99181871.829702765</v>
      </c>
      <c r="H24" s="105">
        <f t="shared" si="18"/>
        <v>101688969.14539804</v>
      </c>
      <c r="I24" s="105">
        <f t="shared" si="18"/>
        <v>101688969.14539804</v>
      </c>
      <c r="J24" s="105">
        <f t="shared" si="18"/>
        <v>101688969.14539804</v>
      </c>
      <c r="K24" s="105">
        <f t="shared" si="18"/>
        <v>104160576.03434868</v>
      </c>
      <c r="L24" s="105">
        <f t="shared" si="18"/>
        <v>104160576.03434868</v>
      </c>
      <c r="M24" s="105">
        <f t="shared" si="18"/>
        <v>104160576.03434868</v>
      </c>
      <c r="N24" s="105">
        <f t="shared" si="18"/>
        <v>106596052.83648515</v>
      </c>
      <c r="O24" s="24">
        <f>N30+E18</f>
        <v>146189517.12648514</v>
      </c>
      <c r="P24" s="24">
        <f t="shared" ref="P24:BE24" si="19">O30</f>
        <v>146189517.12648514</v>
      </c>
      <c r="Q24" s="24">
        <f t="shared" si="19"/>
        <v>149197648.76839095</v>
      </c>
      <c r="R24" s="24">
        <f t="shared" si="19"/>
        <v>149197648.76839095</v>
      </c>
      <c r="S24" s="24">
        <f t="shared" si="19"/>
        <v>149197648.76839095</v>
      </c>
      <c r="T24" s="24">
        <f t="shared" si="19"/>
        <v>153300584.10952172</v>
      </c>
      <c r="U24" s="24">
        <f t="shared" si="19"/>
        <v>153300584.10952172</v>
      </c>
      <c r="V24" s="24">
        <f t="shared" si="19"/>
        <v>153300584.10952172</v>
      </c>
      <c r="W24" s="24">
        <f>V30+F18</f>
        <v>537155690.11282277</v>
      </c>
      <c r="X24" s="24">
        <f t="shared" si="19"/>
        <v>537155690.11282277</v>
      </c>
      <c r="Y24" s="24">
        <f t="shared" si="19"/>
        <v>537155690.11282277</v>
      </c>
      <c r="Z24" s="24">
        <f t="shared" si="19"/>
        <v>551279796.50925851</v>
      </c>
      <c r="AA24" s="24">
        <f t="shared" si="19"/>
        <v>551279796.50925851</v>
      </c>
      <c r="AB24" s="24">
        <f t="shared" si="19"/>
        <v>551279796.50925851</v>
      </c>
      <c r="AC24" s="24">
        <f t="shared" si="19"/>
        <v>566608437.51775205</v>
      </c>
      <c r="AD24" s="24">
        <f t="shared" si="19"/>
        <v>566608437.51775205</v>
      </c>
      <c r="AE24" s="24">
        <f t="shared" si="19"/>
        <v>566608437.51775205</v>
      </c>
      <c r="AF24" s="24">
        <f t="shared" si="19"/>
        <v>582363299.90539849</v>
      </c>
      <c r="AG24" s="24">
        <f t="shared" si="19"/>
        <v>582363299.90539849</v>
      </c>
      <c r="AH24" s="24">
        <f t="shared" si="19"/>
        <v>582363299.90539849</v>
      </c>
      <c r="AI24" s="24">
        <f t="shared" si="19"/>
        <v>598734179.33607244</v>
      </c>
      <c r="AJ24" s="24">
        <f t="shared" si="19"/>
        <v>598734179.33607244</v>
      </c>
      <c r="AK24" s="24">
        <f t="shared" si="19"/>
        <v>598734179.33607244</v>
      </c>
      <c r="AL24" s="24">
        <f t="shared" si="19"/>
        <v>615382315.82261157</v>
      </c>
      <c r="AM24" s="24">
        <f t="shared" si="19"/>
        <v>615382315.82261157</v>
      </c>
      <c r="AN24" s="24">
        <f t="shared" si="19"/>
        <v>615382315.82261157</v>
      </c>
      <c r="AO24" s="24">
        <f t="shared" si="19"/>
        <v>632681396.47851384</v>
      </c>
      <c r="AP24" s="24">
        <f t="shared" si="19"/>
        <v>632681396.47851384</v>
      </c>
      <c r="AQ24" s="24">
        <f t="shared" si="19"/>
        <v>632681396.47851384</v>
      </c>
      <c r="AR24" s="24">
        <f t="shared" si="19"/>
        <v>601047326.6545881</v>
      </c>
      <c r="AS24" s="24">
        <f t="shared" si="19"/>
        <v>601047326.6545881</v>
      </c>
      <c r="AT24" s="24">
        <f t="shared" si="19"/>
        <v>601047326.6545881</v>
      </c>
      <c r="AU24" s="24">
        <f t="shared" si="19"/>
        <v>569413256.83066237</v>
      </c>
      <c r="AV24" s="24">
        <f t="shared" si="19"/>
        <v>569413256.83066237</v>
      </c>
      <c r="AW24" s="24">
        <f t="shared" si="19"/>
        <v>569413256.83066237</v>
      </c>
      <c r="AX24" s="24">
        <f t="shared" si="19"/>
        <v>537779187.00673664</v>
      </c>
      <c r="AY24" s="24">
        <f t="shared" si="19"/>
        <v>537779187.00673664</v>
      </c>
      <c r="AZ24" s="24">
        <f t="shared" si="19"/>
        <v>537779187.00673664</v>
      </c>
      <c r="BA24" s="24">
        <f t="shared" si="19"/>
        <v>506145117.18281096</v>
      </c>
      <c r="BB24" s="24">
        <f t="shared" si="19"/>
        <v>506145117.18281096</v>
      </c>
      <c r="BC24" s="24">
        <f t="shared" si="19"/>
        <v>506145117.18281096</v>
      </c>
      <c r="BD24" s="24">
        <f t="shared" si="19"/>
        <v>474511047.35888529</v>
      </c>
      <c r="BE24" s="24">
        <f t="shared" si="19"/>
        <v>474511047.35888529</v>
      </c>
      <c r="BF24" s="24">
        <f t="shared" ref="BF24:BU24" si="20">BE30</f>
        <v>474511047.35888529</v>
      </c>
      <c r="BG24" s="24">
        <f t="shared" si="20"/>
        <v>442876977.53495961</v>
      </c>
      <c r="BH24" s="24">
        <f t="shared" si="20"/>
        <v>442876977.53495961</v>
      </c>
      <c r="BI24" s="24">
        <f t="shared" si="20"/>
        <v>442876977.53495961</v>
      </c>
      <c r="BJ24" s="24">
        <f t="shared" si="20"/>
        <v>411242907.71103394</v>
      </c>
      <c r="BK24" s="24">
        <f t="shared" si="20"/>
        <v>411242907.71103394</v>
      </c>
      <c r="BL24" s="24">
        <f t="shared" si="20"/>
        <v>411242907.71103394</v>
      </c>
      <c r="BM24" s="24">
        <f t="shared" si="20"/>
        <v>379608837.88710827</v>
      </c>
      <c r="BN24" s="24">
        <f t="shared" si="20"/>
        <v>379608837.88710827</v>
      </c>
      <c r="BO24" s="24">
        <f t="shared" si="20"/>
        <v>379608837.88710827</v>
      </c>
      <c r="BP24" s="24">
        <f t="shared" si="20"/>
        <v>347974768.06318259</v>
      </c>
      <c r="BQ24" s="24">
        <f t="shared" si="20"/>
        <v>347974768.06318259</v>
      </c>
      <c r="BR24" s="24">
        <f t="shared" si="20"/>
        <v>347974768.06318259</v>
      </c>
      <c r="BS24" s="24">
        <f t="shared" si="20"/>
        <v>316340698.23925692</v>
      </c>
      <c r="BT24" s="24">
        <f t="shared" si="20"/>
        <v>316340698.23925692</v>
      </c>
      <c r="BU24" s="24">
        <f t="shared" si="20"/>
        <v>316340698.23925692</v>
      </c>
      <c r="BV24" s="24">
        <f t="shared" ref="BV24:CF24" si="21">BU30</f>
        <v>284706628.41533124</v>
      </c>
      <c r="BW24" s="24">
        <f t="shared" si="21"/>
        <v>284706628.41533124</v>
      </c>
      <c r="BX24" s="24">
        <f t="shared" si="21"/>
        <v>284706628.41533124</v>
      </c>
      <c r="BY24" s="24">
        <f t="shared" si="21"/>
        <v>253072558.59140554</v>
      </c>
      <c r="BZ24" s="24">
        <f t="shared" si="21"/>
        <v>253072558.59140554</v>
      </c>
      <c r="CA24" s="24">
        <f t="shared" si="21"/>
        <v>253072558.59140554</v>
      </c>
      <c r="CB24" s="24">
        <f t="shared" si="21"/>
        <v>221438488.76747984</v>
      </c>
      <c r="CC24" s="24">
        <f t="shared" si="21"/>
        <v>221438488.76747984</v>
      </c>
      <c r="CD24" s="24">
        <f t="shared" si="21"/>
        <v>221438488.76747984</v>
      </c>
      <c r="CE24" s="24">
        <f t="shared" si="21"/>
        <v>189804418.94355413</v>
      </c>
      <c r="CF24" s="24">
        <f t="shared" si="21"/>
        <v>189804418.94355413</v>
      </c>
      <c r="CG24" s="24">
        <f t="shared" ref="CG24" si="22">CF30</f>
        <v>189804418.94355413</v>
      </c>
      <c r="CH24" s="24">
        <f t="shared" ref="CH24" si="23">CG30</f>
        <v>158170349.11962843</v>
      </c>
      <c r="CI24" s="24">
        <f t="shared" ref="CI24" si="24">CH30</f>
        <v>158170349.11962843</v>
      </c>
      <c r="CJ24" s="24">
        <f t="shared" ref="CJ24" si="25">CI30</f>
        <v>158170349.11962843</v>
      </c>
      <c r="CK24" s="24">
        <f t="shared" ref="CK24" si="26">CJ30</f>
        <v>126536279.29570274</v>
      </c>
      <c r="CL24" s="24">
        <f t="shared" ref="CL24" si="27">CK30</f>
        <v>126536279.29570274</v>
      </c>
      <c r="CM24" s="24">
        <f t="shared" ref="CM24" si="28">CL30</f>
        <v>126536279.29570274</v>
      </c>
      <c r="CN24" s="24">
        <f t="shared" ref="CN24" si="29">CM30</f>
        <v>94902209.471777052</v>
      </c>
      <c r="CO24" s="24">
        <f t="shared" ref="CO24" si="30">CN30</f>
        <v>94902209.471777052</v>
      </c>
      <c r="CP24" s="24">
        <f t="shared" ref="CP24" si="31">CO30</f>
        <v>94902209.471777052</v>
      </c>
      <c r="CQ24" s="24">
        <f t="shared" ref="CQ24" si="32">CP30</f>
        <v>63268139.647851363</v>
      </c>
      <c r="CR24" s="24">
        <f t="shared" ref="CR24" si="33">CQ30</f>
        <v>63268139.647851363</v>
      </c>
      <c r="CS24" s="24">
        <f t="shared" ref="CS24" si="34">CR30</f>
        <v>63268139.647851363</v>
      </c>
      <c r="CT24" s="24">
        <f t="shared" ref="CT24" si="35">CS30</f>
        <v>31634069.82392567</v>
      </c>
      <c r="CU24" s="24">
        <f t="shared" ref="CU24" si="36">CT30</f>
        <v>31634069.82392567</v>
      </c>
      <c r="CV24" s="24">
        <f t="shared" ref="CV24" si="37">CU30</f>
        <v>31634069.82392567</v>
      </c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</row>
    <row r="25" spans="1:122" s="22" customFormat="1">
      <c r="A25" s="21" t="s">
        <v>68</v>
      </c>
      <c r="B25" s="24"/>
      <c r="C25" s="24"/>
      <c r="D25" s="24">
        <f>D24*(PPL_Loan!$C$29-C17)*$B$11/360+D30*(D23-PPL_Loan!$C$29)*$B$11/360</f>
        <v>493708.05965547299</v>
      </c>
      <c r="E25" s="24">
        <f>E24*(E23-D23)*$B$11/360</f>
        <v>826515.59858085634</v>
      </c>
      <c r="F25" s="24">
        <f t="shared" ref="F25:H25" si="38">F24*(F23-E23)*$B$11/360</f>
        <v>854066.11853355158</v>
      </c>
      <c r="G25" s="24">
        <f>G24*(PPL_Loan!$D$29-F23)*$B$11/360+G30*(G23-PPL_Loan!$D$29)*$B$11/360</f>
        <v>827212.01450188295</v>
      </c>
      <c r="H25" s="24">
        <f t="shared" si="38"/>
        <v>875655.012085372</v>
      </c>
      <c r="I25" s="24">
        <f>I24*(I23-H23)*$O$18/360</f>
        <v>809980.88617896906</v>
      </c>
      <c r="J25" s="24">
        <f>J24*(PPL_Loan!$E$29-I23)*$O$18/360+J30*(J23-PPL_Loan!$E$29)*$O$18/360</f>
        <v>784487.53615474305</v>
      </c>
      <c r="K25" s="24">
        <f t="shared" ref="K25:L25" si="39">K24*(K23-J23)*$O$18/360</f>
        <v>829667.92160693009</v>
      </c>
      <c r="L25" s="24">
        <f t="shared" si="39"/>
        <v>802904.44026477099</v>
      </c>
      <c r="M25" s="24">
        <f>M24*(PPL_Loan!$F$29-L23)*$O$18/360+M30*(M23-PPL_Loan!$F$29)*$O$18/360</f>
        <v>830919.48607469467</v>
      </c>
      <c r="N25" s="24">
        <f t="shared" ref="N25" si="40">N24*(N23-M23)*$O$18/360</f>
        <v>849067.17085728096</v>
      </c>
      <c r="O25" s="24">
        <f>N30*($E$17-N23)*$O$18/360+(N30+E18)*(O23-$E$17)*$O$18/360</f>
        <v>939845.831784782</v>
      </c>
      <c r="P25" s="24">
        <f>P24*(PPL_Loan!$G$29-O23+1)*$O$18/360+P30*(P23-PPL_Loan!$G$29-1)*$O$18/360</f>
        <v>1164440.112111656</v>
      </c>
      <c r="Q25" s="24">
        <f>Q24*(Q23-P23)*$O$19/360</f>
        <v>1367645.1137102502</v>
      </c>
      <c r="R25" s="24">
        <f>R24*(R23-Q23)*$O$19/360</f>
        <v>1413233.2841672588</v>
      </c>
      <c r="S25" s="24">
        <f>S24*(PPL_Loan!$H$29-R23)*$O$19/360+S30*(S23-PPL_Loan!$H$29)*$O$19/360</f>
        <v>1368898.7883978181</v>
      </c>
      <c r="T25" s="24">
        <f>T24*(T23-S23)*$O$19/360</f>
        <v>1452097.1994818584</v>
      </c>
      <c r="U25" s="24">
        <f>U24*(U23-T23)*$O$19/360</f>
        <v>1452097.1994818584</v>
      </c>
      <c r="V25" s="24">
        <f>V24*(PPL_Loan!$I$29-U23)*$O$19/360+V30*(V23-PPL_Loan!$I$29)*$O$19/360</f>
        <v>1406572.1306507909</v>
      </c>
      <c r="W25" s="24">
        <f>V30*(F17-V23)*$O$19/360+W24*(W23-F17)*$O$19/360</f>
        <v>4392224.361554794</v>
      </c>
      <c r="X25" s="24">
        <f>X24*(X23-W23)*$O$19/360</f>
        <v>4923927.1593675418</v>
      </c>
      <c r="Y25" s="24">
        <f>Y24*(PPL_Loan!$J$29-X23)*$O$19/360+Y30*(Y23-PPL_Loan!$J$29)*$O$19/360</f>
        <v>5096689.4630331704</v>
      </c>
      <c r="Z25" s="24">
        <f>Z24*(Z23-Y23)*$O$19/360</f>
        <v>5221844.739157143</v>
      </c>
      <c r="AA25" s="24">
        <f>AA24*(AA23-Z23)*$O$19/360</f>
        <v>4716504.9256903231</v>
      </c>
      <c r="AB25" s="24">
        <f>AB24*(PPL_Loan!$K$29-AA23)*$O$19/360+AB30*(AB23-PPL_Loan!$K$29)*$O$19/360</f>
        <v>5226528.4905764051</v>
      </c>
      <c r="AC25" s="24">
        <f>AC24*(AC23-AB23)*$O$19/360</f>
        <v>5193910.6772460602</v>
      </c>
      <c r="AD25" s="24">
        <f>AD24*(AD23-AC23)*$O$19/360</f>
        <v>5367041.0331542622</v>
      </c>
      <c r="AE25" s="24">
        <f>AE24*(PPL_Loan!$L$29-AD23)*$O$19/360+AE30*(AE23-PPL_Loan!$L$29)*$O$19/360</f>
        <v>5198724.6629756186</v>
      </c>
      <c r="AF25" s="24">
        <f>AF24*(AF23-AE23)*$O$19/360</f>
        <v>5516274.5907705799</v>
      </c>
      <c r="AG25" s="24">
        <f>AG24*(AG23-AF23)*$O$19/360</f>
        <v>5516274.5907705799</v>
      </c>
      <c r="AH25" s="24">
        <f>AH24*(PPL_Loan!$M$29-AG23)*$O$19/360+AH30*(AH23-PPL_Loan!$M$29)*$O$19/360</f>
        <v>5343332.4622921925</v>
      </c>
      <c r="AI25" s="24">
        <f>AI24*(AI23-AH23)*$O$19/360</f>
        <v>5671343.1987111308</v>
      </c>
      <c r="AJ25" s="24">
        <f>AJ24*(AJ23-AI23)*$O$19/360</f>
        <v>5488396.6439139973</v>
      </c>
      <c r="AK25" s="24">
        <f>AK24*(PPL_Loan!$N$29-AJ23)*$O$19/360+AK30*(AK23-PPL_Loan!$N$29)*$O$19/360</f>
        <v>5681517.0598973492</v>
      </c>
      <c r="AL25" s="24">
        <f t="shared" ref="AL25:AM25" si="41">AL24*(AL23-AK23)*$O$19/360</f>
        <v>5829038.0470975144</v>
      </c>
      <c r="AM25" s="24">
        <f t="shared" si="41"/>
        <v>5452971.07631703</v>
      </c>
      <c r="AN25" s="24">
        <f>AN24*(PPL_Loan!$O$29-AM23)*$O$19/360+AN30*(AN23-PPL_Loan!$O$29)*$O$19/360</f>
        <v>5834323.8772979304</v>
      </c>
      <c r="AO25" s="24">
        <f t="shared" ref="AO25:AP25" si="42">AO24*(AO23-AN23)*$O$19/360</f>
        <v>5799579.4677197104</v>
      </c>
      <c r="AP25" s="24">
        <f t="shared" si="42"/>
        <v>5992898.7833103668</v>
      </c>
      <c r="AQ25" s="24">
        <f>AQ24*(PPL_Loan!$P$29-AP23)*$O$19/360+AQ30*(AQ23-PPL_Loan!$P$29)*$O$19/360</f>
        <v>5789913.5019401778</v>
      </c>
      <c r="AR25" s="24">
        <f t="shared" ref="AR25:AS25" si="43">AR24*(AR23-AQ23)*$O$19/360</f>
        <v>5693253.8441448491</v>
      </c>
      <c r="AS25" s="24">
        <f t="shared" si="43"/>
        <v>5693253.8441448491</v>
      </c>
      <c r="AT25" s="24">
        <f>AT24*(PPL_Loan!$Q$29-AS23)*$O$19/360+AT30*(AT23-PPL_Loan!$Q$29)*$O$19/360</f>
        <v>5499934.5285541909</v>
      </c>
      <c r="AU25" s="24">
        <f t="shared" ref="AU25:AV25" si="44">AU24*(AU23-AT23)*$O$19/360</f>
        <v>5393608.9049793296</v>
      </c>
      <c r="AV25" s="24">
        <f t="shared" si="44"/>
        <v>5219621.5209477386</v>
      </c>
      <c r="AW25" s="24">
        <f>AW24*(PPL_Loan!$R$29-AV23)*$O$19/360+AW30*(AW23-PPL_Loan!$R$29)*$O$19/360</f>
        <v>5374276.9734202642</v>
      </c>
      <c r="AX25" s="24">
        <f t="shared" ref="AX25:AY25" si="45">AX24*(AX23-AW23)*$O$19/360</f>
        <v>5093963.9658138109</v>
      </c>
      <c r="AY25" s="24">
        <f t="shared" si="45"/>
        <v>4600999.711057636</v>
      </c>
      <c r="AZ25" s="24">
        <f>AZ24*(PPL_Loan!$S$29-AY23)*$O$19/360+AZ30*(AZ23-PPL_Loan!$S$29)*$O$19/360</f>
        <v>5084298.0000342773</v>
      </c>
      <c r="BA25" s="24">
        <f t="shared" ref="BA25:BB25" si="46">BA24*(BA23-AZ23)*$O$19/360</f>
        <v>4639663.5741757667</v>
      </c>
      <c r="BB25" s="24">
        <f t="shared" si="46"/>
        <v>4794319.0266482923</v>
      </c>
      <c r="BC25" s="24">
        <f>BC24*(PPL_Loan!$T$29-BB23)*$O$19/360+BC30*(BC23-PPL_Loan!$T$29)*$O$19/360</f>
        <v>4629997.608396234</v>
      </c>
      <c r="BD25" s="24">
        <f t="shared" ref="BD25:BE25" si="47">BD24*(BD23-BC23)*$O$19/360</f>
        <v>4494674.0874827746</v>
      </c>
      <c r="BE25" s="24">
        <f t="shared" si="47"/>
        <v>4494674.0874827746</v>
      </c>
      <c r="BF25" s="24">
        <f>BF24*(PPL_Loan!$U$29-BE23)*$O$19/360+BF30*(BF23-PPL_Loan!$U$29)*$O$19/360</f>
        <v>4340018.6350102499</v>
      </c>
      <c r="BG25" s="24">
        <f t="shared" ref="BG25:BH25" si="48">BG24*(BG23-BF23)*$O$19/360</f>
        <v>4195029.148317256</v>
      </c>
      <c r="BH25" s="24">
        <f t="shared" si="48"/>
        <v>4059705.6274037962</v>
      </c>
      <c r="BI25" s="24">
        <f>BI24*(PPL_Loan!$V$29-BH23)*$O$19/360+BI30*(BI23-PPL_Loan!$V$29)*$O$19/360</f>
        <v>4175697.2167581907</v>
      </c>
      <c r="BJ25" s="24">
        <f t="shared" ref="BJ25:BK25" si="49">BJ24*(BJ23-BI23)*$O$19/360</f>
        <v>3895384.2091517383</v>
      </c>
      <c r="BK25" s="24">
        <f t="shared" si="49"/>
        <v>3518411.5437499569</v>
      </c>
      <c r="BL25" s="24">
        <f>BL24*(PPL_Loan!$W$29-BK23)*$O$19/360+BL30*(BL23-PPL_Loan!$W$29)*$O$19/360</f>
        <v>3885718.2433722052</v>
      </c>
      <c r="BM25" s="24">
        <f t="shared" ref="BM25:BN25" si="50">BM24*(BM23-BL23)*$O$19/360</f>
        <v>3479747.6806318262</v>
      </c>
      <c r="BN25" s="24">
        <f t="shared" si="50"/>
        <v>3595739.2699862202</v>
      </c>
      <c r="BO25" s="24">
        <f>BO24*(PPL_Loan!$X$29-BN23)*$O$19/360+BO30*(BO23-PPL_Loan!$X$29)*$O$19/360</f>
        <v>3470081.7148522926</v>
      </c>
      <c r="BP25" s="24">
        <f t="shared" ref="BP25:BQ25" si="51">BP24*(BP23-BO23)*$O$19/360</f>
        <v>3296094.3308207016</v>
      </c>
      <c r="BQ25" s="24">
        <f t="shared" si="51"/>
        <v>3296094.3308207016</v>
      </c>
      <c r="BR25" s="24">
        <f>BR24*(PPL_Loan!$Y$29-BQ23)*$O$19/360+BR30*(BR23-PPL_Loan!$Y$29)*$O$19/360</f>
        <v>3180102.7414663075</v>
      </c>
      <c r="BS25" s="24">
        <f t="shared" ref="BS25:BT25" si="52">BS24*(BS23-BR23)*$O$19/360</f>
        <v>2996449.3916551834</v>
      </c>
      <c r="BT25" s="24">
        <f t="shared" si="52"/>
        <v>2899789.7338598552</v>
      </c>
      <c r="BU25" s="24">
        <f>BU24*(PPL_Loan!$Z$29-BT23)*$O$19/360+BU30*(BU23-PPL_Loan!$Z$29)*$O$19/360</f>
        <v>2977117.460096118</v>
      </c>
      <c r="BV25" s="24">
        <f t="shared" ref="BV25:BW25" si="53">BV24*(BV23-BU23)*$O$19/360</f>
        <v>2696804.4524896657</v>
      </c>
      <c r="BW25" s="24">
        <f t="shared" si="53"/>
        <v>2435823.3764422783</v>
      </c>
      <c r="BX25" s="24">
        <f>BX24*(PPL_Loan!$AA$29-BW23)*$O$19/360+BX30*(BX23-PPL_Loan!$AA$29)*$O$19/360</f>
        <v>2687138.4867101326</v>
      </c>
      <c r="BY25" s="24">
        <f t="shared" ref="BY25:BZ25" si="54">BY24*(BY23-BX23)*$O$19/360</f>
        <v>2319831.7870878843</v>
      </c>
      <c r="BZ25" s="24">
        <f t="shared" si="54"/>
        <v>2397159.5133241466</v>
      </c>
      <c r="CA25" s="24">
        <f>CA24*(PPL_Loan!$AB$29-BZ23)*$O$19/360+CA30*(CA23-PPL_Loan!$AB$29)*$O$19/360</f>
        <v>2310165.8213083516</v>
      </c>
      <c r="CB25" s="24">
        <f t="shared" ref="CB25:CC25" si="55">CB24*(CB23-CA23)*$O$19/360</f>
        <v>2097514.5741586285</v>
      </c>
      <c r="CC25" s="24">
        <f t="shared" si="55"/>
        <v>2097514.5741586285</v>
      </c>
      <c r="CD25" s="24">
        <f>CD24*(PPL_Loan!$AC$29-CC23)*$O$19/360+CD30*(CD23-PPL_Loan!$AC$29)*$O$19/360</f>
        <v>2020186.8479223656</v>
      </c>
      <c r="CE25" s="24">
        <f t="shared" ref="CE25:CF25" si="56">CE24*(CE23-CD23)*$O$19/360</f>
        <v>1797869.6349931101</v>
      </c>
      <c r="CF25" s="24">
        <f t="shared" si="56"/>
        <v>1739873.8403159131</v>
      </c>
      <c r="CG25" s="24">
        <f>CG24*(PPL_Loan!$AD$29-CF23)*$O$19/360+CG30*(CG23-PPL_Loan!$AD$29)*$O$19/360</f>
        <v>1778537.703434044</v>
      </c>
      <c r="CH25" s="24">
        <f t="shared" ref="CH25:CI25" si="57">CH24*(CH23-CG23)*$O$19/360</f>
        <v>1498224.6958275915</v>
      </c>
      <c r="CI25" s="24">
        <f t="shared" si="57"/>
        <v>1401565.0380322633</v>
      </c>
      <c r="CJ25" s="24">
        <f>CJ24*(PPL_Loan!$AE$29-CI23)*$O$19/360+CJ30*(CJ23-PPL_Loan!$AE$29)*$O$19/360</f>
        <v>1488558.7300480588</v>
      </c>
      <c r="CK25" s="24">
        <f t="shared" ref="CK25:CL25" si="58">CK24*(CK23-CJ23)*$O$19/360</f>
        <v>1159915.8935439417</v>
      </c>
      <c r="CL25" s="24">
        <f t="shared" si="58"/>
        <v>1198579.7566620731</v>
      </c>
      <c r="CM25" s="24">
        <f>CM24*(PPL_Loan!$AF$29-CL23)*$O$19/360+CM30*(CM23-PPL_Loan!$AF$29)*$O$19/360</f>
        <v>1150249.9277644088</v>
      </c>
      <c r="CN25" s="24">
        <f t="shared" ref="CN25:CO25" si="59">CN24*(CN23-CM23)*$O$19/360</f>
        <v>898934.81749655493</v>
      </c>
      <c r="CO25" s="24">
        <f t="shared" si="59"/>
        <v>898934.81749655493</v>
      </c>
      <c r="CP25" s="24">
        <f>CP24*(PPL_Loan!$AG$29-CO23)*$O$19/360+CP30*(CP23-PPL_Loan!$AG$29)*$O$19/360</f>
        <v>860270.95437842351</v>
      </c>
      <c r="CQ25" s="24">
        <f t="shared" ref="CQ25:CR25" si="60">CQ24*(CQ23-CP23)*$O$19/360</f>
        <v>599289.87833103642</v>
      </c>
      <c r="CR25" s="24">
        <f t="shared" si="60"/>
        <v>579957.94677197083</v>
      </c>
      <c r="CS25" s="24">
        <f>CS24*(PPL_Loan!$AH$29-CR23)*$O$19/360+CS30*(CS23-PPL_Loan!$AH$29)*$O$19/360</f>
        <v>579957.94677197083</v>
      </c>
      <c r="CT25" s="24">
        <f t="shared" ref="CT25:CU25" si="61">CT24*(CT23-CS23)*$O$19/360</f>
        <v>299644.93916551821</v>
      </c>
      <c r="CU25" s="24">
        <f t="shared" si="61"/>
        <v>270647.04182691965</v>
      </c>
      <c r="CV25" s="24">
        <f>CV24*(PPL_Loan!$AI$29-CU23)*$O$19/360+CV30*(CV23-PPL_Loan!$AI$29)*$O$19/360</f>
        <v>125657.55513392697</v>
      </c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</row>
    <row r="26" spans="1:122" s="51" customFormat="1">
      <c r="A26" s="45" t="s">
        <v>69</v>
      </c>
      <c r="B26" s="46"/>
      <c r="C26" s="46"/>
      <c r="D26" s="46">
        <f>C26+D25</f>
        <v>493708.05965547299</v>
      </c>
      <c r="E26" s="46">
        <f t="shared" ref="E26:AI26" si="62">D26+E25</f>
        <v>1320223.6582363294</v>
      </c>
      <c r="F26" s="46">
        <f t="shared" si="62"/>
        <v>2174289.7767698811</v>
      </c>
      <c r="G26" s="46">
        <f t="shared" si="62"/>
        <v>3001501.7912717639</v>
      </c>
      <c r="H26" s="46">
        <f t="shared" si="62"/>
        <v>3877156.803357136</v>
      </c>
      <c r="I26" s="46">
        <f t="shared" si="62"/>
        <v>4687137.6895361049</v>
      </c>
      <c r="J26" s="46">
        <f t="shared" si="62"/>
        <v>5471625.2256908482</v>
      </c>
      <c r="K26" s="46">
        <f t="shared" si="62"/>
        <v>6301293.1472977782</v>
      </c>
      <c r="L26" s="46">
        <f t="shared" si="62"/>
        <v>7104197.5875625489</v>
      </c>
      <c r="M26" s="46">
        <f t="shared" si="62"/>
        <v>7935117.0736372434</v>
      </c>
      <c r="N26" s="46">
        <f t="shared" si="62"/>
        <v>8784184.2444945239</v>
      </c>
      <c r="O26" s="46">
        <f t="shared" si="62"/>
        <v>9724030.0762793049</v>
      </c>
      <c r="P26" s="46">
        <f t="shared" si="62"/>
        <v>10888470.188390961</v>
      </c>
      <c r="Q26" s="46">
        <f t="shared" si="62"/>
        <v>12256115.302101212</v>
      </c>
      <c r="R26" s="46">
        <f t="shared" si="62"/>
        <v>13669348.58626847</v>
      </c>
      <c r="S26" s="46">
        <f t="shared" si="62"/>
        <v>15038247.374666288</v>
      </c>
      <c r="T26" s="46">
        <f t="shared" si="62"/>
        <v>16490344.574148146</v>
      </c>
      <c r="U26" s="46">
        <f t="shared" si="62"/>
        <v>17942441.773630004</v>
      </c>
      <c r="V26" s="46">
        <f t="shared" si="62"/>
        <v>19349013.904280797</v>
      </c>
      <c r="W26" s="46">
        <f t="shared" si="62"/>
        <v>23741238.265835591</v>
      </c>
      <c r="X26" s="46">
        <f t="shared" si="62"/>
        <v>28665165.425203133</v>
      </c>
      <c r="Y26" s="46">
        <f t="shared" si="62"/>
        <v>33761854.888236307</v>
      </c>
      <c r="Z26" s="46">
        <f t="shared" si="62"/>
        <v>38983699.627393447</v>
      </c>
      <c r="AA26" s="46">
        <f t="shared" si="62"/>
        <v>43700204.55308377</v>
      </c>
      <c r="AB26" s="46">
        <f t="shared" si="62"/>
        <v>48926733.043660179</v>
      </c>
      <c r="AC26" s="46">
        <f t="shared" si="62"/>
        <v>54120643.720906243</v>
      </c>
      <c r="AD26" s="46">
        <f t="shared" si="62"/>
        <v>59487684.754060507</v>
      </c>
      <c r="AE26" s="46">
        <f t="shared" si="62"/>
        <v>64686409.417036124</v>
      </c>
      <c r="AF26" s="46">
        <f t="shared" si="62"/>
        <v>70202684.007806703</v>
      </c>
      <c r="AG26" s="46">
        <f t="shared" si="62"/>
        <v>75718958.598577291</v>
      </c>
      <c r="AH26" s="46">
        <f t="shared" si="62"/>
        <v>81062291.060869485</v>
      </c>
      <c r="AI26" s="46">
        <f t="shared" si="62"/>
        <v>86733634.259580612</v>
      </c>
      <c r="AJ26" s="46">
        <f t="shared" ref="AJ26:BO26" si="63">AI26+AJ25</f>
        <v>92222030.903494611</v>
      </c>
      <c r="AK26" s="46">
        <f t="shared" si="63"/>
        <v>97903547.96339196</v>
      </c>
      <c r="AL26" s="46">
        <f t="shared" si="63"/>
        <v>103732586.01048948</v>
      </c>
      <c r="AM26" s="46">
        <f t="shared" si="63"/>
        <v>109185557.08680651</v>
      </c>
      <c r="AN26" s="46">
        <f t="shared" si="63"/>
        <v>115019880.96410444</v>
      </c>
      <c r="AO26" s="46">
        <f t="shared" si="63"/>
        <v>120819460.43182415</v>
      </c>
      <c r="AP26" s="46">
        <f t="shared" si="63"/>
        <v>126812359.21513452</v>
      </c>
      <c r="AQ26" s="46">
        <f t="shared" si="63"/>
        <v>132602272.71707469</v>
      </c>
      <c r="AR26" s="46">
        <f t="shared" si="63"/>
        <v>138295526.56121954</v>
      </c>
      <c r="AS26" s="46">
        <f t="shared" si="63"/>
        <v>143988780.40536439</v>
      </c>
      <c r="AT26" s="46">
        <f t="shared" si="63"/>
        <v>149488714.9339186</v>
      </c>
      <c r="AU26" s="46">
        <f t="shared" si="63"/>
        <v>154882323.83889791</v>
      </c>
      <c r="AV26" s="46">
        <f t="shared" si="63"/>
        <v>160101945.35984564</v>
      </c>
      <c r="AW26" s="46">
        <f t="shared" si="63"/>
        <v>165476222.3332659</v>
      </c>
      <c r="AX26" s="46">
        <f t="shared" si="63"/>
        <v>170570186.29907972</v>
      </c>
      <c r="AY26" s="46">
        <f t="shared" si="63"/>
        <v>175171186.01013735</v>
      </c>
      <c r="AZ26" s="46">
        <f t="shared" si="63"/>
        <v>180255484.01017162</v>
      </c>
      <c r="BA26" s="46">
        <f t="shared" si="63"/>
        <v>184895147.5843474</v>
      </c>
      <c r="BB26" s="46">
        <f t="shared" si="63"/>
        <v>189689466.61099568</v>
      </c>
      <c r="BC26" s="46">
        <f t="shared" si="63"/>
        <v>194319464.21939191</v>
      </c>
      <c r="BD26" s="46">
        <f t="shared" si="63"/>
        <v>198814138.30687469</v>
      </c>
      <c r="BE26" s="46">
        <f t="shared" si="63"/>
        <v>203308812.39435747</v>
      </c>
      <c r="BF26" s="46">
        <f t="shared" si="63"/>
        <v>207648831.02936772</v>
      </c>
      <c r="BG26" s="46">
        <f t="shared" si="63"/>
        <v>211843860.17768496</v>
      </c>
      <c r="BH26" s="46">
        <f t="shared" si="63"/>
        <v>215903565.80508876</v>
      </c>
      <c r="BI26" s="46">
        <f t="shared" si="63"/>
        <v>220079263.02184695</v>
      </c>
      <c r="BJ26" s="46">
        <f t="shared" si="63"/>
        <v>223974647.23099869</v>
      </c>
      <c r="BK26" s="46">
        <f t="shared" si="63"/>
        <v>227493058.77474865</v>
      </c>
      <c r="BL26" s="46">
        <f t="shared" si="63"/>
        <v>231378777.01812086</v>
      </c>
      <c r="BM26" s="46">
        <f t="shared" si="63"/>
        <v>234858524.69875267</v>
      </c>
      <c r="BN26" s="46">
        <f t="shared" si="63"/>
        <v>238454263.96873888</v>
      </c>
      <c r="BO26" s="46">
        <f t="shared" si="63"/>
        <v>241924345.68359119</v>
      </c>
      <c r="BP26" s="46">
        <f t="shared" ref="BP26:CF26" si="64">BO26+BP25</f>
        <v>245220440.0144119</v>
      </c>
      <c r="BQ26" s="46">
        <f t="shared" si="64"/>
        <v>248516534.34523261</v>
      </c>
      <c r="BR26" s="46">
        <f t="shared" si="64"/>
        <v>251696637.08669892</v>
      </c>
      <c r="BS26" s="46">
        <f t="shared" si="64"/>
        <v>254693086.4783541</v>
      </c>
      <c r="BT26" s="46">
        <f t="shared" si="64"/>
        <v>257592876.21221396</v>
      </c>
      <c r="BU26" s="46">
        <f t="shared" si="64"/>
        <v>260569993.67231008</v>
      </c>
      <c r="BV26" s="46">
        <f t="shared" si="64"/>
        <v>263266798.12479976</v>
      </c>
      <c r="BW26" s="46">
        <f t="shared" si="64"/>
        <v>265702621.50124204</v>
      </c>
      <c r="BX26" s="46">
        <f t="shared" si="64"/>
        <v>268389759.98795217</v>
      </c>
      <c r="BY26" s="46">
        <f t="shared" si="64"/>
        <v>270709591.77504003</v>
      </c>
      <c r="BZ26" s="46">
        <f t="shared" si="64"/>
        <v>273106751.28836417</v>
      </c>
      <c r="CA26" s="46">
        <f t="shared" si="64"/>
        <v>275416917.10967255</v>
      </c>
      <c r="CB26" s="46">
        <f t="shared" si="64"/>
        <v>277514431.68383116</v>
      </c>
      <c r="CC26" s="46">
        <f t="shared" si="64"/>
        <v>279611946.25798976</v>
      </c>
      <c r="CD26" s="46">
        <f t="shared" si="64"/>
        <v>281632133.10591215</v>
      </c>
      <c r="CE26" s="46">
        <f t="shared" si="64"/>
        <v>283430002.74090528</v>
      </c>
      <c r="CF26" s="46">
        <f t="shared" si="64"/>
        <v>285169876.58122122</v>
      </c>
      <c r="CG26" s="46">
        <f t="shared" ref="CG26" si="65">CF26+CG25</f>
        <v>286948414.28465527</v>
      </c>
      <c r="CH26" s="46">
        <f t="shared" ref="CH26" si="66">CG26+CH25</f>
        <v>288446638.98048288</v>
      </c>
      <c r="CI26" s="46">
        <f t="shared" ref="CI26" si="67">CH26+CI25</f>
        <v>289848204.01851511</v>
      </c>
      <c r="CJ26" s="46">
        <f t="shared" ref="CJ26" si="68">CI26+CJ25</f>
        <v>291336762.74856317</v>
      </c>
      <c r="CK26" s="46">
        <f t="shared" ref="CK26" si="69">CJ26+CK25</f>
        <v>292496678.64210713</v>
      </c>
      <c r="CL26" s="46">
        <f t="shared" ref="CL26" si="70">CK26+CL25</f>
        <v>293695258.3987692</v>
      </c>
      <c r="CM26" s="46">
        <f t="shared" ref="CM26" si="71">CL26+CM25</f>
        <v>294845508.32653362</v>
      </c>
      <c r="CN26" s="46">
        <f t="shared" ref="CN26" si="72">CM26+CN25</f>
        <v>295744443.14403015</v>
      </c>
      <c r="CO26" s="46">
        <f t="shared" ref="CO26" si="73">CN26+CO25</f>
        <v>296643377.96152669</v>
      </c>
      <c r="CP26" s="46">
        <f t="shared" ref="CP26" si="74">CO26+CP25</f>
        <v>297503648.91590512</v>
      </c>
      <c r="CQ26" s="46">
        <f t="shared" ref="CQ26" si="75">CP26+CQ25</f>
        <v>298102938.79423618</v>
      </c>
      <c r="CR26" s="46">
        <f t="shared" ref="CR26" si="76">CQ26+CR25</f>
        <v>298682896.74100816</v>
      </c>
      <c r="CS26" s="46">
        <f t="shared" ref="CS26" si="77">CR26+CS25</f>
        <v>299262854.68778014</v>
      </c>
      <c r="CT26" s="46">
        <f t="shared" ref="CT26" si="78">CS26+CT25</f>
        <v>299562499.62694567</v>
      </c>
      <c r="CU26" s="46">
        <f t="shared" ref="CU26" si="79">CT26+CU25</f>
        <v>299833146.66877258</v>
      </c>
      <c r="CV26" s="46">
        <f t="shared" ref="CV26" si="80">CU26+CV25</f>
        <v>299958804.22390652</v>
      </c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</row>
    <row r="27" spans="1:122" s="22" customFormat="1">
      <c r="A27" s="21" t="s">
        <v>70</v>
      </c>
      <c r="C27" s="24"/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f>L27</f>
        <v>0</v>
      </c>
      <c r="P27" s="24">
        <f>M27</f>
        <v>0</v>
      </c>
      <c r="Q27" s="24">
        <f>PPL_Loan!$G$33</f>
        <v>0</v>
      </c>
      <c r="R27" s="24">
        <f t="shared" ref="R27:S27" si="81">O27</f>
        <v>0</v>
      </c>
      <c r="S27" s="24">
        <f t="shared" si="81"/>
        <v>0</v>
      </c>
      <c r="T27" s="24">
        <f>PPL_Loan!$H$33</f>
        <v>0</v>
      </c>
      <c r="U27" s="24">
        <f t="shared" ref="U27:V27" si="82">R27</f>
        <v>0</v>
      </c>
      <c r="V27" s="24">
        <f t="shared" si="82"/>
        <v>0</v>
      </c>
      <c r="W27" s="24">
        <f>PPL_Loan!$I$33</f>
        <v>0</v>
      </c>
      <c r="X27" s="24">
        <f t="shared" ref="X27:Y27" si="83">U27</f>
        <v>0</v>
      </c>
      <c r="Y27" s="24">
        <f t="shared" si="83"/>
        <v>0</v>
      </c>
      <c r="Z27" s="24">
        <f>PPL_Loan!$J$33</f>
        <v>0</v>
      </c>
      <c r="AA27" s="24">
        <f t="shared" ref="AA27:AB27" si="84">X27</f>
        <v>0</v>
      </c>
      <c r="AB27" s="24">
        <f t="shared" si="84"/>
        <v>0</v>
      </c>
      <c r="AC27" s="24">
        <f>PPL_Loan!$K$33</f>
        <v>0</v>
      </c>
      <c r="AD27" s="24">
        <f t="shared" ref="AD27:AE27" si="85">AA27</f>
        <v>0</v>
      </c>
      <c r="AE27" s="24">
        <f t="shared" si="85"/>
        <v>0</v>
      </c>
      <c r="AF27" s="24">
        <f>PPL_Loan!$L$33</f>
        <v>0</v>
      </c>
      <c r="AG27" s="24">
        <f t="shared" ref="AG27:AH27" si="86">AD27</f>
        <v>0</v>
      </c>
      <c r="AH27" s="24">
        <f t="shared" si="86"/>
        <v>0</v>
      </c>
      <c r="AI27" s="24">
        <f>PPL_Loan!$M$33</f>
        <v>0</v>
      </c>
      <c r="AJ27" s="24">
        <f t="shared" ref="AJ27:AK27" si="87">AG27</f>
        <v>0</v>
      </c>
      <c r="AK27" s="24">
        <f t="shared" si="87"/>
        <v>0</v>
      </c>
      <c r="AL27" s="24">
        <f>PPL_Loan!$N$33</f>
        <v>0</v>
      </c>
      <c r="AM27" s="24">
        <f t="shared" ref="AM27:AN27" si="88">AJ27</f>
        <v>0</v>
      </c>
      <c r="AN27" s="24">
        <f t="shared" si="88"/>
        <v>0</v>
      </c>
      <c r="AO27" s="24">
        <f>PPL_Loan!$O$33</f>
        <v>0</v>
      </c>
      <c r="AP27" s="24">
        <f t="shared" ref="AP27" si="89">AM27</f>
        <v>0</v>
      </c>
      <c r="AQ27" s="24">
        <f>PPL_Loan!$P$33</f>
        <v>31634069.823925693</v>
      </c>
      <c r="AR27" s="24">
        <f t="shared" ref="AR27:AS27" si="90">AO27</f>
        <v>0</v>
      </c>
      <c r="AS27" s="24">
        <f t="shared" si="90"/>
        <v>0</v>
      </c>
      <c r="AT27" s="24">
        <f>PPL_Loan!$Q$33</f>
        <v>31634069.823925693</v>
      </c>
      <c r="AU27" s="24">
        <f t="shared" ref="AU27:AV27" si="91">AR27</f>
        <v>0</v>
      </c>
      <c r="AV27" s="24">
        <f t="shared" si="91"/>
        <v>0</v>
      </c>
      <c r="AW27" s="24">
        <f>PPL_Loan!$R$33</f>
        <v>31634069.823925693</v>
      </c>
      <c r="AX27" s="24">
        <f t="shared" ref="AX27:AY27" si="92">AU27</f>
        <v>0</v>
      </c>
      <c r="AY27" s="24">
        <f t="shared" si="92"/>
        <v>0</v>
      </c>
      <c r="AZ27" s="24">
        <f>PPL_Loan!$S$33</f>
        <v>31634069.823925693</v>
      </c>
      <c r="BA27" s="24">
        <f t="shared" ref="BA27" si="93">AX27</f>
        <v>0</v>
      </c>
      <c r="BB27" s="24">
        <f t="shared" ref="BB27" si="94">AY27</f>
        <v>0</v>
      </c>
      <c r="BC27" s="24">
        <f>PPL_Loan!$T$33</f>
        <v>31634069.823925693</v>
      </c>
      <c r="BD27" s="24">
        <f t="shared" ref="BD27" si="95">BA27</f>
        <v>0</v>
      </c>
      <c r="BE27" s="24">
        <f t="shared" ref="BE27" si="96">BB27</f>
        <v>0</v>
      </c>
      <c r="BF27" s="24">
        <f>PPL_Loan!$U$33</f>
        <v>31634069.823925693</v>
      </c>
      <c r="BG27" s="24">
        <f t="shared" ref="BG27" si="97">BD27</f>
        <v>0</v>
      </c>
      <c r="BH27" s="24">
        <f t="shared" ref="BH27" si="98">BE27</f>
        <v>0</v>
      </c>
      <c r="BI27" s="24">
        <f>PPL_Loan!$V$33</f>
        <v>31634069.823925693</v>
      </c>
      <c r="BJ27" s="24">
        <f t="shared" ref="BJ27" si="99">BG27</f>
        <v>0</v>
      </c>
      <c r="BK27" s="24">
        <f t="shared" ref="BK27" si="100">BH27</f>
        <v>0</v>
      </c>
      <c r="BL27" s="24">
        <f>PPL_Loan!$W$33</f>
        <v>31634069.823925693</v>
      </c>
      <c r="BM27" s="24">
        <f t="shared" ref="BM27" si="101">BJ27</f>
        <v>0</v>
      </c>
      <c r="BN27" s="24">
        <f t="shared" ref="BN27" si="102">BK27</f>
        <v>0</v>
      </c>
      <c r="BO27" s="24">
        <f>PPL_Loan!$X$33</f>
        <v>31634069.823925693</v>
      </c>
      <c r="BP27" s="24">
        <f t="shared" ref="BP27" si="103">BM27</f>
        <v>0</v>
      </c>
      <c r="BQ27" s="24">
        <f t="shared" ref="BQ27" si="104">BN27</f>
        <v>0</v>
      </c>
      <c r="BR27" s="24">
        <f>PPL_Loan!$Y$33</f>
        <v>31634069.823925693</v>
      </c>
      <c r="BS27" s="24">
        <f t="shared" ref="BS27" si="105">BP27</f>
        <v>0</v>
      </c>
      <c r="BT27" s="24">
        <f t="shared" ref="BT27" si="106">BQ27</f>
        <v>0</v>
      </c>
      <c r="BU27" s="24">
        <f>PPL_Loan!$Z$33</f>
        <v>31634069.823925693</v>
      </c>
      <c r="BV27" s="24">
        <f t="shared" ref="BV27" si="107">BS27</f>
        <v>0</v>
      </c>
      <c r="BW27" s="24">
        <f t="shared" ref="BW27" si="108">BT27</f>
        <v>0</v>
      </c>
      <c r="BX27" s="24">
        <f>PPL_Loan!$AA$33</f>
        <v>31634069.823925693</v>
      </c>
      <c r="BY27" s="24">
        <f t="shared" ref="BY27" si="109">BV27</f>
        <v>0</v>
      </c>
      <c r="BZ27" s="24">
        <f t="shared" ref="BZ27" si="110">BW27</f>
        <v>0</v>
      </c>
      <c r="CA27" s="24">
        <f>PPL_Loan!$AB$33</f>
        <v>31634069.823925693</v>
      </c>
      <c r="CB27" s="24">
        <f t="shared" ref="CB27" si="111">BY27</f>
        <v>0</v>
      </c>
      <c r="CC27" s="24">
        <f t="shared" ref="CC27" si="112">BZ27</f>
        <v>0</v>
      </c>
      <c r="CD27" s="24">
        <f>PPL_Loan!$AC$33</f>
        <v>31634069.823925693</v>
      </c>
      <c r="CE27" s="24">
        <f t="shared" ref="CE27" si="113">CB27</f>
        <v>0</v>
      </c>
      <c r="CF27" s="24">
        <f t="shared" ref="CF27" si="114">CC27</f>
        <v>0</v>
      </c>
      <c r="CG27" s="24">
        <f>PPL_Loan!$AD$33</f>
        <v>31634069.823925693</v>
      </c>
      <c r="CH27" s="24">
        <f t="shared" ref="CH27" si="115">CE27</f>
        <v>0</v>
      </c>
      <c r="CI27" s="24">
        <f t="shared" ref="CI27" si="116">CF27</f>
        <v>0</v>
      </c>
      <c r="CJ27" s="24">
        <f>PPL_Loan!$AD$33</f>
        <v>31634069.823925693</v>
      </c>
      <c r="CK27" s="24">
        <f t="shared" ref="CK27" si="117">CH27</f>
        <v>0</v>
      </c>
      <c r="CL27" s="24">
        <f t="shared" ref="CL27" si="118">CI27</f>
        <v>0</v>
      </c>
      <c r="CM27" s="24">
        <f>PPL_Loan!$AD$33</f>
        <v>31634069.823925693</v>
      </c>
      <c r="CN27" s="24">
        <f t="shared" ref="CN27" si="119">CK27</f>
        <v>0</v>
      </c>
      <c r="CO27" s="24">
        <f t="shared" ref="CO27" si="120">CL27</f>
        <v>0</v>
      </c>
      <c r="CP27" s="24">
        <f>PPL_Loan!$AD$33</f>
        <v>31634069.823925693</v>
      </c>
      <c r="CQ27" s="24">
        <f t="shared" ref="CQ27" si="121">CN27</f>
        <v>0</v>
      </c>
      <c r="CR27" s="24">
        <f t="shared" ref="CR27" si="122">CO27</f>
        <v>0</v>
      </c>
      <c r="CS27" s="24">
        <f>PPL_Loan!$AD$33</f>
        <v>31634069.823925693</v>
      </c>
      <c r="CT27" s="24">
        <f t="shared" ref="CT27" si="123">CQ27</f>
        <v>0</v>
      </c>
      <c r="CU27" s="24">
        <f t="shared" ref="CU27" si="124">CR27</f>
        <v>0</v>
      </c>
      <c r="CV27" s="24">
        <f>PPL_Loan!$AD$33</f>
        <v>31634069.823925693</v>
      </c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</row>
    <row r="28" spans="1:122" s="22" customFormat="1">
      <c r="A28" s="21" t="s">
        <v>71</v>
      </c>
      <c r="B28" s="24"/>
      <c r="C28" s="24"/>
      <c r="D28" s="24">
        <f>C28+D27</f>
        <v>0</v>
      </c>
      <c r="E28" s="24">
        <f t="shared" ref="E28:AE28" si="125">D28+E27</f>
        <v>0</v>
      </c>
      <c r="F28" s="24">
        <f t="shared" si="125"/>
        <v>0</v>
      </c>
      <c r="G28" s="24">
        <f t="shared" si="125"/>
        <v>0</v>
      </c>
      <c r="H28" s="24">
        <f t="shared" si="125"/>
        <v>0</v>
      </c>
      <c r="I28" s="24">
        <f t="shared" si="125"/>
        <v>0</v>
      </c>
      <c r="J28" s="24">
        <f t="shared" si="125"/>
        <v>0</v>
      </c>
      <c r="K28" s="24">
        <f t="shared" si="125"/>
        <v>0</v>
      </c>
      <c r="L28" s="24">
        <f t="shared" si="125"/>
        <v>0</v>
      </c>
      <c r="M28" s="24">
        <f t="shared" si="125"/>
        <v>0</v>
      </c>
      <c r="N28" s="24">
        <f t="shared" si="125"/>
        <v>0</v>
      </c>
      <c r="O28" s="24">
        <f t="shared" si="125"/>
        <v>0</v>
      </c>
      <c r="P28" s="24">
        <f t="shared" si="125"/>
        <v>0</v>
      </c>
      <c r="Q28" s="24">
        <f t="shared" si="125"/>
        <v>0</v>
      </c>
      <c r="R28" s="24">
        <f t="shared" si="125"/>
        <v>0</v>
      </c>
      <c r="S28" s="24">
        <f t="shared" si="125"/>
        <v>0</v>
      </c>
      <c r="T28" s="24">
        <f t="shared" si="125"/>
        <v>0</v>
      </c>
      <c r="U28" s="24">
        <f t="shared" si="125"/>
        <v>0</v>
      </c>
      <c r="V28" s="24">
        <f t="shared" si="125"/>
        <v>0</v>
      </c>
      <c r="W28" s="24">
        <f t="shared" si="125"/>
        <v>0</v>
      </c>
      <c r="X28" s="24">
        <f t="shared" si="125"/>
        <v>0</v>
      </c>
      <c r="Y28" s="24">
        <f t="shared" si="125"/>
        <v>0</v>
      </c>
      <c r="Z28" s="24">
        <f t="shared" si="125"/>
        <v>0</v>
      </c>
      <c r="AA28" s="24">
        <f t="shared" si="125"/>
        <v>0</v>
      </c>
      <c r="AB28" s="24">
        <f t="shared" si="125"/>
        <v>0</v>
      </c>
      <c r="AC28" s="24">
        <f t="shared" si="125"/>
        <v>0</v>
      </c>
      <c r="AD28" s="24">
        <f t="shared" si="125"/>
        <v>0</v>
      </c>
      <c r="AE28" s="24">
        <f t="shared" si="125"/>
        <v>0</v>
      </c>
      <c r="AF28" s="24">
        <f t="shared" ref="AF28:BE28" si="126">AE28+AF27</f>
        <v>0</v>
      </c>
      <c r="AG28" s="24">
        <f t="shared" si="126"/>
        <v>0</v>
      </c>
      <c r="AH28" s="24">
        <f t="shared" si="126"/>
        <v>0</v>
      </c>
      <c r="AI28" s="24">
        <f t="shared" si="126"/>
        <v>0</v>
      </c>
      <c r="AJ28" s="24">
        <f t="shared" si="126"/>
        <v>0</v>
      </c>
      <c r="AK28" s="24">
        <f t="shared" si="126"/>
        <v>0</v>
      </c>
      <c r="AL28" s="24">
        <f t="shared" si="126"/>
        <v>0</v>
      </c>
      <c r="AM28" s="24">
        <f t="shared" si="126"/>
        <v>0</v>
      </c>
      <c r="AN28" s="24">
        <f t="shared" si="126"/>
        <v>0</v>
      </c>
      <c r="AO28" s="24">
        <f t="shared" si="126"/>
        <v>0</v>
      </c>
      <c r="AP28" s="24">
        <f t="shared" si="126"/>
        <v>0</v>
      </c>
      <c r="AQ28" s="24">
        <f t="shared" si="126"/>
        <v>31634069.823925693</v>
      </c>
      <c r="AR28" s="24">
        <f t="shared" si="126"/>
        <v>31634069.823925693</v>
      </c>
      <c r="AS28" s="24">
        <f t="shared" si="126"/>
        <v>31634069.823925693</v>
      </c>
      <c r="AT28" s="24">
        <f t="shared" si="126"/>
        <v>63268139.647851385</v>
      </c>
      <c r="AU28" s="24">
        <f t="shared" si="126"/>
        <v>63268139.647851385</v>
      </c>
      <c r="AV28" s="24">
        <f t="shared" si="126"/>
        <v>63268139.647851385</v>
      </c>
      <c r="AW28" s="24">
        <f t="shared" si="126"/>
        <v>94902209.471777081</v>
      </c>
      <c r="AX28" s="24">
        <f t="shared" si="126"/>
        <v>94902209.471777081</v>
      </c>
      <c r="AY28" s="24">
        <f t="shared" si="126"/>
        <v>94902209.471777081</v>
      </c>
      <c r="AZ28" s="24">
        <f t="shared" si="126"/>
        <v>126536279.29570277</v>
      </c>
      <c r="BA28" s="24">
        <f t="shared" si="126"/>
        <v>126536279.29570277</v>
      </c>
      <c r="BB28" s="24">
        <f t="shared" si="126"/>
        <v>126536279.29570277</v>
      </c>
      <c r="BC28" s="24">
        <f t="shared" si="126"/>
        <v>158170349.11962846</v>
      </c>
      <c r="BD28" s="24">
        <f t="shared" si="126"/>
        <v>158170349.11962846</v>
      </c>
      <c r="BE28" s="24">
        <f t="shared" si="126"/>
        <v>158170349.11962846</v>
      </c>
      <c r="BF28" s="24">
        <f t="shared" ref="BF28:BT28" si="127">BE28+BF27</f>
        <v>189804418.94355416</v>
      </c>
      <c r="BG28" s="24">
        <f t="shared" si="127"/>
        <v>189804418.94355416</v>
      </c>
      <c r="BH28" s="24">
        <f t="shared" si="127"/>
        <v>189804418.94355416</v>
      </c>
      <c r="BI28" s="24">
        <f t="shared" si="127"/>
        <v>221438488.76747987</v>
      </c>
      <c r="BJ28" s="24">
        <f t="shared" si="127"/>
        <v>221438488.76747987</v>
      </c>
      <c r="BK28" s="24">
        <f t="shared" si="127"/>
        <v>221438488.76747987</v>
      </c>
      <c r="BL28" s="24">
        <f t="shared" si="127"/>
        <v>253072558.59140557</v>
      </c>
      <c r="BM28" s="24">
        <f t="shared" si="127"/>
        <v>253072558.59140557</v>
      </c>
      <c r="BN28" s="24">
        <f t="shared" si="127"/>
        <v>253072558.59140557</v>
      </c>
      <c r="BO28" s="24">
        <f t="shared" si="127"/>
        <v>284706628.41533124</v>
      </c>
      <c r="BP28" s="24">
        <f t="shared" si="127"/>
        <v>284706628.41533124</v>
      </c>
      <c r="BQ28" s="24">
        <f t="shared" si="127"/>
        <v>284706628.41533124</v>
      </c>
      <c r="BR28" s="24">
        <f t="shared" si="127"/>
        <v>316340698.23925692</v>
      </c>
      <c r="BS28" s="24">
        <f t="shared" si="127"/>
        <v>316340698.23925692</v>
      </c>
      <c r="BT28" s="24">
        <f t="shared" si="127"/>
        <v>316340698.23925692</v>
      </c>
      <c r="BU28" s="24">
        <f>BT28+BU27</f>
        <v>347974768.06318259</v>
      </c>
      <c r="BV28" s="24">
        <f t="shared" ref="BV28:CF28" si="128">BU28+BV27</f>
        <v>347974768.06318259</v>
      </c>
      <c r="BW28" s="24">
        <f t="shared" si="128"/>
        <v>347974768.06318259</v>
      </c>
      <c r="BX28" s="24">
        <f t="shared" si="128"/>
        <v>379608837.88710827</v>
      </c>
      <c r="BY28" s="24">
        <f t="shared" si="128"/>
        <v>379608837.88710827</v>
      </c>
      <c r="BZ28" s="24">
        <f t="shared" si="128"/>
        <v>379608837.88710827</v>
      </c>
      <c r="CA28" s="24">
        <f t="shared" si="128"/>
        <v>411242907.71103394</v>
      </c>
      <c r="CB28" s="24">
        <f t="shared" si="128"/>
        <v>411242907.71103394</v>
      </c>
      <c r="CC28" s="24">
        <f t="shared" si="128"/>
        <v>411242907.71103394</v>
      </c>
      <c r="CD28" s="24">
        <f t="shared" si="128"/>
        <v>442876977.53495961</v>
      </c>
      <c r="CE28" s="24">
        <f t="shared" si="128"/>
        <v>442876977.53495961</v>
      </c>
      <c r="CF28" s="24">
        <f t="shared" si="128"/>
        <v>442876977.53495961</v>
      </c>
      <c r="CG28" s="24">
        <f t="shared" ref="CG28" si="129">CF28+CG27</f>
        <v>474511047.35888529</v>
      </c>
      <c r="CH28" s="24">
        <f t="shared" ref="CH28" si="130">CG28+CH27</f>
        <v>474511047.35888529</v>
      </c>
      <c r="CI28" s="24">
        <f t="shared" ref="CI28" si="131">CH28+CI27</f>
        <v>474511047.35888529</v>
      </c>
      <c r="CJ28" s="24">
        <f t="shared" ref="CJ28" si="132">CI28+CJ27</f>
        <v>506145117.18281096</v>
      </c>
      <c r="CK28" s="24">
        <f t="shared" ref="CK28" si="133">CJ28+CK27</f>
        <v>506145117.18281096</v>
      </c>
      <c r="CL28" s="24">
        <f t="shared" ref="CL28" si="134">CK28+CL27</f>
        <v>506145117.18281096</v>
      </c>
      <c r="CM28" s="24">
        <f t="shared" ref="CM28" si="135">CL28+CM27</f>
        <v>537779187.00673664</v>
      </c>
      <c r="CN28" s="24">
        <f t="shared" ref="CN28" si="136">CM28+CN27</f>
        <v>537779187.00673664</v>
      </c>
      <c r="CO28" s="24">
        <f t="shared" ref="CO28" si="137">CN28+CO27</f>
        <v>537779187.00673664</v>
      </c>
      <c r="CP28" s="24">
        <f t="shared" ref="CP28" si="138">CO28+CP27</f>
        <v>569413256.83066237</v>
      </c>
      <c r="CQ28" s="24">
        <f t="shared" ref="CQ28" si="139">CP28+CQ27</f>
        <v>569413256.83066237</v>
      </c>
      <c r="CR28" s="24">
        <f t="shared" ref="CR28" si="140">CQ28+CR27</f>
        <v>569413256.83066237</v>
      </c>
      <c r="CS28" s="24">
        <f t="shared" ref="CS28" si="141">CR28+CS27</f>
        <v>601047326.6545881</v>
      </c>
      <c r="CT28" s="24">
        <f t="shared" ref="CT28" si="142">CS28+CT27</f>
        <v>601047326.6545881</v>
      </c>
      <c r="CU28" s="24">
        <f t="shared" ref="CU28" si="143">CT28+CU27</f>
        <v>601047326.6545881</v>
      </c>
      <c r="CV28" s="24">
        <f t="shared" ref="CV28" si="144">CU28+CV27</f>
        <v>632681396.47851384</v>
      </c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</row>
    <row r="29" spans="1:122" s="22" customFormat="1">
      <c r="A29" s="21" t="s">
        <v>72</v>
      </c>
      <c r="B29" s="29"/>
      <c r="C29" s="29"/>
      <c r="D29" s="29">
        <f t="shared" ref="D29:BN29" si="145">D27+D25</f>
        <v>493708.05965547299</v>
      </c>
      <c r="E29" s="29">
        <f t="shared" si="145"/>
        <v>826515.59858085634</v>
      </c>
      <c r="F29" s="29">
        <f t="shared" si="145"/>
        <v>854066.11853355158</v>
      </c>
      <c r="G29" s="29">
        <f t="shared" si="145"/>
        <v>827212.01450188295</v>
      </c>
      <c r="H29" s="29">
        <f t="shared" si="145"/>
        <v>875655.012085372</v>
      </c>
      <c r="I29" s="29">
        <f t="shared" si="145"/>
        <v>809980.88617896906</v>
      </c>
      <c r="J29" s="29">
        <f t="shared" si="145"/>
        <v>784487.53615474305</v>
      </c>
      <c r="K29" s="29">
        <f t="shared" si="145"/>
        <v>829667.92160693009</v>
      </c>
      <c r="L29" s="29">
        <f t="shared" si="145"/>
        <v>802904.44026477099</v>
      </c>
      <c r="M29" s="29">
        <f t="shared" si="145"/>
        <v>830919.48607469467</v>
      </c>
      <c r="N29" s="29">
        <f t="shared" si="145"/>
        <v>849067.17085728096</v>
      </c>
      <c r="O29" s="29">
        <f t="shared" si="145"/>
        <v>939845.831784782</v>
      </c>
      <c r="P29" s="29">
        <f t="shared" si="145"/>
        <v>1164440.112111656</v>
      </c>
      <c r="Q29" s="29">
        <f t="shared" si="145"/>
        <v>1367645.1137102502</v>
      </c>
      <c r="R29" s="29">
        <f t="shared" si="145"/>
        <v>1413233.2841672588</v>
      </c>
      <c r="S29" s="29">
        <f t="shared" si="145"/>
        <v>1368898.7883978181</v>
      </c>
      <c r="T29" s="29">
        <f t="shared" si="145"/>
        <v>1452097.1994818584</v>
      </c>
      <c r="U29" s="29">
        <f t="shared" si="145"/>
        <v>1452097.1994818584</v>
      </c>
      <c r="V29" s="29">
        <f t="shared" si="145"/>
        <v>1406572.1306507909</v>
      </c>
      <c r="W29" s="29">
        <f t="shared" si="145"/>
        <v>4392224.361554794</v>
      </c>
      <c r="X29" s="29">
        <f t="shared" si="145"/>
        <v>4923927.1593675418</v>
      </c>
      <c r="Y29" s="29">
        <f t="shared" si="145"/>
        <v>5096689.4630331704</v>
      </c>
      <c r="Z29" s="29">
        <f t="shared" si="145"/>
        <v>5221844.739157143</v>
      </c>
      <c r="AA29" s="29">
        <f t="shared" si="145"/>
        <v>4716504.9256903231</v>
      </c>
      <c r="AB29" s="29">
        <f t="shared" si="145"/>
        <v>5226528.4905764051</v>
      </c>
      <c r="AC29" s="29">
        <f t="shared" si="145"/>
        <v>5193910.6772460602</v>
      </c>
      <c r="AD29" s="29">
        <f t="shared" si="145"/>
        <v>5367041.0331542622</v>
      </c>
      <c r="AE29" s="29">
        <f t="shared" si="145"/>
        <v>5198724.6629756186</v>
      </c>
      <c r="AF29" s="29">
        <f t="shared" si="145"/>
        <v>5516274.5907705799</v>
      </c>
      <c r="AG29" s="29">
        <f t="shared" si="145"/>
        <v>5516274.5907705799</v>
      </c>
      <c r="AH29" s="29">
        <f t="shared" si="145"/>
        <v>5343332.4622921925</v>
      </c>
      <c r="AI29" s="29">
        <f t="shared" si="145"/>
        <v>5671343.1987111308</v>
      </c>
      <c r="AJ29" s="29">
        <f t="shared" si="145"/>
        <v>5488396.6439139973</v>
      </c>
      <c r="AK29" s="29">
        <f t="shared" si="145"/>
        <v>5681517.0598973492</v>
      </c>
      <c r="AL29" s="29">
        <f t="shared" si="145"/>
        <v>5829038.0470975144</v>
      </c>
      <c r="AM29" s="29">
        <f t="shared" si="145"/>
        <v>5452971.07631703</v>
      </c>
      <c r="AN29" s="29">
        <f t="shared" si="145"/>
        <v>5834323.8772979304</v>
      </c>
      <c r="AO29" s="29">
        <f t="shared" si="145"/>
        <v>5799579.4677197104</v>
      </c>
      <c r="AP29" s="29">
        <f t="shared" si="145"/>
        <v>5992898.7833103668</v>
      </c>
      <c r="AQ29" s="29">
        <f t="shared" si="145"/>
        <v>37423983.325865872</v>
      </c>
      <c r="AR29" s="29">
        <f t="shared" si="145"/>
        <v>5693253.8441448491</v>
      </c>
      <c r="AS29" s="29">
        <f t="shared" si="145"/>
        <v>5693253.8441448491</v>
      </c>
      <c r="AT29" s="29">
        <f t="shared" si="145"/>
        <v>37134004.352479883</v>
      </c>
      <c r="AU29" s="29">
        <f t="shared" si="145"/>
        <v>5393608.9049793296</v>
      </c>
      <c r="AV29" s="29">
        <f t="shared" si="145"/>
        <v>5219621.5209477386</v>
      </c>
      <c r="AW29" s="29">
        <f t="shared" si="145"/>
        <v>37008346.797345959</v>
      </c>
      <c r="AX29" s="29">
        <f t="shared" si="145"/>
        <v>5093963.9658138109</v>
      </c>
      <c r="AY29" s="29">
        <f t="shared" si="145"/>
        <v>4600999.711057636</v>
      </c>
      <c r="AZ29" s="29">
        <f t="shared" si="145"/>
        <v>36718367.823959969</v>
      </c>
      <c r="BA29" s="29">
        <f t="shared" si="145"/>
        <v>4639663.5741757667</v>
      </c>
      <c r="BB29" s="29">
        <f t="shared" si="145"/>
        <v>4794319.0266482923</v>
      </c>
      <c r="BC29" s="29">
        <f t="shared" si="145"/>
        <v>36264067.432321928</v>
      </c>
      <c r="BD29" s="29">
        <f t="shared" si="145"/>
        <v>4494674.0874827746</v>
      </c>
      <c r="BE29" s="29">
        <f t="shared" si="145"/>
        <v>4494674.0874827746</v>
      </c>
      <c r="BF29" s="29">
        <f t="shared" si="145"/>
        <v>35974088.458935946</v>
      </c>
      <c r="BG29" s="29">
        <f t="shared" si="145"/>
        <v>4195029.148317256</v>
      </c>
      <c r="BH29" s="29">
        <f t="shared" si="145"/>
        <v>4059705.6274037962</v>
      </c>
      <c r="BI29" s="29">
        <f t="shared" si="145"/>
        <v>35809767.04068388</v>
      </c>
      <c r="BJ29" s="29">
        <f t="shared" si="145"/>
        <v>3895384.2091517383</v>
      </c>
      <c r="BK29" s="29">
        <f t="shared" si="145"/>
        <v>3518411.5437499569</v>
      </c>
      <c r="BL29" s="29">
        <f t="shared" si="145"/>
        <v>35519788.067297898</v>
      </c>
      <c r="BM29" s="29">
        <f t="shared" si="145"/>
        <v>3479747.6806318262</v>
      </c>
      <c r="BN29" s="29">
        <f t="shared" si="145"/>
        <v>3595739.2699862202</v>
      </c>
      <c r="BO29" s="29">
        <f t="shared" ref="BO29:CF29" si="146">BO27+BO25</f>
        <v>35104151.538777985</v>
      </c>
      <c r="BP29" s="29">
        <f t="shared" si="146"/>
        <v>3296094.3308207016</v>
      </c>
      <c r="BQ29" s="29">
        <f t="shared" si="146"/>
        <v>3296094.3308207016</v>
      </c>
      <c r="BR29" s="29">
        <f t="shared" si="146"/>
        <v>34814172.565392002</v>
      </c>
      <c r="BS29" s="29">
        <f t="shared" si="146"/>
        <v>2996449.3916551834</v>
      </c>
      <c r="BT29" s="29">
        <f t="shared" si="146"/>
        <v>2899789.7338598552</v>
      </c>
      <c r="BU29" s="29">
        <f t="shared" si="146"/>
        <v>34611187.28402181</v>
      </c>
      <c r="BV29" s="29">
        <f t="shared" si="146"/>
        <v>2696804.4524896657</v>
      </c>
      <c r="BW29" s="29">
        <f t="shared" si="146"/>
        <v>2435823.3764422783</v>
      </c>
      <c r="BX29" s="29">
        <f t="shared" si="146"/>
        <v>34321208.310635827</v>
      </c>
      <c r="BY29" s="29">
        <f t="shared" si="146"/>
        <v>2319831.7870878843</v>
      </c>
      <c r="BZ29" s="29">
        <f t="shared" si="146"/>
        <v>2397159.5133241466</v>
      </c>
      <c r="CA29" s="29">
        <f t="shared" si="146"/>
        <v>33944235.645234041</v>
      </c>
      <c r="CB29" s="29">
        <f t="shared" si="146"/>
        <v>2097514.5741586285</v>
      </c>
      <c r="CC29" s="29">
        <f t="shared" si="146"/>
        <v>2097514.5741586285</v>
      </c>
      <c r="CD29" s="29">
        <f t="shared" si="146"/>
        <v>33654256.671848059</v>
      </c>
      <c r="CE29" s="29">
        <f t="shared" si="146"/>
        <v>1797869.6349931101</v>
      </c>
      <c r="CF29" s="29">
        <f t="shared" si="146"/>
        <v>1739873.8403159131</v>
      </c>
      <c r="CG29" s="29">
        <f t="shared" ref="CG29:CI29" si="147">CG27+CG25</f>
        <v>33412607.527359735</v>
      </c>
      <c r="CH29" s="29">
        <f t="shared" si="147"/>
        <v>1498224.6958275915</v>
      </c>
      <c r="CI29" s="29">
        <f t="shared" si="147"/>
        <v>1401565.0380322633</v>
      </c>
      <c r="CJ29" s="29">
        <f t="shared" ref="CJ29:CV29" si="148">CJ27+CJ25</f>
        <v>33122628.553973753</v>
      </c>
      <c r="CK29" s="29">
        <f t="shared" si="148"/>
        <v>1159915.8935439417</v>
      </c>
      <c r="CL29" s="29">
        <f t="shared" si="148"/>
        <v>1198579.7566620731</v>
      </c>
      <c r="CM29" s="29">
        <f t="shared" si="148"/>
        <v>32784319.751690101</v>
      </c>
      <c r="CN29" s="29">
        <f t="shared" si="148"/>
        <v>898934.81749655493</v>
      </c>
      <c r="CO29" s="29">
        <f t="shared" si="148"/>
        <v>898934.81749655493</v>
      </c>
      <c r="CP29" s="29">
        <f t="shared" si="148"/>
        <v>32494340.778304115</v>
      </c>
      <c r="CQ29" s="29">
        <f t="shared" si="148"/>
        <v>599289.87833103642</v>
      </c>
      <c r="CR29" s="29">
        <f t="shared" si="148"/>
        <v>579957.94677197083</v>
      </c>
      <c r="CS29" s="29">
        <f t="shared" si="148"/>
        <v>32214027.770697664</v>
      </c>
      <c r="CT29" s="29">
        <f t="shared" si="148"/>
        <v>299644.93916551821</v>
      </c>
      <c r="CU29" s="29">
        <f t="shared" si="148"/>
        <v>270647.04182691965</v>
      </c>
      <c r="CV29" s="29">
        <f t="shared" si="148"/>
        <v>31759727.37905962</v>
      </c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</row>
    <row r="30" spans="1:122" s="22" customFormat="1" ht="14.45" thickBot="1">
      <c r="A30" s="31" t="s">
        <v>73</v>
      </c>
      <c r="B30" s="32"/>
      <c r="C30" s="32"/>
      <c r="D30" s="32">
        <f>PPL_Loan!$C$36</f>
        <v>99181871.829702765</v>
      </c>
      <c r="E30" s="32">
        <f t="shared" ref="E30:BE30" si="149">E24-E27</f>
        <v>99181871.829702765</v>
      </c>
      <c r="F30" s="32">
        <f t="shared" si="149"/>
        <v>99181871.829702765</v>
      </c>
      <c r="G30" s="32">
        <f>PPL_Loan!$D$36</f>
        <v>101688969.14539804</v>
      </c>
      <c r="H30" s="32">
        <f t="shared" si="149"/>
        <v>101688969.14539804</v>
      </c>
      <c r="I30" s="32">
        <f t="shared" si="149"/>
        <v>101688969.14539804</v>
      </c>
      <c r="J30" s="32">
        <f>PPL_Loan!$E$36</f>
        <v>104160576.03434868</v>
      </c>
      <c r="K30" s="32">
        <f t="shared" si="149"/>
        <v>104160576.03434868</v>
      </c>
      <c r="L30" s="32">
        <f t="shared" si="149"/>
        <v>104160576.03434868</v>
      </c>
      <c r="M30" s="32">
        <f>PPL_Loan!$F$36</f>
        <v>106596052.83648515</v>
      </c>
      <c r="N30" s="32">
        <f t="shared" si="149"/>
        <v>106596052.83648515</v>
      </c>
      <c r="O30" s="32">
        <f t="shared" si="149"/>
        <v>146189517.12648514</v>
      </c>
      <c r="P30" s="32">
        <f>PPL_Loan!$G$36</f>
        <v>149197648.76839095</v>
      </c>
      <c r="Q30" s="32">
        <f>Q24-Q27</f>
        <v>149197648.76839095</v>
      </c>
      <c r="R30" s="32">
        <f t="shared" si="149"/>
        <v>149197648.76839095</v>
      </c>
      <c r="S30" s="32">
        <f>PPL_Loan!$H$36</f>
        <v>153300584.10952172</v>
      </c>
      <c r="T30" s="32">
        <f t="shared" si="149"/>
        <v>153300584.10952172</v>
      </c>
      <c r="U30" s="32">
        <f t="shared" si="149"/>
        <v>153300584.10952172</v>
      </c>
      <c r="V30" s="32">
        <f>PPL_Loan!$I$36</f>
        <v>157610033.86282271</v>
      </c>
      <c r="W30" s="32">
        <f t="shared" si="149"/>
        <v>537155690.11282277</v>
      </c>
      <c r="X30" s="32">
        <f t="shared" si="149"/>
        <v>537155690.11282277</v>
      </c>
      <c r="Y30" s="32">
        <f>PPL_Loan!$J$36</f>
        <v>551279796.50925851</v>
      </c>
      <c r="Z30" s="32">
        <f t="shared" si="149"/>
        <v>551279796.50925851</v>
      </c>
      <c r="AA30" s="32">
        <f t="shared" si="149"/>
        <v>551279796.50925851</v>
      </c>
      <c r="AB30" s="32">
        <f>PPL_Loan!$K$36</f>
        <v>566608437.51775205</v>
      </c>
      <c r="AC30" s="32">
        <f t="shared" si="149"/>
        <v>566608437.51775205</v>
      </c>
      <c r="AD30" s="32">
        <f t="shared" si="149"/>
        <v>566608437.51775205</v>
      </c>
      <c r="AE30" s="32">
        <f>PPL_Loan!$L$36</f>
        <v>582363299.90539849</v>
      </c>
      <c r="AF30" s="32">
        <f t="shared" si="149"/>
        <v>582363299.90539849</v>
      </c>
      <c r="AG30" s="32">
        <f t="shared" si="149"/>
        <v>582363299.90539849</v>
      </c>
      <c r="AH30" s="32">
        <f>PPL_Loan!$M$36</f>
        <v>598734179.33607244</v>
      </c>
      <c r="AI30" s="32">
        <f t="shared" si="149"/>
        <v>598734179.33607244</v>
      </c>
      <c r="AJ30" s="32">
        <f t="shared" si="149"/>
        <v>598734179.33607244</v>
      </c>
      <c r="AK30" s="32">
        <f>PPL_Loan!$N$36</f>
        <v>615382315.82261157</v>
      </c>
      <c r="AL30" s="32">
        <f t="shared" si="149"/>
        <v>615382315.82261157</v>
      </c>
      <c r="AM30" s="32">
        <f t="shared" si="149"/>
        <v>615382315.82261157</v>
      </c>
      <c r="AN30" s="32">
        <f>+PPL_Loan!O36</f>
        <v>632681396.47851384</v>
      </c>
      <c r="AO30" s="32">
        <f t="shared" si="149"/>
        <v>632681396.47851384</v>
      </c>
      <c r="AP30" s="32">
        <f t="shared" si="149"/>
        <v>632681396.47851384</v>
      </c>
      <c r="AQ30" s="32">
        <f t="shared" si="149"/>
        <v>601047326.6545881</v>
      </c>
      <c r="AR30" s="32">
        <f t="shared" si="149"/>
        <v>601047326.6545881</v>
      </c>
      <c r="AS30" s="32">
        <f t="shared" si="149"/>
        <v>601047326.6545881</v>
      </c>
      <c r="AT30" s="32">
        <f t="shared" si="149"/>
        <v>569413256.83066237</v>
      </c>
      <c r="AU30" s="32">
        <f t="shared" si="149"/>
        <v>569413256.83066237</v>
      </c>
      <c r="AV30" s="32">
        <f t="shared" si="149"/>
        <v>569413256.83066237</v>
      </c>
      <c r="AW30" s="32">
        <f t="shared" si="149"/>
        <v>537779187.00673664</v>
      </c>
      <c r="AX30" s="32">
        <f t="shared" si="149"/>
        <v>537779187.00673664</v>
      </c>
      <c r="AY30" s="32">
        <f t="shared" si="149"/>
        <v>537779187.00673664</v>
      </c>
      <c r="AZ30" s="32">
        <f t="shared" si="149"/>
        <v>506145117.18281096</v>
      </c>
      <c r="BA30" s="32">
        <f t="shared" si="149"/>
        <v>506145117.18281096</v>
      </c>
      <c r="BB30" s="32">
        <f t="shared" si="149"/>
        <v>506145117.18281096</v>
      </c>
      <c r="BC30" s="32">
        <f t="shared" si="149"/>
        <v>474511047.35888529</v>
      </c>
      <c r="BD30" s="32">
        <f t="shared" si="149"/>
        <v>474511047.35888529</v>
      </c>
      <c r="BE30" s="32">
        <f t="shared" si="149"/>
        <v>474511047.35888529</v>
      </c>
      <c r="BF30" s="32">
        <f t="shared" ref="BF30:BT30" si="150">BF24-BF27</f>
        <v>442876977.53495961</v>
      </c>
      <c r="BG30" s="32">
        <f t="shared" si="150"/>
        <v>442876977.53495961</v>
      </c>
      <c r="BH30" s="32">
        <f t="shared" si="150"/>
        <v>442876977.53495961</v>
      </c>
      <c r="BI30" s="32">
        <f t="shared" si="150"/>
        <v>411242907.71103394</v>
      </c>
      <c r="BJ30" s="32">
        <f t="shared" si="150"/>
        <v>411242907.71103394</v>
      </c>
      <c r="BK30" s="32">
        <f t="shared" si="150"/>
        <v>411242907.71103394</v>
      </c>
      <c r="BL30" s="32">
        <f t="shared" si="150"/>
        <v>379608837.88710827</v>
      </c>
      <c r="BM30" s="32">
        <f t="shared" si="150"/>
        <v>379608837.88710827</v>
      </c>
      <c r="BN30" s="32">
        <f t="shared" si="150"/>
        <v>379608837.88710827</v>
      </c>
      <c r="BO30" s="32">
        <f t="shared" si="150"/>
        <v>347974768.06318259</v>
      </c>
      <c r="BP30" s="32">
        <f t="shared" si="150"/>
        <v>347974768.06318259</v>
      </c>
      <c r="BQ30" s="32">
        <f t="shared" si="150"/>
        <v>347974768.06318259</v>
      </c>
      <c r="BR30" s="32">
        <f t="shared" si="150"/>
        <v>316340698.23925692</v>
      </c>
      <c r="BS30" s="32">
        <f t="shared" si="150"/>
        <v>316340698.23925692</v>
      </c>
      <c r="BT30" s="32">
        <f t="shared" si="150"/>
        <v>316340698.23925692</v>
      </c>
      <c r="BU30" s="32">
        <f>BU24-BU27</f>
        <v>284706628.41533124</v>
      </c>
      <c r="BV30" s="32">
        <f t="shared" ref="BV30:CF30" si="151">BV24-BV27</f>
        <v>284706628.41533124</v>
      </c>
      <c r="BW30" s="32">
        <f t="shared" si="151"/>
        <v>284706628.41533124</v>
      </c>
      <c r="BX30" s="32">
        <f t="shared" si="151"/>
        <v>253072558.59140554</v>
      </c>
      <c r="BY30" s="32">
        <f t="shared" si="151"/>
        <v>253072558.59140554</v>
      </c>
      <c r="BZ30" s="32">
        <f t="shared" si="151"/>
        <v>253072558.59140554</v>
      </c>
      <c r="CA30" s="32">
        <f t="shared" si="151"/>
        <v>221438488.76747984</v>
      </c>
      <c r="CB30" s="32">
        <f t="shared" si="151"/>
        <v>221438488.76747984</v>
      </c>
      <c r="CC30" s="32">
        <f t="shared" si="151"/>
        <v>221438488.76747984</v>
      </c>
      <c r="CD30" s="32">
        <f t="shared" si="151"/>
        <v>189804418.94355413</v>
      </c>
      <c r="CE30" s="32">
        <f t="shared" si="151"/>
        <v>189804418.94355413</v>
      </c>
      <c r="CF30" s="32">
        <f t="shared" si="151"/>
        <v>189804418.94355413</v>
      </c>
      <c r="CG30" s="32">
        <f t="shared" ref="CG30:CI30" si="152">CG24-CG27</f>
        <v>158170349.11962843</v>
      </c>
      <c r="CH30" s="32">
        <f t="shared" si="152"/>
        <v>158170349.11962843</v>
      </c>
      <c r="CI30" s="32">
        <f t="shared" si="152"/>
        <v>158170349.11962843</v>
      </c>
      <c r="CJ30" s="32">
        <f t="shared" ref="CJ30:CV30" si="153">CJ24-CJ27</f>
        <v>126536279.29570274</v>
      </c>
      <c r="CK30" s="32">
        <f t="shared" si="153"/>
        <v>126536279.29570274</v>
      </c>
      <c r="CL30" s="32">
        <f t="shared" si="153"/>
        <v>126536279.29570274</v>
      </c>
      <c r="CM30" s="32">
        <f t="shared" si="153"/>
        <v>94902209.471777052</v>
      </c>
      <c r="CN30" s="32">
        <f t="shared" si="153"/>
        <v>94902209.471777052</v>
      </c>
      <c r="CO30" s="32">
        <f t="shared" si="153"/>
        <v>94902209.471777052</v>
      </c>
      <c r="CP30" s="32">
        <f t="shared" si="153"/>
        <v>63268139.647851363</v>
      </c>
      <c r="CQ30" s="32">
        <f t="shared" si="153"/>
        <v>63268139.647851363</v>
      </c>
      <c r="CR30" s="32">
        <f t="shared" si="153"/>
        <v>63268139.647851363</v>
      </c>
      <c r="CS30" s="32">
        <f t="shared" si="153"/>
        <v>31634069.82392567</v>
      </c>
      <c r="CT30" s="32">
        <f t="shared" si="153"/>
        <v>31634069.82392567</v>
      </c>
      <c r="CU30" s="32">
        <f t="shared" si="153"/>
        <v>31634069.82392567</v>
      </c>
      <c r="CV30" s="32">
        <f t="shared" si="153"/>
        <v>0</v>
      </c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</row>
    <row r="31" spans="1:122" s="22" customFormat="1">
      <c r="A31" s="21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</row>
    <row r="32" spans="1:122" s="49" customFormat="1">
      <c r="A32" s="47"/>
      <c r="B32" s="48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</row>
    <row r="33" spans="2:100"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CV33" s="29">
        <f>SUM(D25:CV25)-SUM(PPL_Loan!C31:AI31)</f>
        <v>0</v>
      </c>
    </row>
    <row r="34" spans="2:100"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spans="2:100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2:100"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</row>
    <row r="37" spans="2:100"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2:100"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</row>
    <row r="39" spans="2:100"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 spans="2:100">
      <c r="E40" s="35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D29:E29 P24:V24 D27:D28 E26:E28 E30 CE24:CF24 BY24:CD24 BU24:BW24 BU26:BW26 BB31:BK31 BB26:BE26 BF26:BK26 BO26:BT26 BO24:BT24 BF24:BN24 BL26:BN26 AR26:AT26 AL26:AQ26 AH26:AK26 S26:V26 X26:Y26 O26:P26 AA26:AB26 AF26:AG26 R26 F29:G29 F26:J26 F30 H29:J29 N26 K26:M26 C31 F28:J28 F27:G27 O28:P29 N28:N30 R28:R30 S28:V29 CO31 CE28:CF30 BY28:CD30 BU28:BW30 BB28:BE30 BF28:BK30 BO28:BT30 BL28:BN30 AR28:AT30 AL28:AQ29 AH28:AK29 X28:Y29 AA28:AB29 AF28:AG30 BY26:CD26 CE26:CF26 K28:M29 K30:L30 H30:I30 O30 T30:U30 X30 AA30 AI30:AJ30 AL30:AM30 AO30:AQ30 X24:BE24" unlockedFormula="1"/>
    <ignoredError sqref="AW26:BA26 AU26:AV26 W26 Q26 AC26 Z26 AD26:AE26 Q28:Q29 AW28:BA30 AU28:AV30 W28:W30 AC28:AC30 Z28:Z30 AD28:AE29 AD30" formula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6"/>
  <sheetViews>
    <sheetView view="pageBreakPreview" zoomScale="80" zoomScaleNormal="100" zoomScaleSheetLayoutView="80" workbookViewId="0">
      <selection activeCell="F46" sqref="F46"/>
    </sheetView>
  </sheetViews>
  <sheetFormatPr defaultColWidth="9.140625" defaultRowHeight="13.9"/>
  <cols>
    <col min="1" max="1" width="15" style="22" customWidth="1"/>
    <col min="2" max="2" width="16.140625" style="22" customWidth="1"/>
    <col min="3" max="3" width="16.28515625" style="22" customWidth="1"/>
    <col min="4" max="4" width="17.7109375" style="22" customWidth="1"/>
    <col min="5" max="5" width="16.5703125" style="22" bestFit="1" customWidth="1"/>
    <col min="6" max="6" width="20.28515625" style="22" bestFit="1" customWidth="1"/>
    <col min="7" max="7" width="16" style="22" bestFit="1" customWidth="1"/>
    <col min="8" max="8" width="14.5703125" style="22" bestFit="1" customWidth="1"/>
    <col min="9" max="16384" width="9.140625" style="22"/>
  </cols>
  <sheetData>
    <row r="1" spans="1:5" ht="14.45">
      <c r="A1" s="16" t="s">
        <v>43</v>
      </c>
      <c r="B1" s="17"/>
      <c r="C1" s="106" t="str">
        <f>PPL_Loan!C1</f>
        <v>PARTEX PETRO LIMITED (PPL)</v>
      </c>
      <c r="D1" s="17"/>
      <c r="E1" s="17"/>
    </row>
    <row r="2" spans="1:5">
      <c r="A2" s="21"/>
      <c r="B2" s="21"/>
      <c r="C2" s="21"/>
      <c r="D2" s="21"/>
      <c r="E2" s="21"/>
    </row>
    <row r="3" spans="1:5" ht="14.45">
      <c r="A3" s="16"/>
      <c r="B3" s="17"/>
      <c r="C3" s="17"/>
      <c r="D3" s="17"/>
      <c r="E3" s="17"/>
    </row>
    <row r="4" spans="1:5">
      <c r="A4" s="20" t="s">
        <v>44</v>
      </c>
      <c r="B4" s="21"/>
      <c r="C4" s="75">
        <f>Accrual_PPL!B5</f>
        <v>42723</v>
      </c>
      <c r="D4" s="20"/>
      <c r="E4" s="20"/>
    </row>
    <row r="5" spans="1:5">
      <c r="A5" s="21"/>
      <c r="B5" s="21"/>
      <c r="C5" s="21"/>
      <c r="D5" s="21"/>
      <c r="E5" s="21"/>
    </row>
    <row r="6" spans="1:5">
      <c r="A6" s="20" t="s">
        <v>45</v>
      </c>
      <c r="B6" s="21"/>
      <c r="C6" s="76">
        <f>PPL_Loan!C5</f>
        <v>980000000</v>
      </c>
      <c r="D6" s="20"/>
      <c r="E6" s="21"/>
    </row>
    <row r="7" spans="1:5">
      <c r="A7" s="20"/>
      <c r="B7" s="21"/>
      <c r="C7" s="21"/>
      <c r="D7" s="21"/>
      <c r="E7" s="21"/>
    </row>
    <row r="8" spans="1:5">
      <c r="A8" s="20" t="s">
        <v>85</v>
      </c>
      <c r="B8" s="21"/>
      <c r="C8" s="75">
        <f>PPL_Loan!C7</f>
        <v>42808</v>
      </c>
      <c r="D8" s="21"/>
      <c r="E8" s="85"/>
    </row>
    <row r="9" spans="1:5">
      <c r="A9" s="20"/>
      <c r="B9" s="21"/>
      <c r="C9" s="85"/>
      <c r="D9" s="21"/>
      <c r="E9" s="21"/>
    </row>
    <row r="10" spans="1:5">
      <c r="A10" s="20" t="s">
        <v>53</v>
      </c>
      <c r="B10" s="21"/>
      <c r="C10" s="86">
        <v>0.1</v>
      </c>
      <c r="D10" s="21"/>
      <c r="E10" s="21"/>
    </row>
    <row r="11" spans="1:5">
      <c r="A11" s="20" t="s">
        <v>54</v>
      </c>
      <c r="B11" s="21"/>
      <c r="C11" s="85" t="s">
        <v>89</v>
      </c>
      <c r="D11" s="21"/>
      <c r="E11" s="21"/>
    </row>
    <row r="12" spans="1:5">
      <c r="A12" s="20" t="s">
        <v>18</v>
      </c>
      <c r="B12" s="21"/>
      <c r="C12" s="125" t="str">
        <f>Accrual_PPL!B14</f>
        <v>Level principal</v>
      </c>
      <c r="D12" s="124"/>
      <c r="E12" s="21"/>
    </row>
    <row r="13" spans="1:5">
      <c r="A13" s="87" t="s">
        <v>57</v>
      </c>
      <c r="B13" s="21"/>
      <c r="C13" s="33">
        <v>360</v>
      </c>
      <c r="D13" s="110" t="s">
        <v>58</v>
      </c>
      <c r="E13" s="21"/>
    </row>
    <row r="14" spans="1:5">
      <c r="A14" s="87" t="s">
        <v>59</v>
      </c>
      <c r="B14" s="85"/>
      <c r="C14" s="88">
        <v>24</v>
      </c>
      <c r="D14" s="21"/>
      <c r="E14" s="21"/>
    </row>
    <row r="15" spans="1:5">
      <c r="A15" s="87"/>
      <c r="B15" s="89"/>
      <c r="C15" s="90"/>
      <c r="D15" s="21"/>
      <c r="E15" s="21"/>
    </row>
    <row r="16" spans="1:5">
      <c r="A16" s="87" t="s">
        <v>60</v>
      </c>
      <c r="B16" s="89"/>
      <c r="C16" s="90"/>
      <c r="D16" s="21"/>
      <c r="E16" s="21"/>
    </row>
    <row r="17" spans="1:8">
      <c r="A17" s="91"/>
      <c r="B17" s="92"/>
      <c r="C17" s="92">
        <f>PPL_Loan!C22</f>
        <v>42808</v>
      </c>
      <c r="D17" s="92">
        <f>PPL_Loan!D22</f>
        <v>42808</v>
      </c>
      <c r="E17" s="92"/>
      <c r="F17" s="92"/>
    </row>
    <row r="18" spans="1:8">
      <c r="A18" s="93"/>
      <c r="B18" s="94"/>
      <c r="C18" s="95">
        <f>PPL_Loan!C23</f>
        <v>90000000</v>
      </c>
      <c r="D18" s="95">
        <f>PPL_Loan!D23</f>
        <v>8715714.2899999991</v>
      </c>
      <c r="E18" s="95"/>
      <c r="F18" s="95"/>
    </row>
    <row r="19" spans="1:8">
      <c r="A19" s="96"/>
      <c r="B19" s="97"/>
      <c r="C19" s="98">
        <f>C18</f>
        <v>90000000</v>
      </c>
      <c r="D19" s="98">
        <f>D18+C19</f>
        <v>98715714.289999992</v>
      </c>
      <c r="E19" s="98"/>
      <c r="F19" s="98"/>
    </row>
    <row r="20" spans="1:8">
      <c r="A20" s="79"/>
    </row>
    <row r="21" spans="1:8">
      <c r="A21" s="108"/>
      <c r="B21" s="109"/>
      <c r="C21" s="109"/>
      <c r="D21" s="109"/>
      <c r="E21" s="109"/>
      <c r="F21" s="109"/>
      <c r="G21" s="109"/>
      <c r="H21" s="109"/>
    </row>
    <row r="22" spans="1:8">
      <c r="A22" s="79"/>
    </row>
    <row r="23" spans="1:8">
      <c r="A23" s="115" t="s">
        <v>66</v>
      </c>
      <c r="B23" s="116" t="s">
        <v>67</v>
      </c>
      <c r="C23" s="116" t="s">
        <v>68</v>
      </c>
      <c r="D23" s="116" t="s">
        <v>69</v>
      </c>
      <c r="E23" s="116" t="s">
        <v>70</v>
      </c>
      <c r="F23" s="116" t="s">
        <v>71</v>
      </c>
      <c r="G23" s="116" t="s">
        <v>72</v>
      </c>
      <c r="H23" s="116" t="s">
        <v>73</v>
      </c>
    </row>
    <row r="24" spans="1:8">
      <c r="A24" s="113">
        <f t="array" ref="A24:H56">TRANSPOSE(PPL_Loan!C29:AI36)</f>
        <v>42825</v>
      </c>
      <c r="B24" s="114">
        <v>98715714.289999992</v>
      </c>
      <c r="C24" s="114">
        <v>466157.53970277775</v>
      </c>
      <c r="D24" s="114">
        <v>0</v>
      </c>
      <c r="E24" s="114">
        <v>0</v>
      </c>
      <c r="F24" s="114">
        <v>0</v>
      </c>
      <c r="G24" s="114">
        <v>466157.53970277775</v>
      </c>
      <c r="H24" s="114">
        <v>99181871.829702765</v>
      </c>
    </row>
    <row r="25" spans="1:8">
      <c r="A25" s="113">
        <v>42916</v>
      </c>
      <c r="B25" s="114">
        <v>99181871.829702765</v>
      </c>
      <c r="C25" s="114">
        <v>2507097.3156952644</v>
      </c>
      <c r="D25" s="114">
        <v>0</v>
      </c>
      <c r="E25" s="114">
        <v>0</v>
      </c>
      <c r="F25" s="114">
        <v>0</v>
      </c>
      <c r="G25" s="114">
        <v>2507097.3156952644</v>
      </c>
      <c r="H25" s="114">
        <v>101688969.14539804</v>
      </c>
    </row>
    <row r="26" spans="1:8">
      <c r="A26" s="113">
        <v>43008</v>
      </c>
      <c r="B26" s="114">
        <v>101688969.14539804</v>
      </c>
      <c r="C26" s="114">
        <v>2471606.8889506469</v>
      </c>
      <c r="D26" s="114">
        <v>0</v>
      </c>
      <c r="E26" s="114">
        <v>0</v>
      </c>
      <c r="F26" s="114">
        <v>0</v>
      </c>
      <c r="G26" s="114">
        <v>2471606.8889506469</v>
      </c>
      <c r="H26" s="114">
        <v>104160576.03434868</v>
      </c>
    </row>
    <row r="27" spans="1:8">
      <c r="A27" s="113">
        <v>43099</v>
      </c>
      <c r="B27" s="114">
        <v>104160576.03434868</v>
      </c>
      <c r="C27" s="114">
        <v>2435476.8021364724</v>
      </c>
      <c r="D27" s="114">
        <v>0</v>
      </c>
      <c r="E27" s="114">
        <v>0</v>
      </c>
      <c r="F27" s="114">
        <v>0</v>
      </c>
      <c r="G27" s="114">
        <v>2435476.8021364724</v>
      </c>
      <c r="H27" s="114">
        <v>106596052.83648515</v>
      </c>
    </row>
    <row r="28" spans="1:8">
      <c r="A28" s="113">
        <v>43190</v>
      </c>
      <c r="B28" s="114">
        <v>146189517.12648514</v>
      </c>
      <c r="C28" s="114">
        <v>3008131.6419058014</v>
      </c>
      <c r="D28" s="114">
        <v>0</v>
      </c>
      <c r="E28" s="114">
        <v>0</v>
      </c>
      <c r="F28" s="114">
        <v>0</v>
      </c>
      <c r="G28" s="114">
        <v>3008131.6419058014</v>
      </c>
      <c r="H28" s="114">
        <v>149197648.76839095</v>
      </c>
    </row>
    <row r="29" spans="1:8">
      <c r="A29" s="113">
        <v>43281</v>
      </c>
      <c r="B29" s="114">
        <v>149197648.76839095</v>
      </c>
      <c r="C29" s="114">
        <v>4102935.3411307512</v>
      </c>
      <c r="D29" s="114">
        <v>0</v>
      </c>
      <c r="E29" s="114">
        <v>0</v>
      </c>
      <c r="F29" s="114">
        <v>0</v>
      </c>
      <c r="G29" s="114">
        <v>4102935.3411307512</v>
      </c>
      <c r="H29" s="114">
        <v>153300584.10952172</v>
      </c>
    </row>
    <row r="30" spans="1:8">
      <c r="A30" s="113">
        <v>43373</v>
      </c>
      <c r="B30" s="114">
        <v>153300584.10952172</v>
      </c>
      <c r="C30" s="114">
        <v>4309449.7533009993</v>
      </c>
      <c r="D30" s="114">
        <v>0</v>
      </c>
      <c r="E30" s="114">
        <v>0</v>
      </c>
      <c r="F30" s="114">
        <v>0</v>
      </c>
      <c r="G30" s="114">
        <v>4309449.7533009993</v>
      </c>
      <c r="H30" s="114">
        <v>157610033.86282271</v>
      </c>
    </row>
    <row r="31" spans="1:8">
      <c r="A31" s="113">
        <v>43464</v>
      </c>
      <c r="B31" s="114">
        <v>537155690.11282277</v>
      </c>
      <c r="C31" s="114">
        <v>14124106.396435712</v>
      </c>
      <c r="D31" s="114">
        <v>0</v>
      </c>
      <c r="E31" s="114">
        <v>0</v>
      </c>
      <c r="F31" s="114">
        <v>0</v>
      </c>
      <c r="G31" s="114">
        <v>14124106.396435712</v>
      </c>
      <c r="H31" s="114">
        <v>551279796.50925851</v>
      </c>
    </row>
    <row r="32" spans="1:8">
      <c r="A32" s="113">
        <v>43555</v>
      </c>
      <c r="B32" s="114">
        <v>551279796.50925851</v>
      </c>
      <c r="C32" s="114">
        <v>15328641.008493548</v>
      </c>
      <c r="D32" s="114">
        <v>0</v>
      </c>
      <c r="E32" s="114">
        <v>0</v>
      </c>
      <c r="F32" s="114">
        <v>0</v>
      </c>
      <c r="G32" s="114">
        <v>15328641.008493548</v>
      </c>
      <c r="H32" s="114">
        <v>566608437.51775205</v>
      </c>
    </row>
    <row r="33" spans="1:8">
      <c r="A33" s="113">
        <v>43646</v>
      </c>
      <c r="B33" s="114">
        <v>566608437.51775205</v>
      </c>
      <c r="C33" s="114">
        <v>15754862.387646385</v>
      </c>
      <c r="D33" s="114">
        <v>0</v>
      </c>
      <c r="E33" s="114">
        <v>0</v>
      </c>
      <c r="F33" s="114">
        <v>0</v>
      </c>
      <c r="G33" s="114">
        <v>15754862.387646385</v>
      </c>
      <c r="H33" s="114">
        <v>582363299.90539849</v>
      </c>
    </row>
    <row r="34" spans="1:8">
      <c r="A34" s="113">
        <v>43738</v>
      </c>
      <c r="B34" s="114">
        <v>582363299.90539849</v>
      </c>
      <c r="C34" s="114">
        <v>16370879.430673981</v>
      </c>
      <c r="D34" s="114">
        <v>0</v>
      </c>
      <c r="E34" s="114">
        <v>0</v>
      </c>
      <c r="F34" s="114">
        <v>0</v>
      </c>
      <c r="G34" s="114">
        <v>16370879.430673981</v>
      </c>
      <c r="H34" s="114">
        <v>598734179.33607244</v>
      </c>
    </row>
    <row r="35" spans="1:8">
      <c r="A35" s="113">
        <v>43829</v>
      </c>
      <c r="B35" s="114">
        <v>598734179.33607244</v>
      </c>
      <c r="C35" s="114">
        <v>16648136.486539125</v>
      </c>
      <c r="D35" s="114">
        <v>0</v>
      </c>
      <c r="E35" s="114">
        <v>0</v>
      </c>
      <c r="F35" s="114">
        <v>0</v>
      </c>
      <c r="G35" s="114">
        <v>16648136.486539125</v>
      </c>
      <c r="H35" s="114">
        <v>615382315.82261157</v>
      </c>
    </row>
    <row r="36" spans="1:8">
      <c r="A36" s="113">
        <v>43921</v>
      </c>
      <c r="B36" s="114">
        <v>615382315.82261157</v>
      </c>
      <c r="C36" s="114">
        <v>17299080.655902304</v>
      </c>
      <c r="D36" s="114">
        <v>0</v>
      </c>
      <c r="E36" s="114">
        <v>0</v>
      </c>
      <c r="F36" s="114">
        <v>0</v>
      </c>
      <c r="G36" s="114">
        <v>17299080.655902304</v>
      </c>
      <c r="H36" s="114">
        <v>632681396.47851384</v>
      </c>
    </row>
    <row r="37" spans="1:8">
      <c r="A37" s="113">
        <v>44012</v>
      </c>
      <c r="B37" s="114">
        <v>632681396.47851384</v>
      </c>
      <c r="C37" s="114">
        <v>17592057.718749788</v>
      </c>
      <c r="D37" s="114">
        <v>17592057.718749788</v>
      </c>
      <c r="E37" s="114">
        <v>31634069.823925693</v>
      </c>
      <c r="F37" s="114">
        <v>31634069.823925693</v>
      </c>
      <c r="G37" s="114">
        <v>49226127.54267548</v>
      </c>
      <c r="H37" s="114">
        <v>601047326.6545881</v>
      </c>
    </row>
    <row r="38" spans="1:8">
      <c r="A38" s="113">
        <v>44104</v>
      </c>
      <c r="B38" s="114">
        <v>601047326.6545881</v>
      </c>
      <c r="C38" s="114">
        <v>16896108.18262342</v>
      </c>
      <c r="D38" s="114">
        <v>34488165.901373208</v>
      </c>
      <c r="E38" s="114">
        <v>31634069.823925693</v>
      </c>
      <c r="F38" s="114">
        <v>63268139.647851385</v>
      </c>
      <c r="G38" s="114">
        <v>48530178.006549112</v>
      </c>
      <c r="H38" s="114">
        <v>569413256.83066237</v>
      </c>
    </row>
    <row r="39" spans="1:8">
      <c r="A39" s="113">
        <v>44195</v>
      </c>
      <c r="B39" s="114">
        <v>569413256.83066237</v>
      </c>
      <c r="C39" s="114">
        <v>15832851.946874807</v>
      </c>
      <c r="D39" s="114">
        <v>50321017.848248012</v>
      </c>
      <c r="E39" s="114">
        <v>31634069.823925693</v>
      </c>
      <c r="F39" s="114">
        <v>94902209.471777081</v>
      </c>
      <c r="G39" s="114">
        <v>47466921.770800501</v>
      </c>
      <c r="H39" s="114">
        <v>537779187.00673664</v>
      </c>
    </row>
    <row r="40" spans="1:8">
      <c r="A40" s="113">
        <v>44286</v>
      </c>
      <c r="B40" s="114">
        <v>537779187.00673664</v>
      </c>
      <c r="C40" s="114">
        <v>14953249.060937317</v>
      </c>
      <c r="D40" s="114">
        <v>65274266.909185328</v>
      </c>
      <c r="E40" s="114">
        <v>31634069.823925693</v>
      </c>
      <c r="F40" s="114">
        <v>126536279.29570277</v>
      </c>
      <c r="G40" s="114">
        <v>46587318.884863012</v>
      </c>
      <c r="H40" s="114">
        <v>506145117.18281096</v>
      </c>
    </row>
    <row r="41" spans="1:8">
      <c r="A41" s="113">
        <v>44377</v>
      </c>
      <c r="B41" s="114">
        <v>506145117.18281096</v>
      </c>
      <c r="C41" s="114">
        <v>14073646.174999828</v>
      </c>
      <c r="D41" s="114">
        <v>79347913.084185153</v>
      </c>
      <c r="E41" s="114">
        <v>31634069.823925693</v>
      </c>
      <c r="F41" s="114">
        <v>158170349.11962846</v>
      </c>
      <c r="G41" s="114">
        <v>45707715.998925522</v>
      </c>
      <c r="H41" s="114">
        <v>474511047.35888529</v>
      </c>
    </row>
    <row r="42" spans="1:8">
      <c r="A42" s="113">
        <v>44469</v>
      </c>
      <c r="B42" s="114">
        <v>474511047.35888529</v>
      </c>
      <c r="C42" s="114">
        <v>13339032.775755331</v>
      </c>
      <c r="D42" s="114">
        <v>92686945.859940484</v>
      </c>
      <c r="E42" s="114">
        <v>31634069.823925693</v>
      </c>
      <c r="F42" s="114">
        <v>189804418.94355416</v>
      </c>
      <c r="G42" s="114">
        <v>44973102.59968102</v>
      </c>
      <c r="H42" s="114">
        <v>442876977.53495961</v>
      </c>
    </row>
    <row r="43" spans="1:8">
      <c r="A43" s="113">
        <v>44560</v>
      </c>
      <c r="B43" s="114">
        <v>442876977.53495961</v>
      </c>
      <c r="C43" s="114">
        <v>12314440.403124848</v>
      </c>
      <c r="D43" s="114">
        <v>105001386.26306534</v>
      </c>
      <c r="E43" s="114">
        <v>31634069.823925693</v>
      </c>
      <c r="F43" s="114">
        <v>221438488.76747987</v>
      </c>
      <c r="G43" s="114">
        <v>43948510.227050543</v>
      </c>
      <c r="H43" s="114">
        <v>411242907.71103394</v>
      </c>
    </row>
    <row r="44" spans="1:8">
      <c r="A44" s="113">
        <v>44651</v>
      </c>
      <c r="B44" s="114">
        <v>411242907.71103394</v>
      </c>
      <c r="C44" s="114">
        <v>11434837.517187359</v>
      </c>
      <c r="D44" s="114">
        <v>116436223.7802527</v>
      </c>
      <c r="E44" s="114">
        <v>31634069.823925693</v>
      </c>
      <c r="F44" s="114">
        <v>253072558.59140557</v>
      </c>
      <c r="G44" s="114">
        <v>43068907.341113053</v>
      </c>
      <c r="H44" s="114">
        <v>379608837.88710827</v>
      </c>
    </row>
    <row r="45" spans="1:8">
      <c r="A45" s="113">
        <v>44742</v>
      </c>
      <c r="B45" s="114">
        <v>379608837.88710827</v>
      </c>
      <c r="C45" s="114">
        <v>10555234.631249871</v>
      </c>
      <c r="D45" s="114">
        <v>126991458.41150257</v>
      </c>
      <c r="E45" s="114">
        <v>31634069.823925693</v>
      </c>
      <c r="F45" s="114">
        <v>284706628.41533124</v>
      </c>
      <c r="G45" s="114">
        <v>42189304.455175564</v>
      </c>
      <c r="H45" s="114">
        <v>347974768.06318259</v>
      </c>
    </row>
    <row r="46" spans="1:8">
      <c r="A46" s="113">
        <v>44834</v>
      </c>
      <c r="B46" s="114">
        <v>347974768.06318259</v>
      </c>
      <c r="C46" s="114">
        <v>9781957.3688872438</v>
      </c>
      <c r="D46" s="114">
        <v>136773415.78038982</v>
      </c>
      <c r="E46" s="114">
        <v>31634069.823925693</v>
      </c>
      <c r="F46" s="114">
        <v>316340698.23925692</v>
      </c>
      <c r="G46" s="114">
        <v>41416027.192812935</v>
      </c>
      <c r="H46" s="114">
        <v>316340698.23925692</v>
      </c>
    </row>
    <row r="47" spans="1:8">
      <c r="A47" s="113">
        <v>44925</v>
      </c>
      <c r="B47" s="114">
        <v>316340698.23925692</v>
      </c>
      <c r="C47" s="114">
        <v>8796028.8593748938</v>
      </c>
      <c r="D47" s="114">
        <v>145569444.6397647</v>
      </c>
      <c r="E47" s="114">
        <v>31634069.823925693</v>
      </c>
      <c r="F47" s="114">
        <v>347974768.06318259</v>
      </c>
      <c r="G47" s="114">
        <v>40430098.683300585</v>
      </c>
      <c r="H47" s="114">
        <v>284706628.41533124</v>
      </c>
    </row>
    <row r="48" spans="1:8">
      <c r="A48" s="113">
        <v>45016</v>
      </c>
      <c r="B48" s="114">
        <v>284706628.41533124</v>
      </c>
      <c r="C48" s="114">
        <v>7916425.9734374043</v>
      </c>
      <c r="D48" s="114">
        <v>153485870.6132021</v>
      </c>
      <c r="E48" s="114">
        <v>31634069.823925693</v>
      </c>
      <c r="F48" s="114">
        <v>379608837.88710827</v>
      </c>
      <c r="G48" s="114">
        <v>39550495.797363095</v>
      </c>
      <c r="H48" s="114">
        <v>253072558.59140554</v>
      </c>
    </row>
    <row r="49" spans="1:8">
      <c r="A49" s="113">
        <v>45107</v>
      </c>
      <c r="B49" s="114">
        <v>253072558.59140554</v>
      </c>
      <c r="C49" s="114">
        <v>7036823.0874999156</v>
      </c>
      <c r="D49" s="114">
        <v>160522693.70070201</v>
      </c>
      <c r="E49" s="114">
        <v>31634069.823925693</v>
      </c>
      <c r="F49" s="114">
        <v>411242907.71103394</v>
      </c>
      <c r="G49" s="114">
        <v>38670892.911425605</v>
      </c>
      <c r="H49" s="114">
        <v>221438488.76747984</v>
      </c>
    </row>
    <row r="50" spans="1:8">
      <c r="A50" s="113">
        <v>45199</v>
      </c>
      <c r="B50" s="114">
        <v>221438488.76747984</v>
      </c>
      <c r="C50" s="114">
        <v>6224881.9620191557</v>
      </c>
      <c r="D50" s="114">
        <v>166747575.66272116</v>
      </c>
      <c r="E50" s="114">
        <v>31634069.823925693</v>
      </c>
      <c r="F50" s="114">
        <v>442876977.53495961</v>
      </c>
      <c r="G50" s="114">
        <v>37858951.785944849</v>
      </c>
      <c r="H50" s="114">
        <v>189804418.94355413</v>
      </c>
    </row>
    <row r="51" spans="1:8">
      <c r="A51" s="113">
        <v>45290</v>
      </c>
      <c r="B51" s="114">
        <v>189804418.94355413</v>
      </c>
      <c r="C51" s="114">
        <v>5277617.3156249356</v>
      </c>
      <c r="D51" s="114">
        <v>172025192.97834608</v>
      </c>
      <c r="E51" s="114">
        <v>31634069.823925693</v>
      </c>
      <c r="F51" s="114">
        <v>474511047.35888529</v>
      </c>
      <c r="G51" s="114">
        <v>36911687.139550626</v>
      </c>
      <c r="H51" s="114">
        <v>158170349.11962843</v>
      </c>
    </row>
    <row r="52" spans="1:8">
      <c r="A52" s="113">
        <v>45382</v>
      </c>
      <c r="B52" s="114">
        <v>158170349.11962843</v>
      </c>
      <c r="C52" s="114">
        <v>4446344.2585851103</v>
      </c>
      <c r="D52" s="114">
        <v>176471537.2369312</v>
      </c>
      <c r="E52" s="114">
        <v>31634069.823925693</v>
      </c>
      <c r="F52" s="114">
        <v>506145117.18281096</v>
      </c>
      <c r="G52" s="114">
        <v>36080414.082510799</v>
      </c>
      <c r="H52" s="114">
        <v>126536279.29570274</v>
      </c>
    </row>
    <row r="53" spans="1:8">
      <c r="A53" s="113">
        <v>45473</v>
      </c>
      <c r="B53" s="114">
        <v>126536279.29570274</v>
      </c>
      <c r="C53" s="114">
        <v>3518411.5437499569</v>
      </c>
      <c r="D53" s="114">
        <v>179989948.78068116</v>
      </c>
      <c r="E53" s="114">
        <v>31634069.823925693</v>
      </c>
      <c r="F53" s="114">
        <v>537779187.00673664</v>
      </c>
      <c r="G53" s="114">
        <v>35152481.367675647</v>
      </c>
      <c r="H53" s="114">
        <v>94902209.471777052</v>
      </c>
    </row>
    <row r="54" spans="1:8">
      <c r="A54" s="113">
        <v>45565</v>
      </c>
      <c r="B54" s="114">
        <v>94902209.471777052</v>
      </c>
      <c r="C54" s="114">
        <v>2667806.5551510658</v>
      </c>
      <c r="D54" s="114">
        <v>182657755.33583224</v>
      </c>
      <c r="E54" s="114">
        <v>31634069.823925693</v>
      </c>
      <c r="F54" s="114">
        <v>569413256.83066237</v>
      </c>
      <c r="G54" s="114">
        <v>34301876.379076757</v>
      </c>
      <c r="H54" s="114">
        <v>63268139.647851363</v>
      </c>
    </row>
    <row r="55" spans="1:8">
      <c r="A55" s="113">
        <v>45656</v>
      </c>
      <c r="B55" s="114">
        <v>63268139.647851363</v>
      </c>
      <c r="C55" s="114">
        <v>1759205.7718749784</v>
      </c>
      <c r="D55" s="114">
        <v>184416961.1077072</v>
      </c>
      <c r="E55" s="114">
        <v>31634069.823925693</v>
      </c>
      <c r="F55" s="114">
        <v>601047326.6545881</v>
      </c>
      <c r="G55" s="114">
        <v>33393275.595800672</v>
      </c>
      <c r="H55" s="114">
        <v>31634069.82392567</v>
      </c>
    </row>
    <row r="56" spans="1:8">
      <c r="A56" s="113">
        <v>45730</v>
      </c>
      <c r="B56" s="114">
        <v>31634069.82392567</v>
      </c>
      <c r="C56" s="114">
        <v>715281.46768543043</v>
      </c>
      <c r="D56" s="114">
        <v>185132242.57539263</v>
      </c>
      <c r="E56" s="114">
        <v>31634069.823925693</v>
      </c>
      <c r="F56" s="114">
        <v>632681396.47851384</v>
      </c>
      <c r="G56" s="114">
        <v>32349351.291611124</v>
      </c>
      <c r="H56" s="114">
        <v>0</v>
      </c>
    </row>
  </sheetData>
  <pageMargins left="0.41" right="0.2" top="0.75" bottom="0.75" header="0.3" footer="0.3"/>
  <pageSetup paperSize="9" scale="75" fitToHeight="0" orientation="portrait" r:id="rId1"/>
  <ignoredErrors>
    <ignoredError sqref="C17:C1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IDCOL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 Hossain Bhuiyan</dc:creator>
  <cp:keywords/>
  <dc:description/>
  <cp:lastModifiedBy>Guest User</cp:lastModifiedBy>
  <cp:revision/>
  <dcterms:created xsi:type="dcterms:W3CDTF">2004-09-21T04:29:34Z</dcterms:created>
  <dcterms:modified xsi:type="dcterms:W3CDTF">2026-02-05T12:14:49Z</dcterms:modified>
  <cp:category/>
  <cp:contentStatus/>
</cp:coreProperties>
</file>