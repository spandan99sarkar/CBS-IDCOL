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bookViews>
    <workbookView xWindow="0" yWindow="0" windowWidth="20490" windowHeight="7755" activeTab="2"/>
  </bookViews>
  <sheets>
    <sheet name="Disbursement" sheetId="4" r:id="rId1"/>
    <sheet name="Summary" sheetId="5" r:id="rId2"/>
    <sheet name="SKS Edible Oil_Loan" sheetId="2" r:id="rId3"/>
    <sheet name="Accrual_SKS Edible Oil" sheetId="3" r:id="rId4"/>
    <sheet name="Repayment Schedule" sheetId="7" r:id="rId5"/>
  </sheets>
  <definedNames>
    <definedName name="_xlnm.Print_Area" localSheetId="2">'SKS Edible Oil_Loan'!$A$1:$J$35</definedName>
  </definedNames>
  <calcPr calcId="152511"/>
</workbook>
</file>

<file path=xl/calcChain.xml><?xml version="1.0" encoding="utf-8"?>
<calcChain xmlns="http://schemas.openxmlformats.org/spreadsheetml/2006/main">
  <c r="Y44" i="2" l="1"/>
  <c r="X44" i="2"/>
  <c r="W44" i="2"/>
  <c r="V44" i="2"/>
  <c r="U44" i="2"/>
  <c r="T44" i="2"/>
  <c r="S44" i="2"/>
  <c r="R44" i="2"/>
  <c r="Q44" i="2"/>
  <c r="P44" i="2"/>
  <c r="O44" i="2"/>
  <c r="K136" i="7" l="1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CI35" i="5" l="1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E16" i="3" l="1"/>
  <c r="E17" i="3" s="1"/>
  <c r="D17" i="3" l="1"/>
  <c r="D16" i="3"/>
  <c r="D15" i="3"/>
  <c r="B34" i="2"/>
  <c r="B28" i="2" l="1"/>
  <c r="B29" i="2"/>
  <c r="B37" i="2"/>
  <c r="B43" i="2"/>
  <c r="B45" i="2"/>
  <c r="B46" i="2"/>
  <c r="B47" i="2" s="1"/>
  <c r="E17" i="2" l="1"/>
  <c r="D17" i="2"/>
  <c r="D18" i="2" s="1"/>
  <c r="C17" i="2"/>
  <c r="E16" i="2"/>
  <c r="E15" i="3" s="1"/>
  <c r="D16" i="2"/>
  <c r="D9" i="4"/>
  <c r="D10" i="4" s="1"/>
  <c r="E18" i="2" l="1"/>
  <c r="C25" i="5"/>
  <c r="DR42" i="2"/>
  <c r="F42" i="2"/>
  <c r="E42" i="2"/>
  <c r="D42" i="2"/>
  <c r="C42" i="2"/>
  <c r="G42" i="2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AG42" i="2" s="1"/>
  <c r="AH42" i="2" s="1"/>
  <c r="AI42" i="2" s="1"/>
  <c r="AJ42" i="2" s="1"/>
  <c r="AK42" i="2" s="1"/>
  <c r="AL42" i="2" s="1"/>
  <c r="AM42" i="2" s="1"/>
  <c r="AN42" i="2" s="1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Y42" i="2" s="1"/>
  <c r="AZ42" i="2" s="1"/>
  <c r="BA42" i="2" s="1"/>
  <c r="BB42" i="2" s="1"/>
  <c r="BC42" i="2" s="1"/>
  <c r="BD42" i="2" s="1"/>
  <c r="BE42" i="2" s="1"/>
  <c r="BF42" i="2" s="1"/>
  <c r="BG42" i="2" s="1"/>
  <c r="BH42" i="2" s="1"/>
  <c r="BI42" i="2" s="1"/>
  <c r="BJ42" i="2" s="1"/>
  <c r="BK42" i="2" s="1"/>
  <c r="BL42" i="2" s="1"/>
  <c r="BM42" i="2" s="1"/>
  <c r="BN42" i="2" s="1"/>
  <c r="BO42" i="2" s="1"/>
  <c r="BP42" i="2" s="1"/>
  <c r="BQ42" i="2" s="1"/>
  <c r="BR42" i="2" s="1"/>
  <c r="BS42" i="2" s="1"/>
  <c r="BT42" i="2" s="1"/>
  <c r="BU42" i="2" s="1"/>
  <c r="BV42" i="2" s="1"/>
  <c r="BW42" i="2" s="1"/>
  <c r="BX42" i="2" s="1"/>
  <c r="BY42" i="2" s="1"/>
  <c r="BZ42" i="2" s="1"/>
  <c r="CA42" i="2" s="1"/>
  <c r="CB42" i="2" s="1"/>
  <c r="CC42" i="2" s="1"/>
  <c r="CD42" i="2" s="1"/>
  <c r="CE42" i="2" s="1"/>
  <c r="CF42" i="2" s="1"/>
  <c r="CG42" i="2" s="1"/>
  <c r="CH42" i="2" s="1"/>
  <c r="CI42" i="2" s="1"/>
  <c r="CJ42" i="2" s="1"/>
  <c r="CK42" i="2" s="1"/>
  <c r="CL42" i="2" s="1"/>
  <c r="CM42" i="2" s="1"/>
  <c r="CN42" i="2" s="1"/>
  <c r="CO42" i="2" s="1"/>
  <c r="CP42" i="2" s="1"/>
  <c r="CQ42" i="2" s="1"/>
  <c r="CR42" i="2" s="1"/>
  <c r="CS42" i="2" s="1"/>
  <c r="CT42" i="2" s="1"/>
  <c r="CU42" i="2" s="1"/>
  <c r="CV42" i="2" s="1"/>
  <c r="CW42" i="2" s="1"/>
  <c r="CX42" i="2" s="1"/>
  <c r="CY42" i="2" s="1"/>
  <c r="CZ42" i="2" s="1"/>
  <c r="DA42" i="2" s="1"/>
  <c r="DB42" i="2" s="1"/>
  <c r="DC42" i="2" s="1"/>
  <c r="DD42" i="2" s="1"/>
  <c r="DE42" i="2" s="1"/>
  <c r="DF42" i="2" s="1"/>
  <c r="DG42" i="2" s="1"/>
  <c r="DH42" i="2" s="1"/>
  <c r="DI42" i="2" s="1"/>
  <c r="DJ42" i="2" s="1"/>
  <c r="DK42" i="2" s="1"/>
  <c r="DL42" i="2" s="1"/>
  <c r="DM42" i="2" s="1"/>
  <c r="DN42" i="2" s="1"/>
  <c r="DO42" i="2" s="1"/>
  <c r="DP42" i="2" s="1"/>
  <c r="DQ42" i="2" s="1"/>
  <c r="D33" i="2"/>
  <c r="E33" i="2" s="1"/>
  <c r="F33" i="2" s="1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C33" i="2"/>
  <c r="D30" i="2" l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C30" i="2"/>
  <c r="AC26" i="2" l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DL26" i="2" s="1"/>
  <c r="DM26" i="2" s="1"/>
  <c r="DN26" i="2" s="1"/>
  <c r="DO26" i="2" s="1"/>
  <c r="DP26" i="2" s="1"/>
  <c r="DQ26" i="2" s="1"/>
  <c r="AB26" i="2"/>
  <c r="AA26" i="2"/>
  <c r="AD37" i="2" l="1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Q21" i="2"/>
  <c r="AD21" i="2" l="1"/>
  <c r="AE21" i="2" l="1"/>
  <c r="AF21" i="2" l="1"/>
  <c r="AG21" i="2" l="1"/>
  <c r="CH35" i="5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AC37" i="2"/>
  <c r="AH21" i="2" l="1"/>
  <c r="V37" i="2"/>
  <c r="N37" i="2"/>
  <c r="F37" i="2"/>
  <c r="AA37" i="2"/>
  <c r="S37" i="2"/>
  <c r="K37" i="2"/>
  <c r="C37" i="2"/>
  <c r="Z37" i="2"/>
  <c r="R37" i="2"/>
  <c r="J37" i="2"/>
  <c r="W37" i="2"/>
  <c r="O37" i="2"/>
  <c r="G37" i="2"/>
  <c r="Y37" i="2"/>
  <c r="U37" i="2"/>
  <c r="Q37" i="2"/>
  <c r="M37" i="2"/>
  <c r="I37" i="2"/>
  <c r="E37" i="2"/>
  <c r="AB37" i="2"/>
  <c r="X37" i="2"/>
  <c r="T37" i="2"/>
  <c r="P37" i="2"/>
  <c r="L37" i="2"/>
  <c r="H37" i="2"/>
  <c r="D37" i="2"/>
  <c r="AI21" i="2" l="1"/>
  <c r="AJ21" i="2" l="1"/>
  <c r="C21" i="2"/>
  <c r="C16" i="3"/>
  <c r="C17" i="3" s="1"/>
  <c r="B21" i="2"/>
  <c r="C16" i="2"/>
  <c r="M35" i="5"/>
  <c r="C9" i="7"/>
  <c r="C7" i="7"/>
  <c r="C5" i="7"/>
  <c r="C3" i="7"/>
  <c r="J35" i="5"/>
  <c r="B22" i="5"/>
  <c r="B5" i="5"/>
  <c r="B9" i="3"/>
  <c r="C23" i="3"/>
  <c r="D23" i="3" s="1"/>
  <c r="C32" i="2"/>
  <c r="D32" i="2" s="1"/>
  <c r="E32" i="2" s="1"/>
  <c r="C1" i="2"/>
  <c r="B1" i="3" s="1"/>
  <c r="B1" i="5"/>
  <c r="B19" i="5" s="1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L35" i="5"/>
  <c r="K35" i="5"/>
  <c r="I35" i="5"/>
  <c r="H35" i="5"/>
  <c r="G35" i="5"/>
  <c r="F35" i="5"/>
  <c r="E35" i="5"/>
  <c r="D35" i="5"/>
  <c r="C35" i="5"/>
  <c r="B35" i="5"/>
  <c r="B28" i="3"/>
  <c r="B4" i="5" s="1"/>
  <c r="B6" i="5" s="1"/>
  <c r="B26" i="5"/>
  <c r="B11" i="5" s="1"/>
  <c r="B28" i="5"/>
  <c r="C28" i="5" s="1"/>
  <c r="D28" i="5" s="1"/>
  <c r="D14" i="5" s="1"/>
  <c r="B7" i="3"/>
  <c r="B12" i="3"/>
  <c r="B5" i="3"/>
  <c r="D8" i="4"/>
  <c r="C26" i="5" l="1"/>
  <c r="C46" i="2" s="1"/>
  <c r="B12" i="5"/>
  <c r="AK21" i="2"/>
  <c r="C12" i="7"/>
  <c r="B24" i="3"/>
  <c r="C1" i="7"/>
  <c r="D1" i="5"/>
  <c r="D19" i="5" s="1"/>
  <c r="E23" i="3"/>
  <c r="E1" i="5" s="1"/>
  <c r="E19" i="5" s="1"/>
  <c r="C1" i="5"/>
  <c r="C19" i="5" s="1"/>
  <c r="C13" i="7"/>
  <c r="C14" i="7" s="1"/>
  <c r="E21" i="2"/>
  <c r="D21" i="2"/>
  <c r="C18" i="2"/>
  <c r="C15" i="3"/>
  <c r="C28" i="3"/>
  <c r="E28" i="5"/>
  <c r="E14" i="5" s="1"/>
  <c r="C14" i="5"/>
  <c r="B14" i="5"/>
  <c r="C44" i="2" l="1"/>
  <c r="B3" i="5"/>
  <c r="B7" i="5" s="1"/>
  <c r="B25" i="3"/>
  <c r="B30" i="3"/>
  <c r="C24" i="3" s="1"/>
  <c r="C30" i="3" s="1"/>
  <c r="C11" i="5"/>
  <c r="D25" i="5" s="1"/>
  <c r="D26" i="5" s="1"/>
  <c r="D46" i="2" s="1"/>
  <c r="AL21" i="2"/>
  <c r="F23" i="3"/>
  <c r="F1" i="5" s="1"/>
  <c r="F19" i="5" s="1"/>
  <c r="F21" i="2"/>
  <c r="F28" i="5"/>
  <c r="G28" i="5" s="1"/>
  <c r="C4" i="5"/>
  <c r="C21" i="5" s="1"/>
  <c r="D28" i="3"/>
  <c r="B26" i="3" l="1"/>
  <c r="B9" i="5" s="1"/>
  <c r="B13" i="5" s="1"/>
  <c r="B29" i="3"/>
  <c r="C25" i="3"/>
  <c r="C43" i="2" s="1"/>
  <c r="C45" i="2" s="1"/>
  <c r="C47" i="2" s="1"/>
  <c r="C3" i="5"/>
  <c r="C10" i="5"/>
  <c r="C12" i="5" s="1"/>
  <c r="AM21" i="2"/>
  <c r="D24" i="3"/>
  <c r="D30" i="3" s="1"/>
  <c r="G23" i="3"/>
  <c r="C22" i="5"/>
  <c r="C5" i="5" s="1"/>
  <c r="D11" i="5"/>
  <c r="E25" i="5" s="1"/>
  <c r="G1" i="5"/>
  <c r="G19" i="5" s="1"/>
  <c r="H23" i="3"/>
  <c r="G21" i="2"/>
  <c r="F14" i="5"/>
  <c r="E28" i="3"/>
  <c r="D4" i="5"/>
  <c r="G14" i="5"/>
  <c r="H28" i="5"/>
  <c r="C29" i="3" l="1"/>
  <c r="C26" i="3"/>
  <c r="C9" i="5" s="1"/>
  <c r="C13" i="5" s="1"/>
  <c r="AN21" i="2"/>
  <c r="D21" i="5"/>
  <c r="D22" i="5" s="1"/>
  <c r="D5" i="5" s="1"/>
  <c r="C7" i="5"/>
  <c r="C6" i="5"/>
  <c r="E26" i="5"/>
  <c r="E46" i="2" s="1"/>
  <c r="I23" i="3"/>
  <c r="H1" i="5"/>
  <c r="H19" i="5" s="1"/>
  <c r="H21" i="2"/>
  <c r="E4" i="5"/>
  <c r="F28" i="3"/>
  <c r="H14" i="5"/>
  <c r="I28" i="5"/>
  <c r="AO21" i="2" l="1"/>
  <c r="E21" i="5"/>
  <c r="E22" i="5" s="1"/>
  <c r="E5" i="5" s="1"/>
  <c r="D6" i="5"/>
  <c r="E11" i="5"/>
  <c r="F25" i="5" s="1"/>
  <c r="J23" i="3"/>
  <c r="I1" i="5"/>
  <c r="I19" i="5" s="1"/>
  <c r="I21" i="2"/>
  <c r="C28" i="2"/>
  <c r="C34" i="2" s="1"/>
  <c r="G28" i="3"/>
  <c r="F4" i="5"/>
  <c r="J28" i="5"/>
  <c r="I14" i="5"/>
  <c r="C29" i="2" l="1"/>
  <c r="AP21" i="2"/>
  <c r="F21" i="5"/>
  <c r="F22" i="5" s="1"/>
  <c r="E6" i="5"/>
  <c r="F26" i="5"/>
  <c r="F46" i="2" s="1"/>
  <c r="J1" i="5"/>
  <c r="J19" i="5" s="1"/>
  <c r="K23" i="3"/>
  <c r="J21" i="2"/>
  <c r="H28" i="3"/>
  <c r="G4" i="5"/>
  <c r="J14" i="5"/>
  <c r="K28" i="5"/>
  <c r="D25" i="3" l="1"/>
  <c r="D44" i="2"/>
  <c r="D3" i="5"/>
  <c r="D7" i="5" s="1"/>
  <c r="D10" i="5"/>
  <c r="D12" i="5" s="1"/>
  <c r="AQ21" i="2"/>
  <c r="F5" i="5"/>
  <c r="F11" i="5"/>
  <c r="G25" i="5" s="1"/>
  <c r="K1" i="5"/>
  <c r="K19" i="5" s="1"/>
  <c r="L23" i="3"/>
  <c r="K21" i="2"/>
  <c r="D28" i="2"/>
  <c r="D34" i="2" s="1"/>
  <c r="I28" i="3"/>
  <c r="H4" i="5"/>
  <c r="L28" i="5"/>
  <c r="K14" i="5"/>
  <c r="D29" i="2" l="1"/>
  <c r="D43" i="2"/>
  <c r="D45" i="2" s="1"/>
  <c r="D47" i="2" s="1"/>
  <c r="D29" i="3"/>
  <c r="E24" i="3"/>
  <c r="E30" i="3" s="1"/>
  <c r="D26" i="3"/>
  <c r="D9" i="5" s="1"/>
  <c r="D13" i="5" s="1"/>
  <c r="AR21" i="2"/>
  <c r="G21" i="5"/>
  <c r="G22" i="5" s="1"/>
  <c r="G5" i="5" s="1"/>
  <c r="F6" i="5"/>
  <c r="L1" i="5"/>
  <c r="L19" i="5" s="1"/>
  <c r="M23" i="3"/>
  <c r="L21" i="2"/>
  <c r="I4" i="5"/>
  <c r="J28" i="3"/>
  <c r="M28" i="5"/>
  <c r="L14" i="5"/>
  <c r="E44" i="2" l="1"/>
  <c r="E3" i="5"/>
  <c r="E7" i="5" s="1"/>
  <c r="E25" i="3"/>
  <c r="E43" i="2" s="1"/>
  <c r="F24" i="3"/>
  <c r="F30" i="3" s="1"/>
  <c r="E10" i="5"/>
  <c r="E12" i="5" s="1"/>
  <c r="AS21" i="2"/>
  <c r="H21" i="5"/>
  <c r="H22" i="5" s="1"/>
  <c r="G6" i="5"/>
  <c r="M1" i="5"/>
  <c r="M19" i="5" s="1"/>
  <c r="N23" i="3"/>
  <c r="M21" i="2"/>
  <c r="J4" i="5"/>
  <c r="K28" i="3"/>
  <c r="M14" i="5"/>
  <c r="N28" i="5"/>
  <c r="E45" i="2" l="1"/>
  <c r="E47" i="2" s="1"/>
  <c r="E26" i="3"/>
  <c r="E29" i="3"/>
  <c r="AT21" i="2"/>
  <c r="E28" i="2"/>
  <c r="E34" i="2" s="1"/>
  <c r="H5" i="5"/>
  <c r="O23" i="3"/>
  <c r="N1" i="5"/>
  <c r="N19" i="5" s="1"/>
  <c r="N21" i="2"/>
  <c r="L28" i="3"/>
  <c r="K4" i="5"/>
  <c r="O28" i="5"/>
  <c r="N14" i="5"/>
  <c r="E9" i="5" l="1"/>
  <c r="E13" i="5" s="1"/>
  <c r="E29" i="2"/>
  <c r="AU21" i="2"/>
  <c r="I21" i="5"/>
  <c r="I22" i="5" s="1"/>
  <c r="I5" i="5" s="1"/>
  <c r="H6" i="5"/>
  <c r="P23" i="3"/>
  <c r="O1" i="5"/>
  <c r="O19" i="5" s="1"/>
  <c r="O21" i="2"/>
  <c r="L4" i="5"/>
  <c r="M28" i="3"/>
  <c r="P28" i="5"/>
  <c r="O14" i="5"/>
  <c r="F3" i="5" l="1"/>
  <c r="F7" i="5" s="1"/>
  <c r="F25" i="3"/>
  <c r="F44" i="2"/>
  <c r="F10" i="5"/>
  <c r="F12" i="5" s="1"/>
  <c r="AV21" i="2"/>
  <c r="J21" i="5"/>
  <c r="J22" i="5" s="1"/>
  <c r="I6" i="5"/>
  <c r="Q23" i="3"/>
  <c r="P1" i="5"/>
  <c r="P19" i="5" s="1"/>
  <c r="P21" i="2"/>
  <c r="M4" i="5"/>
  <c r="N28" i="3"/>
  <c r="Q28" i="5"/>
  <c r="P14" i="5"/>
  <c r="G24" i="3" l="1"/>
  <c r="G30" i="3" s="1"/>
  <c r="F28" i="2"/>
  <c r="F34" i="2" s="1"/>
  <c r="F43" i="2"/>
  <c r="F45" i="2" s="1"/>
  <c r="F47" i="2" s="1"/>
  <c r="F29" i="3"/>
  <c r="F26" i="3"/>
  <c r="AW21" i="2"/>
  <c r="J5" i="5"/>
  <c r="Q1" i="5"/>
  <c r="Q19" i="5" s="1"/>
  <c r="R23" i="3"/>
  <c r="Q21" i="2"/>
  <c r="N4" i="5"/>
  <c r="R28" i="5"/>
  <c r="Q14" i="5"/>
  <c r="F29" i="2" l="1"/>
  <c r="G3" i="5" s="1"/>
  <c r="G7" i="5" s="1"/>
  <c r="G25" i="3"/>
  <c r="G29" i="3" s="1"/>
  <c r="G44" i="2"/>
  <c r="F9" i="5"/>
  <c r="F13" i="5" s="1"/>
  <c r="AX21" i="2"/>
  <c r="G10" i="5"/>
  <c r="K21" i="5"/>
  <c r="K22" i="5" s="1"/>
  <c r="K5" i="5" s="1"/>
  <c r="J6" i="5"/>
  <c r="R1" i="5"/>
  <c r="R19" i="5" s="1"/>
  <c r="S23" i="3"/>
  <c r="F32" i="2"/>
  <c r="R21" i="2"/>
  <c r="R14" i="5"/>
  <c r="S28" i="5"/>
  <c r="H24" i="3" l="1"/>
  <c r="H30" i="3" s="1"/>
  <c r="G28" i="2"/>
  <c r="G34" i="2" s="1"/>
  <c r="G43" i="2"/>
  <c r="G45" i="2" s="1"/>
  <c r="G26" i="3"/>
  <c r="G26" i="5"/>
  <c r="AY21" i="2"/>
  <c r="L21" i="5"/>
  <c r="L22" i="5" s="1"/>
  <c r="K6" i="5"/>
  <c r="T23" i="3"/>
  <c r="S1" i="5"/>
  <c r="S19" i="5" s="1"/>
  <c r="S21" i="2"/>
  <c r="S14" i="5"/>
  <c r="T28" i="5"/>
  <c r="G29" i="2" l="1"/>
  <c r="G11" i="5"/>
  <c r="H25" i="5" s="1"/>
  <c r="G46" i="2"/>
  <c r="G47" i="2" s="1"/>
  <c r="G9" i="5"/>
  <c r="AZ21" i="2"/>
  <c r="H10" i="5"/>
  <c r="L5" i="5"/>
  <c r="T1" i="5"/>
  <c r="T19" i="5" s="1"/>
  <c r="U23" i="3"/>
  <c r="T21" i="2"/>
  <c r="G32" i="2"/>
  <c r="T14" i="5"/>
  <c r="U28" i="5"/>
  <c r="H3" i="5" l="1"/>
  <c r="H7" i="5" s="1"/>
  <c r="H44" i="2"/>
  <c r="I24" i="3"/>
  <c r="I30" i="3" s="1"/>
  <c r="G12" i="5"/>
  <c r="G13" i="5"/>
  <c r="H26" i="5"/>
  <c r="BA21" i="2"/>
  <c r="M21" i="5"/>
  <c r="M22" i="5" s="1"/>
  <c r="M5" i="5" s="1"/>
  <c r="L6" i="5"/>
  <c r="V23" i="3"/>
  <c r="U1" i="5"/>
  <c r="U19" i="5" s="1"/>
  <c r="U21" i="2"/>
  <c r="V28" i="5"/>
  <c r="U14" i="5"/>
  <c r="H25" i="3" l="1"/>
  <c r="H26" i="3" s="1"/>
  <c r="H9" i="5" s="1"/>
  <c r="H28" i="2"/>
  <c r="H34" i="2" s="1"/>
  <c r="H11" i="5"/>
  <c r="I25" i="5" s="1"/>
  <c r="H46" i="2"/>
  <c r="BB21" i="2"/>
  <c r="N21" i="5"/>
  <c r="N22" i="5" s="1"/>
  <c r="N5" i="5" s="1"/>
  <c r="M6" i="5"/>
  <c r="V1" i="5"/>
  <c r="V19" i="5" s="1"/>
  <c r="W23" i="3"/>
  <c r="V21" i="2"/>
  <c r="I10" i="5"/>
  <c r="V14" i="5"/>
  <c r="W28" i="5"/>
  <c r="H29" i="2" l="1"/>
  <c r="I3" i="5" s="1"/>
  <c r="I7" i="5" s="1"/>
  <c r="H29" i="3"/>
  <c r="H43" i="2"/>
  <c r="H45" i="2" s="1"/>
  <c r="H47" i="2" s="1"/>
  <c r="I25" i="3"/>
  <c r="I43" i="2" s="1"/>
  <c r="H13" i="5"/>
  <c r="H12" i="5"/>
  <c r="I26" i="5"/>
  <c r="BC21" i="2"/>
  <c r="N6" i="5"/>
  <c r="X23" i="3"/>
  <c r="W1" i="5"/>
  <c r="W19" i="5" s="1"/>
  <c r="W21" i="2"/>
  <c r="H32" i="2"/>
  <c r="I28" i="2"/>
  <c r="I34" i="2" s="1"/>
  <c r="X28" i="5"/>
  <c r="W14" i="5"/>
  <c r="I44" i="2" l="1"/>
  <c r="I45" i="2" s="1"/>
  <c r="J24" i="3"/>
  <c r="J30" i="3" s="1"/>
  <c r="I29" i="2"/>
  <c r="J44" i="2" s="1"/>
  <c r="I11" i="5"/>
  <c r="J25" i="5" s="1"/>
  <c r="I46" i="2"/>
  <c r="I29" i="3"/>
  <c r="I26" i="3"/>
  <c r="BD21" i="2"/>
  <c r="Y23" i="3"/>
  <c r="X1" i="5"/>
  <c r="X19" i="5" s="1"/>
  <c r="X21" i="2"/>
  <c r="Y28" i="5"/>
  <c r="X14" i="5"/>
  <c r="I47" i="2" l="1"/>
  <c r="J3" i="5"/>
  <c r="J7" i="5" s="1"/>
  <c r="I12" i="5"/>
  <c r="I9" i="5"/>
  <c r="I13" i="5" s="1"/>
  <c r="J25" i="3"/>
  <c r="J43" i="2" s="1"/>
  <c r="J45" i="2" s="1"/>
  <c r="BE21" i="2"/>
  <c r="Z23" i="3"/>
  <c r="Y1" i="5"/>
  <c r="Y19" i="5" s="1"/>
  <c r="Y21" i="2"/>
  <c r="J10" i="5"/>
  <c r="Y14" i="5"/>
  <c r="Z28" i="5"/>
  <c r="K24" i="3" l="1"/>
  <c r="K30" i="3" s="1"/>
  <c r="J26" i="5"/>
  <c r="BF21" i="2"/>
  <c r="Z1" i="5"/>
  <c r="Z19" i="5" s="1"/>
  <c r="AA23" i="3"/>
  <c r="Z21" i="2"/>
  <c r="I32" i="2"/>
  <c r="J28" i="2"/>
  <c r="J34" i="2" s="1"/>
  <c r="AA28" i="5"/>
  <c r="Z14" i="5"/>
  <c r="J29" i="2" l="1"/>
  <c r="K44" i="2" s="1"/>
  <c r="J11" i="5"/>
  <c r="K25" i="5" s="1"/>
  <c r="J46" i="2"/>
  <c r="J47" i="2" s="1"/>
  <c r="J29" i="3"/>
  <c r="J26" i="3"/>
  <c r="BG21" i="2"/>
  <c r="AB23" i="3"/>
  <c r="AA1" i="5"/>
  <c r="AA19" i="5" s="1"/>
  <c r="AA21" i="2"/>
  <c r="AA14" i="5"/>
  <c r="AB28" i="5"/>
  <c r="K3" i="5" l="1"/>
  <c r="K7" i="5" s="1"/>
  <c r="J12" i="5"/>
  <c r="J9" i="5"/>
  <c r="J13" i="5" s="1"/>
  <c r="K25" i="3"/>
  <c r="BH21" i="2"/>
  <c r="AC23" i="3"/>
  <c r="AB1" i="5"/>
  <c r="AB19" i="5" s="1"/>
  <c r="AC21" i="2"/>
  <c r="AB21" i="2"/>
  <c r="K10" i="5"/>
  <c r="AC28" i="5"/>
  <c r="AB14" i="5"/>
  <c r="K43" i="2" l="1"/>
  <c r="K45" i="2" s="1"/>
  <c r="L24" i="3"/>
  <c r="L30" i="3" s="1"/>
  <c r="K26" i="5"/>
  <c r="BI21" i="2"/>
  <c r="AD23" i="3"/>
  <c r="AC1" i="5"/>
  <c r="AC19" i="5" s="1"/>
  <c r="J32" i="2"/>
  <c r="K28" i="2"/>
  <c r="K34" i="2" s="1"/>
  <c r="AC14" i="5"/>
  <c r="AD28" i="5"/>
  <c r="K29" i="2" l="1"/>
  <c r="L44" i="2" s="1"/>
  <c r="K11" i="5"/>
  <c r="L25" i="5" s="1"/>
  <c r="K46" i="2"/>
  <c r="K47" i="2" s="1"/>
  <c r="K29" i="3"/>
  <c r="K26" i="3"/>
  <c r="BJ21" i="2"/>
  <c r="AD1" i="5"/>
  <c r="AD19" i="5" s="1"/>
  <c r="AE23" i="3"/>
  <c r="AD14" i="5"/>
  <c r="AE28" i="5"/>
  <c r="L3" i="5" l="1"/>
  <c r="L7" i="5" s="1"/>
  <c r="K12" i="5"/>
  <c r="K9" i="5"/>
  <c r="K13" i="5" s="1"/>
  <c r="BK21" i="2"/>
  <c r="AF23" i="3"/>
  <c r="AE1" i="5"/>
  <c r="AE19" i="5" s="1"/>
  <c r="L10" i="5"/>
  <c r="AF28" i="5"/>
  <c r="AE14" i="5"/>
  <c r="L25" i="3" l="1"/>
  <c r="L43" i="2" s="1"/>
  <c r="L45" i="2" s="1"/>
  <c r="L28" i="2"/>
  <c r="L34" i="2" s="1"/>
  <c r="L26" i="5"/>
  <c r="BL21" i="2"/>
  <c r="AF1" i="5"/>
  <c r="AF19" i="5" s="1"/>
  <c r="AG23" i="3"/>
  <c r="K32" i="2"/>
  <c r="AF14" i="5"/>
  <c r="AG28" i="5"/>
  <c r="L29" i="2" l="1"/>
  <c r="M44" i="2" s="1"/>
  <c r="M24" i="3"/>
  <c r="M30" i="3" s="1"/>
  <c r="L11" i="5"/>
  <c r="M25" i="5" s="1"/>
  <c r="L46" i="2"/>
  <c r="L47" i="2" s="1"/>
  <c r="L29" i="3"/>
  <c r="L26" i="3"/>
  <c r="BM21" i="2"/>
  <c r="AG1" i="5"/>
  <c r="AG19" i="5" s="1"/>
  <c r="AH23" i="3"/>
  <c r="AH28" i="5"/>
  <c r="AG14" i="5"/>
  <c r="N24" i="3" l="1"/>
  <c r="M3" i="5"/>
  <c r="M7" i="5" s="1"/>
  <c r="L12" i="5"/>
  <c r="M25" i="3"/>
  <c r="L9" i="5"/>
  <c r="L13" i="5" s="1"/>
  <c r="BN21" i="2"/>
  <c r="AH1" i="5"/>
  <c r="AH19" i="5" s="1"/>
  <c r="AI23" i="3"/>
  <c r="M10" i="5"/>
  <c r="AH14" i="5"/>
  <c r="AI28" i="5"/>
  <c r="M43" i="2" l="1"/>
  <c r="M45" i="2" s="1"/>
  <c r="M29" i="3"/>
  <c r="M26" i="3"/>
  <c r="M9" i="5" s="1"/>
  <c r="M26" i="5"/>
  <c r="BO21" i="2"/>
  <c r="AJ23" i="3"/>
  <c r="AI1" i="5"/>
  <c r="AI19" i="5" s="1"/>
  <c r="L32" i="2"/>
  <c r="M28" i="2"/>
  <c r="AJ28" i="5"/>
  <c r="AI14" i="5"/>
  <c r="M29" i="2" l="1"/>
  <c r="N3" i="5" s="1"/>
  <c r="N7" i="5" s="1"/>
  <c r="M11" i="5"/>
  <c r="N25" i="5" s="1"/>
  <c r="M46" i="2"/>
  <c r="M47" i="2" s="1"/>
  <c r="BP21" i="2"/>
  <c r="AJ1" i="5"/>
  <c r="AJ19" i="5" s="1"/>
  <c r="AK23" i="3"/>
  <c r="AK28" i="5"/>
  <c r="AJ14" i="5"/>
  <c r="M34" i="2" l="1"/>
  <c r="N30" i="3" s="1"/>
  <c r="O24" i="3" s="1"/>
  <c r="O3" i="5" s="1"/>
  <c r="N44" i="2"/>
  <c r="M13" i="5"/>
  <c r="M12" i="5"/>
  <c r="BQ21" i="2"/>
  <c r="AL23" i="3"/>
  <c r="AK1" i="5"/>
  <c r="AK19" i="5" s="1"/>
  <c r="N10" i="5"/>
  <c r="AL28" i="5"/>
  <c r="AK14" i="5"/>
  <c r="O30" i="3" l="1"/>
  <c r="O25" i="3" s="1"/>
  <c r="N25" i="3"/>
  <c r="N43" i="2" s="1"/>
  <c r="N45" i="2" s="1"/>
  <c r="N26" i="5"/>
  <c r="BR21" i="2"/>
  <c r="AL1" i="5"/>
  <c r="AL19" i="5" s="1"/>
  <c r="AM23" i="3"/>
  <c r="M32" i="2"/>
  <c r="N28" i="2"/>
  <c r="N34" i="2" s="1"/>
  <c r="AL14" i="5"/>
  <c r="AM28" i="5"/>
  <c r="O28" i="2" l="1"/>
  <c r="O29" i="2" s="1"/>
  <c r="N29" i="3"/>
  <c r="N26" i="3"/>
  <c r="N9" i="5" s="1"/>
  <c r="N29" i="2"/>
  <c r="N11" i="5"/>
  <c r="O25" i="5" s="1"/>
  <c r="N46" i="2"/>
  <c r="N47" i="2" s="1"/>
  <c r="BS21" i="2"/>
  <c r="AN23" i="3"/>
  <c r="AM1" i="5"/>
  <c r="AM19" i="5" s="1"/>
  <c r="AM14" i="5"/>
  <c r="AN28" i="5"/>
  <c r="O34" i="2" l="1"/>
  <c r="O43" i="2"/>
  <c r="N13" i="5"/>
  <c r="N12" i="5"/>
  <c r="O28" i="3"/>
  <c r="BT21" i="2"/>
  <c r="AO23" i="3"/>
  <c r="AN1" i="5"/>
  <c r="AN19" i="5" s="1"/>
  <c r="O10" i="5"/>
  <c r="AN14" i="5"/>
  <c r="AO28" i="5"/>
  <c r="O45" i="2" l="1"/>
  <c r="P24" i="3"/>
  <c r="P28" i="3"/>
  <c r="O4" i="5"/>
  <c r="O26" i="5"/>
  <c r="BU21" i="2"/>
  <c r="AP23" i="3"/>
  <c r="AO1" i="5"/>
  <c r="AO19" i="5" s="1"/>
  <c r="N32" i="2"/>
  <c r="AO14" i="5"/>
  <c r="AP28" i="5"/>
  <c r="P30" i="3" l="1"/>
  <c r="P3" i="5"/>
  <c r="O11" i="5"/>
  <c r="O12" i="5" s="1"/>
  <c r="O46" i="2"/>
  <c r="O47" i="2" s="1"/>
  <c r="P4" i="5"/>
  <c r="Q28" i="3"/>
  <c r="O29" i="3"/>
  <c r="O26" i="3"/>
  <c r="O21" i="5"/>
  <c r="O22" i="5" s="1"/>
  <c r="O5" i="5" s="1"/>
  <c r="O7" i="5" s="1"/>
  <c r="BV21" i="2"/>
  <c r="AQ23" i="3"/>
  <c r="AP1" i="5"/>
  <c r="AP19" i="5" s="1"/>
  <c r="AP14" i="5"/>
  <c r="AQ28" i="5"/>
  <c r="P25" i="3" l="1"/>
  <c r="P43" i="2" s="1"/>
  <c r="P45" i="2" s="1"/>
  <c r="O6" i="5"/>
  <c r="R28" i="3"/>
  <c r="Q4" i="5"/>
  <c r="P21" i="5"/>
  <c r="P22" i="5" s="1"/>
  <c r="P5" i="5" s="1"/>
  <c r="P7" i="5" s="1"/>
  <c r="O9" i="5"/>
  <c r="O13" i="5" s="1"/>
  <c r="BW21" i="2"/>
  <c r="AR23" i="3"/>
  <c r="AQ1" i="5"/>
  <c r="AQ19" i="5" s="1"/>
  <c r="P10" i="5"/>
  <c r="AQ14" i="5"/>
  <c r="AR28" i="5"/>
  <c r="P29" i="3" l="1"/>
  <c r="Q24" i="3"/>
  <c r="P6" i="5"/>
  <c r="S28" i="3"/>
  <c r="R4" i="5"/>
  <c r="Q21" i="5"/>
  <c r="Q22" i="5" s="1"/>
  <c r="Q5" i="5" s="1"/>
  <c r="P25" i="5"/>
  <c r="P26" i="5" s="1"/>
  <c r="BX21" i="2"/>
  <c r="AS23" i="3"/>
  <c r="AR1" i="5"/>
  <c r="AR19" i="5" s="1"/>
  <c r="O32" i="2"/>
  <c r="P28" i="2"/>
  <c r="P34" i="2" s="1"/>
  <c r="AS28" i="5"/>
  <c r="AR14" i="5"/>
  <c r="Q30" i="3" l="1"/>
  <c r="Q3" i="5"/>
  <c r="P29" i="2"/>
  <c r="Q7" i="5" s="1"/>
  <c r="P11" i="5"/>
  <c r="P12" i="5" s="1"/>
  <c r="P46" i="2"/>
  <c r="P47" i="2" s="1"/>
  <c r="P26" i="3"/>
  <c r="P9" i="5" s="1"/>
  <c r="S4" i="5"/>
  <c r="T28" i="3"/>
  <c r="Q6" i="5"/>
  <c r="R21" i="5"/>
  <c r="R22" i="5" s="1"/>
  <c r="R5" i="5" s="1"/>
  <c r="BY21" i="2"/>
  <c r="AT23" i="3"/>
  <c r="AS1" i="5"/>
  <c r="AS19" i="5" s="1"/>
  <c r="AT28" i="5"/>
  <c r="AS14" i="5"/>
  <c r="P13" i="5" l="1"/>
  <c r="Q25" i="3"/>
  <c r="Q43" i="2" s="1"/>
  <c r="Q45" i="2" s="1"/>
  <c r="R6" i="5"/>
  <c r="U28" i="3"/>
  <c r="T4" i="5"/>
  <c r="S21" i="5"/>
  <c r="S22" i="5" s="1"/>
  <c r="S5" i="5" s="1"/>
  <c r="BZ21" i="2"/>
  <c r="AT1" i="5"/>
  <c r="AT19" i="5" s="1"/>
  <c r="AU23" i="3"/>
  <c r="Q10" i="5"/>
  <c r="AT14" i="5"/>
  <c r="AU28" i="5"/>
  <c r="R24" i="3" l="1"/>
  <c r="S6" i="5"/>
  <c r="T21" i="5"/>
  <c r="T22" i="5" s="1"/>
  <c r="T5" i="5" s="1"/>
  <c r="U4" i="5"/>
  <c r="V28" i="3"/>
  <c r="Q25" i="5"/>
  <c r="Q26" i="5" s="1"/>
  <c r="CA21" i="2"/>
  <c r="AV23" i="3"/>
  <c r="AU1" i="5"/>
  <c r="AU19" i="5" s="1"/>
  <c r="P32" i="2"/>
  <c r="Q28" i="2"/>
  <c r="Q34" i="2" s="1"/>
  <c r="AU14" i="5"/>
  <c r="AV28" i="5"/>
  <c r="R30" i="3" l="1"/>
  <c r="R3" i="5"/>
  <c r="Q29" i="2"/>
  <c r="Q11" i="5"/>
  <c r="Q12" i="5" s="1"/>
  <c r="Q46" i="2"/>
  <c r="Q47" i="2" s="1"/>
  <c r="Q29" i="3"/>
  <c r="Q26" i="3"/>
  <c r="W28" i="3"/>
  <c r="V4" i="5"/>
  <c r="U21" i="5"/>
  <c r="U22" i="5" s="1"/>
  <c r="U5" i="5" s="1"/>
  <c r="T6" i="5"/>
  <c r="CB21" i="2"/>
  <c r="AV1" i="5"/>
  <c r="AV19" i="5" s="1"/>
  <c r="AW23" i="3"/>
  <c r="AV14" i="5"/>
  <c r="AW28" i="5"/>
  <c r="R7" i="5" l="1"/>
  <c r="Q9" i="5"/>
  <c r="Q13" i="5" s="1"/>
  <c r="R25" i="3"/>
  <c r="R43" i="2" s="1"/>
  <c r="R45" i="2" s="1"/>
  <c r="U6" i="5"/>
  <c r="X28" i="3"/>
  <c r="W4" i="5"/>
  <c r="V21" i="5"/>
  <c r="V22" i="5" s="1"/>
  <c r="V5" i="5" s="1"/>
  <c r="CC21" i="2"/>
  <c r="AX23" i="3"/>
  <c r="AW1" i="5"/>
  <c r="AW19" i="5" s="1"/>
  <c r="R10" i="5"/>
  <c r="AX28" i="5"/>
  <c r="AW14" i="5"/>
  <c r="S24" i="3" l="1"/>
  <c r="V6" i="5"/>
  <c r="Y28" i="3"/>
  <c r="X4" i="5"/>
  <c r="W21" i="5"/>
  <c r="W22" i="5" s="1"/>
  <c r="W5" i="5" s="1"/>
  <c r="R25" i="5"/>
  <c r="R26" i="5" s="1"/>
  <c r="CD21" i="2"/>
  <c r="AX1" i="5"/>
  <c r="AX19" i="5" s="1"/>
  <c r="AY23" i="3"/>
  <c r="Q32" i="2"/>
  <c r="R28" i="2"/>
  <c r="R34" i="2" s="1"/>
  <c r="AX14" i="5"/>
  <c r="AY28" i="5"/>
  <c r="S28" i="2" l="1"/>
  <c r="S29" i="2"/>
  <c r="S30" i="3"/>
  <c r="S3" i="5"/>
  <c r="R29" i="2"/>
  <c r="R11" i="5"/>
  <c r="R12" i="5" s="1"/>
  <c r="R46" i="2"/>
  <c r="R47" i="2" s="1"/>
  <c r="R29" i="3"/>
  <c r="R26" i="3"/>
  <c r="W6" i="5"/>
  <c r="X21" i="5"/>
  <c r="X22" i="5" s="1"/>
  <c r="X5" i="5" s="1"/>
  <c r="Z28" i="3"/>
  <c r="Y4" i="5"/>
  <c r="CE21" i="2"/>
  <c r="AY1" i="5"/>
  <c r="AY19" i="5" s="1"/>
  <c r="AZ23" i="3"/>
  <c r="AZ28" i="5"/>
  <c r="AY14" i="5"/>
  <c r="T24" i="3" l="1"/>
  <c r="T25" i="3"/>
  <c r="S7" i="5"/>
  <c r="R9" i="5"/>
  <c r="R13" i="5" s="1"/>
  <c r="S25" i="3"/>
  <c r="S43" i="2" s="1"/>
  <c r="S45" i="2" s="1"/>
  <c r="Y21" i="5"/>
  <c r="Y22" i="5" s="1"/>
  <c r="Y5" i="5" s="1"/>
  <c r="Z4" i="5"/>
  <c r="X6" i="5"/>
  <c r="CF21" i="2"/>
  <c r="AZ1" i="5"/>
  <c r="AZ19" i="5" s="1"/>
  <c r="BA23" i="3"/>
  <c r="S10" i="5"/>
  <c r="BA28" i="5"/>
  <c r="AZ14" i="5"/>
  <c r="Z21" i="5" l="1"/>
  <c r="Z22" i="5" s="1"/>
  <c r="Z5" i="5" s="1"/>
  <c r="Y6" i="5"/>
  <c r="S25" i="5"/>
  <c r="S26" i="5" s="1"/>
  <c r="CG21" i="2"/>
  <c r="BB23" i="3"/>
  <c r="BA1" i="5"/>
  <c r="BA19" i="5" s="1"/>
  <c r="R32" i="2"/>
  <c r="S34" i="2"/>
  <c r="BB28" i="5"/>
  <c r="BA14" i="5"/>
  <c r="T30" i="3" l="1"/>
  <c r="T3" i="5"/>
  <c r="T7" i="5" s="1"/>
  <c r="S11" i="5"/>
  <c r="S12" i="5" s="1"/>
  <c r="S46" i="2"/>
  <c r="S47" i="2" s="1"/>
  <c r="S29" i="3"/>
  <c r="S26" i="3"/>
  <c r="Z6" i="5"/>
  <c r="CH21" i="2"/>
  <c r="BB1" i="5"/>
  <c r="BB19" i="5" s="1"/>
  <c r="BC23" i="3"/>
  <c r="BC28" i="5"/>
  <c r="BB14" i="5"/>
  <c r="S9" i="5" l="1"/>
  <c r="S13" i="5" s="1"/>
  <c r="T43" i="2"/>
  <c r="T45" i="2" s="1"/>
  <c r="CI21" i="2"/>
  <c r="BD23" i="3"/>
  <c r="BC1" i="5"/>
  <c r="BC19" i="5" s="1"/>
  <c r="T10" i="5"/>
  <c r="BD28" i="5"/>
  <c r="BC14" i="5"/>
  <c r="U24" i="3" l="1"/>
  <c r="T25" i="5"/>
  <c r="T26" i="5" s="1"/>
  <c r="CJ21" i="2"/>
  <c r="BE23" i="3"/>
  <c r="BD1" i="5"/>
  <c r="BD19" i="5" s="1"/>
  <c r="S32" i="2"/>
  <c r="T28" i="2"/>
  <c r="T34" i="2" s="1"/>
  <c r="BD14" i="5"/>
  <c r="BE28" i="5"/>
  <c r="U30" i="3" l="1"/>
  <c r="U25" i="3" s="1"/>
  <c r="U3" i="5"/>
  <c r="T29" i="2"/>
  <c r="T11" i="5"/>
  <c r="T12" i="5" s="1"/>
  <c r="T46" i="2"/>
  <c r="T47" i="2" s="1"/>
  <c r="T29" i="3"/>
  <c r="T26" i="3"/>
  <c r="CK21" i="2"/>
  <c r="BF23" i="3"/>
  <c r="BE1" i="5"/>
  <c r="BE19" i="5" s="1"/>
  <c r="BE14" i="5"/>
  <c r="BF28" i="5"/>
  <c r="U7" i="5" l="1"/>
  <c r="T9" i="5"/>
  <c r="T13" i="5" s="1"/>
  <c r="U43" i="2"/>
  <c r="U45" i="2" s="1"/>
  <c r="CL21" i="2"/>
  <c r="BG23" i="3"/>
  <c r="BF1" i="5"/>
  <c r="BF19" i="5" s="1"/>
  <c r="U10" i="5"/>
  <c r="BF14" i="5"/>
  <c r="BG28" i="5"/>
  <c r="V24" i="3" l="1"/>
  <c r="U25" i="5"/>
  <c r="U26" i="5" s="1"/>
  <c r="CM21" i="2"/>
  <c r="BH23" i="3"/>
  <c r="BG1" i="5"/>
  <c r="BG19" i="5" s="1"/>
  <c r="T32" i="2"/>
  <c r="U28" i="2"/>
  <c r="U34" i="2" s="1"/>
  <c r="BH28" i="5"/>
  <c r="BG14" i="5"/>
  <c r="V30" i="3" l="1"/>
  <c r="V25" i="3" s="1"/>
  <c r="V3" i="5"/>
  <c r="V7" i="5" s="1"/>
  <c r="U29" i="2"/>
  <c r="U11" i="5"/>
  <c r="U12" i="5" s="1"/>
  <c r="U46" i="2"/>
  <c r="U47" i="2" s="1"/>
  <c r="U29" i="3"/>
  <c r="U26" i="3"/>
  <c r="CN21" i="2"/>
  <c r="BI23" i="3"/>
  <c r="BH1" i="5"/>
  <c r="BH19" i="5" s="1"/>
  <c r="BI28" i="5"/>
  <c r="BH14" i="5"/>
  <c r="U9" i="5" l="1"/>
  <c r="U13" i="5" s="1"/>
  <c r="V43" i="2"/>
  <c r="V45" i="2" s="1"/>
  <c r="CO21" i="2"/>
  <c r="BJ23" i="3"/>
  <c r="BI1" i="5"/>
  <c r="BI19" i="5" s="1"/>
  <c r="V10" i="5"/>
  <c r="BJ28" i="5"/>
  <c r="BI14" i="5"/>
  <c r="W24" i="3" l="1"/>
  <c r="V25" i="5"/>
  <c r="V26" i="5" s="1"/>
  <c r="CP21" i="2"/>
  <c r="BJ1" i="5"/>
  <c r="BJ19" i="5" s="1"/>
  <c r="BK23" i="3"/>
  <c r="U32" i="2"/>
  <c r="V28" i="2"/>
  <c r="V34" i="2" s="1"/>
  <c r="BJ14" i="5"/>
  <c r="BK28" i="5"/>
  <c r="W30" i="3" l="1"/>
  <c r="W25" i="3" s="1"/>
  <c r="W3" i="5"/>
  <c r="V29" i="2"/>
  <c r="V11" i="5"/>
  <c r="V12" i="5" s="1"/>
  <c r="V46" i="2"/>
  <c r="V47" i="2" s="1"/>
  <c r="V29" i="3"/>
  <c r="V26" i="3"/>
  <c r="CQ21" i="2"/>
  <c r="BL23" i="3"/>
  <c r="BK1" i="5"/>
  <c r="BK19" i="5" s="1"/>
  <c r="BK14" i="5"/>
  <c r="BL28" i="5"/>
  <c r="W7" i="5" l="1"/>
  <c r="V9" i="5"/>
  <c r="V13" i="5" s="1"/>
  <c r="W43" i="2"/>
  <c r="W45" i="2" s="1"/>
  <c r="CR21" i="2"/>
  <c r="BL1" i="5"/>
  <c r="BL19" i="5" s="1"/>
  <c r="BM23" i="3"/>
  <c r="W10" i="5"/>
  <c r="BM28" i="5"/>
  <c r="BL14" i="5"/>
  <c r="X24" i="3" l="1"/>
  <c r="W25" i="5"/>
  <c r="W26" i="5" s="1"/>
  <c r="CS21" i="2"/>
  <c r="BN23" i="3"/>
  <c r="BM1" i="5"/>
  <c r="BM19" i="5" s="1"/>
  <c r="V32" i="2"/>
  <c r="W28" i="2"/>
  <c r="W34" i="2" s="1"/>
  <c r="BM14" i="5"/>
  <c r="BN28" i="5"/>
  <c r="X30" i="3" l="1"/>
  <c r="X25" i="3" s="1"/>
  <c r="X3" i="5"/>
  <c r="W29" i="2"/>
  <c r="W11" i="5"/>
  <c r="W12" i="5" s="1"/>
  <c r="W46" i="2"/>
  <c r="W47" i="2" s="1"/>
  <c r="W29" i="3"/>
  <c r="W26" i="3"/>
  <c r="CT21" i="2"/>
  <c r="BN1" i="5"/>
  <c r="BN19" i="5" s="1"/>
  <c r="BO23" i="3"/>
  <c r="BO28" i="5"/>
  <c r="BN14" i="5"/>
  <c r="X7" i="5" l="1"/>
  <c r="W9" i="5"/>
  <c r="W13" i="5" s="1"/>
  <c r="X43" i="2"/>
  <c r="X45" i="2" s="1"/>
  <c r="CU21" i="2"/>
  <c r="BO1" i="5"/>
  <c r="BO19" i="5" s="1"/>
  <c r="BP23" i="3"/>
  <c r="X10" i="5"/>
  <c r="BP28" i="5"/>
  <c r="BO14" i="5"/>
  <c r="Y24" i="3" l="1"/>
  <c r="X25" i="5"/>
  <c r="X26" i="5" s="1"/>
  <c r="CV21" i="2"/>
  <c r="BP1" i="5"/>
  <c r="BP19" i="5" s="1"/>
  <c r="BQ23" i="3"/>
  <c r="W32" i="2"/>
  <c r="X28" i="2"/>
  <c r="X34" i="2" s="1"/>
  <c r="BQ28" i="5"/>
  <c r="BP14" i="5"/>
  <c r="Y30" i="3" l="1"/>
  <c r="Y25" i="3" s="1"/>
  <c r="Y3" i="5"/>
  <c r="X29" i="2"/>
  <c r="X11" i="5"/>
  <c r="X12" i="5" s="1"/>
  <c r="X46" i="2"/>
  <c r="X47" i="2" s="1"/>
  <c r="X29" i="3"/>
  <c r="X26" i="3"/>
  <c r="CW21" i="2"/>
  <c r="BR23" i="3"/>
  <c r="BQ1" i="5"/>
  <c r="BQ19" i="5" s="1"/>
  <c r="BQ14" i="5"/>
  <c r="BR28" i="5"/>
  <c r="Y7" i="5" l="1"/>
  <c r="X9" i="5"/>
  <c r="X13" i="5" s="1"/>
  <c r="Y43" i="2"/>
  <c r="Y45" i="2" s="1"/>
  <c r="CX21" i="2"/>
  <c r="BR1" i="5"/>
  <c r="BR19" i="5" s="1"/>
  <c r="BS23" i="3"/>
  <c r="Y10" i="5"/>
  <c r="BS28" i="5"/>
  <c r="BR14" i="5"/>
  <c r="Z24" i="3" l="1"/>
  <c r="Y25" i="5"/>
  <c r="Y26" i="5" s="1"/>
  <c r="CY21" i="2"/>
  <c r="BT23" i="3"/>
  <c r="BS1" i="5"/>
  <c r="BS19" i="5" s="1"/>
  <c r="X32" i="2"/>
  <c r="Y28" i="2"/>
  <c r="BT28" i="5"/>
  <c r="BS14" i="5"/>
  <c r="Y11" i="5" l="1"/>
  <c r="Y12" i="5" s="1"/>
  <c r="Y46" i="2"/>
  <c r="Y47" i="2" s="1"/>
  <c r="Y29" i="3"/>
  <c r="Y26" i="3"/>
  <c r="Y29" i="2"/>
  <c r="Y34" i="2" s="1"/>
  <c r="Z30" i="3" s="1"/>
  <c r="Z25" i="3" s="1"/>
  <c r="CZ21" i="2"/>
  <c r="BU23" i="3"/>
  <c r="BT1" i="5"/>
  <c r="BT19" i="5" s="1"/>
  <c r="BT14" i="5"/>
  <c r="BU28" i="5"/>
  <c r="Z3" i="5" l="1"/>
  <c r="B40" i="2"/>
  <c r="Z28" i="2"/>
  <c r="Z44" i="2"/>
  <c r="AA44" i="2" s="1"/>
  <c r="AB44" i="2" s="1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M44" i="2" s="1"/>
  <c r="AN44" i="2" s="1"/>
  <c r="AO44" i="2" s="1"/>
  <c r="AP44" i="2" s="1"/>
  <c r="AQ44" i="2" s="1"/>
  <c r="AR44" i="2" s="1"/>
  <c r="AS44" i="2" s="1"/>
  <c r="AT44" i="2" s="1"/>
  <c r="AU44" i="2" s="1"/>
  <c r="AV44" i="2" s="1"/>
  <c r="AW44" i="2" s="1"/>
  <c r="AX44" i="2" s="1"/>
  <c r="AY44" i="2" s="1"/>
  <c r="AZ44" i="2" s="1"/>
  <c r="BA44" i="2" s="1"/>
  <c r="BB44" i="2" s="1"/>
  <c r="BC44" i="2" s="1"/>
  <c r="BD44" i="2" s="1"/>
  <c r="BE44" i="2" s="1"/>
  <c r="BF44" i="2" s="1"/>
  <c r="BG44" i="2" s="1"/>
  <c r="BH44" i="2" s="1"/>
  <c r="BI44" i="2" s="1"/>
  <c r="BJ44" i="2" s="1"/>
  <c r="BK44" i="2" s="1"/>
  <c r="BL44" i="2" s="1"/>
  <c r="BM44" i="2" s="1"/>
  <c r="BN44" i="2" s="1"/>
  <c r="BO44" i="2" s="1"/>
  <c r="BP44" i="2" s="1"/>
  <c r="BQ44" i="2" s="1"/>
  <c r="BR44" i="2" s="1"/>
  <c r="BS44" i="2" s="1"/>
  <c r="BT44" i="2" s="1"/>
  <c r="BU44" i="2" s="1"/>
  <c r="BV44" i="2" s="1"/>
  <c r="BW44" i="2" s="1"/>
  <c r="BX44" i="2" s="1"/>
  <c r="BY44" i="2" s="1"/>
  <c r="BZ44" i="2" s="1"/>
  <c r="CA44" i="2" s="1"/>
  <c r="CB44" i="2" s="1"/>
  <c r="CC44" i="2" s="1"/>
  <c r="CD44" i="2" s="1"/>
  <c r="CE44" i="2" s="1"/>
  <c r="CF44" i="2" s="1"/>
  <c r="CG44" i="2" s="1"/>
  <c r="CH44" i="2" s="1"/>
  <c r="CI44" i="2" s="1"/>
  <c r="CJ44" i="2" s="1"/>
  <c r="CK44" i="2" s="1"/>
  <c r="CL44" i="2" s="1"/>
  <c r="CM44" i="2" s="1"/>
  <c r="CN44" i="2" s="1"/>
  <c r="CO44" i="2" s="1"/>
  <c r="CP44" i="2" s="1"/>
  <c r="CQ44" i="2" s="1"/>
  <c r="CR44" i="2" s="1"/>
  <c r="CS44" i="2" s="1"/>
  <c r="CT44" i="2" s="1"/>
  <c r="CU44" i="2" s="1"/>
  <c r="CV44" i="2" s="1"/>
  <c r="CW44" i="2" s="1"/>
  <c r="CX44" i="2" s="1"/>
  <c r="CY44" i="2" s="1"/>
  <c r="CZ44" i="2" s="1"/>
  <c r="DA44" i="2" s="1"/>
  <c r="DB44" i="2" s="1"/>
  <c r="DC44" i="2" s="1"/>
  <c r="DD44" i="2" s="1"/>
  <c r="DE44" i="2" s="1"/>
  <c r="DF44" i="2" s="1"/>
  <c r="DG44" i="2" s="1"/>
  <c r="DH44" i="2" s="1"/>
  <c r="DI44" i="2" s="1"/>
  <c r="DJ44" i="2" s="1"/>
  <c r="DK44" i="2" s="1"/>
  <c r="DL44" i="2" s="1"/>
  <c r="DM44" i="2" s="1"/>
  <c r="DN44" i="2" s="1"/>
  <c r="DO44" i="2" s="1"/>
  <c r="DP44" i="2" s="1"/>
  <c r="DQ44" i="2" s="1"/>
  <c r="DR44" i="2" s="1"/>
  <c r="Y9" i="5"/>
  <c r="Y13" i="5" s="1"/>
  <c r="DA21" i="2"/>
  <c r="BV23" i="3"/>
  <c r="BU1" i="5"/>
  <c r="BU19" i="5" s="1"/>
  <c r="Z10" i="5"/>
  <c r="BV28" i="5"/>
  <c r="BU14" i="5"/>
  <c r="Z7" i="5" l="1"/>
  <c r="Z43" i="2"/>
  <c r="Z45" i="2" s="1"/>
  <c r="CZ31" i="2"/>
  <c r="CX31" i="2"/>
  <c r="AN31" i="2"/>
  <c r="AO27" i="3" s="1"/>
  <c r="AL31" i="2"/>
  <c r="AM27" i="3" s="1"/>
  <c r="CE31" i="2"/>
  <c r="CF27" i="3" s="1"/>
  <c r="BU31" i="2"/>
  <c r="BV27" i="3" s="1"/>
  <c r="DJ31" i="2"/>
  <c r="Z29" i="2"/>
  <c r="Z31" i="2"/>
  <c r="AA27" i="3" s="1"/>
  <c r="AA28" i="3" s="1"/>
  <c r="BD31" i="2"/>
  <c r="BE27" i="3" s="1"/>
  <c r="CK31" i="2"/>
  <c r="DN31" i="2"/>
  <c r="BW31" i="2"/>
  <c r="BX27" i="3" s="1"/>
  <c r="CY31" i="2"/>
  <c r="BT31" i="2"/>
  <c r="BU27" i="3" s="1"/>
  <c r="AO31" i="2"/>
  <c r="AP27" i="3" s="1"/>
  <c r="DA31" i="2"/>
  <c r="BR31" i="2"/>
  <c r="BS27" i="3" s="1"/>
  <c r="CI31" i="2"/>
  <c r="DP31" i="2"/>
  <c r="BB31" i="2"/>
  <c r="BC27" i="3" s="1"/>
  <c r="CA31" i="2"/>
  <c r="CB27" i="3" s="1"/>
  <c r="DO31" i="2"/>
  <c r="CJ31" i="2"/>
  <c r="BE31" i="2"/>
  <c r="BF27" i="3" s="1"/>
  <c r="DQ31" i="2"/>
  <c r="CH31" i="2"/>
  <c r="AA31" i="2"/>
  <c r="AB27" i="3" s="1"/>
  <c r="AE31" i="2"/>
  <c r="AF27" i="3" s="1"/>
  <c r="AI31" i="2"/>
  <c r="AJ27" i="3" s="1"/>
  <c r="AM31" i="2"/>
  <c r="AN27" i="3" s="1"/>
  <c r="CM31" i="2"/>
  <c r="DC31" i="2"/>
  <c r="AB31" i="2"/>
  <c r="AC27" i="3" s="1"/>
  <c r="AR31" i="2"/>
  <c r="AS27" i="3" s="1"/>
  <c r="BH31" i="2"/>
  <c r="BI27" i="3" s="1"/>
  <c r="BX31" i="2"/>
  <c r="BY27" i="3" s="1"/>
  <c r="CN31" i="2"/>
  <c r="DD31" i="2"/>
  <c r="AC31" i="2"/>
  <c r="AD27" i="3" s="1"/>
  <c r="AS31" i="2"/>
  <c r="AT27" i="3" s="1"/>
  <c r="BI31" i="2"/>
  <c r="BJ27" i="3" s="1"/>
  <c r="BY31" i="2"/>
  <c r="BZ27" i="3" s="1"/>
  <c r="CO31" i="2"/>
  <c r="DE31" i="2"/>
  <c r="AP31" i="2"/>
  <c r="AQ27" i="3" s="1"/>
  <c r="BF31" i="2"/>
  <c r="BG27" i="3" s="1"/>
  <c r="BV31" i="2"/>
  <c r="BW27" i="3" s="1"/>
  <c r="CL31" i="2"/>
  <c r="DB31" i="2"/>
  <c r="AQ31" i="2"/>
  <c r="AR27" i="3" s="1"/>
  <c r="AU31" i="2"/>
  <c r="AV27" i="3" s="1"/>
  <c r="AY31" i="2"/>
  <c r="AZ27" i="3" s="1"/>
  <c r="BC31" i="2"/>
  <c r="BD27" i="3" s="1"/>
  <c r="CQ31" i="2"/>
  <c r="DG31" i="2"/>
  <c r="AF31" i="2"/>
  <c r="AG27" i="3" s="1"/>
  <c r="AV31" i="2"/>
  <c r="AW27" i="3" s="1"/>
  <c r="BL31" i="2"/>
  <c r="BM27" i="3" s="1"/>
  <c r="CB31" i="2"/>
  <c r="CC27" i="3" s="1"/>
  <c r="CR31" i="2"/>
  <c r="DH31" i="2"/>
  <c r="AG31" i="2"/>
  <c r="AH27" i="3" s="1"/>
  <c r="AW31" i="2"/>
  <c r="AX27" i="3" s="1"/>
  <c r="BM31" i="2"/>
  <c r="BN27" i="3" s="1"/>
  <c r="CC31" i="2"/>
  <c r="CD27" i="3" s="1"/>
  <c r="CS31" i="2"/>
  <c r="DI31" i="2"/>
  <c r="AD31" i="2"/>
  <c r="AE27" i="3" s="1"/>
  <c r="AT31" i="2"/>
  <c r="AU27" i="3" s="1"/>
  <c r="BJ31" i="2"/>
  <c r="BK27" i="3" s="1"/>
  <c r="BZ31" i="2"/>
  <c r="CA27" i="3" s="1"/>
  <c r="CP31" i="2"/>
  <c r="DF31" i="2"/>
  <c r="BG31" i="2"/>
  <c r="BH27" i="3" s="1"/>
  <c r="BK31" i="2"/>
  <c r="BL27" i="3" s="1"/>
  <c r="BO31" i="2"/>
  <c r="BP27" i="3" s="1"/>
  <c r="BS31" i="2"/>
  <c r="BT27" i="3" s="1"/>
  <c r="CU31" i="2"/>
  <c r="DK31" i="2"/>
  <c r="AJ31" i="2"/>
  <c r="AK27" i="3" s="1"/>
  <c r="AZ31" i="2"/>
  <c r="BA27" i="3" s="1"/>
  <c r="BP31" i="2"/>
  <c r="BQ27" i="3" s="1"/>
  <c r="CF31" i="2"/>
  <c r="CG27" i="3" s="1"/>
  <c r="CV31" i="2"/>
  <c r="DL31" i="2"/>
  <c r="AK31" i="2"/>
  <c r="AL27" i="3" s="1"/>
  <c r="BA31" i="2"/>
  <c r="BB27" i="3" s="1"/>
  <c r="BQ31" i="2"/>
  <c r="BR27" i="3" s="1"/>
  <c r="CG31" i="2"/>
  <c r="CW31" i="2"/>
  <c r="DM31" i="2"/>
  <c r="AH31" i="2"/>
  <c r="AI27" i="3" s="1"/>
  <c r="AX31" i="2"/>
  <c r="AY27" i="3" s="1"/>
  <c r="BN31" i="2"/>
  <c r="BO27" i="3" s="1"/>
  <c r="CD31" i="2"/>
  <c r="CE27" i="3" s="1"/>
  <c r="CT31" i="2"/>
  <c r="Z25" i="5"/>
  <c r="Z26" i="5" s="1"/>
  <c r="DB21" i="2"/>
  <c r="BW23" i="3"/>
  <c r="BV1" i="5"/>
  <c r="BV19" i="5" s="1"/>
  <c r="Y32" i="2"/>
  <c r="BW28" i="5"/>
  <c r="BV14" i="5"/>
  <c r="AA24" i="3" l="1"/>
  <c r="Z33" i="2"/>
  <c r="B38" i="2" s="1"/>
  <c r="Z30" i="2"/>
  <c r="Z11" i="5"/>
  <c r="Z12" i="5" s="1"/>
  <c r="Z46" i="2"/>
  <c r="Z47" i="2" s="1"/>
  <c r="Z34" i="2"/>
  <c r="Z29" i="3"/>
  <c r="Z26" i="3"/>
  <c r="Z9" i="5" s="1"/>
  <c r="AB28" i="3"/>
  <c r="AA4" i="5"/>
  <c r="CH27" i="3"/>
  <c r="DC21" i="2"/>
  <c r="BX23" i="3"/>
  <c r="BW1" i="5"/>
  <c r="BW19" i="5" s="1"/>
  <c r="BX28" i="5"/>
  <c r="BW14" i="5"/>
  <c r="AA25" i="3" l="1"/>
  <c r="AA29" i="3" s="1"/>
  <c r="AA30" i="3"/>
  <c r="AA3" i="5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AB24" i="3"/>
  <c r="Y38" i="2"/>
  <c r="U38" i="2"/>
  <c r="Q38" i="2"/>
  <c r="M38" i="2"/>
  <c r="I38" i="2"/>
  <c r="E38" i="2"/>
  <c r="Z38" i="2"/>
  <c r="W38" i="2"/>
  <c r="S38" i="2"/>
  <c r="O38" i="2"/>
  <c r="K38" i="2"/>
  <c r="G38" i="2"/>
  <c r="C38" i="2"/>
  <c r="V38" i="2"/>
  <c r="N38" i="2"/>
  <c r="F38" i="2"/>
  <c r="P38" i="2"/>
  <c r="T38" i="2"/>
  <c r="L38" i="2"/>
  <c r="D38" i="2"/>
  <c r="R38" i="2"/>
  <c r="J38" i="2"/>
  <c r="X38" i="2"/>
  <c r="H38" i="2"/>
  <c r="Z13" i="5"/>
  <c r="AA22" i="5"/>
  <c r="AA5" i="5" s="1"/>
  <c r="AA7" i="5" s="1"/>
  <c r="AC28" i="3"/>
  <c r="AB4" i="5"/>
  <c r="DD21" i="2"/>
  <c r="CI27" i="3"/>
  <c r="BY23" i="3"/>
  <c r="BX1" i="5"/>
  <c r="BX19" i="5" s="1"/>
  <c r="AA10" i="5"/>
  <c r="BY28" i="5"/>
  <c r="BX14" i="5"/>
  <c r="CA3" i="5"/>
  <c r="AA26" i="3" l="1"/>
  <c r="AA9" i="5" s="1"/>
  <c r="AB30" i="3"/>
  <c r="AC24" i="3" s="1"/>
  <c r="AA43" i="2"/>
  <c r="AA45" i="2" s="1"/>
  <c r="AA6" i="5"/>
  <c r="AB22" i="5"/>
  <c r="AB5" i="5" s="1"/>
  <c r="AB7" i="5" s="1"/>
  <c r="AC4" i="5"/>
  <c r="AD28" i="3"/>
  <c r="AA26" i="5"/>
  <c r="CJ27" i="3"/>
  <c r="DE21" i="2"/>
  <c r="BZ23" i="3"/>
  <c r="BY1" i="5"/>
  <c r="BY19" i="5" s="1"/>
  <c r="Z32" i="2"/>
  <c r="AA28" i="2"/>
  <c r="AA29" i="2" s="1"/>
  <c r="BZ28" i="5"/>
  <c r="BY14" i="5"/>
  <c r="CB3" i="5"/>
  <c r="AC30" i="3" l="1"/>
  <c r="AD24" i="3" s="1"/>
  <c r="AB25" i="3"/>
  <c r="AB29" i="3" s="1"/>
  <c r="AB43" i="2"/>
  <c r="AB45" i="2" s="1"/>
  <c r="AB26" i="3"/>
  <c r="AB9" i="5" s="1"/>
  <c r="AA11" i="5"/>
  <c r="AA13" i="5" s="1"/>
  <c r="AA46" i="2"/>
  <c r="AA47" i="2" s="1"/>
  <c r="AC22" i="5"/>
  <c r="AC5" i="5" s="1"/>
  <c r="AC7" i="5" s="1"/>
  <c r="AB6" i="5"/>
  <c r="AD4" i="5"/>
  <c r="AE28" i="3"/>
  <c r="DF21" i="2"/>
  <c r="CK27" i="3"/>
  <c r="BZ1" i="5"/>
  <c r="BZ19" i="5" s="1"/>
  <c r="CA23" i="3"/>
  <c r="AA33" i="2"/>
  <c r="BZ14" i="5"/>
  <c r="CA28" i="5"/>
  <c r="CC3" i="5"/>
  <c r="AD30" i="3" l="1"/>
  <c r="AE24" i="3" s="1"/>
  <c r="AC25" i="3"/>
  <c r="AA38" i="2"/>
  <c r="AC29" i="3"/>
  <c r="AC43" i="2"/>
  <c r="AC45" i="2" s="1"/>
  <c r="AA12" i="5"/>
  <c r="AC6" i="5"/>
  <c r="AD22" i="5"/>
  <c r="AD5" i="5" s="1"/>
  <c r="AD7" i="5" s="1"/>
  <c r="AC26" i="3"/>
  <c r="AF28" i="3"/>
  <c r="AE4" i="5"/>
  <c r="DG21" i="2"/>
  <c r="CL27" i="3"/>
  <c r="CA1" i="5"/>
  <c r="CA19" i="5" s="1"/>
  <c r="CB23" i="3"/>
  <c r="AA30" i="2"/>
  <c r="AB10" i="5" s="1"/>
  <c r="CB28" i="5"/>
  <c r="CA14" i="5"/>
  <c r="CD3" i="5"/>
  <c r="AE25" i="3" l="1"/>
  <c r="AD25" i="3"/>
  <c r="AD29" i="3" s="1"/>
  <c r="AE30" i="3"/>
  <c r="AF24" i="3" s="1"/>
  <c r="AD6" i="5"/>
  <c r="AE22" i="5"/>
  <c r="AE5" i="5" s="1"/>
  <c r="AE7" i="5" s="1"/>
  <c r="AC9" i="5"/>
  <c r="AG28" i="3"/>
  <c r="AF4" i="5"/>
  <c r="AF30" i="3"/>
  <c r="AG24" i="3" s="1"/>
  <c r="AB26" i="5"/>
  <c r="DH21" i="2"/>
  <c r="CM27" i="3"/>
  <c r="CB1" i="5"/>
  <c r="CB19" i="5" s="1"/>
  <c r="CC23" i="3"/>
  <c r="AA32" i="2"/>
  <c r="AA34" i="2"/>
  <c r="AB28" i="2" s="1"/>
  <c r="AB29" i="2" s="1"/>
  <c r="CC28" i="5"/>
  <c r="CB14" i="5"/>
  <c r="CE3" i="5"/>
  <c r="AD43" i="2" l="1"/>
  <c r="AD45" i="2" s="1"/>
  <c r="AD26" i="3"/>
  <c r="AF25" i="3"/>
  <c r="AE29" i="3"/>
  <c r="AE43" i="2"/>
  <c r="AE45" i="2" s="1"/>
  <c r="AB11" i="5"/>
  <c r="AB13" i="5" s="1"/>
  <c r="AB46" i="2"/>
  <c r="AB47" i="2" s="1"/>
  <c r="AE6" i="5"/>
  <c r="AG30" i="3"/>
  <c r="AH24" i="3" s="1"/>
  <c r="AD9" i="5"/>
  <c r="AE26" i="3"/>
  <c r="AF22" i="5"/>
  <c r="AF5" i="5" s="1"/>
  <c r="AF7" i="5" s="1"/>
  <c r="AG4" i="5"/>
  <c r="AH28" i="3"/>
  <c r="CN27" i="3"/>
  <c r="DI21" i="2"/>
  <c r="CD23" i="3"/>
  <c r="CC1" i="5"/>
  <c r="CC19" i="5" s="1"/>
  <c r="AB33" i="2"/>
  <c r="CD28" i="5"/>
  <c r="CC14" i="5"/>
  <c r="CF3" i="5"/>
  <c r="AG25" i="3" l="1"/>
  <c r="AB38" i="2"/>
  <c r="AB12" i="5"/>
  <c r="AF29" i="3"/>
  <c r="AF43" i="2"/>
  <c r="AF45" i="2" s="1"/>
  <c r="AF6" i="5"/>
  <c r="AI28" i="3"/>
  <c r="AH4" i="5"/>
  <c r="AE9" i="5"/>
  <c r="AF26" i="3"/>
  <c r="AG22" i="5"/>
  <c r="AG5" i="5" s="1"/>
  <c r="AG7" i="5" s="1"/>
  <c r="AH30" i="3"/>
  <c r="AI24" i="3" s="1"/>
  <c r="DJ21" i="2"/>
  <c r="CO27" i="3"/>
  <c r="CD1" i="5"/>
  <c r="CD19" i="5" s="1"/>
  <c r="CE23" i="3"/>
  <c r="AB30" i="2"/>
  <c r="AC10" i="5" s="1"/>
  <c r="CE28" i="5"/>
  <c r="CD14" i="5"/>
  <c r="CG3" i="5"/>
  <c r="CH3" i="5" s="1"/>
  <c r="CI3" i="5" s="1"/>
  <c r="AH25" i="3" l="1"/>
  <c r="AG29" i="3"/>
  <c r="AG43" i="2"/>
  <c r="AG45" i="2" s="1"/>
  <c r="AG6" i="5"/>
  <c r="AG26" i="3"/>
  <c r="AF9" i="5"/>
  <c r="AI30" i="3"/>
  <c r="AJ24" i="3" s="1"/>
  <c r="AH22" i="5"/>
  <c r="AH5" i="5" s="1"/>
  <c r="AH7" i="5" s="1"/>
  <c r="AI4" i="5"/>
  <c r="AJ28" i="3"/>
  <c r="CJ3" i="5"/>
  <c r="AC26" i="5"/>
  <c r="DK21" i="2"/>
  <c r="CP27" i="3"/>
  <c r="CE1" i="5"/>
  <c r="CE19" i="5" s="1"/>
  <c r="CF23" i="3"/>
  <c r="AB32" i="2"/>
  <c r="AB34" i="2"/>
  <c r="AC28" i="2" s="1"/>
  <c r="AC29" i="2" s="1"/>
  <c r="CF28" i="5"/>
  <c r="CE14" i="5"/>
  <c r="AI25" i="3" l="1"/>
  <c r="AC11" i="5"/>
  <c r="AC13" i="5" s="1"/>
  <c r="AC46" i="2"/>
  <c r="AC47" i="2" s="1"/>
  <c r="AH29" i="3"/>
  <c r="AH43" i="2"/>
  <c r="AH45" i="2" s="1"/>
  <c r="AH6" i="5"/>
  <c r="AK28" i="3"/>
  <c r="AJ4" i="5"/>
  <c r="AI21" i="5"/>
  <c r="AI22" i="5" s="1"/>
  <c r="AI5" i="5" s="1"/>
  <c r="AI7" i="5" s="1"/>
  <c r="AJ30" i="3"/>
  <c r="AK24" i="3" s="1"/>
  <c r="AG9" i="5"/>
  <c r="AH26" i="3"/>
  <c r="CK3" i="5"/>
  <c r="CQ27" i="3"/>
  <c r="DL21" i="2"/>
  <c r="CF1" i="5"/>
  <c r="CF19" i="5" s="1"/>
  <c r="CG23" i="3"/>
  <c r="AC34" i="2"/>
  <c r="AD28" i="2" s="1"/>
  <c r="AD29" i="2" s="1"/>
  <c r="AC33" i="2"/>
  <c r="CF14" i="5"/>
  <c r="CG28" i="5"/>
  <c r="AJ25" i="3" l="1"/>
  <c r="AI29" i="3"/>
  <c r="AI43" i="2"/>
  <c r="AI45" i="2" s="1"/>
  <c r="AC38" i="2"/>
  <c r="AC12" i="5"/>
  <c r="AI6" i="5"/>
  <c r="AH9" i="5"/>
  <c r="AI26" i="3"/>
  <c r="AJ21" i="5"/>
  <c r="AJ22" i="5" s="1"/>
  <c r="AJ5" i="5" s="1"/>
  <c r="AJ7" i="5" s="1"/>
  <c r="AK30" i="3"/>
  <c r="AL24" i="3" s="1"/>
  <c r="AK4" i="5"/>
  <c r="AL28" i="3"/>
  <c r="CL3" i="5"/>
  <c r="DM21" i="2"/>
  <c r="CR27" i="3"/>
  <c r="AD34" i="2"/>
  <c r="AE28" i="2" s="1"/>
  <c r="AE29" i="2" s="1"/>
  <c r="CG1" i="5"/>
  <c r="CG19" i="5" s="1"/>
  <c r="CH23" i="3"/>
  <c r="CG14" i="5"/>
  <c r="CH28" i="5"/>
  <c r="AC30" i="2"/>
  <c r="AD10" i="5" s="1"/>
  <c r="AC32" i="2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AK25" i="3" l="1"/>
  <c r="AJ29" i="3"/>
  <c r="AJ43" i="2"/>
  <c r="AJ45" i="2" s="1"/>
  <c r="CH1" i="5"/>
  <c r="CH19" i="5" s="1"/>
  <c r="CI23" i="3"/>
  <c r="AJ6" i="5"/>
  <c r="AL4" i="5"/>
  <c r="AM28" i="3"/>
  <c r="AK21" i="5"/>
  <c r="AK22" i="5" s="1"/>
  <c r="AK5" i="5" s="1"/>
  <c r="AK7" i="5" s="1"/>
  <c r="AJ26" i="3"/>
  <c r="AI9" i="5"/>
  <c r="AL30" i="3"/>
  <c r="AM24" i="3" s="1"/>
  <c r="CM3" i="5"/>
  <c r="AD26" i="5"/>
  <c r="CH14" i="5"/>
  <c r="CI28" i="5"/>
  <c r="CQ32" i="2"/>
  <c r="DN21" i="2"/>
  <c r="AD30" i="2"/>
  <c r="AE10" i="5" s="1"/>
  <c r="AD33" i="2"/>
  <c r="AE34" i="2"/>
  <c r="AF28" i="2" s="1"/>
  <c r="AF29" i="2" s="1"/>
  <c r="AL25" i="3" l="1"/>
  <c r="AK29" i="3"/>
  <c r="AK43" i="2"/>
  <c r="AK45" i="2" s="1"/>
  <c r="AD11" i="5"/>
  <c r="AD13" i="5" s="1"/>
  <c r="AD46" i="2"/>
  <c r="AD47" i="2" s="1"/>
  <c r="AD38" i="2"/>
  <c r="CI1" i="5"/>
  <c r="CI19" i="5" s="1"/>
  <c r="CJ23" i="3"/>
  <c r="AK6" i="5"/>
  <c r="AM30" i="3"/>
  <c r="AN24" i="3" s="1"/>
  <c r="AM4" i="5"/>
  <c r="AN28" i="3"/>
  <c r="AJ9" i="5"/>
  <c r="AK26" i="3"/>
  <c r="AL21" i="5"/>
  <c r="AL22" i="5" s="1"/>
  <c r="AL5" i="5" s="1"/>
  <c r="AL7" i="5" s="1"/>
  <c r="CR32" i="2"/>
  <c r="CS27" i="3"/>
  <c r="CN3" i="5"/>
  <c r="CI14" i="5"/>
  <c r="CJ28" i="5"/>
  <c r="DP21" i="2"/>
  <c r="DO21" i="2"/>
  <c r="AF34" i="2"/>
  <c r="AG28" i="2" s="1"/>
  <c r="AG29" i="2" s="1"/>
  <c r="AE33" i="2"/>
  <c r="AE38" i="2" s="1"/>
  <c r="AE30" i="2"/>
  <c r="AF10" i="5" s="1"/>
  <c r="AM25" i="3" l="1"/>
  <c r="AE26" i="5"/>
  <c r="AE46" i="2" s="1"/>
  <c r="AE47" i="2" s="1"/>
  <c r="AD12" i="5"/>
  <c r="AL29" i="3"/>
  <c r="AL43" i="2"/>
  <c r="AL45" i="2" s="1"/>
  <c r="CK23" i="3"/>
  <c r="CJ1" i="5"/>
  <c r="CJ19" i="5" s="1"/>
  <c r="AL6" i="5"/>
  <c r="AO28" i="3"/>
  <c r="AN4" i="5"/>
  <c r="AM21" i="5"/>
  <c r="AM22" i="5" s="1"/>
  <c r="AM5" i="5" s="1"/>
  <c r="AM7" i="5" s="1"/>
  <c r="AK9" i="5"/>
  <c r="AL26" i="3"/>
  <c r="AN30" i="3"/>
  <c r="AO24" i="3" s="1"/>
  <c r="CS32" i="2"/>
  <c r="CT27" i="3"/>
  <c r="CO3" i="5"/>
  <c r="CK28" i="5"/>
  <c r="CJ14" i="5"/>
  <c r="AF30" i="2"/>
  <c r="AG10" i="5" s="1"/>
  <c r="AF33" i="2"/>
  <c r="AF38" i="2" s="1"/>
  <c r="AG34" i="2"/>
  <c r="AH28" i="2" s="1"/>
  <c r="AH29" i="2" s="1"/>
  <c r="AN25" i="3" l="1"/>
  <c r="AE11" i="5"/>
  <c r="AE13" i="5" s="1"/>
  <c r="AM29" i="3"/>
  <c r="AM43" i="2"/>
  <c r="AM45" i="2" s="1"/>
  <c r="CL23" i="3"/>
  <c r="CK1" i="5"/>
  <c r="CK19" i="5" s="1"/>
  <c r="AM6" i="5"/>
  <c r="AO30" i="3"/>
  <c r="AP24" i="3" s="1"/>
  <c r="AL9" i="5"/>
  <c r="AM26" i="3"/>
  <c r="AN21" i="5"/>
  <c r="AN22" i="5" s="1"/>
  <c r="AN5" i="5" s="1"/>
  <c r="AN7" i="5" s="1"/>
  <c r="AP28" i="3"/>
  <c r="AO4" i="5"/>
  <c r="CT32" i="2"/>
  <c r="CU27" i="3"/>
  <c r="CP3" i="5"/>
  <c r="CL28" i="5"/>
  <c r="CK14" i="5"/>
  <c r="AG30" i="2"/>
  <c r="AH10" i="5" s="1"/>
  <c r="AG33" i="2"/>
  <c r="AG38" i="2" s="1"/>
  <c r="AH34" i="2"/>
  <c r="AI28" i="2" s="1"/>
  <c r="AI29" i="2" s="1"/>
  <c r="AO25" i="3" l="1"/>
  <c r="AF26" i="5"/>
  <c r="AF11" i="5" s="1"/>
  <c r="AG26" i="5" s="1"/>
  <c r="AG46" i="2" s="1"/>
  <c r="AG47" i="2" s="1"/>
  <c r="AE12" i="5"/>
  <c r="AN29" i="3"/>
  <c r="AN43" i="2"/>
  <c r="AN45" i="2" s="1"/>
  <c r="CM23" i="3"/>
  <c r="CL1" i="5"/>
  <c r="CL19" i="5" s="1"/>
  <c r="AN6" i="5"/>
  <c r="AO21" i="5"/>
  <c r="AO22" i="5" s="1"/>
  <c r="AO5" i="5" s="1"/>
  <c r="AO7" i="5" s="1"/>
  <c r="AM9" i="5"/>
  <c r="AN26" i="3"/>
  <c r="AP4" i="5"/>
  <c r="AQ28" i="3"/>
  <c r="AP30" i="3"/>
  <c r="AQ24" i="3" s="1"/>
  <c r="CU32" i="2"/>
  <c r="CV27" i="3"/>
  <c r="CQ3" i="5"/>
  <c r="CL14" i="5"/>
  <c r="CM28" i="5"/>
  <c r="AH30" i="2"/>
  <c r="AI10" i="5" s="1"/>
  <c r="AH33" i="2"/>
  <c r="AH38" i="2" s="1"/>
  <c r="AI34" i="2"/>
  <c r="AJ28" i="2" s="1"/>
  <c r="AJ29" i="2" s="1"/>
  <c r="AP25" i="3" l="1"/>
  <c r="AF12" i="5"/>
  <c r="AF13" i="5"/>
  <c r="AF46" i="2"/>
  <c r="AF47" i="2" s="1"/>
  <c r="AG11" i="5"/>
  <c r="AG13" i="5" s="1"/>
  <c r="AO29" i="3"/>
  <c r="AO43" i="2"/>
  <c r="AO45" i="2" s="1"/>
  <c r="CN23" i="3"/>
  <c r="CM1" i="5"/>
  <c r="CM19" i="5" s="1"/>
  <c r="AO6" i="5"/>
  <c r="AN9" i="5"/>
  <c r="AO26" i="3"/>
  <c r="AQ30" i="3"/>
  <c r="AR24" i="3" s="1"/>
  <c r="AQ4" i="5"/>
  <c r="AR28" i="3"/>
  <c r="AP21" i="5"/>
  <c r="AP22" i="5" s="1"/>
  <c r="AP5" i="5" s="1"/>
  <c r="AP7" i="5" s="1"/>
  <c r="CV32" i="2"/>
  <c r="CW27" i="3"/>
  <c r="CR3" i="5"/>
  <c r="CM14" i="5"/>
  <c r="CN28" i="5"/>
  <c r="AI30" i="2"/>
  <c r="AJ10" i="5" s="1"/>
  <c r="AI33" i="2"/>
  <c r="AI38" i="2" s="1"/>
  <c r="AJ34" i="2"/>
  <c r="AK28" i="2" s="1"/>
  <c r="AK29" i="2" s="1"/>
  <c r="AQ25" i="3" l="1"/>
  <c r="AH26" i="5"/>
  <c r="AH46" i="2" s="1"/>
  <c r="AH47" i="2" s="1"/>
  <c r="AG12" i="5"/>
  <c r="AP29" i="3"/>
  <c r="AP43" i="2"/>
  <c r="AP45" i="2" s="1"/>
  <c r="CO23" i="3"/>
  <c r="CN1" i="5"/>
  <c r="CN19" i="5" s="1"/>
  <c r="AP6" i="5"/>
  <c r="AR30" i="3"/>
  <c r="AS24" i="3" s="1"/>
  <c r="AR4" i="5"/>
  <c r="AS28" i="3"/>
  <c r="AO9" i="5"/>
  <c r="AP26" i="3"/>
  <c r="AQ21" i="5"/>
  <c r="AQ22" i="5" s="1"/>
  <c r="AQ5" i="5" s="1"/>
  <c r="AQ7" i="5" s="1"/>
  <c r="CW32" i="2"/>
  <c r="CX27" i="3"/>
  <c r="CS3" i="5"/>
  <c r="CO28" i="5"/>
  <c r="CN14" i="5"/>
  <c r="AJ30" i="2"/>
  <c r="AK10" i="5" s="1"/>
  <c r="AJ33" i="2"/>
  <c r="AJ38" i="2" s="1"/>
  <c r="AK34" i="2"/>
  <c r="AL28" i="2" s="1"/>
  <c r="AL29" i="2" s="1"/>
  <c r="AR25" i="3" l="1"/>
  <c r="AH11" i="5"/>
  <c r="AQ29" i="3"/>
  <c r="AQ43" i="2"/>
  <c r="AQ45" i="2" s="1"/>
  <c r="CP23" i="3"/>
  <c r="CO1" i="5"/>
  <c r="CO19" i="5" s="1"/>
  <c r="AQ6" i="5"/>
  <c r="AT28" i="3"/>
  <c r="AS4" i="5"/>
  <c r="AR21" i="5"/>
  <c r="AR22" i="5" s="1"/>
  <c r="AR5" i="5" s="1"/>
  <c r="AR7" i="5" s="1"/>
  <c r="AP9" i="5"/>
  <c r="AQ26" i="3"/>
  <c r="AS30" i="3"/>
  <c r="AT24" i="3" s="1"/>
  <c r="CX32" i="2"/>
  <c r="CY27" i="3"/>
  <c r="CT3" i="5"/>
  <c r="CP28" i="5"/>
  <c r="CO14" i="5"/>
  <c r="AL34" i="2"/>
  <c r="AM28" i="2" s="1"/>
  <c r="AM29" i="2" s="1"/>
  <c r="AK30" i="2"/>
  <c r="AL10" i="5" s="1"/>
  <c r="AK33" i="2"/>
  <c r="AK38" i="2" s="1"/>
  <c r="AS25" i="3" l="1"/>
  <c r="AH13" i="5"/>
  <c r="AH12" i="5"/>
  <c r="AI25" i="5"/>
  <c r="AI26" i="5" s="1"/>
  <c r="AR29" i="3"/>
  <c r="AR43" i="2"/>
  <c r="AR45" i="2" s="1"/>
  <c r="CQ23" i="3"/>
  <c r="CP1" i="5"/>
  <c r="CP19" i="5" s="1"/>
  <c r="AR6" i="5"/>
  <c r="AT30" i="3"/>
  <c r="AU24" i="3" s="1"/>
  <c r="AQ9" i="5"/>
  <c r="AR26" i="3"/>
  <c r="AS21" i="5"/>
  <c r="AS22" i="5" s="1"/>
  <c r="AS5" i="5" s="1"/>
  <c r="AS7" i="5" s="1"/>
  <c r="AT4" i="5"/>
  <c r="AU28" i="3"/>
  <c r="CY32" i="2"/>
  <c r="CZ27" i="3"/>
  <c r="CU3" i="5"/>
  <c r="CP14" i="5"/>
  <c r="CQ28" i="5"/>
  <c r="AM34" i="2"/>
  <c r="AN28" i="2" s="1"/>
  <c r="AN29" i="2" s="1"/>
  <c r="AL30" i="2"/>
  <c r="AM10" i="5" s="1"/>
  <c r="AL33" i="2"/>
  <c r="AL38" i="2" s="1"/>
  <c r="AT25" i="3" l="1"/>
  <c r="AI46" i="2"/>
  <c r="AI47" i="2" s="1"/>
  <c r="AI11" i="5"/>
  <c r="AS29" i="3"/>
  <c r="AS43" i="2"/>
  <c r="AS45" i="2" s="1"/>
  <c r="CR23" i="3"/>
  <c r="CQ1" i="5"/>
  <c r="CQ19" i="5" s="1"/>
  <c r="AS26" i="3"/>
  <c r="AR9" i="5"/>
  <c r="AT21" i="5"/>
  <c r="AT22" i="5" s="1"/>
  <c r="AT5" i="5" s="1"/>
  <c r="AT7" i="5" s="1"/>
  <c r="AS6" i="5"/>
  <c r="AV28" i="3"/>
  <c r="AU4" i="5"/>
  <c r="AU30" i="3"/>
  <c r="AV24" i="3" s="1"/>
  <c r="CZ32" i="2"/>
  <c r="DA27" i="3"/>
  <c r="CV3" i="5"/>
  <c r="CR28" i="5"/>
  <c r="CQ14" i="5"/>
  <c r="AN34" i="2"/>
  <c r="AO28" i="2" s="1"/>
  <c r="AO29" i="2" s="1"/>
  <c r="AM33" i="2"/>
  <c r="AM38" i="2" s="1"/>
  <c r="AM30" i="2"/>
  <c r="AN10" i="5" s="1"/>
  <c r="AU25" i="3" l="1"/>
  <c r="AI13" i="5"/>
  <c r="AI12" i="5"/>
  <c r="AJ25" i="5"/>
  <c r="AJ26" i="5" s="1"/>
  <c r="AT29" i="3"/>
  <c r="AT43" i="2"/>
  <c r="AT45" i="2" s="1"/>
  <c r="CS23" i="3"/>
  <c r="CR1" i="5"/>
  <c r="CR19" i="5" s="1"/>
  <c r="AW28" i="3"/>
  <c r="AV4" i="5"/>
  <c r="AU21" i="5"/>
  <c r="AU22" i="5" s="1"/>
  <c r="AU5" i="5" s="1"/>
  <c r="AU7" i="5" s="1"/>
  <c r="AT6" i="5"/>
  <c r="AV30" i="3"/>
  <c r="AW24" i="3" s="1"/>
  <c r="AS9" i="5"/>
  <c r="AT26" i="3"/>
  <c r="DA32" i="2"/>
  <c r="DB27" i="3"/>
  <c r="CW3" i="5"/>
  <c r="CS28" i="5"/>
  <c r="CR14" i="5"/>
  <c r="AO34" i="2"/>
  <c r="AP28" i="2" s="1"/>
  <c r="AP29" i="2" s="1"/>
  <c r="AN30" i="2"/>
  <c r="AO10" i="5" s="1"/>
  <c r="AN33" i="2"/>
  <c r="AN38" i="2" s="1"/>
  <c r="AV25" i="3" l="1"/>
  <c r="AJ11" i="5"/>
  <c r="AJ46" i="2"/>
  <c r="AJ47" i="2" s="1"/>
  <c r="AU29" i="3"/>
  <c r="AU43" i="2"/>
  <c r="AU45" i="2" s="1"/>
  <c r="CT23" i="3"/>
  <c r="CS1" i="5"/>
  <c r="CS19" i="5" s="1"/>
  <c r="AU6" i="5"/>
  <c r="AW30" i="3"/>
  <c r="AX24" i="3" s="1"/>
  <c r="AV21" i="5"/>
  <c r="AV22" i="5" s="1"/>
  <c r="AV5" i="5" s="1"/>
  <c r="AV7" i="5" s="1"/>
  <c r="AU26" i="3"/>
  <c r="AT9" i="5"/>
  <c r="AX28" i="3"/>
  <c r="AW4" i="5"/>
  <c r="DB32" i="2"/>
  <c r="DC27" i="3"/>
  <c r="CX3" i="5"/>
  <c r="CT28" i="5"/>
  <c r="CS14" i="5"/>
  <c r="AP34" i="2"/>
  <c r="AQ28" i="2" s="1"/>
  <c r="AQ29" i="2" s="1"/>
  <c r="AO30" i="2"/>
  <c r="AP10" i="5" s="1"/>
  <c r="AO33" i="2"/>
  <c r="AO38" i="2" s="1"/>
  <c r="AW25" i="3" l="1"/>
  <c r="AJ12" i="5"/>
  <c r="AK25" i="5"/>
  <c r="AK26" i="5" s="1"/>
  <c r="AJ13" i="5"/>
  <c r="AV29" i="3"/>
  <c r="AV43" i="2"/>
  <c r="AV45" i="2" s="1"/>
  <c r="CU23" i="3"/>
  <c r="CT1" i="5"/>
  <c r="CT19" i="5" s="1"/>
  <c r="AV6" i="5"/>
  <c r="AU9" i="5"/>
  <c r="AV26" i="3"/>
  <c r="AX30" i="3"/>
  <c r="AY24" i="3" s="1"/>
  <c r="AW21" i="5"/>
  <c r="AW22" i="5" s="1"/>
  <c r="AW5" i="5" s="1"/>
  <c r="AW7" i="5" s="1"/>
  <c r="AY28" i="3"/>
  <c r="AX4" i="5"/>
  <c r="DC32" i="2"/>
  <c r="DD27" i="3"/>
  <c r="CY3" i="5"/>
  <c r="CU28" i="5"/>
  <c r="CT14" i="5"/>
  <c r="AQ34" i="2"/>
  <c r="AR28" i="2" s="1"/>
  <c r="AR29" i="2" s="1"/>
  <c r="AP30" i="2"/>
  <c r="AQ10" i="5" s="1"/>
  <c r="AP33" i="2"/>
  <c r="AP38" i="2" s="1"/>
  <c r="AX25" i="3" l="1"/>
  <c r="AK46" i="2"/>
  <c r="AK47" i="2" s="1"/>
  <c r="AK11" i="5"/>
  <c r="AW29" i="3"/>
  <c r="AW43" i="2"/>
  <c r="AW45" i="2" s="1"/>
  <c r="CV23" i="3"/>
  <c r="CU1" i="5"/>
  <c r="CU19" i="5" s="1"/>
  <c r="AX21" i="5"/>
  <c r="AX22" i="5" s="1"/>
  <c r="AX5" i="5" s="1"/>
  <c r="AX7" i="5" s="1"/>
  <c r="AZ28" i="3"/>
  <c r="AY4" i="5"/>
  <c r="AY30" i="3"/>
  <c r="AZ24" i="3" s="1"/>
  <c r="AW6" i="5"/>
  <c r="AV9" i="5"/>
  <c r="AW26" i="3"/>
  <c r="DD32" i="2"/>
  <c r="DE27" i="3"/>
  <c r="CZ3" i="5"/>
  <c r="CU14" i="5"/>
  <c r="CV28" i="5"/>
  <c r="AR34" i="2"/>
  <c r="AS28" i="2" s="1"/>
  <c r="AS29" i="2" s="1"/>
  <c r="AQ33" i="2"/>
  <c r="AQ38" i="2" s="1"/>
  <c r="AQ30" i="2"/>
  <c r="AR10" i="5" s="1"/>
  <c r="AY25" i="3" l="1"/>
  <c r="AK12" i="5"/>
  <c r="AL25" i="5"/>
  <c r="AL26" i="5" s="1"/>
  <c r="AK13" i="5"/>
  <c r="AX29" i="3"/>
  <c r="AX43" i="2"/>
  <c r="AX45" i="2" s="1"/>
  <c r="CW23" i="3"/>
  <c r="CV1" i="5"/>
  <c r="CV19" i="5" s="1"/>
  <c r="AX26" i="3"/>
  <c r="AW9" i="5"/>
  <c r="AZ30" i="3"/>
  <c r="BA24" i="3" s="1"/>
  <c r="AY21" i="5"/>
  <c r="AY22" i="5" s="1"/>
  <c r="AY5" i="5" s="1"/>
  <c r="BA28" i="3"/>
  <c r="AZ4" i="5"/>
  <c r="AX6" i="5"/>
  <c r="DE32" i="2"/>
  <c r="DF27" i="3"/>
  <c r="DA3" i="5"/>
  <c r="CV14" i="5"/>
  <c r="CW28" i="5"/>
  <c r="AS34" i="2"/>
  <c r="AT28" i="2" s="1"/>
  <c r="AT29" i="2" s="1"/>
  <c r="AR33" i="2"/>
  <c r="AR38" i="2" s="1"/>
  <c r="AR30" i="2"/>
  <c r="AS10" i="5" s="1"/>
  <c r="AZ25" i="3" l="1"/>
  <c r="AL11" i="5"/>
  <c r="AL46" i="2"/>
  <c r="AL47" i="2" s="1"/>
  <c r="AY29" i="3"/>
  <c r="AY43" i="2"/>
  <c r="AY45" i="2" s="1"/>
  <c r="CX23" i="3"/>
  <c r="CW1" i="5"/>
  <c r="CW19" i="5" s="1"/>
  <c r="AY6" i="5"/>
  <c r="AY7" i="5"/>
  <c r="AX9" i="5"/>
  <c r="AY26" i="3"/>
  <c r="AZ21" i="5"/>
  <c r="AZ22" i="5" s="1"/>
  <c r="AZ5" i="5" s="1"/>
  <c r="AZ7" i="5" s="1"/>
  <c r="BA30" i="3"/>
  <c r="BB24" i="3" s="1"/>
  <c r="BB28" i="3"/>
  <c r="BA4" i="5"/>
  <c r="DF32" i="2"/>
  <c r="DG27" i="3"/>
  <c r="DB3" i="5"/>
  <c r="CW14" i="5"/>
  <c r="CX28" i="5"/>
  <c r="AT34" i="2"/>
  <c r="AU28" i="2" s="1"/>
  <c r="AU29" i="2" s="1"/>
  <c r="AS30" i="2"/>
  <c r="AT10" i="5" s="1"/>
  <c r="AS33" i="2"/>
  <c r="AS38" i="2" s="1"/>
  <c r="BA25" i="3" l="1"/>
  <c r="AM25" i="5"/>
  <c r="AM26" i="5" s="1"/>
  <c r="AL12" i="5"/>
  <c r="AL13" i="5"/>
  <c r="AZ29" i="3"/>
  <c r="AZ43" i="2"/>
  <c r="AZ45" i="2" s="1"/>
  <c r="CY23" i="3"/>
  <c r="CX1" i="5"/>
  <c r="CX19" i="5" s="1"/>
  <c r="BB4" i="5"/>
  <c r="BC28" i="3"/>
  <c r="AY9" i="5"/>
  <c r="AZ26" i="3"/>
  <c r="BB30" i="3"/>
  <c r="BC24" i="3" s="1"/>
  <c r="BA21" i="5"/>
  <c r="BA22" i="5" s="1"/>
  <c r="BA5" i="5" s="1"/>
  <c r="BA7" i="5" s="1"/>
  <c r="AZ6" i="5"/>
  <c r="DG32" i="2"/>
  <c r="DH27" i="3"/>
  <c r="DC3" i="5"/>
  <c r="CY28" i="5"/>
  <c r="CX14" i="5"/>
  <c r="AU34" i="2"/>
  <c r="AV28" i="2" s="1"/>
  <c r="AV29" i="2" s="1"/>
  <c r="AT33" i="2"/>
  <c r="AT38" i="2" s="1"/>
  <c r="AT30" i="2"/>
  <c r="AU10" i="5" s="1"/>
  <c r="BB25" i="3" l="1"/>
  <c r="AM11" i="5"/>
  <c r="AM46" i="2"/>
  <c r="AM47" i="2" s="1"/>
  <c r="BA29" i="3"/>
  <c r="BA43" i="2"/>
  <c r="BA45" i="2" s="1"/>
  <c r="CZ23" i="3"/>
  <c r="CY1" i="5"/>
  <c r="CY19" i="5" s="1"/>
  <c r="BA6" i="5"/>
  <c r="BC30" i="3"/>
  <c r="BD24" i="3" s="1"/>
  <c r="BB21" i="5"/>
  <c r="BB22" i="5" s="1"/>
  <c r="BB5" i="5" s="1"/>
  <c r="BB7" i="5" s="1"/>
  <c r="BA26" i="3"/>
  <c r="AZ9" i="5"/>
  <c r="BD28" i="3"/>
  <c r="BC4" i="5"/>
  <c r="DH32" i="2"/>
  <c r="DI27" i="3"/>
  <c r="DD3" i="5"/>
  <c r="CZ28" i="5"/>
  <c r="CY14" i="5"/>
  <c r="AV34" i="2"/>
  <c r="AW28" i="2" s="1"/>
  <c r="AW29" i="2" s="1"/>
  <c r="AU33" i="2"/>
  <c r="AU38" i="2" s="1"/>
  <c r="AU30" i="2"/>
  <c r="AV10" i="5" s="1"/>
  <c r="BC25" i="3" l="1"/>
  <c r="AM13" i="5"/>
  <c r="AM12" i="5"/>
  <c r="AN25" i="5"/>
  <c r="AN26" i="5" s="1"/>
  <c r="BB29" i="3"/>
  <c r="BB43" i="2"/>
  <c r="BB45" i="2" s="1"/>
  <c r="DA23" i="3"/>
  <c r="CZ1" i="5"/>
  <c r="CZ19" i="5" s="1"/>
  <c r="BB6" i="5"/>
  <c r="BC21" i="5"/>
  <c r="BC22" i="5" s="1"/>
  <c r="BC5" i="5" s="1"/>
  <c r="BC7" i="5" s="1"/>
  <c r="BB26" i="3"/>
  <c r="BA9" i="5"/>
  <c r="BD30" i="3"/>
  <c r="BE24" i="3" s="1"/>
  <c r="BD4" i="5"/>
  <c r="BE28" i="3"/>
  <c r="DI32" i="2"/>
  <c r="DJ27" i="3"/>
  <c r="DE3" i="5"/>
  <c r="CZ14" i="5"/>
  <c r="DA28" i="5"/>
  <c r="AW34" i="2"/>
  <c r="AX28" i="2" s="1"/>
  <c r="AX29" i="2" s="1"/>
  <c r="AV30" i="2"/>
  <c r="AW10" i="5" s="1"/>
  <c r="AV33" i="2"/>
  <c r="AV38" i="2" s="1"/>
  <c r="BD25" i="3" l="1"/>
  <c r="AN11" i="5"/>
  <c r="AN46" i="2"/>
  <c r="AN47" i="2" s="1"/>
  <c r="BC29" i="3"/>
  <c r="BC43" i="2"/>
  <c r="BC45" i="2" s="1"/>
  <c r="DB23" i="3"/>
  <c r="DA1" i="5"/>
  <c r="DA19" i="5" s="1"/>
  <c r="BE30" i="3"/>
  <c r="BF24" i="3" s="1"/>
  <c r="BE4" i="5"/>
  <c r="BF28" i="3"/>
  <c r="BD21" i="5"/>
  <c r="BD22" i="5" s="1"/>
  <c r="BD5" i="5" s="1"/>
  <c r="BD7" i="5" s="1"/>
  <c r="BB9" i="5"/>
  <c r="BC26" i="3"/>
  <c r="BC6" i="5"/>
  <c r="DJ32" i="2"/>
  <c r="DK27" i="3"/>
  <c r="DF3" i="5"/>
  <c r="DA14" i="5"/>
  <c r="DB28" i="5"/>
  <c r="AX34" i="2"/>
  <c r="AY28" i="2" s="1"/>
  <c r="AY29" i="2" s="1"/>
  <c r="AW33" i="2"/>
  <c r="AW38" i="2" s="1"/>
  <c r="AW30" i="2"/>
  <c r="AX10" i="5" s="1"/>
  <c r="BE25" i="3" l="1"/>
  <c r="AN12" i="5"/>
  <c r="AO25" i="5"/>
  <c r="AO26" i="5" s="1"/>
  <c r="AN13" i="5"/>
  <c r="BD29" i="3"/>
  <c r="BD43" i="2"/>
  <c r="BD45" i="2" s="1"/>
  <c r="DC23" i="3"/>
  <c r="DB1" i="5"/>
  <c r="DB19" i="5" s="1"/>
  <c r="BF30" i="3"/>
  <c r="BG24" i="3" s="1"/>
  <c r="BD26" i="3"/>
  <c r="BC9" i="5"/>
  <c r="BG28" i="3"/>
  <c r="BF4" i="5"/>
  <c r="BE21" i="5"/>
  <c r="BE22" i="5" s="1"/>
  <c r="BE5" i="5" s="1"/>
  <c r="BE7" i="5" s="1"/>
  <c r="BD6" i="5"/>
  <c r="DK32" i="2"/>
  <c r="DL27" i="3"/>
  <c r="DG3" i="5"/>
  <c r="DB14" i="5"/>
  <c r="DC28" i="5"/>
  <c r="AY34" i="2"/>
  <c r="AZ28" i="2" s="1"/>
  <c r="AZ29" i="2" s="1"/>
  <c r="AX33" i="2"/>
  <c r="AX38" i="2" s="1"/>
  <c r="AX30" i="2"/>
  <c r="AY10" i="5" s="1"/>
  <c r="BF25" i="3" l="1"/>
  <c r="AO46" i="2"/>
  <c r="AO47" i="2" s="1"/>
  <c r="AO11" i="5"/>
  <c r="BE29" i="3"/>
  <c r="BE43" i="2"/>
  <c r="BE45" i="2" s="1"/>
  <c r="BE6" i="5"/>
  <c r="DD23" i="3"/>
  <c r="DC1" i="5"/>
  <c r="DC19" i="5" s="1"/>
  <c r="BG4" i="5"/>
  <c r="BH28" i="3"/>
  <c r="BG30" i="3"/>
  <c r="BH24" i="3" s="1"/>
  <c r="BD9" i="5"/>
  <c r="BE26" i="3"/>
  <c r="BF21" i="5"/>
  <c r="BF22" i="5" s="1"/>
  <c r="BF5" i="5" s="1"/>
  <c r="BF7" i="5" s="1"/>
  <c r="DL32" i="2"/>
  <c r="DM27" i="3"/>
  <c r="DH3" i="5"/>
  <c r="DC14" i="5"/>
  <c r="DD28" i="5"/>
  <c r="AY30" i="2"/>
  <c r="AZ10" i="5" s="1"/>
  <c r="AY33" i="2"/>
  <c r="AY38" i="2" s="1"/>
  <c r="AZ34" i="2"/>
  <c r="BA28" i="2" s="1"/>
  <c r="BA29" i="2" s="1"/>
  <c r="BG25" i="3" l="1"/>
  <c r="AO12" i="5"/>
  <c r="AO13" i="5"/>
  <c r="AP25" i="5"/>
  <c r="AP26" i="5" s="1"/>
  <c r="BF29" i="3"/>
  <c r="BF43" i="2"/>
  <c r="BF45" i="2" s="1"/>
  <c r="DE23" i="3"/>
  <c r="DD1" i="5"/>
  <c r="DD19" i="5" s="1"/>
  <c r="BF6" i="5"/>
  <c r="BG21" i="5"/>
  <c r="BG22" i="5" s="1"/>
  <c r="BG5" i="5" s="1"/>
  <c r="BG7" i="5" s="1"/>
  <c r="BH30" i="3"/>
  <c r="BI24" i="3" s="1"/>
  <c r="BE9" i="5"/>
  <c r="BF26" i="3"/>
  <c r="BH4" i="5"/>
  <c r="BI28" i="3"/>
  <c r="DM32" i="2"/>
  <c r="DN27" i="3"/>
  <c r="DI3" i="5"/>
  <c r="DD14" i="5"/>
  <c r="DE28" i="5"/>
  <c r="BA34" i="2"/>
  <c r="BB28" i="2" s="1"/>
  <c r="BB29" i="2" s="1"/>
  <c r="AZ30" i="2"/>
  <c r="BA10" i="5" s="1"/>
  <c r="AZ33" i="2"/>
  <c r="AZ38" i="2" s="1"/>
  <c r="BH25" i="3" l="1"/>
  <c r="AP46" i="2"/>
  <c r="AP47" i="2" s="1"/>
  <c r="AP11" i="5"/>
  <c r="BG29" i="3"/>
  <c r="BG43" i="2"/>
  <c r="BG45" i="2" s="1"/>
  <c r="DF23" i="3"/>
  <c r="DE1" i="5"/>
  <c r="DE19" i="5" s="1"/>
  <c r="BI4" i="5"/>
  <c r="BJ28" i="3"/>
  <c r="BH21" i="5"/>
  <c r="BH22" i="5" s="1"/>
  <c r="BH5" i="5" s="1"/>
  <c r="BH7" i="5" s="1"/>
  <c r="BI30" i="3"/>
  <c r="BJ24" i="3" s="1"/>
  <c r="BF9" i="5"/>
  <c r="BG26" i="3"/>
  <c r="BG6" i="5"/>
  <c r="DN32" i="2"/>
  <c r="DO27" i="3"/>
  <c r="DJ3" i="5"/>
  <c r="DF28" i="5"/>
  <c r="DE14" i="5"/>
  <c r="BB34" i="2"/>
  <c r="BC28" i="2" s="1"/>
  <c r="BC29" i="2" s="1"/>
  <c r="BA30" i="2"/>
  <c r="BB10" i="5" s="1"/>
  <c r="BA33" i="2"/>
  <c r="BA38" i="2" s="1"/>
  <c r="BI25" i="3" l="1"/>
  <c r="AQ25" i="5"/>
  <c r="AQ26" i="5" s="1"/>
  <c r="AP13" i="5"/>
  <c r="AP12" i="5"/>
  <c r="BH29" i="3"/>
  <c r="BH43" i="2"/>
  <c r="BH45" i="2" s="1"/>
  <c r="DG23" i="3"/>
  <c r="DF1" i="5"/>
  <c r="DF19" i="5" s="1"/>
  <c r="BH6" i="5"/>
  <c r="BJ30" i="3"/>
  <c r="BK24" i="3" s="1"/>
  <c r="BI21" i="5"/>
  <c r="BI22" i="5" s="1"/>
  <c r="BI5" i="5" s="1"/>
  <c r="BI7" i="5" s="1"/>
  <c r="BG9" i="5"/>
  <c r="BH26" i="3"/>
  <c r="BK28" i="3"/>
  <c r="BJ4" i="5"/>
  <c r="DO32" i="2"/>
  <c r="DP27" i="3"/>
  <c r="DK3" i="5"/>
  <c r="DG28" i="5"/>
  <c r="DF14" i="5"/>
  <c r="DR27" i="3"/>
  <c r="BC34" i="2"/>
  <c r="BD28" i="2" s="1"/>
  <c r="BD29" i="2" s="1"/>
  <c r="BB30" i="2"/>
  <c r="BC10" i="5" s="1"/>
  <c r="BB33" i="2"/>
  <c r="BB38" i="2" s="1"/>
  <c r="BJ25" i="3" l="1"/>
  <c r="AQ11" i="5"/>
  <c r="AQ46" i="2"/>
  <c r="AQ47" i="2" s="1"/>
  <c r="BI29" i="3"/>
  <c r="BI43" i="2"/>
  <c r="BI45" i="2" s="1"/>
  <c r="DH23" i="3"/>
  <c r="DG1" i="5"/>
  <c r="DG19" i="5" s="1"/>
  <c r="BI6" i="5"/>
  <c r="BK4" i="5"/>
  <c r="BL28" i="3"/>
  <c r="BI26" i="3"/>
  <c r="BH9" i="5"/>
  <c r="BJ21" i="5"/>
  <c r="BJ22" i="5" s="1"/>
  <c r="BJ5" i="5" s="1"/>
  <c r="BJ7" i="5" s="1"/>
  <c r="BK30" i="3"/>
  <c r="BL24" i="3" s="1"/>
  <c r="DP32" i="2"/>
  <c r="DQ32" i="2" s="1"/>
  <c r="DQ27" i="3"/>
  <c r="DL3" i="5"/>
  <c r="DG14" i="5"/>
  <c r="DH28" i="5"/>
  <c r="BD34" i="2"/>
  <c r="BE28" i="2" s="1"/>
  <c r="BE29" i="2" s="1"/>
  <c r="BC33" i="2"/>
  <c r="BC38" i="2" s="1"/>
  <c r="BC30" i="2"/>
  <c r="BD10" i="5" s="1"/>
  <c r="BK25" i="3" l="1"/>
  <c r="AR25" i="5"/>
  <c r="AR26" i="5" s="1"/>
  <c r="AQ13" i="5"/>
  <c r="AQ12" i="5"/>
  <c r="BJ29" i="3"/>
  <c r="BJ43" i="2"/>
  <c r="BJ45" i="2" s="1"/>
  <c r="DI23" i="3"/>
  <c r="DH1" i="5"/>
  <c r="DH19" i="5" s="1"/>
  <c r="BJ6" i="5"/>
  <c r="BL30" i="3"/>
  <c r="BM24" i="3" s="1"/>
  <c r="BI9" i="5"/>
  <c r="BJ26" i="3"/>
  <c r="BM28" i="3"/>
  <c r="BL4" i="5"/>
  <c r="BK21" i="5"/>
  <c r="BK22" i="5" s="1"/>
  <c r="BK5" i="5" s="1"/>
  <c r="BK7" i="5" s="1"/>
  <c r="DM3" i="5"/>
  <c r="DH14" i="5"/>
  <c r="DI28" i="5"/>
  <c r="BE34" i="2"/>
  <c r="BF28" i="2" s="1"/>
  <c r="BF29" i="2" s="1"/>
  <c r="BD30" i="2"/>
  <c r="BE10" i="5" s="1"/>
  <c r="BD33" i="2"/>
  <c r="BD38" i="2" s="1"/>
  <c r="BL25" i="3" l="1"/>
  <c r="AR46" i="2"/>
  <c r="AR47" i="2" s="1"/>
  <c r="AR11" i="5"/>
  <c r="BK29" i="3"/>
  <c r="BK43" i="2"/>
  <c r="BK45" i="2" s="1"/>
  <c r="DJ23" i="3"/>
  <c r="DI1" i="5"/>
  <c r="DI19" i="5" s="1"/>
  <c r="BJ9" i="5"/>
  <c r="BK26" i="3"/>
  <c r="BL21" i="5"/>
  <c r="BL22" i="5" s="1"/>
  <c r="BL5" i="5" s="1"/>
  <c r="BL7" i="5" s="1"/>
  <c r="BK6" i="5"/>
  <c r="BN28" i="3"/>
  <c r="BM4" i="5"/>
  <c r="BM30" i="3"/>
  <c r="BN24" i="3" s="1"/>
  <c r="DN3" i="5"/>
  <c r="DJ28" i="5"/>
  <c r="DI14" i="5"/>
  <c r="BF34" i="2"/>
  <c r="BG28" i="2" s="1"/>
  <c r="BG29" i="2" s="1"/>
  <c r="BE33" i="2"/>
  <c r="BE38" i="2" s="1"/>
  <c r="BE30" i="2"/>
  <c r="BF10" i="5" s="1"/>
  <c r="BM25" i="3" l="1"/>
  <c r="AS25" i="5"/>
  <c r="AS26" i="5" s="1"/>
  <c r="AR12" i="5"/>
  <c r="AR13" i="5"/>
  <c r="BL29" i="3"/>
  <c r="BL43" i="2"/>
  <c r="BL45" i="2" s="1"/>
  <c r="DK23" i="3"/>
  <c r="DJ1" i="5"/>
  <c r="DJ19" i="5" s="1"/>
  <c r="BL6" i="5"/>
  <c r="BN30" i="3"/>
  <c r="BO24" i="3" s="1"/>
  <c r="BM21" i="5"/>
  <c r="BM22" i="5" s="1"/>
  <c r="BM5" i="5" s="1"/>
  <c r="BM7" i="5" s="1"/>
  <c r="BN4" i="5"/>
  <c r="BO28" i="3"/>
  <c r="BK9" i="5"/>
  <c r="BL26" i="3"/>
  <c r="DO3" i="5"/>
  <c r="DK28" i="5"/>
  <c r="DJ14" i="5"/>
  <c r="BG34" i="2"/>
  <c r="BH28" i="2" s="1"/>
  <c r="BH29" i="2" s="1"/>
  <c r="BF30" i="2"/>
  <c r="BG10" i="5" s="1"/>
  <c r="BF33" i="2"/>
  <c r="BF38" i="2" s="1"/>
  <c r="BN25" i="3" l="1"/>
  <c r="AS46" i="2"/>
  <c r="AS47" i="2" s="1"/>
  <c r="AS11" i="5"/>
  <c r="BM29" i="3"/>
  <c r="BM43" i="2"/>
  <c r="BM45" i="2" s="1"/>
  <c r="DL23" i="3"/>
  <c r="DK1" i="5"/>
  <c r="DK19" i="5" s="1"/>
  <c r="BM6" i="5"/>
  <c r="BL9" i="5"/>
  <c r="BM26" i="3"/>
  <c r="BO4" i="5"/>
  <c r="BP28" i="3"/>
  <c r="BN21" i="5"/>
  <c r="BN22" i="5" s="1"/>
  <c r="BN5" i="5" s="1"/>
  <c r="BN7" i="5" s="1"/>
  <c r="BO30" i="3"/>
  <c r="BP24" i="3" s="1"/>
  <c r="DP3" i="5"/>
  <c r="DK14" i="5"/>
  <c r="DL28" i="5"/>
  <c r="BG30" i="2"/>
  <c r="BH10" i="5" s="1"/>
  <c r="BG33" i="2"/>
  <c r="BG38" i="2" s="1"/>
  <c r="BH34" i="2"/>
  <c r="BI28" i="2" s="1"/>
  <c r="BI29" i="2" s="1"/>
  <c r="BO25" i="3" l="1"/>
  <c r="AT25" i="5"/>
  <c r="AT26" i="5" s="1"/>
  <c r="AS12" i="5"/>
  <c r="AS13" i="5"/>
  <c r="BN29" i="3"/>
  <c r="BN43" i="2"/>
  <c r="BN45" i="2" s="1"/>
  <c r="DM23" i="3"/>
  <c r="DL1" i="5"/>
  <c r="DL19" i="5" s="1"/>
  <c r="BN6" i="5"/>
  <c r="BP4" i="5"/>
  <c r="BQ28" i="3"/>
  <c r="BP30" i="3"/>
  <c r="BQ24" i="3" s="1"/>
  <c r="BO21" i="5"/>
  <c r="BO22" i="5" s="1"/>
  <c r="BO5" i="5" s="1"/>
  <c r="BO7" i="5" s="1"/>
  <c r="BM9" i="5"/>
  <c r="BN26" i="3"/>
  <c r="DQ3" i="5"/>
  <c r="DL14" i="5"/>
  <c r="DM28" i="5"/>
  <c r="BH30" i="2"/>
  <c r="BI10" i="5" s="1"/>
  <c r="BH33" i="2"/>
  <c r="BH38" i="2" s="1"/>
  <c r="BI34" i="2"/>
  <c r="BJ28" i="2" s="1"/>
  <c r="BJ29" i="2" s="1"/>
  <c r="BP25" i="3" l="1"/>
  <c r="AT11" i="5"/>
  <c r="AT46" i="2"/>
  <c r="AT47" i="2" s="1"/>
  <c r="BO29" i="3"/>
  <c r="BO43" i="2"/>
  <c r="BO45" i="2" s="1"/>
  <c r="DN23" i="3"/>
  <c r="DM1" i="5"/>
  <c r="DM19" i="5" s="1"/>
  <c r="BO6" i="5"/>
  <c r="BN9" i="5"/>
  <c r="BO26" i="3"/>
  <c r="BQ30" i="3"/>
  <c r="BR24" i="3" s="1"/>
  <c r="BQ4" i="5"/>
  <c r="BR28" i="3"/>
  <c r="BP21" i="5"/>
  <c r="BP22" i="5" s="1"/>
  <c r="BP5" i="5" s="1"/>
  <c r="BP7" i="5" s="1"/>
  <c r="DR3" i="5"/>
  <c r="DN28" i="5"/>
  <c r="DM14" i="5"/>
  <c r="BJ34" i="2"/>
  <c r="BK28" i="2" s="1"/>
  <c r="BK29" i="2" s="1"/>
  <c r="BI30" i="2"/>
  <c r="BJ10" i="5" s="1"/>
  <c r="BI33" i="2"/>
  <c r="BI38" i="2" s="1"/>
  <c r="BQ25" i="3" l="1"/>
  <c r="AU25" i="5"/>
  <c r="AU26" i="5" s="1"/>
  <c r="AT13" i="5"/>
  <c r="AT12" i="5"/>
  <c r="BP29" i="3"/>
  <c r="BP43" i="2"/>
  <c r="BP45" i="2" s="1"/>
  <c r="DO23" i="3"/>
  <c r="DN1" i="5"/>
  <c r="DN19" i="5" s="1"/>
  <c r="BP6" i="5"/>
  <c r="BQ21" i="5"/>
  <c r="BQ22" i="5" s="1"/>
  <c r="BQ5" i="5" s="1"/>
  <c r="BQ7" i="5" s="1"/>
  <c r="BR30" i="3"/>
  <c r="BS24" i="3" s="1"/>
  <c r="BS28" i="3"/>
  <c r="BR4" i="5"/>
  <c r="BO9" i="5"/>
  <c r="BP26" i="3"/>
  <c r="DO28" i="5"/>
  <c r="DN14" i="5"/>
  <c r="BK34" i="2"/>
  <c r="BL28" i="2" s="1"/>
  <c r="BL29" i="2" s="1"/>
  <c r="BJ30" i="2"/>
  <c r="BK10" i="5" s="1"/>
  <c r="BJ33" i="2"/>
  <c r="BJ38" i="2" s="1"/>
  <c r="BR25" i="3" l="1"/>
  <c r="AU46" i="2"/>
  <c r="AU47" i="2" s="1"/>
  <c r="AU11" i="5"/>
  <c r="BQ29" i="3"/>
  <c r="BQ43" i="2"/>
  <c r="BQ45" i="2" s="1"/>
  <c r="DP23" i="3"/>
  <c r="DO1" i="5"/>
  <c r="DO19" i="5" s="1"/>
  <c r="BQ26" i="3"/>
  <c r="BP9" i="5"/>
  <c r="BS30" i="3"/>
  <c r="BT24" i="3" s="1"/>
  <c r="BR21" i="5"/>
  <c r="BR22" i="5" s="1"/>
  <c r="BR5" i="5" s="1"/>
  <c r="BR7" i="5" s="1"/>
  <c r="BQ6" i="5"/>
  <c r="BT28" i="3"/>
  <c r="BS4" i="5"/>
  <c r="DP28" i="5"/>
  <c r="DO14" i="5"/>
  <c r="BL34" i="2"/>
  <c r="BM28" i="2" s="1"/>
  <c r="BM29" i="2" s="1"/>
  <c r="BK33" i="2"/>
  <c r="BK38" i="2" s="1"/>
  <c r="BK30" i="2"/>
  <c r="BL10" i="5" s="1"/>
  <c r="BS25" i="3" l="1"/>
  <c r="AU12" i="5"/>
  <c r="AV25" i="5"/>
  <c r="AV26" i="5" s="1"/>
  <c r="AU13" i="5"/>
  <c r="BR29" i="3"/>
  <c r="BR43" i="2"/>
  <c r="BR45" i="2" s="1"/>
  <c r="DQ23" i="3"/>
  <c r="DP1" i="5"/>
  <c r="DP19" i="5" s="1"/>
  <c r="BT30" i="3"/>
  <c r="BU24" i="3" s="1"/>
  <c r="BR6" i="5"/>
  <c r="BT4" i="5"/>
  <c r="BU28" i="3"/>
  <c r="BS21" i="5"/>
  <c r="BS22" i="5" s="1"/>
  <c r="BS5" i="5" s="1"/>
  <c r="BS7" i="5" s="1"/>
  <c r="BR26" i="3"/>
  <c r="BQ9" i="5"/>
  <c r="DP14" i="5"/>
  <c r="DQ28" i="5"/>
  <c r="BM34" i="2"/>
  <c r="BN28" i="2" s="1"/>
  <c r="BN29" i="2" s="1"/>
  <c r="BL30" i="2"/>
  <c r="BM10" i="5" s="1"/>
  <c r="BL33" i="2"/>
  <c r="BL38" i="2" s="1"/>
  <c r="BT25" i="3" l="1"/>
  <c r="AV46" i="2"/>
  <c r="AV47" i="2" s="1"/>
  <c r="AV11" i="5"/>
  <c r="BS29" i="3"/>
  <c r="BS43" i="2"/>
  <c r="BS45" i="2" s="1"/>
  <c r="DR23" i="3"/>
  <c r="DR1" i="5" s="1"/>
  <c r="DR19" i="5" s="1"/>
  <c r="DQ1" i="5"/>
  <c r="DQ19" i="5" s="1"/>
  <c r="BS6" i="5"/>
  <c r="BS26" i="3"/>
  <c r="BR9" i="5"/>
  <c r="BT21" i="5"/>
  <c r="BT22" i="5" s="1"/>
  <c r="BT5" i="5" s="1"/>
  <c r="BT7" i="5" s="1"/>
  <c r="BU4" i="5"/>
  <c r="BV28" i="3"/>
  <c r="BU30" i="3"/>
  <c r="BV24" i="3" s="1"/>
  <c r="DR28" i="5"/>
  <c r="DR14" i="5" s="1"/>
  <c r="DQ14" i="5"/>
  <c r="BN34" i="2"/>
  <c r="BO28" i="2" s="1"/>
  <c r="BO29" i="2" s="1"/>
  <c r="BM30" i="2"/>
  <c r="BN10" i="5" s="1"/>
  <c r="BM33" i="2"/>
  <c r="BM38" i="2" s="1"/>
  <c r="BU25" i="3" l="1"/>
  <c r="AW25" i="5"/>
  <c r="AW26" i="5" s="1"/>
  <c r="AV13" i="5"/>
  <c r="AV12" i="5"/>
  <c r="BT29" i="3"/>
  <c r="BT43" i="2"/>
  <c r="BT45" i="2" s="1"/>
  <c r="BT6" i="5"/>
  <c r="BS9" i="5"/>
  <c r="BT26" i="3"/>
  <c r="BV30" i="3"/>
  <c r="BW24" i="3" s="1"/>
  <c r="BV4" i="5"/>
  <c r="BW28" i="3"/>
  <c r="BU21" i="5"/>
  <c r="BU22" i="5" s="1"/>
  <c r="BU5" i="5" s="1"/>
  <c r="BU7" i="5" s="1"/>
  <c r="BO34" i="2"/>
  <c r="BP28" i="2" s="1"/>
  <c r="BP29" i="2" s="1"/>
  <c r="BN30" i="2"/>
  <c r="BO10" i="5" s="1"/>
  <c r="BN33" i="2"/>
  <c r="BN38" i="2" s="1"/>
  <c r="BV25" i="3" l="1"/>
  <c r="AW46" i="2"/>
  <c r="AW47" i="2" s="1"/>
  <c r="AW11" i="5"/>
  <c r="BU29" i="3"/>
  <c r="BU43" i="2"/>
  <c r="BU45" i="2" s="1"/>
  <c r="BU6" i="5"/>
  <c r="BV21" i="5"/>
  <c r="BV22" i="5" s="1"/>
  <c r="BV5" i="5" s="1"/>
  <c r="BV7" i="5" s="1"/>
  <c r="BW30" i="3"/>
  <c r="BX24" i="3" s="1"/>
  <c r="BX28" i="3"/>
  <c r="BW4" i="5"/>
  <c r="BU26" i="3"/>
  <c r="BT9" i="5"/>
  <c r="BO30" i="2"/>
  <c r="BP10" i="5" s="1"/>
  <c r="BO33" i="2"/>
  <c r="BO38" i="2" s="1"/>
  <c r="BP34" i="2"/>
  <c r="BQ28" i="2" s="1"/>
  <c r="BQ29" i="2" s="1"/>
  <c r="BW25" i="3" l="1"/>
  <c r="AX25" i="5"/>
  <c r="AX26" i="5" s="1"/>
  <c r="AW12" i="5"/>
  <c r="AW13" i="5"/>
  <c r="BV29" i="3"/>
  <c r="BV43" i="2"/>
  <c r="BV45" i="2" s="1"/>
  <c r="BX4" i="5"/>
  <c r="BY28" i="3"/>
  <c r="BV26" i="3"/>
  <c r="BU9" i="5"/>
  <c r="BX30" i="3"/>
  <c r="BY24" i="3" s="1"/>
  <c r="BW21" i="5"/>
  <c r="BW22" i="5" s="1"/>
  <c r="BW5" i="5" s="1"/>
  <c r="BW7" i="5" s="1"/>
  <c r="BV6" i="5"/>
  <c r="BP33" i="2"/>
  <c r="BP38" i="2" s="1"/>
  <c r="BP30" i="2"/>
  <c r="BQ10" i="5" s="1"/>
  <c r="BQ34" i="2"/>
  <c r="BR28" i="2" s="1"/>
  <c r="BR29" i="2" s="1"/>
  <c r="BX25" i="3" l="1"/>
  <c r="AX11" i="5"/>
  <c r="AX46" i="2"/>
  <c r="AX47" i="2" s="1"/>
  <c r="BW29" i="3"/>
  <c r="BW43" i="2"/>
  <c r="BW45" i="2" s="1"/>
  <c r="BV9" i="5"/>
  <c r="BW26" i="3"/>
  <c r="BY4" i="5"/>
  <c r="BZ28" i="3"/>
  <c r="BY30" i="3"/>
  <c r="BZ24" i="3" s="1"/>
  <c r="BX21" i="5"/>
  <c r="BX22" i="5" s="1"/>
  <c r="BX5" i="5" s="1"/>
  <c r="BX7" i="5" s="1"/>
  <c r="BW6" i="5"/>
  <c r="BR34" i="2"/>
  <c r="BS28" i="2" s="1"/>
  <c r="BS29" i="2" s="1"/>
  <c r="BQ33" i="2"/>
  <c r="BQ38" i="2" s="1"/>
  <c r="BQ30" i="2"/>
  <c r="BR10" i="5" s="1"/>
  <c r="BY25" i="3" l="1"/>
  <c r="AX12" i="5"/>
  <c r="AY25" i="5"/>
  <c r="AY26" i="5" s="1"/>
  <c r="AX13" i="5"/>
  <c r="BX29" i="3"/>
  <c r="BX43" i="2"/>
  <c r="BX45" i="2" s="1"/>
  <c r="BW9" i="5"/>
  <c r="BX26" i="3"/>
  <c r="BX6" i="5"/>
  <c r="CA28" i="3"/>
  <c r="BZ4" i="5"/>
  <c r="BY21" i="5"/>
  <c r="BY22" i="5" s="1"/>
  <c r="BY5" i="5" s="1"/>
  <c r="BY7" i="5" s="1"/>
  <c r="BZ30" i="3"/>
  <c r="CA24" i="3" s="1"/>
  <c r="BS34" i="2"/>
  <c r="BT28" i="2" s="1"/>
  <c r="BT29" i="2" s="1"/>
  <c r="BR30" i="2"/>
  <c r="BS10" i="5" s="1"/>
  <c r="BR33" i="2"/>
  <c r="BR38" i="2" s="1"/>
  <c r="BZ25" i="3" l="1"/>
  <c r="AY11" i="5"/>
  <c r="AY46" i="2"/>
  <c r="AY47" i="2" s="1"/>
  <c r="BY29" i="3"/>
  <c r="BY43" i="2"/>
  <c r="BY45" i="2" s="1"/>
  <c r="BY6" i="5"/>
  <c r="CA30" i="3"/>
  <c r="CB24" i="3" s="1"/>
  <c r="CA4" i="5"/>
  <c r="CB28" i="3"/>
  <c r="BX9" i="5"/>
  <c r="BY26" i="3"/>
  <c r="BZ21" i="5"/>
  <c r="BZ22" i="5" s="1"/>
  <c r="BZ5" i="5" s="1"/>
  <c r="BZ7" i="5" s="1"/>
  <c r="BT34" i="2"/>
  <c r="BU28" i="2" s="1"/>
  <c r="BU29" i="2" s="1"/>
  <c r="BS30" i="2"/>
  <c r="BT10" i="5" s="1"/>
  <c r="BS33" i="2"/>
  <c r="BS38" i="2" s="1"/>
  <c r="CA25" i="3" l="1"/>
  <c r="AY13" i="5"/>
  <c r="AY12" i="5"/>
  <c r="AZ25" i="5"/>
  <c r="AZ26" i="5" s="1"/>
  <c r="BZ29" i="3"/>
  <c r="BZ43" i="2"/>
  <c r="BZ45" i="2" s="1"/>
  <c r="CA21" i="5"/>
  <c r="CA22" i="5" s="1"/>
  <c r="CA5" i="5" s="1"/>
  <c r="CA7" i="5" s="1"/>
  <c r="BZ6" i="5"/>
  <c r="CB4" i="5"/>
  <c r="CC28" i="3"/>
  <c r="BY9" i="5"/>
  <c r="BZ26" i="3"/>
  <c r="CB30" i="3"/>
  <c r="CC24" i="3" s="1"/>
  <c r="BU34" i="2"/>
  <c r="BV28" i="2" s="1"/>
  <c r="BV29" i="2" s="1"/>
  <c r="BT33" i="2"/>
  <c r="BT38" i="2" s="1"/>
  <c r="BT30" i="2"/>
  <c r="BU10" i="5" s="1"/>
  <c r="CB25" i="3" l="1"/>
  <c r="AZ11" i="5"/>
  <c r="AZ46" i="2"/>
  <c r="AZ47" i="2" s="1"/>
  <c r="CA29" i="3"/>
  <c r="CA43" i="2"/>
  <c r="CA45" i="2" s="1"/>
  <c r="CA6" i="5"/>
  <c r="BZ9" i="5"/>
  <c r="CA26" i="3"/>
  <c r="CC30" i="3"/>
  <c r="CD24" i="3" s="1"/>
  <c r="CB21" i="5"/>
  <c r="CB22" i="5" s="1"/>
  <c r="CB5" i="5" s="1"/>
  <c r="CB7" i="5" s="1"/>
  <c r="CC4" i="5"/>
  <c r="CD28" i="3"/>
  <c r="BV34" i="2"/>
  <c r="BW28" i="2" s="1"/>
  <c r="BW29" i="2" s="1"/>
  <c r="BU30" i="2"/>
  <c r="BV10" i="5" s="1"/>
  <c r="BU33" i="2"/>
  <c r="BU38" i="2" s="1"/>
  <c r="CC25" i="3" l="1"/>
  <c r="BA25" i="5"/>
  <c r="BA26" i="5" s="1"/>
  <c r="AZ12" i="5"/>
  <c r="AZ13" i="5"/>
  <c r="CB29" i="3"/>
  <c r="CB43" i="2"/>
  <c r="CB45" i="2" s="1"/>
  <c r="CB6" i="5"/>
  <c r="CC21" i="5"/>
  <c r="CC22" i="5" s="1"/>
  <c r="CC5" i="5" s="1"/>
  <c r="CC7" i="5" s="1"/>
  <c r="CD30" i="3"/>
  <c r="CE24" i="3" s="1"/>
  <c r="CD4" i="5"/>
  <c r="CE28" i="3"/>
  <c r="CA9" i="5"/>
  <c r="CB26" i="3"/>
  <c r="BW34" i="2"/>
  <c r="BX28" i="2" s="1"/>
  <c r="BX29" i="2" s="1"/>
  <c r="BV33" i="2"/>
  <c r="BV38" i="2" s="1"/>
  <c r="BV30" i="2"/>
  <c r="BW10" i="5" s="1"/>
  <c r="CD25" i="3" l="1"/>
  <c r="BA46" i="2"/>
  <c r="BA47" i="2" s="1"/>
  <c r="BA11" i="5"/>
  <c r="CC29" i="3"/>
  <c r="CC43" i="2"/>
  <c r="CC45" i="2" s="1"/>
  <c r="CC6" i="5"/>
  <c r="CE30" i="3"/>
  <c r="CF24" i="3" s="1"/>
  <c r="CF28" i="3"/>
  <c r="CE4" i="5"/>
  <c r="CB9" i="5"/>
  <c r="CC26" i="3"/>
  <c r="CD21" i="5"/>
  <c r="CD22" i="5" s="1"/>
  <c r="CD5" i="5" s="1"/>
  <c r="CD7" i="5" s="1"/>
  <c r="BW30" i="2"/>
  <c r="BX10" i="5" s="1"/>
  <c r="BW33" i="2"/>
  <c r="BW38" i="2" s="1"/>
  <c r="BX34" i="2"/>
  <c r="BY28" i="2" s="1"/>
  <c r="BY29" i="2" s="1"/>
  <c r="CE25" i="3" l="1"/>
  <c r="BA13" i="5"/>
  <c r="BB25" i="5"/>
  <c r="BB26" i="5" s="1"/>
  <c r="BA12" i="5"/>
  <c r="CD29" i="3"/>
  <c r="CD43" i="2"/>
  <c r="CD45" i="2" s="1"/>
  <c r="CG28" i="3"/>
  <c r="CF4" i="5"/>
  <c r="CD26" i="3"/>
  <c r="CC9" i="5"/>
  <c r="CF30" i="3"/>
  <c r="CG24" i="3" s="1"/>
  <c r="CD6" i="5"/>
  <c r="CE21" i="5"/>
  <c r="CE22" i="5" s="1"/>
  <c r="CE5" i="5" s="1"/>
  <c r="CE7" i="5" s="1"/>
  <c r="BX33" i="2"/>
  <c r="BX38" i="2" s="1"/>
  <c r="BX30" i="2"/>
  <c r="BY10" i="5" s="1"/>
  <c r="BY34" i="2"/>
  <c r="BZ28" i="2" s="1"/>
  <c r="BZ29" i="2" s="1"/>
  <c r="CF25" i="3" l="1"/>
  <c r="BB46" i="2"/>
  <c r="BB47" i="2" s="1"/>
  <c r="BB11" i="5"/>
  <c r="CE29" i="3"/>
  <c r="CE43" i="2"/>
  <c r="CE45" i="2" s="1"/>
  <c r="CE26" i="3"/>
  <c r="CD9" i="5"/>
  <c r="CF21" i="5"/>
  <c r="CF22" i="5" s="1"/>
  <c r="CF5" i="5" s="1"/>
  <c r="CF7" i="5" s="1"/>
  <c r="CE6" i="5"/>
  <c r="CG30" i="3"/>
  <c r="CH24" i="3" s="1"/>
  <c r="CG4" i="5"/>
  <c r="CH28" i="3"/>
  <c r="BY30" i="2"/>
  <c r="BZ10" i="5" s="1"/>
  <c r="BY33" i="2"/>
  <c r="BY38" i="2" s="1"/>
  <c r="BZ34" i="2"/>
  <c r="CA28" i="2" s="1"/>
  <c r="CA29" i="2" s="1"/>
  <c r="CG25" i="3" l="1"/>
  <c r="BB12" i="5"/>
  <c r="BB13" i="5"/>
  <c r="BC25" i="5"/>
  <c r="BC26" i="5" s="1"/>
  <c r="CF29" i="3"/>
  <c r="CF43" i="2"/>
  <c r="CF45" i="2" s="1"/>
  <c r="CF6" i="5"/>
  <c r="CH30" i="3"/>
  <c r="CI24" i="3" s="1"/>
  <c r="CG21" i="5"/>
  <c r="CG22" i="5" s="1"/>
  <c r="CG5" i="5" s="1"/>
  <c r="CG7" i="5" s="1"/>
  <c r="CH4" i="5"/>
  <c r="CI28" i="3"/>
  <c r="CE9" i="5"/>
  <c r="CF26" i="3"/>
  <c r="CA34" i="2"/>
  <c r="CB28" i="2" s="1"/>
  <c r="CB29" i="2" s="1"/>
  <c r="BZ30" i="2"/>
  <c r="CA10" i="5" s="1"/>
  <c r="BZ33" i="2"/>
  <c r="BZ38" i="2" s="1"/>
  <c r="CH25" i="3" l="1"/>
  <c r="BC11" i="5"/>
  <c r="BC46" i="2"/>
  <c r="BC47" i="2" s="1"/>
  <c r="CG29" i="3"/>
  <c r="CG43" i="2"/>
  <c r="CG45" i="2" s="1"/>
  <c r="CF9" i="5"/>
  <c r="CG26" i="3"/>
  <c r="CG6" i="5"/>
  <c r="CI4" i="5"/>
  <c r="CJ28" i="3"/>
  <c r="CH21" i="5"/>
  <c r="CH22" i="5" s="1"/>
  <c r="CH5" i="5" s="1"/>
  <c r="CH6" i="5" s="1"/>
  <c r="CI30" i="3"/>
  <c r="CJ24" i="3" s="1"/>
  <c r="CB34" i="2"/>
  <c r="CC28" i="2" s="1"/>
  <c r="CC29" i="2" s="1"/>
  <c r="CA33" i="2"/>
  <c r="CA38" i="2" s="1"/>
  <c r="CA30" i="2"/>
  <c r="CB10" i="5" s="1"/>
  <c r="CI25" i="3" l="1"/>
  <c r="BD25" i="5"/>
  <c r="BD26" i="5" s="1"/>
  <c r="BC13" i="5"/>
  <c r="BC12" i="5"/>
  <c r="CH29" i="3"/>
  <c r="CH43" i="2"/>
  <c r="CH45" i="2" s="1"/>
  <c r="CJ30" i="3"/>
  <c r="CK24" i="3" s="1"/>
  <c r="CI21" i="5"/>
  <c r="CI22" i="5" s="1"/>
  <c r="CI5" i="5" s="1"/>
  <c r="CI7" i="5" s="1"/>
  <c r="CH7" i="5"/>
  <c r="CG9" i="5"/>
  <c r="CH26" i="3"/>
  <c r="CJ4" i="5"/>
  <c r="CK28" i="3"/>
  <c r="CC34" i="2"/>
  <c r="CD28" i="2" s="1"/>
  <c r="CD29" i="2" s="1"/>
  <c r="CB30" i="2"/>
  <c r="CC10" i="5" s="1"/>
  <c r="CB33" i="2"/>
  <c r="CB38" i="2" s="1"/>
  <c r="CJ25" i="3" l="1"/>
  <c r="BD11" i="5"/>
  <c r="BD46" i="2"/>
  <c r="BD47" i="2" s="1"/>
  <c r="CI29" i="3"/>
  <c r="CI43" i="2"/>
  <c r="CI45" i="2" s="1"/>
  <c r="CI6" i="5"/>
  <c r="CH9" i="5"/>
  <c r="CI26" i="3"/>
  <c r="CJ21" i="5"/>
  <c r="CJ22" i="5" s="1"/>
  <c r="CJ5" i="5" s="1"/>
  <c r="CJ7" i="5" s="1"/>
  <c r="CK4" i="5"/>
  <c r="CL28" i="3"/>
  <c r="CK30" i="3"/>
  <c r="CL24" i="3" s="1"/>
  <c r="CD34" i="2"/>
  <c r="CE28" i="2" s="1"/>
  <c r="CE29" i="2" s="1"/>
  <c r="CC30" i="2"/>
  <c r="CD10" i="5" s="1"/>
  <c r="CC33" i="2"/>
  <c r="CC38" i="2" s="1"/>
  <c r="CK25" i="3" l="1"/>
  <c r="BD13" i="5"/>
  <c r="BD12" i="5"/>
  <c r="BE25" i="5"/>
  <c r="BE26" i="5" s="1"/>
  <c r="CJ29" i="3"/>
  <c r="CJ43" i="2"/>
  <c r="CJ45" i="2" s="1"/>
  <c r="CL30" i="3"/>
  <c r="CM24" i="3" s="1"/>
  <c r="CJ6" i="5"/>
  <c r="CM28" i="3"/>
  <c r="CL4" i="5"/>
  <c r="CJ26" i="3"/>
  <c r="CI9" i="5"/>
  <c r="CK21" i="5"/>
  <c r="CK22" i="5" s="1"/>
  <c r="CK5" i="5" s="1"/>
  <c r="CK7" i="5" s="1"/>
  <c r="CE34" i="2"/>
  <c r="CF28" i="2" s="1"/>
  <c r="CF29" i="2" s="1"/>
  <c r="CD30" i="2"/>
  <c r="CE10" i="5" s="1"/>
  <c r="CD33" i="2"/>
  <c r="CD38" i="2" s="1"/>
  <c r="CL25" i="3" l="1"/>
  <c r="BE11" i="5"/>
  <c r="BE46" i="2"/>
  <c r="BE47" i="2" s="1"/>
  <c r="CK29" i="3"/>
  <c r="CK43" i="2"/>
  <c r="CK45" i="2" s="1"/>
  <c r="CK6" i="5"/>
  <c r="CK26" i="3"/>
  <c r="CJ9" i="5"/>
  <c r="CL21" i="5"/>
  <c r="CL22" i="5" s="1"/>
  <c r="CL5" i="5" s="1"/>
  <c r="CL7" i="5" s="1"/>
  <c r="CM4" i="5"/>
  <c r="CN28" i="3"/>
  <c r="CM30" i="3"/>
  <c r="CN24" i="3" s="1"/>
  <c r="CF34" i="2"/>
  <c r="CG28" i="2" s="1"/>
  <c r="CG29" i="2" s="1"/>
  <c r="CE33" i="2"/>
  <c r="CE38" i="2" s="1"/>
  <c r="CE30" i="2"/>
  <c r="CF10" i="5" s="1"/>
  <c r="CM25" i="3" l="1"/>
  <c r="BF25" i="5"/>
  <c r="BF26" i="5" s="1"/>
  <c r="BE13" i="5"/>
  <c r="BE12" i="5"/>
  <c r="CL29" i="3"/>
  <c r="CL43" i="2"/>
  <c r="CL45" i="2" s="1"/>
  <c r="CN30" i="3"/>
  <c r="CO24" i="3" s="1"/>
  <c r="CL6" i="5"/>
  <c r="CN4" i="5"/>
  <c r="CO28" i="3"/>
  <c r="CM21" i="5"/>
  <c r="CM22" i="5" s="1"/>
  <c r="CM5" i="5" s="1"/>
  <c r="CM7" i="5" s="1"/>
  <c r="CL26" i="3"/>
  <c r="CK9" i="5"/>
  <c r="CF30" i="2"/>
  <c r="CG10" i="5" s="1"/>
  <c r="CF33" i="2"/>
  <c r="CF38" i="2" s="1"/>
  <c r="CG34" i="2"/>
  <c r="CH28" i="2" s="1"/>
  <c r="CH29" i="2" s="1"/>
  <c r="CN25" i="3" l="1"/>
  <c r="BF46" i="2"/>
  <c r="BF47" i="2" s="1"/>
  <c r="BF11" i="5"/>
  <c r="CM29" i="3"/>
  <c r="CM43" i="2"/>
  <c r="CM45" i="2" s="1"/>
  <c r="CM6" i="5"/>
  <c r="CM26" i="3"/>
  <c r="CL9" i="5"/>
  <c r="CN21" i="5"/>
  <c r="CN22" i="5" s="1"/>
  <c r="CN5" i="5" s="1"/>
  <c r="CN7" i="5" s="1"/>
  <c r="CO30" i="3"/>
  <c r="CP24" i="3" s="1"/>
  <c r="CO4" i="5"/>
  <c r="CP28" i="3"/>
  <c r="CG30" i="2"/>
  <c r="CH10" i="5" s="1"/>
  <c r="CG33" i="2"/>
  <c r="CG38" i="2" s="1"/>
  <c r="CH34" i="2"/>
  <c r="CI28" i="2" s="1"/>
  <c r="CI29" i="2" s="1"/>
  <c r="CO25" i="3" l="1"/>
  <c r="BG25" i="5"/>
  <c r="BG26" i="5" s="1"/>
  <c r="BF13" i="5"/>
  <c r="BF12" i="5"/>
  <c r="CN29" i="3"/>
  <c r="CN43" i="2"/>
  <c r="CN45" i="2" s="1"/>
  <c r="CN6" i="5"/>
  <c r="CP30" i="3"/>
  <c r="CQ24" i="3" s="1"/>
  <c r="CN26" i="3"/>
  <c r="CM9" i="5"/>
  <c r="CQ28" i="3"/>
  <c r="CP4" i="5"/>
  <c r="CO21" i="5"/>
  <c r="CO22" i="5" s="1"/>
  <c r="CO5" i="5" s="1"/>
  <c r="CO7" i="5" s="1"/>
  <c r="CH30" i="2"/>
  <c r="CI10" i="5" s="1"/>
  <c r="CH33" i="2"/>
  <c r="CH38" i="2" s="1"/>
  <c r="CI34" i="2"/>
  <c r="CJ28" i="2" s="1"/>
  <c r="CJ29" i="2" s="1"/>
  <c r="CP25" i="3" l="1"/>
  <c r="BG11" i="5"/>
  <c r="BG46" i="2"/>
  <c r="BG47" i="2" s="1"/>
  <c r="CO29" i="3"/>
  <c r="CO43" i="2"/>
  <c r="CO45" i="2" s="1"/>
  <c r="CO6" i="5"/>
  <c r="CR28" i="3"/>
  <c r="CQ4" i="5"/>
  <c r="CQ30" i="3"/>
  <c r="CR24" i="3" s="1"/>
  <c r="CN9" i="5"/>
  <c r="CO26" i="3"/>
  <c r="CP21" i="5"/>
  <c r="CP22" i="5" s="1"/>
  <c r="CP5" i="5" s="1"/>
  <c r="CP7" i="5" s="1"/>
  <c r="CI33" i="2"/>
  <c r="CI38" i="2" s="1"/>
  <c r="CI30" i="2"/>
  <c r="CJ10" i="5" s="1"/>
  <c r="CJ34" i="2"/>
  <c r="CK28" i="2" s="1"/>
  <c r="CK29" i="2" s="1"/>
  <c r="CQ25" i="3" l="1"/>
  <c r="BG12" i="5"/>
  <c r="BH25" i="5"/>
  <c r="BH26" i="5" s="1"/>
  <c r="BG13" i="5"/>
  <c r="CP29" i="3"/>
  <c r="CP43" i="2"/>
  <c r="CP45" i="2" s="1"/>
  <c r="CP6" i="5"/>
  <c r="CR30" i="3"/>
  <c r="CS24" i="3" s="1"/>
  <c r="CP26" i="3"/>
  <c r="CO9" i="5"/>
  <c r="CQ21" i="5"/>
  <c r="CQ22" i="5" s="1"/>
  <c r="CQ5" i="5" s="1"/>
  <c r="CQ7" i="5" s="1"/>
  <c r="CS28" i="3"/>
  <c r="CR4" i="5"/>
  <c r="CK34" i="2"/>
  <c r="CL28" i="2" s="1"/>
  <c r="CL29" i="2" s="1"/>
  <c r="CJ30" i="2"/>
  <c r="CK10" i="5" s="1"/>
  <c r="CJ33" i="2"/>
  <c r="CJ38" i="2" s="1"/>
  <c r="CR25" i="3" l="1"/>
  <c r="BH11" i="5"/>
  <c r="BH46" i="2"/>
  <c r="BH47" i="2" s="1"/>
  <c r="CQ29" i="3"/>
  <c r="CQ43" i="2"/>
  <c r="CQ45" i="2" s="1"/>
  <c r="CQ6" i="5"/>
  <c r="CR21" i="5"/>
  <c r="CR22" i="5" s="1"/>
  <c r="CR5" i="5" s="1"/>
  <c r="CR7" i="5" s="1"/>
  <c r="CS30" i="3"/>
  <c r="CT24" i="3" s="1"/>
  <c r="CT28" i="3"/>
  <c r="CS4" i="5"/>
  <c r="CQ26" i="3"/>
  <c r="CP9" i="5"/>
  <c r="CK30" i="2"/>
  <c r="CL10" i="5" s="1"/>
  <c r="CK33" i="2"/>
  <c r="CK38" i="2" s="1"/>
  <c r="CL34" i="2"/>
  <c r="CM28" i="2" s="1"/>
  <c r="CM29" i="2" s="1"/>
  <c r="CS25" i="3" l="1"/>
  <c r="BH13" i="5"/>
  <c r="BI25" i="5"/>
  <c r="BI26" i="5" s="1"/>
  <c r="BH12" i="5"/>
  <c r="CR29" i="3"/>
  <c r="CR43" i="2"/>
  <c r="CR45" i="2" s="1"/>
  <c r="CR6" i="5"/>
  <c r="CQ9" i="5"/>
  <c r="CR26" i="3"/>
  <c r="CS21" i="5"/>
  <c r="CS22" i="5" s="1"/>
  <c r="CS5" i="5" s="1"/>
  <c r="CS7" i="5" s="1"/>
  <c r="CT30" i="3"/>
  <c r="CU24" i="3" s="1"/>
  <c r="CU28" i="3"/>
  <c r="CT4" i="5"/>
  <c r="CL33" i="2"/>
  <c r="CL38" i="2" s="1"/>
  <c r="CL30" i="2"/>
  <c r="CM10" i="5" s="1"/>
  <c r="CM34" i="2"/>
  <c r="CN28" i="2" s="1"/>
  <c r="CN29" i="2" s="1"/>
  <c r="CT25" i="3" l="1"/>
  <c r="BI46" i="2"/>
  <c r="BI47" i="2" s="1"/>
  <c r="BI11" i="5"/>
  <c r="CS29" i="3"/>
  <c r="CS43" i="2"/>
  <c r="CS45" i="2" s="1"/>
  <c r="CU4" i="5"/>
  <c r="CV28" i="3"/>
  <c r="CT21" i="5"/>
  <c r="CT22" i="5" s="1"/>
  <c r="CT5" i="5" s="1"/>
  <c r="CT7" i="5" s="1"/>
  <c r="CS6" i="5"/>
  <c r="CS26" i="3"/>
  <c r="CR9" i="5"/>
  <c r="CU30" i="3"/>
  <c r="CV24" i="3" s="1"/>
  <c r="CM30" i="2"/>
  <c r="CN10" i="5" s="1"/>
  <c r="CM33" i="2"/>
  <c r="CM38" i="2" s="1"/>
  <c r="CN34" i="2"/>
  <c r="CO28" i="2" s="1"/>
  <c r="CO29" i="2" s="1"/>
  <c r="CU25" i="3" l="1"/>
  <c r="BI12" i="5"/>
  <c r="BI13" i="5"/>
  <c r="BJ25" i="5"/>
  <c r="BJ26" i="5" s="1"/>
  <c r="CT29" i="3"/>
  <c r="CT43" i="2"/>
  <c r="CT45" i="2" s="1"/>
  <c r="CV30" i="3"/>
  <c r="CW24" i="3" s="1"/>
  <c r="CT6" i="5"/>
  <c r="CS9" i="5"/>
  <c r="CT26" i="3"/>
  <c r="CV4" i="5"/>
  <c r="CW28" i="3"/>
  <c r="CU21" i="5"/>
  <c r="CU22" i="5" s="1"/>
  <c r="CU5" i="5" s="1"/>
  <c r="CU7" i="5" s="1"/>
  <c r="CO34" i="2"/>
  <c r="CP28" i="2" s="1"/>
  <c r="CP29" i="2" s="1"/>
  <c r="CN30" i="2"/>
  <c r="CO10" i="5" s="1"/>
  <c r="CN33" i="2"/>
  <c r="CN38" i="2" s="1"/>
  <c r="CV25" i="3" l="1"/>
  <c r="BJ46" i="2"/>
  <c r="BJ47" i="2" s="1"/>
  <c r="BJ11" i="5"/>
  <c r="CU29" i="3"/>
  <c r="CU43" i="2"/>
  <c r="CU45" i="2" s="1"/>
  <c r="CU6" i="5"/>
  <c r="CV21" i="5"/>
  <c r="CV22" i="5" s="1"/>
  <c r="CV5" i="5" s="1"/>
  <c r="CV7" i="5" s="1"/>
  <c r="CW4" i="5"/>
  <c r="CX28" i="3"/>
  <c r="CU26" i="3"/>
  <c r="CT9" i="5"/>
  <c r="CW30" i="3"/>
  <c r="CX24" i="3" s="1"/>
  <c r="CP34" i="2"/>
  <c r="CQ28" i="2" s="1"/>
  <c r="CQ29" i="2" s="1"/>
  <c r="CO30" i="2"/>
  <c r="CP10" i="5" s="1"/>
  <c r="CO33" i="2"/>
  <c r="CO38" i="2" s="1"/>
  <c r="CW25" i="3" l="1"/>
  <c r="BK25" i="5"/>
  <c r="BK26" i="5" s="1"/>
  <c r="BJ12" i="5"/>
  <c r="BJ13" i="5"/>
  <c r="CV29" i="3"/>
  <c r="CV43" i="2"/>
  <c r="CV45" i="2" s="1"/>
  <c r="CX30" i="3"/>
  <c r="CY24" i="3" s="1"/>
  <c r="CX4" i="5"/>
  <c r="CY28" i="3"/>
  <c r="CW21" i="5"/>
  <c r="CW22" i="5" s="1"/>
  <c r="CW5" i="5" s="1"/>
  <c r="CW7" i="5" s="1"/>
  <c r="CV6" i="5"/>
  <c r="CV26" i="3"/>
  <c r="CU9" i="5"/>
  <c r="CQ34" i="2"/>
  <c r="CR28" i="2" s="1"/>
  <c r="CR29" i="2" s="1"/>
  <c r="CP30" i="2"/>
  <c r="CQ10" i="5" s="1"/>
  <c r="CP33" i="2"/>
  <c r="CP38" i="2" s="1"/>
  <c r="CX25" i="3" l="1"/>
  <c r="BK46" i="2"/>
  <c r="BK47" i="2" s="1"/>
  <c r="BK11" i="5"/>
  <c r="CW29" i="3"/>
  <c r="CW43" i="2"/>
  <c r="CW45" i="2" s="1"/>
  <c r="CW6" i="5"/>
  <c r="CX21" i="5"/>
  <c r="CX22" i="5" s="1"/>
  <c r="CX5" i="5" s="1"/>
  <c r="CX7" i="5" s="1"/>
  <c r="CZ28" i="3"/>
  <c r="CY4" i="5"/>
  <c r="CV9" i="5"/>
  <c r="CW26" i="3"/>
  <c r="CY30" i="3"/>
  <c r="CZ24" i="3" s="1"/>
  <c r="CQ33" i="2"/>
  <c r="CQ38" i="2" s="1"/>
  <c r="CQ30" i="2"/>
  <c r="CR10" i="5" s="1"/>
  <c r="CR34" i="2"/>
  <c r="CS28" i="2" s="1"/>
  <c r="CS29" i="2" s="1"/>
  <c r="CY25" i="3" l="1"/>
  <c r="BL25" i="5"/>
  <c r="BL26" i="5" s="1"/>
  <c r="BK12" i="5"/>
  <c r="BK13" i="5"/>
  <c r="CX29" i="3"/>
  <c r="CX43" i="2"/>
  <c r="CX45" i="2" s="1"/>
  <c r="CX6" i="5"/>
  <c r="CZ30" i="3"/>
  <c r="DA24" i="3" s="1"/>
  <c r="DA28" i="3"/>
  <c r="CZ4" i="5"/>
  <c r="CY21" i="5"/>
  <c r="CY22" i="5" s="1"/>
  <c r="CY5" i="5" s="1"/>
  <c r="CY7" i="5" s="1"/>
  <c r="CX26" i="3"/>
  <c r="CW9" i="5"/>
  <c r="CR30" i="2"/>
  <c r="CS10" i="5" s="1"/>
  <c r="CR33" i="2"/>
  <c r="CR38" i="2" s="1"/>
  <c r="CS34" i="2"/>
  <c r="CT28" i="2" s="1"/>
  <c r="CT29" i="2" s="1"/>
  <c r="CZ25" i="3" l="1"/>
  <c r="BL46" i="2"/>
  <c r="BL47" i="2" s="1"/>
  <c r="BL11" i="5"/>
  <c r="CY29" i="3"/>
  <c r="CY43" i="2"/>
  <c r="CY45" i="2" s="1"/>
  <c r="CY6" i="5"/>
  <c r="DA4" i="5"/>
  <c r="DB28" i="3"/>
  <c r="CX9" i="5"/>
  <c r="CY26" i="3"/>
  <c r="CZ21" i="5"/>
  <c r="CZ22" i="5" s="1"/>
  <c r="CZ5" i="5" s="1"/>
  <c r="CZ7" i="5" s="1"/>
  <c r="DA30" i="3"/>
  <c r="DB24" i="3" s="1"/>
  <c r="CS30" i="2"/>
  <c r="CT10" i="5" s="1"/>
  <c r="CS33" i="2"/>
  <c r="CS38" i="2" s="1"/>
  <c r="CT34" i="2"/>
  <c r="CU28" i="2" s="1"/>
  <c r="CU29" i="2" s="1"/>
  <c r="DA25" i="3" l="1"/>
  <c r="BM25" i="5"/>
  <c r="BM26" i="5" s="1"/>
  <c r="BL13" i="5"/>
  <c r="BL12" i="5"/>
  <c r="CZ29" i="3"/>
  <c r="CZ43" i="2"/>
  <c r="CZ45" i="2" s="1"/>
  <c r="CZ6" i="5"/>
  <c r="DB4" i="5"/>
  <c r="DC28" i="3"/>
  <c r="CZ26" i="3"/>
  <c r="CY9" i="5"/>
  <c r="DB30" i="3"/>
  <c r="DC24" i="3" s="1"/>
  <c r="DA21" i="5"/>
  <c r="DA22" i="5" s="1"/>
  <c r="DA5" i="5" s="1"/>
  <c r="DA7" i="5" s="1"/>
  <c r="CT30" i="2"/>
  <c r="CU10" i="5" s="1"/>
  <c r="CT33" i="2"/>
  <c r="CT38" i="2" s="1"/>
  <c r="CU34" i="2"/>
  <c r="CV28" i="2" s="1"/>
  <c r="CV29" i="2" s="1"/>
  <c r="DB25" i="3" l="1"/>
  <c r="BM46" i="2"/>
  <c r="BM47" i="2" s="1"/>
  <c r="BM11" i="5"/>
  <c r="DA29" i="3"/>
  <c r="DA43" i="2"/>
  <c r="DA45" i="2" s="1"/>
  <c r="DA6" i="5"/>
  <c r="DA26" i="3"/>
  <c r="CZ9" i="5"/>
  <c r="DD28" i="3"/>
  <c r="DC4" i="5"/>
  <c r="DC30" i="3"/>
  <c r="DD24" i="3" s="1"/>
  <c r="DB21" i="5"/>
  <c r="DB22" i="5" s="1"/>
  <c r="DB5" i="5" s="1"/>
  <c r="DB7" i="5" s="1"/>
  <c r="CV34" i="2"/>
  <c r="CW28" i="2" s="1"/>
  <c r="CW29" i="2" s="1"/>
  <c r="CU30" i="2"/>
  <c r="CV10" i="5" s="1"/>
  <c r="CU33" i="2"/>
  <c r="CU38" i="2" s="1"/>
  <c r="DC25" i="3" l="1"/>
  <c r="BN25" i="5"/>
  <c r="BN26" i="5" s="1"/>
  <c r="BM12" i="5"/>
  <c r="BM13" i="5"/>
  <c r="DB29" i="3"/>
  <c r="DB43" i="2"/>
  <c r="DB45" i="2" s="1"/>
  <c r="DB6" i="5"/>
  <c r="DC21" i="5"/>
  <c r="DC22" i="5" s="1"/>
  <c r="DC5" i="5" s="1"/>
  <c r="DC7" i="5" s="1"/>
  <c r="DE28" i="3"/>
  <c r="DD4" i="5"/>
  <c r="DD30" i="3"/>
  <c r="DE24" i="3" s="1"/>
  <c r="DB26" i="3"/>
  <c r="DA9" i="5"/>
  <c r="CV30" i="2"/>
  <c r="CW10" i="5" s="1"/>
  <c r="CV33" i="2"/>
  <c r="CV38" i="2" s="1"/>
  <c r="CW34" i="2"/>
  <c r="CX28" i="2" s="1"/>
  <c r="CX29" i="2" s="1"/>
  <c r="DD25" i="3" l="1"/>
  <c r="BN11" i="5"/>
  <c r="BN46" i="2"/>
  <c r="BN47" i="2" s="1"/>
  <c r="DC29" i="3"/>
  <c r="DC43" i="2"/>
  <c r="DC45" i="2" s="1"/>
  <c r="DD21" i="5"/>
  <c r="DD22" i="5" s="1"/>
  <c r="DD5" i="5" s="1"/>
  <c r="DD7" i="5" s="1"/>
  <c r="DB9" i="5"/>
  <c r="DC26" i="3"/>
  <c r="DE4" i="5"/>
  <c r="DF28" i="3"/>
  <c r="DC6" i="5"/>
  <c r="DE30" i="3"/>
  <c r="DF24" i="3" s="1"/>
  <c r="CX34" i="2"/>
  <c r="CY28" i="2" s="1"/>
  <c r="CY29" i="2" s="1"/>
  <c r="CW33" i="2"/>
  <c r="CW38" i="2" s="1"/>
  <c r="CW30" i="2"/>
  <c r="CX10" i="5" s="1"/>
  <c r="DE25" i="3" l="1"/>
  <c r="BN12" i="5"/>
  <c r="BN13" i="5"/>
  <c r="BO25" i="5"/>
  <c r="BO26" i="5" s="1"/>
  <c r="DD29" i="3"/>
  <c r="DD43" i="2"/>
  <c r="DD45" i="2" s="1"/>
  <c r="DD6" i="5"/>
  <c r="DF4" i="5"/>
  <c r="DG28" i="3"/>
  <c r="DD26" i="3"/>
  <c r="DC9" i="5"/>
  <c r="DF30" i="3"/>
  <c r="DG24" i="3" s="1"/>
  <c r="DE21" i="5"/>
  <c r="DE22" i="5" s="1"/>
  <c r="DE5" i="5" s="1"/>
  <c r="DE7" i="5" s="1"/>
  <c r="CY34" i="2"/>
  <c r="CZ28" i="2" s="1"/>
  <c r="CZ29" i="2" s="1"/>
  <c r="CX30" i="2"/>
  <c r="CY10" i="5" s="1"/>
  <c r="CX33" i="2"/>
  <c r="CX38" i="2" s="1"/>
  <c r="DF25" i="3" l="1"/>
  <c r="DF29" i="3"/>
  <c r="BO46" i="2"/>
  <c r="BO47" i="2" s="1"/>
  <c r="BO11" i="5"/>
  <c r="DE29" i="3"/>
  <c r="DE43" i="2"/>
  <c r="DE45" i="2" s="1"/>
  <c r="DE6" i="5"/>
  <c r="DG4" i="5"/>
  <c r="DH28" i="3"/>
  <c r="DE26" i="3"/>
  <c r="DD9" i="5"/>
  <c r="DG30" i="3"/>
  <c r="DH24" i="3" s="1"/>
  <c r="DF21" i="5"/>
  <c r="DF22" i="5" s="1"/>
  <c r="DF5" i="5" s="1"/>
  <c r="DF7" i="5" s="1"/>
  <c r="CY33" i="2"/>
  <c r="CY38" i="2" s="1"/>
  <c r="CY30" i="2"/>
  <c r="CZ10" i="5" s="1"/>
  <c r="CZ34" i="2"/>
  <c r="DA28" i="2" s="1"/>
  <c r="DA29" i="2" s="1"/>
  <c r="DG25" i="3" l="1"/>
  <c r="DF43" i="2"/>
  <c r="DF45" i="2" s="1"/>
  <c r="BO12" i="5"/>
  <c r="BP25" i="5"/>
  <c r="BP26" i="5" s="1"/>
  <c r="BO13" i="5"/>
  <c r="DF26" i="3"/>
  <c r="DE9" i="5"/>
  <c r="DH30" i="3"/>
  <c r="DI24" i="3" s="1"/>
  <c r="DF6" i="5"/>
  <c r="DI28" i="3"/>
  <c r="DH4" i="5"/>
  <c r="DG21" i="5"/>
  <c r="DG22" i="5" s="1"/>
  <c r="DG5" i="5" s="1"/>
  <c r="DG7" i="5" s="1"/>
  <c r="DA34" i="2"/>
  <c r="DB28" i="2" s="1"/>
  <c r="DB29" i="2" s="1"/>
  <c r="CZ30" i="2"/>
  <c r="DA10" i="5" s="1"/>
  <c r="CZ33" i="2"/>
  <c r="CZ38" i="2" s="1"/>
  <c r="DH25" i="3" l="1"/>
  <c r="BP11" i="5"/>
  <c r="BP46" i="2"/>
  <c r="BP47" i="2" s="1"/>
  <c r="DG29" i="3"/>
  <c r="DG43" i="2"/>
  <c r="DG45" i="2" s="1"/>
  <c r="DH21" i="5"/>
  <c r="DH22" i="5" s="1"/>
  <c r="DH5" i="5" s="1"/>
  <c r="DH7" i="5" s="1"/>
  <c r="DI4" i="5"/>
  <c r="DJ28" i="3"/>
  <c r="DI30" i="3"/>
  <c r="DJ24" i="3" s="1"/>
  <c r="DG6" i="5"/>
  <c r="DF9" i="5"/>
  <c r="DG26" i="3"/>
  <c r="DA30" i="2"/>
  <c r="DB10" i="5" s="1"/>
  <c r="DA33" i="2"/>
  <c r="DA38" i="2" s="1"/>
  <c r="DB34" i="2"/>
  <c r="DC28" i="2" s="1"/>
  <c r="DC29" i="2" s="1"/>
  <c r="DI25" i="3" l="1"/>
  <c r="BP13" i="5"/>
  <c r="BP12" i="5"/>
  <c r="BQ25" i="5"/>
  <c r="BQ26" i="5" s="1"/>
  <c r="DH29" i="3"/>
  <c r="DH43" i="2"/>
  <c r="DH45" i="2" s="1"/>
  <c r="DH6" i="5"/>
  <c r="DG9" i="5"/>
  <c r="DH26" i="3"/>
  <c r="DJ4" i="5"/>
  <c r="DK28" i="3"/>
  <c r="DI21" i="5"/>
  <c r="DI22" i="5" s="1"/>
  <c r="DI5" i="5" s="1"/>
  <c r="DI7" i="5" s="1"/>
  <c r="DJ30" i="3"/>
  <c r="DK24" i="3" s="1"/>
  <c r="DB30" i="2"/>
  <c r="DC10" i="5" s="1"/>
  <c r="DB33" i="2"/>
  <c r="DB38" i="2" s="1"/>
  <c r="DC34" i="2"/>
  <c r="DD28" i="2" s="1"/>
  <c r="DD29" i="2" s="1"/>
  <c r="DJ25" i="3" l="1"/>
  <c r="BQ46" i="2"/>
  <c r="BQ47" i="2" s="1"/>
  <c r="BQ11" i="5"/>
  <c r="DI29" i="3"/>
  <c r="DI43" i="2"/>
  <c r="DI45" i="2" s="1"/>
  <c r="DI6" i="5"/>
  <c r="DH9" i="5"/>
  <c r="DI26" i="3"/>
  <c r="DL28" i="3"/>
  <c r="DK4" i="5"/>
  <c r="DK30" i="3"/>
  <c r="DL24" i="3" s="1"/>
  <c r="DJ21" i="5"/>
  <c r="DJ22" i="5" s="1"/>
  <c r="DJ5" i="5" s="1"/>
  <c r="DJ7" i="5" s="1"/>
  <c r="DC30" i="2"/>
  <c r="DD10" i="5" s="1"/>
  <c r="DC33" i="2"/>
  <c r="DC38" i="2" s="1"/>
  <c r="DD34" i="2"/>
  <c r="DE28" i="2" s="1"/>
  <c r="DE29" i="2" s="1"/>
  <c r="DK25" i="3" l="1"/>
  <c r="BQ13" i="5"/>
  <c r="BQ12" i="5"/>
  <c r="BR25" i="5"/>
  <c r="BR26" i="5" s="1"/>
  <c r="DJ29" i="3"/>
  <c r="DJ43" i="2"/>
  <c r="DJ45" i="2" s="1"/>
  <c r="DJ6" i="5"/>
  <c r="DL30" i="3"/>
  <c r="DM24" i="3" s="1"/>
  <c r="DI9" i="5"/>
  <c r="DJ26" i="3"/>
  <c r="DK21" i="5"/>
  <c r="DK22" i="5" s="1"/>
  <c r="DK5" i="5" s="1"/>
  <c r="DK7" i="5" s="1"/>
  <c r="DL4" i="5"/>
  <c r="DM28" i="3"/>
  <c r="DD33" i="2"/>
  <c r="DD38" i="2" s="1"/>
  <c r="DD30" i="2"/>
  <c r="DE10" i="5" s="1"/>
  <c r="DE34" i="2"/>
  <c r="DF28" i="2" s="1"/>
  <c r="DF29" i="2" s="1"/>
  <c r="DL25" i="3" l="1"/>
  <c r="BR11" i="5"/>
  <c r="BR46" i="2"/>
  <c r="BR47" i="2" s="1"/>
  <c r="DK29" i="3"/>
  <c r="DK43" i="2"/>
  <c r="DK45" i="2" s="1"/>
  <c r="DK6" i="5"/>
  <c r="DM4" i="5"/>
  <c r="DN28" i="3"/>
  <c r="DK26" i="3"/>
  <c r="DJ9" i="5"/>
  <c r="DL21" i="5"/>
  <c r="DL22" i="5" s="1"/>
  <c r="DL5" i="5" s="1"/>
  <c r="DL7" i="5" s="1"/>
  <c r="DM30" i="3"/>
  <c r="DN24" i="3" s="1"/>
  <c r="DE30" i="2"/>
  <c r="DF10" i="5" s="1"/>
  <c r="DE33" i="2"/>
  <c r="DE38" i="2" s="1"/>
  <c r="DF34" i="2"/>
  <c r="DG28" i="2" s="1"/>
  <c r="DG29" i="2" s="1"/>
  <c r="DM25" i="3" l="1"/>
  <c r="BR12" i="5"/>
  <c r="BR13" i="5"/>
  <c r="BS25" i="5"/>
  <c r="BS26" i="5" s="1"/>
  <c r="DL29" i="3"/>
  <c r="DL43" i="2"/>
  <c r="DL45" i="2" s="1"/>
  <c r="DL6" i="5"/>
  <c r="DN4" i="5"/>
  <c r="DO28" i="3"/>
  <c r="DN30" i="3"/>
  <c r="DO24" i="3" s="1"/>
  <c r="DL26" i="3"/>
  <c r="DK9" i="5"/>
  <c r="DM21" i="5"/>
  <c r="DM22" i="5" s="1"/>
  <c r="DM5" i="5" s="1"/>
  <c r="DM7" i="5" s="1"/>
  <c r="DG34" i="2"/>
  <c r="DH28" i="2" s="1"/>
  <c r="DH29" i="2" s="1"/>
  <c r="DF30" i="2"/>
  <c r="DG10" i="5" s="1"/>
  <c r="DF33" i="2"/>
  <c r="DF38" i="2" s="1"/>
  <c r="DN25" i="3" l="1"/>
  <c r="BS46" i="2"/>
  <c r="BS47" i="2" s="1"/>
  <c r="BS11" i="5"/>
  <c r="DM29" i="3"/>
  <c r="DM43" i="2"/>
  <c r="DM45" i="2" s="1"/>
  <c r="DM6" i="5"/>
  <c r="DO30" i="3"/>
  <c r="DP24" i="3" s="1"/>
  <c r="DO4" i="5"/>
  <c r="DP28" i="3"/>
  <c r="DL9" i="5"/>
  <c r="DM26" i="3"/>
  <c r="DN21" i="5"/>
  <c r="DN22" i="5" s="1"/>
  <c r="DN5" i="5" s="1"/>
  <c r="DN7" i="5" s="1"/>
  <c r="DG30" i="2"/>
  <c r="DH10" i="5" s="1"/>
  <c r="DG33" i="2"/>
  <c r="DG38" i="2" s="1"/>
  <c r="DH34" i="2"/>
  <c r="DI28" i="2" s="1"/>
  <c r="DI29" i="2" s="1"/>
  <c r="DO25" i="3" l="1"/>
  <c r="BS12" i="5"/>
  <c r="BS13" i="5"/>
  <c r="BT25" i="5"/>
  <c r="BT26" i="5" s="1"/>
  <c r="DN29" i="3"/>
  <c r="DN43" i="2"/>
  <c r="DN45" i="2" s="1"/>
  <c r="DN6" i="5"/>
  <c r="DO21" i="5"/>
  <c r="DO22" i="5" s="1"/>
  <c r="DO5" i="5" s="1"/>
  <c r="DO7" i="5" s="1"/>
  <c r="DN26" i="3"/>
  <c r="DM9" i="5"/>
  <c r="DQ28" i="3"/>
  <c r="DP4" i="5"/>
  <c r="DP30" i="3"/>
  <c r="DQ24" i="3" s="1"/>
  <c r="DI34" i="2"/>
  <c r="DJ28" i="2" s="1"/>
  <c r="DJ29" i="2" s="1"/>
  <c r="DH30" i="2"/>
  <c r="DI10" i="5" s="1"/>
  <c r="DH33" i="2"/>
  <c r="DH38" i="2" s="1"/>
  <c r="DP25" i="3" l="1"/>
  <c r="BT46" i="2"/>
  <c r="BT47" i="2" s="1"/>
  <c r="BT11" i="5"/>
  <c r="DO29" i="3"/>
  <c r="DO43" i="2"/>
  <c r="DO45" i="2" s="1"/>
  <c r="DO6" i="5"/>
  <c r="DO26" i="3"/>
  <c r="DN9" i="5"/>
  <c r="DP21" i="5"/>
  <c r="DP22" i="5" s="1"/>
  <c r="DP5" i="5" s="1"/>
  <c r="DP7" i="5" s="1"/>
  <c r="DQ30" i="3"/>
  <c r="DR24" i="3" s="1"/>
  <c r="DR28" i="3"/>
  <c r="DR4" i="5" s="1"/>
  <c r="DQ4" i="5"/>
  <c r="DJ34" i="2"/>
  <c r="DK28" i="2" s="1"/>
  <c r="DK29" i="2" s="1"/>
  <c r="DI33" i="2"/>
  <c r="DI38" i="2" s="1"/>
  <c r="DI30" i="2"/>
  <c r="DJ10" i="5" s="1"/>
  <c r="DR30" i="3" l="1"/>
  <c r="DR25" i="3"/>
  <c r="DR29" i="3" s="1"/>
  <c r="DQ25" i="3"/>
  <c r="BU25" i="5"/>
  <c r="BU26" i="5" s="1"/>
  <c r="BT12" i="5"/>
  <c r="BT13" i="5"/>
  <c r="DP29" i="3"/>
  <c r="DP43" i="2"/>
  <c r="DP45" i="2" s="1"/>
  <c r="DP6" i="5"/>
  <c r="DQ21" i="5"/>
  <c r="DQ22" i="5" s="1"/>
  <c r="DQ5" i="5" s="1"/>
  <c r="DQ7" i="5" s="1"/>
  <c r="DP26" i="3"/>
  <c r="DO9" i="5"/>
  <c r="DJ30" i="2"/>
  <c r="DK10" i="5" s="1"/>
  <c r="DJ33" i="2"/>
  <c r="DJ38" i="2" s="1"/>
  <c r="DK34" i="2"/>
  <c r="DL28" i="2" s="1"/>
  <c r="DL29" i="2" s="1"/>
  <c r="BU11" i="5" l="1"/>
  <c r="BU46" i="2"/>
  <c r="BU47" i="2" s="1"/>
  <c r="DQ29" i="3"/>
  <c r="DQ43" i="2"/>
  <c r="DQ45" i="2" s="1"/>
  <c r="DR43" i="2"/>
  <c r="DR45" i="2" s="1"/>
  <c r="DQ6" i="5"/>
  <c r="DP9" i="5"/>
  <c r="DQ26" i="3"/>
  <c r="DR21" i="5"/>
  <c r="DR22" i="5" s="1"/>
  <c r="DR5" i="5" s="1"/>
  <c r="DK30" i="2"/>
  <c r="DL10" i="5" s="1"/>
  <c r="DK33" i="2"/>
  <c r="DK38" i="2" s="1"/>
  <c r="DL34" i="2"/>
  <c r="DM28" i="2" s="1"/>
  <c r="DM29" i="2" s="1"/>
  <c r="BU13" i="5" l="1"/>
  <c r="BU12" i="5"/>
  <c r="BV25" i="5"/>
  <c r="BV26" i="5" s="1"/>
  <c r="DR7" i="5"/>
  <c r="DR6" i="5"/>
  <c r="DR26" i="3"/>
  <c r="DQ9" i="5"/>
  <c r="DM34" i="2"/>
  <c r="DN28" i="2" s="1"/>
  <c r="DN29" i="2" s="1"/>
  <c r="DL33" i="2"/>
  <c r="DL38" i="2" s="1"/>
  <c r="DL30" i="2"/>
  <c r="DM10" i="5" s="1"/>
  <c r="BV46" i="2" l="1"/>
  <c r="BV47" i="2" s="1"/>
  <c r="BV11" i="5"/>
  <c r="DR9" i="5"/>
  <c r="DN34" i="2"/>
  <c r="DO28" i="2" s="1"/>
  <c r="DO29" i="2" s="1"/>
  <c r="DM33" i="2"/>
  <c r="DM38" i="2" s="1"/>
  <c r="DM30" i="2"/>
  <c r="DN10" i="5" s="1"/>
  <c r="BV13" i="5" l="1"/>
  <c r="BW25" i="5"/>
  <c r="BW26" i="5" s="1"/>
  <c r="BV12" i="5"/>
  <c r="DO34" i="2"/>
  <c r="DP28" i="2" s="1"/>
  <c r="DP29" i="2" s="1"/>
  <c r="DN30" i="2"/>
  <c r="DO10" i="5" s="1"/>
  <c r="DN33" i="2"/>
  <c r="DN38" i="2" s="1"/>
  <c r="DR32" i="3" l="1"/>
  <c r="BW11" i="5"/>
  <c r="BW46" i="2"/>
  <c r="BW47" i="2" s="1"/>
  <c r="DO33" i="2"/>
  <c r="DO38" i="2" s="1"/>
  <c r="DO30" i="2"/>
  <c r="DP10" i="5" s="1"/>
  <c r="DP34" i="2"/>
  <c r="DQ28" i="2" s="1"/>
  <c r="DQ29" i="2" s="1"/>
  <c r="BW12" i="5" l="1"/>
  <c r="BW13" i="5"/>
  <c r="BX25" i="5"/>
  <c r="BX26" i="5" s="1"/>
  <c r="DQ34" i="2"/>
  <c r="DP33" i="2"/>
  <c r="DP38" i="2" s="1"/>
  <c r="DP30" i="2"/>
  <c r="DQ10" i="5" s="1"/>
  <c r="BX11" i="5" l="1"/>
  <c r="BX46" i="2"/>
  <c r="BX47" i="2" s="1"/>
  <c r="DQ30" i="2"/>
  <c r="DQ33" i="2"/>
  <c r="DQ38" i="2" s="1"/>
  <c r="BY25" i="5" l="1"/>
  <c r="BY26" i="5" s="1"/>
  <c r="BX12" i="5"/>
  <c r="BX13" i="5"/>
  <c r="A17" i="7" a="1"/>
  <c r="E109" i="7" s="1"/>
  <c r="DR10" i="5"/>
  <c r="DS10" i="5" s="1"/>
  <c r="BY11" i="5" l="1"/>
  <c r="BY46" i="2"/>
  <c r="BY47" i="2" s="1"/>
  <c r="C43" i="7"/>
  <c r="H91" i="7"/>
  <c r="B93" i="7"/>
  <c r="G124" i="7"/>
  <c r="B72" i="7"/>
  <c r="B46" i="7"/>
  <c r="C57" i="7"/>
  <c r="C128" i="7"/>
  <c r="H44" i="7"/>
  <c r="F132" i="7"/>
  <c r="G56" i="7"/>
  <c r="H53" i="7"/>
  <c r="D70" i="7"/>
  <c r="A124" i="7"/>
  <c r="E84" i="7"/>
  <c r="D22" i="7"/>
  <c r="A62" i="7"/>
  <c r="F24" i="7"/>
  <c r="D85" i="7"/>
  <c r="F133" i="7"/>
  <c r="E60" i="7"/>
  <c r="C74" i="7"/>
  <c r="A58" i="7"/>
  <c r="C126" i="7"/>
  <c r="B51" i="7"/>
  <c r="C105" i="7"/>
  <c r="C46" i="7"/>
  <c r="F69" i="7"/>
  <c r="G81" i="7"/>
  <c r="G55" i="7"/>
  <c r="C89" i="7"/>
  <c r="D55" i="7"/>
  <c r="H118" i="7"/>
  <c r="A50" i="7"/>
  <c r="H34" i="7"/>
  <c r="F59" i="7"/>
  <c r="G118" i="7"/>
  <c r="A87" i="7"/>
  <c r="A24" i="7"/>
  <c r="D123" i="7"/>
  <c r="E87" i="7"/>
  <c r="E134" i="7"/>
  <c r="F107" i="7"/>
  <c r="A109" i="7"/>
  <c r="C94" i="7"/>
  <c r="C64" i="7"/>
  <c r="D78" i="7"/>
  <c r="D112" i="7"/>
  <c r="F102" i="7"/>
  <c r="G62" i="7"/>
  <c r="B63" i="7"/>
  <c r="H94" i="7"/>
  <c r="H122" i="7"/>
  <c r="F104" i="7"/>
  <c r="B59" i="7"/>
  <c r="D87" i="7"/>
  <c r="A120" i="7"/>
  <c r="F64" i="7"/>
  <c r="F127" i="7"/>
  <c r="E94" i="7"/>
  <c r="A46" i="7"/>
  <c r="G32" i="7"/>
  <c r="B17" i="7"/>
  <c r="B19" i="7"/>
  <c r="A51" i="7"/>
  <c r="D109" i="7"/>
  <c r="A86" i="7"/>
  <c r="H30" i="7"/>
  <c r="E114" i="7"/>
  <c r="E74" i="7"/>
  <c r="G17" i="7"/>
  <c r="G45" i="7"/>
  <c r="B57" i="7"/>
  <c r="H85" i="7"/>
  <c r="A122" i="7"/>
  <c r="C103" i="7"/>
  <c r="G113" i="7"/>
  <c r="B28" i="7"/>
  <c r="F70" i="7"/>
  <c r="C31" i="7"/>
  <c r="C73" i="7"/>
  <c r="G117" i="7"/>
  <c r="B54" i="7"/>
  <c r="C41" i="7"/>
  <c r="C93" i="7"/>
  <c r="B130" i="7"/>
  <c r="B79" i="7"/>
  <c r="C30" i="7"/>
  <c r="H115" i="7"/>
  <c r="G109" i="7"/>
  <c r="C51" i="7"/>
  <c r="D62" i="7"/>
  <c r="G82" i="7"/>
  <c r="D26" i="7"/>
  <c r="A103" i="7"/>
  <c r="G80" i="7"/>
  <c r="A133" i="7"/>
  <c r="G108" i="7"/>
  <c r="E59" i="7"/>
  <c r="F91" i="7"/>
  <c r="F66" i="7"/>
  <c r="B23" i="7"/>
  <c r="F45" i="7"/>
  <c r="D92" i="7"/>
  <c r="G131" i="7"/>
  <c r="B29" i="7"/>
  <c r="H28" i="7"/>
  <c r="H74" i="7"/>
  <c r="H104" i="7"/>
  <c r="C125" i="7"/>
  <c r="C91" i="7"/>
  <c r="D40" i="7"/>
  <c r="D107" i="7"/>
  <c r="F90" i="7"/>
  <c r="F42" i="7"/>
  <c r="G115" i="7"/>
  <c r="B81" i="7"/>
  <c r="B22" i="7"/>
  <c r="G44" i="7"/>
  <c r="D30" i="7"/>
  <c r="F63" i="7"/>
  <c r="C26" i="7"/>
  <c r="G105" i="7"/>
  <c r="E65" i="7"/>
  <c r="C37" i="7"/>
  <c r="B91" i="7"/>
  <c r="E41" i="7"/>
  <c r="A21" i="7"/>
  <c r="C44" i="7"/>
  <c r="B87" i="7"/>
  <c r="C124" i="7"/>
  <c r="H113" i="7"/>
  <c r="F37" i="7"/>
  <c r="G41" i="7"/>
  <c r="A53" i="7"/>
  <c r="B101" i="7"/>
  <c r="A45" i="7"/>
  <c r="C117" i="7"/>
  <c r="D77" i="7"/>
  <c r="B34" i="7"/>
  <c r="G46" i="7"/>
  <c r="B73" i="7"/>
  <c r="A33" i="7"/>
  <c r="D115" i="7"/>
  <c r="B27" i="7"/>
  <c r="H106" i="7"/>
  <c r="D32" i="7"/>
  <c r="G125" i="7"/>
  <c r="D49" i="7"/>
  <c r="A81" i="7"/>
  <c r="C82" i="7"/>
  <c r="D20" i="7"/>
  <c r="F113" i="7"/>
  <c r="B92" i="7"/>
  <c r="B66" i="7"/>
  <c r="H83" i="7"/>
  <c r="H32" i="7"/>
  <c r="B111" i="7"/>
  <c r="A114" i="7"/>
  <c r="C21" i="7"/>
  <c r="E96" i="7"/>
  <c r="F78" i="7"/>
  <c r="E104" i="7"/>
  <c r="C32" i="7"/>
  <c r="B128" i="7"/>
  <c r="C85" i="7"/>
  <c r="H105" i="7"/>
  <c r="H51" i="7"/>
  <c r="G31" i="7"/>
  <c r="F57" i="7"/>
  <c r="B117" i="7"/>
  <c r="D66" i="7"/>
  <c r="G126" i="7"/>
  <c r="F29" i="7"/>
  <c r="G59" i="7"/>
  <c r="G28" i="7"/>
  <c r="B97" i="7"/>
  <c r="B68" i="7"/>
  <c r="D75" i="7"/>
  <c r="A110" i="7"/>
  <c r="H90" i="7"/>
  <c r="B53" i="7"/>
  <c r="D110" i="7"/>
  <c r="C62" i="7"/>
  <c r="B78" i="7"/>
  <c r="E133" i="7"/>
  <c r="E115" i="7"/>
  <c r="G78" i="7"/>
  <c r="F34" i="7"/>
  <c r="E120" i="7"/>
  <c r="C50" i="7"/>
  <c r="F51" i="7"/>
  <c r="B20" i="7"/>
  <c r="H79" i="7"/>
  <c r="C17" i="7"/>
  <c r="B123" i="7"/>
  <c r="H107" i="7"/>
  <c r="B115" i="7"/>
  <c r="E37" i="7"/>
  <c r="F43" i="7"/>
  <c r="A92" i="7"/>
  <c r="H73" i="7"/>
  <c r="B25" i="7"/>
  <c r="G29" i="7"/>
  <c r="G79" i="7"/>
  <c r="F130" i="7"/>
  <c r="F72" i="7"/>
  <c r="D105" i="7"/>
  <c r="E56" i="7"/>
  <c r="H43" i="7"/>
  <c r="E17" i="7"/>
  <c r="B113" i="7"/>
  <c r="F84" i="7"/>
  <c r="E47" i="7"/>
  <c r="C123" i="7"/>
  <c r="H80" i="7"/>
  <c r="B37" i="7"/>
  <c r="D96" i="7"/>
  <c r="B39" i="7"/>
  <c r="F115" i="7"/>
  <c r="G116" i="7"/>
  <c r="B86" i="7"/>
  <c r="D45" i="7"/>
  <c r="F73" i="7"/>
  <c r="F20" i="7"/>
  <c r="B30" i="7"/>
  <c r="F39" i="7"/>
  <c r="A49" i="7"/>
  <c r="F58" i="7"/>
  <c r="A66" i="7"/>
  <c r="C72" i="7"/>
  <c r="F77" i="7"/>
  <c r="A25" i="7"/>
  <c r="B38" i="7"/>
  <c r="D50" i="7"/>
  <c r="B62" i="7"/>
  <c r="E71" i="7"/>
  <c r="C78" i="7"/>
  <c r="B84" i="7"/>
  <c r="E89" i="7"/>
  <c r="G94" i="7"/>
  <c r="B100" i="7"/>
  <c r="E105" i="7"/>
  <c r="G110" i="7"/>
  <c r="B116" i="7"/>
  <c r="E121" i="7"/>
  <c r="H125" i="7"/>
  <c r="H22" i="7"/>
  <c r="F35" i="7"/>
  <c r="A48" i="7"/>
  <c r="D60" i="7"/>
  <c r="B70" i="7"/>
  <c r="A77" i="7"/>
  <c r="A83" i="7"/>
  <c r="C88" i="7"/>
  <c r="F93" i="7"/>
  <c r="A99" i="7"/>
  <c r="C104" i="7"/>
  <c r="F109" i="7"/>
  <c r="A115" i="7"/>
  <c r="C120" i="7"/>
  <c r="A125" i="7"/>
  <c r="B36" i="7"/>
  <c r="D61" i="7"/>
  <c r="E77" i="7"/>
  <c r="G88" i="7"/>
  <c r="E99" i="7"/>
  <c r="B110" i="7"/>
  <c r="G120" i="7"/>
  <c r="A128" i="7"/>
  <c r="A132" i="7"/>
  <c r="A136" i="7"/>
  <c r="D39" i="7"/>
  <c r="D63" i="7"/>
  <c r="E79" i="7"/>
  <c r="B90" i="7"/>
  <c r="G100" i="7"/>
  <c r="E111" i="7"/>
  <c r="B122" i="7"/>
  <c r="E128" i="7"/>
  <c r="E132" i="7"/>
  <c r="E136" i="7"/>
  <c r="F40" i="7"/>
  <c r="A64" i="7"/>
  <c r="F79" i="7"/>
  <c r="C90" i="7"/>
  <c r="A56" i="7"/>
  <c r="C102" i="7"/>
  <c r="E123" i="7"/>
  <c r="D133" i="7"/>
  <c r="E125" i="7"/>
  <c r="A117" i="7"/>
  <c r="A37" i="7"/>
  <c r="C98" i="7"/>
  <c r="F119" i="7"/>
  <c r="H131" i="7"/>
  <c r="D43" i="7"/>
  <c r="A105" i="7"/>
  <c r="D132" i="7"/>
  <c r="G70" i="7"/>
  <c r="F111" i="7"/>
  <c r="H136" i="7"/>
  <c r="H25" i="7"/>
  <c r="E36" i="7"/>
  <c r="B47" i="7"/>
  <c r="H57" i="7"/>
  <c r="C66" i="7"/>
  <c r="D24" i="7"/>
  <c r="F38" i="7"/>
  <c r="D18" i="7"/>
  <c r="F32" i="7"/>
  <c r="D44" i="7"/>
  <c r="B56" i="7"/>
  <c r="F67" i="7"/>
  <c r="A75" i="7"/>
  <c r="A22" i="7"/>
  <c r="H40" i="7"/>
  <c r="A57" i="7"/>
  <c r="D69" i="7"/>
  <c r="B80" i="7"/>
  <c r="G86" i="7"/>
  <c r="E93" i="7"/>
  <c r="E101" i="7"/>
  <c r="B108" i="7"/>
  <c r="G114" i="7"/>
  <c r="G122" i="7"/>
  <c r="H127" i="7"/>
  <c r="B32" i="7"/>
  <c r="D51" i="7"/>
  <c r="A65" i="7"/>
  <c r="E75" i="7"/>
  <c r="C84" i="7"/>
  <c r="A91" i="7"/>
  <c r="F97" i="7"/>
  <c r="F105" i="7"/>
  <c r="C112" i="7"/>
  <c r="A119" i="7"/>
  <c r="A17" i="7"/>
  <c r="H48" i="7"/>
  <c r="B74" i="7"/>
  <c r="E91" i="7"/>
  <c r="G104" i="7"/>
  <c r="B118" i="7"/>
  <c r="A129" i="7"/>
  <c r="A134" i="7"/>
  <c r="E33" i="7"/>
  <c r="D68" i="7"/>
  <c r="G84" i="7"/>
  <c r="B98" i="7"/>
  <c r="B114" i="7"/>
  <c r="A126" i="7"/>
  <c r="E131" i="7"/>
  <c r="E21" i="7"/>
  <c r="F52" i="7"/>
  <c r="B76" i="7"/>
  <c r="A93" i="7"/>
  <c r="C86" i="7"/>
  <c r="C118" i="7"/>
  <c r="D135" i="7"/>
  <c r="D134" i="7"/>
  <c r="H134" i="7"/>
  <c r="F103" i="7"/>
  <c r="E127" i="7"/>
  <c r="A18" i="7"/>
  <c r="C110" i="7"/>
  <c r="B24" i="7"/>
  <c r="C106" i="7"/>
  <c r="H17" i="7"/>
  <c r="B31" i="7"/>
  <c r="E44" i="7"/>
  <c r="C60" i="7"/>
  <c r="D17" i="7"/>
  <c r="A35" i="7"/>
  <c r="H52" i="7"/>
  <c r="B65" i="7"/>
  <c r="D74" i="7"/>
  <c r="D82" i="7"/>
  <c r="D90" i="7"/>
  <c r="D98" i="7"/>
  <c r="D106" i="7"/>
  <c r="D114" i="7"/>
  <c r="D122" i="7"/>
  <c r="G129" i="7"/>
  <c r="C121" i="7"/>
  <c r="F110" i="7"/>
  <c r="A100" i="7"/>
  <c r="H23" i="7"/>
  <c r="E34" i="7"/>
  <c r="B45" i="7"/>
  <c r="H55" i="7"/>
  <c r="G64" i="7"/>
  <c r="F21" i="7"/>
  <c r="A36" i="7"/>
  <c r="B50" i="7"/>
  <c r="E25" i="7"/>
  <c r="A42" i="7"/>
  <c r="F60" i="7"/>
  <c r="A71" i="7"/>
  <c r="D19" i="7"/>
  <c r="B44" i="7"/>
  <c r="H64" i="7"/>
  <c r="G76" i="7"/>
  <c r="B88" i="7"/>
  <c r="E97" i="7"/>
  <c r="G106" i="7"/>
  <c r="E117" i="7"/>
  <c r="H124" i="7"/>
  <c r="A29" i="7"/>
  <c r="H54" i="7"/>
  <c r="F71" i="7"/>
  <c r="F81" i="7"/>
  <c r="C92" i="7"/>
  <c r="F101" i="7"/>
  <c r="A111" i="7"/>
  <c r="F121" i="7"/>
  <c r="A30" i="7"/>
  <c r="C70" i="7"/>
  <c r="B94" i="7"/>
  <c r="G112" i="7"/>
  <c r="E126" i="7"/>
  <c r="A135" i="7"/>
  <c r="D52" i="7"/>
  <c r="B82" i="7"/>
  <c r="E103" i="7"/>
  <c r="E119" i="7"/>
  <c r="E130" i="7"/>
  <c r="E27" i="7"/>
  <c r="F68" i="7"/>
  <c r="F87" i="7"/>
  <c r="A97" i="7"/>
  <c r="D129" i="7"/>
  <c r="D130" i="7"/>
  <c r="E61" i="7"/>
  <c r="C114" i="7"/>
  <c r="H135" i="7"/>
  <c r="A121" i="7"/>
  <c r="F83" i="7"/>
  <c r="H132" i="7"/>
  <c r="H33" i="7"/>
  <c r="E52" i="7"/>
  <c r="C68" i="7"/>
  <c r="B42" i="7"/>
  <c r="H59" i="7"/>
  <c r="D72" i="7"/>
  <c r="D84" i="7"/>
  <c r="D94" i="7"/>
  <c r="D104" i="7"/>
  <c r="D116" i="7"/>
  <c r="G133" i="7"/>
  <c r="G123" i="7"/>
  <c r="A108" i="7"/>
  <c r="E18" i="7"/>
  <c r="H31" i="7"/>
  <c r="H47" i="7"/>
  <c r="G60" i="7"/>
  <c r="B18" i="7"/>
  <c r="E39" i="7"/>
  <c r="D57" i="7"/>
  <c r="E68" i="7"/>
  <c r="H76" i="7"/>
  <c r="H84" i="7"/>
  <c r="H92" i="7"/>
  <c r="H100" i="7"/>
  <c r="H108" i="7"/>
  <c r="H116" i="7"/>
  <c r="C135" i="7"/>
  <c r="C127" i="7"/>
  <c r="A118" i="7"/>
  <c r="C107" i="7"/>
  <c r="F96" i="7"/>
  <c r="H21" i="7"/>
  <c r="B43" i="7"/>
  <c r="C63" i="7"/>
  <c r="D33" i="7"/>
  <c r="B61" i="7"/>
  <c r="D79" i="7"/>
  <c r="D95" i="7"/>
  <c r="D111" i="7"/>
  <c r="G132" i="7"/>
  <c r="F114" i="7"/>
  <c r="F94" i="7"/>
  <c r="A82" i="7"/>
  <c r="C71" i="7"/>
  <c r="H56" i="7"/>
  <c r="A38" i="7"/>
  <c r="H18" i="7"/>
  <c r="F129" i="7"/>
  <c r="B121" i="7"/>
  <c r="E110" i="7"/>
  <c r="G99" i="7"/>
  <c r="B89" i="7"/>
  <c r="E78" i="7"/>
  <c r="A67" i="7"/>
  <c r="F50" i="7"/>
  <c r="F31" i="7"/>
  <c r="G18" i="7"/>
  <c r="G26" i="7"/>
  <c r="G34" i="7"/>
  <c r="G42" i="7"/>
  <c r="G50" i="7"/>
  <c r="G58" i="7"/>
  <c r="B33" i="7"/>
  <c r="E54" i="7"/>
  <c r="A20" i="7"/>
  <c r="E24" i="7"/>
  <c r="H45" i="7"/>
  <c r="C65" i="7"/>
  <c r="H36" i="7"/>
  <c r="H63" i="7"/>
  <c r="D81" i="7"/>
  <c r="D97" i="7"/>
  <c r="D113" i="7"/>
  <c r="G130" i="7"/>
  <c r="A112" i="7"/>
  <c r="F92" i="7"/>
  <c r="F80" i="7"/>
  <c r="A70" i="7"/>
  <c r="D54" i="7"/>
  <c r="E35" i="7"/>
  <c r="F136" i="7"/>
  <c r="F128" i="7"/>
  <c r="G119" i="7"/>
  <c r="B109" i="7"/>
  <c r="E98" i="7"/>
  <c r="G87" i="7"/>
  <c r="B77" i="7"/>
  <c r="D65" i="7"/>
  <c r="B48" i="7"/>
  <c r="D29" i="7"/>
  <c r="G19" i="7"/>
  <c r="G27" i="7"/>
  <c r="G35" i="7"/>
  <c r="G43" i="7"/>
  <c r="G51" i="7"/>
  <c r="H19" i="7"/>
  <c r="B41" i="7"/>
  <c r="G61" i="7"/>
  <c r="F30" i="7"/>
  <c r="A59" i="7"/>
  <c r="H77" i="7"/>
  <c r="H93" i="7"/>
  <c r="H109" i="7"/>
  <c r="C134" i="7"/>
  <c r="F116" i="7"/>
  <c r="C95" i="7"/>
  <c r="D48" i="7"/>
  <c r="H119" i="7"/>
  <c r="A80" i="7"/>
  <c r="D53" i="7"/>
  <c r="B136" i="7"/>
  <c r="B119" i="7"/>
  <c r="G97" i="7"/>
  <c r="E76" i="7"/>
  <c r="A47" i="7"/>
  <c r="C20" i="7"/>
  <c r="C36" i="7"/>
  <c r="C52" i="7"/>
  <c r="C81" i="7"/>
  <c r="F17" i="7"/>
  <c r="G93" i="7"/>
  <c r="A40" i="7"/>
  <c r="C39" i="7"/>
  <c r="H75" i="7"/>
  <c r="C119" i="7"/>
  <c r="A23" i="7"/>
  <c r="H46" i="7"/>
  <c r="B64" i="7"/>
  <c r="A79" i="7"/>
  <c r="F47" i="7"/>
  <c r="A73" i="7"/>
  <c r="E85" i="7"/>
  <c r="G98" i="7"/>
  <c r="B112" i="7"/>
  <c r="H123" i="7"/>
  <c r="D38" i="7"/>
  <c r="A63" i="7"/>
  <c r="C80" i="7"/>
  <c r="A95" i="7"/>
  <c r="A107" i="7"/>
  <c r="F117" i="7"/>
  <c r="H42" i="7"/>
  <c r="E83" i="7"/>
  <c r="E107" i="7"/>
  <c r="A130" i="7"/>
  <c r="F26" i="7"/>
  <c r="F75" i="7"/>
  <c r="B106" i="7"/>
  <c r="D127" i="7"/>
  <c r="E135" i="7"/>
  <c r="G72" i="7"/>
  <c r="A31" i="7"/>
  <c r="A127" i="7"/>
  <c r="A101" i="7"/>
  <c r="A89" i="7"/>
  <c r="H133" i="7"/>
  <c r="D128" i="7"/>
  <c r="C122" i="7"/>
  <c r="E28" i="7"/>
  <c r="B55" i="7"/>
  <c r="A28" i="7"/>
  <c r="D56" i="7"/>
  <c r="D76" i="7"/>
  <c r="D88" i="7"/>
  <c r="D102" i="7"/>
  <c r="D118" i="7"/>
  <c r="G127" i="7"/>
  <c r="C113" i="7"/>
  <c r="B21" i="7"/>
  <c r="H39" i="7"/>
  <c r="E58" i="7"/>
  <c r="D25" i="7"/>
  <c r="F46" i="7"/>
  <c r="H65" i="7"/>
  <c r="H78" i="7"/>
  <c r="H88" i="7"/>
  <c r="H98" i="7"/>
  <c r="H110" i="7"/>
  <c r="H120" i="7"/>
  <c r="C129" i="7"/>
  <c r="C115" i="7"/>
  <c r="A102" i="7"/>
  <c r="F88" i="7"/>
  <c r="E48" i="7"/>
  <c r="A19" i="7"/>
  <c r="F54" i="7"/>
  <c r="D83" i="7"/>
  <c r="D103" i="7"/>
  <c r="G136" i="7"/>
  <c r="C109" i="7"/>
  <c r="C87" i="7"/>
  <c r="A74" i="7"/>
  <c r="B52" i="7"/>
  <c r="D28" i="7"/>
  <c r="F131" i="7"/>
  <c r="E118" i="7"/>
  <c r="B105" i="7"/>
  <c r="G91" i="7"/>
  <c r="G75" i="7"/>
  <c r="A60" i="7"/>
  <c r="D36" i="7"/>
  <c r="G20" i="7"/>
  <c r="G30" i="7"/>
  <c r="G40" i="7"/>
  <c r="G52" i="7"/>
  <c r="E22" i="7"/>
  <c r="B49" i="7"/>
  <c r="A27" i="7"/>
  <c r="B35" i="7"/>
  <c r="C61" i="7"/>
  <c r="A44" i="7"/>
  <c r="D73" i="7"/>
  <c r="D93" i="7"/>
  <c r="D117" i="7"/>
  <c r="F122" i="7"/>
  <c r="A96" i="7"/>
  <c r="A78" i="7"/>
  <c r="H62" i="7"/>
  <c r="B40" i="7"/>
  <c r="F134" i="7"/>
  <c r="F124" i="7"/>
  <c r="G111" i="7"/>
  <c r="G95" i="7"/>
  <c r="E82" i="7"/>
  <c r="H68" i="7"/>
  <c r="E43" i="7"/>
  <c r="F19" i="7"/>
  <c r="G25" i="7"/>
  <c r="G37" i="7"/>
  <c r="G47" i="7"/>
  <c r="G57" i="7"/>
  <c r="E46" i="7"/>
  <c r="G69" i="7"/>
  <c r="A52" i="7"/>
  <c r="H81" i="7"/>
  <c r="H101" i="7"/>
  <c r="H121" i="7"/>
  <c r="C111" i="7"/>
  <c r="A88" i="7"/>
  <c r="H103" i="7"/>
  <c r="F74" i="7"/>
  <c r="D34" i="7"/>
  <c r="B124" i="7"/>
  <c r="E92" i="7"/>
  <c r="D64" i="7"/>
  <c r="F18" i="7"/>
  <c r="C40" i="7"/>
  <c r="D41" i="7"/>
  <c r="F36" i="7"/>
  <c r="B83" i="7"/>
  <c r="C23" i="7"/>
  <c r="E55" i="7"/>
  <c r="A98" i="7"/>
  <c r="D67" i="7"/>
  <c r="A32" i="7"/>
  <c r="B127" i="7"/>
  <c r="B107" i="7"/>
  <c r="G85" i="7"/>
  <c r="F62" i="7"/>
  <c r="F25" i="7"/>
  <c r="C29" i="7"/>
  <c r="C45" i="7"/>
  <c r="H61" i="7"/>
  <c r="C132" i="7"/>
  <c r="C77" i="7"/>
  <c r="F48" i="7"/>
  <c r="B134" i="7"/>
  <c r="E116" i="7"/>
  <c r="B95" i="7"/>
  <c r="G73" i="7"/>
  <c r="D42" i="7"/>
  <c r="C22" i="7"/>
  <c r="C38" i="7"/>
  <c r="C54" i="7"/>
  <c r="H99" i="7"/>
  <c r="A76" i="7"/>
  <c r="B133" i="7"/>
  <c r="B99" i="7"/>
  <c r="E49" i="7"/>
  <c r="C35" i="7"/>
  <c r="F27" i="7"/>
  <c r="E51" i="7"/>
  <c r="E69" i="7"/>
  <c r="F28" i="7"/>
  <c r="E53" i="7"/>
  <c r="G74" i="7"/>
  <c r="G90" i="7"/>
  <c r="G102" i="7"/>
  <c r="E113" i="7"/>
  <c r="H126" i="7"/>
  <c r="F41" i="7"/>
  <c r="E67" i="7"/>
  <c r="F85" i="7"/>
  <c r="C96" i="7"/>
  <c r="C108" i="7"/>
  <c r="C27" i="7"/>
  <c r="G77" i="7"/>
  <c r="B129" i="7"/>
  <c r="A90" i="7"/>
  <c r="B67" i="7"/>
  <c r="C42" i="7"/>
  <c r="C18" i="7"/>
  <c r="H60" i="7"/>
  <c r="G89" i="7"/>
  <c r="G121" i="7"/>
  <c r="E29" i="7"/>
  <c r="A72" i="7"/>
  <c r="H111" i="7"/>
  <c r="C53" i="7"/>
  <c r="C33" i="7"/>
  <c r="D35" i="7"/>
  <c r="B75" i="7"/>
  <c r="G101" i="7"/>
  <c r="B131" i="7"/>
  <c r="H50" i="7"/>
  <c r="A84" i="7"/>
  <c r="C55" i="7"/>
  <c r="H58" i="7"/>
  <c r="B125" i="7"/>
  <c r="C56" i="7"/>
  <c r="C28" i="7"/>
  <c r="F56" i="7"/>
  <c r="B103" i="7"/>
  <c r="B132" i="7"/>
  <c r="A69" i="7"/>
  <c r="H87" i="7"/>
  <c r="F100" i="7"/>
  <c r="C130" i="7"/>
  <c r="H97" i="7"/>
  <c r="H69" i="7"/>
  <c r="E23" i="7"/>
  <c r="H35" i="7"/>
  <c r="G53" i="7"/>
  <c r="G39" i="7"/>
  <c r="G23" i="7"/>
  <c r="A34" i="7"/>
  <c r="F61" i="7"/>
  <c r="B85" i="7"/>
  <c r="G103" i="7"/>
  <c r="E122" i="7"/>
  <c r="D21" i="7"/>
  <c r="F49" i="7"/>
  <c r="C75" i="7"/>
  <c r="C101" i="7"/>
  <c r="G134" i="7"/>
  <c r="D101" i="7"/>
  <c r="B69" i="7"/>
  <c r="F22" i="7"/>
  <c r="E40" i="7"/>
  <c r="G67" i="7"/>
  <c r="E38" i="7"/>
  <c r="G54" i="7"/>
  <c r="G38" i="7"/>
  <c r="G24" i="7"/>
  <c r="H26" i="7"/>
  <c r="E63" i="7"/>
  <c r="G83" i="7"/>
  <c r="E102" i="7"/>
  <c r="F123" i="7"/>
  <c r="F135" i="7"/>
  <c r="D47" i="7"/>
  <c r="F76" i="7"/>
  <c r="F98" i="7"/>
  <c r="G128" i="7"/>
  <c r="D99" i="7"/>
  <c r="D71" i="7"/>
  <c r="B26" i="7"/>
  <c r="H37" i="7"/>
  <c r="A94" i="7"/>
  <c r="F112" i="7"/>
  <c r="C131" i="7"/>
  <c r="H114" i="7"/>
  <c r="H102" i="7"/>
  <c r="H86" i="7"/>
  <c r="H72" i="7"/>
  <c r="F53" i="7"/>
  <c r="G68" i="7"/>
  <c r="E50" i="7"/>
  <c r="E26" i="7"/>
  <c r="A116" i="7"/>
  <c r="G135" i="7"/>
  <c r="D108" i="7"/>
  <c r="D86" i="7"/>
  <c r="H67" i="7"/>
  <c r="E31" i="7"/>
  <c r="H49" i="7"/>
  <c r="E20" i="7"/>
  <c r="D136" i="7"/>
  <c r="H129" i="7"/>
  <c r="H130" i="7"/>
  <c r="D131" i="7"/>
  <c r="F95" i="7"/>
  <c r="D46" i="7"/>
  <c r="E129" i="7"/>
  <c r="E95" i="7"/>
  <c r="D58" i="7"/>
  <c r="A131" i="7"/>
  <c r="B102" i="7"/>
  <c r="F65" i="7"/>
  <c r="A123" i="7"/>
  <c r="C100" i="7"/>
  <c r="E73" i="7"/>
  <c r="E19" i="7"/>
  <c r="B104" i="7"/>
  <c r="E81" i="7"/>
  <c r="D31" i="7"/>
  <c r="A54" i="7"/>
  <c r="C59" i="7"/>
  <c r="C19" i="7"/>
  <c r="E88" i="7"/>
  <c r="D27" i="7"/>
  <c r="F108" i="7"/>
  <c r="C58" i="7"/>
  <c r="C34" i="7"/>
  <c r="D23" i="7"/>
  <c r="A68" i="7"/>
  <c r="E100" i="7"/>
  <c r="B126" i="7"/>
  <c r="A39" i="7"/>
  <c r="F82" i="7"/>
  <c r="H95" i="7"/>
  <c r="C49" i="7"/>
  <c r="C25" i="7"/>
  <c r="F44" i="7"/>
  <c r="E80" i="7"/>
  <c r="E112" i="7"/>
  <c r="B135" i="7"/>
  <c r="B60" i="7"/>
  <c r="C136" i="7"/>
  <c r="C47" i="7"/>
  <c r="E72" i="7"/>
  <c r="F55" i="7"/>
  <c r="C48" i="7"/>
  <c r="C24" i="7"/>
  <c r="B71" i="7"/>
  <c r="E108" i="7"/>
  <c r="H24" i="7"/>
  <c r="F86" i="7"/>
  <c r="H71" i="7"/>
  <c r="A106" i="7"/>
  <c r="H117" i="7"/>
  <c r="H89" i="7"/>
  <c r="E64" i="7"/>
  <c r="G65" i="7"/>
  <c r="E30" i="7"/>
  <c r="G49" i="7"/>
  <c r="G33" i="7"/>
  <c r="G21" i="7"/>
  <c r="H38" i="7"/>
  <c r="G71" i="7"/>
  <c r="E90" i="7"/>
  <c r="E106" i="7"/>
  <c r="F126" i="7"/>
  <c r="A26" i="7"/>
  <c r="D59" i="7"/>
  <c r="C83" i="7"/>
  <c r="F106" i="7"/>
  <c r="D121" i="7"/>
  <c r="D89" i="7"/>
  <c r="B58" i="7"/>
  <c r="C69" i="7"/>
  <c r="H29" i="7"/>
  <c r="G63" i="7"/>
  <c r="H27" i="7"/>
  <c r="G48" i="7"/>
  <c r="G36" i="7"/>
  <c r="G22" i="7"/>
  <c r="A41" i="7"/>
  <c r="E70" i="7"/>
  <c r="E86" i="7"/>
  <c r="G107" i="7"/>
  <c r="F125" i="7"/>
  <c r="F23" i="7"/>
  <c r="A61" i="7"/>
  <c r="C79" i="7"/>
  <c r="A104" i="7"/>
  <c r="D119" i="7"/>
  <c r="D91" i="7"/>
  <c r="E66" i="7"/>
  <c r="C67" i="7"/>
  <c r="E32" i="7"/>
  <c r="C99" i="7"/>
  <c r="F120" i="7"/>
  <c r="C133" i="7"/>
  <c r="H112" i="7"/>
  <c r="H96" i="7"/>
  <c r="H82" i="7"/>
  <c r="H70" i="7"/>
  <c r="A43" i="7"/>
  <c r="G66" i="7"/>
  <c r="E42" i="7"/>
  <c r="C97" i="7"/>
  <c r="F118" i="7"/>
  <c r="D120" i="7"/>
  <c r="D100" i="7"/>
  <c r="D80" i="7"/>
  <c r="E62" i="7"/>
  <c r="H20" i="7"/>
  <c r="H41" i="7"/>
  <c r="H128" i="7"/>
  <c r="F99" i="7"/>
  <c r="E124" i="7"/>
  <c r="D126" i="7"/>
  <c r="A113" i="7"/>
  <c r="A85" i="7"/>
  <c r="F33" i="7"/>
  <c r="D124" i="7"/>
  <c r="G92" i="7"/>
  <c r="E45" i="7"/>
  <c r="D125" i="7"/>
  <c r="G96" i="7"/>
  <c r="A55" i="7"/>
  <c r="C116" i="7"/>
  <c r="F89" i="7"/>
  <c r="E57" i="7"/>
  <c r="B120" i="7"/>
  <c r="B96" i="7"/>
  <c r="H66" i="7"/>
  <c r="C76" i="7"/>
  <c r="D37" i="7"/>
  <c r="BY13" i="5" l="1"/>
  <c r="BY12" i="5"/>
  <c r="BZ25" i="5"/>
  <c r="BZ26" i="5" s="1"/>
  <c r="BZ46" i="2" l="1"/>
  <c r="BZ47" i="2" s="1"/>
  <c r="BZ11" i="5"/>
  <c r="BZ13" i="5" l="1"/>
  <c r="BZ12" i="5"/>
  <c r="CA25" i="5"/>
  <c r="CA26" i="5" s="1"/>
  <c r="CA11" i="5" l="1"/>
  <c r="CA46" i="2"/>
  <c r="CA47" i="2" s="1"/>
  <c r="CB25" i="5" l="1"/>
  <c r="CB26" i="5" s="1"/>
  <c r="CA12" i="5"/>
  <c r="CA13" i="5"/>
  <c r="CB46" i="2" l="1"/>
  <c r="CB47" i="2" s="1"/>
  <c r="CB11" i="5"/>
  <c r="CC25" i="5" l="1"/>
  <c r="CC26" i="5" s="1"/>
  <c r="CB13" i="5"/>
  <c r="CB12" i="5"/>
  <c r="CC46" i="2" l="1"/>
  <c r="CC47" i="2" s="1"/>
  <c r="CC11" i="5"/>
  <c r="CC12" i="5" l="1"/>
  <c r="CC13" i="5"/>
  <c r="CD25" i="5"/>
  <c r="CD26" i="5" s="1"/>
  <c r="CD11" i="5" l="1"/>
  <c r="CD46" i="2"/>
  <c r="CD47" i="2" s="1"/>
  <c r="CD13" i="5" l="1"/>
  <c r="CD12" i="5"/>
  <c r="CE25" i="5"/>
  <c r="CE26" i="5" s="1"/>
  <c r="CE46" i="2" l="1"/>
  <c r="CE47" i="2" s="1"/>
  <c r="CE11" i="5"/>
  <c r="CE12" i="5" l="1"/>
  <c r="CE13" i="5"/>
  <c r="CF25" i="5"/>
  <c r="CF26" i="5" s="1"/>
  <c r="CF46" i="2" l="1"/>
  <c r="CF47" i="2" s="1"/>
  <c r="CF11" i="5"/>
  <c r="CF13" i="5" l="1"/>
  <c r="CF12" i="5"/>
  <c r="CG25" i="5"/>
  <c r="CG26" i="5" s="1"/>
  <c r="CG11" i="5" l="1"/>
  <c r="CG46" i="2"/>
  <c r="CG47" i="2" s="1"/>
  <c r="CH25" i="5" l="1"/>
  <c r="CH26" i="5" s="1"/>
  <c r="CG12" i="5"/>
  <c r="CG13" i="5"/>
  <c r="CH46" i="2" l="1"/>
  <c r="CH47" i="2" s="1"/>
  <c r="CH11" i="5"/>
  <c r="CI25" i="5" l="1"/>
  <c r="CI26" i="5" s="1"/>
  <c r="CH13" i="5"/>
  <c r="CH12" i="5"/>
  <c r="CI11" i="5" l="1"/>
  <c r="CI46" i="2"/>
  <c r="CI47" i="2" s="1"/>
  <c r="CI13" i="5" l="1"/>
  <c r="CI12" i="5"/>
  <c r="CJ25" i="5"/>
  <c r="CJ26" i="5" s="1"/>
  <c r="CJ11" i="5" l="1"/>
  <c r="CJ46" i="2"/>
  <c r="CJ47" i="2" s="1"/>
  <c r="CJ12" i="5" l="1"/>
  <c r="CK25" i="5"/>
  <c r="CK26" i="5" s="1"/>
  <c r="CJ13" i="5"/>
  <c r="CK11" i="5" l="1"/>
  <c r="CK46" i="2"/>
  <c r="CK47" i="2" s="1"/>
  <c r="CL25" i="5" l="1"/>
  <c r="CL26" i="5" s="1"/>
  <c r="CK12" i="5"/>
  <c r="CK13" i="5"/>
  <c r="CL46" i="2" l="1"/>
  <c r="CL47" i="2" s="1"/>
  <c r="CL11" i="5"/>
  <c r="CM25" i="5" l="1"/>
  <c r="CM26" i="5" s="1"/>
  <c r="CL12" i="5"/>
  <c r="CL13" i="5"/>
  <c r="CM11" i="5" l="1"/>
  <c r="CM46" i="2"/>
  <c r="CM47" i="2" s="1"/>
  <c r="CM13" i="5" l="1"/>
  <c r="CM12" i="5"/>
  <c r="CN25" i="5"/>
  <c r="CN26" i="5" s="1"/>
  <c r="CN46" i="2" l="1"/>
  <c r="CN47" i="2" s="1"/>
  <c r="CN11" i="5"/>
  <c r="CN13" i="5" l="1"/>
  <c r="CN12" i="5"/>
  <c r="CO25" i="5"/>
  <c r="CO26" i="5" s="1"/>
  <c r="CO46" i="2" l="1"/>
  <c r="CO47" i="2" s="1"/>
  <c r="CO11" i="5"/>
  <c r="CO13" i="5" l="1"/>
  <c r="CO12" i="5"/>
  <c r="CP25" i="5"/>
  <c r="CP26" i="5" s="1"/>
  <c r="CP46" i="2" l="1"/>
  <c r="CP47" i="2" s="1"/>
  <c r="CP11" i="5"/>
  <c r="CQ25" i="5" l="1"/>
  <c r="CQ26" i="5" s="1"/>
  <c r="CP12" i="5"/>
  <c r="CP13" i="5"/>
  <c r="CQ11" i="5" l="1"/>
  <c r="CQ46" i="2"/>
  <c r="CQ47" i="2" s="1"/>
  <c r="CQ13" i="5" l="1"/>
  <c r="CQ12" i="5"/>
  <c r="CR25" i="5"/>
  <c r="CR26" i="5" s="1"/>
  <c r="CR46" i="2" l="1"/>
  <c r="CR47" i="2" s="1"/>
  <c r="CR11" i="5"/>
  <c r="CR13" i="5" l="1"/>
  <c r="CS25" i="5"/>
  <c r="CS26" i="5" s="1"/>
  <c r="CR12" i="5"/>
  <c r="CS11" i="5" l="1"/>
  <c r="CS46" i="2"/>
  <c r="CS47" i="2" s="1"/>
  <c r="CS13" i="5" l="1"/>
  <c r="CS12" i="5"/>
  <c r="CT25" i="5"/>
  <c r="CT26" i="5" s="1"/>
  <c r="CT46" i="2" l="1"/>
  <c r="CT47" i="2" s="1"/>
  <c r="CT11" i="5"/>
  <c r="CT13" i="5" l="1"/>
  <c r="CU25" i="5"/>
  <c r="CU26" i="5" s="1"/>
  <c r="CT12" i="5"/>
  <c r="CU46" i="2" l="1"/>
  <c r="CU47" i="2" s="1"/>
  <c r="CU11" i="5"/>
  <c r="CU13" i="5" l="1"/>
  <c r="CU12" i="5"/>
  <c r="CV25" i="5"/>
  <c r="CV26" i="5" s="1"/>
  <c r="CV46" i="2" l="1"/>
  <c r="CV47" i="2" s="1"/>
  <c r="CV11" i="5"/>
  <c r="CW25" i="5" l="1"/>
  <c r="CW26" i="5" s="1"/>
  <c r="CV12" i="5"/>
  <c r="CV13" i="5"/>
  <c r="CW11" i="5" l="1"/>
  <c r="CW46" i="2"/>
  <c r="CW47" i="2" s="1"/>
  <c r="CW12" i="5" l="1"/>
  <c r="CX25" i="5"/>
  <c r="CX26" i="5" s="1"/>
  <c r="CW13" i="5"/>
  <c r="CX11" i="5" l="1"/>
  <c r="CX46" i="2"/>
  <c r="CX47" i="2" s="1"/>
  <c r="CX12" i="5" l="1"/>
  <c r="CX13" i="5"/>
  <c r="CY25" i="5"/>
  <c r="CY26" i="5" s="1"/>
  <c r="CY46" i="2" l="1"/>
  <c r="CY47" i="2" s="1"/>
  <c r="CY11" i="5"/>
  <c r="CZ25" i="5" l="1"/>
  <c r="CZ26" i="5" s="1"/>
  <c r="CY12" i="5"/>
  <c r="CY13" i="5"/>
  <c r="CZ11" i="5" l="1"/>
  <c r="CZ46" i="2"/>
  <c r="CZ47" i="2" s="1"/>
  <c r="CZ12" i="5" l="1"/>
  <c r="CZ13" i="5"/>
  <c r="DA25" i="5"/>
  <c r="DA26" i="5" s="1"/>
  <c r="DA46" i="2" l="1"/>
  <c r="DA47" i="2" s="1"/>
  <c r="DA11" i="5"/>
  <c r="DA13" i="5" l="1"/>
  <c r="DB25" i="5"/>
  <c r="DB26" i="5" s="1"/>
  <c r="DA12" i="5"/>
  <c r="DB11" i="5" l="1"/>
  <c r="DB46" i="2"/>
  <c r="DB47" i="2" s="1"/>
  <c r="DB12" i="5" l="1"/>
  <c r="DC25" i="5"/>
  <c r="DC26" i="5" s="1"/>
  <c r="DB13" i="5"/>
  <c r="DC46" i="2" l="1"/>
  <c r="DC47" i="2" s="1"/>
  <c r="DC11" i="5"/>
  <c r="DC13" i="5" l="1"/>
  <c r="DC12" i="5"/>
  <c r="DD25" i="5"/>
  <c r="DD26" i="5" s="1"/>
  <c r="DD11" i="5" l="1"/>
  <c r="DD46" i="2"/>
  <c r="DD47" i="2" s="1"/>
  <c r="DD13" i="5" l="1"/>
  <c r="DD12" i="5"/>
  <c r="DE25" i="5"/>
  <c r="DE26" i="5" s="1"/>
  <c r="DE46" i="2" l="1"/>
  <c r="DE47" i="2" s="1"/>
  <c r="DE11" i="5"/>
  <c r="DE13" i="5" l="1"/>
  <c r="DE12" i="5"/>
  <c r="DF25" i="5"/>
  <c r="DF26" i="5" s="1"/>
  <c r="DF46" i="2" l="1"/>
  <c r="DF47" i="2" s="1"/>
  <c r="DF11" i="5"/>
  <c r="DF12" i="5" l="1"/>
  <c r="DF13" i="5"/>
  <c r="DG25" i="5"/>
  <c r="DG26" i="5" s="1"/>
  <c r="DG11" i="5" l="1"/>
  <c r="DG46" i="2"/>
  <c r="DG47" i="2" s="1"/>
  <c r="DG12" i="5" l="1"/>
  <c r="DG13" i="5"/>
  <c r="DH25" i="5"/>
  <c r="DH26" i="5" s="1"/>
  <c r="DH46" i="2" l="1"/>
  <c r="DH47" i="2" s="1"/>
  <c r="DH11" i="5"/>
  <c r="DI25" i="5" l="1"/>
  <c r="DI26" i="5" s="1"/>
  <c r="DH12" i="5"/>
  <c r="DH13" i="5"/>
  <c r="DI11" i="5" l="1"/>
  <c r="DI46" i="2"/>
  <c r="DI47" i="2" s="1"/>
  <c r="DI13" i="5" l="1"/>
  <c r="DI12" i="5"/>
  <c r="DJ25" i="5"/>
  <c r="DJ26" i="5" s="1"/>
  <c r="DJ11" i="5" l="1"/>
  <c r="DJ46" i="2"/>
  <c r="DJ47" i="2" s="1"/>
  <c r="DJ12" i="5" l="1"/>
  <c r="DJ13" i="5"/>
  <c r="DK25" i="5"/>
  <c r="DK26" i="5" s="1"/>
  <c r="DK11" i="5" l="1"/>
  <c r="DK46" i="2"/>
  <c r="DK47" i="2" s="1"/>
  <c r="DK13" i="5" l="1"/>
  <c r="DK12" i="5"/>
  <c r="DL25" i="5"/>
  <c r="DL26" i="5" s="1"/>
  <c r="DL11" i="5" l="1"/>
  <c r="DL46" i="2"/>
  <c r="DL47" i="2" s="1"/>
  <c r="DL13" i="5" l="1"/>
  <c r="DL12" i="5"/>
  <c r="DM25" i="5"/>
  <c r="DM26" i="5" s="1"/>
  <c r="DM11" i="5" l="1"/>
  <c r="DM46" i="2"/>
  <c r="DM47" i="2" s="1"/>
  <c r="DM13" i="5" l="1"/>
  <c r="DM12" i="5"/>
  <c r="DN25" i="5"/>
  <c r="DN26" i="5" s="1"/>
  <c r="DN46" i="2" l="1"/>
  <c r="DN47" i="2" s="1"/>
  <c r="DN11" i="5"/>
  <c r="DN13" i="5" l="1"/>
  <c r="DO25" i="5"/>
  <c r="DO26" i="5" s="1"/>
  <c r="DN12" i="5"/>
  <c r="DO46" i="2" l="1"/>
  <c r="DO47" i="2" s="1"/>
  <c r="DO11" i="5"/>
  <c r="DO12" i="5" l="1"/>
  <c r="DO13" i="5"/>
  <c r="DP25" i="5"/>
  <c r="DP26" i="5" s="1"/>
  <c r="DP11" i="5" l="1"/>
  <c r="DP46" i="2"/>
  <c r="DP47" i="2" s="1"/>
  <c r="DQ25" i="5" l="1"/>
  <c r="DQ26" i="5" s="1"/>
  <c r="DP13" i="5"/>
  <c r="DP12" i="5"/>
  <c r="DQ46" i="2" l="1"/>
  <c r="DQ47" i="2" s="1"/>
  <c r="DQ11" i="5"/>
  <c r="DR25" i="5" l="1"/>
  <c r="DR26" i="5" s="1"/>
  <c r="DQ13" i="5"/>
  <c r="DQ12" i="5"/>
  <c r="DR11" i="5" l="1"/>
  <c r="DR46" i="2"/>
  <c r="DR47" i="2" s="1"/>
  <c r="DR13" i="5" l="1"/>
  <c r="DR12" i="5"/>
</calcChain>
</file>

<file path=xl/sharedStrings.xml><?xml version="1.0" encoding="utf-8"?>
<sst xmlns="http://schemas.openxmlformats.org/spreadsheetml/2006/main" count="116" uniqueCount="82">
  <si>
    <t>Project name:</t>
  </si>
  <si>
    <t>Assumptions:</t>
  </si>
  <si>
    <t>Loan Amount</t>
  </si>
  <si>
    <t>Interest Rate</t>
  </si>
  <si>
    <t>Financial Close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</si>
  <si>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</si>
  <si>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</si>
  <si>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</si>
  <si>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</si>
  <si>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</si>
  <si>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</si>
  <si>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</si>
  <si>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</si>
  <si>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</si>
  <si>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Accrual of interest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</si>
  <si>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</si>
  <si>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</si>
  <si>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</si>
  <si>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</si>
  <si>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</si>
  <si>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</si>
  <si>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</si>
  <si>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</si>
  <si>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</si>
  <si>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</si>
  <si>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</si>
  <si>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</si>
  <si>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</si>
  <si>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</si>
  <si>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</si>
  <si>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</si>
  <si>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</si>
  <si>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</si>
  <si>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</si>
  <si>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</si>
  <si>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</si>
  <si>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</si>
  <si>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</si>
  <si>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</si>
  <si>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</si>
  <si>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</si>
  <si>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</si>
  <si>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</si>
  <si>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</si>
  <si>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</si>
  <si>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IDCOL Loan</t>
  </si>
  <si>
    <t>Repayment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</si>
  <si>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</si>
  <si>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</si>
  <si>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</si>
  <si>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</si>
  <si>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</si>
  <si>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</si>
  <si>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</si>
  <si>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</si>
  <si>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</si>
  <si>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</si>
  <si>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</si>
  <si>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Maturity date</t>
  </si>
  <si>
    <t>months</t>
  </si>
  <si>
    <t>Payment frequency</t>
  </si>
  <si>
    <t>Period</t>
  </si>
  <si>
    <t>Expected Interest Rate</t>
  </si>
  <si>
    <t>Agreement signing date</t>
  </si>
  <si>
    <t>Average Installment Size</t>
  </si>
  <si>
    <t>Annuity</t>
  </si>
  <si>
    <t>Monthly</t>
  </si>
  <si>
    <t>Moratorium period (Principal)</t>
  </si>
  <si>
    <t>Sena Kalyan Sangstha-Edible Oil Project (SKS Edible Oil)</t>
  </si>
  <si>
    <t xml:space="preserve">Principal Moratorium-Interest Capitalized </t>
  </si>
  <si>
    <t>10 years</t>
  </si>
  <si>
    <t>Total Interest Capitalized</t>
  </si>
  <si>
    <t>Particulars</t>
  </si>
  <si>
    <t>Total interest accrued</t>
  </si>
  <si>
    <t>Total interest capitalized</t>
  </si>
  <si>
    <t>Net interest accrued</t>
  </si>
  <si>
    <t>Total interest received</t>
  </si>
  <si>
    <t>Total interest receivable</t>
  </si>
  <si>
    <t>1-2</t>
  </si>
  <si>
    <t>*If payment date is not a business day, then payment date shall be immediately the preceeding business day.</t>
  </si>
  <si>
    <t>2 (i)</t>
  </si>
  <si>
    <t>2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</si>
</sst>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  <numFmt numFmtId="167" formatCode="[$-409]mmm\-yy;@"/>
  </numFmts>
  <fonts count="17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i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9">
    <xf numFmtId="0" fontId="0" fillId="0" borderId="0" xfId="0"/>
    <xf numFmtId="3" fontId="2" fillId="0" borderId="0" xfId="0" applyNumberFormat="1" applyFont="1" applyFill="1" applyBorder="1" applyAlignment="1" applyProtection="1">
      <alignment horizontal="center"/>
      <protection locked="0"/>
    </xf>
    <xf numFmtId="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1" xfId="0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4" fontId="5" fillId="0" borderId="0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protection locked="0"/>
    </xf>
    <xf numFmtId="3" fontId="2" fillId="0" borderId="1" xfId="0" applyNumberFormat="1" applyFont="1" applyFill="1" applyBorder="1" applyAlignment="1" applyProtection="1">
      <protection locked="0"/>
    </xf>
    <xf numFmtId="0" fontId="7" fillId="0" borderId="0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2" fillId="0" borderId="0" xfId="0" applyFont="1"/>
    <xf numFmtId="10" fontId="11" fillId="0" borderId="0" xfId="0" applyNumberFormat="1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Protection="1">
      <protection locked="0"/>
    </xf>
    <xf numFmtId="43" fontId="12" fillId="0" borderId="0" xfId="1" applyFont="1"/>
    <xf numFmtId="3" fontId="12" fillId="0" borderId="0" xfId="0" applyNumberFormat="1" applyFont="1" applyFill="1" applyBorder="1" applyAlignment="1" applyProtection="1">
      <protection locked="0"/>
    </xf>
    <xf numFmtId="0" fontId="12" fillId="0" borderId="1" xfId="0" applyFont="1" applyFill="1" applyBorder="1" applyProtection="1">
      <protection locked="0"/>
    </xf>
    <xf numFmtId="3" fontId="12" fillId="0" borderId="1" xfId="0" applyNumberFormat="1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right"/>
      <protection locked="0"/>
    </xf>
    <xf numFmtId="4" fontId="12" fillId="0" borderId="0" xfId="0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2" fontId="12" fillId="0" borderId="0" xfId="0" applyNumberFormat="1" applyFont="1"/>
    <xf numFmtId="0" fontId="14" fillId="0" borderId="0" xfId="0" applyFont="1" applyFill="1" applyBorder="1" applyProtection="1">
      <protection locked="0"/>
    </xf>
    <xf numFmtId="3" fontId="14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 applyFill="1" applyBorder="1" applyProtection="1">
      <protection locked="0"/>
    </xf>
    <xf numFmtId="1" fontId="12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/>
    <xf numFmtId="0" fontId="14" fillId="0" borderId="0" xfId="0" applyFont="1" applyFill="1"/>
    <xf numFmtId="1" fontId="12" fillId="0" borderId="0" xfId="0" applyNumberFormat="1" applyFont="1" applyFill="1"/>
    <xf numFmtId="166" fontId="12" fillId="0" borderId="0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/>
    <xf numFmtId="3" fontId="5" fillId="2" borderId="2" xfId="0" applyNumberFormat="1" applyFont="1" applyFill="1" applyBorder="1" applyAlignment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 applyProtection="1">
      <alignment horizontal="right"/>
      <protection locked="0"/>
    </xf>
    <xf numFmtId="3" fontId="5" fillId="0" borderId="6" xfId="0" applyNumberFormat="1" applyFont="1" applyFill="1" applyBorder="1" applyAlignment="1"/>
    <xf numFmtId="164" fontId="5" fillId="0" borderId="6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Protection="1">
      <protection locked="0"/>
    </xf>
    <xf numFmtId="3" fontId="2" fillId="0" borderId="6" xfId="0" applyNumberFormat="1" applyFont="1" applyFill="1" applyBorder="1" applyAlignment="1" applyProtection="1">
      <alignment horizontal="right"/>
      <protection locked="0"/>
    </xf>
    <xf numFmtId="3" fontId="2" fillId="0" borderId="6" xfId="0" applyNumberFormat="1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4" xfId="0" applyNumberFormat="1" applyFont="1" applyFill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0" fontId="2" fillId="2" borderId="6" xfId="0" applyFont="1" applyFill="1" applyBorder="1" applyProtection="1">
      <protection locked="0"/>
    </xf>
    <xf numFmtId="43" fontId="15" fillId="0" borderId="0" xfId="1" applyFont="1"/>
    <xf numFmtId="0" fontId="15" fillId="0" borderId="0" xfId="0" applyFont="1"/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/>
    <xf numFmtId="164" fontId="12" fillId="0" borderId="0" xfId="0" applyNumberFormat="1" applyFont="1"/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164" fontId="12" fillId="0" borderId="10" xfId="1" applyNumberFormat="1" applyFont="1" applyBorder="1"/>
    <xf numFmtId="164" fontId="12" fillId="0" borderId="2" xfId="1" applyNumberFormat="1" applyFont="1" applyBorder="1"/>
    <xf numFmtId="164" fontId="12" fillId="0" borderId="4" xfId="0" applyNumberFormat="1" applyFont="1" applyFill="1" applyBorder="1" applyAlignment="1" applyProtection="1">
      <alignment horizontal="right"/>
      <protection locked="0"/>
    </xf>
    <xf numFmtId="3" fontId="12" fillId="0" borderId="4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 applyBorder="1" applyAlignment="1" applyProtection="1">
      <alignment horizontal="right"/>
      <protection locked="0"/>
    </xf>
    <xf numFmtId="3" fontId="11" fillId="0" borderId="0" xfId="0" applyNumberFormat="1" applyFont="1" applyFill="1" applyBorder="1" applyAlignment="1"/>
    <xf numFmtId="0" fontId="12" fillId="0" borderId="0" xfId="0" applyNumberFormat="1" applyFont="1" applyFill="1" applyBorder="1" applyAlignment="1" applyProtection="1">
      <alignment horizontal="right"/>
      <protection locked="0"/>
    </xf>
    <xf numFmtId="0" fontId="12" fillId="0" borderId="4" xfId="0" applyNumberFormat="1" applyFont="1" applyFill="1" applyBorder="1" applyAlignment="1" applyProtection="1">
      <alignment horizontal="right"/>
      <protection locked="0"/>
    </xf>
    <xf numFmtId="164" fontId="11" fillId="0" borderId="0" xfId="0" applyNumberFormat="1" applyFont="1" applyFill="1" applyBorder="1" applyAlignment="1" applyProtection="1">
      <alignment horizontal="right"/>
      <protection locked="0"/>
    </xf>
    <xf numFmtId="0" fontId="11" fillId="0" borderId="0" xfId="0" applyNumberFormat="1" applyFont="1" applyFill="1" applyBorder="1" applyAlignment="1" applyProtection="1">
      <alignment horizontal="right"/>
      <protection locked="0"/>
    </xf>
    <xf numFmtId="3" fontId="11" fillId="0" borderId="2" xfId="0" applyNumberFormat="1" applyFont="1" applyFill="1" applyBorder="1" applyAlignment="1"/>
    <xf numFmtId="164" fontId="11" fillId="0" borderId="2" xfId="0" applyNumberFormat="1" applyFont="1" applyFill="1" applyBorder="1" applyAlignment="1" applyProtection="1">
      <alignment horizontal="right"/>
      <protection locked="0"/>
    </xf>
    <xf numFmtId="3" fontId="11" fillId="0" borderId="5" xfId="0" applyNumberFormat="1" applyFont="1" applyFill="1" applyBorder="1" applyAlignment="1"/>
    <xf numFmtId="164" fontId="11" fillId="0" borderId="5" xfId="0" applyNumberFormat="1" applyFont="1" applyFill="1" applyBorder="1" applyAlignment="1" applyProtection="1">
      <alignment horizontal="right"/>
      <protection locked="0"/>
    </xf>
    <xf numFmtId="3" fontId="12" fillId="0" borderId="5" xfId="0" applyNumberFormat="1" applyFont="1" applyFill="1" applyBorder="1" applyAlignment="1" applyProtection="1">
      <alignment horizontal="right"/>
      <protection locked="0"/>
    </xf>
    <xf numFmtId="3" fontId="11" fillId="0" borderId="6" xfId="0" applyNumberFormat="1" applyFont="1" applyFill="1" applyBorder="1" applyAlignment="1"/>
    <xf numFmtId="164" fontId="11" fillId="0" borderId="6" xfId="0" applyNumberFormat="1" applyFont="1" applyFill="1" applyBorder="1" applyAlignment="1" applyProtection="1">
      <alignment horizontal="right"/>
      <protection locked="0"/>
    </xf>
    <xf numFmtId="3" fontId="12" fillId="0" borderId="6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/>
    <xf numFmtId="165" fontId="12" fillId="0" borderId="4" xfId="1" applyNumberFormat="1" applyFont="1" applyFill="1" applyBorder="1"/>
    <xf numFmtId="0" fontId="12" fillId="0" borderId="0" xfId="0" applyFont="1" applyFill="1" applyBorder="1"/>
    <xf numFmtId="164" fontId="11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/>
      <protection locked="0"/>
    </xf>
    <xf numFmtId="0" fontId="5" fillId="0" borderId="1" xfId="0" applyFont="1" applyFill="1" applyBorder="1" applyProtection="1">
      <protection locked="0"/>
    </xf>
    <xf numFmtId="10" fontId="2" fillId="0" borderId="1" xfId="0" applyNumberFormat="1" applyFont="1" applyFill="1" applyBorder="1" applyAlignment="1" applyProtection="1">
      <alignment horizontal="right"/>
      <protection locked="0"/>
    </xf>
    <xf numFmtId="164" fontId="12" fillId="0" borderId="4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164" fontId="2" fillId="0" borderId="0" xfId="0" applyNumberFormat="1" applyFont="1" applyFill="1" applyBorder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1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11" xfId="0" applyNumberFormat="1" applyFont="1" applyFill="1" applyBorder="1" applyAlignment="1" applyProtection="1">
      <alignment horizontal="right"/>
      <protection locked="0"/>
    </xf>
    <xf numFmtId="15" fontId="12" fillId="0" borderId="0" xfId="0" applyNumberFormat="1" applyFont="1" applyFill="1" applyAlignment="1">
      <alignment horizontal="center"/>
    </xf>
    <xf numFmtId="164" fontId="2" fillId="0" borderId="4" xfId="0" applyNumberFormat="1" applyFont="1" applyFill="1" applyBorder="1" applyAlignment="1" applyProtection="1">
      <alignment horizontal="right" vertical="center"/>
      <protection locked="0"/>
    </xf>
    <xf numFmtId="164" fontId="2" fillId="0" borderId="4" xfId="0" applyNumberFormat="1" applyFont="1" applyFill="1" applyBorder="1" applyAlignment="1" applyProtection="1">
      <alignment horizontal="center" vertical="center"/>
      <protection locked="0"/>
    </xf>
    <xf numFmtId="167" fontId="2" fillId="2" borderId="2" xfId="0" applyNumberFormat="1" applyFont="1" applyFill="1" applyBorder="1" applyAlignment="1" applyProtection="1">
      <alignment horizontal="right"/>
      <protection locked="0"/>
    </xf>
    <xf numFmtId="10" fontId="2" fillId="0" borderId="4" xfId="2" applyNumberFormat="1" applyFont="1" applyFill="1" applyBorder="1" applyAlignment="1" applyProtection="1">
      <alignment horizontal="right"/>
      <protection locked="0"/>
    </xf>
    <xf numFmtId="10" fontId="2" fillId="0" borderId="4" xfId="0" applyNumberFormat="1" applyFont="1" applyFill="1" applyBorder="1" applyAlignment="1" applyProtection="1">
      <alignment horizontal="right"/>
      <protection locked="0"/>
    </xf>
    <xf numFmtId="10" fontId="12" fillId="0" borderId="4" xfId="2" applyNumberFormat="1" applyFont="1" applyFill="1" applyBorder="1" applyAlignment="1" applyProtection="1">
      <alignment horizontal="right"/>
      <protection locked="0"/>
    </xf>
    <xf numFmtId="0" fontId="2" fillId="5" borderId="0" xfId="0" applyFont="1" applyFill="1" applyBorder="1" applyProtection="1">
      <protection locked="0"/>
    </xf>
    <xf numFmtId="3" fontId="2" fillId="5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Protection="1">
      <protection locked="0"/>
    </xf>
    <xf numFmtId="165" fontId="5" fillId="0" borderId="0" xfId="1" applyNumberFormat="1" applyFont="1" applyFill="1" applyBorder="1" applyProtection="1">
      <protection locked="0"/>
    </xf>
    <xf numFmtId="49" fontId="12" fillId="0" borderId="0" xfId="0" applyNumberFormat="1" applyFont="1" applyAlignment="1">
      <alignment horizontal="center"/>
    </xf>
    <xf numFmtId="165" fontId="2" fillId="6" borderId="0" xfId="1" applyNumberFormat="1" applyFont="1" applyFill="1" applyBorder="1" applyProtection="1">
      <protection locked="0"/>
    </xf>
    <xf numFmtId="0" fontId="16" fillId="0" borderId="0" xfId="0" applyFont="1" applyFill="1" applyBorder="1" applyProtection="1">
      <protection locked="0"/>
    </xf>
    <xf numFmtId="15" fontId="0" fillId="0" borderId="0" xfId="0" applyNumberFormat="1" applyAlignment="1">
      <alignment vertical="center" wrapText="1"/>
    </xf>
    <xf numFmtId="0" fontId="12" fillId="0" borderId="0" xfId="0" applyFont="1" applyFill="1" applyAlignment="1">
      <alignment horizontal="center"/>
    </xf>
    <xf numFmtId="43" fontId="12" fillId="0" borderId="0" xfId="1" applyFont="1" applyFill="1" applyAlignment="1">
      <alignment horizontal="center"/>
    </xf>
    <xf numFmtId="4" fontId="12" fillId="0" borderId="0" xfId="0" applyNumberFormat="1" applyFont="1" applyFill="1" applyAlignment="1">
      <alignment horizontal="center"/>
    </xf>
    <xf numFmtId="165" fontId="2" fillId="5" borderId="0" xfId="1" applyNumberFormat="1" applyFont="1" applyFill="1" applyBorder="1" applyProtection="1">
      <protection locked="0"/>
    </xf>
    <xf numFmtId="15" fontId="12" fillId="0" borderId="0" xfId="0" applyNumberFormat="1" applyFont="1" applyFill="1"/>
    <xf numFmtId="43" fontId="12" fillId="0" borderId="0" xfId="1" applyFont="1" applyFill="1"/>
    <xf numFmtId="4" fontId="12" fillId="0" borderId="0" xfId="0" applyNumberFormat="1" applyFont="1" applyFill="1"/>
    <xf numFmtId="43" fontId="12" fillId="0" borderId="0" xfId="0" applyNumberFormat="1" applyFont="1"/>
    <xf numFmtId="2" fontId="0" fillId="0" borderId="0" xfId="0" applyNumberFormat="1" applyAlignment="1">
      <alignment vertical="center" wrapText="1"/>
    </xf>
    <xf numFmtId="3" fontId="2" fillId="0" borderId="10" xfId="0" applyNumberFormat="1" applyFont="1" applyFill="1" applyBorder="1" applyAlignment="1" applyProtection="1">
      <alignment horizontal="center"/>
      <protection locked="0"/>
    </xf>
    <xf numFmtId="3" fontId="2" fillId="0" borderId="2" xfId="0" applyNumberFormat="1" applyFont="1" applyFill="1" applyBorder="1" applyAlignment="1" applyProtection="1">
      <alignment horizontal="center"/>
      <protection locked="0"/>
    </xf>
    <xf numFmtId="3" fontId="2" fillId="0" borderId="3" xfId="0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workbookViewId="0">
      <selection activeCell="B10" sqref="B10"/>
    </sheetView>
  </sheetViews>
  <sheetFormatPr defaultColWidth="9.140625" defaultRowHeight="13.5" x14ac:dyDescent="0.25"/>
  <cols>
    <col min="1" max="1" width="21.42578125" style="24" bestFit="1" customWidth="1"/>
    <col min="2" max="2" width="17.7109375" style="24" customWidth="1"/>
    <col min="3" max="3" width="17.42578125" style="24" customWidth="1"/>
    <col min="4" max="4" width="24.5703125" style="24" bestFit="1" customWidth="1"/>
    <col min="5" max="5" width="9.140625" style="24"/>
    <col min="6" max="6" width="9.28515625" style="24" bestFit="1" customWidth="1"/>
    <col min="7" max="7" width="17.5703125" style="24" customWidth="1"/>
    <col min="8" max="16384" width="9.140625" style="24"/>
  </cols>
  <sheetData>
    <row r="1" spans="1:7" x14ac:dyDescent="0.25">
      <c r="A1" s="44" t="s">
        <v>16</v>
      </c>
      <c r="B1" s="24" t="s">
        <v>68</v>
      </c>
    </row>
    <row r="2" spans="1:7" x14ac:dyDescent="0.25">
      <c r="A2" s="44" t="s">
        <v>17</v>
      </c>
      <c r="B2" s="24" t="s">
        <v>47</v>
      </c>
    </row>
    <row r="3" spans="1:7" x14ac:dyDescent="0.25">
      <c r="A3" s="44" t="s">
        <v>18</v>
      </c>
      <c r="B3" s="24" t="s">
        <v>45</v>
      </c>
    </row>
    <row r="6" spans="1:7" ht="14.25" thickBot="1" x14ac:dyDescent="0.3"/>
    <row r="7" spans="1:7" ht="15.75" thickBot="1" x14ac:dyDescent="0.35">
      <c r="A7" s="84" t="s">
        <v>19</v>
      </c>
      <c r="B7" s="85" t="s">
        <v>20</v>
      </c>
      <c r="C7" s="85" t="s">
        <v>21</v>
      </c>
      <c r="D7" s="86" t="s">
        <v>22</v>
      </c>
      <c r="G7" s="45"/>
    </row>
    <row r="8" spans="1:7" x14ac:dyDescent="0.25">
      <c r="A8" s="133" t="s">
        <v>78</v>
      </c>
      <c r="B8" s="122">
        <v>43240</v>
      </c>
      <c r="C8" s="78">
        <v>1500000000</v>
      </c>
      <c r="D8" s="79">
        <f>C8</f>
        <v>1500000000</v>
      </c>
      <c r="F8" s="45"/>
      <c r="G8" s="47"/>
    </row>
    <row r="9" spans="1:7" x14ac:dyDescent="0.25">
      <c r="A9" s="137" t="s">
        <v>80</v>
      </c>
      <c r="B9" s="122">
        <v>43646</v>
      </c>
      <c r="C9" s="138">
        <v>200000000</v>
      </c>
      <c r="D9" s="139">
        <f>+D8+C9</f>
        <v>1700000000</v>
      </c>
      <c r="F9" s="45"/>
      <c r="G9" s="47"/>
    </row>
    <row r="10" spans="1:7" x14ac:dyDescent="0.25">
      <c r="A10" s="137" t="s">
        <v>81</v>
      </c>
      <c r="B10" s="122">
        <v>43774</v>
      </c>
      <c r="C10" s="138">
        <v>300000000</v>
      </c>
      <c r="D10" s="139">
        <f>+D9+C10</f>
        <v>2000000000</v>
      </c>
      <c r="G10" s="45"/>
    </row>
    <row r="11" spans="1:7" x14ac:dyDescent="0.25">
      <c r="A11" s="55"/>
      <c r="B11" s="141"/>
      <c r="C11" s="142"/>
      <c r="D11" s="143"/>
      <c r="G11" s="45"/>
    </row>
    <row r="12" spans="1:7" x14ac:dyDescent="0.25">
      <c r="B12" s="45"/>
      <c r="C12" s="31"/>
      <c r="D12" s="46"/>
      <c r="G12" s="45"/>
    </row>
    <row r="13" spans="1:7" x14ac:dyDescent="0.25">
      <c r="B13" s="45"/>
      <c r="C13" s="31"/>
      <c r="D13" s="46"/>
      <c r="G13" s="45"/>
    </row>
    <row r="14" spans="1:7" x14ac:dyDescent="0.25">
      <c r="B14" s="45"/>
      <c r="C14" s="31"/>
      <c r="D14" s="46"/>
      <c r="G14" s="45"/>
    </row>
    <row r="15" spans="1:7" x14ac:dyDescent="0.25">
      <c r="B15" s="45"/>
      <c r="C15" s="31"/>
      <c r="D15" s="46"/>
      <c r="G15" s="45"/>
    </row>
    <row r="16" spans="1:7" x14ac:dyDescent="0.25">
      <c r="B16" s="45"/>
      <c r="C16" s="31"/>
      <c r="D16" s="46"/>
      <c r="E16" s="24" t="s">
        <v>44</v>
      </c>
      <c r="G16" s="45"/>
    </row>
    <row r="17" spans="7:7" x14ac:dyDescent="0.25">
      <c r="G17" s="45"/>
    </row>
    <row r="18" spans="7:7" x14ac:dyDescent="0.25">
      <c r="G18" s="45"/>
    </row>
    <row r="19" spans="7:7" x14ac:dyDescent="0.25">
      <c r="G19" s="45"/>
    </row>
    <row r="20" spans="7:7" x14ac:dyDescent="0.25">
      <c r="G20" s="45"/>
    </row>
    <row r="21" spans="7:7" x14ac:dyDescent="0.25">
      <c r="G21" s="45"/>
    </row>
    <row r="22" spans="7:7" x14ac:dyDescent="0.25">
      <c r="G22" s="4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35"/>
  <sheetViews>
    <sheetView showGridLines="0" zoomScaleNormal="100" workbookViewId="0">
      <pane xSplit="1" ySplit="1" topLeftCell="W2" activePane="bottomRight" state="frozen"/>
      <selection activeCell="B31" sqref="B31"/>
      <selection pane="topRight" activeCell="B31" sqref="B31"/>
      <selection pane="bottomLeft" activeCell="B31" sqref="B31"/>
      <selection pane="bottomRight" activeCell="AH22" sqref="AH22"/>
    </sheetView>
  </sheetViews>
  <sheetFormatPr defaultColWidth="9.140625" defaultRowHeight="13.5" x14ac:dyDescent="0.25"/>
  <cols>
    <col min="1" max="1" width="30.140625" style="37" bestFit="1" customWidth="1"/>
    <col min="2" max="122" width="16.28515625" style="24" bestFit="1" customWidth="1"/>
    <col min="123" max="16384" width="9.140625" style="24"/>
  </cols>
  <sheetData>
    <row r="1" spans="1:123" ht="15" x14ac:dyDescent="0.3">
      <c r="B1" s="29">
        <f>'Accrual_SKS Edible Oil'!B23</f>
        <v>43252</v>
      </c>
      <c r="C1" s="29">
        <f>'Accrual_SKS Edible Oil'!C23</f>
        <v>43282</v>
      </c>
      <c r="D1" s="29">
        <f>'Accrual_SKS Edible Oil'!D23</f>
        <v>43313</v>
      </c>
      <c r="E1" s="29">
        <f>'Accrual_SKS Edible Oil'!E23</f>
        <v>43344</v>
      </c>
      <c r="F1" s="29">
        <f>'Accrual_SKS Edible Oil'!F23</f>
        <v>43374</v>
      </c>
      <c r="G1" s="29">
        <f>'Accrual_SKS Edible Oil'!G23</f>
        <v>43405</v>
      </c>
      <c r="H1" s="29">
        <f>'Accrual_SKS Edible Oil'!H23</f>
        <v>43435</v>
      </c>
      <c r="I1" s="29">
        <f>'Accrual_SKS Edible Oil'!I23</f>
        <v>43466</v>
      </c>
      <c r="J1" s="29">
        <f>'Accrual_SKS Edible Oil'!J23</f>
        <v>43497</v>
      </c>
      <c r="K1" s="29">
        <f>'Accrual_SKS Edible Oil'!K23</f>
        <v>43525</v>
      </c>
      <c r="L1" s="29">
        <f>'Accrual_SKS Edible Oil'!L23</f>
        <v>43556</v>
      </c>
      <c r="M1" s="29">
        <f>'Accrual_SKS Edible Oil'!M23</f>
        <v>43586</v>
      </c>
      <c r="N1" s="29">
        <f>'Accrual_SKS Edible Oil'!N23</f>
        <v>43617</v>
      </c>
      <c r="O1" s="29">
        <f>'Accrual_SKS Edible Oil'!O23</f>
        <v>43647</v>
      </c>
      <c r="P1" s="29">
        <f>'Accrual_SKS Edible Oil'!P23</f>
        <v>43678</v>
      </c>
      <c r="Q1" s="29">
        <f>'Accrual_SKS Edible Oil'!Q23</f>
        <v>43709</v>
      </c>
      <c r="R1" s="29">
        <f>'Accrual_SKS Edible Oil'!R23</f>
        <v>43739</v>
      </c>
      <c r="S1" s="29">
        <f>'Accrual_SKS Edible Oil'!S23</f>
        <v>43770</v>
      </c>
      <c r="T1" s="29">
        <f>'Accrual_SKS Edible Oil'!T23</f>
        <v>43800</v>
      </c>
      <c r="U1" s="29">
        <f>'Accrual_SKS Edible Oil'!U23</f>
        <v>43831</v>
      </c>
      <c r="V1" s="29">
        <f>'Accrual_SKS Edible Oil'!V23</f>
        <v>43862</v>
      </c>
      <c r="W1" s="29">
        <f>'Accrual_SKS Edible Oil'!W23</f>
        <v>43891</v>
      </c>
      <c r="X1" s="29">
        <f>'Accrual_SKS Edible Oil'!X23</f>
        <v>43922</v>
      </c>
      <c r="Y1" s="29">
        <f>'Accrual_SKS Edible Oil'!Y23</f>
        <v>43952</v>
      </c>
      <c r="Z1" s="29">
        <f>'Accrual_SKS Edible Oil'!Z23</f>
        <v>43983</v>
      </c>
      <c r="AA1" s="29">
        <f>'Accrual_SKS Edible Oil'!AA23</f>
        <v>44013</v>
      </c>
      <c r="AB1" s="29">
        <f>'Accrual_SKS Edible Oil'!AB23</f>
        <v>44044</v>
      </c>
      <c r="AC1" s="29">
        <f>'Accrual_SKS Edible Oil'!AC23</f>
        <v>44075</v>
      </c>
      <c r="AD1" s="29">
        <f>'Accrual_SKS Edible Oil'!AD23</f>
        <v>44105</v>
      </c>
      <c r="AE1" s="29">
        <f>'Accrual_SKS Edible Oil'!AE23</f>
        <v>44136</v>
      </c>
      <c r="AF1" s="29">
        <f>'Accrual_SKS Edible Oil'!AF23</f>
        <v>44166</v>
      </c>
      <c r="AG1" s="29">
        <f>'Accrual_SKS Edible Oil'!AG23</f>
        <v>44197</v>
      </c>
      <c r="AH1" s="29">
        <f>'Accrual_SKS Edible Oil'!AH23</f>
        <v>44228</v>
      </c>
      <c r="AI1" s="29">
        <f>'Accrual_SKS Edible Oil'!AI23</f>
        <v>44256</v>
      </c>
      <c r="AJ1" s="29">
        <f>'Accrual_SKS Edible Oil'!AJ23</f>
        <v>44287</v>
      </c>
      <c r="AK1" s="29">
        <f>'Accrual_SKS Edible Oil'!AK23</f>
        <v>44317</v>
      </c>
      <c r="AL1" s="29">
        <f>'Accrual_SKS Edible Oil'!AL23</f>
        <v>44348</v>
      </c>
      <c r="AM1" s="29">
        <f>'Accrual_SKS Edible Oil'!AM23</f>
        <v>44378</v>
      </c>
      <c r="AN1" s="29">
        <f>'Accrual_SKS Edible Oil'!AN23</f>
        <v>44409</v>
      </c>
      <c r="AO1" s="29">
        <f>'Accrual_SKS Edible Oil'!AO23</f>
        <v>44440</v>
      </c>
      <c r="AP1" s="29">
        <f>'Accrual_SKS Edible Oil'!AP23</f>
        <v>44470</v>
      </c>
      <c r="AQ1" s="29">
        <f>'Accrual_SKS Edible Oil'!AQ23</f>
        <v>44501</v>
      </c>
      <c r="AR1" s="29">
        <f>'Accrual_SKS Edible Oil'!AR23</f>
        <v>44531</v>
      </c>
      <c r="AS1" s="29">
        <f>'Accrual_SKS Edible Oil'!AS23</f>
        <v>44562</v>
      </c>
      <c r="AT1" s="29">
        <f>'Accrual_SKS Edible Oil'!AT23</f>
        <v>44593</v>
      </c>
      <c r="AU1" s="29">
        <f>'Accrual_SKS Edible Oil'!AU23</f>
        <v>44621</v>
      </c>
      <c r="AV1" s="29">
        <f>'Accrual_SKS Edible Oil'!AV23</f>
        <v>44652</v>
      </c>
      <c r="AW1" s="29">
        <f>'Accrual_SKS Edible Oil'!AW23</f>
        <v>44682</v>
      </c>
      <c r="AX1" s="29">
        <f>'Accrual_SKS Edible Oil'!AX23</f>
        <v>44713</v>
      </c>
      <c r="AY1" s="29">
        <f>'Accrual_SKS Edible Oil'!AY23</f>
        <v>44743</v>
      </c>
      <c r="AZ1" s="29">
        <f>'Accrual_SKS Edible Oil'!AZ23</f>
        <v>44774</v>
      </c>
      <c r="BA1" s="29">
        <f>'Accrual_SKS Edible Oil'!BA23</f>
        <v>44805</v>
      </c>
      <c r="BB1" s="29">
        <f>'Accrual_SKS Edible Oil'!BB23</f>
        <v>44835</v>
      </c>
      <c r="BC1" s="29">
        <f>'Accrual_SKS Edible Oil'!BC23</f>
        <v>44866</v>
      </c>
      <c r="BD1" s="29">
        <f>'Accrual_SKS Edible Oil'!BD23</f>
        <v>44896</v>
      </c>
      <c r="BE1" s="29">
        <f>'Accrual_SKS Edible Oil'!BE23</f>
        <v>44927</v>
      </c>
      <c r="BF1" s="29">
        <f>'Accrual_SKS Edible Oil'!BF23</f>
        <v>44958</v>
      </c>
      <c r="BG1" s="29">
        <f>'Accrual_SKS Edible Oil'!BG23</f>
        <v>44986</v>
      </c>
      <c r="BH1" s="29">
        <f>'Accrual_SKS Edible Oil'!BH23</f>
        <v>45017</v>
      </c>
      <c r="BI1" s="29">
        <f>'Accrual_SKS Edible Oil'!BI23</f>
        <v>45047</v>
      </c>
      <c r="BJ1" s="29">
        <f>'Accrual_SKS Edible Oil'!BJ23</f>
        <v>45078</v>
      </c>
      <c r="BK1" s="29">
        <f>'Accrual_SKS Edible Oil'!BK23</f>
        <v>45108</v>
      </c>
      <c r="BL1" s="29">
        <f>'Accrual_SKS Edible Oil'!BL23</f>
        <v>45139</v>
      </c>
      <c r="BM1" s="29">
        <f>'Accrual_SKS Edible Oil'!BM23</f>
        <v>45170</v>
      </c>
      <c r="BN1" s="29">
        <f>'Accrual_SKS Edible Oil'!BN23</f>
        <v>45200</v>
      </c>
      <c r="BO1" s="29">
        <f>'Accrual_SKS Edible Oil'!BO23</f>
        <v>45231</v>
      </c>
      <c r="BP1" s="29">
        <f>'Accrual_SKS Edible Oil'!BP23</f>
        <v>45261</v>
      </c>
      <c r="BQ1" s="29">
        <f>'Accrual_SKS Edible Oil'!BQ23</f>
        <v>45292</v>
      </c>
      <c r="BR1" s="29">
        <f>'Accrual_SKS Edible Oil'!BR23</f>
        <v>45323</v>
      </c>
      <c r="BS1" s="29">
        <f>'Accrual_SKS Edible Oil'!BS23</f>
        <v>45352</v>
      </c>
      <c r="BT1" s="29">
        <f>'Accrual_SKS Edible Oil'!BT23</f>
        <v>45383</v>
      </c>
      <c r="BU1" s="29">
        <f>'Accrual_SKS Edible Oil'!BU23</f>
        <v>45413</v>
      </c>
      <c r="BV1" s="29">
        <f>'Accrual_SKS Edible Oil'!BV23</f>
        <v>45444</v>
      </c>
      <c r="BW1" s="29">
        <f>'Accrual_SKS Edible Oil'!BW23</f>
        <v>45474</v>
      </c>
      <c r="BX1" s="29">
        <f>'Accrual_SKS Edible Oil'!BX23</f>
        <v>45505</v>
      </c>
      <c r="BY1" s="29">
        <f>'Accrual_SKS Edible Oil'!BY23</f>
        <v>45536</v>
      </c>
      <c r="BZ1" s="29">
        <f>'Accrual_SKS Edible Oil'!BZ23</f>
        <v>45566</v>
      </c>
      <c r="CA1" s="29">
        <f>'Accrual_SKS Edible Oil'!CA23</f>
        <v>45597</v>
      </c>
      <c r="CB1" s="29">
        <f>'Accrual_SKS Edible Oil'!CB23</f>
        <v>45627</v>
      </c>
      <c r="CC1" s="29">
        <f>'Accrual_SKS Edible Oil'!CC23</f>
        <v>45658</v>
      </c>
      <c r="CD1" s="29">
        <f>'Accrual_SKS Edible Oil'!CD23</f>
        <v>45689</v>
      </c>
      <c r="CE1" s="29">
        <f>'Accrual_SKS Edible Oil'!CE23</f>
        <v>45717</v>
      </c>
      <c r="CF1" s="29">
        <f>'Accrual_SKS Edible Oil'!CF23</f>
        <v>45748</v>
      </c>
      <c r="CG1" s="29">
        <f>'Accrual_SKS Edible Oil'!CG23</f>
        <v>45778</v>
      </c>
      <c r="CH1" s="29">
        <f>'Accrual_SKS Edible Oil'!CH23</f>
        <v>45809</v>
      </c>
      <c r="CI1" s="29">
        <f>'Accrual_SKS Edible Oil'!CI23</f>
        <v>45839</v>
      </c>
      <c r="CJ1" s="29">
        <f>'Accrual_SKS Edible Oil'!CJ23</f>
        <v>45870</v>
      </c>
      <c r="CK1" s="29">
        <f>'Accrual_SKS Edible Oil'!CK23</f>
        <v>45901</v>
      </c>
      <c r="CL1" s="29">
        <f>'Accrual_SKS Edible Oil'!CL23</f>
        <v>45931</v>
      </c>
      <c r="CM1" s="29">
        <f>'Accrual_SKS Edible Oil'!CM23</f>
        <v>45962</v>
      </c>
      <c r="CN1" s="29">
        <f>'Accrual_SKS Edible Oil'!CN23</f>
        <v>45992</v>
      </c>
      <c r="CO1" s="29">
        <f>'Accrual_SKS Edible Oil'!CO23</f>
        <v>46023</v>
      </c>
      <c r="CP1" s="29">
        <f>'Accrual_SKS Edible Oil'!CP23</f>
        <v>46054</v>
      </c>
      <c r="CQ1" s="29">
        <f>'Accrual_SKS Edible Oil'!CQ23</f>
        <v>46082</v>
      </c>
      <c r="CR1" s="29">
        <f>'Accrual_SKS Edible Oil'!CR23</f>
        <v>46113</v>
      </c>
      <c r="CS1" s="29">
        <f>'Accrual_SKS Edible Oil'!CS23</f>
        <v>46143</v>
      </c>
      <c r="CT1" s="29">
        <f>'Accrual_SKS Edible Oil'!CT23</f>
        <v>46174</v>
      </c>
      <c r="CU1" s="29">
        <f>'Accrual_SKS Edible Oil'!CU23</f>
        <v>46204</v>
      </c>
      <c r="CV1" s="29">
        <f>'Accrual_SKS Edible Oil'!CV23</f>
        <v>46235</v>
      </c>
      <c r="CW1" s="29">
        <f>'Accrual_SKS Edible Oil'!CW23</f>
        <v>46266</v>
      </c>
      <c r="CX1" s="29">
        <f>'Accrual_SKS Edible Oil'!CX23</f>
        <v>46296</v>
      </c>
      <c r="CY1" s="29">
        <f>'Accrual_SKS Edible Oil'!CY23</f>
        <v>46327</v>
      </c>
      <c r="CZ1" s="29">
        <f>'Accrual_SKS Edible Oil'!CZ23</f>
        <v>46357</v>
      </c>
      <c r="DA1" s="29">
        <f>'Accrual_SKS Edible Oil'!DA23</f>
        <v>46388</v>
      </c>
      <c r="DB1" s="29">
        <f>'Accrual_SKS Edible Oil'!DB23</f>
        <v>46419</v>
      </c>
      <c r="DC1" s="29">
        <f>'Accrual_SKS Edible Oil'!DC23</f>
        <v>46447</v>
      </c>
      <c r="DD1" s="29">
        <f>'Accrual_SKS Edible Oil'!DD23</f>
        <v>46478</v>
      </c>
      <c r="DE1" s="29">
        <f>'Accrual_SKS Edible Oil'!DE23</f>
        <v>46508</v>
      </c>
      <c r="DF1" s="29">
        <f>'Accrual_SKS Edible Oil'!DF23</f>
        <v>46539</v>
      </c>
      <c r="DG1" s="29">
        <f>'Accrual_SKS Edible Oil'!DG23</f>
        <v>46569</v>
      </c>
      <c r="DH1" s="29">
        <f>'Accrual_SKS Edible Oil'!DH23</f>
        <v>46600</v>
      </c>
      <c r="DI1" s="29">
        <f>'Accrual_SKS Edible Oil'!DI23</f>
        <v>46631</v>
      </c>
      <c r="DJ1" s="29">
        <f>'Accrual_SKS Edible Oil'!DJ23</f>
        <v>46661</v>
      </c>
      <c r="DK1" s="29">
        <f>'Accrual_SKS Edible Oil'!DK23</f>
        <v>46692</v>
      </c>
      <c r="DL1" s="29">
        <f>'Accrual_SKS Edible Oil'!DL23</f>
        <v>46722</v>
      </c>
      <c r="DM1" s="29">
        <f>'Accrual_SKS Edible Oil'!DM23</f>
        <v>46753</v>
      </c>
      <c r="DN1" s="29">
        <f>'Accrual_SKS Edible Oil'!DN23</f>
        <v>46784</v>
      </c>
      <c r="DO1" s="29">
        <f>'Accrual_SKS Edible Oil'!DO23</f>
        <v>46813</v>
      </c>
      <c r="DP1" s="29">
        <f>'Accrual_SKS Edible Oil'!DP23</f>
        <v>46844</v>
      </c>
      <c r="DQ1" s="29">
        <f>'Accrual_SKS Edible Oil'!DQ23</f>
        <v>46874</v>
      </c>
      <c r="DR1" s="29">
        <f>'Accrual_SKS Edible Oil'!DR23</f>
        <v>46905</v>
      </c>
    </row>
    <row r="2" spans="1:123" ht="15" x14ac:dyDescent="0.3">
      <c r="A2" s="38" t="s">
        <v>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</row>
    <row r="3" spans="1:123" x14ac:dyDescent="0.25">
      <c r="A3" s="39" t="s">
        <v>24</v>
      </c>
      <c r="B3" s="31">
        <f>'Accrual_SKS Edible Oil'!B24</f>
        <v>1500000000</v>
      </c>
      <c r="C3" s="31">
        <f>'Accrual_SKS Edible Oil'!C24+'SKS Edible Oil_Loan'!B29</f>
        <v>1508937500</v>
      </c>
      <c r="D3" s="31">
        <f>'Accrual_SKS Edible Oil'!D24+'SKS Edible Oil_Loan'!C29</f>
        <v>1511041666.6666667</v>
      </c>
      <c r="E3" s="31">
        <f>'Accrual_SKS Edible Oil'!E24+'SKS Edible Oil_Loan'!D29</f>
        <v>1512270833.3333333</v>
      </c>
      <c r="F3" s="31">
        <f>'Accrual_SKS Edible Oil'!F24+'SKS Edible Oil_Loan'!E29</f>
        <v>1512270833.3333333</v>
      </c>
      <c r="G3" s="31">
        <f>'Accrual_SKS Edible Oil'!G24+'SKS Edible Oil_Loan'!F29</f>
        <v>1511875000</v>
      </c>
      <c r="H3" s="31">
        <f>'Accrual_SKS Edible Oil'!H24+'SKS Edible Oil_Loan'!G29</f>
        <v>1512270833.3333333</v>
      </c>
      <c r="I3" s="31">
        <f>'Accrual_SKS Edible Oil'!I24+'SKS Edible Oil_Loan'!H29</f>
        <v>1511875000</v>
      </c>
      <c r="J3" s="31">
        <f>'Accrual_SKS Edible Oil'!J24+'SKS Edible Oil_Loan'!I29</f>
        <v>1512270833.3333333</v>
      </c>
      <c r="K3" s="31">
        <f>'Accrual_SKS Edible Oil'!K24+'SKS Edible Oil_Loan'!J29</f>
        <v>1512270833.3333333</v>
      </c>
      <c r="L3" s="31">
        <f>'Accrual_SKS Edible Oil'!L24+'SKS Edible Oil_Loan'!K29</f>
        <v>1511083333.3333333</v>
      </c>
      <c r="M3" s="31">
        <f>'Accrual_SKS Edible Oil'!M24+'SKS Edible Oil_Loan'!L29</f>
        <v>1512270833.3333333</v>
      </c>
      <c r="N3" s="31">
        <f>'Accrual_SKS Edible Oil'!N24+'SKS Edible Oil_Loan'!M29</f>
        <v>1513854166.6666667</v>
      </c>
      <c r="O3" s="31">
        <f>'Accrual_SKS Edible Oil'!O24</f>
        <v>1842291666.6666667</v>
      </c>
      <c r="P3" s="31">
        <f>'Accrual_SKS Edible Oil'!P24</f>
        <v>1842291666.6666667</v>
      </c>
      <c r="Q3" s="31">
        <f>'Accrual_SKS Edible Oil'!Q24</f>
        <v>1842291666.6666667</v>
      </c>
      <c r="R3" s="31">
        <f>'Accrual_SKS Edible Oil'!R24</f>
        <v>1842291666.6666667</v>
      </c>
      <c r="S3" s="31">
        <f>'Accrual_SKS Edible Oil'!S24</f>
        <v>1842291666.6666667</v>
      </c>
      <c r="T3" s="31">
        <f>'Accrual_SKS Edible Oil'!T24</f>
        <v>2142291666.6666667</v>
      </c>
      <c r="U3" s="31">
        <f>'Accrual_SKS Edible Oil'!U24</f>
        <v>2142291666.6666667</v>
      </c>
      <c r="V3" s="31">
        <f>'Accrual_SKS Edible Oil'!V24</f>
        <v>2142291666.6666667</v>
      </c>
      <c r="W3" s="31">
        <f>'Accrual_SKS Edible Oil'!W24</f>
        <v>2142291666.6666667</v>
      </c>
      <c r="X3" s="31">
        <f>'Accrual_SKS Edible Oil'!X24</f>
        <v>2142291666.6666667</v>
      </c>
      <c r="Y3" s="31">
        <f>'Accrual_SKS Edible Oil'!Y24</f>
        <v>2142291666.6666667</v>
      </c>
      <c r="Z3" s="31">
        <f>'Accrual_SKS Edible Oil'!Z24+SUM('SKS Edible Oil_Loan'!N29:Y29)</f>
        <v>2333658281.25</v>
      </c>
      <c r="AA3" s="31">
        <f>'Accrual_SKS Edible Oil'!AA24</f>
        <v>2333658281.25</v>
      </c>
      <c r="AB3" s="31">
        <f t="shared" ref="AB3:BX3" si="0">AA3</f>
        <v>2333658281.25</v>
      </c>
      <c r="AC3" s="31">
        <f t="shared" si="0"/>
        <v>2333658281.25</v>
      </c>
      <c r="AD3" s="31">
        <f t="shared" si="0"/>
        <v>2333658281.25</v>
      </c>
      <c r="AE3" s="31">
        <f t="shared" si="0"/>
        <v>2333658281.25</v>
      </c>
      <c r="AF3" s="31">
        <f t="shared" si="0"/>
        <v>2333658281.25</v>
      </c>
      <c r="AG3" s="31">
        <f t="shared" si="0"/>
        <v>2333658281.25</v>
      </c>
      <c r="AH3" s="31">
        <f t="shared" si="0"/>
        <v>2333658281.25</v>
      </c>
      <c r="AI3" s="31">
        <f t="shared" si="0"/>
        <v>2333658281.25</v>
      </c>
      <c r="AJ3" s="31">
        <f t="shared" si="0"/>
        <v>2333658281.25</v>
      </c>
      <c r="AK3" s="31">
        <f t="shared" si="0"/>
        <v>2333658281.25</v>
      </c>
      <c r="AL3" s="31">
        <f t="shared" si="0"/>
        <v>2333658281.25</v>
      </c>
      <c r="AM3" s="31">
        <f t="shared" si="0"/>
        <v>2333658281.25</v>
      </c>
      <c r="AN3" s="31">
        <f t="shared" si="0"/>
        <v>2333658281.25</v>
      </c>
      <c r="AO3" s="31">
        <f t="shared" si="0"/>
        <v>2333658281.25</v>
      </c>
      <c r="AP3" s="31">
        <f t="shared" si="0"/>
        <v>2333658281.25</v>
      </c>
      <c r="AQ3" s="31">
        <f t="shared" si="0"/>
        <v>2333658281.25</v>
      </c>
      <c r="AR3" s="31">
        <f t="shared" si="0"/>
        <v>2333658281.25</v>
      </c>
      <c r="AS3" s="31">
        <f t="shared" si="0"/>
        <v>2333658281.25</v>
      </c>
      <c r="AT3" s="31">
        <f t="shared" si="0"/>
        <v>2333658281.25</v>
      </c>
      <c r="AU3" s="31">
        <f t="shared" si="0"/>
        <v>2333658281.25</v>
      </c>
      <c r="AV3" s="31">
        <f t="shared" si="0"/>
        <v>2333658281.25</v>
      </c>
      <c r="AW3" s="31">
        <f t="shared" si="0"/>
        <v>2333658281.25</v>
      </c>
      <c r="AX3" s="31">
        <f t="shared" si="0"/>
        <v>2333658281.25</v>
      </c>
      <c r="AY3" s="31">
        <f t="shared" si="0"/>
        <v>2333658281.25</v>
      </c>
      <c r="AZ3" s="31">
        <f t="shared" si="0"/>
        <v>2333658281.25</v>
      </c>
      <c r="BA3" s="31">
        <f t="shared" si="0"/>
        <v>2333658281.25</v>
      </c>
      <c r="BB3" s="31">
        <f t="shared" si="0"/>
        <v>2333658281.25</v>
      </c>
      <c r="BC3" s="31">
        <f t="shared" si="0"/>
        <v>2333658281.25</v>
      </c>
      <c r="BD3" s="31">
        <f t="shared" si="0"/>
        <v>2333658281.25</v>
      </c>
      <c r="BE3" s="31">
        <f t="shared" si="0"/>
        <v>2333658281.25</v>
      </c>
      <c r="BF3" s="31">
        <f t="shared" si="0"/>
        <v>2333658281.25</v>
      </c>
      <c r="BG3" s="31">
        <f t="shared" si="0"/>
        <v>2333658281.25</v>
      </c>
      <c r="BH3" s="31">
        <f t="shared" si="0"/>
        <v>2333658281.25</v>
      </c>
      <c r="BI3" s="31">
        <f t="shared" si="0"/>
        <v>2333658281.25</v>
      </c>
      <c r="BJ3" s="31">
        <f t="shared" si="0"/>
        <v>2333658281.25</v>
      </c>
      <c r="BK3" s="31">
        <f t="shared" si="0"/>
        <v>2333658281.25</v>
      </c>
      <c r="BL3" s="31">
        <f t="shared" si="0"/>
        <v>2333658281.25</v>
      </c>
      <c r="BM3" s="31">
        <f t="shared" si="0"/>
        <v>2333658281.25</v>
      </c>
      <c r="BN3" s="31">
        <f t="shared" si="0"/>
        <v>2333658281.25</v>
      </c>
      <c r="BO3" s="31">
        <f t="shared" si="0"/>
        <v>2333658281.25</v>
      </c>
      <c r="BP3" s="31">
        <f t="shared" si="0"/>
        <v>2333658281.25</v>
      </c>
      <c r="BQ3" s="31">
        <f t="shared" si="0"/>
        <v>2333658281.25</v>
      </c>
      <c r="BR3" s="31">
        <f t="shared" si="0"/>
        <v>2333658281.25</v>
      </c>
      <c r="BS3" s="31">
        <f t="shared" si="0"/>
        <v>2333658281.25</v>
      </c>
      <c r="BT3" s="31">
        <f t="shared" si="0"/>
        <v>2333658281.25</v>
      </c>
      <c r="BU3" s="31">
        <f t="shared" si="0"/>
        <v>2333658281.25</v>
      </c>
      <c r="BV3" s="31">
        <f t="shared" si="0"/>
        <v>2333658281.25</v>
      </c>
      <c r="BW3" s="31">
        <f t="shared" si="0"/>
        <v>2333658281.25</v>
      </c>
      <c r="BX3" s="31">
        <f t="shared" si="0"/>
        <v>2333658281.25</v>
      </c>
      <c r="BY3" s="31">
        <f t="shared" ref="BY3:CH3" si="1">BX3</f>
        <v>2333658281.25</v>
      </c>
      <c r="BZ3" s="31">
        <f t="shared" si="1"/>
        <v>2333658281.25</v>
      </c>
      <c r="CA3" s="31">
        <f t="shared" si="1"/>
        <v>2333658281.25</v>
      </c>
      <c r="CB3" s="31">
        <f t="shared" si="1"/>
        <v>2333658281.25</v>
      </c>
      <c r="CC3" s="31">
        <f t="shared" si="1"/>
        <v>2333658281.25</v>
      </c>
      <c r="CD3" s="31">
        <f t="shared" si="1"/>
        <v>2333658281.25</v>
      </c>
      <c r="CE3" s="31">
        <f t="shared" si="1"/>
        <v>2333658281.25</v>
      </c>
      <c r="CF3" s="31">
        <f t="shared" si="1"/>
        <v>2333658281.25</v>
      </c>
      <c r="CG3" s="31">
        <f t="shared" si="1"/>
        <v>2333658281.25</v>
      </c>
      <c r="CH3" s="31">
        <f t="shared" si="1"/>
        <v>2333658281.25</v>
      </c>
      <c r="CI3" s="31">
        <f t="shared" ref="CI3" si="2">CH3</f>
        <v>2333658281.25</v>
      </c>
      <c r="CJ3" s="31">
        <f t="shared" ref="CJ3" si="3">CI3</f>
        <v>2333658281.25</v>
      </c>
      <c r="CK3" s="31">
        <f t="shared" ref="CK3" si="4">CJ3</f>
        <v>2333658281.25</v>
      </c>
      <c r="CL3" s="31">
        <f t="shared" ref="CL3" si="5">CK3</f>
        <v>2333658281.25</v>
      </c>
      <c r="CM3" s="31">
        <f t="shared" ref="CM3" si="6">CL3</f>
        <v>2333658281.25</v>
      </c>
      <c r="CN3" s="31">
        <f t="shared" ref="CN3" si="7">CM3</f>
        <v>2333658281.25</v>
      </c>
      <c r="CO3" s="31">
        <f t="shared" ref="CO3" si="8">CN3</f>
        <v>2333658281.25</v>
      </c>
      <c r="CP3" s="31">
        <f t="shared" ref="CP3" si="9">CO3</f>
        <v>2333658281.25</v>
      </c>
      <c r="CQ3" s="31">
        <f t="shared" ref="CQ3" si="10">CP3</f>
        <v>2333658281.25</v>
      </c>
      <c r="CR3" s="31">
        <f t="shared" ref="CR3" si="11">CQ3</f>
        <v>2333658281.25</v>
      </c>
      <c r="CS3" s="31">
        <f t="shared" ref="CS3" si="12">CR3</f>
        <v>2333658281.25</v>
      </c>
      <c r="CT3" s="31">
        <f t="shared" ref="CT3" si="13">CS3</f>
        <v>2333658281.25</v>
      </c>
      <c r="CU3" s="31">
        <f t="shared" ref="CU3" si="14">CT3</f>
        <v>2333658281.25</v>
      </c>
      <c r="CV3" s="31">
        <f t="shared" ref="CV3" si="15">CU3</f>
        <v>2333658281.25</v>
      </c>
      <c r="CW3" s="31">
        <f t="shared" ref="CW3" si="16">CV3</f>
        <v>2333658281.25</v>
      </c>
      <c r="CX3" s="31">
        <f t="shared" ref="CX3" si="17">CW3</f>
        <v>2333658281.25</v>
      </c>
      <c r="CY3" s="31">
        <f t="shared" ref="CY3" si="18">CX3</f>
        <v>2333658281.25</v>
      </c>
      <c r="CZ3" s="31">
        <f t="shared" ref="CZ3" si="19">CY3</f>
        <v>2333658281.25</v>
      </c>
      <c r="DA3" s="31">
        <f t="shared" ref="DA3" si="20">CZ3</f>
        <v>2333658281.25</v>
      </c>
      <c r="DB3" s="31">
        <f t="shared" ref="DB3" si="21">DA3</f>
        <v>2333658281.25</v>
      </c>
      <c r="DC3" s="31">
        <f t="shared" ref="DC3" si="22">DB3</f>
        <v>2333658281.25</v>
      </c>
      <c r="DD3" s="31">
        <f t="shared" ref="DD3" si="23">DC3</f>
        <v>2333658281.25</v>
      </c>
      <c r="DE3" s="31">
        <f t="shared" ref="DE3" si="24">DD3</f>
        <v>2333658281.25</v>
      </c>
      <c r="DF3" s="31">
        <f t="shared" ref="DF3" si="25">DE3</f>
        <v>2333658281.25</v>
      </c>
      <c r="DG3" s="31">
        <f t="shared" ref="DG3" si="26">DF3</f>
        <v>2333658281.25</v>
      </c>
      <c r="DH3" s="31">
        <f t="shared" ref="DH3" si="27">DG3</f>
        <v>2333658281.25</v>
      </c>
      <c r="DI3" s="31">
        <f t="shared" ref="DI3" si="28">DH3</f>
        <v>2333658281.25</v>
      </c>
      <c r="DJ3" s="31">
        <f t="shared" ref="DJ3" si="29">DI3</f>
        <v>2333658281.25</v>
      </c>
      <c r="DK3" s="31">
        <f t="shared" ref="DK3" si="30">DJ3</f>
        <v>2333658281.25</v>
      </c>
      <c r="DL3" s="31">
        <f t="shared" ref="DL3" si="31">DK3</f>
        <v>2333658281.25</v>
      </c>
      <c r="DM3" s="31">
        <f t="shared" ref="DM3" si="32">DL3</f>
        <v>2333658281.25</v>
      </c>
      <c r="DN3" s="31">
        <f t="shared" ref="DN3" si="33">DM3</f>
        <v>2333658281.25</v>
      </c>
      <c r="DO3" s="31">
        <f t="shared" ref="DO3" si="34">DN3</f>
        <v>2333658281.25</v>
      </c>
      <c r="DP3" s="31">
        <f t="shared" ref="DP3" si="35">DO3</f>
        <v>2333658281.25</v>
      </c>
      <c r="DQ3" s="31">
        <f t="shared" ref="DQ3" si="36">DP3</f>
        <v>2333658281.25</v>
      </c>
      <c r="DR3" s="31">
        <f t="shared" ref="DR3" si="37">DQ3</f>
        <v>2333658281.25</v>
      </c>
    </row>
    <row r="4" spans="1:123" x14ac:dyDescent="0.25">
      <c r="A4" s="39" t="s">
        <v>25</v>
      </c>
      <c r="B4" s="31">
        <f>'Accrual_SKS Edible Oil'!B28</f>
        <v>0</v>
      </c>
      <c r="C4" s="31">
        <f>'Accrual_SKS Edible Oil'!C28</f>
        <v>0</v>
      </c>
      <c r="D4" s="31">
        <f>'Accrual_SKS Edible Oil'!D28</f>
        <v>0</v>
      </c>
      <c r="E4" s="31">
        <f>'Accrual_SKS Edible Oil'!E28</f>
        <v>0</v>
      </c>
      <c r="F4" s="31">
        <f>'Accrual_SKS Edible Oil'!F28</f>
        <v>0</v>
      </c>
      <c r="G4" s="31">
        <f>'Accrual_SKS Edible Oil'!G28</f>
        <v>0</v>
      </c>
      <c r="H4" s="31">
        <f>'Accrual_SKS Edible Oil'!H28</f>
        <v>0</v>
      </c>
      <c r="I4" s="31">
        <f>'Accrual_SKS Edible Oil'!I28</f>
        <v>0</v>
      </c>
      <c r="J4" s="31">
        <f>'Accrual_SKS Edible Oil'!J28</f>
        <v>0</v>
      </c>
      <c r="K4" s="31">
        <f>'Accrual_SKS Edible Oil'!K28</f>
        <v>0</v>
      </c>
      <c r="L4" s="31">
        <f>'Accrual_SKS Edible Oil'!L28</f>
        <v>0</v>
      </c>
      <c r="M4" s="31">
        <f>'Accrual_SKS Edible Oil'!M28</f>
        <v>0</v>
      </c>
      <c r="N4" s="31">
        <f>'Accrual_SKS Edible Oil'!N28</f>
        <v>0</v>
      </c>
      <c r="O4" s="31">
        <f>'Accrual_SKS Edible Oil'!O28</f>
        <v>0</v>
      </c>
      <c r="P4" s="31">
        <f>'Accrual_SKS Edible Oil'!P28</f>
        <v>0</v>
      </c>
      <c r="Q4" s="31">
        <f>'Accrual_SKS Edible Oil'!Q28</f>
        <v>0</v>
      </c>
      <c r="R4" s="31">
        <f>'Accrual_SKS Edible Oil'!R28</f>
        <v>0</v>
      </c>
      <c r="S4" s="31">
        <f>'Accrual_SKS Edible Oil'!S28</f>
        <v>0</v>
      </c>
      <c r="T4" s="31">
        <f>'Accrual_SKS Edible Oil'!T28</f>
        <v>0</v>
      </c>
      <c r="U4" s="31">
        <f>'Accrual_SKS Edible Oil'!U28</f>
        <v>0</v>
      </c>
      <c r="V4" s="31">
        <f>'Accrual_SKS Edible Oil'!V28</f>
        <v>0</v>
      </c>
      <c r="W4" s="31">
        <f>'Accrual_SKS Edible Oil'!W28</f>
        <v>0</v>
      </c>
      <c r="X4" s="31">
        <f>'Accrual_SKS Edible Oil'!X28</f>
        <v>0</v>
      </c>
      <c r="Y4" s="31">
        <f>'Accrual_SKS Edible Oil'!Y28</f>
        <v>0</v>
      </c>
      <c r="Z4" s="31">
        <f>'Accrual_SKS Edible Oil'!Z28</f>
        <v>0</v>
      </c>
      <c r="AA4" s="31">
        <f>'Accrual_SKS Edible Oil'!AA28</f>
        <v>16322120.990033351</v>
      </c>
      <c r="AB4" s="31">
        <f>'Accrual_SKS Edible Oil'!AB28</f>
        <v>32773458.771237798</v>
      </c>
      <c r="AC4" s="31">
        <f>'Accrual_SKS Edible Oil'!AC28</f>
        <v>49355036.309876785</v>
      </c>
      <c r="AD4" s="31">
        <f>'Accrual_SKS Edible Oil'!AD28</f>
        <v>66067884.670696661</v>
      </c>
      <c r="AE4" s="31">
        <f>'Accrual_SKS Edible Oil'!AE28</f>
        <v>82913043.081039697</v>
      </c>
      <c r="AF4" s="31">
        <f>'Accrual_SKS Edible Oil'!AF28</f>
        <v>99891558.995464623</v>
      </c>
      <c r="AG4" s="31">
        <f>'Accrual_SKS Edible Oil'!AG28</f>
        <v>117004488.16087873</v>
      </c>
      <c r="AH4" s="31">
        <f>'Accrual_SKS Edible Oil'!AH28</f>
        <v>134252894.68218571</v>
      </c>
      <c r="AI4" s="31">
        <f>'Accrual_SKS Edible Oil'!AI28</f>
        <v>151637851.08845302</v>
      </c>
      <c r="AJ4" s="31">
        <f>'Accrual_SKS Edible Oil'!AJ28</f>
        <v>169160438.39960331</v>
      </c>
      <c r="AK4" s="31">
        <f>'Accrual_SKS Edible Oil'!AK28</f>
        <v>186821746.19363353</v>
      </c>
      <c r="AL4" s="31">
        <f>'Accrual_SKS Edible Oil'!AL28</f>
        <v>204622872.67436647</v>
      </c>
      <c r="AM4" s="31">
        <f>'Accrual_SKS Edible Oil'!AM28</f>
        <v>222564924.73973855</v>
      </c>
      <c r="AN4" s="31">
        <f>'Accrual_SKS Edible Oil'!AN28</f>
        <v>240649018.05062819</v>
      </c>
      <c r="AO4" s="31">
        <f>'Accrual_SKS Edible Oil'!AO28</f>
        <v>258876277.10022902</v>
      </c>
      <c r="AP4" s="31">
        <f>'Accrual_SKS Edible Oil'!AP28</f>
        <v>277247835.2839725</v>
      </c>
      <c r="AQ4" s="31">
        <f>'Accrual_SKS Edible Oil'!AQ28</f>
        <v>295764834.97000396</v>
      </c>
      <c r="AR4" s="31">
        <f>'Accrual_SKS Edible Oil'!AR28</f>
        <v>314428427.57021654</v>
      </c>
      <c r="AS4" s="31">
        <f>'Accrual_SKS Edible Oil'!AS28</f>
        <v>333239773.61184746</v>
      </c>
      <c r="AT4" s="31">
        <f>'Accrual_SKS Edible Oil'!AT28</f>
        <v>352200042.80964124</v>
      </c>
      <c r="AU4" s="31">
        <f>'Accrual_SKS Edible Oil'!AU28</f>
        <v>371310414.13858426</v>
      </c>
      <c r="AV4" s="31">
        <f>'Accrual_SKS Edible Oil'!AV28</f>
        <v>390572075.90721476</v>
      </c>
      <c r="AW4" s="31">
        <f>'Accrual_SKS Edible Oil'!AW28</f>
        <v>409986225.83151358</v>
      </c>
      <c r="AX4" s="31">
        <f>'Accrual_SKS Edible Oil'!AX28</f>
        <v>429554071.10937977</v>
      </c>
      <c r="AY4" s="31">
        <f>'Accrual_SKS Edible Oil'!AY28</f>
        <v>449276828.49569571</v>
      </c>
      <c r="AZ4" s="31">
        <f>'Accrual_SKS Edible Oil'!AZ28</f>
        <v>469155724.37798667</v>
      </c>
      <c r="BA4" s="31">
        <f>'Accrual_SKS Edible Oil'!BA28</f>
        <v>489191994.85267907</v>
      </c>
      <c r="BB4" s="31">
        <f>'Accrual_SKS Edible Oil'!BB28</f>
        <v>509386885.80196279</v>
      </c>
      <c r="BC4" s="31">
        <f>'Accrual_SKS Edible Oil'!BC28</f>
        <v>529741652.97126168</v>
      </c>
      <c r="BD4" s="31">
        <f>'Accrual_SKS Edible Oil'!BD28</f>
        <v>550257562.0473175</v>
      </c>
      <c r="BE4" s="31">
        <f>'Accrual_SKS Edible Oil'!BE28</f>
        <v>570935888.7368921</v>
      </c>
      <c r="BF4" s="31">
        <f>'Accrual_SKS Edible Oil'!BF28</f>
        <v>591777918.84609246</v>
      </c>
      <c r="BG4" s="31">
        <f>'Accrual_SKS Edible Oil'!BG28</f>
        <v>612784948.36032403</v>
      </c>
      <c r="BH4" s="31">
        <f>'Accrual_SKS Edible Oil'!BH28</f>
        <v>633958283.52487659</v>
      </c>
      <c r="BI4" s="31">
        <f>'Accrual_SKS Edible Oil'!BI28</f>
        <v>655299240.92614853</v>
      </c>
      <c r="BJ4" s="31">
        <f>'Accrual_SKS Edible Oil'!BJ28</f>
        <v>676809147.57351387</v>
      </c>
      <c r="BK4" s="31">
        <f>'Accrual_SKS Edible Oil'!BK28</f>
        <v>698489340.98183751</v>
      </c>
      <c r="BL4" s="31">
        <f>'Accrual_SKS Edible Oil'!BL28</f>
        <v>720341169.2546438</v>
      </c>
      <c r="BM4" s="31">
        <f>'Accrual_SKS Edible Oil'!BM28</f>
        <v>742365991.16794312</v>
      </c>
      <c r="BN4" s="31">
        <f>'Accrual_SKS Edible Oil'!BN28</f>
        <v>764565176.25472271</v>
      </c>
      <c r="BO4" s="31">
        <f>'Accrual_SKS Edible Oil'!BO28</f>
        <v>786940104.89010596</v>
      </c>
      <c r="BP4" s="31">
        <f>'Accrual_SKS Edible Oil'!BP28</f>
        <v>809492168.37718594</v>
      </c>
      <c r="BQ4" s="31">
        <f>'Accrual_SKS Edible Oil'!BQ28</f>
        <v>832222769.0335387</v>
      </c>
      <c r="BR4" s="31">
        <f>'Accrual_SKS Edible Oil'!BR28</f>
        <v>855133320.27842093</v>
      </c>
      <c r="BS4" s="31">
        <f>'Accrual_SKS Edible Oil'!BS28</f>
        <v>878225246.72065842</v>
      </c>
      <c r="BT4" s="31">
        <f>'Accrual_SKS Edible Oil'!BT28</f>
        <v>901499984.24723029</v>
      </c>
      <c r="BU4" s="31">
        <f>'Accrual_SKS Edible Oil'!BU28</f>
        <v>924958980.11255419</v>
      </c>
      <c r="BV4" s="31">
        <f>'Accrual_SKS Edible Oil'!BV28</f>
        <v>948603693.02847862</v>
      </c>
      <c r="BW4" s="31">
        <f>'Accrual_SKS Edible Oil'!BW28</f>
        <v>972435593.25498748</v>
      </c>
      <c r="BX4" s="31">
        <f>'Accrual_SKS Edible Oil'!BX28</f>
        <v>996456162.69162285</v>
      </c>
      <c r="BY4" s="31">
        <f>'Accrual_SKS Edible Oil'!BY28</f>
        <v>1020666894.9696316</v>
      </c>
      <c r="BZ4" s="31">
        <f>'Accrual_SKS Edible Oil'!BZ28</f>
        <v>1045069295.5448412</v>
      </c>
      <c r="CA4" s="31">
        <f>'Accrual_SKS Edible Oil'!CA28</f>
        <v>1069664881.7912712</v>
      </c>
      <c r="CB4" s="31">
        <f>'Accrual_SKS Edible Oil'!CB28</f>
        <v>1094455183.0954854</v>
      </c>
      <c r="CC4" s="31">
        <f>'Accrual_SKS Edible Oil'!CC28</f>
        <v>1119441740.9516914</v>
      </c>
      <c r="CD4" s="31">
        <f>'Accrual_SKS Edible Oil'!CD28</f>
        <v>1144626109.0575924</v>
      </c>
      <c r="CE4" s="31">
        <f>'Accrual_SKS Edible Oil'!CE28</f>
        <v>1170009853.4109983</v>
      </c>
      <c r="CF4" s="31">
        <f>'Accrual_SKS Edible Oil'!CF28</f>
        <v>1195594552.407202</v>
      </c>
      <c r="CG4" s="31">
        <f>'Accrual_SKS Edible Oil'!CG28</f>
        <v>1221381796.9371257</v>
      </c>
      <c r="CH4" s="31">
        <f>'Accrual_SKS Edible Oil'!CH28</f>
        <v>1247373190.4862447</v>
      </c>
      <c r="CI4" s="31">
        <f>'Accrual_SKS Edible Oil'!CI28</f>
        <v>1273570349.2342942</v>
      </c>
      <c r="CJ4" s="31">
        <f>'Accrual_SKS Edible Oil'!CJ28</f>
        <v>1299974902.1557658</v>
      </c>
      <c r="CK4" s="31">
        <f>'Accrual_SKS Edible Oil'!CK28</f>
        <v>1326588491.1211989</v>
      </c>
      <c r="CL4" s="31">
        <f>'Accrual_SKS Edible Oil'!CL28</f>
        <v>1353412770.999275</v>
      </c>
      <c r="CM4" s="31">
        <f>'Accrual_SKS Edible Oil'!CM28</f>
        <v>1380449409.7597191</v>
      </c>
      <c r="CN4" s="31">
        <f>'Accrual_SKS Edible Oil'!CN28</f>
        <v>1407700088.5770168</v>
      </c>
      <c r="CO4" s="31">
        <f>'Accrual_SKS Edible Oil'!CO28</f>
        <v>1435166501.9349515</v>
      </c>
      <c r="CP4" s="31">
        <f>'Accrual_SKS Edible Oil'!CP28</f>
        <v>1462850357.7319698</v>
      </c>
      <c r="CQ4" s="31">
        <f>'Accrual_SKS Edible Oil'!CQ28</f>
        <v>1490753377.3873813</v>
      </c>
      <c r="CR4" s="31">
        <f>'Accrual_SKS Edible Oil'!CR28</f>
        <v>1518877295.9483981</v>
      </c>
      <c r="CS4" s="31">
        <f>'Accrual_SKS Edible Oil'!CS28</f>
        <v>1547223862.1980228</v>
      </c>
      <c r="CT4" s="31">
        <f>'Accrual_SKS Edible Oil'!CT28</f>
        <v>1575794838.7637906</v>
      </c>
      <c r="CU4" s="31">
        <f>'Accrual_SKS Edible Oil'!CU28</f>
        <v>1604592002.2273707</v>
      </c>
      <c r="CV4" s="31">
        <f>'Accrual_SKS Edible Oil'!CV28</f>
        <v>1633617143.2350373</v>
      </c>
      <c r="CW4" s="31">
        <f>'Accrual_SKS Edible Oil'!CW28</f>
        <v>1662872066.6090147</v>
      </c>
      <c r="CX4" s="31">
        <f>'Accrual_SKS Edible Oil'!CX28</f>
        <v>1692358591.4597027</v>
      </c>
      <c r="CY4" s="31">
        <f>'Accrual_SKS Edible Oil'!CY28</f>
        <v>1722078551.2987921</v>
      </c>
      <c r="CZ4" s="31">
        <f>'Accrual_SKS Edible Oil'!CZ28</f>
        <v>1752033794.1532743</v>
      </c>
      <c r="DA4" s="31">
        <f>'Accrual_SKS Edible Oil'!DA28</f>
        <v>1782226182.6803544</v>
      </c>
      <c r="DB4" s="31">
        <f>'Accrual_SKS Edible Oil'!DB28</f>
        <v>1812657594.2832739</v>
      </c>
      <c r="DC4" s="31">
        <f>'Accrual_SKS Edible Oil'!DC28</f>
        <v>1843329921.2280498</v>
      </c>
      <c r="DD4" s="31">
        <f>'Accrual_SKS Edible Oil'!DD28</f>
        <v>1874245070.7611384</v>
      </c>
      <c r="DE4" s="31">
        <f>'Accrual_SKS Edible Oil'!DE28</f>
        <v>1905404965.2280309</v>
      </c>
      <c r="DF4" s="31">
        <f>'Accrual_SKS Edible Oil'!DF28</f>
        <v>1936811542.1927862</v>
      </c>
      <c r="DG4" s="31">
        <f>'Accrual_SKS Edible Oil'!DG28</f>
        <v>1968466754.5585124</v>
      </c>
      <c r="DH4" s="31">
        <f>'Accrual_SKS Edible Oil'!DH28</f>
        <v>2000372570.6888008</v>
      </c>
      <c r="DI4" s="31">
        <f>'Accrual_SKS Edible Oil'!DI28</f>
        <v>2032530974.5301206</v>
      </c>
      <c r="DJ4" s="31">
        <f>'Accrual_SKS Edible Oil'!DJ28</f>
        <v>2064943965.7351842</v>
      </c>
      <c r="DK4" s="31">
        <f>'Accrual_SKS Edible Oil'!DK28</f>
        <v>2097613559.7872877</v>
      </c>
      <c r="DL4" s="31">
        <f>'Accrual_SKS Edible Oil'!DL28</f>
        <v>2130541788.1256371</v>
      </c>
      <c r="DM4" s="31">
        <f>'Accrual_SKS Edible Oil'!DM28</f>
        <v>2163730698.2716651</v>
      </c>
      <c r="DN4" s="31">
        <f>'Accrual_SKS Edible Oil'!DN28</f>
        <v>2197182353.9563494</v>
      </c>
      <c r="DO4" s="31">
        <f>'Accrual_SKS Edible Oil'!DO28</f>
        <v>2230898835.2485371</v>
      </c>
      <c r="DP4" s="31">
        <f>'Accrual_SKS Edible Oil'!DP28</f>
        <v>2264882238.684288</v>
      </c>
      <c r="DQ4" s="31">
        <f>'Accrual_SKS Edible Oil'!DQ28</f>
        <v>2299134677.3972387</v>
      </c>
      <c r="DR4" s="31">
        <f>'Accrual_SKS Edible Oil'!DR28</f>
        <v>2333658281.25</v>
      </c>
    </row>
    <row r="5" spans="1:123" x14ac:dyDescent="0.25">
      <c r="A5" s="39" t="s">
        <v>26</v>
      </c>
      <c r="B5" s="31">
        <f t="shared" ref="B5:BD5" si="38">B22</f>
        <v>0</v>
      </c>
      <c r="C5" s="31">
        <f t="shared" si="38"/>
        <v>0</v>
      </c>
      <c r="D5" s="31">
        <f t="shared" si="38"/>
        <v>0</v>
      </c>
      <c r="E5" s="31">
        <f t="shared" si="38"/>
        <v>0</v>
      </c>
      <c r="F5" s="31">
        <f t="shared" si="38"/>
        <v>0</v>
      </c>
      <c r="G5" s="31">
        <f t="shared" si="38"/>
        <v>0</v>
      </c>
      <c r="H5" s="31">
        <f t="shared" si="38"/>
        <v>0</v>
      </c>
      <c r="I5" s="31">
        <f t="shared" si="38"/>
        <v>0</v>
      </c>
      <c r="J5" s="31">
        <f t="shared" si="38"/>
        <v>0</v>
      </c>
      <c r="K5" s="31">
        <f t="shared" si="38"/>
        <v>0</v>
      </c>
      <c r="L5" s="31">
        <f t="shared" si="38"/>
        <v>0</v>
      </c>
      <c r="M5" s="31">
        <f t="shared" si="38"/>
        <v>0</v>
      </c>
      <c r="N5" s="31">
        <f t="shared" si="38"/>
        <v>0</v>
      </c>
      <c r="O5" s="31">
        <f t="shared" si="38"/>
        <v>0</v>
      </c>
      <c r="P5" s="31">
        <f t="shared" si="38"/>
        <v>0</v>
      </c>
      <c r="Q5" s="31">
        <f t="shared" si="38"/>
        <v>0</v>
      </c>
      <c r="R5" s="31">
        <f t="shared" si="38"/>
        <v>0</v>
      </c>
      <c r="S5" s="31">
        <f t="shared" si="38"/>
        <v>0</v>
      </c>
      <c r="T5" s="31">
        <f t="shared" si="38"/>
        <v>0</v>
      </c>
      <c r="U5" s="31">
        <f t="shared" si="38"/>
        <v>0</v>
      </c>
      <c r="V5" s="31">
        <f t="shared" si="38"/>
        <v>0</v>
      </c>
      <c r="W5" s="31">
        <f t="shared" si="38"/>
        <v>0</v>
      </c>
      <c r="X5" s="31">
        <f t="shared" si="38"/>
        <v>0</v>
      </c>
      <c r="Y5" s="31">
        <f t="shared" si="38"/>
        <v>0</v>
      </c>
      <c r="Z5" s="31">
        <f t="shared" si="38"/>
        <v>0</v>
      </c>
      <c r="AA5" s="31">
        <f t="shared" si="38"/>
        <v>0</v>
      </c>
      <c r="AB5" s="31">
        <f t="shared" si="38"/>
        <v>0</v>
      </c>
      <c r="AC5" s="31">
        <f t="shared" si="38"/>
        <v>0</v>
      </c>
      <c r="AD5" s="31">
        <f t="shared" si="38"/>
        <v>0</v>
      </c>
      <c r="AE5" s="31">
        <f t="shared" si="38"/>
        <v>0</v>
      </c>
      <c r="AF5" s="31">
        <f t="shared" si="38"/>
        <v>0</v>
      </c>
      <c r="AG5" s="31">
        <f t="shared" si="38"/>
        <v>0</v>
      </c>
      <c r="AH5" s="31">
        <f t="shared" si="38"/>
        <v>0</v>
      </c>
      <c r="AI5" s="31">
        <f t="shared" si="38"/>
        <v>151637851.08845302</v>
      </c>
      <c r="AJ5" s="31">
        <f t="shared" si="38"/>
        <v>169160438.39960331</v>
      </c>
      <c r="AK5" s="31">
        <f t="shared" si="38"/>
        <v>186821746.19363353</v>
      </c>
      <c r="AL5" s="31">
        <f t="shared" si="38"/>
        <v>204622872.67436647</v>
      </c>
      <c r="AM5" s="31">
        <f t="shared" si="38"/>
        <v>222564924.73973855</v>
      </c>
      <c r="AN5" s="31">
        <f t="shared" si="38"/>
        <v>240649018.05062819</v>
      </c>
      <c r="AO5" s="31">
        <f t="shared" si="38"/>
        <v>258876277.10022902</v>
      </c>
      <c r="AP5" s="31">
        <f t="shared" si="38"/>
        <v>277247835.2839725</v>
      </c>
      <c r="AQ5" s="31">
        <f t="shared" si="38"/>
        <v>295764834.97000396</v>
      </c>
      <c r="AR5" s="31">
        <f t="shared" si="38"/>
        <v>314428427.57021654</v>
      </c>
      <c r="AS5" s="31">
        <f t="shared" si="38"/>
        <v>333239773.61184746</v>
      </c>
      <c r="AT5" s="31">
        <f t="shared" si="38"/>
        <v>352200042.80964124</v>
      </c>
      <c r="AU5" s="31">
        <f t="shared" si="38"/>
        <v>371310414.13858426</v>
      </c>
      <c r="AV5" s="31">
        <f t="shared" si="38"/>
        <v>390572075.90721476</v>
      </c>
      <c r="AW5" s="31">
        <f t="shared" si="38"/>
        <v>409986225.83151358</v>
      </c>
      <c r="AX5" s="31">
        <f t="shared" si="38"/>
        <v>429554071.10937977</v>
      </c>
      <c r="AY5" s="31">
        <f t="shared" si="38"/>
        <v>449276828.49569571</v>
      </c>
      <c r="AZ5" s="31">
        <f t="shared" si="38"/>
        <v>469155724.37798667</v>
      </c>
      <c r="BA5" s="31">
        <f t="shared" si="38"/>
        <v>489191994.85267907</v>
      </c>
      <c r="BB5" s="31">
        <f t="shared" si="38"/>
        <v>509386885.80196279</v>
      </c>
      <c r="BC5" s="31">
        <f t="shared" si="38"/>
        <v>529741652.97126168</v>
      </c>
      <c r="BD5" s="31">
        <f t="shared" si="38"/>
        <v>550257562.0473175</v>
      </c>
      <c r="BE5" s="31">
        <f t="shared" ref="BE5:BS5" si="39">BE22</f>
        <v>570935888.7368921</v>
      </c>
      <c r="BF5" s="31">
        <f t="shared" si="39"/>
        <v>591777918.84609246</v>
      </c>
      <c r="BG5" s="31">
        <f t="shared" si="39"/>
        <v>612784948.36032403</v>
      </c>
      <c r="BH5" s="31">
        <f t="shared" si="39"/>
        <v>633958283.52487659</v>
      </c>
      <c r="BI5" s="31">
        <f t="shared" si="39"/>
        <v>655299240.92614853</v>
      </c>
      <c r="BJ5" s="31">
        <f t="shared" si="39"/>
        <v>676809147.57351387</v>
      </c>
      <c r="BK5" s="31">
        <f t="shared" si="39"/>
        <v>698489340.98183751</v>
      </c>
      <c r="BL5" s="31">
        <f t="shared" si="39"/>
        <v>720341169.2546438</v>
      </c>
      <c r="BM5" s="31">
        <f t="shared" si="39"/>
        <v>742365991.16794312</v>
      </c>
      <c r="BN5" s="31">
        <f t="shared" si="39"/>
        <v>764565176.25472271</v>
      </c>
      <c r="BO5" s="31">
        <f t="shared" si="39"/>
        <v>786940104.89010596</v>
      </c>
      <c r="BP5" s="31">
        <f t="shared" si="39"/>
        <v>809492168.37718594</v>
      </c>
      <c r="BQ5" s="31">
        <f t="shared" si="39"/>
        <v>832222769.0335387</v>
      </c>
      <c r="BR5" s="31">
        <f t="shared" si="39"/>
        <v>855133320.27842093</v>
      </c>
      <c r="BS5" s="31">
        <f t="shared" si="39"/>
        <v>878225246.72065842</v>
      </c>
      <c r="BT5" s="31">
        <f t="shared" ref="BT5:CF5" si="40">BT22</f>
        <v>901499984.24723029</v>
      </c>
      <c r="BU5" s="31">
        <f t="shared" si="40"/>
        <v>924958980.11255419</v>
      </c>
      <c r="BV5" s="31">
        <f t="shared" si="40"/>
        <v>948603693.02847862</v>
      </c>
      <c r="BW5" s="31">
        <f t="shared" si="40"/>
        <v>972435593.25498748</v>
      </c>
      <c r="BX5" s="31">
        <f t="shared" si="40"/>
        <v>996456162.69162285</v>
      </c>
      <c r="BY5" s="31">
        <f t="shared" si="40"/>
        <v>1020666894.9696316</v>
      </c>
      <c r="BZ5" s="31">
        <f t="shared" si="40"/>
        <v>1045069295.5448412</v>
      </c>
      <c r="CA5" s="31">
        <f t="shared" si="40"/>
        <v>1069664881.7912712</v>
      </c>
      <c r="CB5" s="31">
        <f t="shared" si="40"/>
        <v>1094455183.0954854</v>
      </c>
      <c r="CC5" s="31">
        <f t="shared" si="40"/>
        <v>1119441740.9516914</v>
      </c>
      <c r="CD5" s="31">
        <f t="shared" si="40"/>
        <v>1144626109.0575924</v>
      </c>
      <c r="CE5" s="31">
        <f t="shared" si="40"/>
        <v>1170009853.4109983</v>
      </c>
      <c r="CF5" s="31">
        <f t="shared" si="40"/>
        <v>1195594552.407202</v>
      </c>
      <c r="CG5" s="31">
        <f>CG22</f>
        <v>1221381796.9371257</v>
      </c>
      <c r="CH5" s="31">
        <f>CH22</f>
        <v>1247373190.4862447</v>
      </c>
      <c r="CI5" s="31">
        <f t="shared" ref="CI5:DR5" si="41">CI22</f>
        <v>1273570349.2342942</v>
      </c>
      <c r="CJ5" s="31">
        <f t="shared" si="41"/>
        <v>1299974902.1557658</v>
      </c>
      <c r="CK5" s="31">
        <f t="shared" si="41"/>
        <v>1326588491.1211989</v>
      </c>
      <c r="CL5" s="31">
        <f t="shared" si="41"/>
        <v>1353412770.999275</v>
      </c>
      <c r="CM5" s="31">
        <f t="shared" si="41"/>
        <v>1380449409.7597191</v>
      </c>
      <c r="CN5" s="31">
        <f t="shared" si="41"/>
        <v>1407700088.5770168</v>
      </c>
      <c r="CO5" s="31">
        <f t="shared" si="41"/>
        <v>1435166501.9349515</v>
      </c>
      <c r="CP5" s="31">
        <f t="shared" si="41"/>
        <v>1462850357.7319698</v>
      </c>
      <c r="CQ5" s="31">
        <f t="shared" si="41"/>
        <v>1490753377.3873813</v>
      </c>
      <c r="CR5" s="31">
        <f t="shared" si="41"/>
        <v>1518877295.9483981</v>
      </c>
      <c r="CS5" s="31">
        <f t="shared" si="41"/>
        <v>1547223862.1980228</v>
      </c>
      <c r="CT5" s="31">
        <f t="shared" si="41"/>
        <v>1575794838.7637906</v>
      </c>
      <c r="CU5" s="31">
        <f t="shared" si="41"/>
        <v>1604592002.2273707</v>
      </c>
      <c r="CV5" s="31">
        <f t="shared" si="41"/>
        <v>1633617143.2350373</v>
      </c>
      <c r="CW5" s="31">
        <f t="shared" si="41"/>
        <v>1662872066.6090147</v>
      </c>
      <c r="CX5" s="31">
        <f t="shared" si="41"/>
        <v>1692358591.4597027</v>
      </c>
      <c r="CY5" s="31">
        <f t="shared" si="41"/>
        <v>1722078551.2987921</v>
      </c>
      <c r="CZ5" s="31">
        <f t="shared" si="41"/>
        <v>1752033794.1532743</v>
      </c>
      <c r="DA5" s="31">
        <f t="shared" si="41"/>
        <v>1782226182.6803544</v>
      </c>
      <c r="DB5" s="31">
        <f t="shared" si="41"/>
        <v>1812657594.2832739</v>
      </c>
      <c r="DC5" s="31">
        <f t="shared" si="41"/>
        <v>1843329921.2280498</v>
      </c>
      <c r="DD5" s="31">
        <f t="shared" si="41"/>
        <v>1874245070.7611384</v>
      </c>
      <c r="DE5" s="31">
        <f t="shared" si="41"/>
        <v>1905404965.2280309</v>
      </c>
      <c r="DF5" s="31">
        <f t="shared" si="41"/>
        <v>1936811542.1927862</v>
      </c>
      <c r="DG5" s="31">
        <f t="shared" si="41"/>
        <v>1968466754.5585124</v>
      </c>
      <c r="DH5" s="31">
        <f t="shared" si="41"/>
        <v>2000372570.6888008</v>
      </c>
      <c r="DI5" s="31">
        <f t="shared" si="41"/>
        <v>2032530974.5301206</v>
      </c>
      <c r="DJ5" s="31">
        <f t="shared" si="41"/>
        <v>2064943965.7351842</v>
      </c>
      <c r="DK5" s="31">
        <f t="shared" si="41"/>
        <v>2097613559.7872877</v>
      </c>
      <c r="DL5" s="31">
        <f t="shared" si="41"/>
        <v>2130541788.1256371</v>
      </c>
      <c r="DM5" s="31">
        <f t="shared" si="41"/>
        <v>2163730698.2716651</v>
      </c>
      <c r="DN5" s="31">
        <f t="shared" si="41"/>
        <v>2197182353.9563494</v>
      </c>
      <c r="DO5" s="31">
        <f t="shared" si="41"/>
        <v>2230898835.2485371</v>
      </c>
      <c r="DP5" s="31">
        <f t="shared" si="41"/>
        <v>2264882238.684288</v>
      </c>
      <c r="DQ5" s="31">
        <f t="shared" si="41"/>
        <v>2299134677.3972387</v>
      </c>
      <c r="DR5" s="31">
        <f t="shared" si="41"/>
        <v>2333658281.25</v>
      </c>
    </row>
    <row r="6" spans="1:123" x14ac:dyDescent="0.25">
      <c r="A6" s="39" t="s">
        <v>27</v>
      </c>
      <c r="B6" s="31">
        <f t="shared" ref="B6:BD6" si="42">IF((B4-B5)&gt;0,(B4-B5),0)</f>
        <v>0</v>
      </c>
      <c r="C6" s="31">
        <f t="shared" si="42"/>
        <v>0</v>
      </c>
      <c r="D6" s="31">
        <f t="shared" si="42"/>
        <v>0</v>
      </c>
      <c r="E6" s="31">
        <f t="shared" si="42"/>
        <v>0</v>
      </c>
      <c r="F6" s="31">
        <f t="shared" si="42"/>
        <v>0</v>
      </c>
      <c r="G6" s="31">
        <f t="shared" si="42"/>
        <v>0</v>
      </c>
      <c r="H6" s="31">
        <f t="shared" si="42"/>
        <v>0</v>
      </c>
      <c r="I6" s="31">
        <f t="shared" si="42"/>
        <v>0</v>
      </c>
      <c r="J6" s="31">
        <f t="shared" si="42"/>
        <v>0</v>
      </c>
      <c r="K6" s="31">
        <f t="shared" si="42"/>
        <v>0</v>
      </c>
      <c r="L6" s="31">
        <f t="shared" si="42"/>
        <v>0</v>
      </c>
      <c r="M6" s="31">
        <f t="shared" si="42"/>
        <v>0</v>
      </c>
      <c r="N6" s="31">
        <f t="shared" si="42"/>
        <v>0</v>
      </c>
      <c r="O6" s="31">
        <f t="shared" si="42"/>
        <v>0</v>
      </c>
      <c r="P6" s="31">
        <f t="shared" si="42"/>
        <v>0</v>
      </c>
      <c r="Q6" s="31">
        <f t="shared" si="42"/>
        <v>0</v>
      </c>
      <c r="R6" s="31">
        <f t="shared" si="42"/>
        <v>0</v>
      </c>
      <c r="S6" s="31">
        <f t="shared" si="42"/>
        <v>0</v>
      </c>
      <c r="T6" s="31">
        <f t="shared" si="42"/>
        <v>0</v>
      </c>
      <c r="U6" s="31">
        <f t="shared" si="42"/>
        <v>0</v>
      </c>
      <c r="V6" s="31">
        <f t="shared" si="42"/>
        <v>0</v>
      </c>
      <c r="W6" s="31">
        <f t="shared" si="42"/>
        <v>0</v>
      </c>
      <c r="X6" s="31">
        <f t="shared" si="42"/>
        <v>0</v>
      </c>
      <c r="Y6" s="31">
        <f t="shared" si="42"/>
        <v>0</v>
      </c>
      <c r="Z6" s="31">
        <f t="shared" si="42"/>
        <v>0</v>
      </c>
      <c r="AA6" s="31">
        <f t="shared" si="42"/>
        <v>16322120.990033351</v>
      </c>
      <c r="AB6" s="31">
        <f t="shared" si="42"/>
        <v>32773458.771237798</v>
      </c>
      <c r="AC6" s="31">
        <f t="shared" si="42"/>
        <v>49355036.309876785</v>
      </c>
      <c r="AD6" s="31">
        <f t="shared" si="42"/>
        <v>66067884.670696661</v>
      </c>
      <c r="AE6" s="31">
        <f t="shared" si="42"/>
        <v>82913043.081039697</v>
      </c>
      <c r="AF6" s="31">
        <f t="shared" si="42"/>
        <v>99891558.995464623</v>
      </c>
      <c r="AG6" s="31">
        <f t="shared" si="42"/>
        <v>117004488.16087873</v>
      </c>
      <c r="AH6" s="31">
        <f t="shared" si="42"/>
        <v>134252894.68218571</v>
      </c>
      <c r="AI6" s="31">
        <f t="shared" si="42"/>
        <v>0</v>
      </c>
      <c r="AJ6" s="31">
        <f t="shared" si="42"/>
        <v>0</v>
      </c>
      <c r="AK6" s="31">
        <f t="shared" si="42"/>
        <v>0</v>
      </c>
      <c r="AL6" s="31">
        <f t="shared" si="42"/>
        <v>0</v>
      </c>
      <c r="AM6" s="31">
        <f t="shared" si="42"/>
        <v>0</v>
      </c>
      <c r="AN6" s="31">
        <f t="shared" si="42"/>
        <v>0</v>
      </c>
      <c r="AO6" s="31">
        <f t="shared" si="42"/>
        <v>0</v>
      </c>
      <c r="AP6" s="31">
        <f t="shared" si="42"/>
        <v>0</v>
      </c>
      <c r="AQ6" s="31">
        <f t="shared" si="42"/>
        <v>0</v>
      </c>
      <c r="AR6" s="31">
        <f t="shared" si="42"/>
        <v>0</v>
      </c>
      <c r="AS6" s="31">
        <f t="shared" si="42"/>
        <v>0</v>
      </c>
      <c r="AT6" s="31">
        <f t="shared" si="42"/>
        <v>0</v>
      </c>
      <c r="AU6" s="31">
        <f t="shared" si="42"/>
        <v>0</v>
      </c>
      <c r="AV6" s="31">
        <f t="shared" si="42"/>
        <v>0</v>
      </c>
      <c r="AW6" s="31">
        <f t="shared" si="42"/>
        <v>0</v>
      </c>
      <c r="AX6" s="31">
        <f t="shared" si="42"/>
        <v>0</v>
      </c>
      <c r="AY6" s="31">
        <f t="shared" si="42"/>
        <v>0</v>
      </c>
      <c r="AZ6" s="31">
        <f t="shared" si="42"/>
        <v>0</v>
      </c>
      <c r="BA6" s="31">
        <f t="shared" si="42"/>
        <v>0</v>
      </c>
      <c r="BB6" s="31">
        <f t="shared" si="42"/>
        <v>0</v>
      </c>
      <c r="BC6" s="31">
        <f t="shared" si="42"/>
        <v>0</v>
      </c>
      <c r="BD6" s="31">
        <f t="shared" si="42"/>
        <v>0</v>
      </c>
      <c r="BE6" s="31">
        <f t="shared" ref="BE6:BT6" si="43">IF((BE4-BE5)&gt;0,(BE4-BE5),0)</f>
        <v>0</v>
      </c>
      <c r="BF6" s="31">
        <f t="shared" si="43"/>
        <v>0</v>
      </c>
      <c r="BG6" s="31">
        <f t="shared" si="43"/>
        <v>0</v>
      </c>
      <c r="BH6" s="31">
        <f t="shared" si="43"/>
        <v>0</v>
      </c>
      <c r="BI6" s="31">
        <f t="shared" si="43"/>
        <v>0</v>
      </c>
      <c r="BJ6" s="31">
        <f t="shared" si="43"/>
        <v>0</v>
      </c>
      <c r="BK6" s="31">
        <f t="shared" si="43"/>
        <v>0</v>
      </c>
      <c r="BL6" s="31">
        <f t="shared" si="43"/>
        <v>0</v>
      </c>
      <c r="BM6" s="31">
        <f t="shared" si="43"/>
        <v>0</v>
      </c>
      <c r="BN6" s="31">
        <f t="shared" si="43"/>
        <v>0</v>
      </c>
      <c r="BO6" s="31">
        <f t="shared" si="43"/>
        <v>0</v>
      </c>
      <c r="BP6" s="31">
        <f t="shared" si="43"/>
        <v>0</v>
      </c>
      <c r="BQ6" s="31">
        <f t="shared" si="43"/>
        <v>0</v>
      </c>
      <c r="BR6" s="31">
        <f t="shared" si="43"/>
        <v>0</v>
      </c>
      <c r="BS6" s="31">
        <f t="shared" si="43"/>
        <v>0</v>
      </c>
      <c r="BT6" s="31">
        <f t="shared" si="43"/>
        <v>0</v>
      </c>
      <c r="BU6" s="31">
        <f t="shared" ref="BU6:CF6" si="44">IF((BU4-BU5)&gt;0,(BU4-BU5),0)</f>
        <v>0</v>
      </c>
      <c r="BV6" s="31">
        <f t="shared" si="44"/>
        <v>0</v>
      </c>
      <c r="BW6" s="31">
        <f t="shared" si="44"/>
        <v>0</v>
      </c>
      <c r="BX6" s="31">
        <f t="shared" si="44"/>
        <v>0</v>
      </c>
      <c r="BY6" s="31">
        <f t="shared" si="44"/>
        <v>0</v>
      </c>
      <c r="BZ6" s="31">
        <f t="shared" si="44"/>
        <v>0</v>
      </c>
      <c r="CA6" s="31">
        <f t="shared" si="44"/>
        <v>0</v>
      </c>
      <c r="CB6" s="31">
        <f t="shared" si="44"/>
        <v>0</v>
      </c>
      <c r="CC6" s="31">
        <f t="shared" si="44"/>
        <v>0</v>
      </c>
      <c r="CD6" s="31">
        <f t="shared" si="44"/>
        <v>0</v>
      </c>
      <c r="CE6" s="31">
        <f t="shared" si="44"/>
        <v>0</v>
      </c>
      <c r="CF6" s="31">
        <f t="shared" si="44"/>
        <v>0</v>
      </c>
      <c r="CG6" s="31">
        <f>IF((CG4-CG5)&gt;0,(CG4-CG5),0)</f>
        <v>0</v>
      </c>
      <c r="CH6" s="31">
        <f>IF((CH4-CH5)&gt;0,(CH4-CH5),0)</f>
        <v>0</v>
      </c>
      <c r="CI6" s="31">
        <f t="shared" ref="CI6:DR6" si="45">IF((CI4-CI5)&gt;0,(CI4-CI5),0)</f>
        <v>0</v>
      </c>
      <c r="CJ6" s="31">
        <f t="shared" si="45"/>
        <v>0</v>
      </c>
      <c r="CK6" s="31">
        <f t="shared" si="45"/>
        <v>0</v>
      </c>
      <c r="CL6" s="31">
        <f t="shared" si="45"/>
        <v>0</v>
      </c>
      <c r="CM6" s="31">
        <f t="shared" si="45"/>
        <v>0</v>
      </c>
      <c r="CN6" s="31">
        <f t="shared" si="45"/>
        <v>0</v>
      </c>
      <c r="CO6" s="31">
        <f t="shared" si="45"/>
        <v>0</v>
      </c>
      <c r="CP6" s="31">
        <f t="shared" si="45"/>
        <v>0</v>
      </c>
      <c r="CQ6" s="31">
        <f t="shared" si="45"/>
        <v>0</v>
      </c>
      <c r="CR6" s="31">
        <f t="shared" si="45"/>
        <v>0</v>
      </c>
      <c r="CS6" s="31">
        <f t="shared" si="45"/>
        <v>0</v>
      </c>
      <c r="CT6" s="31">
        <f t="shared" si="45"/>
        <v>0</v>
      </c>
      <c r="CU6" s="31">
        <f t="shared" si="45"/>
        <v>0</v>
      </c>
      <c r="CV6" s="31">
        <f t="shared" si="45"/>
        <v>0</v>
      </c>
      <c r="CW6" s="31">
        <f t="shared" si="45"/>
        <v>0</v>
      </c>
      <c r="CX6" s="31">
        <f t="shared" si="45"/>
        <v>0</v>
      </c>
      <c r="CY6" s="31">
        <f t="shared" si="45"/>
        <v>0</v>
      </c>
      <c r="CZ6" s="31">
        <f t="shared" si="45"/>
        <v>0</v>
      </c>
      <c r="DA6" s="31">
        <f t="shared" si="45"/>
        <v>0</v>
      </c>
      <c r="DB6" s="31">
        <f t="shared" si="45"/>
        <v>0</v>
      </c>
      <c r="DC6" s="31">
        <f t="shared" si="45"/>
        <v>0</v>
      </c>
      <c r="DD6" s="31">
        <f t="shared" si="45"/>
        <v>0</v>
      </c>
      <c r="DE6" s="31">
        <f t="shared" si="45"/>
        <v>0</v>
      </c>
      <c r="DF6" s="31">
        <f t="shared" si="45"/>
        <v>0</v>
      </c>
      <c r="DG6" s="31">
        <f t="shared" si="45"/>
        <v>0</v>
      </c>
      <c r="DH6" s="31">
        <f t="shared" si="45"/>
        <v>0</v>
      </c>
      <c r="DI6" s="31">
        <f t="shared" si="45"/>
        <v>0</v>
      </c>
      <c r="DJ6" s="31">
        <f t="shared" si="45"/>
        <v>0</v>
      </c>
      <c r="DK6" s="31">
        <f t="shared" si="45"/>
        <v>0</v>
      </c>
      <c r="DL6" s="31">
        <f t="shared" si="45"/>
        <v>0</v>
      </c>
      <c r="DM6" s="31">
        <f t="shared" si="45"/>
        <v>0</v>
      </c>
      <c r="DN6" s="31">
        <f t="shared" si="45"/>
        <v>0</v>
      </c>
      <c r="DO6" s="31">
        <f t="shared" si="45"/>
        <v>0</v>
      </c>
      <c r="DP6" s="31">
        <f t="shared" si="45"/>
        <v>0</v>
      </c>
      <c r="DQ6" s="31">
        <f t="shared" si="45"/>
        <v>0</v>
      </c>
      <c r="DR6" s="31">
        <f t="shared" si="45"/>
        <v>0</v>
      </c>
    </row>
    <row r="7" spans="1:123" x14ac:dyDescent="0.25">
      <c r="A7" s="39" t="s">
        <v>28</v>
      </c>
      <c r="B7" s="31">
        <f t="shared" ref="B7:BD7" si="46">B3-B5</f>
        <v>1500000000</v>
      </c>
      <c r="C7" s="31">
        <f t="shared" si="46"/>
        <v>1508937500</v>
      </c>
      <c r="D7" s="31">
        <f t="shared" si="46"/>
        <v>1511041666.6666667</v>
      </c>
      <c r="E7" s="31">
        <f t="shared" si="46"/>
        <v>1512270833.3333333</v>
      </c>
      <c r="F7" s="31">
        <f t="shared" si="46"/>
        <v>1512270833.3333333</v>
      </c>
      <c r="G7" s="31">
        <f t="shared" si="46"/>
        <v>1511875000</v>
      </c>
      <c r="H7" s="31">
        <f t="shared" si="46"/>
        <v>1512270833.3333333</v>
      </c>
      <c r="I7" s="31">
        <f t="shared" si="46"/>
        <v>1511875000</v>
      </c>
      <c r="J7" s="31">
        <f t="shared" si="46"/>
        <v>1512270833.3333333</v>
      </c>
      <c r="K7" s="31">
        <f t="shared" si="46"/>
        <v>1512270833.3333333</v>
      </c>
      <c r="L7" s="31">
        <f t="shared" si="46"/>
        <v>1511083333.3333333</v>
      </c>
      <c r="M7" s="31">
        <f t="shared" si="46"/>
        <v>1512270833.3333333</v>
      </c>
      <c r="N7" s="31">
        <f t="shared" si="46"/>
        <v>1513854166.6666667</v>
      </c>
      <c r="O7" s="31">
        <f t="shared" si="46"/>
        <v>1842291666.6666667</v>
      </c>
      <c r="P7" s="31">
        <f t="shared" si="46"/>
        <v>1842291666.6666667</v>
      </c>
      <c r="Q7" s="31">
        <f t="shared" si="46"/>
        <v>1842291666.6666667</v>
      </c>
      <c r="R7" s="31">
        <f t="shared" si="46"/>
        <v>1842291666.6666667</v>
      </c>
      <c r="S7" s="31">
        <f t="shared" si="46"/>
        <v>1842291666.6666667</v>
      </c>
      <c r="T7" s="31">
        <f t="shared" si="46"/>
        <v>2142291666.6666667</v>
      </c>
      <c r="U7" s="31">
        <f t="shared" si="46"/>
        <v>2142291666.6666667</v>
      </c>
      <c r="V7" s="31">
        <f t="shared" si="46"/>
        <v>2142291666.6666667</v>
      </c>
      <c r="W7" s="31">
        <f t="shared" si="46"/>
        <v>2142291666.6666667</v>
      </c>
      <c r="X7" s="31">
        <f t="shared" si="46"/>
        <v>2142291666.6666667</v>
      </c>
      <c r="Y7" s="31">
        <f t="shared" si="46"/>
        <v>2142291666.6666667</v>
      </c>
      <c r="Z7" s="31">
        <f t="shared" si="46"/>
        <v>2333658281.25</v>
      </c>
      <c r="AA7" s="31">
        <f t="shared" si="46"/>
        <v>2333658281.25</v>
      </c>
      <c r="AB7" s="31">
        <f t="shared" si="46"/>
        <v>2333658281.25</v>
      </c>
      <c r="AC7" s="31">
        <f t="shared" si="46"/>
        <v>2333658281.25</v>
      </c>
      <c r="AD7" s="31">
        <f t="shared" si="46"/>
        <v>2333658281.25</v>
      </c>
      <c r="AE7" s="31">
        <f t="shared" si="46"/>
        <v>2333658281.25</v>
      </c>
      <c r="AF7" s="31">
        <f t="shared" si="46"/>
        <v>2333658281.25</v>
      </c>
      <c r="AG7" s="31">
        <f t="shared" si="46"/>
        <v>2333658281.25</v>
      </c>
      <c r="AH7" s="31">
        <f t="shared" si="46"/>
        <v>2333658281.25</v>
      </c>
      <c r="AI7" s="31">
        <f t="shared" si="46"/>
        <v>2182020430.1615472</v>
      </c>
      <c r="AJ7" s="31">
        <f t="shared" si="46"/>
        <v>2164497842.8503966</v>
      </c>
      <c r="AK7" s="31">
        <f t="shared" si="46"/>
        <v>2146836535.0563664</v>
      </c>
      <c r="AL7" s="31">
        <f t="shared" si="46"/>
        <v>2129035408.5756335</v>
      </c>
      <c r="AM7" s="31">
        <f t="shared" si="46"/>
        <v>2111093356.5102615</v>
      </c>
      <c r="AN7" s="31">
        <f t="shared" si="46"/>
        <v>2093009263.1993718</v>
      </c>
      <c r="AO7" s="31">
        <f t="shared" si="46"/>
        <v>2074782004.149771</v>
      </c>
      <c r="AP7" s="31">
        <f t="shared" si="46"/>
        <v>2056410445.9660275</v>
      </c>
      <c r="AQ7" s="31">
        <f t="shared" si="46"/>
        <v>2037893446.2799959</v>
      </c>
      <c r="AR7" s="31">
        <f t="shared" si="46"/>
        <v>2019229853.6797833</v>
      </c>
      <c r="AS7" s="31">
        <f t="shared" si="46"/>
        <v>2000418507.6381526</v>
      </c>
      <c r="AT7" s="31">
        <f t="shared" si="46"/>
        <v>1981458238.4403586</v>
      </c>
      <c r="AU7" s="31">
        <f t="shared" si="46"/>
        <v>1962347867.1114159</v>
      </c>
      <c r="AV7" s="31">
        <f t="shared" si="46"/>
        <v>1943086205.3427854</v>
      </c>
      <c r="AW7" s="31">
        <f t="shared" si="46"/>
        <v>1923672055.4184864</v>
      </c>
      <c r="AX7" s="31">
        <f t="shared" si="46"/>
        <v>1904104210.1406202</v>
      </c>
      <c r="AY7" s="31">
        <f t="shared" si="46"/>
        <v>1884381452.7543044</v>
      </c>
      <c r="AZ7" s="31">
        <f t="shared" si="46"/>
        <v>1864502556.8720133</v>
      </c>
      <c r="BA7" s="31">
        <f t="shared" si="46"/>
        <v>1844466286.397321</v>
      </c>
      <c r="BB7" s="31">
        <f t="shared" si="46"/>
        <v>1824271395.4480371</v>
      </c>
      <c r="BC7" s="31">
        <f t="shared" si="46"/>
        <v>1803916628.2787383</v>
      </c>
      <c r="BD7" s="31">
        <f t="shared" si="46"/>
        <v>1783400719.2026825</v>
      </c>
      <c r="BE7" s="31">
        <f t="shared" ref="BE7:BS7" si="47">BE3-BE5</f>
        <v>1762722392.5131078</v>
      </c>
      <c r="BF7" s="31">
        <f t="shared" si="47"/>
        <v>1741880362.4039075</v>
      </c>
      <c r="BG7" s="31">
        <f t="shared" si="47"/>
        <v>1720873332.8896761</v>
      </c>
      <c r="BH7" s="31">
        <f t="shared" si="47"/>
        <v>1699699997.7251234</v>
      </c>
      <c r="BI7" s="31">
        <f t="shared" si="47"/>
        <v>1678359040.3238516</v>
      </c>
      <c r="BJ7" s="31">
        <f t="shared" si="47"/>
        <v>1656849133.676486</v>
      </c>
      <c r="BK7" s="31">
        <f t="shared" si="47"/>
        <v>1635168940.2681625</v>
      </c>
      <c r="BL7" s="31">
        <f t="shared" si="47"/>
        <v>1613317111.9953561</v>
      </c>
      <c r="BM7" s="31">
        <f t="shared" si="47"/>
        <v>1591292290.082057</v>
      </c>
      <c r="BN7" s="31">
        <f t="shared" si="47"/>
        <v>1569093104.9952774</v>
      </c>
      <c r="BO7" s="31">
        <f t="shared" si="47"/>
        <v>1546718176.359894</v>
      </c>
      <c r="BP7" s="31">
        <f t="shared" si="47"/>
        <v>1524166112.8728142</v>
      </c>
      <c r="BQ7" s="31">
        <f t="shared" si="47"/>
        <v>1501435512.2164612</v>
      </c>
      <c r="BR7" s="31">
        <f t="shared" si="47"/>
        <v>1478524960.9715791</v>
      </c>
      <c r="BS7" s="31">
        <f t="shared" si="47"/>
        <v>1455433034.5293417</v>
      </c>
      <c r="BT7" s="31">
        <f t="shared" ref="BT7:CF7" si="48">BT3-BT5</f>
        <v>1432158297.0027697</v>
      </c>
      <c r="BU7" s="31">
        <f t="shared" si="48"/>
        <v>1408699301.1374459</v>
      </c>
      <c r="BV7" s="31">
        <f t="shared" si="48"/>
        <v>1385054588.2215214</v>
      </c>
      <c r="BW7" s="31">
        <f t="shared" si="48"/>
        <v>1361222687.9950125</v>
      </c>
      <c r="BX7" s="31">
        <f t="shared" si="48"/>
        <v>1337202118.5583773</v>
      </c>
      <c r="BY7" s="31">
        <f t="shared" si="48"/>
        <v>1312991386.2803683</v>
      </c>
      <c r="BZ7" s="31">
        <f t="shared" si="48"/>
        <v>1288588985.7051587</v>
      </c>
      <c r="CA7" s="31">
        <f t="shared" si="48"/>
        <v>1263993399.4587288</v>
      </c>
      <c r="CB7" s="31">
        <f t="shared" si="48"/>
        <v>1239203098.1545146</v>
      </c>
      <c r="CC7" s="31">
        <f t="shared" si="48"/>
        <v>1214216540.2983086</v>
      </c>
      <c r="CD7" s="31">
        <f t="shared" si="48"/>
        <v>1189032172.1924076</v>
      </c>
      <c r="CE7" s="31">
        <f t="shared" si="48"/>
        <v>1163648427.8390017</v>
      </c>
      <c r="CF7" s="31">
        <f t="shared" si="48"/>
        <v>1138063728.842798</v>
      </c>
      <c r="CG7" s="31">
        <f>CG3-CG5</f>
        <v>1112276484.3128743</v>
      </c>
      <c r="CH7" s="31">
        <f>CH3-CH5</f>
        <v>1086285090.7637553</v>
      </c>
      <c r="CI7" s="31">
        <f t="shared" ref="CI7:DR7" si="49">CI3-CI5</f>
        <v>1060087932.0157058</v>
      </c>
      <c r="CJ7" s="31">
        <f t="shared" si="49"/>
        <v>1033683379.0942342</v>
      </c>
      <c r="CK7" s="31">
        <f t="shared" si="49"/>
        <v>1007069790.1288011</v>
      </c>
      <c r="CL7" s="31">
        <f t="shared" si="49"/>
        <v>980245510.25072503</v>
      </c>
      <c r="CM7" s="31">
        <f t="shared" si="49"/>
        <v>953208871.49028087</v>
      </c>
      <c r="CN7" s="31">
        <f t="shared" si="49"/>
        <v>925958192.67298317</v>
      </c>
      <c r="CO7" s="31">
        <f t="shared" si="49"/>
        <v>898491779.31504846</v>
      </c>
      <c r="CP7" s="31">
        <f t="shared" si="49"/>
        <v>870807923.51803017</v>
      </c>
      <c r="CQ7" s="31">
        <f t="shared" si="49"/>
        <v>842904903.86261868</v>
      </c>
      <c r="CR7" s="31">
        <f t="shared" si="49"/>
        <v>814780985.30160189</v>
      </c>
      <c r="CS7" s="31">
        <f t="shared" si="49"/>
        <v>786434419.05197716</v>
      </c>
      <c r="CT7" s="31">
        <f t="shared" si="49"/>
        <v>757863442.48620939</v>
      </c>
      <c r="CU7" s="31">
        <f t="shared" si="49"/>
        <v>729066279.02262926</v>
      </c>
      <c r="CV7" s="31">
        <f t="shared" si="49"/>
        <v>700041138.01496267</v>
      </c>
      <c r="CW7" s="31">
        <f t="shared" si="49"/>
        <v>670786214.64098525</v>
      </c>
      <c r="CX7" s="31">
        <f t="shared" si="49"/>
        <v>641299689.79029727</v>
      </c>
      <c r="CY7" s="31">
        <f t="shared" si="49"/>
        <v>611579729.95120788</v>
      </c>
      <c r="CZ7" s="31">
        <f t="shared" si="49"/>
        <v>581624487.0967257</v>
      </c>
      <c r="DA7" s="31">
        <f t="shared" si="49"/>
        <v>551432098.56964564</v>
      </c>
      <c r="DB7" s="31">
        <f t="shared" si="49"/>
        <v>521000686.96672606</v>
      </c>
      <c r="DC7" s="31">
        <f t="shared" si="49"/>
        <v>490328360.02195024</v>
      </c>
      <c r="DD7" s="31">
        <f t="shared" si="49"/>
        <v>459413210.48886156</v>
      </c>
      <c r="DE7" s="31">
        <f t="shared" si="49"/>
        <v>428253316.02196908</v>
      </c>
      <c r="DF7" s="31">
        <f t="shared" si="49"/>
        <v>396846739.05721378</v>
      </c>
      <c r="DG7" s="31">
        <f t="shared" si="49"/>
        <v>365191526.69148755</v>
      </c>
      <c r="DH7" s="31">
        <f t="shared" si="49"/>
        <v>333285710.56119919</v>
      </c>
      <c r="DI7" s="31">
        <f t="shared" si="49"/>
        <v>301127306.71987939</v>
      </c>
      <c r="DJ7" s="31">
        <f t="shared" si="49"/>
        <v>268714315.51481581</v>
      </c>
      <c r="DK7" s="31">
        <f t="shared" si="49"/>
        <v>236044721.46271229</v>
      </c>
      <c r="DL7" s="31">
        <f t="shared" si="49"/>
        <v>203116493.12436295</v>
      </c>
      <c r="DM7" s="31">
        <f t="shared" si="49"/>
        <v>169927582.9783349</v>
      </c>
      <c r="DN7" s="31">
        <f t="shared" si="49"/>
        <v>136475927.29365063</v>
      </c>
      <c r="DO7" s="31">
        <f t="shared" si="49"/>
        <v>102759446.00146294</v>
      </c>
      <c r="DP7" s="31">
        <f t="shared" si="49"/>
        <v>68776042.565711975</v>
      </c>
      <c r="DQ7" s="31">
        <f t="shared" si="49"/>
        <v>34523603.852761269</v>
      </c>
      <c r="DR7" s="31">
        <f t="shared" si="49"/>
        <v>0</v>
      </c>
    </row>
    <row r="8" spans="1:123" ht="15" x14ac:dyDescent="0.3">
      <c r="A8" s="38" t="s">
        <v>29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</row>
    <row r="9" spans="1:123" x14ac:dyDescent="0.25">
      <c r="A9" s="40" t="s">
        <v>30</v>
      </c>
      <c r="B9" s="31">
        <f>'Accrual_SKS Edible Oil'!B26</f>
        <v>4125000</v>
      </c>
      <c r="C9" s="31">
        <f>'Accrual_SKS Edible Oil'!C26</f>
        <v>14437500</v>
      </c>
      <c r="D9" s="31">
        <f>'Accrual_SKS Edible Oil'!D26</f>
        <v>26708333.333333336</v>
      </c>
      <c r="E9" s="31">
        <f>'Accrual_SKS Edible Oil'!E26</f>
        <v>38979166.666666672</v>
      </c>
      <c r="F9" s="31">
        <f>'Accrual_SKS Edible Oil'!F26</f>
        <v>50854166.666666672</v>
      </c>
      <c r="G9" s="31">
        <f>'Accrual_SKS Edible Oil'!G26</f>
        <v>63125000.000000007</v>
      </c>
      <c r="H9" s="31">
        <f>'Accrual_SKS Edible Oil'!H26</f>
        <v>75000000</v>
      </c>
      <c r="I9" s="31">
        <f>'Accrual_SKS Edible Oil'!I26</f>
        <v>87270833.333333328</v>
      </c>
      <c r="J9" s="31">
        <f>'Accrual_SKS Edible Oil'!J26</f>
        <v>99541666.666666657</v>
      </c>
      <c r="K9" s="31">
        <f>'Accrual_SKS Edible Oil'!K26</f>
        <v>110624999.99999999</v>
      </c>
      <c r="L9" s="31">
        <f>'Accrual_SKS Edible Oil'!L26</f>
        <v>122895833.33333331</v>
      </c>
      <c r="M9" s="31">
        <f>'Accrual_SKS Edible Oil'!M26</f>
        <v>134770833.33333331</v>
      </c>
      <c r="N9" s="31">
        <f>'Accrual_SKS Edible Oil'!N26</f>
        <v>147492256.94444442</v>
      </c>
      <c r="O9" s="31">
        <f>'Accrual_SKS Edible Oil'!O26</f>
        <v>160546510.41666663</v>
      </c>
      <c r="P9" s="31">
        <f>'Accrual_SKS Edible Oil'!P26</f>
        <v>175617479.74537033</v>
      </c>
      <c r="Q9" s="31">
        <f>'Accrual_SKS Edible Oil'!Q26</f>
        <v>190688449.07407403</v>
      </c>
      <c r="R9" s="31">
        <f>'Accrual_SKS Edible Oil'!R26</f>
        <v>205273258.10185182</v>
      </c>
      <c r="S9" s="31">
        <f>'Accrual_SKS Edible Oil'!S26</f>
        <v>220344227.43055552</v>
      </c>
      <c r="T9" s="31">
        <f>'Accrual_SKS Edible Oil'!T26</f>
        <v>236987369.79166663</v>
      </c>
      <c r="U9" s="31">
        <f>'Accrual_SKS Edible Oil'!U26</f>
        <v>254512505.78703701</v>
      </c>
      <c r="V9" s="31">
        <f>'Accrual_SKS Edible Oil'!V26</f>
        <v>272037641.7824074</v>
      </c>
      <c r="W9" s="31">
        <f>'Accrual_SKS Edible Oil'!W26</f>
        <v>288432123.8425926</v>
      </c>
      <c r="X9" s="31">
        <f>'Accrual_SKS Edible Oil'!X26</f>
        <v>305957259.83796299</v>
      </c>
      <c r="Y9" s="31">
        <f>'Accrual_SKS Edible Oil'!Y26</f>
        <v>322917068.86574078</v>
      </c>
      <c r="Z9" s="31">
        <f>'Accrual_SKS Edible Oil'!Z26</f>
        <v>341048199.14062506</v>
      </c>
      <c r="AA9" s="31">
        <f>'Accrual_SKS Edible Oil'!AA26</f>
        <v>359454078.24522966</v>
      </c>
      <c r="AB9" s="31">
        <f>'Accrual_SKS Edible Oil'!AB26</f>
        <v>378337372.91592121</v>
      </c>
      <c r="AC9" s="31">
        <f>'Accrual_SKS Edible Oil'!AC26</f>
        <v>397076750.84576207</v>
      </c>
      <c r="AD9" s="31">
        <f>'Accrual_SKS Edible Oil'!AD26</f>
        <v>415090252.84179235</v>
      </c>
      <c r="AE9" s="31">
        <f>'Accrual_SKS Edible Oil'!AE26</f>
        <v>433564832.80594051</v>
      </c>
      <c r="AF9" s="31">
        <f>'Accrual_SKS Edible Oil'!AF26</f>
        <v>451311545.54091722</v>
      </c>
      <c r="AG9" s="31">
        <f>'Accrual_SKS Edible Oil'!AG26</f>
        <v>469508227.80879909</v>
      </c>
      <c r="AH9" s="31">
        <f>'Accrual_SKS Edible Oil'!AH26</f>
        <v>487559757.37962139</v>
      </c>
      <c r="AI9" s="31">
        <f>'Accrual_SKS Edible Oil'!AI26</f>
        <v>503746691.64698267</v>
      </c>
      <c r="AJ9" s="31">
        <f>'Accrual_SKS Edible Oil'!AJ26</f>
        <v>521518222.72564447</v>
      </c>
      <c r="AK9" s="31">
        <f>'Accrual_SKS Edible Oil'!AK26</f>
        <v>538579260.68196869</v>
      </c>
      <c r="AL9" s="31">
        <f>'Accrual_SKS Edible Oil'!AL26</f>
        <v>556052323.35542226</v>
      </c>
      <c r="AM9" s="31">
        <f>'Accrual_SKS Edible Oil'!AM26</f>
        <v>572831431.67570329</v>
      </c>
      <c r="AN9" s="31">
        <f>'Accrual_SKS Edible Oil'!AN26</f>
        <v>590020220.90966344</v>
      </c>
      <c r="AO9" s="31">
        <f>'Accrual_SKS Edible Oil'!AO26</f>
        <v>607060429.95621073</v>
      </c>
      <c r="AP9" s="31">
        <f>'Accrual_SKS Edible Oil'!AP26</f>
        <v>623408218.68784285</v>
      </c>
      <c r="AQ9" s="31">
        <f>'Accrual_SKS Edible Oil'!AQ26</f>
        <v>640142842.83758402</v>
      </c>
      <c r="AR9" s="31">
        <f>'Accrual_SKS Edible Oil'!AR26</f>
        <v>656197364.11854422</v>
      </c>
      <c r="AS9" s="31">
        <f>'Accrual_SKS Edible Oil'!AS26</f>
        <v>672631396.32751572</v>
      </c>
      <c r="AT9" s="31">
        <f>'Accrual_SKS Edible Oil'!AT26</f>
        <v>688900866.38055003</v>
      </c>
      <c r="AU9" s="31">
        <f>'Accrual_SKS Edible Oil'!AU26</f>
        <v>703471038.93717182</v>
      </c>
      <c r="AV9" s="31">
        <f>'Accrual_SKS Edible Oil'!AV26</f>
        <v>719437724.72852397</v>
      </c>
      <c r="AW9" s="31">
        <f>'Accrual_SKS Edible Oil'!AW26</f>
        <v>734733396.48713291</v>
      </c>
      <c r="AX9" s="31">
        <f>'Accrual_SKS Edible Oil'!AX26</f>
        <v>750382319.07903206</v>
      </c>
      <c r="AY9" s="31">
        <f>'Accrual_SKS Edible Oil'!AY26</f>
        <v>765373203.54479194</v>
      </c>
      <c r="AZ9" s="31">
        <f>'Accrual_SKS Edible Oil'!AZ26</f>
        <v>780694065.95146608</v>
      </c>
      <c r="BA9" s="31">
        <f>'Accrual_SKS Edible Oil'!BA26</f>
        <v>795856847.76583123</v>
      </c>
      <c r="BB9" s="31">
        <f>'Accrual_SKS Edible Oil'!BB26</f>
        <v>810373605.21580195</v>
      </c>
      <c r="BC9" s="31">
        <f>'Accrual_SKS Edible Oil'!BC26</f>
        <v>825195102.17372942</v>
      </c>
      <c r="BD9" s="31">
        <f>'Accrual_SKS Edible Oil'!BD26</f>
        <v>839389486.08705938</v>
      </c>
      <c r="BE9" s="31">
        <f>'Accrual_SKS Edible Oil'!BE26</f>
        <v>853885929.47719336</v>
      </c>
      <c r="BF9" s="31">
        <f>'Accrual_SKS Edible Oil'!BF26</f>
        <v>868212478.27531767</v>
      </c>
      <c r="BG9" s="31">
        <f>'Accrual_SKS Edible Oil'!BG26</f>
        <v>881005429.42737448</v>
      </c>
      <c r="BH9" s="31">
        <f>'Accrual_SKS Edible Oil'!BH26</f>
        <v>894988143.39701152</v>
      </c>
      <c r="BI9" s="31">
        <f>'Accrual_SKS Edible Oil'!BI26</f>
        <v>908342732.16467941</v>
      </c>
      <c r="BJ9" s="31">
        <f>'Accrual_SKS Edible Oil'!BJ26</f>
        <v>921976145.70500791</v>
      </c>
      <c r="BK9" s="31">
        <f>'Accrual_SKS Edible Oil'!BK26</f>
        <v>935001329.4188894</v>
      </c>
      <c r="BL9" s="31">
        <f>'Accrual_SKS Edible Oil'!BL26</f>
        <v>948268357.13849306</v>
      </c>
      <c r="BM9" s="31">
        <f>'Accrual_SKS Edible Oil'!BM26</f>
        <v>961367381.60359406</v>
      </c>
      <c r="BN9" s="31">
        <f>'Accrual_SKS Edible Oil'!BN26</f>
        <v>973865524.22253489</v>
      </c>
      <c r="BO9" s="31">
        <f>'Accrual_SKS Edible Oil'!BO26</f>
        <v>986601201.12382638</v>
      </c>
      <c r="BP9" s="31">
        <f>'Accrual_SKS Edible Oil'!BP26</f>
        <v>998750833.52973008</v>
      </c>
      <c r="BQ9" s="31">
        <f>'Accrual_SKS Edible Oil'!BQ26</f>
        <v>1011111388.7388636</v>
      </c>
      <c r="BR9" s="31">
        <f>'Accrual_SKS Edible Oil'!BR26</f>
        <v>1023291186.081133</v>
      </c>
      <c r="BS9" s="31">
        <f>'Accrual_SKS Edible Oil'!BS26</f>
        <v>1034514603.5041789</v>
      </c>
      <c r="BT9" s="31">
        <f>'Accrual_SKS Edible Oil'!BT26</f>
        <v>1046310299.2972858</v>
      </c>
      <c r="BU9" s="31">
        <f>'Accrual_SKS Edible Oil'!BU26</f>
        <v>1057549170.0549041</v>
      </c>
      <c r="BV9" s="31">
        <f>'Accrual_SKS Edible Oil'!BV26</f>
        <v>1068967040.1396002</v>
      </c>
      <c r="BW9" s="31">
        <f>'Accrual_SKS Edible Oil'!BW26</f>
        <v>1079818854.1036112</v>
      </c>
      <c r="BX9" s="31">
        <f>'Accrual_SKS Edible Oil'!BX26</f>
        <v>1090846652.9827921</v>
      </c>
      <c r="BY9" s="31">
        <f>'Accrual_SKS Edible Oil'!BY26</f>
        <v>1101677097.1675851</v>
      </c>
      <c r="BZ9" s="31">
        <f>'Accrual_SKS Edible Oil'!BZ26</f>
        <v>1111968579.9509871</v>
      </c>
      <c r="CA9" s="31">
        <f>'Accrual_SKS Edible Oil'!CA26</f>
        <v>1122399615.2040808</v>
      </c>
      <c r="CB9" s="31">
        <f>'Accrual_SKS Edible Oil'!CB26</f>
        <v>1132295017.5703337</v>
      </c>
      <c r="CC9" s="31">
        <f>'Accrual_SKS Edible Oil'!CC26</f>
        <v>1142320294.8845761</v>
      </c>
      <c r="CD9" s="31">
        <f>'Accrual_SKS Edible Oil'!CD26</f>
        <v>1152140280.8753746</v>
      </c>
      <c r="CE9" s="31">
        <f>'Accrual_SKS Edible Oil'!CE26</f>
        <v>1160818731.6715262</v>
      </c>
      <c r="CF9" s="31">
        <f>'Accrual_SKS Edible Oil'!CF26</f>
        <v>1170209743.4445753</v>
      </c>
      <c r="CG9" s="31">
        <f>'Accrual_SKS Edible Oil'!CG26</f>
        <v>1179110535.1543434</v>
      </c>
      <c r="CH9" s="31">
        <f>'Accrual_SKS Edible Oil'!CH26</f>
        <v>1188092974.4480088</v>
      </c>
      <c r="CI9" s="31">
        <f>'Accrual_SKS Edible Oil'!CI26</f>
        <v>1196582121.1907301</v>
      </c>
      <c r="CJ9" s="31">
        <f>'Accrual_SKS Edible Oil'!CJ26</f>
        <v>1205135775.6541135</v>
      </c>
      <c r="CK9" s="31">
        <f>'Accrual_SKS Edible Oil'!CK26</f>
        <v>1213465465.4160626</v>
      </c>
      <c r="CL9" s="31">
        <f>'Accrual_SKS Edible Oil'!CL26</f>
        <v>1221324843.1839859</v>
      </c>
      <c r="CM9" s="31">
        <f>'Accrual_SKS Edible Oil'!CM26</f>
        <v>1229222506.6731255</v>
      </c>
      <c r="CN9" s="31">
        <f>'Accrual_SKS Edible Oil'!CN26</f>
        <v>1236639302.8480413</v>
      </c>
      <c r="CO9" s="31">
        <f>'Accrual_SKS Edible Oil'!CO26</f>
        <v>1244090937.903177</v>
      </c>
      <c r="CP9" s="31">
        <f>'Accrual_SKS Edible Oil'!CP26</f>
        <v>1251316906.9669843</v>
      </c>
      <c r="CQ9" s="31">
        <f>'Accrual_SKS Edible Oil'!CQ26</f>
        <v>1257648123.8014739</v>
      </c>
      <c r="CR9" s="31">
        <f>'Accrual_SKS Edible Oil'!CR26</f>
        <v>1264417387.1720276</v>
      </c>
      <c r="CS9" s="31">
        <f>'Accrual_SKS Edible Oil'!CS26</f>
        <v>1270748051.1370556</v>
      </c>
      <c r="CT9" s="31">
        <f>'Accrual_SKS Edible Oil'!CT26</f>
        <v>1277045809.4542241</v>
      </c>
      <c r="CU9" s="31">
        <f>'Accrual_SKS Edible Oil'!CU26</f>
        <v>1282923973.683727</v>
      </c>
      <c r="CV9" s="31">
        <f>'Accrual_SKS Edible Oil'!CV26</f>
        <v>1288757930.8753777</v>
      </c>
      <c r="CW9" s="31">
        <f>'Accrual_SKS Edible Oil'!CW26</f>
        <v>1294337975.3608334</v>
      </c>
      <c r="CX9" s="31">
        <f>'Accrual_SKS Edible Oil'!CX26</f>
        <v>1299523867.5662606</v>
      </c>
      <c r="CY9" s="31">
        <f>'Accrual_SKS Edible Oil'!CY26</f>
        <v>1304636728.2642946</v>
      </c>
      <c r="CZ9" s="31">
        <f>'Accrual_SKS Edible Oil'!CZ26</f>
        <v>1309351923.4343562</v>
      </c>
      <c r="DA9" s="31">
        <f>'Accrual_SKS Edible Oil'!DA26</f>
        <v>1313974488.4538801</v>
      </c>
      <c r="DB9" s="31">
        <f>'Accrual_SKS Edible Oil'!DB26</f>
        <v>1318340960.1662319</v>
      </c>
      <c r="DC9" s="31">
        <f>'Accrual_SKS Edible Oil'!DC26</f>
        <v>1322077259.1453846</v>
      </c>
      <c r="DD9" s="31">
        <f>'Accrual_SKS Edible Oil'!DD26</f>
        <v>1325949728.7391865</v>
      </c>
      <c r="DE9" s="31">
        <f>'Accrual_SKS Edible Oil'!DE26</f>
        <v>1329455185.9900298</v>
      </c>
      <c r="DF9" s="31">
        <f>'Accrual_SKS Edible Oil'!DF26</f>
        <v>1332801066.9463167</v>
      </c>
      <c r="DG9" s="31">
        <f>'Accrual_SKS Edible Oil'!DG26</f>
        <v>1335809114.9560866</v>
      </c>
      <c r="DH9" s="31">
        <f>'Accrual_SKS Edible Oil'!DH26</f>
        <v>1338653451.4923534</v>
      </c>
      <c r="DI9" s="31">
        <f>'Accrual_SKS Edible Oil'!DI26</f>
        <v>1341235647.5906839</v>
      </c>
      <c r="DJ9" s="31">
        <f>'Accrual_SKS Edible Oil'!DJ26</f>
        <v>1343482717.2504616</v>
      </c>
      <c r="DK9" s="31">
        <f>'Accrual_SKS Edible Oil'!DK26</f>
        <v>1345525769.065356</v>
      </c>
      <c r="DL9" s="31">
        <f>'Accrual_SKS Edible Oil'!DL26</f>
        <v>1347255426.146174</v>
      </c>
      <c r="DM9" s="31">
        <f>'Accrual_SKS Edible Oil'!DM26</f>
        <v>1348768142.7638557</v>
      </c>
      <c r="DN9" s="31">
        <f>'Accrual_SKS Edible Oil'!DN26</f>
        <v>1349990521.9120789</v>
      </c>
      <c r="DO9" s="31">
        <f>'Accrual_SKS Edible Oil'!DO26</f>
        <v>1350901480.7838917</v>
      </c>
      <c r="DP9" s="31">
        <f>'Accrual_SKS Edible Oil'!DP26</f>
        <v>1351589656.8170183</v>
      </c>
      <c r="DQ9" s="31">
        <f>'Accrual_SKS Edible Oil'!DQ26</f>
        <v>1351971434.7367771</v>
      </c>
      <c r="DR9" s="31">
        <f>'Accrual_SKS Edible Oil'!DR26</f>
        <v>1352098980.2732332</v>
      </c>
    </row>
    <row r="10" spans="1:123" x14ac:dyDescent="0.25">
      <c r="A10" s="39" t="s">
        <v>31</v>
      </c>
      <c r="B10" s="31">
        <v>0</v>
      </c>
      <c r="C10" s="31">
        <f>'SKS Edible Oil_Loan'!B30</f>
        <v>0</v>
      </c>
      <c r="D10" s="31">
        <f>'SKS Edible Oil_Loan'!C30</f>
        <v>0</v>
      </c>
      <c r="E10" s="31">
        <f>'SKS Edible Oil_Loan'!D30</f>
        <v>0</v>
      </c>
      <c r="F10" s="31">
        <f>'SKS Edible Oil_Loan'!E30</f>
        <v>0</v>
      </c>
      <c r="G10" s="31">
        <f>'SKS Edible Oil_Loan'!F30</f>
        <v>0</v>
      </c>
      <c r="H10" s="31">
        <f>'SKS Edible Oil_Loan'!G30</f>
        <v>0</v>
      </c>
      <c r="I10" s="31">
        <f>'SKS Edible Oil_Loan'!H30</f>
        <v>0</v>
      </c>
      <c r="J10" s="31">
        <f>'SKS Edible Oil_Loan'!I30</f>
        <v>0</v>
      </c>
      <c r="K10" s="31">
        <f>'SKS Edible Oil_Loan'!J30</f>
        <v>0</v>
      </c>
      <c r="L10" s="31">
        <f>'SKS Edible Oil_Loan'!K30</f>
        <v>0</v>
      </c>
      <c r="M10" s="31">
        <f>'SKS Edible Oil_Loan'!L30</f>
        <v>0</v>
      </c>
      <c r="N10" s="31">
        <f>'SKS Edible Oil_Loan'!M30</f>
        <v>0</v>
      </c>
      <c r="O10" s="31">
        <f>'SKS Edible Oil_Loan'!N30</f>
        <v>0</v>
      </c>
      <c r="P10" s="31">
        <f>'SKS Edible Oil_Loan'!O30</f>
        <v>0</v>
      </c>
      <c r="Q10" s="31">
        <f>'SKS Edible Oil_Loan'!P30</f>
        <v>0</v>
      </c>
      <c r="R10" s="31">
        <f>'SKS Edible Oil_Loan'!Q30</f>
        <v>0</v>
      </c>
      <c r="S10" s="31">
        <f>'SKS Edible Oil_Loan'!R30</f>
        <v>0</v>
      </c>
      <c r="T10" s="31">
        <f>'SKS Edible Oil_Loan'!S30</f>
        <v>0</v>
      </c>
      <c r="U10" s="31">
        <f>'SKS Edible Oil_Loan'!T30</f>
        <v>0</v>
      </c>
      <c r="V10" s="31">
        <f>'SKS Edible Oil_Loan'!U30</f>
        <v>0</v>
      </c>
      <c r="W10" s="31">
        <f>'SKS Edible Oil_Loan'!V30</f>
        <v>0</v>
      </c>
      <c r="X10" s="31">
        <f>'SKS Edible Oil_Loan'!W30</f>
        <v>0</v>
      </c>
      <c r="Y10" s="31">
        <f>'SKS Edible Oil_Loan'!X30</f>
        <v>0</v>
      </c>
      <c r="Z10" s="31">
        <f>'SKS Edible Oil_Loan'!Y30</f>
        <v>0</v>
      </c>
      <c r="AA10" s="31">
        <f>'SKS Edible Oil_Loan'!Z30</f>
        <v>16011488.763020834</v>
      </c>
      <c r="AB10" s="31">
        <f>'SKS Edible Oil_Loan'!AA30</f>
        <v>34357066.69841224</v>
      </c>
      <c r="AC10" s="31">
        <f>'SKS Edible Oil_Loan'!AB30</f>
        <v>51965226.937103882</v>
      </c>
      <c r="AD10" s="31">
        <f>'SKS Edible Oil_Loan'!AC30</f>
        <v>71857701.028457463</v>
      </c>
      <c r="AE10" s="31">
        <f>'SKS Edible Oil_Loan'!AD30</f>
        <v>89809458.334710285</v>
      </c>
      <c r="AF10" s="31">
        <f>'SKS Edible Oil_Loan'!AE30</f>
        <v>108221804.79695359</v>
      </c>
      <c r="AG10" s="31">
        <f>'SKS Edible Oil_Loan'!AF30</f>
        <v>125905791.34813532</v>
      </c>
      <c r="AH10" s="31">
        <f>'SKS Edible Oil_Loan'!AG30</f>
        <v>143454300.54342419</v>
      </c>
      <c r="AI10" s="31">
        <f>'SKS Edible Oil_Loan'!AH30</f>
        <v>162027057.14110795</v>
      </c>
      <c r="AJ10" s="31">
        <f>'SKS Edible Oil_Loan'!AI30</f>
        <v>178149763.65285715</v>
      </c>
      <c r="AK10" s="31">
        <f>'SKS Edible Oil_Loan'!AJ30</f>
        <v>195856558.50617498</v>
      </c>
      <c r="AL10" s="31">
        <f>'SKS Edible Oil_Loan'!AK30</f>
        <v>211719295.12631369</v>
      </c>
      <c r="AM10" s="31">
        <f>'SKS Edible Oil_Loan'!AL30</f>
        <v>230259645.14265984</v>
      </c>
      <c r="AN10" s="31">
        <f>'SKS Edible Oil_Loan'!AM30</f>
        <v>246972467.54836607</v>
      </c>
      <c r="AO10" s="31">
        <f>'SKS Edible Oil_Loan'!AN30</f>
        <v>264094446.10426092</v>
      </c>
      <c r="AP10" s="31">
        <f>'SKS Edible Oil_Loan'!AO30</f>
        <v>281067315.55487502</v>
      </c>
      <c r="AQ10" s="31">
        <f>'SKS Edible Oil_Loan'!AP30</f>
        <v>296804567.71775395</v>
      </c>
      <c r="AR10" s="31">
        <f>'SKS Edible Oil_Loan'!AQ30</f>
        <v>314013445.70856279</v>
      </c>
      <c r="AS10" s="31">
        <f>'SKS Edible Oil_Loan'!AR30</f>
        <v>329999015.38352776</v>
      </c>
      <c r="AT10" s="31">
        <f>'SKS Edible Oil_Loan'!AS30</f>
        <v>345307773.68503642</v>
      </c>
      <c r="AU10" s="31">
        <f>'SKS Edible Oil_Loan'!AT30</f>
        <v>362562972.51145452</v>
      </c>
      <c r="AV10" s="31">
        <f>'SKS Edible Oil_Loan'!AU30</f>
        <v>377062542.86288887</v>
      </c>
      <c r="AW10" s="31">
        <f>'SKS Edible Oil_Loan'!AV30</f>
        <v>392445308.65518594</v>
      </c>
      <c r="AX10" s="31">
        <f>'SKS Edible Oil_Loan'!AW30</f>
        <v>408182014.77520663</v>
      </c>
      <c r="AY10" s="31">
        <f>'SKS Edible Oil_Loan'!AX30</f>
        <v>423758645.04982919</v>
      </c>
      <c r="AZ10" s="31">
        <f>'SKS Edible Oil_Loan'!AY30</f>
        <v>438179397.55632395</v>
      </c>
      <c r="BA10" s="31">
        <f>'SKS Edible Oil_Loan'!AZ30</f>
        <v>453924085.8143543</v>
      </c>
      <c r="BB10" s="31">
        <f>'SKS Edible Oil_Loan'!BA30</f>
        <v>469012844.74057686</v>
      </c>
      <c r="BC10" s="31">
        <f>'SKS Edible Oil_Loan'!BB30</f>
        <v>482492183.38472068</v>
      </c>
      <c r="BD10" s="31">
        <f>'SKS Edible Oil_Loan'!BC30</f>
        <v>498201290.68931472</v>
      </c>
      <c r="BE10" s="31">
        <f>'SKS Edible Oil_Loan'!BD30</f>
        <v>512319879.71633595</v>
      </c>
      <c r="BF10" s="31">
        <f>'SKS Edible Oil_Loan'!BE30</f>
        <v>526739928.17731124</v>
      </c>
      <c r="BG10" s="31">
        <f>'SKS Edible Oil_Loan'!BF30</f>
        <v>540989477.25308764</v>
      </c>
      <c r="BH10" s="31">
        <f>'SKS Edible Oil_Loan'!BG30</f>
        <v>553704819.10166132</v>
      </c>
      <c r="BI10" s="31">
        <f>'SKS Edible Oil_Loan'!BH30</f>
        <v>566712245.47314107</v>
      </c>
      <c r="BJ10" s="31">
        <f>'SKS Edible Oil_Loan'!BI30</f>
        <v>580885055.14698696</v>
      </c>
      <c r="BK10" s="31">
        <f>'SKS Edible Oil_Loan'!BJ30</f>
        <v>594439001.53220153</v>
      </c>
      <c r="BL10" s="31">
        <f>'SKS Edible Oil_Loan'!BK30</f>
        <v>606521083.14640522</v>
      </c>
      <c r="BM10" s="31">
        <f>'SKS Edible Oil_Loan'!BL30</f>
        <v>620570386.33003139</v>
      </c>
      <c r="BN10" s="31">
        <f>'SKS Edible Oil_Loan'!BM30</f>
        <v>633168116.95984769</v>
      </c>
      <c r="BO10" s="31">
        <f>'SKS Edible Oil_Loan'!BN30</f>
        <v>646004170.27710068</v>
      </c>
      <c r="BP10" s="31">
        <f>'SKS Edible Oil_Loan'!BO30</f>
        <v>658657184.24760032</v>
      </c>
      <c r="BQ10" s="31">
        <f>'SKS Edible Oil_Loan'!BP30</f>
        <v>670321288.80583537</v>
      </c>
      <c r="BR10" s="31">
        <f>'SKS Edible Oil_Loan'!BQ30</f>
        <v>683000077.57566321</v>
      </c>
      <c r="BS10" s="31">
        <f>'SKS Edible Oil_Loan'!BR30</f>
        <v>695095233.15916681</v>
      </c>
      <c r="BT10" s="31">
        <f>'SKS Edible Oil_Loan'!BS30</f>
        <v>705849266.13652253</v>
      </c>
      <c r="BU10" s="31">
        <f>'SKS Edible Oil_Loan'!BT30</f>
        <v>717943047.31121254</v>
      </c>
      <c r="BV10" s="31">
        <f>'SKS Edible Oil_Loan'!BU30</f>
        <v>729095250.111884</v>
      </c>
      <c r="BW10" s="31">
        <f>'SKS Edible Oil_Loan'!BV30</f>
        <v>739694765.08563483</v>
      </c>
      <c r="BX10" s="31">
        <f>'SKS Edible Oil_Loan'!BW30</f>
        <v>751189534.45092607</v>
      </c>
      <c r="BY10" s="31">
        <f>'SKS Edible Oil_Loan'!BX30</f>
        <v>762128590.67079949</v>
      </c>
      <c r="BZ10" s="31">
        <f>'SKS Edible Oil_Loan'!BY30</f>
        <v>772869589.65023196</v>
      </c>
      <c r="CA10" s="31">
        <f>'SKS Edible Oil_Loan'!BZ30</f>
        <v>783070919.12039781</v>
      </c>
      <c r="CB10" s="31">
        <f>'SKS Edible Oil_Loan'!CA30</f>
        <v>793077533.53277946</v>
      </c>
      <c r="CC10" s="31">
        <f>'SKS Edible Oil_Loan'!CB30</f>
        <v>803214903.32184899</v>
      </c>
      <c r="CD10" s="31">
        <f>'SKS Edible Oil_Loan'!CC30</f>
        <v>813147869.18623376</v>
      </c>
      <c r="CE10" s="31">
        <f>'SKS Edible Oil_Loan'!CD30</f>
        <v>822247268.1706506</v>
      </c>
      <c r="CF10" s="31">
        <f>'SKS Edible Oil_Loan'!CE30</f>
        <v>830845337.10968328</v>
      </c>
      <c r="CG10" s="31">
        <f>'SKS Edible Oil_Loan'!CF30</f>
        <v>840755975.41502261</v>
      </c>
      <c r="CH10" s="31">
        <f>'SKS Edible Oil_Loan'!CG30</f>
        <v>849561497.5824995</v>
      </c>
      <c r="CI10" s="31">
        <f>'SKS Edible Oil_Loan'!CH30</f>
        <v>858447913.11666417</v>
      </c>
      <c r="CJ10" s="31">
        <f>'SKS Edible Oil_Loan'!CI30</f>
        <v>866840275.91178846</v>
      </c>
      <c r="CK10" s="31">
        <f>'SKS Edible Oil_Loan'!CJ30</f>
        <v>875023602.66295111</v>
      </c>
      <c r="CL10" s="31">
        <f>'SKS Edible Oil_Loan'!CK30</f>
        <v>883527747.55737209</v>
      </c>
      <c r="CM10" s="31">
        <f>'SKS Edible Oil_Loan'!CL30</f>
        <v>891288024.5135237</v>
      </c>
      <c r="CN10" s="31">
        <f>'SKS Edible Oil_Loan'!CM30</f>
        <v>898582720.18284512</v>
      </c>
      <c r="CO10" s="31">
        <f>'SKS Edible Oil_Loan'!CN30</f>
        <v>906401922.69875026</v>
      </c>
      <c r="CP10" s="31">
        <f>'SKS Edible Oil_Loan'!CO30</f>
        <v>913752084.61564696</v>
      </c>
      <c r="CQ10" s="31">
        <f>'SKS Edible Oil_Loan'!CP30</f>
        <v>920875777.21220422</v>
      </c>
      <c r="CR10" s="31">
        <f>'SKS Edible Oil_Loan'!CQ30</f>
        <v>927103907.89074469</v>
      </c>
      <c r="CS10" s="31">
        <f>'SKS Edible Oil_Loan'!CR30</f>
        <v>933769269.00661469</v>
      </c>
      <c r="CT10" s="31">
        <f>'SKS Edible Oil_Loan'!CS30</f>
        <v>939787676.8524152</v>
      </c>
      <c r="CU10" s="31">
        <f>'SKS Edible Oil_Loan'!CT30</f>
        <v>946187412.58896542</v>
      </c>
      <c r="CV10" s="31">
        <f>'SKS Edible Oil_Loan'!CU30</f>
        <v>951959187.2978946</v>
      </c>
      <c r="CW10" s="31">
        <f>'SKS Edible Oil_Loan'!CV30</f>
        <v>957316446.56242573</v>
      </c>
      <c r="CX10" s="31">
        <f>'SKS Edible Oil_Loan'!CW30</f>
        <v>963157876.51492429</v>
      </c>
      <c r="CY10" s="31">
        <f>'SKS Edible Oil_Loan'!CX30</f>
        <v>968234832.39243078</v>
      </c>
      <c r="CZ10" s="31">
        <f>'SKS Edible Oil_Loan'!CY30</f>
        <v>973237894.34994829</v>
      </c>
      <c r="DA10" s="31">
        <f>'SKS Edible Oil_Loan'!CZ30</f>
        <v>977842421.539464</v>
      </c>
      <c r="DB10" s="31">
        <f>'SKS Edible Oil_Loan'!DA30</f>
        <v>982207925.65314031</v>
      </c>
      <c r="DC10" s="31">
        <f>'SKS Edible Oil_Loan'!DB30</f>
        <v>986607487.00974822</v>
      </c>
      <c r="DD10" s="31">
        <f>'SKS Edible Oil_Loan'!DC30</f>
        <v>990230468.78102148</v>
      </c>
      <c r="DE10" s="31">
        <f>'SKS Edible Oil_Loan'!DD30</f>
        <v>993988724.07238173</v>
      </c>
      <c r="DF10" s="31">
        <f>'SKS Edible Oil_Loan'!DE30</f>
        <v>997153040.24076629</v>
      </c>
      <c r="DG10" s="31">
        <f>'SKS Edible Oil_Loan'!DF30</f>
        <v>1000608913.9267229</v>
      </c>
      <c r="DH10" s="31">
        <f>'SKS Edible Oil_Loan'!DG30</f>
        <v>1003500013.5130305</v>
      </c>
      <c r="DI10" s="31">
        <f>'SKS Edible Oil_Loan'!DH30</f>
        <v>1006226475.7841492</v>
      </c>
      <c r="DJ10" s="31">
        <f>'SKS Edible Oil_Loan'!DI30</f>
        <v>1008689864.4460659</v>
      </c>
      <c r="DK10" s="31">
        <f>'SKS Edible Oil_Loan'!DJ30</f>
        <v>1010746275.3884084</v>
      </c>
      <c r="DL10" s="31">
        <f>'SKS Edible Oil_Loan'!DK30</f>
        <v>1012739541.9252046</v>
      </c>
      <c r="DM10" s="31">
        <f>'SKS Edible Oil_Loan'!DL30</f>
        <v>1014347547.4957725</v>
      </c>
      <c r="DN10" s="31">
        <f>'SKS Edible Oil_Loan'!DM30</f>
        <v>1015647965.5266206</v>
      </c>
      <c r="DO10" s="31">
        <f>'SKS Edible Oil_Loan'!DN30</f>
        <v>1016836443.3934695</v>
      </c>
      <c r="DP10" s="31">
        <f>'SKS Edible Oil_Loan'!DO30</f>
        <v>1017622838.5982862</v>
      </c>
      <c r="DQ10" s="31">
        <f>'SKS Edible Oil_Loan'!DP30</f>
        <v>1018149166.3684765</v>
      </c>
      <c r="DR10" s="31">
        <f>'SKS Edible Oil_Loan'!DQ30</f>
        <v>1018440699.0232332</v>
      </c>
      <c r="DS10" s="144">
        <f>+DR10+SUM('SKS Edible Oil_Loan'!B29:Y29)-Summary!DR9</f>
        <v>0</v>
      </c>
    </row>
    <row r="11" spans="1:123" x14ac:dyDescent="0.25">
      <c r="A11" s="39" t="s">
        <v>32</v>
      </c>
      <c r="B11" s="31">
        <f>B26</f>
        <v>0</v>
      </c>
      <c r="C11" s="31">
        <f>C26</f>
        <v>0</v>
      </c>
      <c r="D11" s="31">
        <f>D26</f>
        <v>0</v>
      </c>
      <c r="E11" s="31">
        <f>E26</f>
        <v>0</v>
      </c>
      <c r="F11" s="31">
        <f>F26</f>
        <v>0</v>
      </c>
      <c r="G11" s="31">
        <f t="shared" ref="G11:M11" si="50">G26</f>
        <v>0</v>
      </c>
      <c r="H11" s="31">
        <f t="shared" si="50"/>
        <v>0</v>
      </c>
      <c r="I11" s="31">
        <f t="shared" si="50"/>
        <v>0</v>
      </c>
      <c r="J11" s="31">
        <f t="shared" si="50"/>
        <v>0</v>
      </c>
      <c r="K11" s="31">
        <f t="shared" si="50"/>
        <v>0</v>
      </c>
      <c r="L11" s="31">
        <f t="shared" si="50"/>
        <v>0</v>
      </c>
      <c r="M11" s="31">
        <f t="shared" si="50"/>
        <v>0</v>
      </c>
      <c r="N11" s="31">
        <f t="shared" ref="N11:AR11" si="51">N26</f>
        <v>0</v>
      </c>
      <c r="O11" s="31">
        <f t="shared" si="51"/>
        <v>0</v>
      </c>
      <c r="P11" s="31">
        <f t="shared" si="51"/>
        <v>0</v>
      </c>
      <c r="Q11" s="31">
        <f t="shared" si="51"/>
        <v>0</v>
      </c>
      <c r="R11" s="31">
        <f t="shared" si="51"/>
        <v>0</v>
      </c>
      <c r="S11" s="31">
        <f t="shared" si="51"/>
        <v>0</v>
      </c>
      <c r="T11" s="31">
        <f t="shared" si="51"/>
        <v>0</v>
      </c>
      <c r="U11" s="31">
        <f t="shared" si="51"/>
        <v>0</v>
      </c>
      <c r="V11" s="31">
        <f t="shared" si="51"/>
        <v>0</v>
      </c>
      <c r="W11" s="31">
        <f t="shared" si="51"/>
        <v>0</v>
      </c>
      <c r="X11" s="31">
        <f t="shared" si="51"/>
        <v>0</v>
      </c>
      <c r="Y11" s="31">
        <f t="shared" si="51"/>
        <v>0</v>
      </c>
      <c r="Z11" s="31">
        <f t="shared" si="51"/>
        <v>0</v>
      </c>
      <c r="AA11" s="31">
        <f t="shared" si="51"/>
        <v>0</v>
      </c>
      <c r="AB11" s="31">
        <f t="shared" si="51"/>
        <v>0</v>
      </c>
      <c r="AC11" s="31">
        <f t="shared" si="51"/>
        <v>0</v>
      </c>
      <c r="AD11" s="31">
        <f t="shared" si="51"/>
        <v>0</v>
      </c>
      <c r="AE11" s="31">
        <f t="shared" si="51"/>
        <v>0</v>
      </c>
      <c r="AF11" s="31">
        <f t="shared" si="51"/>
        <v>0</v>
      </c>
      <c r="AG11" s="31">
        <f t="shared" si="51"/>
        <v>0</v>
      </c>
      <c r="AH11" s="31">
        <f t="shared" si="51"/>
        <v>0</v>
      </c>
      <c r="AI11" s="31">
        <f t="shared" si="51"/>
        <v>162027057.14110795</v>
      </c>
      <c r="AJ11" s="31">
        <f t="shared" si="51"/>
        <v>178149763.65285715</v>
      </c>
      <c r="AK11" s="31">
        <f t="shared" si="51"/>
        <v>195856558.50617498</v>
      </c>
      <c r="AL11" s="31">
        <f t="shared" si="51"/>
        <v>211719295.12631369</v>
      </c>
      <c r="AM11" s="31">
        <f t="shared" si="51"/>
        <v>230259645.14265984</v>
      </c>
      <c r="AN11" s="31">
        <f t="shared" si="51"/>
        <v>246972467.54836607</v>
      </c>
      <c r="AO11" s="31">
        <f t="shared" si="51"/>
        <v>264094446.10426092</v>
      </c>
      <c r="AP11" s="31">
        <f t="shared" si="51"/>
        <v>281067315.55487502</v>
      </c>
      <c r="AQ11" s="31">
        <f t="shared" si="51"/>
        <v>296804567.71775395</v>
      </c>
      <c r="AR11" s="31">
        <f t="shared" si="51"/>
        <v>314013445.70856279</v>
      </c>
      <c r="AS11" s="31">
        <f t="shared" ref="AS11:BX11" si="52">AS26</f>
        <v>329999015.38352776</v>
      </c>
      <c r="AT11" s="31">
        <f t="shared" si="52"/>
        <v>345307773.68503642</v>
      </c>
      <c r="AU11" s="31">
        <f t="shared" si="52"/>
        <v>362562972.51145452</v>
      </c>
      <c r="AV11" s="31">
        <f t="shared" si="52"/>
        <v>377062542.86288887</v>
      </c>
      <c r="AW11" s="31">
        <f t="shared" si="52"/>
        <v>392445308.65518594</v>
      </c>
      <c r="AX11" s="31">
        <f t="shared" si="52"/>
        <v>408182014.77520663</v>
      </c>
      <c r="AY11" s="31">
        <f t="shared" si="52"/>
        <v>423758645.04982919</v>
      </c>
      <c r="AZ11" s="31">
        <f t="shared" si="52"/>
        <v>438179397.55632395</v>
      </c>
      <c r="BA11" s="31">
        <f t="shared" si="52"/>
        <v>453924085.8143543</v>
      </c>
      <c r="BB11" s="31">
        <f t="shared" si="52"/>
        <v>469012844.74057686</v>
      </c>
      <c r="BC11" s="31">
        <f t="shared" si="52"/>
        <v>482492183.38472068</v>
      </c>
      <c r="BD11" s="31">
        <f t="shared" si="52"/>
        <v>498201290.68931472</v>
      </c>
      <c r="BE11" s="31">
        <f t="shared" si="52"/>
        <v>512319879.71633595</v>
      </c>
      <c r="BF11" s="31">
        <f t="shared" si="52"/>
        <v>526739928.17731124</v>
      </c>
      <c r="BG11" s="31">
        <f t="shared" si="52"/>
        <v>540989477.25308764</v>
      </c>
      <c r="BH11" s="31">
        <f t="shared" si="52"/>
        <v>553704819.10166132</v>
      </c>
      <c r="BI11" s="31">
        <f t="shared" si="52"/>
        <v>566712245.47314107</v>
      </c>
      <c r="BJ11" s="31">
        <f t="shared" si="52"/>
        <v>580885055.14698696</v>
      </c>
      <c r="BK11" s="31">
        <f t="shared" si="52"/>
        <v>594439001.53220153</v>
      </c>
      <c r="BL11" s="31">
        <f t="shared" si="52"/>
        <v>606521083.14640522</v>
      </c>
      <c r="BM11" s="31">
        <f t="shared" si="52"/>
        <v>620570386.33003139</v>
      </c>
      <c r="BN11" s="31">
        <f t="shared" si="52"/>
        <v>633168116.95984769</v>
      </c>
      <c r="BO11" s="31">
        <f t="shared" si="52"/>
        <v>646004170.27710068</v>
      </c>
      <c r="BP11" s="31">
        <f t="shared" si="52"/>
        <v>658657184.24760032</v>
      </c>
      <c r="BQ11" s="31">
        <f t="shared" si="52"/>
        <v>670321288.80583537</v>
      </c>
      <c r="BR11" s="31">
        <f t="shared" si="52"/>
        <v>683000077.57566321</v>
      </c>
      <c r="BS11" s="31">
        <f t="shared" si="52"/>
        <v>695095233.15916681</v>
      </c>
      <c r="BT11" s="31">
        <f t="shared" si="52"/>
        <v>705849266.13652253</v>
      </c>
      <c r="BU11" s="31">
        <f t="shared" si="52"/>
        <v>717943047.31121254</v>
      </c>
      <c r="BV11" s="31">
        <f t="shared" si="52"/>
        <v>729095250.111884</v>
      </c>
      <c r="BW11" s="31">
        <f t="shared" si="52"/>
        <v>739694765.08563483</v>
      </c>
      <c r="BX11" s="31">
        <f t="shared" si="52"/>
        <v>751189534.45092607</v>
      </c>
      <c r="BY11" s="31">
        <f t="shared" ref="BY11:CF11" si="53">BY26</f>
        <v>762128590.67079949</v>
      </c>
      <c r="BZ11" s="31">
        <f t="shared" si="53"/>
        <v>772869589.65023196</v>
      </c>
      <c r="CA11" s="31">
        <f t="shared" si="53"/>
        <v>783070919.12039781</v>
      </c>
      <c r="CB11" s="31">
        <f t="shared" si="53"/>
        <v>793077533.53277946</v>
      </c>
      <c r="CC11" s="31">
        <f t="shared" si="53"/>
        <v>803214903.32184899</v>
      </c>
      <c r="CD11" s="31">
        <f t="shared" si="53"/>
        <v>813147869.18623376</v>
      </c>
      <c r="CE11" s="31">
        <f t="shared" si="53"/>
        <v>822247268.1706506</v>
      </c>
      <c r="CF11" s="31">
        <f t="shared" si="53"/>
        <v>830845337.10968328</v>
      </c>
      <c r="CG11" s="31">
        <f>CG26</f>
        <v>840755975.41502261</v>
      </c>
      <c r="CH11" s="31">
        <f>CH26</f>
        <v>849561497.5824995</v>
      </c>
      <c r="CI11" s="31">
        <f t="shared" ref="CI11:DR11" si="54">CI26</f>
        <v>858447913.11666417</v>
      </c>
      <c r="CJ11" s="31">
        <f t="shared" si="54"/>
        <v>866840275.91178846</v>
      </c>
      <c r="CK11" s="31">
        <f t="shared" si="54"/>
        <v>875023602.66295111</v>
      </c>
      <c r="CL11" s="31">
        <f t="shared" si="54"/>
        <v>883527747.55737209</v>
      </c>
      <c r="CM11" s="31">
        <f t="shared" si="54"/>
        <v>891288024.5135237</v>
      </c>
      <c r="CN11" s="31">
        <f t="shared" si="54"/>
        <v>898582720.18284512</v>
      </c>
      <c r="CO11" s="31">
        <f t="shared" si="54"/>
        <v>906401922.69875026</v>
      </c>
      <c r="CP11" s="31">
        <f t="shared" si="54"/>
        <v>913752084.61564696</v>
      </c>
      <c r="CQ11" s="31">
        <f t="shared" si="54"/>
        <v>920875777.21220422</v>
      </c>
      <c r="CR11" s="31">
        <f t="shared" si="54"/>
        <v>927103907.89074469</v>
      </c>
      <c r="CS11" s="31">
        <f t="shared" si="54"/>
        <v>933769269.00661469</v>
      </c>
      <c r="CT11" s="31">
        <f t="shared" si="54"/>
        <v>939787676.8524152</v>
      </c>
      <c r="CU11" s="31">
        <f t="shared" si="54"/>
        <v>946187412.58896542</v>
      </c>
      <c r="CV11" s="31">
        <f t="shared" si="54"/>
        <v>951959187.2978946</v>
      </c>
      <c r="CW11" s="31">
        <f t="shared" si="54"/>
        <v>957316446.56242573</v>
      </c>
      <c r="CX11" s="31">
        <f t="shared" si="54"/>
        <v>963157876.51492429</v>
      </c>
      <c r="CY11" s="31">
        <f t="shared" si="54"/>
        <v>968234832.39243078</v>
      </c>
      <c r="CZ11" s="31">
        <f t="shared" si="54"/>
        <v>973237894.34994829</v>
      </c>
      <c r="DA11" s="31">
        <f t="shared" si="54"/>
        <v>977842421.539464</v>
      </c>
      <c r="DB11" s="31">
        <f t="shared" si="54"/>
        <v>982207925.65314031</v>
      </c>
      <c r="DC11" s="31">
        <f t="shared" si="54"/>
        <v>986607487.00974822</v>
      </c>
      <c r="DD11" s="31">
        <f t="shared" si="54"/>
        <v>990230468.78102148</v>
      </c>
      <c r="DE11" s="31">
        <f t="shared" si="54"/>
        <v>993988724.07238173</v>
      </c>
      <c r="DF11" s="31">
        <f t="shared" si="54"/>
        <v>997153040.24076629</v>
      </c>
      <c r="DG11" s="31">
        <f t="shared" si="54"/>
        <v>1000608913.9267229</v>
      </c>
      <c r="DH11" s="31">
        <f t="shared" si="54"/>
        <v>1003500013.5130305</v>
      </c>
      <c r="DI11" s="31">
        <f t="shared" si="54"/>
        <v>1006226475.7841492</v>
      </c>
      <c r="DJ11" s="31">
        <f t="shared" si="54"/>
        <v>1008689864.4460659</v>
      </c>
      <c r="DK11" s="31">
        <f t="shared" si="54"/>
        <v>1010746275.3884084</v>
      </c>
      <c r="DL11" s="31">
        <f t="shared" si="54"/>
        <v>1012739541.9252046</v>
      </c>
      <c r="DM11" s="31">
        <f t="shared" si="54"/>
        <v>1014347547.4957725</v>
      </c>
      <c r="DN11" s="31">
        <f t="shared" si="54"/>
        <v>1015647965.5266206</v>
      </c>
      <c r="DO11" s="31">
        <f t="shared" si="54"/>
        <v>1016836443.3934695</v>
      </c>
      <c r="DP11" s="31">
        <f t="shared" si="54"/>
        <v>1017622838.5982862</v>
      </c>
      <c r="DQ11" s="31">
        <f t="shared" si="54"/>
        <v>1018149166.3684765</v>
      </c>
      <c r="DR11" s="31">
        <f t="shared" si="54"/>
        <v>1018440699.0232332</v>
      </c>
    </row>
    <row r="12" spans="1:123" x14ac:dyDescent="0.25">
      <c r="A12" s="39" t="s">
        <v>33</v>
      </c>
      <c r="B12" s="31">
        <f>IF((B10-B11)&gt;0,(B10-B11),0)</f>
        <v>0</v>
      </c>
      <c r="C12" s="31">
        <f>IF((C10-C11)&gt;0,(C10-C11),0)</f>
        <v>0</v>
      </c>
      <c r="D12" s="31">
        <f t="shared" ref="D12:BO12" si="55">IF((D10-D11)&gt;0,(D10-D11),0)</f>
        <v>0</v>
      </c>
      <c r="E12" s="31">
        <f t="shared" si="55"/>
        <v>0</v>
      </c>
      <c r="F12" s="31">
        <f t="shared" si="55"/>
        <v>0</v>
      </c>
      <c r="G12" s="31">
        <f t="shared" si="55"/>
        <v>0</v>
      </c>
      <c r="H12" s="31">
        <f t="shared" si="55"/>
        <v>0</v>
      </c>
      <c r="I12" s="31">
        <f t="shared" si="55"/>
        <v>0</v>
      </c>
      <c r="J12" s="31">
        <f t="shared" si="55"/>
        <v>0</v>
      </c>
      <c r="K12" s="31">
        <f t="shared" si="55"/>
        <v>0</v>
      </c>
      <c r="L12" s="31">
        <f t="shared" si="55"/>
        <v>0</v>
      </c>
      <c r="M12" s="31">
        <f t="shared" si="55"/>
        <v>0</v>
      </c>
      <c r="N12" s="31">
        <f t="shared" si="55"/>
        <v>0</v>
      </c>
      <c r="O12" s="31">
        <f t="shared" si="55"/>
        <v>0</v>
      </c>
      <c r="P12" s="31">
        <f t="shared" si="55"/>
        <v>0</v>
      </c>
      <c r="Q12" s="31">
        <f t="shared" si="55"/>
        <v>0</v>
      </c>
      <c r="R12" s="31">
        <f t="shared" si="55"/>
        <v>0</v>
      </c>
      <c r="S12" s="31">
        <f t="shared" si="55"/>
        <v>0</v>
      </c>
      <c r="T12" s="31">
        <f t="shared" si="55"/>
        <v>0</v>
      </c>
      <c r="U12" s="31">
        <f t="shared" si="55"/>
        <v>0</v>
      </c>
      <c r="V12" s="31">
        <f t="shared" si="55"/>
        <v>0</v>
      </c>
      <c r="W12" s="31">
        <f t="shared" si="55"/>
        <v>0</v>
      </c>
      <c r="X12" s="31">
        <f t="shared" si="55"/>
        <v>0</v>
      </c>
      <c r="Y12" s="31">
        <f t="shared" si="55"/>
        <v>0</v>
      </c>
      <c r="Z12" s="31">
        <f t="shared" si="55"/>
        <v>0</v>
      </c>
      <c r="AA12" s="31">
        <f t="shared" si="55"/>
        <v>16011488.763020834</v>
      </c>
      <c r="AB12" s="31">
        <f t="shared" si="55"/>
        <v>34357066.69841224</v>
      </c>
      <c r="AC12" s="31">
        <f t="shared" si="55"/>
        <v>51965226.937103882</v>
      </c>
      <c r="AD12" s="31">
        <f t="shared" si="55"/>
        <v>71857701.028457463</v>
      </c>
      <c r="AE12" s="31">
        <f t="shared" si="55"/>
        <v>89809458.334710285</v>
      </c>
      <c r="AF12" s="31">
        <f t="shared" si="55"/>
        <v>108221804.79695359</v>
      </c>
      <c r="AG12" s="31">
        <f t="shared" si="55"/>
        <v>125905791.34813532</v>
      </c>
      <c r="AH12" s="31">
        <f t="shared" si="55"/>
        <v>143454300.54342419</v>
      </c>
      <c r="AI12" s="31">
        <f t="shared" si="55"/>
        <v>0</v>
      </c>
      <c r="AJ12" s="31">
        <f t="shared" si="55"/>
        <v>0</v>
      </c>
      <c r="AK12" s="31">
        <f t="shared" si="55"/>
        <v>0</v>
      </c>
      <c r="AL12" s="31">
        <f t="shared" si="55"/>
        <v>0</v>
      </c>
      <c r="AM12" s="31">
        <f t="shared" si="55"/>
        <v>0</v>
      </c>
      <c r="AN12" s="31">
        <f t="shared" si="55"/>
        <v>0</v>
      </c>
      <c r="AO12" s="31">
        <f t="shared" si="55"/>
        <v>0</v>
      </c>
      <c r="AP12" s="31">
        <f t="shared" si="55"/>
        <v>0</v>
      </c>
      <c r="AQ12" s="31">
        <f t="shared" si="55"/>
        <v>0</v>
      </c>
      <c r="AR12" s="31">
        <f t="shared" si="55"/>
        <v>0</v>
      </c>
      <c r="AS12" s="31">
        <f t="shared" si="55"/>
        <v>0</v>
      </c>
      <c r="AT12" s="31">
        <f t="shared" si="55"/>
        <v>0</v>
      </c>
      <c r="AU12" s="31">
        <f t="shared" si="55"/>
        <v>0</v>
      </c>
      <c r="AV12" s="31">
        <f t="shared" si="55"/>
        <v>0</v>
      </c>
      <c r="AW12" s="31">
        <f t="shared" si="55"/>
        <v>0</v>
      </c>
      <c r="AX12" s="31">
        <f t="shared" si="55"/>
        <v>0</v>
      </c>
      <c r="AY12" s="31">
        <f t="shared" si="55"/>
        <v>0</v>
      </c>
      <c r="AZ12" s="31">
        <f t="shared" si="55"/>
        <v>0</v>
      </c>
      <c r="BA12" s="31">
        <f t="shared" si="55"/>
        <v>0</v>
      </c>
      <c r="BB12" s="31">
        <f t="shared" si="55"/>
        <v>0</v>
      </c>
      <c r="BC12" s="31">
        <f t="shared" si="55"/>
        <v>0</v>
      </c>
      <c r="BD12" s="31">
        <f t="shared" si="55"/>
        <v>0</v>
      </c>
      <c r="BE12" s="31">
        <f t="shared" si="55"/>
        <v>0</v>
      </c>
      <c r="BF12" s="31">
        <f t="shared" si="55"/>
        <v>0</v>
      </c>
      <c r="BG12" s="31">
        <f t="shared" si="55"/>
        <v>0</v>
      </c>
      <c r="BH12" s="31">
        <f t="shared" si="55"/>
        <v>0</v>
      </c>
      <c r="BI12" s="31">
        <f t="shared" si="55"/>
        <v>0</v>
      </c>
      <c r="BJ12" s="31">
        <f t="shared" si="55"/>
        <v>0</v>
      </c>
      <c r="BK12" s="31">
        <f t="shared" si="55"/>
        <v>0</v>
      </c>
      <c r="BL12" s="31">
        <f t="shared" si="55"/>
        <v>0</v>
      </c>
      <c r="BM12" s="31">
        <f t="shared" si="55"/>
        <v>0</v>
      </c>
      <c r="BN12" s="31">
        <f t="shared" si="55"/>
        <v>0</v>
      </c>
      <c r="BO12" s="31">
        <f t="shared" si="55"/>
        <v>0</v>
      </c>
      <c r="BP12" s="31">
        <f t="shared" ref="BP12:CF12" si="56">IF((BP10-BP11)&gt;0,(BP10-BP11),0)</f>
        <v>0</v>
      </c>
      <c r="BQ12" s="31">
        <f t="shared" si="56"/>
        <v>0</v>
      </c>
      <c r="BR12" s="31">
        <f t="shared" si="56"/>
        <v>0</v>
      </c>
      <c r="BS12" s="31">
        <f t="shared" si="56"/>
        <v>0</v>
      </c>
      <c r="BT12" s="31">
        <f t="shared" si="56"/>
        <v>0</v>
      </c>
      <c r="BU12" s="31">
        <f t="shared" si="56"/>
        <v>0</v>
      </c>
      <c r="BV12" s="31">
        <f t="shared" si="56"/>
        <v>0</v>
      </c>
      <c r="BW12" s="31">
        <f t="shared" si="56"/>
        <v>0</v>
      </c>
      <c r="BX12" s="31">
        <f t="shared" si="56"/>
        <v>0</v>
      </c>
      <c r="BY12" s="31">
        <f t="shared" si="56"/>
        <v>0</v>
      </c>
      <c r="BZ12" s="31">
        <f t="shared" si="56"/>
        <v>0</v>
      </c>
      <c r="CA12" s="31">
        <f t="shared" si="56"/>
        <v>0</v>
      </c>
      <c r="CB12" s="31">
        <f t="shared" si="56"/>
        <v>0</v>
      </c>
      <c r="CC12" s="31">
        <f t="shared" si="56"/>
        <v>0</v>
      </c>
      <c r="CD12" s="31">
        <f t="shared" si="56"/>
        <v>0</v>
      </c>
      <c r="CE12" s="31">
        <f t="shared" si="56"/>
        <v>0</v>
      </c>
      <c r="CF12" s="31">
        <f t="shared" si="56"/>
        <v>0</v>
      </c>
      <c r="CG12" s="31">
        <f>IF((CG10-CG11)&gt;0,(CG10-CG11),0)</f>
        <v>0</v>
      </c>
      <c r="CH12" s="31">
        <f>IF((CH10-CH11)&gt;0,(CH10-CH11),0)</f>
        <v>0</v>
      </c>
      <c r="CI12" s="31">
        <f t="shared" ref="CI12:DR12" si="57">IF((CI10-CI11)&gt;0,(CI10-CI11),0)</f>
        <v>0</v>
      </c>
      <c r="CJ12" s="31">
        <f t="shared" si="57"/>
        <v>0</v>
      </c>
      <c r="CK12" s="31">
        <f t="shared" si="57"/>
        <v>0</v>
      </c>
      <c r="CL12" s="31">
        <f t="shared" si="57"/>
        <v>0</v>
      </c>
      <c r="CM12" s="31">
        <f t="shared" si="57"/>
        <v>0</v>
      </c>
      <c r="CN12" s="31">
        <f t="shared" si="57"/>
        <v>0</v>
      </c>
      <c r="CO12" s="31">
        <f t="shared" si="57"/>
        <v>0</v>
      </c>
      <c r="CP12" s="31">
        <f t="shared" si="57"/>
        <v>0</v>
      </c>
      <c r="CQ12" s="31">
        <f t="shared" si="57"/>
        <v>0</v>
      </c>
      <c r="CR12" s="31">
        <f t="shared" si="57"/>
        <v>0</v>
      </c>
      <c r="CS12" s="31">
        <f t="shared" si="57"/>
        <v>0</v>
      </c>
      <c r="CT12" s="31">
        <f t="shared" si="57"/>
        <v>0</v>
      </c>
      <c r="CU12" s="31">
        <f t="shared" si="57"/>
        <v>0</v>
      </c>
      <c r="CV12" s="31">
        <f t="shared" si="57"/>
        <v>0</v>
      </c>
      <c r="CW12" s="31">
        <f t="shared" si="57"/>
        <v>0</v>
      </c>
      <c r="CX12" s="31">
        <f t="shared" si="57"/>
        <v>0</v>
      </c>
      <c r="CY12" s="31">
        <f t="shared" si="57"/>
        <v>0</v>
      </c>
      <c r="CZ12" s="31">
        <f t="shared" si="57"/>
        <v>0</v>
      </c>
      <c r="DA12" s="31">
        <f t="shared" si="57"/>
        <v>0</v>
      </c>
      <c r="DB12" s="31">
        <f t="shared" si="57"/>
        <v>0</v>
      </c>
      <c r="DC12" s="31">
        <f t="shared" si="57"/>
        <v>0</v>
      </c>
      <c r="DD12" s="31">
        <f t="shared" si="57"/>
        <v>0</v>
      </c>
      <c r="DE12" s="31">
        <f t="shared" si="57"/>
        <v>0</v>
      </c>
      <c r="DF12" s="31">
        <f t="shared" si="57"/>
        <v>0</v>
      </c>
      <c r="DG12" s="31">
        <f t="shared" si="57"/>
        <v>0</v>
      </c>
      <c r="DH12" s="31">
        <f t="shared" si="57"/>
        <v>0</v>
      </c>
      <c r="DI12" s="31">
        <f t="shared" si="57"/>
        <v>0</v>
      </c>
      <c r="DJ12" s="31">
        <f t="shared" si="57"/>
        <v>0</v>
      </c>
      <c r="DK12" s="31">
        <f t="shared" si="57"/>
        <v>0</v>
      </c>
      <c r="DL12" s="31">
        <f t="shared" si="57"/>
        <v>0</v>
      </c>
      <c r="DM12" s="31">
        <f t="shared" si="57"/>
        <v>0</v>
      </c>
      <c r="DN12" s="31">
        <f t="shared" si="57"/>
        <v>0</v>
      </c>
      <c r="DO12" s="31">
        <f t="shared" si="57"/>
        <v>0</v>
      </c>
      <c r="DP12" s="31">
        <f t="shared" si="57"/>
        <v>0</v>
      </c>
      <c r="DQ12" s="31">
        <f t="shared" si="57"/>
        <v>0</v>
      </c>
      <c r="DR12" s="31">
        <f t="shared" si="57"/>
        <v>0</v>
      </c>
    </row>
    <row r="13" spans="1:123" x14ac:dyDescent="0.25">
      <c r="A13" s="39" t="s">
        <v>34</v>
      </c>
      <c r="B13" s="31">
        <f>B9-B11</f>
        <v>4125000</v>
      </c>
      <c r="C13" s="31">
        <f t="shared" ref="C13:BN13" si="58">C9-C11</f>
        <v>14437500</v>
      </c>
      <c r="D13" s="31">
        <f t="shared" si="58"/>
        <v>26708333.333333336</v>
      </c>
      <c r="E13" s="31">
        <f t="shared" si="58"/>
        <v>38979166.666666672</v>
      </c>
      <c r="F13" s="31">
        <f t="shared" si="58"/>
        <v>50854166.666666672</v>
      </c>
      <c r="G13" s="31">
        <f t="shared" si="58"/>
        <v>63125000.000000007</v>
      </c>
      <c r="H13" s="31">
        <f t="shared" si="58"/>
        <v>75000000</v>
      </c>
      <c r="I13" s="31">
        <f t="shared" si="58"/>
        <v>87270833.333333328</v>
      </c>
      <c r="J13" s="31">
        <f t="shared" si="58"/>
        <v>99541666.666666657</v>
      </c>
      <c r="K13" s="31">
        <f t="shared" si="58"/>
        <v>110624999.99999999</v>
      </c>
      <c r="L13" s="31">
        <f t="shared" si="58"/>
        <v>122895833.33333331</v>
      </c>
      <c r="M13" s="31">
        <f t="shared" si="58"/>
        <v>134770833.33333331</v>
      </c>
      <c r="N13" s="31">
        <f t="shared" si="58"/>
        <v>147492256.94444442</v>
      </c>
      <c r="O13" s="31">
        <f t="shared" si="58"/>
        <v>160546510.41666663</v>
      </c>
      <c r="P13" s="31">
        <f t="shared" si="58"/>
        <v>175617479.74537033</v>
      </c>
      <c r="Q13" s="31">
        <f t="shared" si="58"/>
        <v>190688449.07407403</v>
      </c>
      <c r="R13" s="31">
        <f t="shared" si="58"/>
        <v>205273258.10185182</v>
      </c>
      <c r="S13" s="31">
        <f t="shared" si="58"/>
        <v>220344227.43055552</v>
      </c>
      <c r="T13" s="31">
        <f t="shared" si="58"/>
        <v>236987369.79166663</v>
      </c>
      <c r="U13" s="31">
        <f t="shared" si="58"/>
        <v>254512505.78703701</v>
      </c>
      <c r="V13" s="31">
        <f t="shared" si="58"/>
        <v>272037641.7824074</v>
      </c>
      <c r="W13" s="31">
        <f t="shared" si="58"/>
        <v>288432123.8425926</v>
      </c>
      <c r="X13" s="31">
        <f t="shared" si="58"/>
        <v>305957259.83796299</v>
      </c>
      <c r="Y13" s="31">
        <f t="shared" si="58"/>
        <v>322917068.86574078</v>
      </c>
      <c r="Z13" s="31">
        <f t="shared" si="58"/>
        <v>341048199.14062506</v>
      </c>
      <c r="AA13" s="31">
        <f t="shared" si="58"/>
        <v>359454078.24522966</v>
      </c>
      <c r="AB13" s="31">
        <f t="shared" si="58"/>
        <v>378337372.91592121</v>
      </c>
      <c r="AC13" s="31">
        <f t="shared" si="58"/>
        <v>397076750.84576207</v>
      </c>
      <c r="AD13" s="31">
        <f t="shared" si="58"/>
        <v>415090252.84179235</v>
      </c>
      <c r="AE13" s="31">
        <f t="shared" si="58"/>
        <v>433564832.80594051</v>
      </c>
      <c r="AF13" s="31">
        <f t="shared" si="58"/>
        <v>451311545.54091722</v>
      </c>
      <c r="AG13" s="31">
        <f t="shared" si="58"/>
        <v>469508227.80879909</v>
      </c>
      <c r="AH13" s="31">
        <f t="shared" si="58"/>
        <v>487559757.37962139</v>
      </c>
      <c r="AI13" s="31">
        <f t="shared" si="58"/>
        <v>341719634.50587475</v>
      </c>
      <c r="AJ13" s="31">
        <f t="shared" si="58"/>
        <v>343368459.07278728</v>
      </c>
      <c r="AK13" s="31">
        <f t="shared" si="58"/>
        <v>342722702.17579371</v>
      </c>
      <c r="AL13" s="31">
        <f t="shared" si="58"/>
        <v>344333028.22910857</v>
      </c>
      <c r="AM13" s="31">
        <f t="shared" si="58"/>
        <v>342571786.53304344</v>
      </c>
      <c r="AN13" s="31">
        <f t="shared" si="58"/>
        <v>343047753.36129737</v>
      </c>
      <c r="AO13" s="31">
        <f t="shared" si="58"/>
        <v>342965983.85194981</v>
      </c>
      <c r="AP13" s="31">
        <f t="shared" si="58"/>
        <v>342340903.13296783</v>
      </c>
      <c r="AQ13" s="31">
        <f t="shared" si="58"/>
        <v>343338275.11983007</v>
      </c>
      <c r="AR13" s="31">
        <f t="shared" si="58"/>
        <v>342183918.40998143</v>
      </c>
      <c r="AS13" s="31">
        <f t="shared" si="58"/>
        <v>342632380.94398797</v>
      </c>
      <c r="AT13" s="31">
        <f t="shared" si="58"/>
        <v>343593092.69551361</v>
      </c>
      <c r="AU13" s="31">
        <f t="shared" si="58"/>
        <v>340908066.42571729</v>
      </c>
      <c r="AV13" s="31">
        <f t="shared" si="58"/>
        <v>342375181.8656351</v>
      </c>
      <c r="AW13" s="31">
        <f t="shared" si="58"/>
        <v>342288087.83194697</v>
      </c>
      <c r="AX13" s="31">
        <f t="shared" si="58"/>
        <v>342200304.30382544</v>
      </c>
      <c r="AY13" s="31">
        <f t="shared" si="58"/>
        <v>341614558.49496275</v>
      </c>
      <c r="AZ13" s="31">
        <f t="shared" si="58"/>
        <v>342514668.39514214</v>
      </c>
      <c r="BA13" s="31">
        <f t="shared" si="58"/>
        <v>341932761.95147693</v>
      </c>
      <c r="BB13" s="31">
        <f t="shared" si="58"/>
        <v>341360760.47522509</v>
      </c>
      <c r="BC13" s="31">
        <f t="shared" si="58"/>
        <v>342702918.78900874</v>
      </c>
      <c r="BD13" s="31">
        <f t="shared" si="58"/>
        <v>341188195.39774466</v>
      </c>
      <c r="BE13" s="31">
        <f t="shared" si="58"/>
        <v>341566049.7608574</v>
      </c>
      <c r="BF13" s="31">
        <f t="shared" si="58"/>
        <v>341472550.09800643</v>
      </c>
      <c r="BG13" s="31">
        <f t="shared" si="58"/>
        <v>340015952.17428684</v>
      </c>
      <c r="BH13" s="31">
        <f t="shared" si="58"/>
        <v>341283324.29535019</v>
      </c>
      <c r="BI13" s="31">
        <f t="shared" si="58"/>
        <v>341630486.69153833</v>
      </c>
      <c r="BJ13" s="31">
        <f t="shared" si="58"/>
        <v>341091090.55802095</v>
      </c>
      <c r="BK13" s="31">
        <f t="shared" si="58"/>
        <v>340562327.88668787</v>
      </c>
      <c r="BL13" s="31">
        <f t="shared" si="58"/>
        <v>341747273.99208784</v>
      </c>
      <c r="BM13" s="31">
        <f t="shared" si="58"/>
        <v>340796995.27356267</v>
      </c>
      <c r="BN13" s="31">
        <f t="shared" si="58"/>
        <v>340697407.26268721</v>
      </c>
      <c r="BO13" s="31">
        <f t="shared" ref="BO13:CF13" si="59">BO9-BO11</f>
        <v>340597030.8467257</v>
      </c>
      <c r="BP13" s="31">
        <f t="shared" si="59"/>
        <v>340093649.28212976</v>
      </c>
      <c r="BQ13" s="31">
        <f t="shared" si="59"/>
        <v>340790099.93302822</v>
      </c>
      <c r="BR13" s="31">
        <f t="shared" si="59"/>
        <v>340291108.5054698</v>
      </c>
      <c r="BS13" s="31">
        <f t="shared" si="59"/>
        <v>339419370.34501207</v>
      </c>
      <c r="BT13" s="31">
        <f t="shared" si="59"/>
        <v>340461033.16076326</v>
      </c>
      <c r="BU13" s="31">
        <f t="shared" si="59"/>
        <v>339606122.74369156</v>
      </c>
      <c r="BV13" s="31">
        <f t="shared" si="59"/>
        <v>339871790.02771616</v>
      </c>
      <c r="BW13" s="31">
        <f t="shared" si="59"/>
        <v>340124089.0179764</v>
      </c>
      <c r="BX13" s="31">
        <f t="shared" si="59"/>
        <v>339657118.53186607</v>
      </c>
      <c r="BY13" s="31">
        <f t="shared" si="59"/>
        <v>339548506.49678564</v>
      </c>
      <c r="BZ13" s="31">
        <f t="shared" si="59"/>
        <v>339098990.30075514</v>
      </c>
      <c r="CA13" s="31">
        <f t="shared" si="59"/>
        <v>339328696.08368301</v>
      </c>
      <c r="CB13" s="31">
        <f t="shared" si="59"/>
        <v>339217484.03755426</v>
      </c>
      <c r="CC13" s="31">
        <f t="shared" si="59"/>
        <v>339105391.56272709</v>
      </c>
      <c r="CD13" s="31">
        <f t="shared" si="59"/>
        <v>338992411.6891408</v>
      </c>
      <c r="CE13" s="31">
        <f t="shared" si="59"/>
        <v>338571463.50087559</v>
      </c>
      <c r="CF13" s="31">
        <f t="shared" si="59"/>
        <v>339364406.33489203</v>
      </c>
      <c r="CG13" s="31">
        <f>CG9-CG11</f>
        <v>338354559.73932076</v>
      </c>
      <c r="CH13" s="31">
        <f>CH9-CH11</f>
        <v>338531476.86550927</v>
      </c>
      <c r="CI13" s="31">
        <f t="shared" ref="CI13:DR13" si="60">CI9-CI11</f>
        <v>338134208.07406592</v>
      </c>
      <c r="CJ13" s="31">
        <f t="shared" si="60"/>
        <v>338295499.74232507</v>
      </c>
      <c r="CK13" s="31">
        <f t="shared" si="60"/>
        <v>338441862.75311148</v>
      </c>
      <c r="CL13" s="31">
        <f t="shared" si="60"/>
        <v>337797095.62661386</v>
      </c>
      <c r="CM13" s="31">
        <f t="shared" si="60"/>
        <v>337934482.15960181</v>
      </c>
      <c r="CN13" s="31">
        <f t="shared" si="60"/>
        <v>338056582.66519618</v>
      </c>
      <c r="CO13" s="31">
        <f t="shared" si="60"/>
        <v>337689015.20442677</v>
      </c>
      <c r="CP13" s="31">
        <f t="shared" si="60"/>
        <v>337564822.35133731</v>
      </c>
      <c r="CQ13" s="31">
        <f t="shared" si="60"/>
        <v>336772346.58926964</v>
      </c>
      <c r="CR13" s="31">
        <f t="shared" si="60"/>
        <v>337313479.2812829</v>
      </c>
      <c r="CS13" s="31">
        <f t="shared" si="60"/>
        <v>336978782.13044095</v>
      </c>
      <c r="CT13" s="31">
        <f t="shared" si="60"/>
        <v>337258132.60180891</v>
      </c>
      <c r="CU13" s="31">
        <f t="shared" si="60"/>
        <v>336736561.09476161</v>
      </c>
      <c r="CV13" s="31">
        <f t="shared" si="60"/>
        <v>336798743.57748306</v>
      </c>
      <c r="CW13" s="31">
        <f t="shared" si="60"/>
        <v>337021528.79840767</v>
      </c>
      <c r="CX13" s="31">
        <f t="shared" si="60"/>
        <v>336365991.05133629</v>
      </c>
      <c r="CY13" s="31">
        <f t="shared" si="60"/>
        <v>336401895.87186384</v>
      </c>
      <c r="CZ13" s="31">
        <f t="shared" si="60"/>
        <v>336114029.08440793</v>
      </c>
      <c r="DA13" s="31">
        <f t="shared" si="60"/>
        <v>336132066.91441607</v>
      </c>
      <c r="DB13" s="31">
        <f t="shared" si="60"/>
        <v>336133034.51309156</v>
      </c>
      <c r="DC13" s="31">
        <f t="shared" si="60"/>
        <v>335469772.13563633</v>
      </c>
      <c r="DD13" s="31">
        <f t="shared" si="60"/>
        <v>335719259.95816505</v>
      </c>
      <c r="DE13" s="31">
        <f t="shared" si="60"/>
        <v>335466461.91764808</v>
      </c>
      <c r="DF13" s="31">
        <f t="shared" si="60"/>
        <v>335648026.70555043</v>
      </c>
      <c r="DG13" s="31">
        <f t="shared" si="60"/>
        <v>335200201.02936375</v>
      </c>
      <c r="DH13" s="31">
        <f t="shared" si="60"/>
        <v>335153437.97932291</v>
      </c>
      <c r="DI13" s="31">
        <f t="shared" si="60"/>
        <v>335009171.80653477</v>
      </c>
      <c r="DJ13" s="31">
        <f t="shared" si="60"/>
        <v>334792852.80439568</v>
      </c>
      <c r="DK13" s="31">
        <f t="shared" si="60"/>
        <v>334779493.67694759</v>
      </c>
      <c r="DL13" s="31">
        <f t="shared" si="60"/>
        <v>334515884.22096932</v>
      </c>
      <c r="DM13" s="31">
        <f t="shared" si="60"/>
        <v>334420595.26808321</v>
      </c>
      <c r="DN13" s="31">
        <f t="shared" si="60"/>
        <v>334342556.38545823</v>
      </c>
      <c r="DO13" s="31">
        <f t="shared" si="60"/>
        <v>334065037.39042222</v>
      </c>
      <c r="DP13" s="31">
        <f t="shared" si="60"/>
        <v>333966818.21873212</v>
      </c>
      <c r="DQ13" s="31">
        <f t="shared" si="60"/>
        <v>333822268.36830056</v>
      </c>
      <c r="DR13" s="31">
        <f t="shared" si="60"/>
        <v>333658281.25</v>
      </c>
    </row>
    <row r="14" spans="1:123" x14ac:dyDescent="0.25">
      <c r="A14" s="39" t="s">
        <v>35</v>
      </c>
      <c r="B14" s="31">
        <f t="shared" ref="B14:BD14" si="61">B28</f>
        <v>0</v>
      </c>
      <c r="C14" s="31">
        <f t="shared" si="61"/>
        <v>0</v>
      </c>
      <c r="D14" s="31">
        <f t="shared" si="61"/>
        <v>0</v>
      </c>
      <c r="E14" s="31">
        <f t="shared" si="61"/>
        <v>0</v>
      </c>
      <c r="F14" s="31">
        <f t="shared" si="61"/>
        <v>0</v>
      </c>
      <c r="G14" s="31">
        <f t="shared" si="61"/>
        <v>0</v>
      </c>
      <c r="H14" s="31">
        <f t="shared" si="61"/>
        <v>0</v>
      </c>
      <c r="I14" s="31">
        <f t="shared" si="61"/>
        <v>0</v>
      </c>
      <c r="J14" s="31">
        <f t="shared" si="61"/>
        <v>0</v>
      </c>
      <c r="K14" s="31">
        <f t="shared" si="61"/>
        <v>0</v>
      </c>
      <c r="L14" s="31">
        <f t="shared" si="61"/>
        <v>0</v>
      </c>
      <c r="M14" s="31">
        <f t="shared" si="61"/>
        <v>0</v>
      </c>
      <c r="N14" s="31">
        <f t="shared" si="61"/>
        <v>0</v>
      </c>
      <c r="O14" s="31">
        <f t="shared" si="61"/>
        <v>0</v>
      </c>
      <c r="P14" s="31">
        <f t="shared" si="61"/>
        <v>0</v>
      </c>
      <c r="Q14" s="31">
        <f t="shared" si="61"/>
        <v>0</v>
      </c>
      <c r="R14" s="31">
        <f t="shared" si="61"/>
        <v>0</v>
      </c>
      <c r="S14" s="31">
        <f t="shared" si="61"/>
        <v>0</v>
      </c>
      <c r="T14" s="31">
        <f t="shared" si="61"/>
        <v>0</v>
      </c>
      <c r="U14" s="31">
        <f t="shared" si="61"/>
        <v>0</v>
      </c>
      <c r="V14" s="31">
        <f t="shared" si="61"/>
        <v>0</v>
      </c>
      <c r="W14" s="31">
        <f t="shared" si="61"/>
        <v>0</v>
      </c>
      <c r="X14" s="31">
        <f t="shared" si="61"/>
        <v>0</v>
      </c>
      <c r="Y14" s="31">
        <f t="shared" si="61"/>
        <v>0</v>
      </c>
      <c r="Z14" s="31">
        <f t="shared" si="61"/>
        <v>0</v>
      </c>
      <c r="AA14" s="31">
        <f t="shared" si="61"/>
        <v>0</v>
      </c>
      <c r="AB14" s="31">
        <f t="shared" si="61"/>
        <v>0</v>
      </c>
      <c r="AC14" s="31">
        <f t="shared" si="61"/>
        <v>0</v>
      </c>
      <c r="AD14" s="31">
        <f t="shared" si="61"/>
        <v>0</v>
      </c>
      <c r="AE14" s="31">
        <f t="shared" si="61"/>
        <v>0</v>
      </c>
      <c r="AF14" s="31">
        <f t="shared" si="61"/>
        <v>0</v>
      </c>
      <c r="AG14" s="31">
        <f t="shared" si="61"/>
        <v>0</v>
      </c>
      <c r="AH14" s="31">
        <f t="shared" si="61"/>
        <v>0</v>
      </c>
      <c r="AI14" s="31">
        <f t="shared" si="61"/>
        <v>0</v>
      </c>
      <c r="AJ14" s="31">
        <f t="shared" si="61"/>
        <v>0</v>
      </c>
      <c r="AK14" s="31">
        <f t="shared" si="61"/>
        <v>0</v>
      </c>
      <c r="AL14" s="31">
        <f t="shared" si="61"/>
        <v>0</v>
      </c>
      <c r="AM14" s="31">
        <f t="shared" si="61"/>
        <v>0</v>
      </c>
      <c r="AN14" s="31">
        <f t="shared" si="61"/>
        <v>0</v>
      </c>
      <c r="AO14" s="31">
        <f t="shared" si="61"/>
        <v>0</v>
      </c>
      <c r="AP14" s="31">
        <f t="shared" si="61"/>
        <v>0</v>
      </c>
      <c r="AQ14" s="31">
        <f t="shared" si="61"/>
        <v>0</v>
      </c>
      <c r="AR14" s="31">
        <f t="shared" si="61"/>
        <v>0</v>
      </c>
      <c r="AS14" s="31">
        <f t="shared" si="61"/>
        <v>0</v>
      </c>
      <c r="AT14" s="31">
        <f t="shared" si="61"/>
        <v>0</v>
      </c>
      <c r="AU14" s="31">
        <f t="shared" si="61"/>
        <v>0</v>
      </c>
      <c r="AV14" s="31">
        <f t="shared" si="61"/>
        <v>0</v>
      </c>
      <c r="AW14" s="31">
        <f t="shared" si="61"/>
        <v>0</v>
      </c>
      <c r="AX14" s="31">
        <f t="shared" si="61"/>
        <v>0</v>
      </c>
      <c r="AY14" s="31">
        <f t="shared" si="61"/>
        <v>0</v>
      </c>
      <c r="AZ14" s="31">
        <f t="shared" si="61"/>
        <v>0</v>
      </c>
      <c r="BA14" s="31">
        <f t="shared" si="61"/>
        <v>0</v>
      </c>
      <c r="BB14" s="31">
        <f t="shared" si="61"/>
        <v>0</v>
      </c>
      <c r="BC14" s="31">
        <f t="shared" si="61"/>
        <v>0</v>
      </c>
      <c r="BD14" s="31">
        <f t="shared" si="61"/>
        <v>0</v>
      </c>
      <c r="BE14" s="31">
        <f t="shared" ref="BE14:BS14" si="62">BE28</f>
        <v>0</v>
      </c>
      <c r="BF14" s="31">
        <f t="shared" si="62"/>
        <v>0</v>
      </c>
      <c r="BG14" s="31">
        <f t="shared" si="62"/>
        <v>0</v>
      </c>
      <c r="BH14" s="31">
        <f t="shared" si="62"/>
        <v>0</v>
      </c>
      <c r="BI14" s="31">
        <f t="shared" si="62"/>
        <v>0</v>
      </c>
      <c r="BJ14" s="31">
        <f t="shared" si="62"/>
        <v>0</v>
      </c>
      <c r="BK14" s="31">
        <f t="shared" si="62"/>
        <v>0</v>
      </c>
      <c r="BL14" s="31">
        <f t="shared" si="62"/>
        <v>0</v>
      </c>
      <c r="BM14" s="31">
        <f t="shared" si="62"/>
        <v>0</v>
      </c>
      <c r="BN14" s="31">
        <f t="shared" si="62"/>
        <v>0</v>
      </c>
      <c r="BO14" s="31">
        <f t="shared" si="62"/>
        <v>0</v>
      </c>
      <c r="BP14" s="31">
        <f t="shared" si="62"/>
        <v>0</v>
      </c>
      <c r="BQ14" s="31">
        <f t="shared" si="62"/>
        <v>0</v>
      </c>
      <c r="BR14" s="31">
        <f t="shared" si="62"/>
        <v>0</v>
      </c>
      <c r="BS14" s="31">
        <f t="shared" si="62"/>
        <v>0</v>
      </c>
      <c r="BT14" s="31">
        <f t="shared" ref="BT14:CF14" si="63">BT28</f>
        <v>0</v>
      </c>
      <c r="BU14" s="31">
        <f t="shared" si="63"/>
        <v>0</v>
      </c>
      <c r="BV14" s="31">
        <f t="shared" si="63"/>
        <v>0</v>
      </c>
      <c r="BW14" s="31">
        <f t="shared" si="63"/>
        <v>0</v>
      </c>
      <c r="BX14" s="31">
        <f t="shared" si="63"/>
        <v>0</v>
      </c>
      <c r="BY14" s="31">
        <f t="shared" si="63"/>
        <v>0</v>
      </c>
      <c r="BZ14" s="31">
        <f t="shared" si="63"/>
        <v>0</v>
      </c>
      <c r="CA14" s="31">
        <f t="shared" si="63"/>
        <v>0</v>
      </c>
      <c r="CB14" s="31">
        <f t="shared" si="63"/>
        <v>0</v>
      </c>
      <c r="CC14" s="31">
        <f t="shared" si="63"/>
        <v>0</v>
      </c>
      <c r="CD14" s="31">
        <f t="shared" si="63"/>
        <v>0</v>
      </c>
      <c r="CE14" s="31">
        <f t="shared" si="63"/>
        <v>0</v>
      </c>
      <c r="CF14" s="31">
        <f t="shared" si="63"/>
        <v>0</v>
      </c>
      <c r="CG14" s="31">
        <f>CG28</f>
        <v>0</v>
      </c>
      <c r="CH14" s="31">
        <f>CH28</f>
        <v>0</v>
      </c>
      <c r="CI14" s="31">
        <f t="shared" ref="CI14:DR14" si="64">CI28</f>
        <v>0</v>
      </c>
      <c r="CJ14" s="31">
        <f t="shared" si="64"/>
        <v>0</v>
      </c>
      <c r="CK14" s="31">
        <f t="shared" si="64"/>
        <v>0</v>
      </c>
      <c r="CL14" s="31">
        <f t="shared" si="64"/>
        <v>0</v>
      </c>
      <c r="CM14" s="31">
        <f t="shared" si="64"/>
        <v>0</v>
      </c>
      <c r="CN14" s="31">
        <f t="shared" si="64"/>
        <v>0</v>
      </c>
      <c r="CO14" s="31">
        <f t="shared" si="64"/>
        <v>0</v>
      </c>
      <c r="CP14" s="31">
        <f t="shared" si="64"/>
        <v>0</v>
      </c>
      <c r="CQ14" s="31">
        <f t="shared" si="64"/>
        <v>0</v>
      </c>
      <c r="CR14" s="31">
        <f t="shared" si="64"/>
        <v>0</v>
      </c>
      <c r="CS14" s="31">
        <f t="shared" si="64"/>
        <v>0</v>
      </c>
      <c r="CT14" s="31">
        <f t="shared" si="64"/>
        <v>0</v>
      </c>
      <c r="CU14" s="31">
        <f t="shared" si="64"/>
        <v>0</v>
      </c>
      <c r="CV14" s="31">
        <f t="shared" si="64"/>
        <v>0</v>
      </c>
      <c r="CW14" s="31">
        <f t="shared" si="64"/>
        <v>0</v>
      </c>
      <c r="CX14" s="31">
        <f t="shared" si="64"/>
        <v>0</v>
      </c>
      <c r="CY14" s="31">
        <f t="shared" si="64"/>
        <v>0</v>
      </c>
      <c r="CZ14" s="31">
        <f t="shared" si="64"/>
        <v>0</v>
      </c>
      <c r="DA14" s="31">
        <f t="shared" si="64"/>
        <v>0</v>
      </c>
      <c r="DB14" s="31">
        <f t="shared" si="64"/>
        <v>0</v>
      </c>
      <c r="DC14" s="31">
        <f t="shared" si="64"/>
        <v>0</v>
      </c>
      <c r="DD14" s="31">
        <f t="shared" si="64"/>
        <v>0</v>
      </c>
      <c r="DE14" s="31">
        <f t="shared" si="64"/>
        <v>0</v>
      </c>
      <c r="DF14" s="31">
        <f t="shared" si="64"/>
        <v>0</v>
      </c>
      <c r="DG14" s="31">
        <f t="shared" si="64"/>
        <v>0</v>
      </c>
      <c r="DH14" s="31">
        <f t="shared" si="64"/>
        <v>0</v>
      </c>
      <c r="DI14" s="31">
        <f t="shared" si="64"/>
        <v>0</v>
      </c>
      <c r="DJ14" s="31">
        <f t="shared" si="64"/>
        <v>0</v>
      </c>
      <c r="DK14" s="31">
        <f t="shared" si="64"/>
        <v>0</v>
      </c>
      <c r="DL14" s="31">
        <f t="shared" si="64"/>
        <v>0</v>
      </c>
      <c r="DM14" s="31">
        <f t="shared" si="64"/>
        <v>0</v>
      </c>
      <c r="DN14" s="31">
        <f t="shared" si="64"/>
        <v>0</v>
      </c>
      <c r="DO14" s="31">
        <f t="shared" si="64"/>
        <v>0</v>
      </c>
      <c r="DP14" s="31">
        <f t="shared" si="64"/>
        <v>0</v>
      </c>
      <c r="DQ14" s="31">
        <f t="shared" si="64"/>
        <v>0</v>
      </c>
      <c r="DR14" s="31">
        <f t="shared" si="64"/>
        <v>0</v>
      </c>
    </row>
    <row r="15" spans="1:123" x14ac:dyDescent="0.25">
      <c r="A15" s="4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</row>
    <row r="16" spans="1:123" x14ac:dyDescent="0.25">
      <c r="A16" s="4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</row>
    <row r="17" spans="1:122" x14ac:dyDescent="0.25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</row>
    <row r="18" spans="1:122" x14ac:dyDescent="0.25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</row>
    <row r="19" spans="1:122" ht="15" x14ac:dyDescent="0.3">
      <c r="B19" s="29">
        <f>B1</f>
        <v>43252</v>
      </c>
      <c r="C19" s="29">
        <f t="shared" ref="C19:BN19" si="65">C1</f>
        <v>43282</v>
      </c>
      <c r="D19" s="29">
        <f t="shared" si="65"/>
        <v>43313</v>
      </c>
      <c r="E19" s="29">
        <f t="shared" si="65"/>
        <v>43344</v>
      </c>
      <c r="F19" s="29">
        <f t="shared" si="65"/>
        <v>43374</v>
      </c>
      <c r="G19" s="29">
        <f t="shared" si="65"/>
        <v>43405</v>
      </c>
      <c r="H19" s="29">
        <f t="shared" si="65"/>
        <v>43435</v>
      </c>
      <c r="I19" s="29">
        <f t="shared" si="65"/>
        <v>43466</v>
      </c>
      <c r="J19" s="29">
        <f t="shared" si="65"/>
        <v>43497</v>
      </c>
      <c r="K19" s="29">
        <f t="shared" si="65"/>
        <v>43525</v>
      </c>
      <c r="L19" s="29">
        <f t="shared" si="65"/>
        <v>43556</v>
      </c>
      <c r="M19" s="29">
        <f t="shared" si="65"/>
        <v>43586</v>
      </c>
      <c r="N19" s="29">
        <f t="shared" si="65"/>
        <v>43617</v>
      </c>
      <c r="O19" s="29">
        <f t="shared" si="65"/>
        <v>43647</v>
      </c>
      <c r="P19" s="29">
        <f t="shared" si="65"/>
        <v>43678</v>
      </c>
      <c r="Q19" s="29">
        <f t="shared" si="65"/>
        <v>43709</v>
      </c>
      <c r="R19" s="29">
        <f t="shared" si="65"/>
        <v>43739</v>
      </c>
      <c r="S19" s="29">
        <f t="shared" si="65"/>
        <v>43770</v>
      </c>
      <c r="T19" s="29">
        <f t="shared" si="65"/>
        <v>43800</v>
      </c>
      <c r="U19" s="29">
        <f t="shared" si="65"/>
        <v>43831</v>
      </c>
      <c r="V19" s="29">
        <f t="shared" si="65"/>
        <v>43862</v>
      </c>
      <c r="W19" s="29">
        <f t="shared" si="65"/>
        <v>43891</v>
      </c>
      <c r="X19" s="29">
        <f t="shared" si="65"/>
        <v>43922</v>
      </c>
      <c r="Y19" s="29">
        <f t="shared" si="65"/>
        <v>43952</v>
      </c>
      <c r="Z19" s="29">
        <f t="shared" si="65"/>
        <v>43983</v>
      </c>
      <c r="AA19" s="29">
        <f t="shared" si="65"/>
        <v>44013</v>
      </c>
      <c r="AB19" s="29">
        <f t="shared" si="65"/>
        <v>44044</v>
      </c>
      <c r="AC19" s="29">
        <f t="shared" si="65"/>
        <v>44075</v>
      </c>
      <c r="AD19" s="29">
        <f t="shared" si="65"/>
        <v>44105</v>
      </c>
      <c r="AE19" s="29">
        <f t="shared" si="65"/>
        <v>44136</v>
      </c>
      <c r="AF19" s="29">
        <f t="shared" si="65"/>
        <v>44166</v>
      </c>
      <c r="AG19" s="29">
        <f t="shared" si="65"/>
        <v>44197</v>
      </c>
      <c r="AH19" s="29">
        <f t="shared" si="65"/>
        <v>44228</v>
      </c>
      <c r="AI19" s="29">
        <f t="shared" si="65"/>
        <v>44256</v>
      </c>
      <c r="AJ19" s="29">
        <f t="shared" si="65"/>
        <v>44287</v>
      </c>
      <c r="AK19" s="29">
        <f t="shared" si="65"/>
        <v>44317</v>
      </c>
      <c r="AL19" s="29">
        <f t="shared" si="65"/>
        <v>44348</v>
      </c>
      <c r="AM19" s="29">
        <f t="shared" si="65"/>
        <v>44378</v>
      </c>
      <c r="AN19" s="29">
        <f t="shared" si="65"/>
        <v>44409</v>
      </c>
      <c r="AO19" s="29">
        <f t="shared" si="65"/>
        <v>44440</v>
      </c>
      <c r="AP19" s="29">
        <f t="shared" si="65"/>
        <v>44470</v>
      </c>
      <c r="AQ19" s="29">
        <f t="shared" si="65"/>
        <v>44501</v>
      </c>
      <c r="AR19" s="29">
        <f t="shared" si="65"/>
        <v>44531</v>
      </c>
      <c r="AS19" s="29">
        <f t="shared" si="65"/>
        <v>44562</v>
      </c>
      <c r="AT19" s="29">
        <f t="shared" si="65"/>
        <v>44593</v>
      </c>
      <c r="AU19" s="29">
        <f t="shared" si="65"/>
        <v>44621</v>
      </c>
      <c r="AV19" s="29">
        <f t="shared" si="65"/>
        <v>44652</v>
      </c>
      <c r="AW19" s="29">
        <f t="shared" si="65"/>
        <v>44682</v>
      </c>
      <c r="AX19" s="29">
        <f t="shared" si="65"/>
        <v>44713</v>
      </c>
      <c r="AY19" s="29">
        <f t="shared" si="65"/>
        <v>44743</v>
      </c>
      <c r="AZ19" s="29">
        <f t="shared" si="65"/>
        <v>44774</v>
      </c>
      <c r="BA19" s="29">
        <f t="shared" si="65"/>
        <v>44805</v>
      </c>
      <c r="BB19" s="29">
        <f t="shared" si="65"/>
        <v>44835</v>
      </c>
      <c r="BC19" s="29">
        <f t="shared" si="65"/>
        <v>44866</v>
      </c>
      <c r="BD19" s="29">
        <f t="shared" si="65"/>
        <v>44896</v>
      </c>
      <c r="BE19" s="29">
        <f t="shared" si="65"/>
        <v>44927</v>
      </c>
      <c r="BF19" s="29">
        <f t="shared" si="65"/>
        <v>44958</v>
      </c>
      <c r="BG19" s="29">
        <f t="shared" si="65"/>
        <v>44986</v>
      </c>
      <c r="BH19" s="29">
        <f t="shared" si="65"/>
        <v>45017</v>
      </c>
      <c r="BI19" s="29">
        <f t="shared" si="65"/>
        <v>45047</v>
      </c>
      <c r="BJ19" s="29">
        <f t="shared" si="65"/>
        <v>45078</v>
      </c>
      <c r="BK19" s="29">
        <f t="shared" si="65"/>
        <v>45108</v>
      </c>
      <c r="BL19" s="29">
        <f t="shared" si="65"/>
        <v>45139</v>
      </c>
      <c r="BM19" s="29">
        <f t="shared" si="65"/>
        <v>45170</v>
      </c>
      <c r="BN19" s="29">
        <f t="shared" si="65"/>
        <v>45200</v>
      </c>
      <c r="BO19" s="29">
        <f t="shared" ref="BO19:DR19" si="66">BO1</f>
        <v>45231</v>
      </c>
      <c r="BP19" s="29">
        <f t="shared" si="66"/>
        <v>45261</v>
      </c>
      <c r="BQ19" s="29">
        <f t="shared" si="66"/>
        <v>45292</v>
      </c>
      <c r="BR19" s="29">
        <f t="shared" si="66"/>
        <v>45323</v>
      </c>
      <c r="BS19" s="29">
        <f t="shared" si="66"/>
        <v>45352</v>
      </c>
      <c r="BT19" s="29">
        <f t="shared" si="66"/>
        <v>45383</v>
      </c>
      <c r="BU19" s="29">
        <f t="shared" si="66"/>
        <v>45413</v>
      </c>
      <c r="BV19" s="29">
        <f t="shared" si="66"/>
        <v>45444</v>
      </c>
      <c r="BW19" s="29">
        <f t="shared" si="66"/>
        <v>45474</v>
      </c>
      <c r="BX19" s="29">
        <f t="shared" si="66"/>
        <v>45505</v>
      </c>
      <c r="BY19" s="29">
        <f t="shared" si="66"/>
        <v>45536</v>
      </c>
      <c r="BZ19" s="29">
        <f t="shared" si="66"/>
        <v>45566</v>
      </c>
      <c r="CA19" s="29">
        <f t="shared" si="66"/>
        <v>45597</v>
      </c>
      <c r="CB19" s="29">
        <f t="shared" si="66"/>
        <v>45627</v>
      </c>
      <c r="CC19" s="29">
        <f t="shared" si="66"/>
        <v>45658</v>
      </c>
      <c r="CD19" s="29">
        <f t="shared" si="66"/>
        <v>45689</v>
      </c>
      <c r="CE19" s="29">
        <f t="shared" si="66"/>
        <v>45717</v>
      </c>
      <c r="CF19" s="29">
        <f t="shared" si="66"/>
        <v>45748</v>
      </c>
      <c r="CG19" s="29">
        <f t="shared" si="66"/>
        <v>45778</v>
      </c>
      <c r="CH19" s="29">
        <f t="shared" si="66"/>
        <v>45809</v>
      </c>
      <c r="CI19" s="29">
        <f t="shared" si="66"/>
        <v>45839</v>
      </c>
      <c r="CJ19" s="29">
        <f t="shared" si="66"/>
        <v>45870</v>
      </c>
      <c r="CK19" s="29">
        <f t="shared" si="66"/>
        <v>45901</v>
      </c>
      <c r="CL19" s="29">
        <f t="shared" si="66"/>
        <v>45931</v>
      </c>
      <c r="CM19" s="29">
        <f t="shared" si="66"/>
        <v>45962</v>
      </c>
      <c r="CN19" s="29">
        <f t="shared" si="66"/>
        <v>45992</v>
      </c>
      <c r="CO19" s="29">
        <f t="shared" si="66"/>
        <v>46023</v>
      </c>
      <c r="CP19" s="29">
        <f t="shared" si="66"/>
        <v>46054</v>
      </c>
      <c r="CQ19" s="29">
        <f t="shared" si="66"/>
        <v>46082</v>
      </c>
      <c r="CR19" s="29">
        <f t="shared" si="66"/>
        <v>46113</v>
      </c>
      <c r="CS19" s="29">
        <f t="shared" si="66"/>
        <v>46143</v>
      </c>
      <c r="CT19" s="29">
        <f t="shared" si="66"/>
        <v>46174</v>
      </c>
      <c r="CU19" s="29">
        <f t="shared" si="66"/>
        <v>46204</v>
      </c>
      <c r="CV19" s="29">
        <f t="shared" si="66"/>
        <v>46235</v>
      </c>
      <c r="CW19" s="29">
        <f t="shared" si="66"/>
        <v>46266</v>
      </c>
      <c r="CX19" s="29">
        <f t="shared" si="66"/>
        <v>46296</v>
      </c>
      <c r="CY19" s="29">
        <f t="shared" si="66"/>
        <v>46327</v>
      </c>
      <c r="CZ19" s="29">
        <f t="shared" si="66"/>
        <v>46357</v>
      </c>
      <c r="DA19" s="29">
        <f t="shared" si="66"/>
        <v>46388</v>
      </c>
      <c r="DB19" s="29">
        <f t="shared" si="66"/>
        <v>46419</v>
      </c>
      <c r="DC19" s="29">
        <f t="shared" si="66"/>
        <v>46447</v>
      </c>
      <c r="DD19" s="29">
        <f t="shared" si="66"/>
        <v>46478</v>
      </c>
      <c r="DE19" s="29">
        <f t="shared" si="66"/>
        <v>46508</v>
      </c>
      <c r="DF19" s="29">
        <f t="shared" si="66"/>
        <v>46539</v>
      </c>
      <c r="DG19" s="29">
        <f t="shared" si="66"/>
        <v>46569</v>
      </c>
      <c r="DH19" s="29">
        <f t="shared" si="66"/>
        <v>46600</v>
      </c>
      <c r="DI19" s="29">
        <f t="shared" si="66"/>
        <v>46631</v>
      </c>
      <c r="DJ19" s="29">
        <f t="shared" si="66"/>
        <v>46661</v>
      </c>
      <c r="DK19" s="29">
        <f t="shared" si="66"/>
        <v>46692</v>
      </c>
      <c r="DL19" s="29">
        <f t="shared" si="66"/>
        <v>46722</v>
      </c>
      <c r="DM19" s="29">
        <f t="shared" si="66"/>
        <v>46753</v>
      </c>
      <c r="DN19" s="29">
        <f t="shared" si="66"/>
        <v>46784</v>
      </c>
      <c r="DO19" s="29">
        <f t="shared" si="66"/>
        <v>46813</v>
      </c>
      <c r="DP19" s="29">
        <f t="shared" si="66"/>
        <v>46844</v>
      </c>
      <c r="DQ19" s="29">
        <f t="shared" si="66"/>
        <v>46874</v>
      </c>
      <c r="DR19" s="29">
        <f t="shared" si="66"/>
        <v>46905</v>
      </c>
    </row>
    <row r="20" spans="1:122" ht="15" x14ac:dyDescent="0.3">
      <c r="A20" s="42" t="s">
        <v>36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</row>
    <row r="21" spans="1:122" x14ac:dyDescent="0.25">
      <c r="A21" s="39" t="s">
        <v>37</v>
      </c>
      <c r="B21" s="43">
        <v>0</v>
      </c>
      <c r="C21" s="43">
        <f>C4-B5</f>
        <v>0</v>
      </c>
      <c r="D21" s="43">
        <f t="shared" ref="D21:N21" si="67">D4-C5</f>
        <v>0</v>
      </c>
      <c r="E21" s="43">
        <f t="shared" si="67"/>
        <v>0</v>
      </c>
      <c r="F21" s="43">
        <f t="shared" si="67"/>
        <v>0</v>
      </c>
      <c r="G21" s="43">
        <f t="shared" si="67"/>
        <v>0</v>
      </c>
      <c r="H21" s="43">
        <f t="shared" si="67"/>
        <v>0</v>
      </c>
      <c r="I21" s="43">
        <f t="shared" si="67"/>
        <v>0</v>
      </c>
      <c r="J21" s="43">
        <f t="shared" si="67"/>
        <v>0</v>
      </c>
      <c r="K21" s="43">
        <f t="shared" si="67"/>
        <v>0</v>
      </c>
      <c r="L21" s="43">
        <f t="shared" si="67"/>
        <v>0</v>
      </c>
      <c r="M21" s="43">
        <f t="shared" si="67"/>
        <v>0</v>
      </c>
      <c r="N21" s="43">
        <f t="shared" si="67"/>
        <v>0</v>
      </c>
      <c r="O21" s="43">
        <f>O4-N5</f>
        <v>0</v>
      </c>
      <c r="P21" s="43">
        <f>P4-O5</f>
        <v>0</v>
      </c>
      <c r="Q21" s="43">
        <f t="shared" ref="Q21:CB21" si="68">Q4-P5</f>
        <v>0</v>
      </c>
      <c r="R21" s="43">
        <f t="shared" si="68"/>
        <v>0</v>
      </c>
      <c r="S21" s="43">
        <f t="shared" si="68"/>
        <v>0</v>
      </c>
      <c r="T21" s="43">
        <f t="shared" si="68"/>
        <v>0</v>
      </c>
      <c r="U21" s="43">
        <f t="shared" si="68"/>
        <v>0</v>
      </c>
      <c r="V21" s="43">
        <f t="shared" si="68"/>
        <v>0</v>
      </c>
      <c r="W21" s="43">
        <f t="shared" si="68"/>
        <v>0</v>
      </c>
      <c r="X21" s="43">
        <f t="shared" si="68"/>
        <v>0</v>
      </c>
      <c r="Y21" s="43">
        <f t="shared" si="68"/>
        <v>0</v>
      </c>
      <c r="Z21" s="43">
        <f t="shared" si="68"/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f t="shared" si="68"/>
        <v>151637851.08845302</v>
      </c>
      <c r="AJ21" s="43">
        <f t="shared" si="68"/>
        <v>17522587.311150283</v>
      </c>
      <c r="AK21" s="43">
        <f t="shared" si="68"/>
        <v>17661307.794030219</v>
      </c>
      <c r="AL21" s="43">
        <f t="shared" si="68"/>
        <v>17801126.480732948</v>
      </c>
      <c r="AM21" s="43">
        <f t="shared" si="68"/>
        <v>17942052.06537208</v>
      </c>
      <c r="AN21" s="43">
        <f t="shared" si="68"/>
        <v>18084093.310889632</v>
      </c>
      <c r="AO21" s="43">
        <f t="shared" si="68"/>
        <v>18227259.04960084</v>
      </c>
      <c r="AP21" s="43">
        <f t="shared" si="68"/>
        <v>18371558.183743477</v>
      </c>
      <c r="AQ21" s="43">
        <f t="shared" si="68"/>
        <v>18516999.686031461</v>
      </c>
      <c r="AR21" s="43">
        <f t="shared" si="68"/>
        <v>18663592.600212574</v>
      </c>
      <c r="AS21" s="43">
        <f t="shared" si="68"/>
        <v>18811346.041630924</v>
      </c>
      <c r="AT21" s="43">
        <f t="shared" si="68"/>
        <v>18960269.197793782</v>
      </c>
      <c r="AU21" s="43">
        <f t="shared" si="68"/>
        <v>19110371.328943014</v>
      </c>
      <c r="AV21" s="43">
        <f t="shared" si="68"/>
        <v>19261661.768630505</v>
      </c>
      <c r="AW21" s="43">
        <f t="shared" si="68"/>
        <v>19414149.924298823</v>
      </c>
      <c r="AX21" s="43">
        <f t="shared" si="68"/>
        <v>19567845.277866185</v>
      </c>
      <c r="AY21" s="43">
        <f t="shared" si="68"/>
        <v>19722757.386315942</v>
      </c>
      <c r="AZ21" s="43">
        <f t="shared" si="68"/>
        <v>19878895.882290959</v>
      </c>
      <c r="BA21" s="43">
        <f t="shared" si="68"/>
        <v>20036270.474692404</v>
      </c>
      <c r="BB21" s="43">
        <f t="shared" si="68"/>
        <v>20194890.949283719</v>
      </c>
      <c r="BC21" s="43">
        <f t="shared" si="68"/>
        <v>20354767.169298887</v>
      </c>
      <c r="BD21" s="43">
        <f t="shared" si="68"/>
        <v>20515909.076055825</v>
      </c>
      <c r="BE21" s="43">
        <f t="shared" si="68"/>
        <v>20678326.689574599</v>
      </c>
      <c r="BF21" s="43">
        <f t="shared" si="68"/>
        <v>20842030.109200358</v>
      </c>
      <c r="BG21" s="43">
        <f t="shared" si="68"/>
        <v>21007029.514231563</v>
      </c>
      <c r="BH21" s="43">
        <f t="shared" si="68"/>
        <v>21173335.164552569</v>
      </c>
      <c r="BI21" s="43">
        <f t="shared" si="68"/>
        <v>21340957.401271939</v>
      </c>
      <c r="BJ21" s="43">
        <f t="shared" si="68"/>
        <v>21509906.647365332</v>
      </c>
      <c r="BK21" s="43">
        <f t="shared" si="68"/>
        <v>21680193.408323646</v>
      </c>
      <c r="BL21" s="43">
        <f t="shared" si="68"/>
        <v>21851828.272806287</v>
      </c>
      <c r="BM21" s="43">
        <f t="shared" si="68"/>
        <v>22024821.913299322</v>
      </c>
      <c r="BN21" s="43">
        <f t="shared" si="68"/>
        <v>22199185.086779594</v>
      </c>
      <c r="BO21" s="43">
        <f t="shared" si="68"/>
        <v>22374928.635383248</v>
      </c>
      <c r="BP21" s="43">
        <f t="shared" si="68"/>
        <v>22552063.487079978</v>
      </c>
      <c r="BQ21" s="43">
        <f t="shared" si="68"/>
        <v>22730600.656352758</v>
      </c>
      <c r="BR21" s="43">
        <f t="shared" si="68"/>
        <v>22910551.244882226</v>
      </c>
      <c r="BS21" s="43">
        <f t="shared" si="68"/>
        <v>23091926.442237496</v>
      </c>
      <c r="BT21" s="43">
        <f t="shared" si="68"/>
        <v>23274737.52657187</v>
      </c>
      <c r="BU21" s="43">
        <f t="shared" si="68"/>
        <v>23458995.865323901</v>
      </c>
      <c r="BV21" s="43">
        <f t="shared" si="68"/>
        <v>23644712.91592443</v>
      </c>
      <c r="BW21" s="43">
        <f t="shared" si="68"/>
        <v>23831900.226508856</v>
      </c>
      <c r="BX21" s="43">
        <f t="shared" si="68"/>
        <v>24020569.436635375</v>
      </c>
      <c r="BY21" s="43">
        <f t="shared" si="68"/>
        <v>24210732.278008699</v>
      </c>
      <c r="BZ21" s="43">
        <f t="shared" si="68"/>
        <v>24402400.575209618</v>
      </c>
      <c r="CA21" s="43">
        <f t="shared" si="68"/>
        <v>24595586.246430039</v>
      </c>
      <c r="CB21" s="43">
        <f t="shared" si="68"/>
        <v>24790301.304214239</v>
      </c>
      <c r="CC21" s="43">
        <f t="shared" ref="CC21:CH21" si="69">CC4-CB5</f>
        <v>24986557.85620594</v>
      </c>
      <c r="CD21" s="43">
        <f t="shared" si="69"/>
        <v>25184368.105901003</v>
      </c>
      <c r="CE21" s="43">
        <f t="shared" si="69"/>
        <v>25383744.353405952</v>
      </c>
      <c r="CF21" s="43">
        <f t="shared" si="69"/>
        <v>25584698.996203661</v>
      </c>
      <c r="CG21" s="43">
        <f t="shared" si="69"/>
        <v>25787244.529923677</v>
      </c>
      <c r="CH21" s="43">
        <f t="shared" si="69"/>
        <v>25991393.549118996</v>
      </c>
      <c r="CI21" s="43">
        <f t="shared" ref="CI21" si="70">CI4-CH5</f>
        <v>26197158.748049498</v>
      </c>
      <c r="CJ21" s="43">
        <f t="shared" ref="CJ21" si="71">CJ4-CI5</f>
        <v>26404552.921471596</v>
      </c>
      <c r="CK21" s="43">
        <f t="shared" ref="CK21" si="72">CK4-CJ5</f>
        <v>26613588.965433121</v>
      </c>
      <c r="CL21" s="43">
        <f t="shared" ref="CL21" si="73">CL4-CK5</f>
        <v>26824279.878076077</v>
      </c>
      <c r="CM21" s="43">
        <f t="shared" ref="CM21" si="74">CM4-CL5</f>
        <v>27036638.760444164</v>
      </c>
      <c r="CN21" s="43">
        <f t="shared" ref="CN21" si="75">CN4-CM5</f>
        <v>27250678.817297697</v>
      </c>
      <c r="CO21" s="43">
        <f t="shared" ref="CO21" si="76">CO4-CN5</f>
        <v>27466413.357934713</v>
      </c>
      <c r="CP21" s="43">
        <f t="shared" ref="CP21" si="77">CP4-CO5</f>
        <v>27683855.79701829</v>
      </c>
      <c r="CQ21" s="43">
        <f t="shared" ref="CQ21" si="78">CQ4-CP5</f>
        <v>27903019.655411482</v>
      </c>
      <c r="CR21" s="43">
        <f t="shared" ref="CR21" si="79">CR4-CQ5</f>
        <v>28123918.561016798</v>
      </c>
      <c r="CS21" s="43">
        <f t="shared" ref="CS21" si="80">CS4-CR5</f>
        <v>28346566.249624729</v>
      </c>
      <c r="CT21" s="43">
        <f t="shared" ref="CT21" si="81">CT4-CS5</f>
        <v>28570976.565767765</v>
      </c>
      <c r="CU21" s="43">
        <f t="shared" ref="CU21" si="82">CU4-CT5</f>
        <v>28797163.463580132</v>
      </c>
      <c r="CV21" s="43">
        <f t="shared" ref="CV21" si="83">CV4-CU5</f>
        <v>29025141.007666588</v>
      </c>
      <c r="CW21" s="43">
        <f t="shared" ref="CW21" si="84">CW4-CV5</f>
        <v>29254923.373977423</v>
      </c>
      <c r="CX21" s="43">
        <f t="shared" ref="CX21" si="85">CX4-CW5</f>
        <v>29486524.850687981</v>
      </c>
      <c r="CY21" s="43">
        <f t="shared" ref="CY21" si="86">CY4-CX5</f>
        <v>29719959.839089394</v>
      </c>
      <c r="CZ21" s="43">
        <f t="shared" ref="CZ21" si="87">CZ4-CY5</f>
        <v>29955242.854482174</v>
      </c>
      <c r="DA21" s="43">
        <f t="shared" ref="DA21" si="88">DA4-CZ5</f>
        <v>30192388.527080059</v>
      </c>
      <c r="DB21" s="43">
        <f t="shared" ref="DB21" si="89">DB4-DA5</f>
        <v>30431411.602919579</v>
      </c>
      <c r="DC21" s="43">
        <f t="shared" ref="DC21" si="90">DC4-DB5</f>
        <v>30672326.94477582</v>
      </c>
      <c r="DD21" s="43">
        <f t="shared" ref="DD21" si="91">DD4-DC5</f>
        <v>30915149.533088684</v>
      </c>
      <c r="DE21" s="43">
        <f t="shared" ref="DE21" si="92">DE4-DD5</f>
        <v>31159894.466892481</v>
      </c>
      <c r="DF21" s="43">
        <f t="shared" ref="DF21" si="93">DF4-DE5</f>
        <v>31406576.964755297</v>
      </c>
      <c r="DG21" s="43">
        <f t="shared" ref="DG21" si="94">DG4-DF5</f>
        <v>31655212.365726233</v>
      </c>
      <c r="DH21" s="43">
        <f t="shared" ref="DH21" si="95">DH4-DG5</f>
        <v>31905816.130288363</v>
      </c>
      <c r="DI21" s="43">
        <f t="shared" ref="DI21" si="96">DI4-DH5</f>
        <v>32158403.841319799</v>
      </c>
      <c r="DJ21" s="43">
        <f t="shared" ref="DJ21" si="97">DJ4-DI5</f>
        <v>32412991.205063581</v>
      </c>
      <c r="DK21" s="43">
        <f t="shared" ref="DK21" si="98">DK4-DJ5</f>
        <v>32669594.052103519</v>
      </c>
      <c r="DL21" s="43">
        <f t="shared" ref="DL21" si="99">DL4-DK5</f>
        <v>32928228.338349342</v>
      </c>
      <c r="DM21" s="43">
        <f t="shared" ref="DM21" si="100">DM4-DL5</f>
        <v>33188910.146028042</v>
      </c>
      <c r="DN21" s="43">
        <f t="shared" ref="DN21" si="101">DN4-DM5</f>
        <v>33451655.684684277</v>
      </c>
      <c r="DO21" s="43">
        <f t="shared" ref="DO21" si="102">DO4-DN5</f>
        <v>33716481.292187691</v>
      </c>
      <c r="DP21" s="43">
        <f t="shared" ref="DP21" si="103">DP4-DO5</f>
        <v>33983403.435750961</v>
      </c>
      <c r="DQ21" s="43">
        <f t="shared" ref="DQ21" si="104">DQ4-DP5</f>
        <v>34252438.712950706</v>
      </c>
      <c r="DR21" s="43">
        <f t="shared" ref="DR21" si="105">DR4-DQ5</f>
        <v>34523603.852761269</v>
      </c>
    </row>
    <row r="22" spans="1:122" x14ac:dyDescent="0.25">
      <c r="A22" s="39" t="s">
        <v>38</v>
      </c>
      <c r="B22" s="31">
        <f>B21</f>
        <v>0</v>
      </c>
      <c r="C22" s="31">
        <f t="shared" ref="C22:BD22" si="106">B22+C21</f>
        <v>0</v>
      </c>
      <c r="D22" s="31">
        <f t="shared" si="106"/>
        <v>0</v>
      </c>
      <c r="E22" s="31">
        <f t="shared" si="106"/>
        <v>0</v>
      </c>
      <c r="F22" s="31">
        <f t="shared" si="106"/>
        <v>0</v>
      </c>
      <c r="G22" s="31">
        <f t="shared" si="106"/>
        <v>0</v>
      </c>
      <c r="H22" s="31">
        <f t="shared" si="106"/>
        <v>0</v>
      </c>
      <c r="I22" s="31">
        <f t="shared" si="106"/>
        <v>0</v>
      </c>
      <c r="J22" s="31">
        <f t="shared" si="106"/>
        <v>0</v>
      </c>
      <c r="K22" s="31">
        <f t="shared" si="106"/>
        <v>0</v>
      </c>
      <c r="L22" s="31">
        <f t="shared" si="106"/>
        <v>0</v>
      </c>
      <c r="M22" s="31">
        <f t="shared" si="106"/>
        <v>0</v>
      </c>
      <c r="N22" s="31">
        <f t="shared" si="106"/>
        <v>0</v>
      </c>
      <c r="O22" s="31">
        <f t="shared" si="106"/>
        <v>0</v>
      </c>
      <c r="P22" s="31">
        <f t="shared" si="106"/>
        <v>0</v>
      </c>
      <c r="Q22" s="31">
        <f t="shared" si="106"/>
        <v>0</v>
      </c>
      <c r="R22" s="31">
        <f t="shared" si="106"/>
        <v>0</v>
      </c>
      <c r="S22" s="31">
        <f t="shared" si="106"/>
        <v>0</v>
      </c>
      <c r="T22" s="31">
        <f t="shared" si="106"/>
        <v>0</v>
      </c>
      <c r="U22" s="31">
        <f t="shared" si="106"/>
        <v>0</v>
      </c>
      <c r="V22" s="31">
        <f t="shared" si="106"/>
        <v>0</v>
      </c>
      <c r="W22" s="31">
        <f t="shared" si="106"/>
        <v>0</v>
      </c>
      <c r="X22" s="31">
        <f t="shared" si="106"/>
        <v>0</v>
      </c>
      <c r="Y22" s="31">
        <f t="shared" si="106"/>
        <v>0</v>
      </c>
      <c r="Z22" s="31">
        <f t="shared" si="106"/>
        <v>0</v>
      </c>
      <c r="AA22" s="31">
        <f t="shared" si="106"/>
        <v>0</v>
      </c>
      <c r="AB22" s="31">
        <f t="shared" si="106"/>
        <v>0</v>
      </c>
      <c r="AC22" s="31">
        <f t="shared" si="106"/>
        <v>0</v>
      </c>
      <c r="AD22" s="31">
        <f t="shared" si="106"/>
        <v>0</v>
      </c>
      <c r="AE22" s="31">
        <f t="shared" si="106"/>
        <v>0</v>
      </c>
      <c r="AF22" s="31">
        <f t="shared" si="106"/>
        <v>0</v>
      </c>
      <c r="AG22" s="31">
        <f t="shared" si="106"/>
        <v>0</v>
      </c>
      <c r="AH22" s="31">
        <f t="shared" si="106"/>
        <v>0</v>
      </c>
      <c r="AI22" s="31">
        <f t="shared" si="106"/>
        <v>151637851.08845302</v>
      </c>
      <c r="AJ22" s="31">
        <f t="shared" si="106"/>
        <v>169160438.39960331</v>
      </c>
      <c r="AK22" s="31">
        <f t="shared" si="106"/>
        <v>186821746.19363353</v>
      </c>
      <c r="AL22" s="31">
        <f t="shared" si="106"/>
        <v>204622872.67436647</v>
      </c>
      <c r="AM22" s="31">
        <f t="shared" si="106"/>
        <v>222564924.73973855</v>
      </c>
      <c r="AN22" s="31">
        <f t="shared" si="106"/>
        <v>240649018.05062819</v>
      </c>
      <c r="AO22" s="31">
        <f t="shared" si="106"/>
        <v>258876277.10022902</v>
      </c>
      <c r="AP22" s="31">
        <f t="shared" si="106"/>
        <v>277247835.2839725</v>
      </c>
      <c r="AQ22" s="31">
        <f t="shared" si="106"/>
        <v>295764834.97000396</v>
      </c>
      <c r="AR22" s="31">
        <f t="shared" si="106"/>
        <v>314428427.57021654</v>
      </c>
      <c r="AS22" s="31">
        <f t="shared" si="106"/>
        <v>333239773.61184746</v>
      </c>
      <c r="AT22" s="31">
        <f t="shared" si="106"/>
        <v>352200042.80964124</v>
      </c>
      <c r="AU22" s="31">
        <f t="shared" si="106"/>
        <v>371310414.13858426</v>
      </c>
      <c r="AV22" s="31">
        <f t="shared" si="106"/>
        <v>390572075.90721476</v>
      </c>
      <c r="AW22" s="31">
        <f t="shared" si="106"/>
        <v>409986225.83151358</v>
      </c>
      <c r="AX22" s="31">
        <f t="shared" si="106"/>
        <v>429554071.10937977</v>
      </c>
      <c r="AY22" s="31">
        <f t="shared" si="106"/>
        <v>449276828.49569571</v>
      </c>
      <c r="AZ22" s="31">
        <f t="shared" si="106"/>
        <v>469155724.37798667</v>
      </c>
      <c r="BA22" s="31">
        <f t="shared" si="106"/>
        <v>489191994.85267907</v>
      </c>
      <c r="BB22" s="31">
        <f t="shared" si="106"/>
        <v>509386885.80196279</v>
      </c>
      <c r="BC22" s="31">
        <f t="shared" si="106"/>
        <v>529741652.97126168</v>
      </c>
      <c r="BD22" s="31">
        <f t="shared" si="106"/>
        <v>550257562.0473175</v>
      </c>
      <c r="BE22" s="31">
        <f t="shared" ref="BE22:BT22" si="107">BD22+BE21</f>
        <v>570935888.7368921</v>
      </c>
      <c r="BF22" s="31">
        <f t="shared" si="107"/>
        <v>591777918.84609246</v>
      </c>
      <c r="BG22" s="31">
        <f t="shared" si="107"/>
        <v>612784948.36032403</v>
      </c>
      <c r="BH22" s="31">
        <f t="shared" si="107"/>
        <v>633958283.52487659</v>
      </c>
      <c r="BI22" s="31">
        <f t="shared" si="107"/>
        <v>655299240.92614853</v>
      </c>
      <c r="BJ22" s="31">
        <f t="shared" si="107"/>
        <v>676809147.57351387</v>
      </c>
      <c r="BK22" s="31">
        <f t="shared" si="107"/>
        <v>698489340.98183751</v>
      </c>
      <c r="BL22" s="31">
        <f t="shared" si="107"/>
        <v>720341169.2546438</v>
      </c>
      <c r="BM22" s="31">
        <f t="shared" si="107"/>
        <v>742365991.16794312</v>
      </c>
      <c r="BN22" s="31">
        <f t="shared" si="107"/>
        <v>764565176.25472271</v>
      </c>
      <c r="BO22" s="31">
        <f t="shared" si="107"/>
        <v>786940104.89010596</v>
      </c>
      <c r="BP22" s="31">
        <f t="shared" si="107"/>
        <v>809492168.37718594</v>
      </c>
      <c r="BQ22" s="31">
        <f t="shared" si="107"/>
        <v>832222769.0335387</v>
      </c>
      <c r="BR22" s="31">
        <f t="shared" si="107"/>
        <v>855133320.27842093</v>
      </c>
      <c r="BS22" s="31">
        <f t="shared" si="107"/>
        <v>878225246.72065842</v>
      </c>
      <c r="BT22" s="31">
        <f t="shared" si="107"/>
        <v>901499984.24723029</v>
      </c>
      <c r="BU22" s="31">
        <f t="shared" ref="BU22:CF22" si="108">BT22+BU21</f>
        <v>924958980.11255419</v>
      </c>
      <c r="BV22" s="31">
        <f t="shared" si="108"/>
        <v>948603693.02847862</v>
      </c>
      <c r="BW22" s="31">
        <f t="shared" si="108"/>
        <v>972435593.25498748</v>
      </c>
      <c r="BX22" s="31">
        <f t="shared" si="108"/>
        <v>996456162.69162285</v>
      </c>
      <c r="BY22" s="31">
        <f t="shared" si="108"/>
        <v>1020666894.9696316</v>
      </c>
      <c r="BZ22" s="31">
        <f t="shared" si="108"/>
        <v>1045069295.5448412</v>
      </c>
      <c r="CA22" s="31">
        <f t="shared" si="108"/>
        <v>1069664881.7912712</v>
      </c>
      <c r="CB22" s="31">
        <f t="shared" si="108"/>
        <v>1094455183.0954854</v>
      </c>
      <c r="CC22" s="31">
        <f t="shared" si="108"/>
        <v>1119441740.9516914</v>
      </c>
      <c r="CD22" s="31">
        <f t="shared" si="108"/>
        <v>1144626109.0575924</v>
      </c>
      <c r="CE22" s="31">
        <f t="shared" si="108"/>
        <v>1170009853.4109983</v>
      </c>
      <c r="CF22" s="31">
        <f t="shared" si="108"/>
        <v>1195594552.407202</v>
      </c>
      <c r="CG22" s="31">
        <f>CF22+CG21</f>
        <v>1221381796.9371257</v>
      </c>
      <c r="CH22" s="31">
        <f>CG22+CH21</f>
        <v>1247373190.4862447</v>
      </c>
      <c r="CI22" s="31">
        <f t="shared" ref="CI22:DR22" si="109">CH22+CI21</f>
        <v>1273570349.2342942</v>
      </c>
      <c r="CJ22" s="31">
        <f t="shared" si="109"/>
        <v>1299974902.1557658</v>
      </c>
      <c r="CK22" s="31">
        <f t="shared" si="109"/>
        <v>1326588491.1211989</v>
      </c>
      <c r="CL22" s="31">
        <f t="shared" si="109"/>
        <v>1353412770.999275</v>
      </c>
      <c r="CM22" s="31">
        <f t="shared" si="109"/>
        <v>1380449409.7597191</v>
      </c>
      <c r="CN22" s="31">
        <f t="shared" si="109"/>
        <v>1407700088.5770168</v>
      </c>
      <c r="CO22" s="31">
        <f t="shared" si="109"/>
        <v>1435166501.9349515</v>
      </c>
      <c r="CP22" s="31">
        <f t="shared" si="109"/>
        <v>1462850357.7319698</v>
      </c>
      <c r="CQ22" s="31">
        <f t="shared" si="109"/>
        <v>1490753377.3873813</v>
      </c>
      <c r="CR22" s="31">
        <f t="shared" si="109"/>
        <v>1518877295.9483981</v>
      </c>
      <c r="CS22" s="31">
        <f t="shared" si="109"/>
        <v>1547223862.1980228</v>
      </c>
      <c r="CT22" s="31">
        <f t="shared" si="109"/>
        <v>1575794838.7637906</v>
      </c>
      <c r="CU22" s="31">
        <f t="shared" si="109"/>
        <v>1604592002.2273707</v>
      </c>
      <c r="CV22" s="31">
        <f t="shared" si="109"/>
        <v>1633617143.2350373</v>
      </c>
      <c r="CW22" s="31">
        <f t="shared" si="109"/>
        <v>1662872066.6090147</v>
      </c>
      <c r="CX22" s="31">
        <f t="shared" si="109"/>
        <v>1692358591.4597027</v>
      </c>
      <c r="CY22" s="31">
        <f t="shared" si="109"/>
        <v>1722078551.2987921</v>
      </c>
      <c r="CZ22" s="31">
        <f t="shared" si="109"/>
        <v>1752033794.1532743</v>
      </c>
      <c r="DA22" s="31">
        <f t="shared" si="109"/>
        <v>1782226182.6803544</v>
      </c>
      <c r="DB22" s="31">
        <f t="shared" si="109"/>
        <v>1812657594.2832739</v>
      </c>
      <c r="DC22" s="31">
        <f t="shared" si="109"/>
        <v>1843329921.2280498</v>
      </c>
      <c r="DD22" s="31">
        <f t="shared" si="109"/>
        <v>1874245070.7611384</v>
      </c>
      <c r="DE22" s="31">
        <f t="shared" si="109"/>
        <v>1905404965.2280309</v>
      </c>
      <c r="DF22" s="31">
        <f t="shared" si="109"/>
        <v>1936811542.1927862</v>
      </c>
      <c r="DG22" s="31">
        <f t="shared" si="109"/>
        <v>1968466754.5585124</v>
      </c>
      <c r="DH22" s="31">
        <f t="shared" si="109"/>
        <v>2000372570.6888008</v>
      </c>
      <c r="DI22" s="31">
        <f t="shared" si="109"/>
        <v>2032530974.5301206</v>
      </c>
      <c r="DJ22" s="31">
        <f t="shared" si="109"/>
        <v>2064943965.7351842</v>
      </c>
      <c r="DK22" s="31">
        <f t="shared" si="109"/>
        <v>2097613559.7872877</v>
      </c>
      <c r="DL22" s="31">
        <f t="shared" si="109"/>
        <v>2130541788.1256371</v>
      </c>
      <c r="DM22" s="31">
        <f t="shared" si="109"/>
        <v>2163730698.2716651</v>
      </c>
      <c r="DN22" s="31">
        <f t="shared" si="109"/>
        <v>2197182353.9563494</v>
      </c>
      <c r="DO22" s="31">
        <f t="shared" si="109"/>
        <v>2230898835.2485371</v>
      </c>
      <c r="DP22" s="31">
        <f t="shared" si="109"/>
        <v>2264882238.684288</v>
      </c>
      <c r="DQ22" s="31">
        <f t="shared" si="109"/>
        <v>2299134677.3972387</v>
      </c>
      <c r="DR22" s="31">
        <f t="shared" si="109"/>
        <v>2333658281.25</v>
      </c>
    </row>
    <row r="23" spans="1:122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</row>
    <row r="24" spans="1:122" ht="15" x14ac:dyDescent="0.3">
      <c r="A24" s="42" t="s">
        <v>41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</row>
    <row r="25" spans="1:122" s="83" customFormat="1" x14ac:dyDescent="0.25">
      <c r="A25" s="39" t="s">
        <v>42</v>
      </c>
      <c r="B25" s="82">
        <v>0</v>
      </c>
      <c r="C25" s="82">
        <f>C10-B11</f>
        <v>0</v>
      </c>
      <c r="D25" s="82">
        <f t="shared" ref="D25" si="110">D10-C11</f>
        <v>0</v>
      </c>
      <c r="E25" s="82">
        <f t="shared" ref="E25" si="111">E10-D11</f>
        <v>0</v>
      </c>
      <c r="F25" s="82">
        <f t="shared" ref="F25" si="112">F10-E11</f>
        <v>0</v>
      </c>
      <c r="G25" s="82">
        <f t="shared" ref="G25" si="113">G10-F11</f>
        <v>0</v>
      </c>
      <c r="H25" s="82">
        <f t="shared" ref="H25" si="114">H10-G11</f>
        <v>0</v>
      </c>
      <c r="I25" s="82">
        <f t="shared" ref="I25" si="115">I10-H11</f>
        <v>0</v>
      </c>
      <c r="J25" s="82">
        <f t="shared" ref="J25" si="116">J10-I11</f>
        <v>0</v>
      </c>
      <c r="K25" s="82">
        <f t="shared" ref="K25" si="117">K10-J11</f>
        <v>0</v>
      </c>
      <c r="L25" s="82">
        <f t="shared" ref="L25" si="118">L10-K11</f>
        <v>0</v>
      </c>
      <c r="M25" s="82">
        <f t="shared" ref="M25" si="119">M10-L11</f>
        <v>0</v>
      </c>
      <c r="N25" s="82">
        <f t="shared" ref="N25" si="120">N10-M11</f>
        <v>0</v>
      </c>
      <c r="O25" s="82">
        <f t="shared" ref="O25" si="121">O10-N11</f>
        <v>0</v>
      </c>
      <c r="P25" s="82">
        <f t="shared" ref="P25:R25" si="122">P10-O11</f>
        <v>0</v>
      </c>
      <c r="Q25" s="82">
        <f t="shared" si="122"/>
        <v>0</v>
      </c>
      <c r="R25" s="82">
        <f t="shared" si="122"/>
        <v>0</v>
      </c>
      <c r="S25" s="82">
        <f>S10-R11</f>
        <v>0</v>
      </c>
      <c r="T25" s="82">
        <f t="shared" ref="T25:CE25" si="123">T10-S11</f>
        <v>0</v>
      </c>
      <c r="U25" s="82">
        <f t="shared" si="123"/>
        <v>0</v>
      </c>
      <c r="V25" s="82">
        <f t="shared" si="123"/>
        <v>0</v>
      </c>
      <c r="W25" s="82">
        <f t="shared" si="123"/>
        <v>0</v>
      </c>
      <c r="X25" s="82">
        <f t="shared" si="123"/>
        <v>0</v>
      </c>
      <c r="Y25" s="82">
        <f t="shared" si="123"/>
        <v>0</v>
      </c>
      <c r="Z25" s="82">
        <f t="shared" si="123"/>
        <v>0</v>
      </c>
      <c r="AA25" s="82">
        <v>0</v>
      </c>
      <c r="AB25" s="82">
        <v>0</v>
      </c>
      <c r="AC25" s="82">
        <v>0</v>
      </c>
      <c r="AD25" s="82">
        <v>0</v>
      </c>
      <c r="AE25" s="82">
        <v>0</v>
      </c>
      <c r="AF25" s="82">
        <v>0</v>
      </c>
      <c r="AG25" s="82">
        <v>0</v>
      </c>
      <c r="AH25" s="82">
        <v>0</v>
      </c>
      <c r="AI25" s="82">
        <f t="shared" si="123"/>
        <v>162027057.14110795</v>
      </c>
      <c r="AJ25" s="82">
        <f t="shared" si="123"/>
        <v>16122706.511749208</v>
      </c>
      <c r="AK25" s="82">
        <f t="shared" si="123"/>
        <v>17706794.853317827</v>
      </c>
      <c r="AL25" s="82">
        <f t="shared" si="123"/>
        <v>15862736.620138705</v>
      </c>
      <c r="AM25" s="82">
        <f t="shared" si="123"/>
        <v>18540350.016346157</v>
      </c>
      <c r="AN25" s="82">
        <f t="shared" si="123"/>
        <v>16712822.405706227</v>
      </c>
      <c r="AO25" s="82">
        <f t="shared" si="123"/>
        <v>17121978.555894852</v>
      </c>
      <c r="AP25" s="82">
        <f t="shared" si="123"/>
        <v>16972869.450614095</v>
      </c>
      <c r="AQ25" s="82">
        <f t="shared" si="123"/>
        <v>15737252.162878931</v>
      </c>
      <c r="AR25" s="82">
        <f t="shared" si="123"/>
        <v>17208877.990808845</v>
      </c>
      <c r="AS25" s="82">
        <f t="shared" si="123"/>
        <v>15985569.674964964</v>
      </c>
      <c r="AT25" s="82">
        <f t="shared" si="123"/>
        <v>15308758.301508665</v>
      </c>
      <c r="AU25" s="82">
        <f t="shared" si="123"/>
        <v>17255198.826418102</v>
      </c>
      <c r="AV25" s="82">
        <f t="shared" si="123"/>
        <v>14499570.35143435</v>
      </c>
      <c r="AW25" s="82">
        <f t="shared" si="123"/>
        <v>15382765.792297065</v>
      </c>
      <c r="AX25" s="82">
        <f t="shared" si="123"/>
        <v>15736706.120020688</v>
      </c>
      <c r="AY25" s="82">
        <f t="shared" si="123"/>
        <v>15576630.27462256</v>
      </c>
      <c r="AZ25" s="82">
        <f t="shared" si="123"/>
        <v>14420752.506494761</v>
      </c>
      <c r="BA25" s="82">
        <f t="shared" si="123"/>
        <v>15744688.258030355</v>
      </c>
      <c r="BB25" s="82">
        <f t="shared" si="123"/>
        <v>15088758.926222563</v>
      </c>
      <c r="BC25" s="82">
        <f t="shared" si="123"/>
        <v>13479338.64414382</v>
      </c>
      <c r="BD25" s="82">
        <f t="shared" si="123"/>
        <v>15709107.30459404</v>
      </c>
      <c r="BE25" s="82">
        <f t="shared" si="123"/>
        <v>14118589.027021229</v>
      </c>
      <c r="BF25" s="82">
        <f t="shared" si="123"/>
        <v>14420048.460975289</v>
      </c>
      <c r="BG25" s="82">
        <f t="shared" si="123"/>
        <v>14249549.075776398</v>
      </c>
      <c r="BH25" s="82">
        <f t="shared" si="123"/>
        <v>12715341.848573685</v>
      </c>
      <c r="BI25" s="82">
        <f t="shared" si="123"/>
        <v>13007426.37147975</v>
      </c>
      <c r="BJ25" s="82">
        <f t="shared" si="123"/>
        <v>14172809.673845887</v>
      </c>
      <c r="BK25" s="82">
        <f t="shared" si="123"/>
        <v>13553946.385214567</v>
      </c>
      <c r="BL25" s="82">
        <f t="shared" si="123"/>
        <v>12082081.614203691</v>
      </c>
      <c r="BM25" s="82">
        <f t="shared" si="123"/>
        <v>14049303.183626175</v>
      </c>
      <c r="BN25" s="82">
        <f t="shared" si="123"/>
        <v>12597730.629816294</v>
      </c>
      <c r="BO25" s="82">
        <f t="shared" si="123"/>
        <v>12836053.317252994</v>
      </c>
      <c r="BP25" s="82">
        <f t="shared" si="123"/>
        <v>12653013.970499635</v>
      </c>
      <c r="BQ25" s="82">
        <f t="shared" si="123"/>
        <v>11664104.558235049</v>
      </c>
      <c r="BR25" s="82">
        <f t="shared" si="123"/>
        <v>12678788.769827843</v>
      </c>
      <c r="BS25" s="82">
        <f t="shared" si="123"/>
        <v>12095155.583503604</v>
      </c>
      <c r="BT25" s="82">
        <f t="shared" si="123"/>
        <v>10754032.977355719</v>
      </c>
      <c r="BU25" s="82">
        <f t="shared" si="123"/>
        <v>12093781.174690008</v>
      </c>
      <c r="BV25" s="82">
        <f t="shared" si="123"/>
        <v>11152202.800671458</v>
      </c>
      <c r="BW25" s="82">
        <f t="shared" si="123"/>
        <v>10599514.97375083</v>
      </c>
      <c r="BX25" s="82">
        <f t="shared" si="123"/>
        <v>11494769.365291238</v>
      </c>
      <c r="BY25" s="82">
        <f t="shared" si="123"/>
        <v>10939056.219873428</v>
      </c>
      <c r="BZ25" s="82">
        <f t="shared" si="123"/>
        <v>10740998.979432464</v>
      </c>
      <c r="CA25" s="82">
        <f t="shared" si="123"/>
        <v>10201329.470165849</v>
      </c>
      <c r="CB25" s="82">
        <f t="shared" si="123"/>
        <v>10006614.412381649</v>
      </c>
      <c r="CC25" s="82">
        <f t="shared" si="123"/>
        <v>10137369.789069533</v>
      </c>
      <c r="CD25" s="82">
        <f t="shared" si="123"/>
        <v>9932965.8643847704</v>
      </c>
      <c r="CE25" s="82">
        <f t="shared" si="123"/>
        <v>9099398.9844168425</v>
      </c>
      <c r="CF25" s="82">
        <f t="shared" ref="CF25:CG25" si="124">CF10-CE11</f>
        <v>8598068.9390326738</v>
      </c>
      <c r="CG25" s="82">
        <f t="shared" si="124"/>
        <v>9910638.3053393364</v>
      </c>
      <c r="CH25" s="82">
        <f t="shared" ref="CH25" si="125">CH10-CG11</f>
        <v>8805522.1674768925</v>
      </c>
      <c r="CI25" s="82">
        <f t="shared" ref="CI25" si="126">CI10-CH11</f>
        <v>8886415.5341646671</v>
      </c>
      <c r="CJ25" s="82">
        <f t="shared" ref="CJ25" si="127">CJ10-CI11</f>
        <v>8392362.7951242924</v>
      </c>
      <c r="CK25" s="82">
        <f t="shared" ref="CK25" si="128">CK10-CJ11</f>
        <v>8183326.7511626482</v>
      </c>
      <c r="CL25" s="82">
        <f t="shared" ref="CL25" si="129">CL10-CK11</f>
        <v>8504144.8944209814</v>
      </c>
      <c r="CM25" s="82">
        <f t="shared" ref="CM25" si="130">CM10-CL11</f>
        <v>7760276.9561516047</v>
      </c>
      <c r="CN25" s="82">
        <f t="shared" ref="CN25" si="131">CN10-CM11</f>
        <v>7294695.6693214178</v>
      </c>
      <c r="CO25" s="82">
        <f t="shared" ref="CO25" si="132">CO10-CN11</f>
        <v>7819202.5159051418</v>
      </c>
      <c r="CP25" s="82">
        <f t="shared" ref="CP25" si="133">CP10-CO11</f>
        <v>7350161.9168967009</v>
      </c>
      <c r="CQ25" s="82">
        <f t="shared" ref="CQ25" si="134">CQ10-CP11</f>
        <v>7123692.5965572596</v>
      </c>
      <c r="CR25" s="82">
        <f t="shared" ref="CR25" si="135">CR10-CQ11</f>
        <v>6228130.6785404682</v>
      </c>
      <c r="CS25" s="82">
        <f t="shared" ref="CS25" si="136">CS10-CR11</f>
        <v>6665361.1158699989</v>
      </c>
      <c r="CT25" s="82">
        <f t="shared" ref="CT25" si="137">CT10-CS11</f>
        <v>6018407.845800519</v>
      </c>
      <c r="CU25" s="82">
        <f t="shared" ref="CU25" si="138">CU10-CT11</f>
        <v>6399735.7365502119</v>
      </c>
      <c r="CV25" s="82">
        <f t="shared" ref="CV25" si="139">CV10-CU11</f>
        <v>5771774.7089291811</v>
      </c>
      <c r="CW25" s="82">
        <f t="shared" ref="CW25" si="140">CW10-CV11</f>
        <v>5357259.2645311356</v>
      </c>
      <c r="CX25" s="82">
        <f t="shared" ref="CX25" si="141">CX10-CW11</f>
        <v>5841429.9524985552</v>
      </c>
      <c r="CY25" s="82">
        <f t="shared" ref="CY25" si="142">CY10-CX11</f>
        <v>5076955.8775064945</v>
      </c>
      <c r="CZ25" s="82">
        <f t="shared" ref="CZ25" si="143">CZ10-CY11</f>
        <v>5003061.9575175047</v>
      </c>
      <c r="DA25" s="82">
        <f t="shared" ref="DA25" si="144">DA10-CZ11</f>
        <v>4604527.1895157099</v>
      </c>
      <c r="DB25" s="82">
        <f t="shared" ref="DB25" si="145">DB10-DA11</f>
        <v>4365504.1136763096</v>
      </c>
      <c r="DC25" s="82">
        <f t="shared" ref="DC25" si="146">DC10-DB11</f>
        <v>4399561.356607914</v>
      </c>
      <c r="DD25" s="82">
        <f t="shared" ref="DD25" si="147">DD10-DC11</f>
        <v>3622981.7712732553</v>
      </c>
      <c r="DE25" s="82">
        <f t="shared" ref="DE25" si="148">DE10-DD11</f>
        <v>3758255.2913602591</v>
      </c>
      <c r="DF25" s="82">
        <f t="shared" ref="DF25" si="149">DF10-DE11</f>
        <v>3164316.168384552</v>
      </c>
      <c r="DG25" s="82">
        <f t="shared" ref="DG25" si="150">DG10-DF11</f>
        <v>3455873.6859565973</v>
      </c>
      <c r="DH25" s="82">
        <f t="shared" ref="DH25" si="151">DH10-DG11</f>
        <v>2891099.5863076448</v>
      </c>
      <c r="DI25" s="82">
        <f t="shared" ref="DI25" si="152">DI10-DH11</f>
        <v>2726462.2711186409</v>
      </c>
      <c r="DJ25" s="82">
        <f t="shared" ref="DJ25" si="153">DJ10-DI11</f>
        <v>2463388.6619167328</v>
      </c>
      <c r="DK25" s="82">
        <f t="shared" ref="DK25" si="154">DK10-DJ11</f>
        <v>2056410.9423425198</v>
      </c>
      <c r="DL25" s="82">
        <f t="shared" ref="DL25" si="155">DL10-DK11</f>
        <v>1993266.5367962122</v>
      </c>
      <c r="DM25" s="82">
        <f t="shared" ref="DM25" si="156">DM10-DL11</f>
        <v>1608005.5705678463</v>
      </c>
      <c r="DN25" s="82">
        <f t="shared" ref="DN25" si="157">DN10-DM11</f>
        <v>1300418.0308481455</v>
      </c>
      <c r="DO25" s="82">
        <f t="shared" ref="DO25" si="158">DO10-DN11</f>
        <v>1188477.8668488264</v>
      </c>
      <c r="DP25" s="82">
        <f t="shared" ref="DP25" si="159">DP10-DO11</f>
        <v>786395.20481669903</v>
      </c>
      <c r="DQ25" s="82">
        <f t="shared" ref="DQ25" si="160">DQ10-DP11</f>
        <v>526327.77019035816</v>
      </c>
      <c r="DR25" s="82">
        <f t="shared" ref="DR25" si="161">DR10-DQ11</f>
        <v>291532.65475666523</v>
      </c>
    </row>
    <row r="26" spans="1:122" x14ac:dyDescent="0.25">
      <c r="A26" s="39" t="s">
        <v>43</v>
      </c>
      <c r="B26" s="31">
        <f>B25</f>
        <v>0</v>
      </c>
      <c r="C26" s="31">
        <f>B26+C25</f>
        <v>0</v>
      </c>
      <c r="D26" s="31">
        <f>C26+D25</f>
        <v>0</v>
      </c>
      <c r="E26" s="31">
        <f>D26+E25</f>
        <v>0</v>
      </c>
      <c r="F26" s="31">
        <f>E26+F25</f>
        <v>0</v>
      </c>
      <c r="G26" s="31">
        <f t="shared" ref="G26:M26" si="162">F26+G25</f>
        <v>0</v>
      </c>
      <c r="H26" s="31">
        <f t="shared" si="162"/>
        <v>0</v>
      </c>
      <c r="I26" s="31">
        <f t="shared" si="162"/>
        <v>0</v>
      </c>
      <c r="J26" s="31">
        <f t="shared" si="162"/>
        <v>0</v>
      </c>
      <c r="K26" s="31">
        <f t="shared" si="162"/>
        <v>0</v>
      </c>
      <c r="L26" s="31">
        <f t="shared" si="162"/>
        <v>0</v>
      </c>
      <c r="M26" s="31">
        <f t="shared" si="162"/>
        <v>0</v>
      </c>
      <c r="N26" s="31">
        <f t="shared" ref="N26:AS26" si="163">M26+N25</f>
        <v>0</v>
      </c>
      <c r="O26" s="31">
        <f t="shared" si="163"/>
        <v>0</v>
      </c>
      <c r="P26" s="31">
        <f t="shared" si="163"/>
        <v>0</v>
      </c>
      <c r="Q26" s="31">
        <f t="shared" si="163"/>
        <v>0</v>
      </c>
      <c r="R26" s="31">
        <f t="shared" si="163"/>
        <v>0</v>
      </c>
      <c r="S26" s="31">
        <f t="shared" si="163"/>
        <v>0</v>
      </c>
      <c r="T26" s="31">
        <f t="shared" si="163"/>
        <v>0</v>
      </c>
      <c r="U26" s="31">
        <f t="shared" si="163"/>
        <v>0</v>
      </c>
      <c r="V26" s="31">
        <f t="shared" si="163"/>
        <v>0</v>
      </c>
      <c r="W26" s="31">
        <f t="shared" si="163"/>
        <v>0</v>
      </c>
      <c r="X26" s="31">
        <f t="shared" si="163"/>
        <v>0</v>
      </c>
      <c r="Y26" s="31">
        <f t="shared" si="163"/>
        <v>0</v>
      </c>
      <c r="Z26" s="31">
        <f t="shared" si="163"/>
        <v>0</v>
      </c>
      <c r="AA26" s="31">
        <f t="shared" si="163"/>
        <v>0</v>
      </c>
      <c r="AB26" s="31">
        <f t="shared" si="163"/>
        <v>0</v>
      </c>
      <c r="AC26" s="31">
        <f t="shared" si="163"/>
        <v>0</v>
      </c>
      <c r="AD26" s="31">
        <f t="shared" si="163"/>
        <v>0</v>
      </c>
      <c r="AE26" s="31">
        <f t="shared" si="163"/>
        <v>0</v>
      </c>
      <c r="AF26" s="31">
        <f t="shared" si="163"/>
        <v>0</v>
      </c>
      <c r="AG26" s="31">
        <f t="shared" si="163"/>
        <v>0</v>
      </c>
      <c r="AH26" s="31">
        <f t="shared" si="163"/>
        <v>0</v>
      </c>
      <c r="AI26" s="31">
        <f t="shared" si="163"/>
        <v>162027057.14110795</v>
      </c>
      <c r="AJ26" s="31">
        <f t="shared" si="163"/>
        <v>178149763.65285715</v>
      </c>
      <c r="AK26" s="31">
        <f t="shared" si="163"/>
        <v>195856558.50617498</v>
      </c>
      <c r="AL26" s="31">
        <f t="shared" si="163"/>
        <v>211719295.12631369</v>
      </c>
      <c r="AM26" s="31">
        <f t="shared" si="163"/>
        <v>230259645.14265984</v>
      </c>
      <c r="AN26" s="31">
        <f t="shared" si="163"/>
        <v>246972467.54836607</v>
      </c>
      <c r="AO26" s="31">
        <f t="shared" si="163"/>
        <v>264094446.10426092</v>
      </c>
      <c r="AP26" s="31">
        <f t="shared" si="163"/>
        <v>281067315.55487502</v>
      </c>
      <c r="AQ26" s="31">
        <f t="shared" si="163"/>
        <v>296804567.71775395</v>
      </c>
      <c r="AR26" s="31">
        <f t="shared" si="163"/>
        <v>314013445.70856279</v>
      </c>
      <c r="AS26" s="31">
        <f t="shared" si="163"/>
        <v>329999015.38352776</v>
      </c>
      <c r="AT26" s="31">
        <f t="shared" ref="AT26:BY26" si="164">AS26+AT25</f>
        <v>345307773.68503642</v>
      </c>
      <c r="AU26" s="31">
        <f t="shared" si="164"/>
        <v>362562972.51145452</v>
      </c>
      <c r="AV26" s="31">
        <f t="shared" si="164"/>
        <v>377062542.86288887</v>
      </c>
      <c r="AW26" s="31">
        <f t="shared" si="164"/>
        <v>392445308.65518594</v>
      </c>
      <c r="AX26" s="31">
        <f t="shared" si="164"/>
        <v>408182014.77520663</v>
      </c>
      <c r="AY26" s="31">
        <f t="shared" si="164"/>
        <v>423758645.04982919</v>
      </c>
      <c r="AZ26" s="31">
        <f t="shared" si="164"/>
        <v>438179397.55632395</v>
      </c>
      <c r="BA26" s="31">
        <f t="shared" si="164"/>
        <v>453924085.8143543</v>
      </c>
      <c r="BB26" s="31">
        <f t="shared" si="164"/>
        <v>469012844.74057686</v>
      </c>
      <c r="BC26" s="31">
        <f t="shared" si="164"/>
        <v>482492183.38472068</v>
      </c>
      <c r="BD26" s="31">
        <f t="shared" si="164"/>
        <v>498201290.68931472</v>
      </c>
      <c r="BE26" s="31">
        <f t="shared" si="164"/>
        <v>512319879.71633595</v>
      </c>
      <c r="BF26" s="31">
        <f t="shared" si="164"/>
        <v>526739928.17731124</v>
      </c>
      <c r="BG26" s="31">
        <f t="shared" si="164"/>
        <v>540989477.25308764</v>
      </c>
      <c r="BH26" s="31">
        <f t="shared" si="164"/>
        <v>553704819.10166132</v>
      </c>
      <c r="BI26" s="31">
        <f t="shared" si="164"/>
        <v>566712245.47314107</v>
      </c>
      <c r="BJ26" s="31">
        <f t="shared" si="164"/>
        <v>580885055.14698696</v>
      </c>
      <c r="BK26" s="31">
        <f t="shared" si="164"/>
        <v>594439001.53220153</v>
      </c>
      <c r="BL26" s="31">
        <f t="shared" si="164"/>
        <v>606521083.14640522</v>
      </c>
      <c r="BM26" s="31">
        <f t="shared" si="164"/>
        <v>620570386.33003139</v>
      </c>
      <c r="BN26" s="31">
        <f t="shared" si="164"/>
        <v>633168116.95984769</v>
      </c>
      <c r="BO26" s="31">
        <f t="shared" si="164"/>
        <v>646004170.27710068</v>
      </c>
      <c r="BP26" s="31">
        <f t="shared" si="164"/>
        <v>658657184.24760032</v>
      </c>
      <c r="BQ26" s="31">
        <f t="shared" si="164"/>
        <v>670321288.80583537</v>
      </c>
      <c r="BR26" s="31">
        <f t="shared" si="164"/>
        <v>683000077.57566321</v>
      </c>
      <c r="BS26" s="31">
        <f t="shared" si="164"/>
        <v>695095233.15916681</v>
      </c>
      <c r="BT26" s="31">
        <f t="shared" si="164"/>
        <v>705849266.13652253</v>
      </c>
      <c r="BU26" s="31">
        <f t="shared" si="164"/>
        <v>717943047.31121254</v>
      </c>
      <c r="BV26" s="31">
        <f t="shared" si="164"/>
        <v>729095250.111884</v>
      </c>
      <c r="BW26" s="31">
        <f t="shared" si="164"/>
        <v>739694765.08563483</v>
      </c>
      <c r="BX26" s="31">
        <f t="shared" si="164"/>
        <v>751189534.45092607</v>
      </c>
      <c r="BY26" s="31">
        <f t="shared" si="164"/>
        <v>762128590.67079949</v>
      </c>
      <c r="BZ26" s="31">
        <f t="shared" ref="BZ26:CH26" si="165">BY26+BZ25</f>
        <v>772869589.65023196</v>
      </c>
      <c r="CA26" s="31">
        <f t="shared" si="165"/>
        <v>783070919.12039781</v>
      </c>
      <c r="CB26" s="31">
        <f t="shared" si="165"/>
        <v>793077533.53277946</v>
      </c>
      <c r="CC26" s="31">
        <f t="shared" si="165"/>
        <v>803214903.32184899</v>
      </c>
      <c r="CD26" s="31">
        <f t="shared" si="165"/>
        <v>813147869.18623376</v>
      </c>
      <c r="CE26" s="31">
        <f t="shared" si="165"/>
        <v>822247268.1706506</v>
      </c>
      <c r="CF26" s="31">
        <f t="shared" si="165"/>
        <v>830845337.10968328</v>
      </c>
      <c r="CG26" s="31">
        <f t="shared" si="165"/>
        <v>840755975.41502261</v>
      </c>
      <c r="CH26" s="31">
        <f t="shared" si="165"/>
        <v>849561497.5824995</v>
      </c>
      <c r="CI26" s="31">
        <f t="shared" ref="CI26" si="166">CH26+CI25</f>
        <v>858447913.11666417</v>
      </c>
      <c r="CJ26" s="31">
        <f t="shared" ref="CJ26" si="167">CI26+CJ25</f>
        <v>866840275.91178846</v>
      </c>
      <c r="CK26" s="31">
        <f t="shared" ref="CK26" si="168">CJ26+CK25</f>
        <v>875023602.66295111</v>
      </c>
      <c r="CL26" s="31">
        <f t="shared" ref="CL26" si="169">CK26+CL25</f>
        <v>883527747.55737209</v>
      </c>
      <c r="CM26" s="31">
        <f t="shared" ref="CM26" si="170">CL26+CM25</f>
        <v>891288024.5135237</v>
      </c>
      <c r="CN26" s="31">
        <f t="shared" ref="CN26" si="171">CM26+CN25</f>
        <v>898582720.18284512</v>
      </c>
      <c r="CO26" s="31">
        <f t="shared" ref="CO26" si="172">CN26+CO25</f>
        <v>906401922.69875026</v>
      </c>
      <c r="CP26" s="31">
        <f t="shared" ref="CP26" si="173">CO26+CP25</f>
        <v>913752084.61564696</v>
      </c>
      <c r="CQ26" s="31">
        <f t="shared" ref="CQ26" si="174">CP26+CQ25</f>
        <v>920875777.21220422</v>
      </c>
      <c r="CR26" s="31">
        <f t="shared" ref="CR26" si="175">CQ26+CR25</f>
        <v>927103907.89074469</v>
      </c>
      <c r="CS26" s="31">
        <f t="shared" ref="CS26" si="176">CR26+CS25</f>
        <v>933769269.00661469</v>
      </c>
      <c r="CT26" s="31">
        <f t="shared" ref="CT26" si="177">CS26+CT25</f>
        <v>939787676.8524152</v>
      </c>
      <c r="CU26" s="31">
        <f t="shared" ref="CU26" si="178">CT26+CU25</f>
        <v>946187412.58896542</v>
      </c>
      <c r="CV26" s="31">
        <f t="shared" ref="CV26" si="179">CU26+CV25</f>
        <v>951959187.2978946</v>
      </c>
      <c r="CW26" s="31">
        <f t="shared" ref="CW26" si="180">CV26+CW25</f>
        <v>957316446.56242573</v>
      </c>
      <c r="CX26" s="31">
        <f t="shared" ref="CX26" si="181">CW26+CX25</f>
        <v>963157876.51492429</v>
      </c>
      <c r="CY26" s="31">
        <f t="shared" ref="CY26" si="182">CX26+CY25</f>
        <v>968234832.39243078</v>
      </c>
      <c r="CZ26" s="31">
        <f t="shared" ref="CZ26" si="183">CY26+CZ25</f>
        <v>973237894.34994829</v>
      </c>
      <c r="DA26" s="31">
        <f t="shared" ref="DA26" si="184">CZ26+DA25</f>
        <v>977842421.539464</v>
      </c>
      <c r="DB26" s="31">
        <f t="shared" ref="DB26" si="185">DA26+DB25</f>
        <v>982207925.65314031</v>
      </c>
      <c r="DC26" s="31">
        <f t="shared" ref="DC26" si="186">DB26+DC25</f>
        <v>986607487.00974822</v>
      </c>
      <c r="DD26" s="31">
        <f t="shared" ref="DD26" si="187">DC26+DD25</f>
        <v>990230468.78102148</v>
      </c>
      <c r="DE26" s="31">
        <f t="shared" ref="DE26" si="188">DD26+DE25</f>
        <v>993988724.07238173</v>
      </c>
      <c r="DF26" s="31">
        <f t="shared" ref="DF26" si="189">DE26+DF25</f>
        <v>997153040.24076629</v>
      </c>
      <c r="DG26" s="31">
        <f t="shared" ref="DG26" si="190">DF26+DG25</f>
        <v>1000608913.9267229</v>
      </c>
      <c r="DH26" s="31">
        <f t="shared" ref="DH26" si="191">DG26+DH25</f>
        <v>1003500013.5130305</v>
      </c>
      <c r="DI26" s="31">
        <f t="shared" ref="DI26" si="192">DH26+DI25</f>
        <v>1006226475.7841492</v>
      </c>
      <c r="DJ26" s="31">
        <f t="shared" ref="DJ26" si="193">DI26+DJ25</f>
        <v>1008689864.4460659</v>
      </c>
      <c r="DK26" s="31">
        <f t="shared" ref="DK26" si="194">DJ26+DK25</f>
        <v>1010746275.3884084</v>
      </c>
      <c r="DL26" s="31">
        <f t="shared" ref="DL26" si="195">DK26+DL25</f>
        <v>1012739541.9252046</v>
      </c>
      <c r="DM26" s="31">
        <f t="shared" ref="DM26" si="196">DL26+DM25</f>
        <v>1014347547.4957725</v>
      </c>
      <c r="DN26" s="31">
        <f t="shared" ref="DN26" si="197">DM26+DN25</f>
        <v>1015647965.5266206</v>
      </c>
      <c r="DO26" s="31">
        <f t="shared" ref="DO26" si="198">DN26+DO25</f>
        <v>1016836443.3934695</v>
      </c>
      <c r="DP26" s="31">
        <f t="shared" ref="DP26" si="199">DO26+DP25</f>
        <v>1017622838.5982862</v>
      </c>
      <c r="DQ26" s="31">
        <f t="shared" ref="DQ26" si="200">DP26+DQ25</f>
        <v>1018149166.3684765</v>
      </c>
      <c r="DR26" s="31">
        <f t="shared" ref="DR26" si="201">DQ26+DR25</f>
        <v>1018440699.0232332</v>
      </c>
    </row>
    <row r="27" spans="1:122" x14ac:dyDescent="0.25">
      <c r="A27" s="39" t="s">
        <v>39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</row>
    <row r="28" spans="1:122" x14ac:dyDescent="0.25">
      <c r="A28" s="37" t="s">
        <v>40</v>
      </c>
      <c r="B28" s="31">
        <f>B27</f>
        <v>0</v>
      </c>
      <c r="C28" s="31">
        <f t="shared" ref="C28:K28" si="202">B28+C27</f>
        <v>0</v>
      </c>
      <c r="D28" s="31">
        <f t="shared" si="202"/>
        <v>0</v>
      </c>
      <c r="E28" s="31">
        <f t="shared" si="202"/>
        <v>0</v>
      </c>
      <c r="F28" s="31">
        <f t="shared" si="202"/>
        <v>0</v>
      </c>
      <c r="G28" s="31">
        <f t="shared" si="202"/>
        <v>0</v>
      </c>
      <c r="H28" s="31">
        <f t="shared" si="202"/>
        <v>0</v>
      </c>
      <c r="I28" s="31">
        <f t="shared" si="202"/>
        <v>0</v>
      </c>
      <c r="J28" s="31">
        <f t="shared" si="202"/>
        <v>0</v>
      </c>
      <c r="K28" s="31">
        <f t="shared" si="202"/>
        <v>0</v>
      </c>
      <c r="L28" s="31">
        <f t="shared" ref="L28:AQ28" si="203">K28+L27</f>
        <v>0</v>
      </c>
      <c r="M28" s="31">
        <f t="shared" si="203"/>
        <v>0</v>
      </c>
      <c r="N28" s="31">
        <f t="shared" si="203"/>
        <v>0</v>
      </c>
      <c r="O28" s="31">
        <f t="shared" si="203"/>
        <v>0</v>
      </c>
      <c r="P28" s="31">
        <f t="shared" si="203"/>
        <v>0</v>
      </c>
      <c r="Q28" s="31">
        <f t="shared" si="203"/>
        <v>0</v>
      </c>
      <c r="R28" s="31">
        <f t="shared" si="203"/>
        <v>0</v>
      </c>
      <c r="S28" s="31">
        <f t="shared" si="203"/>
        <v>0</v>
      </c>
      <c r="T28" s="31">
        <f t="shared" si="203"/>
        <v>0</v>
      </c>
      <c r="U28" s="31">
        <f t="shared" si="203"/>
        <v>0</v>
      </c>
      <c r="V28" s="31">
        <f t="shared" si="203"/>
        <v>0</v>
      </c>
      <c r="W28" s="31">
        <f t="shared" si="203"/>
        <v>0</v>
      </c>
      <c r="X28" s="31">
        <f t="shared" si="203"/>
        <v>0</v>
      </c>
      <c r="Y28" s="31">
        <f t="shared" si="203"/>
        <v>0</v>
      </c>
      <c r="Z28" s="31">
        <f t="shared" si="203"/>
        <v>0</v>
      </c>
      <c r="AA28" s="31">
        <f t="shared" si="203"/>
        <v>0</v>
      </c>
      <c r="AB28" s="31">
        <f t="shared" si="203"/>
        <v>0</v>
      </c>
      <c r="AC28" s="31">
        <f t="shared" si="203"/>
        <v>0</v>
      </c>
      <c r="AD28" s="31">
        <f t="shared" si="203"/>
        <v>0</v>
      </c>
      <c r="AE28" s="31">
        <f t="shared" si="203"/>
        <v>0</v>
      </c>
      <c r="AF28" s="31">
        <f t="shared" si="203"/>
        <v>0</v>
      </c>
      <c r="AG28" s="31">
        <f t="shared" si="203"/>
        <v>0</v>
      </c>
      <c r="AH28" s="31">
        <f t="shared" si="203"/>
        <v>0</v>
      </c>
      <c r="AI28" s="31">
        <f t="shared" si="203"/>
        <v>0</v>
      </c>
      <c r="AJ28" s="31">
        <f t="shared" si="203"/>
        <v>0</v>
      </c>
      <c r="AK28" s="31">
        <f t="shared" si="203"/>
        <v>0</v>
      </c>
      <c r="AL28" s="31">
        <f t="shared" si="203"/>
        <v>0</v>
      </c>
      <c r="AM28" s="31">
        <f t="shared" si="203"/>
        <v>0</v>
      </c>
      <c r="AN28" s="31">
        <f t="shared" si="203"/>
        <v>0</v>
      </c>
      <c r="AO28" s="31">
        <f t="shared" si="203"/>
        <v>0</v>
      </c>
      <c r="AP28" s="31">
        <f t="shared" si="203"/>
        <v>0</v>
      </c>
      <c r="AQ28" s="31">
        <f t="shared" si="203"/>
        <v>0</v>
      </c>
      <c r="AR28" s="31">
        <f t="shared" ref="AR28:BW28" si="204">AQ28+AR27</f>
        <v>0</v>
      </c>
      <c r="AS28" s="31">
        <f t="shared" si="204"/>
        <v>0</v>
      </c>
      <c r="AT28" s="31">
        <f t="shared" si="204"/>
        <v>0</v>
      </c>
      <c r="AU28" s="31">
        <f t="shared" si="204"/>
        <v>0</v>
      </c>
      <c r="AV28" s="31">
        <f t="shared" si="204"/>
        <v>0</v>
      </c>
      <c r="AW28" s="31">
        <f t="shared" si="204"/>
        <v>0</v>
      </c>
      <c r="AX28" s="31">
        <f t="shared" si="204"/>
        <v>0</v>
      </c>
      <c r="AY28" s="31">
        <f t="shared" si="204"/>
        <v>0</v>
      </c>
      <c r="AZ28" s="31">
        <f t="shared" si="204"/>
        <v>0</v>
      </c>
      <c r="BA28" s="31">
        <f t="shared" si="204"/>
        <v>0</v>
      </c>
      <c r="BB28" s="31">
        <f t="shared" si="204"/>
        <v>0</v>
      </c>
      <c r="BC28" s="31">
        <f t="shared" si="204"/>
        <v>0</v>
      </c>
      <c r="BD28" s="31">
        <f t="shared" si="204"/>
        <v>0</v>
      </c>
      <c r="BE28" s="31">
        <f t="shared" si="204"/>
        <v>0</v>
      </c>
      <c r="BF28" s="31">
        <f t="shared" si="204"/>
        <v>0</v>
      </c>
      <c r="BG28" s="31">
        <f t="shared" si="204"/>
        <v>0</v>
      </c>
      <c r="BH28" s="31">
        <f t="shared" si="204"/>
        <v>0</v>
      </c>
      <c r="BI28" s="31">
        <f t="shared" si="204"/>
        <v>0</v>
      </c>
      <c r="BJ28" s="31">
        <f t="shared" si="204"/>
        <v>0</v>
      </c>
      <c r="BK28" s="31">
        <f t="shared" si="204"/>
        <v>0</v>
      </c>
      <c r="BL28" s="31">
        <f t="shared" si="204"/>
        <v>0</v>
      </c>
      <c r="BM28" s="31">
        <f t="shared" si="204"/>
        <v>0</v>
      </c>
      <c r="BN28" s="31">
        <f t="shared" si="204"/>
        <v>0</v>
      </c>
      <c r="BO28" s="31">
        <f t="shared" si="204"/>
        <v>0</v>
      </c>
      <c r="BP28" s="31">
        <f t="shared" si="204"/>
        <v>0</v>
      </c>
      <c r="BQ28" s="31">
        <f t="shared" si="204"/>
        <v>0</v>
      </c>
      <c r="BR28" s="31">
        <f t="shared" si="204"/>
        <v>0</v>
      </c>
      <c r="BS28" s="31">
        <f t="shared" si="204"/>
        <v>0</v>
      </c>
      <c r="BT28" s="31">
        <f t="shared" si="204"/>
        <v>0</v>
      </c>
      <c r="BU28" s="31">
        <f t="shared" si="204"/>
        <v>0</v>
      </c>
      <c r="BV28" s="31">
        <f t="shared" si="204"/>
        <v>0</v>
      </c>
      <c r="BW28" s="31">
        <f t="shared" si="204"/>
        <v>0</v>
      </c>
      <c r="BX28" s="31">
        <f t="shared" ref="BX28:CH28" si="205">BW28+BX27</f>
        <v>0</v>
      </c>
      <c r="BY28" s="31">
        <f t="shared" si="205"/>
        <v>0</v>
      </c>
      <c r="BZ28" s="31">
        <f t="shared" si="205"/>
        <v>0</v>
      </c>
      <c r="CA28" s="31">
        <f t="shared" si="205"/>
        <v>0</v>
      </c>
      <c r="CB28" s="31">
        <f t="shared" si="205"/>
        <v>0</v>
      </c>
      <c r="CC28" s="31">
        <f t="shared" si="205"/>
        <v>0</v>
      </c>
      <c r="CD28" s="31">
        <f t="shared" si="205"/>
        <v>0</v>
      </c>
      <c r="CE28" s="31">
        <f t="shared" si="205"/>
        <v>0</v>
      </c>
      <c r="CF28" s="31">
        <f t="shared" si="205"/>
        <v>0</v>
      </c>
      <c r="CG28" s="31">
        <f t="shared" si="205"/>
        <v>0</v>
      </c>
      <c r="CH28" s="31">
        <f t="shared" si="205"/>
        <v>0</v>
      </c>
      <c r="CI28" s="31">
        <f t="shared" ref="CI28" si="206">CH28+CI27</f>
        <v>0</v>
      </c>
      <c r="CJ28" s="31">
        <f t="shared" ref="CJ28" si="207">CI28+CJ27</f>
        <v>0</v>
      </c>
      <c r="CK28" s="31">
        <f t="shared" ref="CK28" si="208">CJ28+CK27</f>
        <v>0</v>
      </c>
      <c r="CL28" s="31">
        <f t="shared" ref="CL28" si="209">CK28+CL27</f>
        <v>0</v>
      </c>
      <c r="CM28" s="31">
        <f t="shared" ref="CM28" si="210">CL28+CM27</f>
        <v>0</v>
      </c>
      <c r="CN28" s="31">
        <f t="shared" ref="CN28" si="211">CM28+CN27</f>
        <v>0</v>
      </c>
      <c r="CO28" s="31">
        <f t="shared" ref="CO28" si="212">CN28+CO27</f>
        <v>0</v>
      </c>
      <c r="CP28" s="31">
        <f t="shared" ref="CP28" si="213">CO28+CP27</f>
        <v>0</v>
      </c>
      <c r="CQ28" s="31">
        <f t="shared" ref="CQ28" si="214">CP28+CQ27</f>
        <v>0</v>
      </c>
      <c r="CR28" s="31">
        <f t="shared" ref="CR28" si="215">CQ28+CR27</f>
        <v>0</v>
      </c>
      <c r="CS28" s="31">
        <f t="shared" ref="CS28" si="216">CR28+CS27</f>
        <v>0</v>
      </c>
      <c r="CT28" s="31">
        <f t="shared" ref="CT28" si="217">CS28+CT27</f>
        <v>0</v>
      </c>
      <c r="CU28" s="31">
        <f t="shared" ref="CU28" si="218">CT28+CU27</f>
        <v>0</v>
      </c>
      <c r="CV28" s="31">
        <f t="shared" ref="CV28" si="219">CU28+CV27</f>
        <v>0</v>
      </c>
      <c r="CW28" s="31">
        <f t="shared" ref="CW28" si="220">CV28+CW27</f>
        <v>0</v>
      </c>
      <c r="CX28" s="31">
        <f t="shared" ref="CX28" si="221">CW28+CX27</f>
        <v>0</v>
      </c>
      <c r="CY28" s="31">
        <f t="shared" ref="CY28" si="222">CX28+CY27</f>
        <v>0</v>
      </c>
      <c r="CZ28" s="31">
        <f t="shared" ref="CZ28" si="223">CY28+CZ27</f>
        <v>0</v>
      </c>
      <c r="DA28" s="31">
        <f t="shared" ref="DA28" si="224">CZ28+DA27</f>
        <v>0</v>
      </c>
      <c r="DB28" s="31">
        <f t="shared" ref="DB28" si="225">DA28+DB27</f>
        <v>0</v>
      </c>
      <c r="DC28" s="31">
        <f t="shared" ref="DC28" si="226">DB28+DC27</f>
        <v>0</v>
      </c>
      <c r="DD28" s="31">
        <f t="shared" ref="DD28" si="227">DC28+DD27</f>
        <v>0</v>
      </c>
      <c r="DE28" s="31">
        <f t="shared" ref="DE28" si="228">DD28+DE27</f>
        <v>0</v>
      </c>
      <c r="DF28" s="31">
        <f t="shared" ref="DF28" si="229">DE28+DF27</f>
        <v>0</v>
      </c>
      <c r="DG28" s="31">
        <f t="shared" ref="DG28" si="230">DF28+DG27</f>
        <v>0</v>
      </c>
      <c r="DH28" s="31">
        <f t="shared" ref="DH28" si="231">DG28+DH27</f>
        <v>0</v>
      </c>
      <c r="DI28" s="31">
        <f t="shared" ref="DI28" si="232">DH28+DI27</f>
        <v>0</v>
      </c>
      <c r="DJ28" s="31">
        <f t="shared" ref="DJ28" si="233">DI28+DJ27</f>
        <v>0</v>
      </c>
      <c r="DK28" s="31">
        <f t="shared" ref="DK28" si="234">DJ28+DK27</f>
        <v>0</v>
      </c>
      <c r="DL28" s="31">
        <f t="shared" ref="DL28" si="235">DK28+DL27</f>
        <v>0</v>
      </c>
      <c r="DM28" s="31">
        <f t="shared" ref="DM28" si="236">DL28+DM27</f>
        <v>0</v>
      </c>
      <c r="DN28" s="31">
        <f t="shared" ref="DN28" si="237">DM28+DN27</f>
        <v>0</v>
      </c>
      <c r="DO28" s="31">
        <f t="shared" ref="DO28" si="238">DN28+DO27</f>
        <v>0</v>
      </c>
      <c r="DP28" s="31">
        <f t="shared" ref="DP28" si="239">DO28+DP27</f>
        <v>0</v>
      </c>
      <c r="DQ28" s="31">
        <f t="shared" ref="DQ28" si="240">DP28+DQ27</f>
        <v>0</v>
      </c>
      <c r="DR28" s="31">
        <f t="shared" ref="DR28" si="241">DQ28+DR27</f>
        <v>0</v>
      </c>
    </row>
    <row r="29" spans="1:122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</row>
    <row r="30" spans="1:122" s="87" customFormat="1" ht="15" x14ac:dyDescent="0.3">
      <c r="A30" s="117" t="s">
        <v>54</v>
      </c>
      <c r="B30" s="90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</row>
    <row r="31" spans="1:122" ht="15" x14ac:dyDescent="0.3">
      <c r="A31" s="88" t="s">
        <v>55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</row>
    <row r="32" spans="1:122" x14ac:dyDescent="0.25">
      <c r="A32" s="89" t="s">
        <v>29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</row>
    <row r="33" spans="1:122" x14ac:dyDescent="0.25">
      <c r="A33" s="89" t="s">
        <v>23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</row>
    <row r="34" spans="1:122" x14ac:dyDescent="0.25">
      <c r="A34" s="89" t="s">
        <v>56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</row>
    <row r="35" spans="1:122" ht="15" x14ac:dyDescent="0.3">
      <c r="A35" s="42" t="s">
        <v>57</v>
      </c>
      <c r="B35" s="31">
        <f>SUM(B32:B34)</f>
        <v>0</v>
      </c>
      <c r="C35" s="31">
        <f t="shared" ref="C35:BN35" si="242">SUM(C32:C34)</f>
        <v>0</v>
      </c>
      <c r="D35" s="31">
        <f t="shared" si="242"/>
        <v>0</v>
      </c>
      <c r="E35" s="31">
        <f t="shared" si="242"/>
        <v>0</v>
      </c>
      <c r="F35" s="31">
        <f t="shared" si="242"/>
        <v>0</v>
      </c>
      <c r="G35" s="31">
        <f t="shared" si="242"/>
        <v>0</v>
      </c>
      <c r="H35" s="31">
        <f t="shared" si="242"/>
        <v>0</v>
      </c>
      <c r="I35" s="31">
        <f t="shared" si="242"/>
        <v>0</v>
      </c>
      <c r="J35" s="31">
        <f t="shared" si="242"/>
        <v>0</v>
      </c>
      <c r="K35" s="31">
        <f t="shared" si="242"/>
        <v>0</v>
      </c>
      <c r="L35" s="31">
        <f t="shared" si="242"/>
        <v>0</v>
      </c>
      <c r="M35" s="31">
        <f>SUM(M32:M34)</f>
        <v>0</v>
      </c>
      <c r="N35" s="31">
        <f t="shared" si="242"/>
        <v>0</v>
      </c>
      <c r="O35" s="31">
        <f t="shared" si="242"/>
        <v>0</v>
      </c>
      <c r="P35" s="31">
        <f t="shared" si="242"/>
        <v>0</v>
      </c>
      <c r="Q35" s="31">
        <f t="shared" si="242"/>
        <v>0</v>
      </c>
      <c r="R35" s="31">
        <f t="shared" si="242"/>
        <v>0</v>
      </c>
      <c r="S35" s="31">
        <f t="shared" si="242"/>
        <v>0</v>
      </c>
      <c r="T35" s="31">
        <f t="shared" si="242"/>
        <v>0</v>
      </c>
      <c r="U35" s="31">
        <f t="shared" si="242"/>
        <v>0</v>
      </c>
      <c r="V35" s="31">
        <f t="shared" si="242"/>
        <v>0</v>
      </c>
      <c r="W35" s="31">
        <f t="shared" si="242"/>
        <v>0</v>
      </c>
      <c r="X35" s="31">
        <f t="shared" si="242"/>
        <v>0</v>
      </c>
      <c r="Y35" s="31">
        <f t="shared" si="242"/>
        <v>0</v>
      </c>
      <c r="Z35" s="31">
        <f t="shared" si="242"/>
        <v>0</v>
      </c>
      <c r="AA35" s="31">
        <f t="shared" si="242"/>
        <v>0</v>
      </c>
      <c r="AB35" s="31">
        <f t="shared" si="242"/>
        <v>0</v>
      </c>
      <c r="AC35" s="31">
        <f t="shared" si="242"/>
        <v>0</v>
      </c>
      <c r="AD35" s="31">
        <f t="shared" si="242"/>
        <v>0</v>
      </c>
      <c r="AE35" s="31">
        <f t="shared" si="242"/>
        <v>0</v>
      </c>
      <c r="AF35" s="31">
        <f t="shared" si="242"/>
        <v>0</v>
      </c>
      <c r="AG35" s="31">
        <f t="shared" si="242"/>
        <v>0</v>
      </c>
      <c r="AH35" s="31">
        <f t="shared" si="242"/>
        <v>0</v>
      </c>
      <c r="AI35" s="31">
        <f t="shared" si="242"/>
        <v>0</v>
      </c>
      <c r="AJ35" s="31">
        <f t="shared" si="242"/>
        <v>0</v>
      </c>
      <c r="AK35" s="31">
        <f t="shared" si="242"/>
        <v>0</v>
      </c>
      <c r="AL35" s="31">
        <f t="shared" si="242"/>
        <v>0</v>
      </c>
      <c r="AM35" s="31">
        <f t="shared" si="242"/>
        <v>0</v>
      </c>
      <c r="AN35" s="31">
        <f t="shared" si="242"/>
        <v>0</v>
      </c>
      <c r="AO35" s="31">
        <f t="shared" si="242"/>
        <v>0</v>
      </c>
      <c r="AP35" s="31">
        <f t="shared" si="242"/>
        <v>0</v>
      </c>
      <c r="AQ35" s="31">
        <f t="shared" si="242"/>
        <v>0</v>
      </c>
      <c r="AR35" s="31">
        <f t="shared" si="242"/>
        <v>0</v>
      </c>
      <c r="AS35" s="31">
        <f t="shared" si="242"/>
        <v>0</v>
      </c>
      <c r="AT35" s="31">
        <f t="shared" si="242"/>
        <v>0</v>
      </c>
      <c r="AU35" s="31">
        <f t="shared" si="242"/>
        <v>0</v>
      </c>
      <c r="AV35" s="31">
        <f t="shared" si="242"/>
        <v>0</v>
      </c>
      <c r="AW35" s="31">
        <f t="shared" si="242"/>
        <v>0</v>
      </c>
      <c r="AX35" s="31">
        <f t="shared" si="242"/>
        <v>0</v>
      </c>
      <c r="AY35" s="31">
        <f t="shared" si="242"/>
        <v>0</v>
      </c>
      <c r="AZ35" s="31">
        <f t="shared" si="242"/>
        <v>0</v>
      </c>
      <c r="BA35" s="31">
        <f t="shared" si="242"/>
        <v>0</v>
      </c>
      <c r="BB35" s="31">
        <f t="shared" si="242"/>
        <v>0</v>
      </c>
      <c r="BC35" s="31">
        <f t="shared" si="242"/>
        <v>0</v>
      </c>
      <c r="BD35" s="31">
        <f t="shared" si="242"/>
        <v>0</v>
      </c>
      <c r="BE35" s="31">
        <f t="shared" si="242"/>
        <v>0</v>
      </c>
      <c r="BF35" s="31">
        <f t="shared" si="242"/>
        <v>0</v>
      </c>
      <c r="BG35" s="31">
        <f t="shared" si="242"/>
        <v>0</v>
      </c>
      <c r="BH35" s="31">
        <f t="shared" si="242"/>
        <v>0</v>
      </c>
      <c r="BI35" s="31">
        <f t="shared" si="242"/>
        <v>0</v>
      </c>
      <c r="BJ35" s="31">
        <f t="shared" si="242"/>
        <v>0</v>
      </c>
      <c r="BK35" s="31">
        <f t="shared" si="242"/>
        <v>0</v>
      </c>
      <c r="BL35" s="31">
        <f t="shared" si="242"/>
        <v>0</v>
      </c>
      <c r="BM35" s="31">
        <f t="shared" si="242"/>
        <v>0</v>
      </c>
      <c r="BN35" s="31">
        <f t="shared" si="242"/>
        <v>0</v>
      </c>
      <c r="BO35" s="31">
        <f t="shared" ref="BO35:CH35" si="243">SUM(BO32:BO34)</f>
        <v>0</v>
      </c>
      <c r="BP35" s="31">
        <f t="shared" si="243"/>
        <v>0</v>
      </c>
      <c r="BQ35" s="31">
        <f t="shared" si="243"/>
        <v>0</v>
      </c>
      <c r="BR35" s="31">
        <f t="shared" si="243"/>
        <v>0</v>
      </c>
      <c r="BS35" s="31">
        <f t="shared" si="243"/>
        <v>0</v>
      </c>
      <c r="BT35" s="31">
        <f t="shared" si="243"/>
        <v>0</v>
      </c>
      <c r="BU35" s="31">
        <f t="shared" si="243"/>
        <v>0</v>
      </c>
      <c r="BV35" s="31">
        <f t="shared" si="243"/>
        <v>0</v>
      </c>
      <c r="BW35" s="31">
        <f t="shared" si="243"/>
        <v>0</v>
      </c>
      <c r="BX35" s="31">
        <f t="shared" si="243"/>
        <v>0</v>
      </c>
      <c r="BY35" s="31">
        <f t="shared" si="243"/>
        <v>0</v>
      </c>
      <c r="BZ35" s="31">
        <f t="shared" si="243"/>
        <v>0</v>
      </c>
      <c r="CA35" s="31">
        <f t="shared" si="243"/>
        <v>0</v>
      </c>
      <c r="CB35" s="31">
        <f t="shared" si="243"/>
        <v>0</v>
      </c>
      <c r="CC35" s="31">
        <f t="shared" si="243"/>
        <v>0</v>
      </c>
      <c r="CD35" s="31">
        <f t="shared" si="243"/>
        <v>0</v>
      </c>
      <c r="CE35" s="31">
        <f t="shared" si="243"/>
        <v>0</v>
      </c>
      <c r="CF35" s="31">
        <f t="shared" si="243"/>
        <v>0</v>
      </c>
      <c r="CG35" s="31">
        <f t="shared" si="243"/>
        <v>0</v>
      </c>
      <c r="CH35" s="31">
        <f t="shared" si="243"/>
        <v>0</v>
      </c>
      <c r="CI35" s="31">
        <f t="shared" ref="CI35:DR35" si="244">SUM(CI32:CI34)</f>
        <v>0</v>
      </c>
      <c r="CJ35" s="31">
        <f t="shared" si="244"/>
        <v>0</v>
      </c>
      <c r="CK35" s="31">
        <f t="shared" si="244"/>
        <v>0</v>
      </c>
      <c r="CL35" s="31">
        <f t="shared" si="244"/>
        <v>0</v>
      </c>
      <c r="CM35" s="31">
        <f t="shared" si="244"/>
        <v>0</v>
      </c>
      <c r="CN35" s="31">
        <f t="shared" si="244"/>
        <v>0</v>
      </c>
      <c r="CO35" s="31">
        <f t="shared" si="244"/>
        <v>0</v>
      </c>
      <c r="CP35" s="31">
        <f t="shared" si="244"/>
        <v>0</v>
      </c>
      <c r="CQ35" s="31">
        <f t="shared" si="244"/>
        <v>0</v>
      </c>
      <c r="CR35" s="31">
        <f t="shared" si="244"/>
        <v>0</v>
      </c>
      <c r="CS35" s="31">
        <f t="shared" si="244"/>
        <v>0</v>
      </c>
      <c r="CT35" s="31">
        <f t="shared" si="244"/>
        <v>0</v>
      </c>
      <c r="CU35" s="31">
        <f t="shared" si="244"/>
        <v>0</v>
      </c>
      <c r="CV35" s="31">
        <f t="shared" si="244"/>
        <v>0</v>
      </c>
      <c r="CW35" s="31">
        <f t="shared" si="244"/>
        <v>0</v>
      </c>
      <c r="CX35" s="31">
        <f t="shared" si="244"/>
        <v>0</v>
      </c>
      <c r="CY35" s="31">
        <f t="shared" si="244"/>
        <v>0</v>
      </c>
      <c r="CZ35" s="31">
        <f t="shared" si="244"/>
        <v>0</v>
      </c>
      <c r="DA35" s="31">
        <f t="shared" si="244"/>
        <v>0</v>
      </c>
      <c r="DB35" s="31">
        <f t="shared" si="244"/>
        <v>0</v>
      </c>
      <c r="DC35" s="31">
        <f t="shared" si="244"/>
        <v>0</v>
      </c>
      <c r="DD35" s="31">
        <f t="shared" si="244"/>
        <v>0</v>
      </c>
      <c r="DE35" s="31">
        <f t="shared" si="244"/>
        <v>0</v>
      </c>
      <c r="DF35" s="31">
        <f t="shared" si="244"/>
        <v>0</v>
      </c>
      <c r="DG35" s="31">
        <f t="shared" si="244"/>
        <v>0</v>
      </c>
      <c r="DH35" s="31">
        <f t="shared" si="244"/>
        <v>0</v>
      </c>
      <c r="DI35" s="31">
        <f t="shared" si="244"/>
        <v>0</v>
      </c>
      <c r="DJ35" s="31">
        <f t="shared" si="244"/>
        <v>0</v>
      </c>
      <c r="DK35" s="31">
        <f t="shared" si="244"/>
        <v>0</v>
      </c>
      <c r="DL35" s="31">
        <f t="shared" si="244"/>
        <v>0</v>
      </c>
      <c r="DM35" s="31">
        <f t="shared" si="244"/>
        <v>0</v>
      </c>
      <c r="DN35" s="31">
        <f t="shared" si="244"/>
        <v>0</v>
      </c>
      <c r="DO35" s="31">
        <f t="shared" si="244"/>
        <v>0</v>
      </c>
      <c r="DP35" s="31">
        <f t="shared" si="244"/>
        <v>0</v>
      </c>
      <c r="DQ35" s="31">
        <f t="shared" si="244"/>
        <v>0</v>
      </c>
      <c r="DR35" s="31">
        <f t="shared" si="244"/>
        <v>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47"/>
  <sheetViews>
    <sheetView showGridLines="0" tabSelected="1" topLeftCell="P19" workbookViewId="0">
      <selection activeCell="AH47" sqref="AH47"/>
    </sheetView>
  </sheetViews>
  <sheetFormatPr defaultColWidth="8" defaultRowHeight="12.75" x14ac:dyDescent="0.2"/>
  <cols>
    <col min="1" max="1" width="29" style="3" bestFit="1" customWidth="1"/>
    <col min="2" max="2" width="12.28515625" style="3" bestFit="1" customWidth="1"/>
    <col min="3" max="3" width="14.5703125" style="3" customWidth="1"/>
    <col min="4" max="12" width="12.28515625" style="3" bestFit="1" customWidth="1"/>
    <col min="13" max="13" width="13.42578125" style="3" bestFit="1" customWidth="1"/>
    <col min="14" max="122" width="12.28515625" style="3" bestFit="1" customWidth="1"/>
    <col min="123" max="16384" width="8" style="3"/>
  </cols>
  <sheetData>
    <row r="1" spans="1:26" s="11" customFormat="1" ht="15" x14ac:dyDescent="0.25">
      <c r="A1" s="10" t="s">
        <v>0</v>
      </c>
      <c r="C1" s="10" t="str">
        <f>Disbursement!B1</f>
        <v>Sena Kalyan Sangstha-Edible Oil Project (SKS Edible Oil)</v>
      </c>
    </row>
    <row r="2" spans="1:26" s="11" customFormat="1" ht="15" x14ac:dyDescent="0.25">
      <c r="A2" s="10"/>
    </row>
    <row r="3" spans="1:26" s="12" customFormat="1" x14ac:dyDescent="0.2">
      <c r="A3" s="12" t="s">
        <v>63</v>
      </c>
      <c r="B3" s="3"/>
      <c r="C3" s="73">
        <v>43215</v>
      </c>
    </row>
    <row r="5" spans="1:26" x14ac:dyDescent="0.2">
      <c r="A5" s="12" t="s">
        <v>2</v>
      </c>
      <c r="C5" s="74">
        <v>2355000000</v>
      </c>
      <c r="D5" s="12"/>
    </row>
    <row r="6" spans="1:26" x14ac:dyDescent="0.2">
      <c r="A6" s="12"/>
    </row>
    <row r="7" spans="1:26" x14ac:dyDescent="0.2">
      <c r="A7" s="12" t="s">
        <v>60</v>
      </c>
      <c r="C7" s="73" t="s">
        <v>66</v>
      </c>
      <c r="G7" s="135" t="s">
        <v>79</v>
      </c>
    </row>
    <row r="8" spans="1:26" x14ac:dyDescent="0.2">
      <c r="A8" s="12" t="s">
        <v>3</v>
      </c>
      <c r="C8" s="126">
        <v>8.2500000000000004E-2</v>
      </c>
    </row>
    <row r="9" spans="1:26" x14ac:dyDescent="0.2">
      <c r="A9" s="12" t="s">
        <v>58</v>
      </c>
      <c r="C9" s="76">
        <v>120</v>
      </c>
      <c r="D9" s="3" t="s">
        <v>59</v>
      </c>
    </row>
    <row r="10" spans="1:26" x14ac:dyDescent="0.2">
      <c r="A10" s="12" t="s">
        <v>67</v>
      </c>
      <c r="C10" s="121">
        <v>24</v>
      </c>
      <c r="D10" s="3" t="s">
        <v>59</v>
      </c>
    </row>
    <row r="11" spans="1:26" x14ac:dyDescent="0.2">
      <c r="A11" s="12" t="s">
        <v>23</v>
      </c>
      <c r="C11" s="123" t="s">
        <v>65</v>
      </c>
    </row>
    <row r="12" spans="1:26" x14ac:dyDescent="0.2">
      <c r="A12" s="62" t="s">
        <v>49</v>
      </c>
      <c r="C12" s="75">
        <v>360</v>
      </c>
      <c r="D12" s="54" t="s">
        <v>50</v>
      </c>
    </row>
    <row r="13" spans="1:26" x14ac:dyDescent="0.2">
      <c r="A13" s="62" t="s">
        <v>51</v>
      </c>
      <c r="B13" s="54"/>
      <c r="C13" s="76">
        <v>96</v>
      </c>
    </row>
    <row r="14" spans="1:26" x14ac:dyDescent="0.2">
      <c r="A14" s="62"/>
      <c r="B14" s="59"/>
      <c r="C14" s="61"/>
      <c r="Z14" s="9"/>
    </row>
    <row r="15" spans="1:26" x14ac:dyDescent="0.2">
      <c r="A15" s="62" t="s">
        <v>52</v>
      </c>
      <c r="B15" s="59"/>
      <c r="C15" s="61"/>
      <c r="F15" s="118"/>
      <c r="G15" s="131"/>
    </row>
    <row r="16" spans="1:26" x14ac:dyDescent="0.2">
      <c r="A16" s="63"/>
      <c r="B16" s="64"/>
      <c r="C16" s="64">
        <f>Disbursement!B8</f>
        <v>43240</v>
      </c>
      <c r="D16" s="64">
        <f>Disbursement!B9</f>
        <v>43646</v>
      </c>
      <c r="E16" s="64">
        <f>Disbursement!B10</f>
        <v>43774</v>
      </c>
      <c r="F16" s="118"/>
      <c r="G16" s="118"/>
    </row>
    <row r="17" spans="1:228" x14ac:dyDescent="0.2">
      <c r="A17" s="65"/>
      <c r="B17" s="66"/>
      <c r="C17" s="69">
        <f>Disbursement!C8</f>
        <v>1500000000</v>
      </c>
      <c r="D17" s="69">
        <f>Disbursement!C9</f>
        <v>200000000</v>
      </c>
      <c r="E17" s="69">
        <f>Disbursement!C10</f>
        <v>300000000</v>
      </c>
    </row>
    <row r="18" spans="1:228" x14ac:dyDescent="0.2">
      <c r="A18" s="67"/>
      <c r="B18" s="68"/>
      <c r="C18" s="71">
        <f>C17</f>
        <v>1500000000</v>
      </c>
      <c r="D18" s="71">
        <f>+C18+D17</f>
        <v>1700000000</v>
      </c>
      <c r="E18" s="71">
        <f>+D18+E17</f>
        <v>2000000000</v>
      </c>
    </row>
    <row r="19" spans="1:228" x14ac:dyDescent="0.2">
      <c r="A19" s="60"/>
      <c r="B19" s="59"/>
      <c r="C19" s="61"/>
    </row>
    <row r="20" spans="1:228" x14ac:dyDescent="0.2">
      <c r="A20" s="12"/>
      <c r="C20" s="113">
        <v>43282</v>
      </c>
    </row>
    <row r="21" spans="1:228" x14ac:dyDescent="0.2">
      <c r="A21" s="14" t="s">
        <v>61</v>
      </c>
      <c r="B21" s="113">
        <f>B27</f>
        <v>43266</v>
      </c>
      <c r="C21" s="113">
        <f t="shared" ref="C21:BN21" si="0">C27</f>
        <v>43296</v>
      </c>
      <c r="D21" s="113">
        <f t="shared" si="0"/>
        <v>43327</v>
      </c>
      <c r="E21" s="113">
        <f t="shared" si="0"/>
        <v>43358</v>
      </c>
      <c r="F21" s="113">
        <f t="shared" si="0"/>
        <v>43388</v>
      </c>
      <c r="G21" s="113">
        <f t="shared" si="0"/>
        <v>43419</v>
      </c>
      <c r="H21" s="113">
        <f t="shared" si="0"/>
        <v>43449</v>
      </c>
      <c r="I21" s="113">
        <f t="shared" si="0"/>
        <v>43480</v>
      </c>
      <c r="J21" s="113">
        <f t="shared" si="0"/>
        <v>43511</v>
      </c>
      <c r="K21" s="113">
        <f t="shared" si="0"/>
        <v>43539</v>
      </c>
      <c r="L21" s="113">
        <f t="shared" si="0"/>
        <v>43570</v>
      </c>
      <c r="M21" s="113">
        <f t="shared" si="0"/>
        <v>43605</v>
      </c>
      <c r="N21" s="113">
        <f t="shared" si="0"/>
        <v>43631</v>
      </c>
      <c r="O21" s="113">
        <f t="shared" si="0"/>
        <v>43661</v>
      </c>
      <c r="P21" s="113">
        <f t="shared" si="0"/>
        <v>43692</v>
      </c>
      <c r="Q21" s="113">
        <f t="shared" si="0"/>
        <v>43723</v>
      </c>
      <c r="R21" s="113">
        <f t="shared" si="0"/>
        <v>43753</v>
      </c>
      <c r="S21" s="113">
        <f t="shared" si="0"/>
        <v>43784</v>
      </c>
      <c r="T21" s="113">
        <f t="shared" si="0"/>
        <v>43814</v>
      </c>
      <c r="U21" s="113">
        <f t="shared" si="0"/>
        <v>43845</v>
      </c>
      <c r="V21" s="113">
        <f t="shared" si="0"/>
        <v>43876</v>
      </c>
      <c r="W21" s="113">
        <f t="shared" si="0"/>
        <v>43905</v>
      </c>
      <c r="X21" s="113">
        <f t="shared" si="0"/>
        <v>43936</v>
      </c>
      <c r="Y21" s="113">
        <f t="shared" si="0"/>
        <v>43971</v>
      </c>
      <c r="Z21" s="113">
        <f t="shared" si="0"/>
        <v>43997</v>
      </c>
      <c r="AA21" s="113">
        <f t="shared" si="0"/>
        <v>44027</v>
      </c>
      <c r="AB21" s="113">
        <f t="shared" si="0"/>
        <v>44056</v>
      </c>
      <c r="AC21" s="113">
        <f t="shared" si="0"/>
        <v>44089</v>
      </c>
      <c r="AD21" s="113">
        <f t="shared" si="0"/>
        <v>44119</v>
      </c>
      <c r="AE21" s="113">
        <f t="shared" si="0"/>
        <v>44150</v>
      </c>
      <c r="AF21" s="113">
        <f t="shared" si="0"/>
        <v>44180</v>
      </c>
      <c r="AG21" s="113">
        <f t="shared" si="0"/>
        <v>44210</v>
      </c>
      <c r="AH21" s="113">
        <f t="shared" si="0"/>
        <v>44242</v>
      </c>
      <c r="AI21" s="113">
        <f t="shared" si="0"/>
        <v>44270</v>
      </c>
      <c r="AJ21" s="113">
        <f t="shared" si="0"/>
        <v>44301</v>
      </c>
      <c r="AK21" s="113">
        <f t="shared" si="0"/>
        <v>44329</v>
      </c>
      <c r="AL21" s="113">
        <f t="shared" si="0"/>
        <v>44362</v>
      </c>
      <c r="AM21" s="113">
        <f t="shared" si="0"/>
        <v>44392</v>
      </c>
      <c r="AN21" s="113">
        <f t="shared" si="0"/>
        <v>44423</v>
      </c>
      <c r="AO21" s="113">
        <f t="shared" si="0"/>
        <v>44454</v>
      </c>
      <c r="AP21" s="113">
        <f t="shared" si="0"/>
        <v>44483</v>
      </c>
      <c r="AQ21" s="113">
        <f t="shared" si="0"/>
        <v>44515</v>
      </c>
      <c r="AR21" s="113">
        <f t="shared" si="0"/>
        <v>44545</v>
      </c>
      <c r="AS21" s="113">
        <f t="shared" si="0"/>
        <v>44574</v>
      </c>
      <c r="AT21" s="113">
        <f t="shared" si="0"/>
        <v>44607</v>
      </c>
      <c r="AU21" s="113">
        <f t="shared" si="0"/>
        <v>44635</v>
      </c>
      <c r="AV21" s="113">
        <f t="shared" si="0"/>
        <v>44665</v>
      </c>
      <c r="AW21" s="113">
        <f t="shared" si="0"/>
        <v>44696</v>
      </c>
      <c r="AX21" s="113">
        <f t="shared" si="0"/>
        <v>44727</v>
      </c>
      <c r="AY21" s="113">
        <f t="shared" si="0"/>
        <v>44756</v>
      </c>
      <c r="AZ21" s="113">
        <f t="shared" si="0"/>
        <v>44788</v>
      </c>
      <c r="BA21" s="113">
        <f t="shared" si="0"/>
        <v>44819</v>
      </c>
      <c r="BB21" s="113">
        <f t="shared" si="0"/>
        <v>44847</v>
      </c>
      <c r="BC21" s="113">
        <f t="shared" si="0"/>
        <v>44880</v>
      </c>
      <c r="BD21" s="113">
        <f t="shared" si="0"/>
        <v>44910</v>
      </c>
      <c r="BE21" s="113">
        <f t="shared" si="0"/>
        <v>44941</v>
      </c>
      <c r="BF21" s="113">
        <f t="shared" si="0"/>
        <v>44972</v>
      </c>
      <c r="BG21" s="113">
        <f t="shared" si="0"/>
        <v>45000</v>
      </c>
      <c r="BH21" s="113">
        <f t="shared" si="0"/>
        <v>45029</v>
      </c>
      <c r="BI21" s="113">
        <f t="shared" si="0"/>
        <v>45061</v>
      </c>
      <c r="BJ21" s="113">
        <f t="shared" si="0"/>
        <v>45092</v>
      </c>
      <c r="BK21" s="113">
        <f t="shared" si="0"/>
        <v>45120</v>
      </c>
      <c r="BL21" s="113">
        <f t="shared" si="0"/>
        <v>45153</v>
      </c>
      <c r="BM21" s="113">
        <f t="shared" si="0"/>
        <v>45183</v>
      </c>
      <c r="BN21" s="113">
        <f t="shared" si="0"/>
        <v>45214</v>
      </c>
      <c r="BO21" s="113">
        <f t="shared" ref="BO21:DQ21" si="1">BO27</f>
        <v>45245</v>
      </c>
      <c r="BP21" s="113">
        <f t="shared" si="1"/>
        <v>45274</v>
      </c>
      <c r="BQ21" s="113">
        <f t="shared" si="1"/>
        <v>45306</v>
      </c>
      <c r="BR21" s="113">
        <f t="shared" si="1"/>
        <v>45337</v>
      </c>
      <c r="BS21" s="113">
        <f t="shared" si="1"/>
        <v>45365</v>
      </c>
      <c r="BT21" s="113">
        <f t="shared" si="1"/>
        <v>45397</v>
      </c>
      <c r="BU21" s="113">
        <f t="shared" si="1"/>
        <v>45427</v>
      </c>
      <c r="BV21" s="113">
        <f t="shared" si="1"/>
        <v>45456</v>
      </c>
      <c r="BW21" s="113">
        <f t="shared" si="1"/>
        <v>45488</v>
      </c>
      <c r="BX21" s="113">
        <f t="shared" si="1"/>
        <v>45519</v>
      </c>
      <c r="BY21" s="113">
        <f t="shared" si="1"/>
        <v>45550</v>
      </c>
      <c r="BZ21" s="113">
        <f t="shared" si="1"/>
        <v>45580</v>
      </c>
      <c r="CA21" s="113">
        <f t="shared" si="1"/>
        <v>45610</v>
      </c>
      <c r="CB21" s="113">
        <f t="shared" si="1"/>
        <v>45641</v>
      </c>
      <c r="CC21" s="113">
        <f t="shared" si="1"/>
        <v>45672</v>
      </c>
      <c r="CD21" s="113">
        <f t="shared" si="1"/>
        <v>45701</v>
      </c>
      <c r="CE21" s="113">
        <f t="shared" si="1"/>
        <v>45729</v>
      </c>
      <c r="CF21" s="113">
        <f t="shared" si="1"/>
        <v>45762</v>
      </c>
      <c r="CG21" s="113">
        <f t="shared" si="1"/>
        <v>45792</v>
      </c>
      <c r="CH21" s="113">
        <f t="shared" si="1"/>
        <v>45823</v>
      </c>
      <c r="CI21" s="113">
        <f t="shared" si="1"/>
        <v>45853</v>
      </c>
      <c r="CJ21" s="113">
        <f t="shared" si="1"/>
        <v>45883</v>
      </c>
      <c r="CK21" s="113">
        <f t="shared" si="1"/>
        <v>45915</v>
      </c>
      <c r="CL21" s="113">
        <f t="shared" si="1"/>
        <v>45945</v>
      </c>
      <c r="CM21" s="113">
        <f t="shared" si="1"/>
        <v>45974</v>
      </c>
      <c r="CN21" s="113">
        <f t="shared" si="1"/>
        <v>46006</v>
      </c>
      <c r="CO21" s="113">
        <f t="shared" si="1"/>
        <v>46037</v>
      </c>
      <c r="CP21" s="113">
        <f t="shared" si="1"/>
        <v>46068</v>
      </c>
      <c r="CQ21" s="113">
        <f t="shared" si="1"/>
        <v>46096</v>
      </c>
      <c r="CR21" s="113">
        <f t="shared" si="1"/>
        <v>46127</v>
      </c>
      <c r="CS21" s="113">
        <f t="shared" si="1"/>
        <v>46156</v>
      </c>
      <c r="CT21" s="113">
        <f t="shared" si="1"/>
        <v>46188</v>
      </c>
      <c r="CU21" s="113">
        <f t="shared" si="1"/>
        <v>46218</v>
      </c>
      <c r="CV21" s="113">
        <f t="shared" si="1"/>
        <v>46247</v>
      </c>
      <c r="CW21" s="113">
        <f t="shared" si="1"/>
        <v>46280</v>
      </c>
      <c r="CX21" s="113">
        <f t="shared" si="1"/>
        <v>46310</v>
      </c>
      <c r="CY21" s="113">
        <f t="shared" si="1"/>
        <v>46341</v>
      </c>
      <c r="CZ21" s="113">
        <f t="shared" si="1"/>
        <v>46371</v>
      </c>
      <c r="DA21" s="113">
        <f t="shared" si="1"/>
        <v>46401</v>
      </c>
      <c r="DB21" s="113">
        <f t="shared" si="1"/>
        <v>46433</v>
      </c>
      <c r="DC21" s="113">
        <f t="shared" si="1"/>
        <v>46461</v>
      </c>
      <c r="DD21" s="113">
        <f t="shared" si="1"/>
        <v>46492</v>
      </c>
      <c r="DE21" s="113">
        <f t="shared" si="1"/>
        <v>46520</v>
      </c>
      <c r="DF21" s="113">
        <f t="shared" si="1"/>
        <v>46553</v>
      </c>
      <c r="DG21" s="113">
        <f t="shared" si="1"/>
        <v>46583</v>
      </c>
      <c r="DH21" s="113">
        <f t="shared" si="1"/>
        <v>46614</v>
      </c>
      <c r="DI21" s="113">
        <f t="shared" si="1"/>
        <v>46645</v>
      </c>
      <c r="DJ21" s="113">
        <f t="shared" si="1"/>
        <v>46674</v>
      </c>
      <c r="DK21" s="113">
        <f t="shared" si="1"/>
        <v>46706</v>
      </c>
      <c r="DL21" s="113">
        <f t="shared" si="1"/>
        <v>46736</v>
      </c>
      <c r="DM21" s="113">
        <f t="shared" si="1"/>
        <v>46765</v>
      </c>
      <c r="DN21" s="113">
        <f t="shared" si="1"/>
        <v>46798</v>
      </c>
      <c r="DO21" s="113">
        <f t="shared" si="1"/>
        <v>46827</v>
      </c>
      <c r="DP21" s="113">
        <f t="shared" si="1"/>
        <v>46856</v>
      </c>
      <c r="DQ21" s="113">
        <f t="shared" si="1"/>
        <v>46888</v>
      </c>
    </row>
    <row r="22" spans="1:228" ht="13.5" customHeight="1" thickBot="1" x14ac:dyDescent="0.25">
      <c r="A22" s="114" t="s">
        <v>62</v>
      </c>
      <c r="B22" s="115">
        <v>8.2500000000000004E-2</v>
      </c>
      <c r="C22" s="115">
        <v>9.5000000000000001E-2</v>
      </c>
      <c r="D22" s="115">
        <v>9.5000000000000001E-2</v>
      </c>
      <c r="E22" s="115">
        <v>9.5000000000000001E-2</v>
      </c>
      <c r="F22" s="115">
        <v>9.5000000000000001E-2</v>
      </c>
      <c r="G22" s="115">
        <v>9.5000000000000001E-2</v>
      </c>
      <c r="H22" s="115">
        <v>9.5000000000000001E-2</v>
      </c>
      <c r="I22" s="115">
        <v>9.5000000000000001E-2</v>
      </c>
      <c r="J22" s="115">
        <v>9.5000000000000001E-2</v>
      </c>
      <c r="K22" s="115">
        <v>9.5000000000000001E-2</v>
      </c>
      <c r="L22" s="115">
        <v>9.5000000000000001E-2</v>
      </c>
      <c r="M22" s="115">
        <v>9.5000000000000001E-2</v>
      </c>
      <c r="N22" s="115">
        <v>9.5000000000000001E-2</v>
      </c>
      <c r="O22" s="115">
        <v>9.5000000000000001E-2</v>
      </c>
      <c r="P22" s="115">
        <v>9.5000000000000001E-2</v>
      </c>
      <c r="Q22" s="115">
        <v>9.5000000000000001E-2</v>
      </c>
      <c r="R22" s="115">
        <v>9.5000000000000001E-2</v>
      </c>
      <c r="S22" s="115">
        <v>9.5000000000000001E-2</v>
      </c>
      <c r="T22" s="115">
        <v>9.5000000000000001E-2</v>
      </c>
      <c r="U22" s="115">
        <v>9.5000000000000001E-2</v>
      </c>
      <c r="V22" s="115">
        <v>9.5000000000000001E-2</v>
      </c>
      <c r="W22" s="115">
        <v>9.5000000000000001E-2</v>
      </c>
      <c r="X22" s="115">
        <v>9.5000000000000001E-2</v>
      </c>
      <c r="Y22" s="115">
        <v>9.5000000000000001E-2</v>
      </c>
      <c r="Z22" s="115">
        <v>9.5000000000000001E-2</v>
      </c>
      <c r="AA22" s="115">
        <v>9.5000000000000001E-2</v>
      </c>
      <c r="AB22" s="115">
        <v>9.5000000000000001E-2</v>
      </c>
      <c r="AC22" s="115">
        <v>9.5000000000000001E-2</v>
      </c>
      <c r="AD22" s="115">
        <v>9.5000000000000001E-2</v>
      </c>
      <c r="AE22" s="115">
        <v>9.5000000000000001E-2</v>
      </c>
      <c r="AF22" s="115">
        <v>9.5000000000000001E-2</v>
      </c>
      <c r="AG22" s="115">
        <v>9.5000000000000001E-2</v>
      </c>
      <c r="AH22" s="115">
        <v>9.5000000000000001E-2</v>
      </c>
      <c r="AI22" s="115">
        <v>9.5000000000000001E-2</v>
      </c>
      <c r="AJ22" s="115">
        <v>9.5000000000000001E-2</v>
      </c>
      <c r="AK22" s="115">
        <v>9.5000000000000001E-2</v>
      </c>
      <c r="AL22" s="115">
        <v>9.5000000000000001E-2</v>
      </c>
      <c r="AM22" s="115">
        <v>9.5000000000000001E-2</v>
      </c>
      <c r="AN22" s="115">
        <v>9.5000000000000001E-2</v>
      </c>
      <c r="AO22" s="115">
        <v>9.5000000000000001E-2</v>
      </c>
      <c r="AP22" s="115">
        <v>9.5000000000000001E-2</v>
      </c>
      <c r="AQ22" s="115">
        <v>9.5000000000000001E-2</v>
      </c>
      <c r="AR22" s="115">
        <v>9.5000000000000001E-2</v>
      </c>
      <c r="AS22" s="115">
        <v>9.5000000000000001E-2</v>
      </c>
      <c r="AT22" s="115">
        <v>9.5000000000000001E-2</v>
      </c>
      <c r="AU22" s="115">
        <v>9.5000000000000001E-2</v>
      </c>
      <c r="AV22" s="115">
        <v>9.5000000000000001E-2</v>
      </c>
      <c r="AW22" s="115">
        <v>9.5000000000000001E-2</v>
      </c>
      <c r="AX22" s="115">
        <v>9.5000000000000001E-2</v>
      </c>
      <c r="AY22" s="115">
        <v>9.5000000000000001E-2</v>
      </c>
      <c r="AZ22" s="115">
        <v>9.5000000000000001E-2</v>
      </c>
      <c r="BA22" s="115">
        <v>9.5000000000000001E-2</v>
      </c>
      <c r="BB22" s="115">
        <v>9.5000000000000001E-2</v>
      </c>
      <c r="BC22" s="115">
        <v>9.5000000000000001E-2</v>
      </c>
      <c r="BD22" s="115">
        <v>9.5000000000000001E-2</v>
      </c>
      <c r="BE22" s="115">
        <v>9.5000000000000001E-2</v>
      </c>
      <c r="BF22" s="115">
        <v>9.5000000000000001E-2</v>
      </c>
      <c r="BG22" s="115">
        <v>9.5000000000000001E-2</v>
      </c>
      <c r="BH22" s="115">
        <v>9.5000000000000001E-2</v>
      </c>
      <c r="BI22" s="115">
        <v>9.5000000000000001E-2</v>
      </c>
      <c r="BJ22" s="115">
        <v>9.5000000000000001E-2</v>
      </c>
      <c r="BK22" s="115">
        <v>9.5000000000000001E-2</v>
      </c>
      <c r="BL22" s="115">
        <v>9.5000000000000001E-2</v>
      </c>
      <c r="BM22" s="115">
        <v>9.5000000000000001E-2</v>
      </c>
      <c r="BN22" s="115">
        <v>9.5000000000000001E-2</v>
      </c>
      <c r="BO22" s="115">
        <v>9.5000000000000001E-2</v>
      </c>
      <c r="BP22" s="115">
        <v>9.5000000000000001E-2</v>
      </c>
      <c r="BQ22" s="115">
        <v>9.5000000000000001E-2</v>
      </c>
      <c r="BR22" s="115">
        <v>9.5000000000000001E-2</v>
      </c>
      <c r="BS22" s="115">
        <v>9.5000000000000001E-2</v>
      </c>
      <c r="BT22" s="115">
        <v>9.5000000000000001E-2</v>
      </c>
      <c r="BU22" s="115">
        <v>9.5000000000000001E-2</v>
      </c>
      <c r="BV22" s="115">
        <v>9.5000000000000001E-2</v>
      </c>
      <c r="BW22" s="115">
        <v>9.5000000000000001E-2</v>
      </c>
      <c r="BX22" s="115">
        <v>9.5000000000000001E-2</v>
      </c>
      <c r="BY22" s="115">
        <v>9.5000000000000001E-2</v>
      </c>
      <c r="BZ22" s="115">
        <v>9.5000000000000001E-2</v>
      </c>
      <c r="CA22" s="115">
        <v>9.5000000000000001E-2</v>
      </c>
      <c r="CB22" s="115">
        <v>9.5000000000000001E-2</v>
      </c>
      <c r="CC22" s="115">
        <v>9.5000000000000001E-2</v>
      </c>
      <c r="CD22" s="115">
        <v>9.5000000000000001E-2</v>
      </c>
      <c r="CE22" s="115">
        <v>9.5000000000000001E-2</v>
      </c>
      <c r="CF22" s="115">
        <v>9.5000000000000001E-2</v>
      </c>
      <c r="CG22" s="115">
        <v>9.5000000000000001E-2</v>
      </c>
      <c r="CH22" s="115">
        <v>9.5000000000000001E-2</v>
      </c>
      <c r="CI22" s="115">
        <v>9.5000000000000001E-2</v>
      </c>
      <c r="CJ22" s="115">
        <v>9.5000000000000001E-2</v>
      </c>
      <c r="CK22" s="115">
        <v>9.5000000000000001E-2</v>
      </c>
      <c r="CL22" s="115">
        <v>9.5000000000000001E-2</v>
      </c>
      <c r="CM22" s="115">
        <v>9.5000000000000001E-2</v>
      </c>
      <c r="CN22" s="115">
        <v>9.5000000000000001E-2</v>
      </c>
      <c r="CO22" s="115">
        <v>9.5000000000000001E-2</v>
      </c>
      <c r="CP22" s="115">
        <v>9.5000000000000001E-2</v>
      </c>
      <c r="CQ22" s="115">
        <v>9.5000000000000001E-2</v>
      </c>
      <c r="CR22" s="115">
        <v>9.5000000000000001E-2</v>
      </c>
      <c r="CS22" s="115">
        <v>9.5000000000000001E-2</v>
      </c>
      <c r="CT22" s="115">
        <v>9.5000000000000001E-2</v>
      </c>
      <c r="CU22" s="115">
        <v>9.5000000000000001E-2</v>
      </c>
      <c r="CV22" s="115">
        <v>9.5000000000000001E-2</v>
      </c>
      <c r="CW22" s="115">
        <v>9.5000000000000001E-2</v>
      </c>
      <c r="CX22" s="115">
        <v>9.5000000000000001E-2</v>
      </c>
      <c r="CY22" s="115">
        <v>9.5000000000000001E-2</v>
      </c>
      <c r="CZ22" s="115">
        <v>9.5000000000000001E-2</v>
      </c>
      <c r="DA22" s="115">
        <v>9.5000000000000001E-2</v>
      </c>
      <c r="DB22" s="115">
        <v>9.5000000000000001E-2</v>
      </c>
      <c r="DC22" s="115">
        <v>9.5000000000000001E-2</v>
      </c>
      <c r="DD22" s="115">
        <v>9.5000000000000001E-2</v>
      </c>
      <c r="DE22" s="115">
        <v>9.5000000000000001E-2</v>
      </c>
      <c r="DF22" s="115">
        <v>9.5000000000000001E-2</v>
      </c>
      <c r="DG22" s="115">
        <v>9.5000000000000001E-2</v>
      </c>
      <c r="DH22" s="115">
        <v>9.5000000000000001E-2</v>
      </c>
      <c r="DI22" s="115">
        <v>9.5000000000000001E-2</v>
      </c>
      <c r="DJ22" s="115">
        <v>9.5000000000000001E-2</v>
      </c>
      <c r="DK22" s="115">
        <v>9.5000000000000001E-2</v>
      </c>
      <c r="DL22" s="115">
        <v>9.5000000000000001E-2</v>
      </c>
      <c r="DM22" s="115">
        <v>9.5000000000000001E-2</v>
      </c>
      <c r="DN22" s="115">
        <v>9.5000000000000001E-2</v>
      </c>
      <c r="DO22" s="115">
        <v>9.5000000000000001E-2</v>
      </c>
      <c r="DP22" s="115">
        <v>9.5000000000000001E-2</v>
      </c>
      <c r="DQ22" s="115">
        <v>9.5000000000000001E-2</v>
      </c>
    </row>
    <row r="23" spans="1:228" ht="13.5" customHeight="1" x14ac:dyDescent="0.2">
      <c r="A23" s="12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</row>
    <row r="24" spans="1:228" x14ac:dyDescent="0.2">
      <c r="B24" s="54"/>
      <c r="C24" s="4"/>
      <c r="D24" s="4"/>
      <c r="E24" s="4"/>
      <c r="F24" s="1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8" x14ac:dyDescent="0.2">
      <c r="A25" s="12" t="s">
        <v>46</v>
      </c>
      <c r="B25" s="146" t="s">
        <v>69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8"/>
    </row>
    <row r="26" spans="1:228" x14ac:dyDescent="0.2">
      <c r="A26" s="14" t="s">
        <v>10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>
        <v>1</v>
      </c>
      <c r="AA26" s="15">
        <f>Z26+1</f>
        <v>2</v>
      </c>
      <c r="AB26" s="15">
        <f t="shared" ref="AB26:CM26" si="2">AA26+1</f>
        <v>3</v>
      </c>
      <c r="AC26" s="15">
        <f t="shared" si="2"/>
        <v>4</v>
      </c>
      <c r="AD26" s="15">
        <f t="shared" si="2"/>
        <v>5</v>
      </c>
      <c r="AE26" s="15">
        <f t="shared" si="2"/>
        <v>6</v>
      </c>
      <c r="AF26" s="15">
        <f t="shared" si="2"/>
        <v>7</v>
      </c>
      <c r="AG26" s="15">
        <f t="shared" si="2"/>
        <v>8</v>
      </c>
      <c r="AH26" s="15">
        <f t="shared" si="2"/>
        <v>9</v>
      </c>
      <c r="AI26" s="15">
        <f t="shared" si="2"/>
        <v>10</v>
      </c>
      <c r="AJ26" s="15">
        <f t="shared" si="2"/>
        <v>11</v>
      </c>
      <c r="AK26" s="15">
        <f t="shared" si="2"/>
        <v>12</v>
      </c>
      <c r="AL26" s="15">
        <f t="shared" si="2"/>
        <v>13</v>
      </c>
      <c r="AM26" s="15">
        <f t="shared" si="2"/>
        <v>14</v>
      </c>
      <c r="AN26" s="15">
        <f t="shared" si="2"/>
        <v>15</v>
      </c>
      <c r="AO26" s="15">
        <f t="shared" si="2"/>
        <v>16</v>
      </c>
      <c r="AP26" s="15">
        <f t="shared" si="2"/>
        <v>17</v>
      </c>
      <c r="AQ26" s="15">
        <f t="shared" si="2"/>
        <v>18</v>
      </c>
      <c r="AR26" s="15">
        <f t="shared" si="2"/>
        <v>19</v>
      </c>
      <c r="AS26" s="15">
        <f t="shared" si="2"/>
        <v>20</v>
      </c>
      <c r="AT26" s="15">
        <f t="shared" si="2"/>
        <v>21</v>
      </c>
      <c r="AU26" s="15">
        <f t="shared" si="2"/>
        <v>22</v>
      </c>
      <c r="AV26" s="15">
        <f t="shared" si="2"/>
        <v>23</v>
      </c>
      <c r="AW26" s="15">
        <f t="shared" si="2"/>
        <v>24</v>
      </c>
      <c r="AX26" s="15">
        <f t="shared" si="2"/>
        <v>25</v>
      </c>
      <c r="AY26" s="15">
        <f t="shared" si="2"/>
        <v>26</v>
      </c>
      <c r="AZ26" s="15">
        <f t="shared" si="2"/>
        <v>27</v>
      </c>
      <c r="BA26" s="15">
        <f t="shared" si="2"/>
        <v>28</v>
      </c>
      <c r="BB26" s="15">
        <f t="shared" si="2"/>
        <v>29</v>
      </c>
      <c r="BC26" s="15">
        <f t="shared" si="2"/>
        <v>30</v>
      </c>
      <c r="BD26" s="15">
        <f t="shared" si="2"/>
        <v>31</v>
      </c>
      <c r="BE26" s="15">
        <f t="shared" si="2"/>
        <v>32</v>
      </c>
      <c r="BF26" s="15">
        <f t="shared" si="2"/>
        <v>33</v>
      </c>
      <c r="BG26" s="15">
        <f t="shared" si="2"/>
        <v>34</v>
      </c>
      <c r="BH26" s="15">
        <f t="shared" si="2"/>
        <v>35</v>
      </c>
      <c r="BI26" s="15">
        <f t="shared" si="2"/>
        <v>36</v>
      </c>
      <c r="BJ26" s="15">
        <f t="shared" si="2"/>
        <v>37</v>
      </c>
      <c r="BK26" s="15">
        <f t="shared" si="2"/>
        <v>38</v>
      </c>
      <c r="BL26" s="15">
        <f t="shared" si="2"/>
        <v>39</v>
      </c>
      <c r="BM26" s="15">
        <f t="shared" si="2"/>
        <v>40</v>
      </c>
      <c r="BN26" s="15">
        <f t="shared" si="2"/>
        <v>41</v>
      </c>
      <c r="BO26" s="15">
        <f t="shared" si="2"/>
        <v>42</v>
      </c>
      <c r="BP26" s="15">
        <f t="shared" si="2"/>
        <v>43</v>
      </c>
      <c r="BQ26" s="15">
        <f t="shared" si="2"/>
        <v>44</v>
      </c>
      <c r="BR26" s="15">
        <f t="shared" si="2"/>
        <v>45</v>
      </c>
      <c r="BS26" s="15">
        <f t="shared" si="2"/>
        <v>46</v>
      </c>
      <c r="BT26" s="15">
        <f t="shared" si="2"/>
        <v>47</v>
      </c>
      <c r="BU26" s="15">
        <f t="shared" si="2"/>
        <v>48</v>
      </c>
      <c r="BV26" s="15">
        <f t="shared" si="2"/>
        <v>49</v>
      </c>
      <c r="BW26" s="15">
        <f t="shared" si="2"/>
        <v>50</v>
      </c>
      <c r="BX26" s="15">
        <f t="shared" si="2"/>
        <v>51</v>
      </c>
      <c r="BY26" s="15">
        <f t="shared" si="2"/>
        <v>52</v>
      </c>
      <c r="BZ26" s="15">
        <f t="shared" si="2"/>
        <v>53</v>
      </c>
      <c r="CA26" s="15">
        <f t="shared" si="2"/>
        <v>54</v>
      </c>
      <c r="CB26" s="15">
        <f t="shared" si="2"/>
        <v>55</v>
      </c>
      <c r="CC26" s="15">
        <f t="shared" si="2"/>
        <v>56</v>
      </c>
      <c r="CD26" s="15">
        <f t="shared" si="2"/>
        <v>57</v>
      </c>
      <c r="CE26" s="15">
        <f t="shared" si="2"/>
        <v>58</v>
      </c>
      <c r="CF26" s="15">
        <f t="shared" si="2"/>
        <v>59</v>
      </c>
      <c r="CG26" s="15">
        <f t="shared" si="2"/>
        <v>60</v>
      </c>
      <c r="CH26" s="15">
        <f t="shared" si="2"/>
        <v>61</v>
      </c>
      <c r="CI26" s="15">
        <f t="shared" si="2"/>
        <v>62</v>
      </c>
      <c r="CJ26" s="15">
        <f t="shared" si="2"/>
        <v>63</v>
      </c>
      <c r="CK26" s="15">
        <f t="shared" si="2"/>
        <v>64</v>
      </c>
      <c r="CL26" s="15">
        <f t="shared" si="2"/>
        <v>65</v>
      </c>
      <c r="CM26" s="15">
        <f t="shared" si="2"/>
        <v>66</v>
      </c>
      <c r="CN26" s="15">
        <f t="shared" ref="CN26:DQ26" si="3">CM26+1</f>
        <v>67</v>
      </c>
      <c r="CO26" s="15">
        <f t="shared" si="3"/>
        <v>68</v>
      </c>
      <c r="CP26" s="15">
        <f t="shared" si="3"/>
        <v>69</v>
      </c>
      <c r="CQ26" s="15">
        <f t="shared" si="3"/>
        <v>70</v>
      </c>
      <c r="CR26" s="15">
        <f t="shared" si="3"/>
        <v>71</v>
      </c>
      <c r="CS26" s="15">
        <f t="shared" si="3"/>
        <v>72</v>
      </c>
      <c r="CT26" s="15">
        <f t="shared" si="3"/>
        <v>73</v>
      </c>
      <c r="CU26" s="15">
        <f t="shared" si="3"/>
        <v>74</v>
      </c>
      <c r="CV26" s="15">
        <f t="shared" si="3"/>
        <v>75</v>
      </c>
      <c r="CW26" s="15">
        <f t="shared" si="3"/>
        <v>76</v>
      </c>
      <c r="CX26" s="15">
        <f t="shared" si="3"/>
        <v>77</v>
      </c>
      <c r="CY26" s="15">
        <f t="shared" si="3"/>
        <v>78</v>
      </c>
      <c r="CZ26" s="15">
        <f t="shared" si="3"/>
        <v>79</v>
      </c>
      <c r="DA26" s="15">
        <f t="shared" si="3"/>
        <v>80</v>
      </c>
      <c r="DB26" s="15">
        <f t="shared" si="3"/>
        <v>81</v>
      </c>
      <c r="DC26" s="15">
        <f t="shared" si="3"/>
        <v>82</v>
      </c>
      <c r="DD26" s="15">
        <f t="shared" si="3"/>
        <v>83</v>
      </c>
      <c r="DE26" s="15">
        <f t="shared" si="3"/>
        <v>84</v>
      </c>
      <c r="DF26" s="15">
        <f t="shared" si="3"/>
        <v>85</v>
      </c>
      <c r="DG26" s="15">
        <f t="shared" si="3"/>
        <v>86</v>
      </c>
      <c r="DH26" s="15">
        <f t="shared" si="3"/>
        <v>87</v>
      </c>
      <c r="DI26" s="15">
        <f t="shared" si="3"/>
        <v>88</v>
      </c>
      <c r="DJ26" s="15">
        <f t="shared" si="3"/>
        <v>89</v>
      </c>
      <c r="DK26" s="15">
        <f t="shared" si="3"/>
        <v>90</v>
      </c>
      <c r="DL26" s="15">
        <f t="shared" si="3"/>
        <v>91</v>
      </c>
      <c r="DM26" s="15">
        <f t="shared" si="3"/>
        <v>92</v>
      </c>
      <c r="DN26" s="15">
        <f t="shared" si="3"/>
        <v>93</v>
      </c>
      <c r="DO26" s="15">
        <f t="shared" si="3"/>
        <v>94</v>
      </c>
      <c r="DP26" s="15">
        <f t="shared" si="3"/>
        <v>95</v>
      </c>
      <c r="DQ26" s="15">
        <f t="shared" si="3"/>
        <v>96</v>
      </c>
    </row>
    <row r="27" spans="1:228" x14ac:dyDescent="0.2">
      <c r="A27" s="14" t="s">
        <v>11</v>
      </c>
      <c r="B27" s="113">
        <v>43266</v>
      </c>
      <c r="C27" s="113">
        <v>43296</v>
      </c>
      <c r="D27" s="113">
        <v>43327</v>
      </c>
      <c r="E27" s="113">
        <v>43358</v>
      </c>
      <c r="F27" s="113">
        <v>43388</v>
      </c>
      <c r="G27" s="113">
        <v>43419</v>
      </c>
      <c r="H27" s="113">
        <v>43449</v>
      </c>
      <c r="I27" s="113">
        <v>43480</v>
      </c>
      <c r="J27" s="113">
        <v>43511</v>
      </c>
      <c r="K27" s="113">
        <v>43539</v>
      </c>
      <c r="L27" s="113">
        <v>43570</v>
      </c>
      <c r="M27" s="113">
        <v>43605</v>
      </c>
      <c r="N27" s="113">
        <v>43631</v>
      </c>
      <c r="O27" s="113">
        <v>43661</v>
      </c>
      <c r="P27" s="113">
        <v>43692</v>
      </c>
      <c r="Q27" s="113">
        <v>43723</v>
      </c>
      <c r="R27" s="113">
        <v>43753</v>
      </c>
      <c r="S27" s="113">
        <v>43784</v>
      </c>
      <c r="T27" s="113">
        <v>43814</v>
      </c>
      <c r="U27" s="113">
        <v>43845</v>
      </c>
      <c r="V27" s="113">
        <v>43876</v>
      </c>
      <c r="W27" s="113">
        <v>43905</v>
      </c>
      <c r="X27" s="113">
        <v>43936</v>
      </c>
      <c r="Y27" s="113">
        <v>43971</v>
      </c>
      <c r="Z27" s="113">
        <v>43997</v>
      </c>
      <c r="AA27" s="113">
        <v>44027</v>
      </c>
      <c r="AB27" s="113">
        <v>44056</v>
      </c>
      <c r="AC27" s="113">
        <v>44089</v>
      </c>
      <c r="AD27" s="113">
        <v>44119</v>
      </c>
      <c r="AE27" s="113">
        <v>44150</v>
      </c>
      <c r="AF27" s="113">
        <v>44180</v>
      </c>
      <c r="AG27" s="113">
        <v>44210</v>
      </c>
      <c r="AH27" s="113">
        <v>44242</v>
      </c>
      <c r="AI27" s="113">
        <v>44270</v>
      </c>
      <c r="AJ27" s="113">
        <v>44301</v>
      </c>
      <c r="AK27" s="113">
        <v>44329</v>
      </c>
      <c r="AL27" s="113">
        <v>44362</v>
      </c>
      <c r="AM27" s="113">
        <v>44392</v>
      </c>
      <c r="AN27" s="113">
        <v>44423</v>
      </c>
      <c r="AO27" s="113">
        <v>44454</v>
      </c>
      <c r="AP27" s="113">
        <v>44483</v>
      </c>
      <c r="AQ27" s="113">
        <v>44515</v>
      </c>
      <c r="AR27" s="113">
        <v>44545</v>
      </c>
      <c r="AS27" s="113">
        <v>44574</v>
      </c>
      <c r="AT27" s="113">
        <v>44607</v>
      </c>
      <c r="AU27" s="113">
        <v>44635</v>
      </c>
      <c r="AV27" s="113">
        <v>44665</v>
      </c>
      <c r="AW27" s="113">
        <v>44696</v>
      </c>
      <c r="AX27" s="113">
        <v>44727</v>
      </c>
      <c r="AY27" s="113">
        <v>44756</v>
      </c>
      <c r="AZ27" s="113">
        <v>44788</v>
      </c>
      <c r="BA27" s="113">
        <v>44819</v>
      </c>
      <c r="BB27" s="113">
        <v>44847</v>
      </c>
      <c r="BC27" s="113">
        <v>44880</v>
      </c>
      <c r="BD27" s="113">
        <v>44910</v>
      </c>
      <c r="BE27" s="113">
        <v>44941</v>
      </c>
      <c r="BF27" s="113">
        <v>44972</v>
      </c>
      <c r="BG27" s="113">
        <v>45000</v>
      </c>
      <c r="BH27" s="113">
        <v>45029</v>
      </c>
      <c r="BI27" s="113">
        <v>45061</v>
      </c>
      <c r="BJ27" s="113">
        <v>45092</v>
      </c>
      <c r="BK27" s="113">
        <v>45120</v>
      </c>
      <c r="BL27" s="113">
        <v>45153</v>
      </c>
      <c r="BM27" s="113">
        <v>45183</v>
      </c>
      <c r="BN27" s="113">
        <v>45214</v>
      </c>
      <c r="BO27" s="113">
        <v>45245</v>
      </c>
      <c r="BP27" s="113">
        <v>45274</v>
      </c>
      <c r="BQ27" s="113">
        <v>45306</v>
      </c>
      <c r="BR27" s="113">
        <v>45337</v>
      </c>
      <c r="BS27" s="113">
        <v>45365</v>
      </c>
      <c r="BT27" s="113">
        <v>45397</v>
      </c>
      <c r="BU27" s="113">
        <v>45427</v>
      </c>
      <c r="BV27" s="113">
        <v>45456</v>
      </c>
      <c r="BW27" s="113">
        <v>45488</v>
      </c>
      <c r="BX27" s="113">
        <v>45519</v>
      </c>
      <c r="BY27" s="113">
        <v>45550</v>
      </c>
      <c r="BZ27" s="113">
        <v>45580</v>
      </c>
      <c r="CA27" s="113">
        <v>45610</v>
      </c>
      <c r="CB27" s="113">
        <v>45641</v>
      </c>
      <c r="CC27" s="113">
        <v>45672</v>
      </c>
      <c r="CD27" s="113">
        <v>45701</v>
      </c>
      <c r="CE27" s="113">
        <v>45729</v>
      </c>
      <c r="CF27" s="113">
        <v>45762</v>
      </c>
      <c r="CG27" s="113">
        <v>45792</v>
      </c>
      <c r="CH27" s="113">
        <v>45823</v>
      </c>
      <c r="CI27" s="113">
        <v>45853</v>
      </c>
      <c r="CJ27" s="113">
        <v>45883</v>
      </c>
      <c r="CK27" s="113">
        <v>45915</v>
      </c>
      <c r="CL27" s="113">
        <v>45945</v>
      </c>
      <c r="CM27" s="113">
        <v>45974</v>
      </c>
      <c r="CN27" s="113">
        <v>46006</v>
      </c>
      <c r="CO27" s="113">
        <v>46037</v>
      </c>
      <c r="CP27" s="113">
        <v>46068</v>
      </c>
      <c r="CQ27" s="113">
        <v>46096</v>
      </c>
      <c r="CR27" s="113">
        <v>46127</v>
      </c>
      <c r="CS27" s="113">
        <v>46156</v>
      </c>
      <c r="CT27" s="113">
        <v>46188</v>
      </c>
      <c r="CU27" s="113">
        <v>46218</v>
      </c>
      <c r="CV27" s="113">
        <v>46247</v>
      </c>
      <c r="CW27" s="113">
        <v>46280</v>
      </c>
      <c r="CX27" s="113">
        <v>46310</v>
      </c>
      <c r="CY27" s="113">
        <v>46341</v>
      </c>
      <c r="CZ27" s="113">
        <v>46371</v>
      </c>
      <c r="DA27" s="113">
        <v>46401</v>
      </c>
      <c r="DB27" s="113">
        <v>46433</v>
      </c>
      <c r="DC27" s="113">
        <v>46461</v>
      </c>
      <c r="DD27" s="113">
        <v>46492</v>
      </c>
      <c r="DE27" s="113">
        <v>46520</v>
      </c>
      <c r="DF27" s="113">
        <v>46553</v>
      </c>
      <c r="DG27" s="113">
        <v>46583</v>
      </c>
      <c r="DH27" s="113">
        <v>46614</v>
      </c>
      <c r="DI27" s="113">
        <v>46645</v>
      </c>
      <c r="DJ27" s="113">
        <v>46674</v>
      </c>
      <c r="DK27" s="113">
        <v>46706</v>
      </c>
      <c r="DL27" s="113">
        <v>46736</v>
      </c>
      <c r="DM27" s="113">
        <v>46765</v>
      </c>
      <c r="DN27" s="113">
        <v>46798</v>
      </c>
      <c r="DO27" s="113">
        <v>46827</v>
      </c>
      <c r="DP27" s="113">
        <v>46856</v>
      </c>
      <c r="DQ27" s="113">
        <v>46888</v>
      </c>
    </row>
    <row r="28" spans="1:228" x14ac:dyDescent="0.2">
      <c r="A28" s="3" t="s">
        <v>5</v>
      </c>
      <c r="B28" s="9">
        <f>C17</f>
        <v>1500000000</v>
      </c>
      <c r="C28" s="4">
        <f>B34</f>
        <v>1500000000</v>
      </c>
      <c r="D28" s="4">
        <f t="shared" ref="D28:AC28" si="4">C34</f>
        <v>1500000000</v>
      </c>
      <c r="E28" s="4">
        <f>D34</f>
        <v>1500000000</v>
      </c>
      <c r="F28" s="4">
        <f t="shared" si="4"/>
        <v>1500000000</v>
      </c>
      <c r="G28" s="4">
        <f t="shared" si="4"/>
        <v>1500000000</v>
      </c>
      <c r="H28" s="4">
        <f t="shared" si="4"/>
        <v>1500000000</v>
      </c>
      <c r="I28" s="4">
        <f t="shared" si="4"/>
        <v>1500000000</v>
      </c>
      <c r="J28" s="4">
        <f t="shared" si="4"/>
        <v>1500000000</v>
      </c>
      <c r="K28" s="4">
        <f t="shared" si="4"/>
        <v>1500000000</v>
      </c>
      <c r="L28" s="4">
        <f>K34</f>
        <v>1500000000</v>
      </c>
      <c r="M28" s="4">
        <f t="shared" si="4"/>
        <v>1500000000</v>
      </c>
      <c r="N28" s="4">
        <f t="shared" si="4"/>
        <v>1642291666.6666667</v>
      </c>
      <c r="O28" s="4">
        <f>N34+D17</f>
        <v>1842291666.6666667</v>
      </c>
      <c r="P28" s="4">
        <f t="shared" si="4"/>
        <v>1842291666.6666667</v>
      </c>
      <c r="Q28" s="4">
        <f t="shared" si="4"/>
        <v>1842291666.6666667</v>
      </c>
      <c r="R28" s="4">
        <f t="shared" si="4"/>
        <v>1842291666.6666667</v>
      </c>
      <c r="S28" s="4">
        <f>R34+E17</f>
        <v>2142291666.6666667</v>
      </c>
      <c r="T28" s="4">
        <f t="shared" si="4"/>
        <v>2142291666.6666667</v>
      </c>
      <c r="U28" s="4">
        <f t="shared" si="4"/>
        <v>2142291666.6666667</v>
      </c>
      <c r="V28" s="4">
        <f t="shared" si="4"/>
        <v>2142291666.6666667</v>
      </c>
      <c r="W28" s="4">
        <f t="shared" si="4"/>
        <v>2142291666.6666667</v>
      </c>
      <c r="X28" s="4">
        <f t="shared" si="4"/>
        <v>2142291666.6666667</v>
      </c>
      <c r="Y28" s="4">
        <f t="shared" si="4"/>
        <v>2142291666.6666667</v>
      </c>
      <c r="Z28" s="4">
        <f>Y34</f>
        <v>2333658281.25</v>
      </c>
      <c r="AA28" s="4">
        <f t="shared" si="4"/>
        <v>2317336160.2599669</v>
      </c>
      <c r="AB28" s="4">
        <f t="shared" si="4"/>
        <v>2300884822.4787626</v>
      </c>
      <c r="AC28" s="4">
        <f t="shared" si="4"/>
        <v>2284303244.9401236</v>
      </c>
      <c r="AD28" s="4">
        <f t="shared" ref="AD28" si="5">AC34</f>
        <v>2267590396.5793037</v>
      </c>
      <c r="AE28" s="4">
        <f t="shared" ref="AE28" si="6">AD34</f>
        <v>2250745238.1689606</v>
      </c>
      <c r="AF28" s="4">
        <f t="shared" ref="AF28" si="7">AE34</f>
        <v>2233766722.2545357</v>
      </c>
      <c r="AG28" s="4">
        <f t="shared" ref="AG28" si="8">AF34</f>
        <v>2216653793.0891213</v>
      </c>
      <c r="AH28" s="4">
        <f t="shared" ref="AH28" si="9">AG34</f>
        <v>2199405386.5678144</v>
      </c>
      <c r="AI28" s="4">
        <f t="shared" ref="AI28" si="10">AH34</f>
        <v>2182020430.1615472</v>
      </c>
      <c r="AJ28" s="4">
        <f t="shared" ref="AJ28" si="11">AI34</f>
        <v>2164497842.8503971</v>
      </c>
      <c r="AK28" s="4">
        <f t="shared" ref="AK28" si="12">AJ34</f>
        <v>2146836535.0563669</v>
      </c>
      <c r="AL28" s="4">
        <f t="shared" ref="AL28" si="13">AK34</f>
        <v>2129035408.575634</v>
      </c>
      <c r="AM28" s="4">
        <f t="shared" ref="AM28" si="14">AL34</f>
        <v>2111093356.510262</v>
      </c>
      <c r="AN28" s="4">
        <f t="shared" ref="AN28" si="15">AM34</f>
        <v>2093009263.1993723</v>
      </c>
      <c r="AO28" s="4">
        <f t="shared" ref="AO28" si="16">AN34</f>
        <v>2074782004.1497715</v>
      </c>
      <c r="AP28" s="4">
        <f t="shared" ref="AP28" si="17">AO34</f>
        <v>2056410445.966028</v>
      </c>
      <c r="AQ28" s="4">
        <f t="shared" ref="AQ28" si="18">AP34</f>
        <v>2037893446.2799964</v>
      </c>
      <c r="AR28" s="4">
        <f t="shared" ref="AR28" si="19">AQ34</f>
        <v>2019229853.6797838</v>
      </c>
      <c r="AS28" s="4">
        <f t="shared" ref="AS28" si="20">AR34</f>
        <v>2000418507.6381528</v>
      </c>
      <c r="AT28" s="4">
        <f t="shared" ref="AT28" si="21">AS34</f>
        <v>1981458238.4403591</v>
      </c>
      <c r="AU28" s="4">
        <f t="shared" ref="AU28" si="22">AT34</f>
        <v>1962347867.1114161</v>
      </c>
      <c r="AV28" s="4">
        <f t="shared" ref="AV28" si="23">AU34</f>
        <v>1943086205.3427856</v>
      </c>
      <c r="AW28" s="4">
        <f t="shared" ref="AW28" si="24">AV34</f>
        <v>1923672055.4184868</v>
      </c>
      <c r="AX28" s="4">
        <f t="shared" ref="AX28" si="25">AW34</f>
        <v>1904104210.1406207</v>
      </c>
      <c r="AY28" s="4">
        <f t="shared" ref="AY28" si="26">AX34</f>
        <v>1884381452.7543049</v>
      </c>
      <c r="AZ28" s="4">
        <f t="shared" ref="AZ28" si="27">AY34</f>
        <v>1864502556.872014</v>
      </c>
      <c r="BA28" s="4">
        <f t="shared" ref="BA28" si="28">AZ34</f>
        <v>1844466286.3973217</v>
      </c>
      <c r="BB28" s="4">
        <f t="shared" ref="BB28" si="29">BA34</f>
        <v>1824271395.4480379</v>
      </c>
      <c r="BC28" s="4">
        <f t="shared" ref="BC28" si="30">BB34</f>
        <v>1803916628.278739</v>
      </c>
      <c r="BD28" s="4">
        <f t="shared" ref="BD28" si="31">BC34</f>
        <v>1783400719.2026832</v>
      </c>
      <c r="BE28" s="4">
        <f t="shared" ref="BE28" si="32">BD34</f>
        <v>1762722392.5131085</v>
      </c>
      <c r="BF28" s="4">
        <f t="shared" ref="BF28" si="33">BE34</f>
        <v>1741880362.403908</v>
      </c>
      <c r="BG28" s="4">
        <f t="shared" ref="BG28" si="34">BF34</f>
        <v>1720873332.8896763</v>
      </c>
      <c r="BH28" s="4">
        <f t="shared" ref="BH28" si="35">BG34</f>
        <v>1699699997.7251236</v>
      </c>
      <c r="BI28" s="4">
        <f t="shared" ref="BI28" si="36">BH34</f>
        <v>1678359040.3238516</v>
      </c>
      <c r="BJ28" s="4">
        <f t="shared" ref="BJ28" si="37">BI34</f>
        <v>1656849133.6764863</v>
      </c>
      <c r="BK28" s="4">
        <f t="shared" ref="BK28" si="38">BJ34</f>
        <v>1635168940.2681625</v>
      </c>
      <c r="BL28" s="4">
        <f t="shared" ref="BL28" si="39">BK34</f>
        <v>1613317111.9953563</v>
      </c>
      <c r="BM28" s="4">
        <f t="shared" ref="BM28" si="40">BL34</f>
        <v>1591292290.082057</v>
      </c>
      <c r="BN28" s="4">
        <f t="shared" ref="BN28" si="41">BM34</f>
        <v>1569093104.9952774</v>
      </c>
      <c r="BO28" s="4">
        <f t="shared" ref="BO28" si="42">BN34</f>
        <v>1546718176.3598943</v>
      </c>
      <c r="BP28" s="4">
        <f t="shared" ref="BP28" si="43">BO34</f>
        <v>1524166112.8728142</v>
      </c>
      <c r="BQ28" s="4">
        <f t="shared" ref="BQ28" si="44">BP34</f>
        <v>1501435512.2164614</v>
      </c>
      <c r="BR28" s="4">
        <f t="shared" ref="BR28" si="45">BQ34</f>
        <v>1478524960.9715793</v>
      </c>
      <c r="BS28" s="4">
        <f t="shared" ref="BS28" si="46">BR34</f>
        <v>1455433034.5293417</v>
      </c>
      <c r="BT28" s="4">
        <f t="shared" ref="BT28" si="47">BS34</f>
        <v>1432158297.0027697</v>
      </c>
      <c r="BU28" s="4">
        <f t="shared" ref="BU28" si="48">BT34</f>
        <v>1408699301.1374457</v>
      </c>
      <c r="BV28" s="4">
        <f t="shared" ref="BV28" si="49">BU34</f>
        <v>1385054588.2215214</v>
      </c>
      <c r="BW28" s="4">
        <f t="shared" ref="BW28" si="50">BV34</f>
        <v>1361222687.9950125</v>
      </c>
      <c r="BX28" s="4">
        <f t="shared" ref="BX28" si="51">BW34</f>
        <v>1337202118.5583773</v>
      </c>
      <c r="BY28" s="4">
        <f t="shared" ref="BY28" si="52">BX34</f>
        <v>1312991386.2803686</v>
      </c>
      <c r="BZ28" s="4">
        <f t="shared" ref="BZ28" si="53">BY34</f>
        <v>1288588985.7051589</v>
      </c>
      <c r="CA28" s="4">
        <f t="shared" ref="CA28" si="54">BZ34</f>
        <v>1263993399.458729</v>
      </c>
      <c r="CB28" s="4">
        <f t="shared" ref="CB28" si="55">CA34</f>
        <v>1239203098.1545148</v>
      </c>
      <c r="CC28" s="4">
        <f t="shared" ref="CC28" si="56">CB34</f>
        <v>1214216540.2983088</v>
      </c>
      <c r="CD28" s="4">
        <f t="shared" ref="CD28" si="57">CC34</f>
        <v>1189032172.1924078</v>
      </c>
      <c r="CE28" s="4">
        <f t="shared" ref="CE28" si="58">CD34</f>
        <v>1163648427.8390019</v>
      </c>
      <c r="CF28" s="4">
        <f t="shared" ref="CF28" si="59">CE34</f>
        <v>1138063728.8427982</v>
      </c>
      <c r="CG28" s="4">
        <f t="shared" ref="CG28" si="60">CF34</f>
        <v>1112276484.3128746</v>
      </c>
      <c r="CH28" s="4">
        <f t="shared" ref="CH28" si="61">CG34</f>
        <v>1086285090.7637556</v>
      </c>
      <c r="CI28" s="4">
        <f t="shared" ref="CI28" si="62">CH34</f>
        <v>1060087932.0157061</v>
      </c>
      <c r="CJ28" s="4">
        <f t="shared" ref="CJ28" si="63">CI34</f>
        <v>1033683379.0942346</v>
      </c>
      <c r="CK28" s="4">
        <f t="shared" ref="CK28" si="64">CJ34</f>
        <v>1007069790.1288015</v>
      </c>
      <c r="CL28" s="4">
        <f t="shared" ref="CL28" si="65">CK34</f>
        <v>980245510.25072527</v>
      </c>
      <c r="CM28" s="4">
        <f t="shared" ref="CM28" si="66">CL34</f>
        <v>953208871.49028099</v>
      </c>
      <c r="CN28" s="4">
        <f t="shared" ref="CN28" si="67">CM34</f>
        <v>925958192.67298317</v>
      </c>
      <c r="CO28" s="4">
        <f t="shared" ref="CO28" si="68">CN34</f>
        <v>898491779.31504846</v>
      </c>
      <c r="CP28" s="4">
        <f t="shared" ref="CP28" si="69">CO34</f>
        <v>870807923.51803005</v>
      </c>
      <c r="CQ28" s="4">
        <f t="shared" ref="CQ28" si="70">CP34</f>
        <v>842904903.86261857</v>
      </c>
      <c r="CR28" s="4">
        <f t="shared" ref="CR28" si="71">CQ34</f>
        <v>814780985.30160177</v>
      </c>
      <c r="CS28" s="4">
        <f t="shared" ref="CS28" si="72">CR34</f>
        <v>786434419.05197692</v>
      </c>
      <c r="CT28" s="4">
        <f t="shared" ref="CT28" si="73">CS34</f>
        <v>757863442.48620927</v>
      </c>
      <c r="CU28" s="4">
        <f t="shared" ref="CU28" si="74">CT34</f>
        <v>729066279.02262926</v>
      </c>
      <c r="CV28" s="4">
        <f t="shared" ref="CV28" si="75">CU34</f>
        <v>700041138.01496255</v>
      </c>
      <c r="CW28" s="4">
        <f t="shared" ref="CW28" si="76">CV34</f>
        <v>670786214.64098513</v>
      </c>
      <c r="CX28" s="4">
        <f t="shared" ref="CX28" si="77">CW34</f>
        <v>641299689.79029703</v>
      </c>
      <c r="CY28" s="4">
        <f t="shared" ref="CY28" si="78">CX34</f>
        <v>611579729.95120764</v>
      </c>
      <c r="CZ28" s="4">
        <f t="shared" ref="CZ28" si="79">CY34</f>
        <v>581624487.09672546</v>
      </c>
      <c r="DA28" s="4">
        <f t="shared" ref="DA28" si="80">CZ34</f>
        <v>551432098.5696454</v>
      </c>
      <c r="DB28" s="4">
        <f t="shared" ref="DB28" si="81">DA34</f>
        <v>521000686.96672589</v>
      </c>
      <c r="DC28" s="4">
        <f t="shared" ref="DC28" si="82">DB34</f>
        <v>490328360.02194995</v>
      </c>
      <c r="DD28" s="4">
        <f t="shared" ref="DD28" si="83">DC34</f>
        <v>459413210.4888612</v>
      </c>
      <c r="DE28" s="4">
        <f t="shared" ref="DE28" si="84">DD34</f>
        <v>428253316.02196884</v>
      </c>
      <c r="DF28" s="4">
        <f t="shared" ref="DF28" si="85">DE34</f>
        <v>396846739.0572136</v>
      </c>
      <c r="DG28" s="4">
        <f t="shared" ref="DG28" si="86">DF34</f>
        <v>365191526.69148737</v>
      </c>
      <c r="DH28" s="4">
        <f t="shared" ref="DH28" si="87">DG34</f>
        <v>333285710.56119913</v>
      </c>
      <c r="DI28" s="4">
        <f t="shared" ref="DI28" si="88">DH34</f>
        <v>301127306.71987945</v>
      </c>
      <c r="DJ28" s="4">
        <f t="shared" ref="DJ28" si="89">DI34</f>
        <v>268714315.51481599</v>
      </c>
      <c r="DK28" s="4">
        <f t="shared" ref="DK28" si="90">DJ34</f>
        <v>236044721.46271244</v>
      </c>
      <c r="DL28" s="4">
        <f t="shared" ref="DL28" si="91">DK34</f>
        <v>203116493.12436306</v>
      </c>
      <c r="DM28" s="4">
        <f t="shared" ref="DM28" si="92">DL34</f>
        <v>169927582.97833508</v>
      </c>
      <c r="DN28" s="4">
        <f t="shared" ref="DN28" si="93">DM34</f>
        <v>136475927.29365104</v>
      </c>
      <c r="DO28" s="4">
        <f t="shared" ref="DO28" si="94">DN34</f>
        <v>102759446.00146326</v>
      </c>
      <c r="DP28" s="4">
        <f t="shared" ref="DP28" si="95">DO34</f>
        <v>68776042.565712333</v>
      </c>
      <c r="DQ28" s="4">
        <f t="shared" ref="DQ28" si="96">DP34</f>
        <v>34523603.852761701</v>
      </c>
    </row>
    <row r="29" spans="1:228" s="8" customFormat="1" x14ac:dyDescent="0.2">
      <c r="A29" s="8" t="s">
        <v>6</v>
      </c>
      <c r="B29" s="140">
        <f>C18*(B27-C16)*B22/360</f>
        <v>8937500</v>
      </c>
      <c r="C29" s="140">
        <f>C28*(C20-B27)*B22/360+C28*(C27-C20)*C22/360</f>
        <v>11041666.666666668</v>
      </c>
      <c r="D29" s="140">
        <f>D28*(D27-C27)*D22/360</f>
        <v>12270833.333333334</v>
      </c>
      <c r="E29" s="140">
        <f>E28*(E27-D27)*E22/360</f>
        <v>12270833.333333334</v>
      </c>
      <c r="F29" s="140">
        <f>F28*(F27-E27)*F22/360</f>
        <v>11875000</v>
      </c>
      <c r="G29" s="140">
        <f>G28*(G27-F27)*G22/360</f>
        <v>12270833.333333334</v>
      </c>
      <c r="H29" s="140">
        <f t="shared" ref="H29" si="97">H28*(H27-G27)*H22/360</f>
        <v>11875000</v>
      </c>
      <c r="I29" s="140">
        <f t="shared" ref="I29" si="98">I28*(I27-H27)*I22/360</f>
        <v>12270833.333333334</v>
      </c>
      <c r="J29" s="140">
        <f t="shared" ref="J29" si="99">J28*(J27-I27)*J22/360</f>
        <v>12270833.333333334</v>
      </c>
      <c r="K29" s="140">
        <f t="shared" ref="K29" si="100">K28*(K27-J27)*K22/360</f>
        <v>11083333.333333334</v>
      </c>
      <c r="L29" s="140">
        <f t="shared" ref="L29" si="101">L28*(L27-K27)*L22/360</f>
        <v>12270833.333333334</v>
      </c>
      <c r="M29" s="140">
        <f t="shared" ref="M29" si="102">M28*(M27-L27)*M22/360</f>
        <v>13854166.666666666</v>
      </c>
      <c r="N29" s="134">
        <f t="shared" ref="N29" si="103">N28*(N27-M27)*N22/360</f>
        <v>11267945.601851853</v>
      </c>
      <c r="O29" s="134">
        <f>+N34*(D16-N27)*O22/360+O28*(O27-D16)*O22/360</f>
        <v>13793142.361111112</v>
      </c>
      <c r="P29" s="134">
        <f t="shared" ref="P29" si="104">P28*(P27-O27)*P22/360</f>
        <v>15070969.328703705</v>
      </c>
      <c r="Q29" s="134">
        <f t="shared" ref="Q29" si="105">Q28*(Q27-P27)*Q22/360</f>
        <v>15070969.328703705</v>
      </c>
      <c r="R29" s="134">
        <f t="shared" ref="R29" si="106">R28*(R27-Q27)*R22/360</f>
        <v>14584809.027777778</v>
      </c>
      <c r="S29" s="134">
        <f>+R34*(E16-R27)*S22/360+S28*(S27-E16)*S22/360</f>
        <v>15862635.995370369</v>
      </c>
      <c r="T29" s="134">
        <f t="shared" ref="T29" si="107">T28*(T27-S27)*T22/360</f>
        <v>16959809.027777776</v>
      </c>
      <c r="U29" s="134">
        <f t="shared" ref="U29" si="108">U28*(U27-T27)*U22/360</f>
        <v>17525135.995370373</v>
      </c>
      <c r="V29" s="134">
        <f t="shared" ref="V29" si="109">V28*(V27-U27)*V22/360</f>
        <v>17525135.995370373</v>
      </c>
      <c r="W29" s="134">
        <f t="shared" ref="W29" si="110">W28*(W27-V27)*W22/360</f>
        <v>16394482.060185187</v>
      </c>
      <c r="X29" s="134">
        <f t="shared" ref="X29" si="111">X28*(X27-W27)*X22/360</f>
        <v>17525135.995370373</v>
      </c>
      <c r="Y29" s="134">
        <f t="shared" ref="Y29" si="112">Y28*(Y27-X27)*Y22/360</f>
        <v>19786443.865740743</v>
      </c>
      <c r="Z29" s="8">
        <f>Z28*(Z27-Y27)*Z22/360</f>
        <v>16011488.763020834</v>
      </c>
      <c r="AA29" s="8">
        <f t="shared" ref="AA29" si="113">AA28*(AA27-Z27)*AA22/360</f>
        <v>18345577.935391404</v>
      </c>
      <c r="AB29" s="8">
        <f t="shared" ref="AB29" si="114">AB28*(AB27-AA27)*AB22/360</f>
        <v>17608160.238691643</v>
      </c>
      <c r="AC29" s="8">
        <f t="shared" ref="AC29" si="115">AC28*(AC27-AB27)*AC22/360</f>
        <v>19892474.091353577</v>
      </c>
      <c r="AD29" s="8">
        <f t="shared" ref="AD29" si="116">AD28*(AD27-AC27)*AD22/360</f>
        <v>17951757.306252822</v>
      </c>
      <c r="AE29" s="8">
        <f t="shared" ref="AE29" si="117">AE28*(AE27-AD27)*AE22/360</f>
        <v>18412346.462243304</v>
      </c>
      <c r="AF29" s="8">
        <f t="shared" ref="AF29" si="118">AF28*(AF27-AE27)*AF22/360</f>
        <v>17683986.551181741</v>
      </c>
      <c r="AG29" s="8">
        <f t="shared" ref="AG29" si="119">AG28*(AG27-AF27)*AG22/360</f>
        <v>17548509.195288878</v>
      </c>
      <c r="AH29" s="8">
        <f t="shared" ref="AH29" si="120">AH28*(AH27-AG27)*AH22/360</f>
        <v>18572756.597683765</v>
      </c>
      <c r="AI29" s="8">
        <f t="shared" ref="AI29" si="121">AI28*(AI27-AH27)*AI22/360</f>
        <v>16122706.51174921</v>
      </c>
      <c r="AJ29" s="8">
        <f t="shared" ref="AJ29" si="122">AJ28*(AJ27-AI27)*AJ22/360</f>
        <v>17706794.853317834</v>
      </c>
      <c r="AK29" s="8">
        <f t="shared" ref="AK29" si="123">AK28*(AK27-AJ27)*AK22/360</f>
        <v>15862736.620138712</v>
      </c>
      <c r="AL29" s="8">
        <f t="shared" ref="AL29" si="124">AL28*(AL27-AK27)*AL22/360</f>
        <v>18540350.016346149</v>
      </c>
      <c r="AM29" s="8">
        <f t="shared" ref="AM29" si="125">AM28*(AM27-AL27)*AM22/360</f>
        <v>16712822.405706242</v>
      </c>
      <c r="AN29" s="8">
        <f t="shared" ref="AN29" si="126">AN28*(AN27-AM27)*AN22/360</f>
        <v>17121978.555894867</v>
      </c>
      <c r="AO29" s="8">
        <f t="shared" ref="AO29" si="127">AO28*(AO27-AN27)*AO22/360</f>
        <v>16972869.450614102</v>
      </c>
      <c r="AP29" s="8">
        <f t="shared" ref="AP29" si="128">AP28*(AP27-AO27)*AP22/360</f>
        <v>15737252.162878908</v>
      </c>
      <c r="AQ29" s="8">
        <f t="shared" ref="AQ29" si="129">AQ28*(AQ27-AP27)*AQ22/360</f>
        <v>17208877.990808859</v>
      </c>
      <c r="AR29" s="8">
        <f t="shared" ref="AR29" si="130">AR28*(AR27-AQ27)*AR22/360</f>
        <v>15985569.674964955</v>
      </c>
      <c r="AS29" s="8">
        <f t="shared" ref="AS29" si="131">AS28*(AS27-AR27)*AS22/360</f>
        <v>15308758.301508641</v>
      </c>
      <c r="AT29" s="8">
        <f t="shared" ref="AT29" si="132">AT28*(AT27-AS27)*AT22/360</f>
        <v>17255198.826418128</v>
      </c>
      <c r="AU29" s="8">
        <f t="shared" ref="AU29" si="133">AU28*(AU27-AT27)*AU22/360</f>
        <v>14499570.351434352</v>
      </c>
      <c r="AV29" s="8">
        <f t="shared" ref="AV29" si="134">AV28*(AV27-AU27)*AV22/360</f>
        <v>15382765.792297054</v>
      </c>
      <c r="AW29" s="8">
        <f t="shared" ref="AW29" si="135">AW28*(AW27-AV27)*AW22/360</f>
        <v>15736706.120020678</v>
      </c>
      <c r="AX29" s="8">
        <f t="shared" ref="AX29" si="136">AX28*(AX27-AW27)*AX22/360</f>
        <v>15576630.274622578</v>
      </c>
      <c r="AY29" s="8">
        <f t="shared" ref="AY29" si="137">AY28*(AY27-AX27)*AY22/360</f>
        <v>14420752.506494749</v>
      </c>
      <c r="AZ29" s="8">
        <f t="shared" ref="AZ29" si="138">AZ28*(AZ27-AY27)*AZ22/360</f>
        <v>15744688.25803034</v>
      </c>
      <c r="BA29" s="8">
        <f t="shared" ref="BA29" si="139">BA28*(BA27-AZ27)*BA22/360</f>
        <v>15088758.926222533</v>
      </c>
      <c r="BB29" s="8">
        <f t="shared" ref="BB29" si="140">BB28*(BB27-BA27)*BB22/360</f>
        <v>13479338.644143837</v>
      </c>
      <c r="BC29" s="8">
        <f t="shared" ref="BC29" si="141">BC28*(BC27-BB27)*BC22/360</f>
        <v>15709107.304594019</v>
      </c>
      <c r="BD29" s="8">
        <f t="shared" ref="BD29" si="142">BD28*(BD27-BC27)*BD22/360</f>
        <v>14118589.027021244</v>
      </c>
      <c r="BE29" s="8">
        <f t="shared" ref="BE29" si="143">BE28*(BE27-BD27)*BE22/360</f>
        <v>14420048.460975291</v>
      </c>
      <c r="BF29" s="8">
        <f t="shared" ref="BF29" si="144">BF28*(BF27-BE27)*BF22/360</f>
        <v>14249549.075776415</v>
      </c>
      <c r="BG29" s="8">
        <f t="shared" ref="BG29" si="145">BG28*(BG27-BF27)*BG22/360</f>
        <v>12715341.848573718</v>
      </c>
      <c r="BH29" s="8">
        <f t="shared" ref="BH29" si="146">BH28*(BH27-BG27)*BH22/360</f>
        <v>13007426.371479766</v>
      </c>
      <c r="BI29" s="8">
        <f t="shared" ref="BI29" si="147">BI28*(BI27-BH27)*BI22/360</f>
        <v>14172809.673845857</v>
      </c>
      <c r="BJ29" s="8">
        <f t="shared" ref="BJ29" si="148">BJ28*(BJ27-BI27)*BJ22/360</f>
        <v>13553946.385214591</v>
      </c>
      <c r="BK29" s="8">
        <f t="shared" ref="BK29" si="149">BK28*(BK27-BJ27)*BK22/360</f>
        <v>12082081.614203647</v>
      </c>
      <c r="BL29" s="8">
        <f t="shared" ref="BL29" si="150">BL28*(BL27-BK27)*BL22/360</f>
        <v>14049303.183626227</v>
      </c>
      <c r="BM29" s="8">
        <f t="shared" ref="BM29" si="151">BM28*(BM27-BL27)*BM22/360</f>
        <v>12597730.629816283</v>
      </c>
      <c r="BN29" s="8">
        <f t="shared" ref="BN29" si="152">BN28*(BN27-BM27)*BN22/360</f>
        <v>12836053.317253033</v>
      </c>
      <c r="BO29" s="8">
        <f t="shared" ref="BO29" si="153">BO28*(BO27-BN27)*BO22/360</f>
        <v>12653013.970499691</v>
      </c>
      <c r="BP29" s="8">
        <f t="shared" ref="BP29" si="154">BP28*(BP27-BO27)*BP22/360</f>
        <v>11664104.55823501</v>
      </c>
      <c r="BQ29" s="8">
        <f t="shared" ref="BQ29" si="155">BQ28*(BQ27-BP27)*BQ22/360</f>
        <v>12678788.769827895</v>
      </c>
      <c r="BR29" s="8">
        <f t="shared" ref="BR29" si="156">BR28*(BR27-BQ27)*BR22/360</f>
        <v>12095155.583503615</v>
      </c>
      <c r="BS29" s="8">
        <f t="shared" ref="BS29" si="157">BS28*(BS27-BR27)*BS22/360</f>
        <v>10754032.977355691</v>
      </c>
      <c r="BT29" s="8">
        <f t="shared" ref="BT29" si="158">BT28*(BT27-BS27)*BT22/360</f>
        <v>12093781.174690057</v>
      </c>
      <c r="BU29" s="8">
        <f t="shared" ref="BU29" si="159">BU28*(BU27-BT27)*BU22/360</f>
        <v>11152202.800671443</v>
      </c>
      <c r="BV29" s="8">
        <f t="shared" ref="BV29" si="160">BV28*(BV27-BU27)*BV22/360</f>
        <v>10599514.973750809</v>
      </c>
      <c r="BW29" s="8">
        <f t="shared" ref="BW29" si="161">BW28*(BW27-BV27)*BW22/360</f>
        <v>11494769.365291217</v>
      </c>
      <c r="BX29" s="8">
        <f t="shared" ref="BX29" si="162">BX28*(BX27-BW27)*BX22/360</f>
        <v>10939056.219873391</v>
      </c>
      <c r="BY29" s="8">
        <f t="shared" ref="BY29" si="163">BY28*(BY27-BX27)*BY22/360</f>
        <v>10740998.979432462</v>
      </c>
      <c r="BZ29" s="8">
        <f t="shared" ref="BZ29" si="164">BZ28*(BZ27-BY27)*BZ22/360</f>
        <v>10201329.470165841</v>
      </c>
      <c r="CA29" s="8">
        <f t="shared" ref="CA29" si="165">CA28*(CA27-BZ27)*CA22/360</f>
        <v>10006614.412381606</v>
      </c>
      <c r="CB29" s="8">
        <f t="shared" ref="CB29" si="166">CB28*(CB27-CA27)*CB22/360</f>
        <v>10137369.789069572</v>
      </c>
      <c r="CC29" s="8">
        <f t="shared" ref="CC29" si="167">CC28*(CC27-CB27)*CC22/360</f>
        <v>9932965.8643847778</v>
      </c>
      <c r="CD29" s="8">
        <f t="shared" ref="CD29" si="168">CD28*(CD27-CC27)*CD22/360</f>
        <v>9099398.9844168983</v>
      </c>
      <c r="CE29" s="8">
        <f t="shared" ref="CE29" si="169">CE28*(CE27-CD27)*CE22/360</f>
        <v>8598068.9390326254</v>
      </c>
      <c r="CF29" s="8">
        <f t="shared" ref="CF29" si="170">CF28*(CF27-CE27)*CF22/360</f>
        <v>9910638.3053393681</v>
      </c>
      <c r="CG29" s="8">
        <f t="shared" ref="CG29" si="171">CG28*(CG27-CF27)*CG22/360</f>
        <v>8805522.1674769241</v>
      </c>
      <c r="CH29" s="8">
        <f t="shared" ref="CH29" si="172">CH28*(CH27-CG27)*CH22/360</f>
        <v>8886415.5341646113</v>
      </c>
      <c r="CI29" s="8">
        <f t="shared" ref="CI29" si="173">CI28*(CI27-CH27)*CI22/360</f>
        <v>8392362.7951243408</v>
      </c>
      <c r="CJ29" s="8">
        <f t="shared" ref="CJ29" si="174">CJ28*(CJ27-CI27)*CJ22/360</f>
        <v>8183326.751162691</v>
      </c>
      <c r="CK29" s="8">
        <f t="shared" ref="CK29" si="175">CK28*(CK27-CJ27)*CK22/360</f>
        <v>8504144.8944209907</v>
      </c>
      <c r="CL29" s="8">
        <f t="shared" ref="CL29" si="176">CL28*(CL27-CK27)*CL22/360</f>
        <v>7760276.9561515758</v>
      </c>
      <c r="CM29" s="8">
        <f t="shared" ref="CM29" si="177">CM28*(CM27-CL27)*CM22/360</f>
        <v>7294695.669321456</v>
      </c>
      <c r="CN29" s="8">
        <f t="shared" ref="CN29" si="178">CN28*(CN27-CM27)*CN22/360</f>
        <v>7819202.5159051912</v>
      </c>
      <c r="CO29" s="8">
        <f t="shared" ref="CO29" si="179">CO28*(CO27-CN27)*CO22/360</f>
        <v>7350161.9168967158</v>
      </c>
      <c r="CP29" s="8">
        <f t="shared" ref="CP29" si="180">CP28*(CP27-CO27)*CP22/360</f>
        <v>7123692.5965572186</v>
      </c>
      <c r="CQ29" s="8">
        <f t="shared" ref="CQ29" si="181">CQ28*(CQ27-CP27)*CQ22/360</f>
        <v>6228130.6785404589</v>
      </c>
      <c r="CR29" s="8">
        <f t="shared" ref="CR29" si="182">CR28*(CR27-CQ27)*CR22/360</f>
        <v>6665361.1158700483</v>
      </c>
      <c r="CS29" s="8">
        <f t="shared" ref="CS29" si="183">CS28*(CS27-CR27)*CS22/360</f>
        <v>6018407.8458005451</v>
      </c>
      <c r="CT29" s="8">
        <f t="shared" ref="CT29" si="184">CT28*(CT27-CS27)*CT22/360</f>
        <v>6399735.7365502119</v>
      </c>
      <c r="CU29" s="8">
        <f t="shared" ref="CU29" si="185">CU28*(CU27-CT27)*CU22/360</f>
        <v>5771774.7089291485</v>
      </c>
      <c r="CV29" s="8">
        <f t="shared" ref="CV29" si="186">CV28*(CV27-CU27)*CV22/360</f>
        <v>5357259.2645311719</v>
      </c>
      <c r="CW29" s="8">
        <f t="shared" ref="CW29" si="187">CW28*(CW27-CV27)*CW22/360</f>
        <v>5841429.9524985785</v>
      </c>
      <c r="CX29" s="8">
        <f t="shared" ref="CX29" si="188">CX28*(CX27-CW27)*CX22/360</f>
        <v>5076955.8775065187</v>
      </c>
      <c r="CY29" s="8">
        <f t="shared" ref="CY29" si="189">CY28*(CY27-CX27)*CY22/360</f>
        <v>5003061.9575175187</v>
      </c>
      <c r="CZ29" s="8">
        <f t="shared" ref="CZ29" si="190">CZ28*(CZ27-CY27)*CZ22/360</f>
        <v>4604527.1895157434</v>
      </c>
      <c r="DA29" s="8">
        <f t="shared" ref="DA29" si="191">DA28*(DA27-CZ27)*DA22/360</f>
        <v>4365504.1136763599</v>
      </c>
      <c r="DB29" s="8">
        <f t="shared" ref="DB29" si="192">DB28*(DB27-DA27)*DB22/360</f>
        <v>4399561.3566079075</v>
      </c>
      <c r="DC29" s="8">
        <f t="shared" ref="DC29" si="193">DC28*(DC27-DB27)*DC22/360</f>
        <v>3622981.7712732973</v>
      </c>
      <c r="DD29" s="8">
        <f t="shared" ref="DD29" si="194">DD28*(DD27-DC27)*DD22/360</f>
        <v>3758255.2913602674</v>
      </c>
      <c r="DE29" s="8">
        <f t="shared" ref="DE29" si="195">DE28*(DE27-DD27)*DE22/360</f>
        <v>3164316.1683845473</v>
      </c>
      <c r="DF29" s="8">
        <f t="shared" ref="DF29" si="196">DF28*(DF27-DE27)*DF22/360</f>
        <v>3455873.685956568</v>
      </c>
      <c r="DG29" s="8">
        <f t="shared" ref="DG29" si="197">DG28*(DG27-DF27)*DG22/360</f>
        <v>2891099.5863076085</v>
      </c>
      <c r="DH29" s="8">
        <f t="shared" ref="DH29" si="198">DH28*(DH27-DG27)*DH22/360</f>
        <v>2726462.2711186986</v>
      </c>
      <c r="DI29" s="8">
        <f t="shared" ref="DI29" si="199">DI28*(DI27-DH27)*DI22/360</f>
        <v>2463388.6619167919</v>
      </c>
      <c r="DJ29" s="8">
        <f t="shared" ref="DJ29" si="200">DJ28*(DJ27-DI27)*DJ22/360</f>
        <v>2056410.9423425503</v>
      </c>
      <c r="DK29" s="8">
        <f t="shared" ref="DK29" si="201">DK28*(DK27-DJ27)*DK22/360</f>
        <v>1993266.5367962383</v>
      </c>
      <c r="DL29" s="8">
        <f t="shared" ref="DL29" si="202">DL28*(DL27-DK27)*DL22/360</f>
        <v>1608005.5705678745</v>
      </c>
      <c r="DM29" s="8">
        <f t="shared" ref="DM29" si="203">DM28*(DM27-DL27)*DM22/360</f>
        <v>1300418.0308480922</v>
      </c>
      <c r="DN29" s="8">
        <f t="shared" ref="DN29" si="204">DN28*(DN27-DM27)*DN22/360</f>
        <v>1188477.8668488776</v>
      </c>
      <c r="DO29" s="8">
        <f t="shared" ref="DO29" si="205">DO28*(DO27-DN27)*DO22/360</f>
        <v>786395.20481675363</v>
      </c>
      <c r="DP29" s="8">
        <f t="shared" ref="DP29" si="206">DP28*(DP27-DO27)*DP22/360</f>
        <v>526327.77019038191</v>
      </c>
      <c r="DQ29" s="8">
        <f t="shared" ref="DQ29" si="207">DQ28*(DQ27-DP27)*DQ22/360</f>
        <v>291532.6547566544</v>
      </c>
    </row>
    <row r="30" spans="1:228" x14ac:dyDescent="0.2">
      <c r="A30" s="3" t="s">
        <v>12</v>
      </c>
      <c r="B30" s="4">
        <v>0</v>
      </c>
      <c r="C30" s="4">
        <f>B30</f>
        <v>0</v>
      </c>
      <c r="D30" s="4">
        <f t="shared" ref="D30:Y30" si="208">C30</f>
        <v>0</v>
      </c>
      <c r="E30" s="4">
        <f t="shared" si="208"/>
        <v>0</v>
      </c>
      <c r="F30" s="4">
        <f t="shared" si="208"/>
        <v>0</v>
      </c>
      <c r="G30" s="4">
        <f t="shared" si="208"/>
        <v>0</v>
      </c>
      <c r="H30" s="4">
        <f t="shared" si="208"/>
        <v>0</v>
      </c>
      <c r="I30" s="4">
        <f t="shared" si="208"/>
        <v>0</v>
      </c>
      <c r="J30" s="4">
        <f t="shared" si="208"/>
        <v>0</v>
      </c>
      <c r="K30" s="4">
        <f t="shared" si="208"/>
        <v>0</v>
      </c>
      <c r="L30" s="4">
        <f t="shared" si="208"/>
        <v>0</v>
      </c>
      <c r="M30" s="4">
        <f t="shared" si="208"/>
        <v>0</v>
      </c>
      <c r="N30" s="4">
        <f t="shared" si="208"/>
        <v>0</v>
      </c>
      <c r="O30" s="4">
        <f t="shared" si="208"/>
        <v>0</v>
      </c>
      <c r="P30" s="4">
        <f t="shared" si="208"/>
        <v>0</v>
      </c>
      <c r="Q30" s="4">
        <f t="shared" si="208"/>
        <v>0</v>
      </c>
      <c r="R30" s="4">
        <f t="shared" si="208"/>
        <v>0</v>
      </c>
      <c r="S30" s="4">
        <f t="shared" si="208"/>
        <v>0</v>
      </c>
      <c r="T30" s="4">
        <f t="shared" si="208"/>
        <v>0</v>
      </c>
      <c r="U30" s="4">
        <f t="shared" si="208"/>
        <v>0</v>
      </c>
      <c r="V30" s="4">
        <f t="shared" si="208"/>
        <v>0</v>
      </c>
      <c r="W30" s="4">
        <f t="shared" si="208"/>
        <v>0</v>
      </c>
      <c r="X30" s="4">
        <f t="shared" si="208"/>
        <v>0</v>
      </c>
      <c r="Y30" s="4">
        <f t="shared" si="208"/>
        <v>0</v>
      </c>
      <c r="Z30" s="4">
        <f>Z29+Y30</f>
        <v>16011488.763020834</v>
      </c>
      <c r="AA30" s="4">
        <f t="shared" ref="AA30:AC30" si="209">AA29+Z30</f>
        <v>34357066.69841224</v>
      </c>
      <c r="AB30" s="4">
        <f t="shared" si="209"/>
        <v>51965226.937103882</v>
      </c>
      <c r="AC30" s="4">
        <f t="shared" si="209"/>
        <v>71857701.028457463</v>
      </c>
      <c r="AD30" s="4">
        <f t="shared" ref="AD30" si="210">AD29+AC30</f>
        <v>89809458.334710285</v>
      </c>
      <c r="AE30" s="4">
        <f t="shared" ref="AE30" si="211">AE29+AD30</f>
        <v>108221804.79695359</v>
      </c>
      <c r="AF30" s="4">
        <f t="shared" ref="AF30" si="212">AF29+AE30</f>
        <v>125905791.34813532</v>
      </c>
      <c r="AG30" s="4">
        <f t="shared" ref="AG30" si="213">AG29+AF30</f>
        <v>143454300.54342419</v>
      </c>
      <c r="AH30" s="4">
        <f t="shared" ref="AH30" si="214">AH29+AG30</f>
        <v>162027057.14110795</v>
      </c>
      <c r="AI30" s="4">
        <f t="shared" ref="AI30" si="215">AI29+AH30</f>
        <v>178149763.65285715</v>
      </c>
      <c r="AJ30" s="4">
        <f t="shared" ref="AJ30" si="216">AJ29+AI30</f>
        <v>195856558.50617498</v>
      </c>
      <c r="AK30" s="4">
        <f t="shared" ref="AK30" si="217">AK29+AJ30</f>
        <v>211719295.12631369</v>
      </c>
      <c r="AL30" s="4">
        <f t="shared" ref="AL30" si="218">AL29+AK30</f>
        <v>230259645.14265984</v>
      </c>
      <c r="AM30" s="4">
        <f t="shared" ref="AM30" si="219">AM29+AL30</f>
        <v>246972467.54836607</v>
      </c>
      <c r="AN30" s="4">
        <f t="shared" ref="AN30" si="220">AN29+AM30</f>
        <v>264094446.10426092</v>
      </c>
      <c r="AO30" s="4">
        <f t="shared" ref="AO30" si="221">AO29+AN30</f>
        <v>281067315.55487502</v>
      </c>
      <c r="AP30" s="4">
        <f t="shared" ref="AP30" si="222">AP29+AO30</f>
        <v>296804567.71775395</v>
      </c>
      <c r="AQ30" s="4">
        <f t="shared" ref="AQ30" si="223">AQ29+AP30</f>
        <v>314013445.70856279</v>
      </c>
      <c r="AR30" s="4">
        <f t="shared" ref="AR30" si="224">AR29+AQ30</f>
        <v>329999015.38352776</v>
      </c>
      <c r="AS30" s="4">
        <f t="shared" ref="AS30" si="225">AS29+AR30</f>
        <v>345307773.68503642</v>
      </c>
      <c r="AT30" s="4">
        <f t="shared" ref="AT30" si="226">AT29+AS30</f>
        <v>362562972.51145452</v>
      </c>
      <c r="AU30" s="4">
        <f t="shared" ref="AU30" si="227">AU29+AT30</f>
        <v>377062542.86288887</v>
      </c>
      <c r="AV30" s="4">
        <f t="shared" ref="AV30" si="228">AV29+AU30</f>
        <v>392445308.65518594</v>
      </c>
      <c r="AW30" s="4">
        <f t="shared" ref="AW30" si="229">AW29+AV30</f>
        <v>408182014.77520663</v>
      </c>
      <c r="AX30" s="4">
        <f t="shared" ref="AX30" si="230">AX29+AW30</f>
        <v>423758645.04982919</v>
      </c>
      <c r="AY30" s="4">
        <f t="shared" ref="AY30" si="231">AY29+AX30</f>
        <v>438179397.55632395</v>
      </c>
      <c r="AZ30" s="4">
        <f t="shared" ref="AZ30" si="232">AZ29+AY30</f>
        <v>453924085.8143543</v>
      </c>
      <c r="BA30" s="4">
        <f t="shared" ref="BA30" si="233">BA29+AZ30</f>
        <v>469012844.74057686</v>
      </c>
      <c r="BB30" s="4">
        <f t="shared" ref="BB30" si="234">BB29+BA30</f>
        <v>482492183.38472068</v>
      </c>
      <c r="BC30" s="4">
        <f t="shared" ref="BC30" si="235">BC29+BB30</f>
        <v>498201290.68931472</v>
      </c>
      <c r="BD30" s="4">
        <f t="shared" ref="BD30" si="236">BD29+BC30</f>
        <v>512319879.71633595</v>
      </c>
      <c r="BE30" s="4">
        <f t="shared" ref="BE30" si="237">BE29+BD30</f>
        <v>526739928.17731124</v>
      </c>
      <c r="BF30" s="4">
        <f t="shared" ref="BF30" si="238">BF29+BE30</f>
        <v>540989477.25308764</v>
      </c>
      <c r="BG30" s="4">
        <f t="shared" ref="BG30" si="239">BG29+BF30</f>
        <v>553704819.10166132</v>
      </c>
      <c r="BH30" s="4">
        <f t="shared" ref="BH30" si="240">BH29+BG30</f>
        <v>566712245.47314107</v>
      </c>
      <c r="BI30" s="4">
        <f t="shared" ref="BI30" si="241">BI29+BH30</f>
        <v>580885055.14698696</v>
      </c>
      <c r="BJ30" s="4">
        <f t="shared" ref="BJ30" si="242">BJ29+BI30</f>
        <v>594439001.53220153</v>
      </c>
      <c r="BK30" s="4">
        <f t="shared" ref="BK30" si="243">BK29+BJ30</f>
        <v>606521083.14640522</v>
      </c>
      <c r="BL30" s="4">
        <f t="shared" ref="BL30" si="244">BL29+BK30</f>
        <v>620570386.33003139</v>
      </c>
      <c r="BM30" s="4">
        <f t="shared" ref="BM30" si="245">BM29+BL30</f>
        <v>633168116.95984769</v>
      </c>
      <c r="BN30" s="4">
        <f t="shared" ref="BN30" si="246">BN29+BM30</f>
        <v>646004170.27710068</v>
      </c>
      <c r="BO30" s="4">
        <f t="shared" ref="BO30" si="247">BO29+BN30</f>
        <v>658657184.24760032</v>
      </c>
      <c r="BP30" s="4">
        <f t="shared" ref="BP30" si="248">BP29+BO30</f>
        <v>670321288.80583537</v>
      </c>
      <c r="BQ30" s="4">
        <f t="shared" ref="BQ30" si="249">BQ29+BP30</f>
        <v>683000077.57566321</v>
      </c>
      <c r="BR30" s="4">
        <f t="shared" ref="BR30" si="250">BR29+BQ30</f>
        <v>695095233.15916681</v>
      </c>
      <c r="BS30" s="4">
        <f t="shared" ref="BS30" si="251">BS29+BR30</f>
        <v>705849266.13652253</v>
      </c>
      <c r="BT30" s="4">
        <f t="shared" ref="BT30" si="252">BT29+BS30</f>
        <v>717943047.31121254</v>
      </c>
      <c r="BU30" s="4">
        <f t="shared" ref="BU30" si="253">BU29+BT30</f>
        <v>729095250.111884</v>
      </c>
      <c r="BV30" s="4">
        <f t="shared" ref="BV30" si="254">BV29+BU30</f>
        <v>739694765.08563483</v>
      </c>
      <c r="BW30" s="4">
        <f t="shared" ref="BW30" si="255">BW29+BV30</f>
        <v>751189534.45092607</v>
      </c>
      <c r="BX30" s="4">
        <f t="shared" ref="BX30" si="256">BX29+BW30</f>
        <v>762128590.67079949</v>
      </c>
      <c r="BY30" s="4">
        <f t="shared" ref="BY30" si="257">BY29+BX30</f>
        <v>772869589.65023196</v>
      </c>
      <c r="BZ30" s="4">
        <f t="shared" ref="BZ30" si="258">BZ29+BY30</f>
        <v>783070919.12039781</v>
      </c>
      <c r="CA30" s="4">
        <f t="shared" ref="CA30" si="259">CA29+BZ30</f>
        <v>793077533.53277946</v>
      </c>
      <c r="CB30" s="4">
        <f t="shared" ref="CB30" si="260">CB29+CA30</f>
        <v>803214903.32184899</v>
      </c>
      <c r="CC30" s="4">
        <f t="shared" ref="CC30" si="261">CC29+CB30</f>
        <v>813147869.18623376</v>
      </c>
      <c r="CD30" s="4">
        <f t="shared" ref="CD30" si="262">CD29+CC30</f>
        <v>822247268.1706506</v>
      </c>
      <c r="CE30" s="4">
        <f t="shared" ref="CE30" si="263">CE29+CD30</f>
        <v>830845337.10968328</v>
      </c>
      <c r="CF30" s="4">
        <f t="shared" ref="CF30" si="264">CF29+CE30</f>
        <v>840755975.41502261</v>
      </c>
      <c r="CG30" s="4">
        <f t="shared" ref="CG30" si="265">CG29+CF30</f>
        <v>849561497.5824995</v>
      </c>
      <c r="CH30" s="4">
        <f t="shared" ref="CH30" si="266">CH29+CG30</f>
        <v>858447913.11666417</v>
      </c>
      <c r="CI30" s="4">
        <f t="shared" ref="CI30" si="267">CI29+CH30</f>
        <v>866840275.91178846</v>
      </c>
      <c r="CJ30" s="4">
        <f t="shared" ref="CJ30" si="268">CJ29+CI30</f>
        <v>875023602.66295111</v>
      </c>
      <c r="CK30" s="4">
        <f t="shared" ref="CK30" si="269">CK29+CJ30</f>
        <v>883527747.55737209</v>
      </c>
      <c r="CL30" s="4">
        <f t="shared" ref="CL30" si="270">CL29+CK30</f>
        <v>891288024.5135237</v>
      </c>
      <c r="CM30" s="4">
        <f t="shared" ref="CM30" si="271">CM29+CL30</f>
        <v>898582720.18284512</v>
      </c>
      <c r="CN30" s="4">
        <f t="shared" ref="CN30" si="272">CN29+CM30</f>
        <v>906401922.69875026</v>
      </c>
      <c r="CO30" s="4">
        <f t="shared" ref="CO30" si="273">CO29+CN30</f>
        <v>913752084.61564696</v>
      </c>
      <c r="CP30" s="4">
        <f t="shared" ref="CP30" si="274">CP29+CO30</f>
        <v>920875777.21220422</v>
      </c>
      <c r="CQ30" s="4">
        <f t="shared" ref="CQ30" si="275">CQ29+CP30</f>
        <v>927103907.89074469</v>
      </c>
      <c r="CR30" s="4">
        <f t="shared" ref="CR30" si="276">CR29+CQ30</f>
        <v>933769269.00661469</v>
      </c>
      <c r="CS30" s="4">
        <f t="shared" ref="CS30" si="277">CS29+CR30</f>
        <v>939787676.8524152</v>
      </c>
      <c r="CT30" s="4">
        <f t="shared" ref="CT30" si="278">CT29+CS30</f>
        <v>946187412.58896542</v>
      </c>
      <c r="CU30" s="4">
        <f t="shared" ref="CU30" si="279">CU29+CT30</f>
        <v>951959187.2978946</v>
      </c>
      <c r="CV30" s="4">
        <f t="shared" ref="CV30" si="280">CV29+CU30</f>
        <v>957316446.56242573</v>
      </c>
      <c r="CW30" s="4">
        <f t="shared" ref="CW30" si="281">CW29+CV30</f>
        <v>963157876.51492429</v>
      </c>
      <c r="CX30" s="4">
        <f t="shared" ref="CX30" si="282">CX29+CW30</f>
        <v>968234832.39243078</v>
      </c>
      <c r="CY30" s="4">
        <f t="shared" ref="CY30" si="283">CY29+CX30</f>
        <v>973237894.34994829</v>
      </c>
      <c r="CZ30" s="4">
        <f t="shared" ref="CZ30" si="284">CZ29+CY30</f>
        <v>977842421.539464</v>
      </c>
      <c r="DA30" s="4">
        <f t="shared" ref="DA30" si="285">DA29+CZ30</f>
        <v>982207925.65314031</v>
      </c>
      <c r="DB30" s="4">
        <f t="shared" ref="DB30" si="286">DB29+DA30</f>
        <v>986607487.00974822</v>
      </c>
      <c r="DC30" s="4">
        <f t="shared" ref="DC30" si="287">DC29+DB30</f>
        <v>990230468.78102148</v>
      </c>
      <c r="DD30" s="4">
        <f t="shared" ref="DD30" si="288">DD29+DC30</f>
        <v>993988724.07238173</v>
      </c>
      <c r="DE30" s="4">
        <f t="shared" ref="DE30" si="289">DE29+DD30</f>
        <v>997153040.24076629</v>
      </c>
      <c r="DF30" s="4">
        <f t="shared" ref="DF30" si="290">DF29+DE30</f>
        <v>1000608913.9267229</v>
      </c>
      <c r="DG30" s="4">
        <f t="shared" ref="DG30" si="291">DG29+DF30</f>
        <v>1003500013.5130305</v>
      </c>
      <c r="DH30" s="4">
        <f t="shared" ref="DH30" si="292">DH29+DG30</f>
        <v>1006226475.7841492</v>
      </c>
      <c r="DI30" s="4">
        <f t="shared" ref="DI30" si="293">DI29+DH30</f>
        <v>1008689864.4460659</v>
      </c>
      <c r="DJ30" s="4">
        <f t="shared" ref="DJ30" si="294">DJ29+DI30</f>
        <v>1010746275.3884084</v>
      </c>
      <c r="DK30" s="4">
        <f t="shared" ref="DK30" si="295">DK29+DJ30</f>
        <v>1012739541.9252046</v>
      </c>
      <c r="DL30" s="4">
        <f t="shared" ref="DL30" si="296">DL29+DK30</f>
        <v>1014347547.4957725</v>
      </c>
      <c r="DM30" s="4">
        <f t="shared" ref="DM30" si="297">DM29+DL30</f>
        <v>1015647965.5266206</v>
      </c>
      <c r="DN30" s="4">
        <f t="shared" ref="DN30" si="298">DN29+DM30</f>
        <v>1016836443.3934695</v>
      </c>
      <c r="DO30" s="4">
        <f t="shared" ref="DO30" si="299">DO29+DN30</f>
        <v>1017622838.5982862</v>
      </c>
      <c r="DP30" s="4">
        <f t="shared" ref="DP30" si="300">DP29+DO30</f>
        <v>1018149166.3684765</v>
      </c>
      <c r="DQ30" s="4">
        <f t="shared" ref="DQ30" si="301">DQ29+DP30</f>
        <v>1018440699.0232332</v>
      </c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</row>
    <row r="31" spans="1:228" x14ac:dyDescent="0.2">
      <c r="A31" s="3" t="s">
        <v>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f>-PPMT(Z22/12,Z26,$C$13,$Z$28)</f>
        <v>16322120.990033351</v>
      </c>
      <c r="AA31" s="4">
        <f t="shared" ref="AA31:CL31" si="302">-PPMT(AA22/12,AA26,$C$13,$Z$28)</f>
        <v>16451337.781204449</v>
      </c>
      <c r="AB31" s="4">
        <f t="shared" si="302"/>
        <v>16581577.538638985</v>
      </c>
      <c r="AC31" s="4">
        <f t="shared" si="302"/>
        <v>16712848.360819874</v>
      </c>
      <c r="AD31" s="4">
        <f t="shared" si="302"/>
        <v>16845158.410343036</v>
      </c>
      <c r="AE31" s="4">
        <f t="shared" si="302"/>
        <v>16978515.914424919</v>
      </c>
      <c r="AF31" s="4">
        <f t="shared" si="302"/>
        <v>17112929.165414114</v>
      </c>
      <c r="AG31" s="4">
        <f t="shared" si="302"/>
        <v>17248406.521306973</v>
      </c>
      <c r="AH31" s="4">
        <f t="shared" si="302"/>
        <v>17384956.406267319</v>
      </c>
      <c r="AI31" s="4">
        <f t="shared" si="302"/>
        <v>17522587.311150271</v>
      </c>
      <c r="AJ31" s="4">
        <f t="shared" si="302"/>
        <v>17661307.794030208</v>
      </c>
      <c r="AK31" s="4">
        <f t="shared" si="302"/>
        <v>17801126.480732948</v>
      </c>
      <c r="AL31" s="4">
        <f t="shared" si="302"/>
        <v>17942052.065372083</v>
      </c>
      <c r="AM31" s="4">
        <f t="shared" si="302"/>
        <v>18084093.310889617</v>
      </c>
      <c r="AN31" s="4">
        <f t="shared" si="302"/>
        <v>18227259.049600825</v>
      </c>
      <c r="AO31" s="4">
        <f t="shared" si="302"/>
        <v>18371558.183743499</v>
      </c>
      <c r="AP31" s="4">
        <f t="shared" si="302"/>
        <v>18516999.686031464</v>
      </c>
      <c r="AQ31" s="4">
        <f t="shared" si="302"/>
        <v>18663592.600212548</v>
      </c>
      <c r="AR31" s="4">
        <f t="shared" si="302"/>
        <v>18811346.041630898</v>
      </c>
      <c r="AS31" s="4">
        <f t="shared" si="302"/>
        <v>18960269.197793808</v>
      </c>
      <c r="AT31" s="4">
        <f t="shared" si="302"/>
        <v>19110371.32894301</v>
      </c>
      <c r="AU31" s="4">
        <f t="shared" si="302"/>
        <v>19261661.768630479</v>
      </c>
      <c r="AV31" s="4">
        <f t="shared" si="302"/>
        <v>19414149.924298801</v>
      </c>
      <c r="AW31" s="4">
        <f t="shared" si="302"/>
        <v>19567845.277866166</v>
      </c>
      <c r="AX31" s="4">
        <f t="shared" si="302"/>
        <v>19722757.386315938</v>
      </c>
      <c r="AY31" s="4">
        <f t="shared" si="302"/>
        <v>19878895.882290941</v>
      </c>
      <c r="AZ31" s="4">
        <f t="shared" si="302"/>
        <v>20036270.474692412</v>
      </c>
      <c r="BA31" s="4">
        <f t="shared" si="302"/>
        <v>20194890.949283723</v>
      </c>
      <c r="BB31" s="4">
        <f t="shared" si="302"/>
        <v>20354767.169298891</v>
      </c>
      <c r="BC31" s="4">
        <f t="shared" si="302"/>
        <v>20515909.07605584</v>
      </c>
      <c r="BD31" s="4">
        <f t="shared" si="302"/>
        <v>20678326.689574614</v>
      </c>
      <c r="BE31" s="4">
        <f t="shared" si="302"/>
        <v>20842030.109200411</v>
      </c>
      <c r="BF31" s="4">
        <f t="shared" si="302"/>
        <v>21007029.514231581</v>
      </c>
      <c r="BG31" s="4">
        <f t="shared" si="302"/>
        <v>21173335.164552581</v>
      </c>
      <c r="BH31" s="4">
        <f t="shared" si="302"/>
        <v>21340957.401271962</v>
      </c>
      <c r="BI31" s="4">
        <f t="shared" si="302"/>
        <v>21509906.647365361</v>
      </c>
      <c r="BJ31" s="4">
        <f t="shared" si="302"/>
        <v>21680193.408323668</v>
      </c>
      <c r="BK31" s="4">
        <f t="shared" si="302"/>
        <v>21851828.272806231</v>
      </c>
      <c r="BL31" s="4">
        <f t="shared" si="302"/>
        <v>22024821.913299281</v>
      </c>
      <c r="BM31" s="4">
        <f t="shared" si="302"/>
        <v>22199185.086779565</v>
      </c>
      <c r="BN31" s="4">
        <f t="shared" si="302"/>
        <v>22374928.635383237</v>
      </c>
      <c r="BO31" s="4">
        <f t="shared" si="302"/>
        <v>22552063.487080023</v>
      </c>
      <c r="BP31" s="4">
        <f t="shared" si="302"/>
        <v>22730600.65635274</v>
      </c>
      <c r="BQ31" s="4">
        <f t="shared" si="302"/>
        <v>22910551.2448822</v>
      </c>
      <c r="BR31" s="4">
        <f t="shared" si="302"/>
        <v>23091926.442237515</v>
      </c>
      <c r="BS31" s="4">
        <f t="shared" si="302"/>
        <v>23274737.5265719</v>
      </c>
      <c r="BT31" s="4">
        <f t="shared" si="302"/>
        <v>23458995.865323927</v>
      </c>
      <c r="BU31" s="4">
        <f t="shared" si="302"/>
        <v>23644712.915924404</v>
      </c>
      <c r="BV31" s="4">
        <f t="shared" si="302"/>
        <v>23831900.226508811</v>
      </c>
      <c r="BW31" s="4">
        <f t="shared" si="302"/>
        <v>24020569.436635338</v>
      </c>
      <c r="BX31" s="4">
        <f t="shared" si="302"/>
        <v>24210732.278008696</v>
      </c>
      <c r="BY31" s="4">
        <f t="shared" si="302"/>
        <v>24402400.575209603</v>
      </c>
      <c r="BZ31" s="4">
        <f t="shared" si="302"/>
        <v>24595586.24643001</v>
      </c>
      <c r="CA31" s="4">
        <f t="shared" si="302"/>
        <v>24790301.304214247</v>
      </c>
      <c r="CB31" s="4">
        <f t="shared" si="302"/>
        <v>24986557.856205944</v>
      </c>
      <c r="CC31" s="4">
        <f t="shared" si="302"/>
        <v>25184368.10590091</v>
      </c>
      <c r="CD31" s="4">
        <f t="shared" si="302"/>
        <v>25383744.353405952</v>
      </c>
      <c r="CE31" s="4">
        <f t="shared" si="302"/>
        <v>25584698.996203754</v>
      </c>
      <c r="CF31" s="4">
        <f t="shared" si="302"/>
        <v>25787244.529923704</v>
      </c>
      <c r="CG31" s="4">
        <f t="shared" si="302"/>
        <v>25991393.549118929</v>
      </c>
      <c r="CH31" s="4">
        <f t="shared" si="302"/>
        <v>26197158.748049453</v>
      </c>
      <c r="CI31" s="4">
        <f t="shared" si="302"/>
        <v>26404552.921471514</v>
      </c>
      <c r="CJ31" s="4">
        <f t="shared" si="302"/>
        <v>26613588.965433162</v>
      </c>
      <c r="CK31" s="4">
        <f t="shared" si="302"/>
        <v>26824279.878076173</v>
      </c>
      <c r="CL31" s="4">
        <f t="shared" si="302"/>
        <v>27036638.76044428</v>
      </c>
      <c r="CM31" s="4">
        <f t="shared" ref="CM31:DQ31" si="303">-PPMT(CM22/12,CM26,$C$13,$Z$28)</f>
        <v>27250678.81729779</v>
      </c>
      <c r="CN31" s="4">
        <f t="shared" si="303"/>
        <v>27466413.357934736</v>
      </c>
      <c r="CO31" s="4">
        <f t="shared" si="303"/>
        <v>27683855.797018386</v>
      </c>
      <c r="CP31" s="4">
        <f t="shared" si="303"/>
        <v>27903019.655411448</v>
      </c>
      <c r="CQ31" s="4">
        <f t="shared" si="303"/>
        <v>28123918.561016787</v>
      </c>
      <c r="CR31" s="4">
        <f t="shared" si="303"/>
        <v>28346566.249624837</v>
      </c>
      <c r="CS31" s="4">
        <f t="shared" si="303"/>
        <v>28570976.565767698</v>
      </c>
      <c r="CT31" s="4">
        <f t="shared" si="303"/>
        <v>28797163.463580031</v>
      </c>
      <c r="CU31" s="4">
        <f t="shared" si="303"/>
        <v>29025141.007666707</v>
      </c>
      <c r="CV31" s="4">
        <f t="shared" si="303"/>
        <v>29254923.3739774</v>
      </c>
      <c r="CW31" s="4">
        <f t="shared" si="303"/>
        <v>29486524.850688051</v>
      </c>
      <c r="CX31" s="4">
        <f t="shared" si="303"/>
        <v>29719959.839089338</v>
      </c>
      <c r="CY31" s="4">
        <f t="shared" si="303"/>
        <v>29955242.854482125</v>
      </c>
      <c r="CZ31" s="4">
        <f t="shared" si="303"/>
        <v>30192388.527080107</v>
      </c>
      <c r="DA31" s="4">
        <f t="shared" si="303"/>
        <v>30431411.602919497</v>
      </c>
      <c r="DB31" s="4">
        <f t="shared" si="303"/>
        <v>30672326.944775939</v>
      </c>
      <c r="DC31" s="4">
        <f t="shared" si="303"/>
        <v>30915149.533088747</v>
      </c>
      <c r="DD31" s="4">
        <f t="shared" si="303"/>
        <v>31159894.466892369</v>
      </c>
      <c r="DE31" s="4">
        <f t="shared" si="303"/>
        <v>31406576.964755263</v>
      </c>
      <c r="DF31" s="4">
        <f t="shared" si="303"/>
        <v>31655212.365726247</v>
      </c>
      <c r="DG31" s="4">
        <f t="shared" si="303"/>
        <v>31905816.130288243</v>
      </c>
      <c r="DH31" s="4">
        <f t="shared" si="303"/>
        <v>32158403.841319691</v>
      </c>
      <c r="DI31" s="4">
        <f t="shared" si="303"/>
        <v>32412991.205063473</v>
      </c>
      <c r="DJ31" s="4">
        <f t="shared" si="303"/>
        <v>32669594.05210356</v>
      </c>
      <c r="DK31" s="4">
        <f t="shared" si="303"/>
        <v>32928228.33834938</v>
      </c>
      <c r="DL31" s="4">
        <f t="shared" si="303"/>
        <v>33188910.146027979</v>
      </c>
      <c r="DM31" s="4">
        <f t="shared" si="303"/>
        <v>33451655.684684038</v>
      </c>
      <c r="DN31" s="4">
        <f t="shared" si="303"/>
        <v>33716481.29218778</v>
      </c>
      <c r="DO31" s="4">
        <f t="shared" si="303"/>
        <v>33983403.435750939</v>
      </c>
      <c r="DP31" s="4">
        <f t="shared" si="303"/>
        <v>34252438.712950632</v>
      </c>
      <c r="DQ31" s="4">
        <f t="shared" si="303"/>
        <v>34523603.852761492</v>
      </c>
    </row>
    <row r="32" spans="1:228" x14ac:dyDescent="0.2">
      <c r="A32" s="3" t="s">
        <v>13</v>
      </c>
      <c r="B32" s="4">
        <v>0</v>
      </c>
      <c r="C32" s="4">
        <f t="shared" ref="C32:AC32" si="304">C31+B32</f>
        <v>0</v>
      </c>
      <c r="D32" s="4">
        <f t="shared" si="304"/>
        <v>0</v>
      </c>
      <c r="E32" s="4">
        <f t="shared" si="304"/>
        <v>0</v>
      </c>
      <c r="F32" s="4">
        <f t="shared" si="304"/>
        <v>0</v>
      </c>
      <c r="G32" s="4">
        <f t="shared" si="304"/>
        <v>0</v>
      </c>
      <c r="H32" s="4">
        <f t="shared" si="304"/>
        <v>0</v>
      </c>
      <c r="I32" s="4">
        <f t="shared" si="304"/>
        <v>0</v>
      </c>
      <c r="J32" s="4">
        <f t="shared" si="304"/>
        <v>0</v>
      </c>
      <c r="K32" s="4">
        <f t="shared" si="304"/>
        <v>0</v>
      </c>
      <c r="L32" s="4">
        <f t="shared" si="304"/>
        <v>0</v>
      </c>
      <c r="M32" s="4">
        <f t="shared" si="304"/>
        <v>0</v>
      </c>
      <c r="N32" s="4">
        <f t="shared" si="304"/>
        <v>0</v>
      </c>
      <c r="O32" s="4">
        <f t="shared" si="304"/>
        <v>0</v>
      </c>
      <c r="P32" s="4">
        <f t="shared" si="304"/>
        <v>0</v>
      </c>
      <c r="Q32" s="4">
        <f t="shared" si="304"/>
        <v>0</v>
      </c>
      <c r="R32" s="4">
        <f t="shared" si="304"/>
        <v>0</v>
      </c>
      <c r="S32" s="4">
        <f t="shared" si="304"/>
        <v>0</v>
      </c>
      <c r="T32" s="4">
        <f t="shared" si="304"/>
        <v>0</v>
      </c>
      <c r="U32" s="4">
        <f t="shared" si="304"/>
        <v>0</v>
      </c>
      <c r="V32" s="4">
        <f t="shared" si="304"/>
        <v>0</v>
      </c>
      <c r="W32" s="4">
        <f t="shared" si="304"/>
        <v>0</v>
      </c>
      <c r="X32" s="4">
        <f t="shared" si="304"/>
        <v>0</v>
      </c>
      <c r="Y32" s="4">
        <f t="shared" si="304"/>
        <v>0</v>
      </c>
      <c r="Z32" s="4">
        <f t="shared" si="304"/>
        <v>16322120.990033351</v>
      </c>
      <c r="AA32" s="4">
        <f t="shared" si="304"/>
        <v>32773458.771237798</v>
      </c>
      <c r="AB32" s="4">
        <f t="shared" si="304"/>
        <v>49355036.309876785</v>
      </c>
      <c r="AC32" s="4">
        <f t="shared" si="304"/>
        <v>66067884.670696661</v>
      </c>
      <c r="AD32" s="4">
        <f t="shared" ref="AD32" si="305">AD31+AC32</f>
        <v>82913043.081039697</v>
      </c>
      <c r="AE32" s="4">
        <f t="shared" ref="AE32" si="306">AE31+AD32</f>
        <v>99891558.995464623</v>
      </c>
      <c r="AF32" s="4">
        <f t="shared" ref="AF32" si="307">AF31+AE32</f>
        <v>117004488.16087873</v>
      </c>
      <c r="AG32" s="4">
        <f t="shared" ref="AG32" si="308">AG31+AF32</f>
        <v>134252894.68218571</v>
      </c>
      <c r="AH32" s="4">
        <f t="shared" ref="AH32" si="309">AH31+AG32</f>
        <v>151637851.08845302</v>
      </c>
      <c r="AI32" s="4">
        <f t="shared" ref="AI32" si="310">AI31+AH32</f>
        <v>169160438.39960331</v>
      </c>
      <c r="AJ32" s="4">
        <f t="shared" ref="AJ32" si="311">AJ31+AI32</f>
        <v>186821746.19363353</v>
      </c>
      <c r="AK32" s="4">
        <f t="shared" ref="AK32" si="312">AK31+AJ32</f>
        <v>204622872.67436647</v>
      </c>
      <c r="AL32" s="4">
        <f t="shared" ref="AL32" si="313">AL31+AK32</f>
        <v>222564924.73973855</v>
      </c>
      <c r="AM32" s="4">
        <f t="shared" ref="AM32" si="314">AM31+AL32</f>
        <v>240649018.05062819</v>
      </c>
      <c r="AN32" s="4">
        <f t="shared" ref="AN32" si="315">AN31+AM32</f>
        <v>258876277.10022902</v>
      </c>
      <c r="AO32" s="4">
        <f t="shared" ref="AO32" si="316">AO31+AN32</f>
        <v>277247835.2839725</v>
      </c>
      <c r="AP32" s="4">
        <f t="shared" ref="AP32" si="317">AP31+AO32</f>
        <v>295764834.97000396</v>
      </c>
      <c r="AQ32" s="4">
        <f t="shared" ref="AQ32" si="318">AQ31+AP32</f>
        <v>314428427.57021654</v>
      </c>
      <c r="AR32" s="4">
        <f t="shared" ref="AR32" si="319">AR31+AQ32</f>
        <v>333239773.61184746</v>
      </c>
      <c r="AS32" s="4">
        <f t="shared" ref="AS32" si="320">AS31+AR32</f>
        <v>352200042.80964124</v>
      </c>
      <c r="AT32" s="4">
        <f t="shared" ref="AT32" si="321">AT31+AS32</f>
        <v>371310414.13858426</v>
      </c>
      <c r="AU32" s="4">
        <f t="shared" ref="AU32" si="322">AU31+AT32</f>
        <v>390572075.90721476</v>
      </c>
      <c r="AV32" s="4">
        <f t="shared" ref="AV32" si="323">AV31+AU32</f>
        <v>409986225.83151358</v>
      </c>
      <c r="AW32" s="4">
        <f t="shared" ref="AW32" si="324">AW31+AV32</f>
        <v>429554071.10937977</v>
      </c>
      <c r="AX32" s="4">
        <f t="shared" ref="AX32" si="325">AX31+AW32</f>
        <v>449276828.49569571</v>
      </c>
      <c r="AY32" s="4">
        <f t="shared" ref="AY32" si="326">AY31+AX32</f>
        <v>469155724.37798667</v>
      </c>
      <c r="AZ32" s="4">
        <f t="shared" ref="AZ32" si="327">AZ31+AY32</f>
        <v>489191994.85267907</v>
      </c>
      <c r="BA32" s="4">
        <f t="shared" ref="BA32" si="328">BA31+AZ32</f>
        <v>509386885.80196279</v>
      </c>
      <c r="BB32" s="4">
        <f t="shared" ref="BB32" si="329">BB31+BA32</f>
        <v>529741652.97126168</v>
      </c>
      <c r="BC32" s="4">
        <f t="shared" ref="BC32" si="330">BC31+BB32</f>
        <v>550257562.0473175</v>
      </c>
      <c r="BD32" s="4">
        <f t="shared" ref="BD32" si="331">BD31+BC32</f>
        <v>570935888.7368921</v>
      </c>
      <c r="BE32" s="4">
        <f t="shared" ref="BE32" si="332">BE31+BD32</f>
        <v>591777918.84609246</v>
      </c>
      <c r="BF32" s="4">
        <f t="shared" ref="BF32" si="333">BF31+BE32</f>
        <v>612784948.36032403</v>
      </c>
      <c r="BG32" s="4">
        <f t="shared" ref="BG32" si="334">BG31+BF32</f>
        <v>633958283.52487659</v>
      </c>
      <c r="BH32" s="4">
        <f t="shared" ref="BH32" si="335">BH31+BG32</f>
        <v>655299240.92614853</v>
      </c>
      <c r="BI32" s="4">
        <f t="shared" ref="BI32" si="336">BI31+BH32</f>
        <v>676809147.57351387</v>
      </c>
      <c r="BJ32" s="4">
        <f t="shared" ref="BJ32" si="337">BJ31+BI32</f>
        <v>698489340.98183751</v>
      </c>
      <c r="BK32" s="4">
        <f t="shared" ref="BK32" si="338">BK31+BJ32</f>
        <v>720341169.2546438</v>
      </c>
      <c r="BL32" s="4">
        <f t="shared" ref="BL32" si="339">BL31+BK32</f>
        <v>742365991.16794312</v>
      </c>
      <c r="BM32" s="4">
        <f t="shared" ref="BM32" si="340">BM31+BL32</f>
        <v>764565176.25472271</v>
      </c>
      <c r="BN32" s="4">
        <f t="shared" ref="BN32" si="341">BN31+BM32</f>
        <v>786940104.89010596</v>
      </c>
      <c r="BO32" s="4">
        <f t="shared" ref="BO32" si="342">BO31+BN32</f>
        <v>809492168.37718594</v>
      </c>
      <c r="BP32" s="4">
        <f t="shared" ref="BP32" si="343">BP31+BO32</f>
        <v>832222769.0335387</v>
      </c>
      <c r="BQ32" s="4">
        <f t="shared" ref="BQ32" si="344">BQ31+BP32</f>
        <v>855133320.27842093</v>
      </c>
      <c r="BR32" s="4">
        <f t="shared" ref="BR32" si="345">BR31+BQ32</f>
        <v>878225246.72065842</v>
      </c>
      <c r="BS32" s="4">
        <f t="shared" ref="BS32" si="346">BS31+BR32</f>
        <v>901499984.24723029</v>
      </c>
      <c r="BT32" s="4">
        <f t="shared" ref="BT32" si="347">BT31+BS32</f>
        <v>924958980.11255419</v>
      </c>
      <c r="BU32" s="4">
        <f t="shared" ref="BU32" si="348">BU31+BT32</f>
        <v>948603693.02847862</v>
      </c>
      <c r="BV32" s="4">
        <f t="shared" ref="BV32" si="349">BV31+BU32</f>
        <v>972435593.25498748</v>
      </c>
      <c r="BW32" s="4">
        <f t="shared" ref="BW32" si="350">BW31+BV32</f>
        <v>996456162.69162285</v>
      </c>
      <c r="BX32" s="4">
        <f t="shared" ref="BX32" si="351">BX31+BW32</f>
        <v>1020666894.9696316</v>
      </c>
      <c r="BY32" s="4">
        <f t="shared" ref="BY32" si="352">BY31+BX32</f>
        <v>1045069295.5448412</v>
      </c>
      <c r="BZ32" s="4">
        <f t="shared" ref="BZ32" si="353">BZ31+BY32</f>
        <v>1069664881.7912712</v>
      </c>
      <c r="CA32" s="4">
        <f t="shared" ref="CA32" si="354">CA31+BZ32</f>
        <v>1094455183.0954854</v>
      </c>
      <c r="CB32" s="4">
        <f t="shared" ref="CB32" si="355">CB31+CA32</f>
        <v>1119441740.9516914</v>
      </c>
      <c r="CC32" s="4">
        <f t="shared" ref="CC32" si="356">CC31+CB32</f>
        <v>1144626109.0575924</v>
      </c>
      <c r="CD32" s="4">
        <f t="shared" ref="CD32" si="357">CD31+CC32</f>
        <v>1170009853.4109983</v>
      </c>
      <c r="CE32" s="4">
        <f t="shared" ref="CE32" si="358">CE31+CD32</f>
        <v>1195594552.407202</v>
      </c>
      <c r="CF32" s="4">
        <f t="shared" ref="CF32" si="359">CF31+CE32</f>
        <v>1221381796.9371257</v>
      </c>
      <c r="CG32" s="4">
        <f t="shared" ref="CG32" si="360">CG31+CF32</f>
        <v>1247373190.4862447</v>
      </c>
      <c r="CH32" s="4">
        <f t="shared" ref="CH32" si="361">CH31+CG32</f>
        <v>1273570349.2342942</v>
      </c>
      <c r="CI32" s="4">
        <f t="shared" ref="CI32" si="362">CI31+CH32</f>
        <v>1299974902.1557658</v>
      </c>
      <c r="CJ32" s="4">
        <f t="shared" ref="CJ32" si="363">CJ31+CI32</f>
        <v>1326588491.1211989</v>
      </c>
      <c r="CK32" s="4">
        <f t="shared" ref="CK32" si="364">CK31+CJ32</f>
        <v>1353412770.999275</v>
      </c>
      <c r="CL32" s="4">
        <f t="shared" ref="CL32" si="365">CL31+CK32</f>
        <v>1380449409.7597191</v>
      </c>
      <c r="CM32" s="4">
        <f t="shared" ref="CM32" si="366">CM31+CL32</f>
        <v>1407700088.5770168</v>
      </c>
      <c r="CN32" s="4">
        <f t="shared" ref="CN32" si="367">CN31+CM32</f>
        <v>1435166501.9349515</v>
      </c>
      <c r="CO32" s="4">
        <f t="shared" ref="CO32" si="368">CO31+CN32</f>
        <v>1462850357.7319698</v>
      </c>
      <c r="CP32" s="4">
        <f t="shared" ref="CP32" si="369">CP31+CO32</f>
        <v>1490753377.3873813</v>
      </c>
      <c r="CQ32" s="4">
        <f t="shared" ref="CQ32" si="370">CQ31+CP32</f>
        <v>1518877295.9483981</v>
      </c>
      <c r="CR32" s="4">
        <f t="shared" ref="CR32" si="371">CR31+CQ32</f>
        <v>1547223862.1980228</v>
      </c>
      <c r="CS32" s="4">
        <f t="shared" ref="CS32" si="372">CS31+CR32</f>
        <v>1575794838.7637906</v>
      </c>
      <c r="CT32" s="4">
        <f t="shared" ref="CT32" si="373">CT31+CS32</f>
        <v>1604592002.2273707</v>
      </c>
      <c r="CU32" s="4">
        <f t="shared" ref="CU32" si="374">CU31+CT32</f>
        <v>1633617143.2350373</v>
      </c>
      <c r="CV32" s="4">
        <f t="shared" ref="CV32" si="375">CV31+CU32</f>
        <v>1662872066.6090147</v>
      </c>
      <c r="CW32" s="4">
        <f t="shared" ref="CW32" si="376">CW31+CV32</f>
        <v>1692358591.4597027</v>
      </c>
      <c r="CX32" s="4">
        <f t="shared" ref="CX32" si="377">CX31+CW32</f>
        <v>1722078551.2987921</v>
      </c>
      <c r="CY32" s="4">
        <f t="shared" ref="CY32" si="378">CY31+CX32</f>
        <v>1752033794.1532743</v>
      </c>
      <c r="CZ32" s="4">
        <f t="shared" ref="CZ32" si="379">CZ31+CY32</f>
        <v>1782226182.6803544</v>
      </c>
      <c r="DA32" s="4">
        <f t="shared" ref="DA32" si="380">DA31+CZ32</f>
        <v>1812657594.2832739</v>
      </c>
      <c r="DB32" s="4">
        <f t="shared" ref="DB32" si="381">DB31+DA32</f>
        <v>1843329921.2280498</v>
      </c>
      <c r="DC32" s="4">
        <f t="shared" ref="DC32" si="382">DC31+DB32</f>
        <v>1874245070.7611384</v>
      </c>
      <c r="DD32" s="4">
        <f t="shared" ref="DD32" si="383">DD31+DC32</f>
        <v>1905404965.2280309</v>
      </c>
      <c r="DE32" s="4">
        <f t="shared" ref="DE32" si="384">DE31+DD32</f>
        <v>1936811542.1927862</v>
      </c>
      <c r="DF32" s="4">
        <f t="shared" ref="DF32" si="385">DF31+DE32</f>
        <v>1968466754.5585124</v>
      </c>
      <c r="DG32" s="4">
        <f t="shared" ref="DG32" si="386">DG31+DF32</f>
        <v>2000372570.6888008</v>
      </c>
      <c r="DH32" s="4">
        <f t="shared" ref="DH32" si="387">DH31+DG32</f>
        <v>2032530974.5301206</v>
      </c>
      <c r="DI32" s="4">
        <f t="shared" ref="DI32" si="388">DI31+DH32</f>
        <v>2064943965.7351842</v>
      </c>
      <c r="DJ32" s="4">
        <f t="shared" ref="DJ32" si="389">DJ31+DI32</f>
        <v>2097613559.7872877</v>
      </c>
      <c r="DK32" s="4">
        <f t="shared" ref="DK32" si="390">DK31+DJ32</f>
        <v>2130541788.1256371</v>
      </c>
      <c r="DL32" s="4">
        <f t="shared" ref="DL32" si="391">DL31+DK32</f>
        <v>2163730698.2716651</v>
      </c>
      <c r="DM32" s="4">
        <f t="shared" ref="DM32" si="392">DM31+DL32</f>
        <v>2197182353.9563494</v>
      </c>
      <c r="DN32" s="4">
        <f t="shared" ref="DN32" si="393">DN31+DM32</f>
        <v>2230898835.2485371</v>
      </c>
      <c r="DO32" s="4">
        <f t="shared" ref="DO32" si="394">DO31+DN32</f>
        <v>2264882238.684288</v>
      </c>
      <c r="DP32" s="4">
        <f t="shared" ref="DP32" si="395">DP31+DO32</f>
        <v>2299134677.3972387</v>
      </c>
      <c r="DQ32" s="4">
        <f t="shared" ref="DQ32" si="396">DQ31+DP32</f>
        <v>2333658281.25</v>
      </c>
    </row>
    <row r="33" spans="1:122" x14ac:dyDescent="0.2">
      <c r="A33" s="3" t="s">
        <v>8</v>
      </c>
      <c r="B33" s="16">
        <v>0</v>
      </c>
      <c r="C33" s="16">
        <f>B33</f>
        <v>0</v>
      </c>
      <c r="D33" s="16">
        <f t="shared" ref="D33:Y33" si="397">C33</f>
        <v>0</v>
      </c>
      <c r="E33" s="16">
        <f t="shared" si="397"/>
        <v>0</v>
      </c>
      <c r="F33" s="16">
        <f t="shared" si="397"/>
        <v>0</v>
      </c>
      <c r="G33" s="16">
        <f t="shared" si="397"/>
        <v>0</v>
      </c>
      <c r="H33" s="16">
        <f t="shared" si="397"/>
        <v>0</v>
      </c>
      <c r="I33" s="16">
        <f t="shared" si="397"/>
        <v>0</v>
      </c>
      <c r="J33" s="16">
        <f t="shared" si="397"/>
        <v>0</v>
      </c>
      <c r="K33" s="16">
        <f t="shared" si="397"/>
        <v>0</v>
      </c>
      <c r="L33" s="16">
        <f t="shared" si="397"/>
        <v>0</v>
      </c>
      <c r="M33" s="16">
        <f t="shared" si="397"/>
        <v>0</v>
      </c>
      <c r="N33" s="16">
        <f t="shared" si="397"/>
        <v>0</v>
      </c>
      <c r="O33" s="16">
        <f t="shared" si="397"/>
        <v>0</v>
      </c>
      <c r="P33" s="16">
        <f t="shared" si="397"/>
        <v>0</v>
      </c>
      <c r="Q33" s="16">
        <f t="shared" si="397"/>
        <v>0</v>
      </c>
      <c r="R33" s="16">
        <f t="shared" si="397"/>
        <v>0</v>
      </c>
      <c r="S33" s="16">
        <f t="shared" si="397"/>
        <v>0</v>
      </c>
      <c r="T33" s="16">
        <f t="shared" si="397"/>
        <v>0</v>
      </c>
      <c r="U33" s="16">
        <f t="shared" si="397"/>
        <v>0</v>
      </c>
      <c r="V33" s="16">
        <f t="shared" si="397"/>
        <v>0</v>
      </c>
      <c r="W33" s="16">
        <f t="shared" si="397"/>
        <v>0</v>
      </c>
      <c r="X33" s="16">
        <f t="shared" si="397"/>
        <v>0</v>
      </c>
      <c r="Y33" s="16">
        <f t="shared" si="397"/>
        <v>0</v>
      </c>
      <c r="Z33" s="16">
        <f>Z29+Z31</f>
        <v>32333609.753054187</v>
      </c>
      <c r="AA33" s="16">
        <f t="shared" ref="AA33:AC33" si="398">AA29+AA31</f>
        <v>34796915.716595851</v>
      </c>
      <c r="AB33" s="16">
        <f t="shared" si="398"/>
        <v>34189737.77733063</v>
      </c>
      <c r="AC33" s="16">
        <f t="shared" si="398"/>
        <v>36605322.452173449</v>
      </c>
      <c r="AD33" s="16">
        <f t="shared" ref="AD33:CO33" si="399">AD29+AD31</f>
        <v>34796915.716595858</v>
      </c>
      <c r="AE33" s="16">
        <f t="shared" si="399"/>
        <v>35390862.376668222</v>
      </c>
      <c r="AF33" s="16">
        <f t="shared" si="399"/>
        <v>34796915.716595858</v>
      </c>
      <c r="AG33" s="16">
        <f t="shared" si="399"/>
        <v>34796915.716595851</v>
      </c>
      <c r="AH33" s="16">
        <f t="shared" si="399"/>
        <v>35957713.003951088</v>
      </c>
      <c r="AI33" s="16">
        <f t="shared" si="399"/>
        <v>33645293.822899483</v>
      </c>
      <c r="AJ33" s="16">
        <f t="shared" si="399"/>
        <v>35368102.647348046</v>
      </c>
      <c r="AK33" s="16">
        <f t="shared" si="399"/>
        <v>33663863.10087166</v>
      </c>
      <c r="AL33" s="16">
        <f t="shared" si="399"/>
        <v>36482402.081718236</v>
      </c>
      <c r="AM33" s="16">
        <f t="shared" si="399"/>
        <v>34796915.716595858</v>
      </c>
      <c r="AN33" s="16">
        <f t="shared" si="399"/>
        <v>35349237.605495691</v>
      </c>
      <c r="AO33" s="16">
        <f t="shared" si="399"/>
        <v>35344427.634357601</v>
      </c>
      <c r="AP33" s="16">
        <f t="shared" si="399"/>
        <v>34254251.848910376</v>
      </c>
      <c r="AQ33" s="16">
        <f t="shared" si="399"/>
        <v>35872470.591021404</v>
      </c>
      <c r="AR33" s="16">
        <f t="shared" si="399"/>
        <v>34796915.716595851</v>
      </c>
      <c r="AS33" s="16">
        <f t="shared" si="399"/>
        <v>34269027.499302447</v>
      </c>
      <c r="AT33" s="16">
        <f t="shared" si="399"/>
        <v>36365570.155361138</v>
      </c>
      <c r="AU33" s="16">
        <f t="shared" si="399"/>
        <v>33761232.120064832</v>
      </c>
      <c r="AV33" s="16">
        <f t="shared" si="399"/>
        <v>34796915.716595858</v>
      </c>
      <c r="AW33" s="16">
        <f t="shared" si="399"/>
        <v>35304551.397886842</v>
      </c>
      <c r="AX33" s="16">
        <f t="shared" si="399"/>
        <v>35299387.660938516</v>
      </c>
      <c r="AY33" s="16">
        <f t="shared" si="399"/>
        <v>34299648.38878569</v>
      </c>
      <c r="AZ33" s="16">
        <f t="shared" si="399"/>
        <v>35780958.732722752</v>
      </c>
      <c r="BA33" s="16">
        <f t="shared" si="399"/>
        <v>35283649.875506252</v>
      </c>
      <c r="BB33" s="16">
        <f t="shared" si="399"/>
        <v>33834105.813442729</v>
      </c>
      <c r="BC33" s="16">
        <f t="shared" si="399"/>
        <v>36225016.380649857</v>
      </c>
      <c r="BD33" s="16">
        <f t="shared" si="399"/>
        <v>34796915.716595858</v>
      </c>
      <c r="BE33" s="16">
        <f t="shared" si="399"/>
        <v>35262078.5701757</v>
      </c>
      <c r="BF33" s="16">
        <f t="shared" si="399"/>
        <v>35256578.590007998</v>
      </c>
      <c r="BG33" s="16">
        <f t="shared" si="399"/>
        <v>33888677.013126299</v>
      </c>
      <c r="BH33" s="16">
        <f t="shared" si="399"/>
        <v>34348383.772751726</v>
      </c>
      <c r="BI33" s="16">
        <f t="shared" si="399"/>
        <v>35682716.321211219</v>
      </c>
      <c r="BJ33" s="16">
        <f t="shared" si="399"/>
        <v>35234139.793538257</v>
      </c>
      <c r="BK33" s="16">
        <f t="shared" si="399"/>
        <v>33933909.887009874</v>
      </c>
      <c r="BL33" s="16">
        <f t="shared" si="399"/>
        <v>36074125.096925512</v>
      </c>
      <c r="BM33" s="16">
        <f t="shared" si="399"/>
        <v>34796915.716595843</v>
      </c>
      <c r="BN33" s="16">
        <f t="shared" si="399"/>
        <v>35210981.952636272</v>
      </c>
      <c r="BO33" s="16">
        <f t="shared" si="399"/>
        <v>35205077.457579717</v>
      </c>
      <c r="BP33" s="16">
        <f t="shared" si="399"/>
        <v>34394705.214587748</v>
      </c>
      <c r="BQ33" s="16">
        <f t="shared" si="399"/>
        <v>35589340.014710099</v>
      </c>
      <c r="BR33" s="16">
        <f t="shared" si="399"/>
        <v>35187082.02574113</v>
      </c>
      <c r="BS33" s="16">
        <f t="shared" si="399"/>
        <v>34028770.503927588</v>
      </c>
      <c r="BT33" s="16">
        <f t="shared" si="399"/>
        <v>35552777.040013984</v>
      </c>
      <c r="BU33" s="16">
        <f t="shared" si="399"/>
        <v>34796915.716595843</v>
      </c>
      <c r="BV33" s="16">
        <f t="shared" si="399"/>
        <v>34431415.200259618</v>
      </c>
      <c r="BW33" s="16">
        <f t="shared" si="399"/>
        <v>35515338.801926553</v>
      </c>
      <c r="BX33" s="16">
        <f t="shared" si="399"/>
        <v>35149788.497882083</v>
      </c>
      <c r="BY33" s="16">
        <f t="shared" si="399"/>
        <v>35143399.554642066</v>
      </c>
      <c r="BZ33" s="16">
        <f t="shared" si="399"/>
        <v>34796915.716595851</v>
      </c>
      <c r="CA33" s="16">
        <f t="shared" si="399"/>
        <v>34796915.716595851</v>
      </c>
      <c r="CB33" s="16">
        <f t="shared" si="399"/>
        <v>35123927.645275518</v>
      </c>
      <c r="CC33" s="16">
        <f t="shared" si="399"/>
        <v>35117333.970285684</v>
      </c>
      <c r="CD33" s="16">
        <f t="shared" si="399"/>
        <v>34483143.337822855</v>
      </c>
      <c r="CE33" s="16">
        <f t="shared" si="399"/>
        <v>34182767.93523638</v>
      </c>
      <c r="CF33" s="16">
        <f t="shared" si="399"/>
        <v>35697882.835263073</v>
      </c>
      <c r="CG33" s="16">
        <f t="shared" si="399"/>
        <v>34796915.716595851</v>
      </c>
      <c r="CH33" s="16">
        <f t="shared" si="399"/>
        <v>35083574.28221406</v>
      </c>
      <c r="CI33" s="16">
        <f t="shared" si="399"/>
        <v>34796915.716595858</v>
      </c>
      <c r="CJ33" s="16">
        <f t="shared" si="399"/>
        <v>34796915.716595851</v>
      </c>
      <c r="CK33" s="16">
        <f t="shared" si="399"/>
        <v>35328424.772497162</v>
      </c>
      <c r="CL33" s="16">
        <f t="shared" si="399"/>
        <v>34796915.716595858</v>
      </c>
      <c r="CM33" s="16">
        <f t="shared" si="399"/>
        <v>34545374.486619249</v>
      </c>
      <c r="CN33" s="16">
        <f t="shared" si="399"/>
        <v>35285615.87383993</v>
      </c>
      <c r="CO33" s="16">
        <f t="shared" si="399"/>
        <v>35034017.713915102</v>
      </c>
      <c r="CP33" s="16">
        <f t="shared" ref="CP33:DQ33" si="400">CP29+CP31</f>
        <v>35026712.251968667</v>
      </c>
      <c r="CQ33" s="16">
        <f t="shared" si="400"/>
        <v>34352049.239557244</v>
      </c>
      <c r="CR33" s="16">
        <f t="shared" si="400"/>
        <v>35011927.365494885</v>
      </c>
      <c r="CS33" s="16">
        <f t="shared" si="400"/>
        <v>34589384.411568239</v>
      </c>
      <c r="CT33" s="16">
        <f t="shared" si="400"/>
        <v>35196899.200130239</v>
      </c>
      <c r="CU33" s="16">
        <f t="shared" si="400"/>
        <v>34796915.716595858</v>
      </c>
      <c r="CV33" s="16">
        <f t="shared" si="400"/>
        <v>34612182.638508573</v>
      </c>
      <c r="CW33" s="16">
        <f t="shared" si="400"/>
        <v>35327954.803186633</v>
      </c>
      <c r="CX33" s="16">
        <f t="shared" si="400"/>
        <v>34796915.716595858</v>
      </c>
      <c r="CY33" s="16">
        <f t="shared" si="400"/>
        <v>34958304.811999641</v>
      </c>
      <c r="CZ33" s="16">
        <f t="shared" si="400"/>
        <v>34796915.716595851</v>
      </c>
      <c r="DA33" s="16">
        <f t="shared" si="400"/>
        <v>34796915.716595858</v>
      </c>
      <c r="DB33" s="16">
        <f t="shared" si="400"/>
        <v>35071888.301383846</v>
      </c>
      <c r="DC33" s="16">
        <f t="shared" si="400"/>
        <v>34538131.304362044</v>
      </c>
      <c r="DD33" s="16">
        <f t="shared" si="400"/>
        <v>34918149.758252636</v>
      </c>
      <c r="DE33" s="16">
        <f t="shared" si="400"/>
        <v>34570893.133139811</v>
      </c>
      <c r="DF33" s="16">
        <f t="shared" si="400"/>
        <v>35111086.051682815</v>
      </c>
      <c r="DG33" s="16">
        <f t="shared" si="400"/>
        <v>34796915.716595851</v>
      </c>
      <c r="DH33" s="16">
        <f t="shared" si="400"/>
        <v>34884866.112438388</v>
      </c>
      <c r="DI33" s="16">
        <f t="shared" si="400"/>
        <v>34876379.866980262</v>
      </c>
      <c r="DJ33" s="16">
        <f t="shared" si="400"/>
        <v>34726004.994446114</v>
      </c>
      <c r="DK33" s="16">
        <f t="shared" si="400"/>
        <v>34921494.875145614</v>
      </c>
      <c r="DL33" s="16">
        <f t="shared" si="400"/>
        <v>34796915.716595851</v>
      </c>
      <c r="DM33" s="16">
        <f t="shared" si="400"/>
        <v>34752073.715532131</v>
      </c>
      <c r="DN33" s="16">
        <f t="shared" si="400"/>
        <v>34904959.159036659</v>
      </c>
      <c r="DO33" s="16">
        <f t="shared" si="400"/>
        <v>34769798.64056769</v>
      </c>
      <c r="DP33" s="16">
        <f t="shared" si="400"/>
        <v>34778766.483141012</v>
      </c>
      <c r="DQ33" s="16">
        <f t="shared" si="400"/>
        <v>34815136.50751815</v>
      </c>
    </row>
    <row r="34" spans="1:122" ht="13.5" thickBot="1" x14ac:dyDescent="0.25">
      <c r="A34" s="6" t="s">
        <v>9</v>
      </c>
      <c r="B34" s="17">
        <f>B28-B31</f>
        <v>1500000000</v>
      </c>
      <c r="C34" s="17">
        <f t="shared" ref="C34:X34" si="401">C28-C31</f>
        <v>1500000000</v>
      </c>
      <c r="D34" s="17">
        <f t="shared" si="401"/>
        <v>1500000000</v>
      </c>
      <c r="E34" s="17">
        <f t="shared" si="401"/>
        <v>1500000000</v>
      </c>
      <c r="F34" s="17">
        <f t="shared" si="401"/>
        <v>1500000000</v>
      </c>
      <c r="G34" s="17">
        <f t="shared" si="401"/>
        <v>1500000000</v>
      </c>
      <c r="H34" s="17">
        <f t="shared" si="401"/>
        <v>1500000000</v>
      </c>
      <c r="I34" s="17">
        <f t="shared" si="401"/>
        <v>1500000000</v>
      </c>
      <c r="J34" s="17">
        <f t="shared" si="401"/>
        <v>1500000000</v>
      </c>
      <c r="K34" s="17">
        <f t="shared" si="401"/>
        <v>1500000000</v>
      </c>
      <c r="L34" s="17">
        <f t="shared" si="401"/>
        <v>1500000000</v>
      </c>
      <c r="M34" s="17">
        <f>M28+SUM(B29:M29)</f>
        <v>1642291666.6666667</v>
      </c>
      <c r="N34" s="17">
        <f t="shared" si="401"/>
        <v>1642291666.6666667</v>
      </c>
      <c r="O34" s="17">
        <f t="shared" si="401"/>
        <v>1842291666.6666667</v>
      </c>
      <c r="P34" s="17">
        <f t="shared" si="401"/>
        <v>1842291666.6666667</v>
      </c>
      <c r="Q34" s="17">
        <f t="shared" si="401"/>
        <v>1842291666.6666667</v>
      </c>
      <c r="R34" s="17">
        <f t="shared" si="401"/>
        <v>1842291666.6666667</v>
      </c>
      <c r="S34" s="17">
        <f t="shared" si="401"/>
        <v>2142291666.6666667</v>
      </c>
      <c r="T34" s="17">
        <f t="shared" si="401"/>
        <v>2142291666.6666667</v>
      </c>
      <c r="U34" s="17">
        <f t="shared" si="401"/>
        <v>2142291666.6666667</v>
      </c>
      <c r="V34" s="17">
        <f t="shared" si="401"/>
        <v>2142291666.6666667</v>
      </c>
      <c r="W34" s="17">
        <f t="shared" si="401"/>
        <v>2142291666.6666667</v>
      </c>
      <c r="X34" s="17">
        <f t="shared" si="401"/>
        <v>2142291666.6666667</v>
      </c>
      <c r="Y34" s="17">
        <f>Y28+SUM(N29:Y29)</f>
        <v>2333658281.25</v>
      </c>
      <c r="Z34" s="17">
        <f>Z28-Z31</f>
        <v>2317336160.2599669</v>
      </c>
      <c r="AA34" s="17">
        <f t="shared" ref="AA34:AC34" si="402">AA28-AA31</f>
        <v>2300884822.4787626</v>
      </c>
      <c r="AB34" s="17">
        <f t="shared" si="402"/>
        <v>2284303244.9401236</v>
      </c>
      <c r="AC34" s="17">
        <f t="shared" si="402"/>
        <v>2267590396.5793037</v>
      </c>
      <c r="AD34" s="17">
        <f t="shared" ref="AD34:CO34" si="403">AD28-AD31</f>
        <v>2250745238.1689606</v>
      </c>
      <c r="AE34" s="17">
        <f t="shared" si="403"/>
        <v>2233766722.2545357</v>
      </c>
      <c r="AF34" s="17">
        <f t="shared" si="403"/>
        <v>2216653793.0891213</v>
      </c>
      <c r="AG34" s="17">
        <f t="shared" si="403"/>
        <v>2199405386.5678144</v>
      </c>
      <c r="AH34" s="17">
        <f t="shared" si="403"/>
        <v>2182020430.1615472</v>
      </c>
      <c r="AI34" s="17">
        <f t="shared" si="403"/>
        <v>2164497842.8503971</v>
      </c>
      <c r="AJ34" s="17">
        <f t="shared" si="403"/>
        <v>2146836535.0563669</v>
      </c>
      <c r="AK34" s="17">
        <f t="shared" si="403"/>
        <v>2129035408.575634</v>
      </c>
      <c r="AL34" s="17">
        <f t="shared" si="403"/>
        <v>2111093356.510262</v>
      </c>
      <c r="AM34" s="17">
        <f t="shared" si="403"/>
        <v>2093009263.1993723</v>
      </c>
      <c r="AN34" s="17">
        <f t="shared" si="403"/>
        <v>2074782004.1497715</v>
      </c>
      <c r="AO34" s="17">
        <f t="shared" si="403"/>
        <v>2056410445.966028</v>
      </c>
      <c r="AP34" s="17">
        <f t="shared" si="403"/>
        <v>2037893446.2799964</v>
      </c>
      <c r="AQ34" s="17">
        <f t="shared" si="403"/>
        <v>2019229853.6797838</v>
      </c>
      <c r="AR34" s="17">
        <f t="shared" si="403"/>
        <v>2000418507.6381528</v>
      </c>
      <c r="AS34" s="17">
        <f t="shared" si="403"/>
        <v>1981458238.4403591</v>
      </c>
      <c r="AT34" s="17">
        <f t="shared" si="403"/>
        <v>1962347867.1114161</v>
      </c>
      <c r="AU34" s="17">
        <f t="shared" si="403"/>
        <v>1943086205.3427856</v>
      </c>
      <c r="AV34" s="17">
        <f t="shared" si="403"/>
        <v>1923672055.4184868</v>
      </c>
      <c r="AW34" s="17">
        <f t="shared" si="403"/>
        <v>1904104210.1406207</v>
      </c>
      <c r="AX34" s="17">
        <f t="shared" si="403"/>
        <v>1884381452.7543049</v>
      </c>
      <c r="AY34" s="17">
        <f t="shared" si="403"/>
        <v>1864502556.872014</v>
      </c>
      <c r="AZ34" s="17">
        <f t="shared" si="403"/>
        <v>1844466286.3973217</v>
      </c>
      <c r="BA34" s="17">
        <f t="shared" si="403"/>
        <v>1824271395.4480379</v>
      </c>
      <c r="BB34" s="17">
        <f t="shared" si="403"/>
        <v>1803916628.278739</v>
      </c>
      <c r="BC34" s="17">
        <f t="shared" si="403"/>
        <v>1783400719.2026832</v>
      </c>
      <c r="BD34" s="17">
        <f t="shared" si="403"/>
        <v>1762722392.5131085</v>
      </c>
      <c r="BE34" s="17">
        <f t="shared" si="403"/>
        <v>1741880362.403908</v>
      </c>
      <c r="BF34" s="17">
        <f t="shared" si="403"/>
        <v>1720873332.8896763</v>
      </c>
      <c r="BG34" s="17">
        <f t="shared" si="403"/>
        <v>1699699997.7251236</v>
      </c>
      <c r="BH34" s="17">
        <f t="shared" si="403"/>
        <v>1678359040.3238516</v>
      </c>
      <c r="BI34" s="17">
        <f t="shared" si="403"/>
        <v>1656849133.6764863</v>
      </c>
      <c r="BJ34" s="17">
        <f t="shared" si="403"/>
        <v>1635168940.2681625</v>
      </c>
      <c r="BK34" s="17">
        <f t="shared" si="403"/>
        <v>1613317111.9953563</v>
      </c>
      <c r="BL34" s="17">
        <f t="shared" si="403"/>
        <v>1591292290.082057</v>
      </c>
      <c r="BM34" s="17">
        <f t="shared" si="403"/>
        <v>1569093104.9952774</v>
      </c>
      <c r="BN34" s="17">
        <f t="shared" si="403"/>
        <v>1546718176.3598943</v>
      </c>
      <c r="BO34" s="17">
        <f t="shared" si="403"/>
        <v>1524166112.8728142</v>
      </c>
      <c r="BP34" s="17">
        <f t="shared" si="403"/>
        <v>1501435512.2164614</v>
      </c>
      <c r="BQ34" s="17">
        <f t="shared" si="403"/>
        <v>1478524960.9715793</v>
      </c>
      <c r="BR34" s="17">
        <f t="shared" si="403"/>
        <v>1455433034.5293417</v>
      </c>
      <c r="BS34" s="17">
        <f t="shared" si="403"/>
        <v>1432158297.0027697</v>
      </c>
      <c r="BT34" s="17">
        <f t="shared" si="403"/>
        <v>1408699301.1374457</v>
      </c>
      <c r="BU34" s="17">
        <f t="shared" si="403"/>
        <v>1385054588.2215214</v>
      </c>
      <c r="BV34" s="17">
        <f t="shared" si="403"/>
        <v>1361222687.9950125</v>
      </c>
      <c r="BW34" s="17">
        <f t="shared" si="403"/>
        <v>1337202118.5583773</v>
      </c>
      <c r="BX34" s="17">
        <f t="shared" si="403"/>
        <v>1312991386.2803686</v>
      </c>
      <c r="BY34" s="17">
        <f t="shared" si="403"/>
        <v>1288588985.7051589</v>
      </c>
      <c r="BZ34" s="17">
        <f t="shared" si="403"/>
        <v>1263993399.458729</v>
      </c>
      <c r="CA34" s="17">
        <f t="shared" si="403"/>
        <v>1239203098.1545148</v>
      </c>
      <c r="CB34" s="17">
        <f t="shared" si="403"/>
        <v>1214216540.2983088</v>
      </c>
      <c r="CC34" s="17">
        <f t="shared" si="403"/>
        <v>1189032172.1924078</v>
      </c>
      <c r="CD34" s="17">
        <f t="shared" si="403"/>
        <v>1163648427.8390019</v>
      </c>
      <c r="CE34" s="17">
        <f t="shared" si="403"/>
        <v>1138063728.8427982</v>
      </c>
      <c r="CF34" s="17">
        <f t="shared" si="403"/>
        <v>1112276484.3128746</v>
      </c>
      <c r="CG34" s="17">
        <f t="shared" si="403"/>
        <v>1086285090.7637556</v>
      </c>
      <c r="CH34" s="17">
        <f t="shared" si="403"/>
        <v>1060087932.0157061</v>
      </c>
      <c r="CI34" s="17">
        <f t="shared" si="403"/>
        <v>1033683379.0942346</v>
      </c>
      <c r="CJ34" s="17">
        <f t="shared" si="403"/>
        <v>1007069790.1288015</v>
      </c>
      <c r="CK34" s="17">
        <f t="shared" si="403"/>
        <v>980245510.25072527</v>
      </c>
      <c r="CL34" s="17">
        <f t="shared" si="403"/>
        <v>953208871.49028099</v>
      </c>
      <c r="CM34" s="17">
        <f t="shared" si="403"/>
        <v>925958192.67298317</v>
      </c>
      <c r="CN34" s="17">
        <f t="shared" si="403"/>
        <v>898491779.31504846</v>
      </c>
      <c r="CO34" s="17">
        <f t="shared" si="403"/>
        <v>870807923.51803005</v>
      </c>
      <c r="CP34" s="17">
        <f t="shared" ref="CP34:DQ34" si="404">CP28-CP31</f>
        <v>842904903.86261857</v>
      </c>
      <c r="CQ34" s="17">
        <f t="shared" si="404"/>
        <v>814780985.30160177</v>
      </c>
      <c r="CR34" s="17">
        <f t="shared" si="404"/>
        <v>786434419.05197692</v>
      </c>
      <c r="CS34" s="17">
        <f t="shared" si="404"/>
        <v>757863442.48620927</v>
      </c>
      <c r="CT34" s="17">
        <f t="shared" si="404"/>
        <v>729066279.02262926</v>
      </c>
      <c r="CU34" s="17">
        <f t="shared" si="404"/>
        <v>700041138.01496255</v>
      </c>
      <c r="CV34" s="17">
        <f t="shared" si="404"/>
        <v>670786214.64098513</v>
      </c>
      <c r="CW34" s="17">
        <f t="shared" si="404"/>
        <v>641299689.79029703</v>
      </c>
      <c r="CX34" s="17">
        <f t="shared" si="404"/>
        <v>611579729.95120764</v>
      </c>
      <c r="CY34" s="17">
        <f t="shared" si="404"/>
        <v>581624487.09672546</v>
      </c>
      <c r="CZ34" s="17">
        <f t="shared" si="404"/>
        <v>551432098.5696454</v>
      </c>
      <c r="DA34" s="17">
        <f t="shared" si="404"/>
        <v>521000686.96672589</v>
      </c>
      <c r="DB34" s="17">
        <f t="shared" si="404"/>
        <v>490328360.02194995</v>
      </c>
      <c r="DC34" s="17">
        <f t="shared" si="404"/>
        <v>459413210.4888612</v>
      </c>
      <c r="DD34" s="17">
        <f t="shared" si="404"/>
        <v>428253316.02196884</v>
      </c>
      <c r="DE34" s="17">
        <f t="shared" si="404"/>
        <v>396846739.0572136</v>
      </c>
      <c r="DF34" s="17">
        <f t="shared" si="404"/>
        <v>365191526.69148737</v>
      </c>
      <c r="DG34" s="17">
        <f t="shared" si="404"/>
        <v>333285710.56119913</v>
      </c>
      <c r="DH34" s="17">
        <f t="shared" si="404"/>
        <v>301127306.71987945</v>
      </c>
      <c r="DI34" s="17">
        <f t="shared" si="404"/>
        <v>268714315.51481599</v>
      </c>
      <c r="DJ34" s="17">
        <f t="shared" si="404"/>
        <v>236044721.46271244</v>
      </c>
      <c r="DK34" s="17">
        <f t="shared" si="404"/>
        <v>203116493.12436306</v>
      </c>
      <c r="DL34" s="17">
        <f t="shared" si="404"/>
        <v>169927582.97833508</v>
      </c>
      <c r="DM34" s="17">
        <f t="shared" si="404"/>
        <v>136475927.29365104</v>
      </c>
      <c r="DN34" s="17">
        <f t="shared" si="404"/>
        <v>102759446.00146326</v>
      </c>
      <c r="DO34" s="17">
        <f t="shared" si="404"/>
        <v>68776042.565712333</v>
      </c>
      <c r="DP34" s="17">
        <f t="shared" si="404"/>
        <v>34523603.852761701</v>
      </c>
      <c r="DQ34" s="17">
        <f t="shared" si="404"/>
        <v>2.0861625671386719E-7</v>
      </c>
    </row>
    <row r="35" spans="1:122" x14ac:dyDescent="0.2">
      <c r="C35" s="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7" spans="1:122" x14ac:dyDescent="0.2">
      <c r="A37" s="14" t="s">
        <v>64</v>
      </c>
      <c r="B37" s="119">
        <f>B27</f>
        <v>43266</v>
      </c>
      <c r="C37" s="119">
        <f t="shared" ref="C37:AC37" si="405">C27</f>
        <v>43296</v>
      </c>
      <c r="D37" s="119">
        <f t="shared" si="405"/>
        <v>43327</v>
      </c>
      <c r="E37" s="119">
        <f t="shared" si="405"/>
        <v>43358</v>
      </c>
      <c r="F37" s="119">
        <f t="shared" si="405"/>
        <v>43388</v>
      </c>
      <c r="G37" s="119">
        <f t="shared" si="405"/>
        <v>43419</v>
      </c>
      <c r="H37" s="119">
        <f t="shared" si="405"/>
        <v>43449</v>
      </c>
      <c r="I37" s="119">
        <f t="shared" si="405"/>
        <v>43480</v>
      </c>
      <c r="J37" s="119">
        <f t="shared" si="405"/>
        <v>43511</v>
      </c>
      <c r="K37" s="119">
        <f t="shared" si="405"/>
        <v>43539</v>
      </c>
      <c r="L37" s="119">
        <f t="shared" si="405"/>
        <v>43570</v>
      </c>
      <c r="M37" s="119">
        <f t="shared" si="405"/>
        <v>43605</v>
      </c>
      <c r="N37" s="119">
        <f t="shared" si="405"/>
        <v>43631</v>
      </c>
      <c r="O37" s="119">
        <f t="shared" si="405"/>
        <v>43661</v>
      </c>
      <c r="P37" s="119">
        <f t="shared" si="405"/>
        <v>43692</v>
      </c>
      <c r="Q37" s="119">
        <f t="shared" si="405"/>
        <v>43723</v>
      </c>
      <c r="R37" s="119">
        <f t="shared" si="405"/>
        <v>43753</v>
      </c>
      <c r="S37" s="119">
        <f t="shared" si="405"/>
        <v>43784</v>
      </c>
      <c r="T37" s="119">
        <f t="shared" si="405"/>
        <v>43814</v>
      </c>
      <c r="U37" s="119">
        <f t="shared" si="405"/>
        <v>43845</v>
      </c>
      <c r="V37" s="119">
        <f t="shared" si="405"/>
        <v>43876</v>
      </c>
      <c r="W37" s="119">
        <f t="shared" si="405"/>
        <v>43905</v>
      </c>
      <c r="X37" s="119">
        <f t="shared" si="405"/>
        <v>43936</v>
      </c>
      <c r="Y37" s="119">
        <f t="shared" si="405"/>
        <v>43971</v>
      </c>
      <c r="Z37" s="119">
        <f t="shared" si="405"/>
        <v>43997</v>
      </c>
      <c r="AA37" s="119">
        <f t="shared" si="405"/>
        <v>44027</v>
      </c>
      <c r="AB37" s="119">
        <f t="shared" si="405"/>
        <v>44056</v>
      </c>
      <c r="AC37" s="119">
        <f t="shared" si="405"/>
        <v>44089</v>
      </c>
      <c r="AD37" s="119">
        <f t="shared" ref="AD37:CO37" si="406">AD27</f>
        <v>44119</v>
      </c>
      <c r="AE37" s="119">
        <f t="shared" si="406"/>
        <v>44150</v>
      </c>
      <c r="AF37" s="119">
        <f t="shared" si="406"/>
        <v>44180</v>
      </c>
      <c r="AG37" s="119">
        <f t="shared" si="406"/>
        <v>44210</v>
      </c>
      <c r="AH37" s="119">
        <f t="shared" si="406"/>
        <v>44242</v>
      </c>
      <c r="AI37" s="119">
        <f t="shared" si="406"/>
        <v>44270</v>
      </c>
      <c r="AJ37" s="119">
        <f t="shared" si="406"/>
        <v>44301</v>
      </c>
      <c r="AK37" s="119">
        <f t="shared" si="406"/>
        <v>44329</v>
      </c>
      <c r="AL37" s="119">
        <f t="shared" si="406"/>
        <v>44362</v>
      </c>
      <c r="AM37" s="119">
        <f t="shared" si="406"/>
        <v>44392</v>
      </c>
      <c r="AN37" s="119">
        <f t="shared" si="406"/>
        <v>44423</v>
      </c>
      <c r="AO37" s="119">
        <f t="shared" si="406"/>
        <v>44454</v>
      </c>
      <c r="AP37" s="119">
        <f t="shared" si="406"/>
        <v>44483</v>
      </c>
      <c r="AQ37" s="119">
        <f t="shared" si="406"/>
        <v>44515</v>
      </c>
      <c r="AR37" s="119">
        <f t="shared" si="406"/>
        <v>44545</v>
      </c>
      <c r="AS37" s="119">
        <f t="shared" si="406"/>
        <v>44574</v>
      </c>
      <c r="AT37" s="119">
        <f t="shared" si="406"/>
        <v>44607</v>
      </c>
      <c r="AU37" s="119">
        <f t="shared" si="406"/>
        <v>44635</v>
      </c>
      <c r="AV37" s="119">
        <f t="shared" si="406"/>
        <v>44665</v>
      </c>
      <c r="AW37" s="119">
        <f t="shared" si="406"/>
        <v>44696</v>
      </c>
      <c r="AX37" s="119">
        <f t="shared" si="406"/>
        <v>44727</v>
      </c>
      <c r="AY37" s="119">
        <f t="shared" si="406"/>
        <v>44756</v>
      </c>
      <c r="AZ37" s="119">
        <f t="shared" si="406"/>
        <v>44788</v>
      </c>
      <c r="BA37" s="119">
        <f t="shared" si="406"/>
        <v>44819</v>
      </c>
      <c r="BB37" s="119">
        <f t="shared" si="406"/>
        <v>44847</v>
      </c>
      <c r="BC37" s="119">
        <f t="shared" si="406"/>
        <v>44880</v>
      </c>
      <c r="BD37" s="119">
        <f t="shared" si="406"/>
        <v>44910</v>
      </c>
      <c r="BE37" s="119">
        <f t="shared" si="406"/>
        <v>44941</v>
      </c>
      <c r="BF37" s="119">
        <f t="shared" si="406"/>
        <v>44972</v>
      </c>
      <c r="BG37" s="119">
        <f t="shared" si="406"/>
        <v>45000</v>
      </c>
      <c r="BH37" s="119">
        <f t="shared" si="406"/>
        <v>45029</v>
      </c>
      <c r="BI37" s="119">
        <f t="shared" si="406"/>
        <v>45061</v>
      </c>
      <c r="BJ37" s="119">
        <f t="shared" si="406"/>
        <v>45092</v>
      </c>
      <c r="BK37" s="119">
        <f t="shared" si="406"/>
        <v>45120</v>
      </c>
      <c r="BL37" s="119">
        <f t="shared" si="406"/>
        <v>45153</v>
      </c>
      <c r="BM37" s="119">
        <f t="shared" si="406"/>
        <v>45183</v>
      </c>
      <c r="BN37" s="119">
        <f t="shared" si="406"/>
        <v>45214</v>
      </c>
      <c r="BO37" s="119">
        <f t="shared" si="406"/>
        <v>45245</v>
      </c>
      <c r="BP37" s="119">
        <f t="shared" si="406"/>
        <v>45274</v>
      </c>
      <c r="BQ37" s="119">
        <f t="shared" si="406"/>
        <v>45306</v>
      </c>
      <c r="BR37" s="119">
        <f t="shared" si="406"/>
        <v>45337</v>
      </c>
      <c r="BS37" s="119">
        <f t="shared" si="406"/>
        <v>45365</v>
      </c>
      <c r="BT37" s="119">
        <f t="shared" si="406"/>
        <v>45397</v>
      </c>
      <c r="BU37" s="119">
        <f t="shared" si="406"/>
        <v>45427</v>
      </c>
      <c r="BV37" s="119">
        <f t="shared" si="406"/>
        <v>45456</v>
      </c>
      <c r="BW37" s="119">
        <f t="shared" si="406"/>
        <v>45488</v>
      </c>
      <c r="BX37" s="119">
        <f t="shared" si="406"/>
        <v>45519</v>
      </c>
      <c r="BY37" s="119">
        <f t="shared" si="406"/>
        <v>45550</v>
      </c>
      <c r="BZ37" s="119">
        <f t="shared" si="406"/>
        <v>45580</v>
      </c>
      <c r="CA37" s="119">
        <f t="shared" si="406"/>
        <v>45610</v>
      </c>
      <c r="CB37" s="119">
        <f t="shared" si="406"/>
        <v>45641</v>
      </c>
      <c r="CC37" s="119">
        <f t="shared" si="406"/>
        <v>45672</v>
      </c>
      <c r="CD37" s="119">
        <f t="shared" si="406"/>
        <v>45701</v>
      </c>
      <c r="CE37" s="119">
        <f t="shared" si="406"/>
        <v>45729</v>
      </c>
      <c r="CF37" s="119">
        <f t="shared" si="406"/>
        <v>45762</v>
      </c>
      <c r="CG37" s="119">
        <f t="shared" si="406"/>
        <v>45792</v>
      </c>
      <c r="CH37" s="119">
        <f t="shared" si="406"/>
        <v>45823</v>
      </c>
      <c r="CI37" s="119">
        <f t="shared" si="406"/>
        <v>45853</v>
      </c>
      <c r="CJ37" s="119">
        <f t="shared" si="406"/>
        <v>45883</v>
      </c>
      <c r="CK37" s="119">
        <f t="shared" si="406"/>
        <v>45915</v>
      </c>
      <c r="CL37" s="119">
        <f t="shared" si="406"/>
        <v>45945</v>
      </c>
      <c r="CM37" s="119">
        <f t="shared" si="406"/>
        <v>45974</v>
      </c>
      <c r="CN37" s="119">
        <f t="shared" si="406"/>
        <v>46006</v>
      </c>
      <c r="CO37" s="119">
        <f t="shared" si="406"/>
        <v>46037</v>
      </c>
      <c r="CP37" s="119">
        <f t="shared" ref="CP37:DQ37" si="407">CP27</f>
        <v>46068</v>
      </c>
      <c r="CQ37" s="119">
        <f t="shared" si="407"/>
        <v>46096</v>
      </c>
      <c r="CR37" s="119">
        <f t="shared" si="407"/>
        <v>46127</v>
      </c>
      <c r="CS37" s="119">
        <f t="shared" si="407"/>
        <v>46156</v>
      </c>
      <c r="CT37" s="119">
        <f t="shared" si="407"/>
        <v>46188</v>
      </c>
      <c r="CU37" s="119">
        <f t="shared" si="407"/>
        <v>46218</v>
      </c>
      <c r="CV37" s="119">
        <f t="shared" si="407"/>
        <v>46247</v>
      </c>
      <c r="CW37" s="119">
        <f t="shared" si="407"/>
        <v>46280</v>
      </c>
      <c r="CX37" s="119">
        <f t="shared" si="407"/>
        <v>46310</v>
      </c>
      <c r="CY37" s="119">
        <f t="shared" si="407"/>
        <v>46341</v>
      </c>
      <c r="CZ37" s="119">
        <f t="shared" si="407"/>
        <v>46371</v>
      </c>
      <c r="DA37" s="119">
        <f t="shared" si="407"/>
        <v>46401</v>
      </c>
      <c r="DB37" s="119">
        <f t="shared" si="407"/>
        <v>46433</v>
      </c>
      <c r="DC37" s="119">
        <f t="shared" si="407"/>
        <v>46461</v>
      </c>
      <c r="DD37" s="119">
        <f t="shared" si="407"/>
        <v>46492</v>
      </c>
      <c r="DE37" s="119">
        <f t="shared" si="407"/>
        <v>46520</v>
      </c>
      <c r="DF37" s="119">
        <f t="shared" si="407"/>
        <v>46553</v>
      </c>
      <c r="DG37" s="119">
        <f t="shared" si="407"/>
        <v>46583</v>
      </c>
      <c r="DH37" s="119">
        <f t="shared" si="407"/>
        <v>46614</v>
      </c>
      <c r="DI37" s="119">
        <f t="shared" si="407"/>
        <v>46645</v>
      </c>
      <c r="DJ37" s="119">
        <f t="shared" si="407"/>
        <v>46674</v>
      </c>
      <c r="DK37" s="119">
        <f t="shared" si="407"/>
        <v>46706</v>
      </c>
      <c r="DL37" s="119">
        <f t="shared" si="407"/>
        <v>46736</v>
      </c>
      <c r="DM37" s="119">
        <f t="shared" si="407"/>
        <v>46765</v>
      </c>
      <c r="DN37" s="119">
        <f t="shared" si="407"/>
        <v>46798</v>
      </c>
      <c r="DO37" s="119">
        <f t="shared" si="407"/>
        <v>46827</v>
      </c>
      <c r="DP37" s="119">
        <f t="shared" si="407"/>
        <v>46856</v>
      </c>
      <c r="DQ37" s="119">
        <f t="shared" si="407"/>
        <v>46888</v>
      </c>
    </row>
    <row r="38" spans="1:122" x14ac:dyDescent="0.2">
      <c r="B38" s="9">
        <f>AVERAGE($Z$33)</f>
        <v>32333609.753054187</v>
      </c>
      <c r="C38" s="9">
        <f t="shared" ref="C38:Y38" si="408">AVERAGE($Z$33)</f>
        <v>32333609.753054187</v>
      </c>
      <c r="D38" s="9">
        <f t="shared" si="408"/>
        <v>32333609.753054187</v>
      </c>
      <c r="E38" s="9">
        <f t="shared" si="408"/>
        <v>32333609.753054187</v>
      </c>
      <c r="F38" s="9">
        <f t="shared" si="408"/>
        <v>32333609.753054187</v>
      </c>
      <c r="G38" s="9">
        <f t="shared" si="408"/>
        <v>32333609.753054187</v>
      </c>
      <c r="H38" s="9">
        <f t="shared" si="408"/>
        <v>32333609.753054187</v>
      </c>
      <c r="I38" s="9">
        <f t="shared" si="408"/>
        <v>32333609.753054187</v>
      </c>
      <c r="J38" s="9">
        <f t="shared" si="408"/>
        <v>32333609.753054187</v>
      </c>
      <c r="K38" s="9">
        <f t="shared" si="408"/>
        <v>32333609.753054187</v>
      </c>
      <c r="L38" s="9">
        <f t="shared" si="408"/>
        <v>32333609.753054187</v>
      </c>
      <c r="M38" s="9">
        <f t="shared" si="408"/>
        <v>32333609.753054187</v>
      </c>
      <c r="N38" s="9">
        <f t="shared" si="408"/>
        <v>32333609.753054187</v>
      </c>
      <c r="O38" s="9">
        <f t="shared" si="408"/>
        <v>32333609.753054187</v>
      </c>
      <c r="P38" s="9">
        <f t="shared" si="408"/>
        <v>32333609.753054187</v>
      </c>
      <c r="Q38" s="9">
        <f t="shared" si="408"/>
        <v>32333609.753054187</v>
      </c>
      <c r="R38" s="9">
        <f t="shared" si="408"/>
        <v>32333609.753054187</v>
      </c>
      <c r="S38" s="9">
        <f t="shared" si="408"/>
        <v>32333609.753054187</v>
      </c>
      <c r="T38" s="9">
        <f t="shared" si="408"/>
        <v>32333609.753054187</v>
      </c>
      <c r="U38" s="9">
        <f t="shared" si="408"/>
        <v>32333609.753054187</v>
      </c>
      <c r="V38" s="9">
        <f t="shared" si="408"/>
        <v>32333609.753054187</v>
      </c>
      <c r="W38" s="9">
        <f t="shared" si="408"/>
        <v>32333609.753054187</v>
      </c>
      <c r="X38" s="9">
        <f t="shared" si="408"/>
        <v>32333609.753054187</v>
      </c>
      <c r="Y38" s="9">
        <f t="shared" si="408"/>
        <v>32333609.753054187</v>
      </c>
      <c r="Z38" s="9">
        <f>AVERAGE($Z$33)</f>
        <v>32333609.753054187</v>
      </c>
      <c r="AA38" s="9">
        <f>AVERAGE($Z$33:AA33)</f>
        <v>33565262.734825015</v>
      </c>
      <c r="AB38" s="9">
        <f>AVERAGE($Z$33:AB33)</f>
        <v>33773421.082326889</v>
      </c>
      <c r="AC38" s="9">
        <f>AVERAGE($Z$33:AC33)</f>
        <v>34481396.424788527</v>
      </c>
      <c r="AD38" s="9">
        <f>AVERAGE($Z$33:AD33)</f>
        <v>34544500.283149995</v>
      </c>
      <c r="AE38" s="9">
        <f>AVERAGE($Z$33:AE33)</f>
        <v>34685560.632069699</v>
      </c>
      <c r="AF38" s="9">
        <f>AVERAGE($Z$33:AF33)</f>
        <v>34701468.501287721</v>
      </c>
      <c r="AG38" s="9">
        <f>AVERAGE($Z$33:AG33)</f>
        <v>34713399.403201237</v>
      </c>
      <c r="AH38" s="9">
        <f>AVERAGE($Z$33:AH33)</f>
        <v>34851656.46995122</v>
      </c>
      <c r="AI38" s="9">
        <f>AVERAGE($Z$33:AI33)</f>
        <v>34731020.205246046</v>
      </c>
      <c r="AJ38" s="9">
        <f>AVERAGE($Z$33:AJ33)</f>
        <v>34788936.790891677</v>
      </c>
      <c r="AK38" s="9">
        <f>AVERAGE($Z$33:AK33)</f>
        <v>34695180.650056683</v>
      </c>
      <c r="AL38" s="9">
        <f>AVERAGE($Z$33:AL33)</f>
        <v>34832659.221722953</v>
      </c>
      <c r="AM38" s="9">
        <f>AVERAGE($Z$33:AM33)</f>
        <v>34830106.114213876</v>
      </c>
      <c r="AN38" s="9">
        <f>AVERAGE($Z$33:AN33)</f>
        <v>34864714.88029933</v>
      </c>
      <c r="AO38" s="9">
        <f>AVERAGE($Z$33:AO33)</f>
        <v>34894696.92742797</v>
      </c>
      <c r="AP38" s="9">
        <f>AVERAGE($Z$33:AP33)</f>
        <v>34857023.687515169</v>
      </c>
      <c r="AQ38" s="9">
        <f>AVERAGE($Z$33:AQ33)</f>
        <v>34913437.404376626</v>
      </c>
      <c r="AR38" s="9">
        <f>AVERAGE($Z$33:AR33)</f>
        <v>34907304.683967113</v>
      </c>
      <c r="AS38" s="9">
        <f>AVERAGE($Z$33:AS33)</f>
        <v>34875390.824733876</v>
      </c>
      <c r="AT38" s="9">
        <f>AVERAGE($Z$33:AT33)</f>
        <v>34946351.745239936</v>
      </c>
      <c r="AU38" s="9">
        <f>AVERAGE($Z$33:AU33)</f>
        <v>34892482.671368346</v>
      </c>
      <c r="AV38" s="9">
        <f>AVERAGE($Z$33:AV33)</f>
        <v>34888327.586378239</v>
      </c>
      <c r="AW38" s="9">
        <f>AVERAGE($Z$33:AW33)</f>
        <v>34905670.245191097</v>
      </c>
      <c r="AX38" s="9">
        <f>AVERAGE($Z$33:AX33)</f>
        <v>34921418.941820994</v>
      </c>
      <c r="AY38" s="9">
        <f>AVERAGE($Z$33:AY33)</f>
        <v>34897504.689781174</v>
      </c>
      <c r="AZ38" s="9">
        <f>AVERAGE($Z$33:AZ33)</f>
        <v>34930225.20989012</v>
      </c>
      <c r="BA38" s="9">
        <f>AVERAGE($Z$33:BA33)</f>
        <v>34942847.519376412</v>
      </c>
      <c r="BB38" s="9">
        <f>AVERAGE($Z$33:BB33)</f>
        <v>34904615.046758011</v>
      </c>
      <c r="BC38" s="9">
        <f>AVERAGE($Z$33:BC33)</f>
        <v>34948628.4245544</v>
      </c>
      <c r="BD38" s="9">
        <f>AVERAGE($Z$33:BD33)</f>
        <v>34943734.466233164</v>
      </c>
      <c r="BE38" s="9">
        <f>AVERAGE($Z$33:BE33)</f>
        <v>34953682.719481364</v>
      </c>
      <c r="BF38" s="9">
        <f>AVERAGE($Z$33:BF33)</f>
        <v>34962861.382224597</v>
      </c>
      <c r="BG38" s="9">
        <f>AVERAGE($Z$33:BG33)</f>
        <v>34931267.724309944</v>
      </c>
      <c r="BH38" s="9">
        <f>AVERAGE($Z$33:BH33)</f>
        <v>34914613.897122569</v>
      </c>
      <c r="BI38" s="9">
        <f>AVERAGE($Z$33:BI33)</f>
        <v>34935950.075569473</v>
      </c>
      <c r="BJ38" s="9">
        <f>AVERAGE($Z$33:BJ33)</f>
        <v>34944009.257136196</v>
      </c>
      <c r="BK38" s="9">
        <f>AVERAGE($Z$33:BK33)</f>
        <v>34917427.69476445</v>
      </c>
      <c r="BL38" s="9">
        <f>AVERAGE($Z$33:BL33)</f>
        <v>34947086.602512173</v>
      </c>
      <c r="BM38" s="9">
        <f>AVERAGE($Z$33:BM33)</f>
        <v>34943332.330364265</v>
      </c>
      <c r="BN38" s="9">
        <f>AVERAGE($Z$33:BN33)</f>
        <v>34949860.369931869</v>
      </c>
      <c r="BO38" s="9">
        <f>AVERAGE($Z$33:BO33)</f>
        <v>34955936.967256822</v>
      </c>
      <c r="BP38" s="9">
        <f>AVERAGE($Z$33:BP33)</f>
        <v>34942885.066031955</v>
      </c>
      <c r="BQ38" s="9">
        <f>AVERAGE($Z$33:BQ33)</f>
        <v>34957577.223956458</v>
      </c>
      <c r="BR38" s="9">
        <f>AVERAGE($Z$33:BR33)</f>
        <v>34962677.330662787</v>
      </c>
      <c r="BS38" s="9">
        <f>AVERAGE($Z$33:BS33)</f>
        <v>34942375.008342452</v>
      </c>
      <c r="BT38" s="9">
        <f>AVERAGE($Z$33:BT33)</f>
        <v>34955362.285612062</v>
      </c>
      <c r="BU38" s="9">
        <f>AVERAGE($Z$33:BU33)</f>
        <v>34952061.315424226</v>
      </c>
      <c r="BV38" s="9">
        <f>AVERAGE($Z$33:BV33)</f>
        <v>34941435.8845025</v>
      </c>
      <c r="BW38" s="9">
        <f>AVERAGE($Z$33:BW33)</f>
        <v>34952913.942850977</v>
      </c>
      <c r="BX38" s="9">
        <f>AVERAGE($Z$33:BX33)</f>
        <v>34956774.228243746</v>
      </c>
      <c r="BY38" s="9">
        <f>AVERAGE($Z$33:BY33)</f>
        <v>34960363.176828332</v>
      </c>
      <c r="BZ38" s="9">
        <f>AVERAGE($Z$33:BZ33)</f>
        <v>34957279.26248432</v>
      </c>
      <c r="CA38" s="9">
        <f>AVERAGE($Z$33:CA33)</f>
        <v>34954309.567190088</v>
      </c>
      <c r="CB38" s="9">
        <f>AVERAGE($Z$33:CB33)</f>
        <v>34957393.532246187</v>
      </c>
      <c r="CC38" s="9">
        <f>AVERAGE($Z$33:CC33)</f>
        <v>34960249.611496896</v>
      </c>
      <c r="CD38" s="9">
        <f>AVERAGE($Z$33:CD33)</f>
        <v>34951879.325993843</v>
      </c>
      <c r="CE38" s="9">
        <f>AVERAGE($Z$33:CE33)</f>
        <v>34938618.784773886</v>
      </c>
      <c r="CF38" s="9">
        <f>AVERAGE($Z$33:CF33)</f>
        <v>34951487.666985571</v>
      </c>
      <c r="CG38" s="9">
        <f>AVERAGE($Z$33:CG33)</f>
        <v>34948911.467812404</v>
      </c>
      <c r="CH38" s="9">
        <f>AVERAGE($Z$33:CH33)</f>
        <v>34951119.054933749</v>
      </c>
      <c r="CI38" s="9">
        <f>AVERAGE($Z$33:CI33)</f>
        <v>34948631.904315397</v>
      </c>
      <c r="CJ38" s="9">
        <f>AVERAGE($Z$33:CJ33)</f>
        <v>34946223.710859522</v>
      </c>
      <c r="CK38" s="9">
        <f>AVERAGE($Z$33:CK33)</f>
        <v>34952195.602447614</v>
      </c>
      <c r="CL38" s="9">
        <f>AVERAGE($Z$33:CL33)</f>
        <v>34949806.681126818</v>
      </c>
      <c r="CM38" s="9">
        <f>AVERAGE($Z$33:CM33)</f>
        <v>34943678.920603976</v>
      </c>
      <c r="CN38" s="9">
        <f>AVERAGE($Z$33:CN33)</f>
        <v>34948782.457219437</v>
      </c>
      <c r="CO38" s="9">
        <f>AVERAGE($Z$33:CO33)</f>
        <v>34950035.916876726</v>
      </c>
      <c r="CP38" s="9">
        <f>AVERAGE($Z$33:CP33)</f>
        <v>34951147.168109939</v>
      </c>
      <c r="CQ38" s="9">
        <f>AVERAGE($Z$33:CQ33)</f>
        <v>34942588.626273476</v>
      </c>
      <c r="CR38" s="9">
        <f>AVERAGE($Z$33:CR33)</f>
        <v>34943565.228234336</v>
      </c>
      <c r="CS38" s="9">
        <f>AVERAGE($Z$33:CS33)</f>
        <v>34938646.050225087</v>
      </c>
      <c r="CT38" s="9">
        <f>AVERAGE($Z$33:CT33)</f>
        <v>34942183.764607348</v>
      </c>
      <c r="CU38" s="9">
        <f>AVERAGE($Z$33:CU33)</f>
        <v>34940220.682877466</v>
      </c>
      <c r="CV38" s="9">
        <f>AVERAGE($Z$33:CV33)</f>
        <v>34935846.842285879</v>
      </c>
      <c r="CW38" s="9">
        <f>AVERAGE($Z$33:CW33)</f>
        <v>34941006.157560885</v>
      </c>
      <c r="CX38" s="9">
        <f>AVERAGE($Z$33:CX33)</f>
        <v>34939134.853132769</v>
      </c>
      <c r="CY38" s="9">
        <f>AVERAGE($Z$33:CY33)</f>
        <v>34939380.621836193</v>
      </c>
      <c r="CZ38" s="9">
        <f>AVERAGE($Z$33:CZ33)</f>
        <v>34937577.268605299</v>
      </c>
      <c r="DA38" s="9">
        <f>AVERAGE($Z$33:DA33)</f>
        <v>34935818.99920518</v>
      </c>
      <c r="DB38" s="9">
        <f>AVERAGE($Z$33:DB33)</f>
        <v>34937498.867133312</v>
      </c>
      <c r="DC38" s="9">
        <f>AVERAGE($Z$33:DC33)</f>
        <v>34932628.531001955</v>
      </c>
      <c r="DD38" s="9">
        <f>AVERAGE($Z$33:DD33)</f>
        <v>34932454.087956779</v>
      </c>
      <c r="DE38" s="9">
        <f>AVERAGE($Z$33:DE33)</f>
        <v>34928149.790875621</v>
      </c>
      <c r="DF38" s="9">
        <f>AVERAGE($Z$33:DF33)</f>
        <v>34930301.982179239</v>
      </c>
      <c r="DG38" s="9">
        <f>AVERAGE($Z$33:DG33)</f>
        <v>34928750.979091056</v>
      </c>
      <c r="DH38" s="9">
        <f>AVERAGE($Z$33:DH33)</f>
        <v>34928246.555336423</v>
      </c>
      <c r="DI38" s="9">
        <f>AVERAGE($Z$33:DI33)</f>
        <v>34927657.16115056</v>
      </c>
      <c r="DJ38" s="9">
        <f>AVERAGE($Z$33:DJ33)</f>
        <v>34925391.406468488</v>
      </c>
      <c r="DK38" s="9">
        <f>AVERAGE($Z$33:DK33)</f>
        <v>34925348.111676008</v>
      </c>
      <c r="DL38" s="9">
        <f>AVERAGE($Z$33:DL33)</f>
        <v>34923936.76667513</v>
      </c>
      <c r="DM38" s="9">
        <f>AVERAGE($Z$33:DM33)</f>
        <v>34922068.690032266</v>
      </c>
      <c r="DN38" s="9">
        <f>AVERAGE($Z$33:DN33)</f>
        <v>34921884.716580704</v>
      </c>
      <c r="DO38" s="9">
        <f>AVERAGE($Z$33:DO33)</f>
        <v>34920266.779601842</v>
      </c>
      <c r="DP38" s="9">
        <f>AVERAGE($Z$33:DP33)</f>
        <v>34918777.30279699</v>
      </c>
      <c r="DQ38" s="9">
        <f>AVERAGE($Z$33:DQ33)</f>
        <v>34917697.711179502</v>
      </c>
    </row>
    <row r="40" spans="1:122" x14ac:dyDescent="0.2">
      <c r="A40" s="129" t="s">
        <v>71</v>
      </c>
      <c r="B40" s="130">
        <f>SUM(B29:Y29)</f>
        <v>333658281.25</v>
      </c>
    </row>
    <row r="42" spans="1:122" x14ac:dyDescent="0.2">
      <c r="A42" s="81" t="s">
        <v>72</v>
      </c>
      <c r="B42" s="80">
        <v>43251</v>
      </c>
      <c r="C42" s="80">
        <f>EOMONTH(B42,1)</f>
        <v>43281</v>
      </c>
      <c r="D42" s="80">
        <f>EOMONTH(C42,1)</f>
        <v>43312</v>
      </c>
      <c r="E42" s="80">
        <f>EOMONTH(D42,1)</f>
        <v>43343</v>
      </c>
      <c r="F42" s="80">
        <f>EOMONTH(E42,1)</f>
        <v>43373</v>
      </c>
      <c r="G42" s="80">
        <f t="shared" ref="G42:BO42" si="409">EOMONTH(F42,1)</f>
        <v>43404</v>
      </c>
      <c r="H42" s="80">
        <f t="shared" si="409"/>
        <v>43434</v>
      </c>
      <c r="I42" s="80">
        <f t="shared" si="409"/>
        <v>43465</v>
      </c>
      <c r="J42" s="80">
        <f t="shared" si="409"/>
        <v>43496</v>
      </c>
      <c r="K42" s="80">
        <f t="shared" si="409"/>
        <v>43524</v>
      </c>
      <c r="L42" s="80">
        <f t="shared" si="409"/>
        <v>43555</v>
      </c>
      <c r="M42" s="80">
        <f t="shared" si="409"/>
        <v>43585</v>
      </c>
      <c r="N42" s="80">
        <f t="shared" si="409"/>
        <v>43616</v>
      </c>
      <c r="O42" s="80">
        <f t="shared" si="409"/>
        <v>43646</v>
      </c>
      <c r="P42" s="80">
        <f t="shared" si="409"/>
        <v>43677</v>
      </c>
      <c r="Q42" s="80">
        <f t="shared" si="409"/>
        <v>43708</v>
      </c>
      <c r="R42" s="80">
        <f t="shared" si="409"/>
        <v>43738</v>
      </c>
      <c r="S42" s="80">
        <f t="shared" si="409"/>
        <v>43769</v>
      </c>
      <c r="T42" s="80">
        <f t="shared" si="409"/>
        <v>43799</v>
      </c>
      <c r="U42" s="80">
        <f t="shared" si="409"/>
        <v>43830</v>
      </c>
      <c r="V42" s="80">
        <f t="shared" si="409"/>
        <v>43861</v>
      </c>
      <c r="W42" s="80">
        <f t="shared" si="409"/>
        <v>43890</v>
      </c>
      <c r="X42" s="80">
        <f t="shared" si="409"/>
        <v>43921</v>
      </c>
      <c r="Y42" s="80">
        <f t="shared" si="409"/>
        <v>43951</v>
      </c>
      <c r="Z42" s="80">
        <f t="shared" si="409"/>
        <v>43982</v>
      </c>
      <c r="AA42" s="80">
        <f t="shared" si="409"/>
        <v>44012</v>
      </c>
      <c r="AB42" s="80">
        <f t="shared" si="409"/>
        <v>44043</v>
      </c>
      <c r="AC42" s="80">
        <f t="shared" si="409"/>
        <v>44074</v>
      </c>
      <c r="AD42" s="80">
        <f t="shared" si="409"/>
        <v>44104</v>
      </c>
      <c r="AE42" s="80">
        <f t="shared" si="409"/>
        <v>44135</v>
      </c>
      <c r="AF42" s="80">
        <f t="shared" si="409"/>
        <v>44165</v>
      </c>
      <c r="AG42" s="80">
        <f t="shared" si="409"/>
        <v>44196</v>
      </c>
      <c r="AH42" s="80">
        <f t="shared" si="409"/>
        <v>44227</v>
      </c>
      <c r="AI42" s="80">
        <f t="shared" si="409"/>
        <v>44255</v>
      </c>
      <c r="AJ42" s="80">
        <f t="shared" si="409"/>
        <v>44286</v>
      </c>
      <c r="AK42" s="80">
        <f t="shared" si="409"/>
        <v>44316</v>
      </c>
      <c r="AL42" s="80">
        <f t="shared" si="409"/>
        <v>44347</v>
      </c>
      <c r="AM42" s="80">
        <f t="shared" si="409"/>
        <v>44377</v>
      </c>
      <c r="AN42" s="80">
        <f t="shared" si="409"/>
        <v>44408</v>
      </c>
      <c r="AO42" s="80">
        <f t="shared" si="409"/>
        <v>44439</v>
      </c>
      <c r="AP42" s="80">
        <f t="shared" si="409"/>
        <v>44469</v>
      </c>
      <c r="AQ42" s="80">
        <f t="shared" si="409"/>
        <v>44500</v>
      </c>
      <c r="AR42" s="80">
        <f t="shared" si="409"/>
        <v>44530</v>
      </c>
      <c r="AS42" s="80">
        <f t="shared" si="409"/>
        <v>44561</v>
      </c>
      <c r="AT42" s="80">
        <f t="shared" si="409"/>
        <v>44592</v>
      </c>
      <c r="AU42" s="80">
        <f t="shared" si="409"/>
        <v>44620</v>
      </c>
      <c r="AV42" s="80">
        <f t="shared" si="409"/>
        <v>44651</v>
      </c>
      <c r="AW42" s="80">
        <f t="shared" si="409"/>
        <v>44681</v>
      </c>
      <c r="AX42" s="80">
        <f t="shared" si="409"/>
        <v>44712</v>
      </c>
      <c r="AY42" s="80">
        <f t="shared" si="409"/>
        <v>44742</v>
      </c>
      <c r="AZ42" s="80">
        <f t="shared" si="409"/>
        <v>44773</v>
      </c>
      <c r="BA42" s="80">
        <f t="shared" si="409"/>
        <v>44804</v>
      </c>
      <c r="BB42" s="80">
        <f t="shared" si="409"/>
        <v>44834</v>
      </c>
      <c r="BC42" s="80">
        <f t="shared" si="409"/>
        <v>44865</v>
      </c>
      <c r="BD42" s="80">
        <f t="shared" si="409"/>
        <v>44895</v>
      </c>
      <c r="BE42" s="80">
        <f t="shared" si="409"/>
        <v>44926</v>
      </c>
      <c r="BF42" s="80">
        <f t="shared" si="409"/>
        <v>44957</v>
      </c>
      <c r="BG42" s="80">
        <f t="shared" si="409"/>
        <v>44985</v>
      </c>
      <c r="BH42" s="80">
        <f t="shared" si="409"/>
        <v>45016</v>
      </c>
      <c r="BI42" s="80">
        <f t="shared" si="409"/>
        <v>45046</v>
      </c>
      <c r="BJ42" s="80">
        <f t="shared" si="409"/>
        <v>45077</v>
      </c>
      <c r="BK42" s="80">
        <f t="shared" si="409"/>
        <v>45107</v>
      </c>
      <c r="BL42" s="80">
        <f t="shared" si="409"/>
        <v>45138</v>
      </c>
      <c r="BM42" s="80">
        <f t="shared" si="409"/>
        <v>45169</v>
      </c>
      <c r="BN42" s="80">
        <f t="shared" si="409"/>
        <v>45199</v>
      </c>
      <c r="BO42" s="80">
        <f t="shared" si="409"/>
        <v>45230</v>
      </c>
      <c r="BP42" s="80">
        <f t="shared" ref="BP42:DR42" si="410">EOMONTH(BO42,1)</f>
        <v>45260</v>
      </c>
      <c r="BQ42" s="80">
        <f t="shared" si="410"/>
        <v>45291</v>
      </c>
      <c r="BR42" s="80">
        <f t="shared" si="410"/>
        <v>45322</v>
      </c>
      <c r="BS42" s="80">
        <f t="shared" si="410"/>
        <v>45351</v>
      </c>
      <c r="BT42" s="80">
        <f t="shared" si="410"/>
        <v>45382</v>
      </c>
      <c r="BU42" s="80">
        <f t="shared" si="410"/>
        <v>45412</v>
      </c>
      <c r="BV42" s="80">
        <f t="shared" si="410"/>
        <v>45443</v>
      </c>
      <c r="BW42" s="80">
        <f t="shared" si="410"/>
        <v>45473</v>
      </c>
      <c r="BX42" s="80">
        <f t="shared" si="410"/>
        <v>45504</v>
      </c>
      <c r="BY42" s="80">
        <f t="shared" si="410"/>
        <v>45535</v>
      </c>
      <c r="BZ42" s="80">
        <f t="shared" si="410"/>
        <v>45565</v>
      </c>
      <c r="CA42" s="80">
        <f t="shared" si="410"/>
        <v>45596</v>
      </c>
      <c r="CB42" s="80">
        <f t="shared" si="410"/>
        <v>45626</v>
      </c>
      <c r="CC42" s="80">
        <f t="shared" si="410"/>
        <v>45657</v>
      </c>
      <c r="CD42" s="80">
        <f t="shared" si="410"/>
        <v>45688</v>
      </c>
      <c r="CE42" s="80">
        <f t="shared" si="410"/>
        <v>45716</v>
      </c>
      <c r="CF42" s="80">
        <f t="shared" si="410"/>
        <v>45747</v>
      </c>
      <c r="CG42" s="80">
        <f t="shared" si="410"/>
        <v>45777</v>
      </c>
      <c r="CH42" s="80">
        <f t="shared" si="410"/>
        <v>45808</v>
      </c>
      <c r="CI42" s="80">
        <f t="shared" si="410"/>
        <v>45838</v>
      </c>
      <c r="CJ42" s="80">
        <f t="shared" si="410"/>
        <v>45869</v>
      </c>
      <c r="CK42" s="80">
        <f t="shared" si="410"/>
        <v>45900</v>
      </c>
      <c r="CL42" s="80">
        <f t="shared" si="410"/>
        <v>45930</v>
      </c>
      <c r="CM42" s="80">
        <f t="shared" si="410"/>
        <v>45961</v>
      </c>
      <c r="CN42" s="80">
        <f t="shared" si="410"/>
        <v>45991</v>
      </c>
      <c r="CO42" s="80">
        <f t="shared" si="410"/>
        <v>46022</v>
      </c>
      <c r="CP42" s="80">
        <f t="shared" si="410"/>
        <v>46053</v>
      </c>
      <c r="CQ42" s="80">
        <f t="shared" si="410"/>
        <v>46081</v>
      </c>
      <c r="CR42" s="80">
        <f t="shared" si="410"/>
        <v>46112</v>
      </c>
      <c r="CS42" s="80">
        <f t="shared" si="410"/>
        <v>46142</v>
      </c>
      <c r="CT42" s="80">
        <f t="shared" si="410"/>
        <v>46173</v>
      </c>
      <c r="CU42" s="80">
        <f t="shared" si="410"/>
        <v>46203</v>
      </c>
      <c r="CV42" s="80">
        <f t="shared" si="410"/>
        <v>46234</v>
      </c>
      <c r="CW42" s="80">
        <f t="shared" si="410"/>
        <v>46265</v>
      </c>
      <c r="CX42" s="80">
        <f t="shared" si="410"/>
        <v>46295</v>
      </c>
      <c r="CY42" s="80">
        <f t="shared" si="410"/>
        <v>46326</v>
      </c>
      <c r="CZ42" s="80">
        <f t="shared" si="410"/>
        <v>46356</v>
      </c>
      <c r="DA42" s="80">
        <f t="shared" si="410"/>
        <v>46387</v>
      </c>
      <c r="DB42" s="80">
        <f t="shared" si="410"/>
        <v>46418</v>
      </c>
      <c r="DC42" s="80">
        <f t="shared" si="410"/>
        <v>46446</v>
      </c>
      <c r="DD42" s="80">
        <f t="shared" si="410"/>
        <v>46477</v>
      </c>
      <c r="DE42" s="80">
        <f t="shared" si="410"/>
        <v>46507</v>
      </c>
      <c r="DF42" s="80">
        <f t="shared" si="410"/>
        <v>46538</v>
      </c>
      <c r="DG42" s="80">
        <f t="shared" si="410"/>
        <v>46568</v>
      </c>
      <c r="DH42" s="80">
        <f t="shared" si="410"/>
        <v>46599</v>
      </c>
      <c r="DI42" s="80">
        <f t="shared" si="410"/>
        <v>46630</v>
      </c>
      <c r="DJ42" s="80">
        <f t="shared" si="410"/>
        <v>46660</v>
      </c>
      <c r="DK42" s="80">
        <f t="shared" si="410"/>
        <v>46691</v>
      </c>
      <c r="DL42" s="80">
        <f t="shared" si="410"/>
        <v>46721</v>
      </c>
      <c r="DM42" s="80">
        <f t="shared" si="410"/>
        <v>46752</v>
      </c>
      <c r="DN42" s="80">
        <f t="shared" si="410"/>
        <v>46783</v>
      </c>
      <c r="DO42" s="80">
        <f t="shared" si="410"/>
        <v>46812</v>
      </c>
      <c r="DP42" s="80">
        <f t="shared" si="410"/>
        <v>46843</v>
      </c>
      <c r="DQ42" s="80">
        <f t="shared" si="410"/>
        <v>46873</v>
      </c>
      <c r="DR42" s="80">
        <f t="shared" si="410"/>
        <v>46904</v>
      </c>
    </row>
    <row r="43" spans="1:122" x14ac:dyDescent="0.2">
      <c r="A43" s="3" t="s">
        <v>73</v>
      </c>
      <c r="B43" s="9">
        <f>SUM('Accrual_SKS Edible Oil'!$B$25)</f>
        <v>4125000</v>
      </c>
      <c r="C43" s="9">
        <f>SUM('Accrual_SKS Edible Oil'!$B$25:C25)</f>
        <v>14437500</v>
      </c>
      <c r="D43" s="9">
        <f>SUM('Accrual_SKS Edible Oil'!$B$25:D25)</f>
        <v>26708333.333333336</v>
      </c>
      <c r="E43" s="9">
        <f>SUM('Accrual_SKS Edible Oil'!$B$25:E25)</f>
        <v>38979166.666666672</v>
      </c>
      <c r="F43" s="9">
        <f>SUM('Accrual_SKS Edible Oil'!$B$25:F25)</f>
        <v>50854166.666666672</v>
      </c>
      <c r="G43" s="9">
        <f>SUM('Accrual_SKS Edible Oil'!$B$25:G25)</f>
        <v>63125000.000000007</v>
      </c>
      <c r="H43" s="9">
        <f>SUM('Accrual_SKS Edible Oil'!$B$25:H25)</f>
        <v>75000000</v>
      </c>
      <c r="I43" s="9">
        <f>SUM('Accrual_SKS Edible Oil'!$B$25:I25)</f>
        <v>87270833.333333328</v>
      </c>
      <c r="J43" s="9">
        <f>SUM('Accrual_SKS Edible Oil'!$B$25:J25)</f>
        <v>99541666.666666657</v>
      </c>
      <c r="K43" s="9">
        <f>SUM('Accrual_SKS Edible Oil'!$B$25:K25)</f>
        <v>110624999.99999999</v>
      </c>
      <c r="L43" s="9">
        <f>SUM('Accrual_SKS Edible Oil'!$B$25:L25)</f>
        <v>122895833.33333331</v>
      </c>
      <c r="M43" s="9">
        <f>SUM('Accrual_SKS Edible Oil'!$B$25:M25)</f>
        <v>134770833.33333331</v>
      </c>
      <c r="N43" s="9">
        <f>SUM('Accrual_SKS Edible Oil'!$B$25:N25)</f>
        <v>147492256.94444442</v>
      </c>
      <c r="O43" s="9">
        <f>SUM('Accrual_SKS Edible Oil'!$B$25:O25)</f>
        <v>160546510.41666663</v>
      </c>
      <c r="P43" s="9">
        <f>SUM('Accrual_SKS Edible Oil'!$B$25:P25)</f>
        <v>175617479.74537033</v>
      </c>
      <c r="Q43" s="9">
        <f>SUM('Accrual_SKS Edible Oil'!$B$25:Q25)</f>
        <v>190688449.07407403</v>
      </c>
      <c r="R43" s="9">
        <f>SUM('Accrual_SKS Edible Oil'!$B$25:R25)</f>
        <v>205273258.10185182</v>
      </c>
      <c r="S43" s="9">
        <f>SUM('Accrual_SKS Edible Oil'!$B$25:S25)</f>
        <v>220344227.43055552</v>
      </c>
      <c r="T43" s="9">
        <f>SUM('Accrual_SKS Edible Oil'!$B$25:T25)</f>
        <v>236987369.79166663</v>
      </c>
      <c r="U43" s="9">
        <f>SUM('Accrual_SKS Edible Oil'!$B$25:U25)</f>
        <v>254512505.78703701</v>
      </c>
      <c r="V43" s="9">
        <f>SUM('Accrual_SKS Edible Oil'!$B$25:V25)</f>
        <v>272037641.7824074</v>
      </c>
      <c r="W43" s="9">
        <f>SUM('Accrual_SKS Edible Oil'!$B$25:W25)</f>
        <v>288432123.8425926</v>
      </c>
      <c r="X43" s="9">
        <f>SUM('Accrual_SKS Edible Oil'!$B$25:X25)</f>
        <v>305957259.83796299</v>
      </c>
      <c r="Y43" s="9">
        <f>SUM('Accrual_SKS Edible Oil'!$B$25:Y25)</f>
        <v>322917068.86574078</v>
      </c>
      <c r="Z43" s="9">
        <f>SUM('Accrual_SKS Edible Oil'!$B$25:Z25)</f>
        <v>341048199.14062506</v>
      </c>
      <c r="AA43" s="9">
        <f>SUM('Accrual_SKS Edible Oil'!$B$25:AA25)</f>
        <v>359454078.24522966</v>
      </c>
      <c r="AB43" s="9">
        <f>SUM('Accrual_SKS Edible Oil'!$B$25:AB25)</f>
        <v>378337372.91592121</v>
      </c>
      <c r="AC43" s="9">
        <f>SUM('Accrual_SKS Edible Oil'!$B$25:AC25)</f>
        <v>397076750.84576207</v>
      </c>
      <c r="AD43" s="9">
        <f>SUM('Accrual_SKS Edible Oil'!$B$25:AD25)</f>
        <v>415090252.84179235</v>
      </c>
      <c r="AE43" s="9">
        <f>SUM('Accrual_SKS Edible Oil'!$B$25:AE25)</f>
        <v>433564832.80594051</v>
      </c>
      <c r="AF43" s="9">
        <f>SUM('Accrual_SKS Edible Oil'!$B$25:AF25)</f>
        <v>451311545.54091722</v>
      </c>
      <c r="AG43" s="9">
        <f>SUM('Accrual_SKS Edible Oil'!$B$25:AG25)</f>
        <v>469508227.80879909</v>
      </c>
      <c r="AH43" s="9">
        <f>SUM('Accrual_SKS Edible Oil'!$B$25:AH25)</f>
        <v>487559757.37962139</v>
      </c>
      <c r="AI43" s="9">
        <f>SUM('Accrual_SKS Edible Oil'!$B$25:AI25)</f>
        <v>503746691.64698267</v>
      </c>
      <c r="AJ43" s="9">
        <f>SUM('Accrual_SKS Edible Oil'!$B$25:AJ25)</f>
        <v>521518222.72564447</v>
      </c>
      <c r="AK43" s="9">
        <f>SUM('Accrual_SKS Edible Oil'!$B$25:AK25)</f>
        <v>538579260.68196869</v>
      </c>
      <c r="AL43" s="9">
        <f>SUM('Accrual_SKS Edible Oil'!$B$25:AL25)</f>
        <v>556052323.35542226</v>
      </c>
      <c r="AM43" s="9">
        <f>SUM('Accrual_SKS Edible Oil'!$B$25:AM25)</f>
        <v>572831431.67570329</v>
      </c>
      <c r="AN43" s="9">
        <f>SUM('Accrual_SKS Edible Oil'!$B$25:AN25)</f>
        <v>590020220.90966344</v>
      </c>
      <c r="AO43" s="9">
        <f>SUM('Accrual_SKS Edible Oil'!$B$25:AO25)</f>
        <v>607060429.95621073</v>
      </c>
      <c r="AP43" s="9">
        <f>SUM('Accrual_SKS Edible Oil'!$B$25:AP25)</f>
        <v>623408218.68784285</v>
      </c>
      <c r="AQ43" s="9">
        <f>SUM('Accrual_SKS Edible Oil'!$B$25:AQ25)</f>
        <v>640142842.83758402</v>
      </c>
      <c r="AR43" s="9">
        <f>SUM('Accrual_SKS Edible Oil'!$B$25:AR25)</f>
        <v>656197364.11854422</v>
      </c>
      <c r="AS43" s="9">
        <f>SUM('Accrual_SKS Edible Oil'!$B$25:AS25)</f>
        <v>672631396.32751572</v>
      </c>
      <c r="AT43" s="9">
        <f>SUM('Accrual_SKS Edible Oil'!$B$25:AT25)</f>
        <v>688900866.38055003</v>
      </c>
      <c r="AU43" s="9">
        <f>SUM('Accrual_SKS Edible Oil'!$B$25:AU25)</f>
        <v>703471038.93717182</v>
      </c>
      <c r="AV43" s="9">
        <f>SUM('Accrual_SKS Edible Oil'!$B$25:AV25)</f>
        <v>719437724.72852397</v>
      </c>
      <c r="AW43" s="9">
        <f>SUM('Accrual_SKS Edible Oil'!$B$25:AW25)</f>
        <v>734733396.48713291</v>
      </c>
      <c r="AX43" s="9">
        <f>SUM('Accrual_SKS Edible Oil'!$B$25:AX25)</f>
        <v>750382319.07903206</v>
      </c>
      <c r="AY43" s="9">
        <f>SUM('Accrual_SKS Edible Oil'!$B$25:AY25)</f>
        <v>765373203.54479194</v>
      </c>
      <c r="AZ43" s="9">
        <f>SUM('Accrual_SKS Edible Oil'!$B$25:AZ25)</f>
        <v>780694065.95146608</v>
      </c>
      <c r="BA43" s="9">
        <f>SUM('Accrual_SKS Edible Oil'!$B$25:BA25)</f>
        <v>795856847.76583123</v>
      </c>
      <c r="BB43" s="9">
        <f>SUM('Accrual_SKS Edible Oil'!$B$25:BB25)</f>
        <v>810373605.21580195</v>
      </c>
      <c r="BC43" s="9">
        <f>SUM('Accrual_SKS Edible Oil'!$B$25:BC25)</f>
        <v>825195102.17372942</v>
      </c>
      <c r="BD43" s="9">
        <f>SUM('Accrual_SKS Edible Oil'!$B$25:BD25)</f>
        <v>839389486.08705938</v>
      </c>
      <c r="BE43" s="9">
        <f>SUM('Accrual_SKS Edible Oil'!$B$25:BE25)</f>
        <v>853885929.47719336</v>
      </c>
      <c r="BF43" s="9">
        <f>SUM('Accrual_SKS Edible Oil'!$B$25:BF25)</f>
        <v>868212478.27531767</v>
      </c>
      <c r="BG43" s="9">
        <f>SUM('Accrual_SKS Edible Oil'!$B$25:BG25)</f>
        <v>881005429.42737448</v>
      </c>
      <c r="BH43" s="9">
        <f>SUM('Accrual_SKS Edible Oil'!$B$25:BH25)</f>
        <v>894988143.39701152</v>
      </c>
      <c r="BI43" s="9">
        <f>SUM('Accrual_SKS Edible Oil'!$B$25:BI25)</f>
        <v>908342732.16467941</v>
      </c>
      <c r="BJ43" s="9">
        <f>SUM('Accrual_SKS Edible Oil'!$B$25:BJ25)</f>
        <v>921976145.70500791</v>
      </c>
      <c r="BK43" s="9">
        <f>SUM('Accrual_SKS Edible Oil'!$B$25:BK25)</f>
        <v>935001329.4188894</v>
      </c>
      <c r="BL43" s="9">
        <f>SUM('Accrual_SKS Edible Oil'!$B$25:BL25)</f>
        <v>948268357.13849306</v>
      </c>
      <c r="BM43" s="9">
        <f>SUM('Accrual_SKS Edible Oil'!$B$25:BM25)</f>
        <v>961367381.60359406</v>
      </c>
      <c r="BN43" s="9">
        <f>SUM('Accrual_SKS Edible Oil'!$B$25:BN25)</f>
        <v>973865524.22253489</v>
      </c>
      <c r="BO43" s="9">
        <f>SUM('Accrual_SKS Edible Oil'!$B$25:BO25)</f>
        <v>986601201.12382638</v>
      </c>
      <c r="BP43" s="9">
        <f>SUM('Accrual_SKS Edible Oil'!$B$25:BP25)</f>
        <v>998750833.52973008</v>
      </c>
      <c r="BQ43" s="9">
        <f>SUM('Accrual_SKS Edible Oil'!$B$25:BQ25)</f>
        <v>1011111388.7388636</v>
      </c>
      <c r="BR43" s="9">
        <f>SUM('Accrual_SKS Edible Oil'!$B$25:BR25)</f>
        <v>1023291186.081133</v>
      </c>
      <c r="BS43" s="9">
        <f>SUM('Accrual_SKS Edible Oil'!$B$25:BS25)</f>
        <v>1034514603.5041789</v>
      </c>
      <c r="BT43" s="9">
        <f>SUM('Accrual_SKS Edible Oil'!$B$25:BT25)</f>
        <v>1046310299.2972858</v>
      </c>
      <c r="BU43" s="9">
        <f>SUM('Accrual_SKS Edible Oil'!$B$25:BU25)</f>
        <v>1057549170.0549041</v>
      </c>
      <c r="BV43" s="9">
        <f>SUM('Accrual_SKS Edible Oil'!$B$25:BV25)</f>
        <v>1068967040.1396002</v>
      </c>
      <c r="BW43" s="9">
        <f>SUM('Accrual_SKS Edible Oil'!$B$25:BW25)</f>
        <v>1079818854.1036112</v>
      </c>
      <c r="BX43" s="9">
        <f>SUM('Accrual_SKS Edible Oil'!$B$25:BX25)</f>
        <v>1090846652.9827921</v>
      </c>
      <c r="BY43" s="9">
        <f>SUM('Accrual_SKS Edible Oil'!$B$25:BY25)</f>
        <v>1101677097.1675851</v>
      </c>
      <c r="BZ43" s="9">
        <f>SUM('Accrual_SKS Edible Oil'!$B$25:BZ25)</f>
        <v>1111968579.9509871</v>
      </c>
      <c r="CA43" s="9">
        <f>SUM('Accrual_SKS Edible Oil'!$B$25:CA25)</f>
        <v>1122399615.2040808</v>
      </c>
      <c r="CB43" s="9">
        <f>SUM('Accrual_SKS Edible Oil'!$B$25:CB25)</f>
        <v>1132295017.5703337</v>
      </c>
      <c r="CC43" s="9">
        <f>SUM('Accrual_SKS Edible Oil'!$B$25:CC25)</f>
        <v>1142320294.8845761</v>
      </c>
      <c r="CD43" s="9">
        <f>SUM('Accrual_SKS Edible Oil'!$B$25:CD25)</f>
        <v>1152140280.8753746</v>
      </c>
      <c r="CE43" s="9">
        <f>SUM('Accrual_SKS Edible Oil'!$B$25:CE25)</f>
        <v>1160818731.6715262</v>
      </c>
      <c r="CF43" s="9">
        <f>SUM('Accrual_SKS Edible Oil'!$B$25:CF25)</f>
        <v>1170209743.4445753</v>
      </c>
      <c r="CG43" s="9">
        <f>SUM('Accrual_SKS Edible Oil'!$B$25:CG25)</f>
        <v>1179110535.1543434</v>
      </c>
      <c r="CH43" s="9">
        <f>SUM('Accrual_SKS Edible Oil'!$B$25:CH25)</f>
        <v>1188092974.4480088</v>
      </c>
      <c r="CI43" s="9">
        <f>SUM('Accrual_SKS Edible Oil'!$B$25:CI25)</f>
        <v>1196582121.1907301</v>
      </c>
      <c r="CJ43" s="9">
        <f>SUM('Accrual_SKS Edible Oil'!$B$25:CJ25)</f>
        <v>1205135775.6541135</v>
      </c>
      <c r="CK43" s="9">
        <f>SUM('Accrual_SKS Edible Oil'!$B$25:CK25)</f>
        <v>1213465465.4160626</v>
      </c>
      <c r="CL43" s="9">
        <f>SUM('Accrual_SKS Edible Oil'!$B$25:CL25)</f>
        <v>1221324843.1839859</v>
      </c>
      <c r="CM43" s="9">
        <f>SUM('Accrual_SKS Edible Oil'!$B$25:CM25)</f>
        <v>1229222506.6731255</v>
      </c>
      <c r="CN43" s="9">
        <f>SUM('Accrual_SKS Edible Oil'!$B$25:CN25)</f>
        <v>1236639302.8480413</v>
      </c>
      <c r="CO43" s="9">
        <f>SUM('Accrual_SKS Edible Oil'!$B$25:CO25)</f>
        <v>1244090937.903177</v>
      </c>
      <c r="CP43" s="9">
        <f>SUM('Accrual_SKS Edible Oil'!$B$25:CP25)</f>
        <v>1251316906.9669843</v>
      </c>
      <c r="CQ43" s="9">
        <f>SUM('Accrual_SKS Edible Oil'!$B$25:CQ25)</f>
        <v>1257648123.8014739</v>
      </c>
      <c r="CR43" s="9">
        <f>SUM('Accrual_SKS Edible Oil'!$B$25:CR25)</f>
        <v>1264417387.1720276</v>
      </c>
      <c r="CS43" s="9">
        <f>SUM('Accrual_SKS Edible Oil'!$B$25:CS25)</f>
        <v>1270748051.1370556</v>
      </c>
      <c r="CT43" s="9">
        <f>SUM('Accrual_SKS Edible Oil'!$B$25:CT25)</f>
        <v>1277045809.4542241</v>
      </c>
      <c r="CU43" s="9">
        <f>SUM('Accrual_SKS Edible Oil'!$B$25:CU25)</f>
        <v>1282923973.683727</v>
      </c>
      <c r="CV43" s="9">
        <f>SUM('Accrual_SKS Edible Oil'!$B$25:CV25)</f>
        <v>1288757930.8753777</v>
      </c>
      <c r="CW43" s="9">
        <f>SUM('Accrual_SKS Edible Oil'!$B$25:CW25)</f>
        <v>1294337975.3608334</v>
      </c>
      <c r="CX43" s="9">
        <f>SUM('Accrual_SKS Edible Oil'!$B$25:CX25)</f>
        <v>1299523867.5662606</v>
      </c>
      <c r="CY43" s="9">
        <f>SUM('Accrual_SKS Edible Oil'!$B$25:CY25)</f>
        <v>1304636728.2642946</v>
      </c>
      <c r="CZ43" s="9">
        <f>SUM('Accrual_SKS Edible Oil'!$B$25:CZ25)</f>
        <v>1309351923.4343562</v>
      </c>
      <c r="DA43" s="9">
        <f>SUM('Accrual_SKS Edible Oil'!$B$25:DA25)</f>
        <v>1313974488.4538801</v>
      </c>
      <c r="DB43" s="9">
        <f>SUM('Accrual_SKS Edible Oil'!$B$25:DB25)</f>
        <v>1318340960.1662319</v>
      </c>
      <c r="DC43" s="9">
        <f>SUM('Accrual_SKS Edible Oil'!$B$25:DC25)</f>
        <v>1322077259.1453846</v>
      </c>
      <c r="DD43" s="9">
        <f>SUM('Accrual_SKS Edible Oil'!$B$25:DD25)</f>
        <v>1325949728.7391865</v>
      </c>
      <c r="DE43" s="9">
        <f>SUM('Accrual_SKS Edible Oil'!$B$25:DE25)</f>
        <v>1329455185.9900298</v>
      </c>
      <c r="DF43" s="9">
        <f>SUM('Accrual_SKS Edible Oil'!$B$25:DF25)</f>
        <v>1332801066.9463167</v>
      </c>
      <c r="DG43" s="9">
        <f>SUM('Accrual_SKS Edible Oil'!$B$25:DG25)</f>
        <v>1335809114.9560866</v>
      </c>
      <c r="DH43" s="9">
        <f>SUM('Accrual_SKS Edible Oil'!$B$25:DH25)</f>
        <v>1338653451.4923534</v>
      </c>
      <c r="DI43" s="9">
        <f>SUM('Accrual_SKS Edible Oil'!$B$25:DI25)</f>
        <v>1341235647.5906839</v>
      </c>
      <c r="DJ43" s="9">
        <f>SUM('Accrual_SKS Edible Oil'!$B$25:DJ25)</f>
        <v>1343482717.2504616</v>
      </c>
      <c r="DK43" s="9">
        <f>SUM('Accrual_SKS Edible Oil'!$B$25:DK25)</f>
        <v>1345525769.065356</v>
      </c>
      <c r="DL43" s="9">
        <f>SUM('Accrual_SKS Edible Oil'!$B$25:DL25)</f>
        <v>1347255426.146174</v>
      </c>
      <c r="DM43" s="9">
        <f>SUM('Accrual_SKS Edible Oil'!$B$25:DM25)</f>
        <v>1348768142.7638557</v>
      </c>
      <c r="DN43" s="9">
        <f>SUM('Accrual_SKS Edible Oil'!$B$25:DN25)</f>
        <v>1349990521.9120789</v>
      </c>
      <c r="DO43" s="9">
        <f>SUM('Accrual_SKS Edible Oil'!$B$25:DO25)</f>
        <v>1350901480.7838917</v>
      </c>
      <c r="DP43" s="9">
        <f>SUM('Accrual_SKS Edible Oil'!$B$25:DP25)</f>
        <v>1351589656.8170183</v>
      </c>
      <c r="DQ43" s="9">
        <f>SUM('Accrual_SKS Edible Oil'!$B$25:DQ25)</f>
        <v>1351971434.7367771</v>
      </c>
      <c r="DR43" s="9">
        <f>SUM('Accrual_SKS Edible Oil'!$B$25:DR25)</f>
        <v>1352098980.2732332</v>
      </c>
    </row>
    <row r="44" spans="1:122" x14ac:dyDescent="0.2">
      <c r="A44" s="3" t="s">
        <v>74</v>
      </c>
      <c r="B44" s="8">
        <v>0</v>
      </c>
      <c r="C44" s="131">
        <f>SUM($B$29)</f>
        <v>8937500</v>
      </c>
      <c r="D44" s="131">
        <f>SUM($B$29:C29)</f>
        <v>19979166.666666668</v>
      </c>
      <c r="E44" s="131">
        <f>SUM($B$29:D29)</f>
        <v>32250000</v>
      </c>
      <c r="F44" s="131">
        <f>SUM($B$29:E29)</f>
        <v>44520833.333333336</v>
      </c>
      <c r="G44" s="131">
        <f>SUM($B$29:F29)</f>
        <v>56395833.333333336</v>
      </c>
      <c r="H44" s="131">
        <f>SUM($B$29:G29)</f>
        <v>68666666.666666672</v>
      </c>
      <c r="I44" s="131">
        <f>SUM($B$29:H29)</f>
        <v>80541666.666666672</v>
      </c>
      <c r="J44" s="131">
        <f>SUM($B$29:I29)</f>
        <v>92812500</v>
      </c>
      <c r="K44" s="131">
        <f>SUM($B$29:J29)</f>
        <v>105083333.33333333</v>
      </c>
      <c r="L44" s="131">
        <f>SUM($B$29:K29)</f>
        <v>116166666.66666666</v>
      </c>
      <c r="M44" s="131">
        <f>SUM($B$29:L29)</f>
        <v>128437499.99999999</v>
      </c>
      <c r="N44" s="131">
        <f>SUM($B$29:M29)</f>
        <v>142291666.66666666</v>
      </c>
      <c r="O44" s="131">
        <f>SUM($B$29:M29)</f>
        <v>142291666.66666666</v>
      </c>
      <c r="P44" s="131">
        <f>SUM($B$29:M29)</f>
        <v>142291666.66666666</v>
      </c>
      <c r="Q44" s="131">
        <f>SUM($B$29:M29)</f>
        <v>142291666.66666666</v>
      </c>
      <c r="R44" s="131">
        <f>SUM($B$29:M29)</f>
        <v>142291666.66666666</v>
      </c>
      <c r="S44" s="131">
        <f>SUM($B$29:M29)</f>
        <v>142291666.66666666</v>
      </c>
      <c r="T44" s="131">
        <f>SUM($B$29:M29)</f>
        <v>142291666.66666666</v>
      </c>
      <c r="U44" s="131">
        <f>SUM($B$29:M29)</f>
        <v>142291666.66666666</v>
      </c>
      <c r="V44" s="131">
        <f>SUM($B$29:M29)</f>
        <v>142291666.66666666</v>
      </c>
      <c r="W44" s="131">
        <f>SUM($B$29:M29)</f>
        <v>142291666.66666666</v>
      </c>
      <c r="X44" s="131">
        <f>SUM($B$29:M29)</f>
        <v>142291666.66666666</v>
      </c>
      <c r="Y44" s="131">
        <f>SUM($B$29:M29)</f>
        <v>142291666.66666666</v>
      </c>
      <c r="Z44" s="131">
        <f>SUM($B$29:Y29)</f>
        <v>333658281.25</v>
      </c>
      <c r="AA44" s="131">
        <f>Z44</f>
        <v>333658281.25</v>
      </c>
      <c r="AB44" s="131">
        <f t="shared" ref="AB44:CM44" si="411">AA44</f>
        <v>333658281.25</v>
      </c>
      <c r="AC44" s="131">
        <f t="shared" si="411"/>
        <v>333658281.25</v>
      </c>
      <c r="AD44" s="131">
        <f t="shared" si="411"/>
        <v>333658281.25</v>
      </c>
      <c r="AE44" s="131">
        <f t="shared" si="411"/>
        <v>333658281.25</v>
      </c>
      <c r="AF44" s="131">
        <f t="shared" si="411"/>
        <v>333658281.25</v>
      </c>
      <c r="AG44" s="131">
        <f t="shared" si="411"/>
        <v>333658281.25</v>
      </c>
      <c r="AH44" s="131">
        <f t="shared" si="411"/>
        <v>333658281.25</v>
      </c>
      <c r="AI44" s="131">
        <f t="shared" si="411"/>
        <v>333658281.25</v>
      </c>
      <c r="AJ44" s="131">
        <f t="shared" si="411"/>
        <v>333658281.25</v>
      </c>
      <c r="AK44" s="131">
        <f t="shared" si="411"/>
        <v>333658281.25</v>
      </c>
      <c r="AL44" s="131">
        <f t="shared" si="411"/>
        <v>333658281.25</v>
      </c>
      <c r="AM44" s="131">
        <f t="shared" si="411"/>
        <v>333658281.25</v>
      </c>
      <c r="AN44" s="131">
        <f t="shared" si="411"/>
        <v>333658281.25</v>
      </c>
      <c r="AO44" s="131">
        <f t="shared" si="411"/>
        <v>333658281.25</v>
      </c>
      <c r="AP44" s="131">
        <f t="shared" si="411"/>
        <v>333658281.25</v>
      </c>
      <c r="AQ44" s="131">
        <f t="shared" si="411"/>
        <v>333658281.25</v>
      </c>
      <c r="AR44" s="131">
        <f t="shared" si="411"/>
        <v>333658281.25</v>
      </c>
      <c r="AS44" s="131">
        <f t="shared" si="411"/>
        <v>333658281.25</v>
      </c>
      <c r="AT44" s="131">
        <f t="shared" si="411"/>
        <v>333658281.25</v>
      </c>
      <c r="AU44" s="131">
        <f t="shared" si="411"/>
        <v>333658281.25</v>
      </c>
      <c r="AV44" s="131">
        <f t="shared" si="411"/>
        <v>333658281.25</v>
      </c>
      <c r="AW44" s="131">
        <f t="shared" si="411"/>
        <v>333658281.25</v>
      </c>
      <c r="AX44" s="131">
        <f t="shared" si="411"/>
        <v>333658281.25</v>
      </c>
      <c r="AY44" s="131">
        <f t="shared" si="411"/>
        <v>333658281.25</v>
      </c>
      <c r="AZ44" s="131">
        <f t="shared" si="411"/>
        <v>333658281.25</v>
      </c>
      <c r="BA44" s="131">
        <f t="shared" si="411"/>
        <v>333658281.25</v>
      </c>
      <c r="BB44" s="131">
        <f t="shared" si="411"/>
        <v>333658281.25</v>
      </c>
      <c r="BC44" s="131">
        <f t="shared" si="411"/>
        <v>333658281.25</v>
      </c>
      <c r="BD44" s="131">
        <f t="shared" si="411"/>
        <v>333658281.25</v>
      </c>
      <c r="BE44" s="131">
        <f t="shared" si="411"/>
        <v>333658281.25</v>
      </c>
      <c r="BF44" s="131">
        <f t="shared" si="411"/>
        <v>333658281.25</v>
      </c>
      <c r="BG44" s="131">
        <f t="shared" si="411"/>
        <v>333658281.25</v>
      </c>
      <c r="BH44" s="131">
        <f t="shared" si="411"/>
        <v>333658281.25</v>
      </c>
      <c r="BI44" s="131">
        <f t="shared" si="411"/>
        <v>333658281.25</v>
      </c>
      <c r="BJ44" s="131">
        <f t="shared" si="411"/>
        <v>333658281.25</v>
      </c>
      <c r="BK44" s="131">
        <f t="shared" si="411"/>
        <v>333658281.25</v>
      </c>
      <c r="BL44" s="131">
        <f t="shared" si="411"/>
        <v>333658281.25</v>
      </c>
      <c r="BM44" s="131">
        <f t="shared" si="411"/>
        <v>333658281.25</v>
      </c>
      <c r="BN44" s="131">
        <f t="shared" si="411"/>
        <v>333658281.25</v>
      </c>
      <c r="BO44" s="131">
        <f t="shared" si="411"/>
        <v>333658281.25</v>
      </c>
      <c r="BP44" s="131">
        <f t="shared" si="411"/>
        <v>333658281.25</v>
      </c>
      <c r="BQ44" s="131">
        <f t="shared" si="411"/>
        <v>333658281.25</v>
      </c>
      <c r="BR44" s="131">
        <f t="shared" si="411"/>
        <v>333658281.25</v>
      </c>
      <c r="BS44" s="131">
        <f t="shared" si="411"/>
        <v>333658281.25</v>
      </c>
      <c r="BT44" s="131">
        <f t="shared" si="411"/>
        <v>333658281.25</v>
      </c>
      <c r="BU44" s="131">
        <f t="shared" si="411"/>
        <v>333658281.25</v>
      </c>
      <c r="BV44" s="131">
        <f t="shared" si="411"/>
        <v>333658281.25</v>
      </c>
      <c r="BW44" s="131">
        <f t="shared" si="411"/>
        <v>333658281.25</v>
      </c>
      <c r="BX44" s="131">
        <f t="shared" si="411"/>
        <v>333658281.25</v>
      </c>
      <c r="BY44" s="131">
        <f t="shared" si="411"/>
        <v>333658281.25</v>
      </c>
      <c r="BZ44" s="131">
        <f t="shared" si="411"/>
        <v>333658281.25</v>
      </c>
      <c r="CA44" s="131">
        <f t="shared" si="411"/>
        <v>333658281.25</v>
      </c>
      <c r="CB44" s="131">
        <f t="shared" si="411"/>
        <v>333658281.25</v>
      </c>
      <c r="CC44" s="131">
        <f t="shared" si="411"/>
        <v>333658281.25</v>
      </c>
      <c r="CD44" s="131">
        <f t="shared" si="411"/>
        <v>333658281.25</v>
      </c>
      <c r="CE44" s="131">
        <f t="shared" si="411"/>
        <v>333658281.25</v>
      </c>
      <c r="CF44" s="131">
        <f t="shared" si="411"/>
        <v>333658281.25</v>
      </c>
      <c r="CG44" s="131">
        <f t="shared" si="411"/>
        <v>333658281.25</v>
      </c>
      <c r="CH44" s="131">
        <f t="shared" si="411"/>
        <v>333658281.25</v>
      </c>
      <c r="CI44" s="131">
        <f t="shared" si="411"/>
        <v>333658281.25</v>
      </c>
      <c r="CJ44" s="131">
        <f t="shared" si="411"/>
        <v>333658281.25</v>
      </c>
      <c r="CK44" s="131">
        <f t="shared" si="411"/>
        <v>333658281.25</v>
      </c>
      <c r="CL44" s="131">
        <f t="shared" si="411"/>
        <v>333658281.25</v>
      </c>
      <c r="CM44" s="131">
        <f t="shared" si="411"/>
        <v>333658281.25</v>
      </c>
      <c r="CN44" s="131">
        <f t="shared" ref="CN44:DR44" si="412">CM44</f>
        <v>333658281.25</v>
      </c>
      <c r="CO44" s="131">
        <f t="shared" si="412"/>
        <v>333658281.25</v>
      </c>
      <c r="CP44" s="131">
        <f t="shared" si="412"/>
        <v>333658281.25</v>
      </c>
      <c r="CQ44" s="131">
        <f t="shared" si="412"/>
        <v>333658281.25</v>
      </c>
      <c r="CR44" s="131">
        <f t="shared" si="412"/>
        <v>333658281.25</v>
      </c>
      <c r="CS44" s="131">
        <f t="shared" si="412"/>
        <v>333658281.25</v>
      </c>
      <c r="CT44" s="131">
        <f t="shared" si="412"/>
        <v>333658281.25</v>
      </c>
      <c r="CU44" s="131">
        <f t="shared" si="412"/>
        <v>333658281.25</v>
      </c>
      <c r="CV44" s="131">
        <f t="shared" si="412"/>
        <v>333658281.25</v>
      </c>
      <c r="CW44" s="131">
        <f t="shared" si="412"/>
        <v>333658281.25</v>
      </c>
      <c r="CX44" s="131">
        <f t="shared" si="412"/>
        <v>333658281.25</v>
      </c>
      <c r="CY44" s="131">
        <f t="shared" si="412"/>
        <v>333658281.25</v>
      </c>
      <c r="CZ44" s="131">
        <f t="shared" si="412"/>
        <v>333658281.25</v>
      </c>
      <c r="DA44" s="131">
        <f t="shared" si="412"/>
        <v>333658281.25</v>
      </c>
      <c r="DB44" s="131">
        <f t="shared" si="412"/>
        <v>333658281.25</v>
      </c>
      <c r="DC44" s="131">
        <f t="shared" si="412"/>
        <v>333658281.25</v>
      </c>
      <c r="DD44" s="131">
        <f t="shared" si="412"/>
        <v>333658281.25</v>
      </c>
      <c r="DE44" s="131">
        <f t="shared" si="412"/>
        <v>333658281.25</v>
      </c>
      <c r="DF44" s="131">
        <f t="shared" si="412"/>
        <v>333658281.25</v>
      </c>
      <c r="DG44" s="131">
        <f t="shared" si="412"/>
        <v>333658281.25</v>
      </c>
      <c r="DH44" s="131">
        <f t="shared" si="412"/>
        <v>333658281.25</v>
      </c>
      <c r="DI44" s="131">
        <f t="shared" si="412"/>
        <v>333658281.25</v>
      </c>
      <c r="DJ44" s="131">
        <f t="shared" si="412"/>
        <v>333658281.25</v>
      </c>
      <c r="DK44" s="131">
        <f t="shared" si="412"/>
        <v>333658281.25</v>
      </c>
      <c r="DL44" s="131">
        <f t="shared" si="412"/>
        <v>333658281.25</v>
      </c>
      <c r="DM44" s="131">
        <f t="shared" si="412"/>
        <v>333658281.25</v>
      </c>
      <c r="DN44" s="131">
        <f t="shared" si="412"/>
        <v>333658281.25</v>
      </c>
      <c r="DO44" s="131">
        <f t="shared" si="412"/>
        <v>333658281.25</v>
      </c>
      <c r="DP44" s="131">
        <f t="shared" si="412"/>
        <v>333658281.25</v>
      </c>
      <c r="DQ44" s="131">
        <f t="shared" si="412"/>
        <v>333658281.25</v>
      </c>
      <c r="DR44" s="131">
        <f t="shared" si="412"/>
        <v>333658281.25</v>
      </c>
    </row>
    <row r="45" spans="1:122" x14ac:dyDescent="0.2">
      <c r="A45" s="12" t="s">
        <v>75</v>
      </c>
      <c r="B45" s="132">
        <f>B43-B44</f>
        <v>4125000</v>
      </c>
      <c r="C45" s="132">
        <f t="shared" ref="C45:BN45" si="413">C43-C44</f>
        <v>5500000</v>
      </c>
      <c r="D45" s="132">
        <f t="shared" si="413"/>
        <v>6729166.6666666679</v>
      </c>
      <c r="E45" s="132">
        <f t="shared" si="413"/>
        <v>6729166.6666666716</v>
      </c>
      <c r="F45" s="132">
        <f t="shared" si="413"/>
        <v>6333333.3333333358</v>
      </c>
      <c r="G45" s="132">
        <f t="shared" si="413"/>
        <v>6729166.6666666716</v>
      </c>
      <c r="H45" s="132">
        <f t="shared" si="413"/>
        <v>6333333.3333333284</v>
      </c>
      <c r="I45" s="132">
        <f t="shared" si="413"/>
        <v>6729166.6666666567</v>
      </c>
      <c r="J45" s="132">
        <f t="shared" si="413"/>
        <v>6729166.6666666567</v>
      </c>
      <c r="K45" s="132">
        <f t="shared" si="413"/>
        <v>5541666.6666666567</v>
      </c>
      <c r="L45" s="132">
        <f t="shared" si="413"/>
        <v>6729166.6666666567</v>
      </c>
      <c r="M45" s="132">
        <f t="shared" si="413"/>
        <v>6333333.3333333284</v>
      </c>
      <c r="N45" s="132">
        <f t="shared" si="413"/>
        <v>5200590.2777777612</v>
      </c>
      <c r="O45" s="132">
        <f t="shared" si="413"/>
        <v>18254843.74999997</v>
      </c>
      <c r="P45" s="132">
        <f t="shared" si="413"/>
        <v>33325813.078703672</v>
      </c>
      <c r="Q45" s="132">
        <f t="shared" si="413"/>
        <v>48396782.407407373</v>
      </c>
      <c r="R45" s="132">
        <f t="shared" si="413"/>
        <v>62981591.435185164</v>
      </c>
      <c r="S45" s="132">
        <f t="shared" si="413"/>
        <v>78052560.763888866</v>
      </c>
      <c r="T45" s="132">
        <f t="shared" si="413"/>
        <v>94695703.12499997</v>
      </c>
      <c r="U45" s="132">
        <f t="shared" si="413"/>
        <v>112220839.12037036</v>
      </c>
      <c r="V45" s="132">
        <f t="shared" si="413"/>
        <v>129745975.11574075</v>
      </c>
      <c r="W45" s="132">
        <f t="shared" si="413"/>
        <v>146140457.17592594</v>
      </c>
      <c r="X45" s="132">
        <f t="shared" si="413"/>
        <v>163665593.17129633</v>
      </c>
      <c r="Y45" s="132">
        <f t="shared" si="413"/>
        <v>180625402.19907412</v>
      </c>
      <c r="Z45" s="132">
        <f t="shared" si="413"/>
        <v>7389917.8906250596</v>
      </c>
      <c r="AA45" s="132">
        <f t="shared" si="413"/>
        <v>25795796.995229661</v>
      </c>
      <c r="AB45" s="132">
        <f t="shared" si="413"/>
        <v>44679091.665921211</v>
      </c>
      <c r="AC45" s="132">
        <f t="shared" si="413"/>
        <v>63418469.595762074</v>
      </c>
      <c r="AD45" s="132">
        <f t="shared" si="413"/>
        <v>81431971.591792345</v>
      </c>
      <c r="AE45" s="132">
        <f t="shared" si="413"/>
        <v>99906551.555940509</v>
      </c>
      <c r="AF45" s="132">
        <f t="shared" si="413"/>
        <v>117653264.29091722</v>
      </c>
      <c r="AG45" s="132">
        <f t="shared" si="413"/>
        <v>135849946.55879909</v>
      </c>
      <c r="AH45" s="132">
        <f t="shared" si="413"/>
        <v>153901476.12962139</v>
      </c>
      <c r="AI45" s="132">
        <f t="shared" si="413"/>
        <v>170088410.39698267</v>
      </c>
      <c r="AJ45" s="132">
        <f t="shared" si="413"/>
        <v>187859941.47564447</v>
      </c>
      <c r="AK45" s="132">
        <f t="shared" si="413"/>
        <v>204920979.43196869</v>
      </c>
      <c r="AL45" s="132">
        <f t="shared" si="413"/>
        <v>222394042.10542226</v>
      </c>
      <c r="AM45" s="132">
        <f t="shared" si="413"/>
        <v>239173150.42570329</v>
      </c>
      <c r="AN45" s="132">
        <f t="shared" si="413"/>
        <v>256361939.65966344</v>
      </c>
      <c r="AO45" s="132">
        <f t="shared" si="413"/>
        <v>273402148.70621073</v>
      </c>
      <c r="AP45" s="132">
        <f t="shared" si="413"/>
        <v>289749937.43784285</v>
      </c>
      <c r="AQ45" s="132">
        <f t="shared" si="413"/>
        <v>306484561.58758402</v>
      </c>
      <c r="AR45" s="132">
        <f t="shared" si="413"/>
        <v>322539082.86854422</v>
      </c>
      <c r="AS45" s="132">
        <f t="shared" si="413"/>
        <v>338973115.07751572</v>
      </c>
      <c r="AT45" s="132">
        <f t="shared" si="413"/>
        <v>355242585.13055003</v>
      </c>
      <c r="AU45" s="132">
        <f t="shared" si="413"/>
        <v>369812757.68717182</v>
      </c>
      <c r="AV45" s="132">
        <f t="shared" si="413"/>
        <v>385779443.47852397</v>
      </c>
      <c r="AW45" s="132">
        <f t="shared" si="413"/>
        <v>401075115.23713291</v>
      </c>
      <c r="AX45" s="132">
        <f t="shared" si="413"/>
        <v>416724037.82903206</v>
      </c>
      <c r="AY45" s="132">
        <f t="shared" si="413"/>
        <v>431714922.29479194</v>
      </c>
      <c r="AZ45" s="132">
        <f t="shared" si="413"/>
        <v>447035784.70146608</v>
      </c>
      <c r="BA45" s="132">
        <f t="shared" si="413"/>
        <v>462198566.51583123</v>
      </c>
      <c r="BB45" s="132">
        <f t="shared" si="413"/>
        <v>476715323.96580195</v>
      </c>
      <c r="BC45" s="132">
        <f t="shared" si="413"/>
        <v>491536820.92372942</v>
      </c>
      <c r="BD45" s="132">
        <f t="shared" si="413"/>
        <v>505731204.83705938</v>
      </c>
      <c r="BE45" s="132">
        <f t="shared" si="413"/>
        <v>520227648.22719336</v>
      </c>
      <c r="BF45" s="132">
        <f t="shared" si="413"/>
        <v>534554197.02531767</v>
      </c>
      <c r="BG45" s="132">
        <f t="shared" si="413"/>
        <v>547347148.17737448</v>
      </c>
      <c r="BH45" s="132">
        <f t="shared" si="413"/>
        <v>561329862.14701152</v>
      </c>
      <c r="BI45" s="132">
        <f t="shared" si="413"/>
        <v>574684450.91467941</v>
      </c>
      <c r="BJ45" s="132">
        <f t="shared" si="413"/>
        <v>588317864.45500791</v>
      </c>
      <c r="BK45" s="132">
        <f t="shared" si="413"/>
        <v>601343048.1688894</v>
      </c>
      <c r="BL45" s="132">
        <f t="shared" si="413"/>
        <v>614610075.88849306</v>
      </c>
      <c r="BM45" s="132">
        <f t="shared" si="413"/>
        <v>627709100.35359406</v>
      </c>
      <c r="BN45" s="132">
        <f t="shared" si="413"/>
        <v>640207242.97253489</v>
      </c>
      <c r="BO45" s="132">
        <f t="shared" ref="BO45:DR45" si="414">BO43-BO44</f>
        <v>652942919.87382638</v>
      </c>
      <c r="BP45" s="132">
        <f t="shared" si="414"/>
        <v>665092552.27973008</v>
      </c>
      <c r="BQ45" s="132">
        <f t="shared" si="414"/>
        <v>677453107.48886359</v>
      </c>
      <c r="BR45" s="132">
        <f t="shared" si="414"/>
        <v>689632904.83113301</v>
      </c>
      <c r="BS45" s="132">
        <f t="shared" si="414"/>
        <v>700856322.25417888</v>
      </c>
      <c r="BT45" s="132">
        <f t="shared" si="414"/>
        <v>712652018.0472858</v>
      </c>
      <c r="BU45" s="132">
        <f t="shared" si="414"/>
        <v>723890888.8049041</v>
      </c>
      <c r="BV45" s="132">
        <f t="shared" si="414"/>
        <v>735308758.88960016</v>
      </c>
      <c r="BW45" s="132">
        <f t="shared" si="414"/>
        <v>746160572.85361123</v>
      </c>
      <c r="BX45" s="132">
        <f t="shared" si="414"/>
        <v>757188371.73279214</v>
      </c>
      <c r="BY45" s="132">
        <f t="shared" si="414"/>
        <v>768018815.91758513</v>
      </c>
      <c r="BZ45" s="132">
        <f t="shared" si="414"/>
        <v>778310298.7009871</v>
      </c>
      <c r="CA45" s="132">
        <f t="shared" si="414"/>
        <v>788741333.95408082</v>
      </c>
      <c r="CB45" s="132">
        <f t="shared" si="414"/>
        <v>798636736.32033372</v>
      </c>
      <c r="CC45" s="132">
        <f t="shared" si="414"/>
        <v>808662013.63457608</v>
      </c>
      <c r="CD45" s="132">
        <f t="shared" si="414"/>
        <v>818481999.62537456</v>
      </c>
      <c r="CE45" s="132">
        <f t="shared" si="414"/>
        <v>827160450.42152619</v>
      </c>
      <c r="CF45" s="132">
        <f t="shared" si="414"/>
        <v>836551462.19457531</v>
      </c>
      <c r="CG45" s="132">
        <f t="shared" si="414"/>
        <v>845452253.90434337</v>
      </c>
      <c r="CH45" s="132">
        <f t="shared" si="414"/>
        <v>854434693.19800878</v>
      </c>
      <c r="CI45" s="132">
        <f t="shared" si="414"/>
        <v>862923839.94073009</v>
      </c>
      <c r="CJ45" s="132">
        <f t="shared" si="414"/>
        <v>871477494.40411353</v>
      </c>
      <c r="CK45" s="132">
        <f t="shared" si="414"/>
        <v>879807184.16606259</v>
      </c>
      <c r="CL45" s="132">
        <f t="shared" si="414"/>
        <v>887666561.93398595</v>
      </c>
      <c r="CM45" s="132">
        <f t="shared" si="414"/>
        <v>895564225.42312551</v>
      </c>
      <c r="CN45" s="132">
        <f t="shared" si="414"/>
        <v>902981021.5980413</v>
      </c>
      <c r="CO45" s="132">
        <f t="shared" si="414"/>
        <v>910432656.65317702</v>
      </c>
      <c r="CP45" s="132">
        <f t="shared" si="414"/>
        <v>917658625.71698427</v>
      </c>
      <c r="CQ45" s="132">
        <f t="shared" si="414"/>
        <v>923989842.55147386</v>
      </c>
      <c r="CR45" s="132">
        <f t="shared" si="414"/>
        <v>930759105.92202759</v>
      </c>
      <c r="CS45" s="132">
        <f t="shared" si="414"/>
        <v>937089769.88705564</v>
      </c>
      <c r="CT45" s="132">
        <f t="shared" si="414"/>
        <v>943387528.20422411</v>
      </c>
      <c r="CU45" s="132">
        <f t="shared" si="414"/>
        <v>949265692.43372703</v>
      </c>
      <c r="CV45" s="132">
        <f t="shared" si="414"/>
        <v>955099649.62537766</v>
      </c>
      <c r="CW45" s="132">
        <f t="shared" si="414"/>
        <v>960679694.11083341</v>
      </c>
      <c r="CX45" s="132">
        <f t="shared" si="414"/>
        <v>965865586.31626058</v>
      </c>
      <c r="CY45" s="132">
        <f t="shared" si="414"/>
        <v>970978447.01429462</v>
      </c>
      <c r="CZ45" s="132">
        <f t="shared" si="414"/>
        <v>975693642.18435621</v>
      </c>
      <c r="DA45" s="132">
        <f t="shared" si="414"/>
        <v>980316207.20388007</v>
      </c>
      <c r="DB45" s="132">
        <f t="shared" si="414"/>
        <v>984682678.91623187</v>
      </c>
      <c r="DC45" s="132">
        <f t="shared" si="414"/>
        <v>988418977.89538455</v>
      </c>
      <c r="DD45" s="132">
        <f t="shared" si="414"/>
        <v>992291447.48918653</v>
      </c>
      <c r="DE45" s="132">
        <f t="shared" si="414"/>
        <v>995796904.74002981</v>
      </c>
      <c r="DF45" s="132">
        <f t="shared" si="414"/>
        <v>999142785.69631672</v>
      </c>
      <c r="DG45" s="132">
        <f t="shared" si="414"/>
        <v>1002150833.7060866</v>
      </c>
      <c r="DH45" s="132">
        <f t="shared" si="414"/>
        <v>1004995170.2423534</v>
      </c>
      <c r="DI45" s="132">
        <f t="shared" si="414"/>
        <v>1007577366.3406839</v>
      </c>
      <c r="DJ45" s="132">
        <f t="shared" si="414"/>
        <v>1009824436.0004616</v>
      </c>
      <c r="DK45" s="132">
        <f t="shared" si="414"/>
        <v>1011867487.815356</v>
      </c>
      <c r="DL45" s="132">
        <f t="shared" si="414"/>
        <v>1013597144.896174</v>
      </c>
      <c r="DM45" s="132">
        <f t="shared" si="414"/>
        <v>1015109861.5138557</v>
      </c>
      <c r="DN45" s="132">
        <f t="shared" si="414"/>
        <v>1016332240.6620789</v>
      </c>
      <c r="DO45" s="132">
        <f t="shared" si="414"/>
        <v>1017243199.5338917</v>
      </c>
      <c r="DP45" s="132">
        <f t="shared" si="414"/>
        <v>1017931375.5670183</v>
      </c>
      <c r="DQ45" s="132">
        <f t="shared" si="414"/>
        <v>1018313153.4867771</v>
      </c>
      <c r="DR45" s="132">
        <f t="shared" si="414"/>
        <v>1018440699.0232332</v>
      </c>
    </row>
    <row r="46" spans="1:122" x14ac:dyDescent="0.2">
      <c r="A46" s="3" t="s">
        <v>76</v>
      </c>
      <c r="B46" s="8">
        <f>Summary!B26</f>
        <v>0</v>
      </c>
      <c r="C46" s="8">
        <f>Summary!C26</f>
        <v>0</v>
      </c>
      <c r="D46" s="8">
        <f>Summary!D26</f>
        <v>0</v>
      </c>
      <c r="E46" s="8">
        <f>Summary!E26</f>
        <v>0</v>
      </c>
      <c r="F46" s="8">
        <f>Summary!F26</f>
        <v>0</v>
      </c>
      <c r="G46" s="8">
        <f>Summary!G26</f>
        <v>0</v>
      </c>
      <c r="H46" s="8">
        <f>Summary!H26</f>
        <v>0</v>
      </c>
      <c r="I46" s="8">
        <f>Summary!I26</f>
        <v>0</v>
      </c>
      <c r="J46" s="8">
        <f>Summary!J26</f>
        <v>0</v>
      </c>
      <c r="K46" s="8">
        <f>Summary!K26</f>
        <v>0</v>
      </c>
      <c r="L46" s="8">
        <f>Summary!L26</f>
        <v>0</v>
      </c>
      <c r="M46" s="8">
        <f>Summary!M26</f>
        <v>0</v>
      </c>
      <c r="N46" s="8">
        <f>Summary!N26</f>
        <v>0</v>
      </c>
      <c r="O46" s="8">
        <f>Summary!O26</f>
        <v>0</v>
      </c>
      <c r="P46" s="8">
        <f>Summary!P26</f>
        <v>0</v>
      </c>
      <c r="Q46" s="8">
        <f>Summary!Q26</f>
        <v>0</v>
      </c>
      <c r="R46" s="8">
        <f>Summary!R26</f>
        <v>0</v>
      </c>
      <c r="S46" s="8">
        <f>Summary!S26</f>
        <v>0</v>
      </c>
      <c r="T46" s="8">
        <f>Summary!T26</f>
        <v>0</v>
      </c>
      <c r="U46" s="8">
        <f>Summary!U26</f>
        <v>0</v>
      </c>
      <c r="V46" s="8">
        <f>Summary!V26</f>
        <v>0</v>
      </c>
      <c r="W46" s="8">
        <f>Summary!W26</f>
        <v>0</v>
      </c>
      <c r="X46" s="8">
        <f>Summary!X26</f>
        <v>0</v>
      </c>
      <c r="Y46" s="8">
        <f>Summary!Y26</f>
        <v>0</v>
      </c>
      <c r="Z46" s="8">
        <f>Summary!Z26</f>
        <v>0</v>
      </c>
      <c r="AA46" s="8">
        <f>Summary!AA26</f>
        <v>0</v>
      </c>
      <c r="AB46" s="8">
        <f>Summary!AB26</f>
        <v>0</v>
      </c>
      <c r="AC46" s="8">
        <f>Summary!AC26</f>
        <v>0</v>
      </c>
      <c r="AD46" s="8">
        <f>Summary!AD26</f>
        <v>0</v>
      </c>
      <c r="AE46" s="8">
        <f>Summary!AE26</f>
        <v>0</v>
      </c>
      <c r="AF46" s="8">
        <f>Summary!AF26</f>
        <v>0</v>
      </c>
      <c r="AG46" s="8">
        <f>Summary!AG26</f>
        <v>0</v>
      </c>
      <c r="AH46" s="8">
        <f>Summary!AH26</f>
        <v>0</v>
      </c>
      <c r="AI46" s="8">
        <f>Summary!AI26</f>
        <v>162027057.14110795</v>
      </c>
      <c r="AJ46" s="8">
        <f>Summary!AJ26</f>
        <v>178149763.65285715</v>
      </c>
      <c r="AK46" s="8">
        <f>Summary!AK26</f>
        <v>195856558.50617498</v>
      </c>
      <c r="AL46" s="8">
        <f>Summary!AL26</f>
        <v>211719295.12631369</v>
      </c>
      <c r="AM46" s="8">
        <f>Summary!AM26</f>
        <v>230259645.14265984</v>
      </c>
      <c r="AN46" s="8">
        <f>Summary!AN26</f>
        <v>246972467.54836607</v>
      </c>
      <c r="AO46" s="8">
        <f>Summary!AO26</f>
        <v>264094446.10426092</v>
      </c>
      <c r="AP46" s="8">
        <f>Summary!AP26</f>
        <v>281067315.55487502</v>
      </c>
      <c r="AQ46" s="8">
        <f>Summary!AQ26</f>
        <v>296804567.71775395</v>
      </c>
      <c r="AR46" s="8">
        <f>Summary!AR26</f>
        <v>314013445.70856279</v>
      </c>
      <c r="AS46" s="8">
        <f>Summary!AS26</f>
        <v>329999015.38352776</v>
      </c>
      <c r="AT46" s="8">
        <f>Summary!AT26</f>
        <v>345307773.68503642</v>
      </c>
      <c r="AU46" s="8">
        <f>Summary!AU26</f>
        <v>362562972.51145452</v>
      </c>
      <c r="AV46" s="8">
        <f>Summary!AV26</f>
        <v>377062542.86288887</v>
      </c>
      <c r="AW46" s="8">
        <f>Summary!AW26</f>
        <v>392445308.65518594</v>
      </c>
      <c r="AX46" s="8">
        <f>Summary!AX26</f>
        <v>408182014.77520663</v>
      </c>
      <c r="AY46" s="8">
        <f>Summary!AY26</f>
        <v>423758645.04982919</v>
      </c>
      <c r="AZ46" s="8">
        <f>Summary!AZ26</f>
        <v>438179397.55632395</v>
      </c>
      <c r="BA46" s="8">
        <f>Summary!BA26</f>
        <v>453924085.8143543</v>
      </c>
      <c r="BB46" s="8">
        <f>Summary!BB26</f>
        <v>469012844.74057686</v>
      </c>
      <c r="BC46" s="8">
        <f>Summary!BC26</f>
        <v>482492183.38472068</v>
      </c>
      <c r="BD46" s="8">
        <f>Summary!BD26</f>
        <v>498201290.68931472</v>
      </c>
      <c r="BE46" s="8">
        <f>Summary!BE26</f>
        <v>512319879.71633595</v>
      </c>
      <c r="BF46" s="8">
        <f>Summary!BF26</f>
        <v>526739928.17731124</v>
      </c>
      <c r="BG46" s="8">
        <f>Summary!BG26</f>
        <v>540989477.25308764</v>
      </c>
      <c r="BH46" s="8">
        <f>Summary!BH26</f>
        <v>553704819.10166132</v>
      </c>
      <c r="BI46" s="8">
        <f>Summary!BI26</f>
        <v>566712245.47314107</v>
      </c>
      <c r="BJ46" s="8">
        <f>Summary!BJ26</f>
        <v>580885055.14698696</v>
      </c>
      <c r="BK46" s="8">
        <f>Summary!BK26</f>
        <v>594439001.53220153</v>
      </c>
      <c r="BL46" s="8">
        <f>Summary!BL26</f>
        <v>606521083.14640522</v>
      </c>
      <c r="BM46" s="8">
        <f>Summary!BM26</f>
        <v>620570386.33003139</v>
      </c>
      <c r="BN46" s="8">
        <f>Summary!BN26</f>
        <v>633168116.95984769</v>
      </c>
      <c r="BO46" s="8">
        <f>Summary!BO26</f>
        <v>646004170.27710068</v>
      </c>
      <c r="BP46" s="8">
        <f>Summary!BP26</f>
        <v>658657184.24760032</v>
      </c>
      <c r="BQ46" s="8">
        <f>Summary!BQ26</f>
        <v>670321288.80583537</v>
      </c>
      <c r="BR46" s="8">
        <f>Summary!BR26</f>
        <v>683000077.57566321</v>
      </c>
      <c r="BS46" s="8">
        <f>Summary!BS26</f>
        <v>695095233.15916681</v>
      </c>
      <c r="BT46" s="8">
        <f>Summary!BT26</f>
        <v>705849266.13652253</v>
      </c>
      <c r="BU46" s="8">
        <f>Summary!BU26</f>
        <v>717943047.31121254</v>
      </c>
      <c r="BV46" s="8">
        <f>Summary!BV26</f>
        <v>729095250.111884</v>
      </c>
      <c r="BW46" s="8">
        <f>Summary!BW26</f>
        <v>739694765.08563483</v>
      </c>
      <c r="BX46" s="8">
        <f>Summary!BX26</f>
        <v>751189534.45092607</v>
      </c>
      <c r="BY46" s="8">
        <f>Summary!BY26</f>
        <v>762128590.67079949</v>
      </c>
      <c r="BZ46" s="8">
        <f>Summary!BZ26</f>
        <v>772869589.65023196</v>
      </c>
      <c r="CA46" s="8">
        <f>Summary!CA26</f>
        <v>783070919.12039781</v>
      </c>
      <c r="CB46" s="8">
        <f>Summary!CB26</f>
        <v>793077533.53277946</v>
      </c>
      <c r="CC46" s="8">
        <f>Summary!CC26</f>
        <v>803214903.32184899</v>
      </c>
      <c r="CD46" s="8">
        <f>Summary!CD26</f>
        <v>813147869.18623376</v>
      </c>
      <c r="CE46" s="8">
        <f>Summary!CE26</f>
        <v>822247268.1706506</v>
      </c>
      <c r="CF46" s="8">
        <f>Summary!CF26</f>
        <v>830845337.10968328</v>
      </c>
      <c r="CG46" s="8">
        <f>Summary!CG26</f>
        <v>840755975.41502261</v>
      </c>
      <c r="CH46" s="8">
        <f>Summary!CH26</f>
        <v>849561497.5824995</v>
      </c>
      <c r="CI46" s="8">
        <f>Summary!CI26</f>
        <v>858447913.11666417</v>
      </c>
      <c r="CJ46" s="8">
        <f>Summary!CJ26</f>
        <v>866840275.91178846</v>
      </c>
      <c r="CK46" s="8">
        <f>Summary!CK26</f>
        <v>875023602.66295111</v>
      </c>
      <c r="CL46" s="8">
        <f>Summary!CL26</f>
        <v>883527747.55737209</v>
      </c>
      <c r="CM46" s="8">
        <f>Summary!CM26</f>
        <v>891288024.5135237</v>
      </c>
      <c r="CN46" s="8">
        <f>Summary!CN26</f>
        <v>898582720.18284512</v>
      </c>
      <c r="CO46" s="8">
        <f>Summary!CO26</f>
        <v>906401922.69875026</v>
      </c>
      <c r="CP46" s="8">
        <f>Summary!CP26</f>
        <v>913752084.61564696</v>
      </c>
      <c r="CQ46" s="8">
        <f>Summary!CQ26</f>
        <v>920875777.21220422</v>
      </c>
      <c r="CR46" s="8">
        <f>Summary!CR26</f>
        <v>927103907.89074469</v>
      </c>
      <c r="CS46" s="8">
        <f>Summary!CS26</f>
        <v>933769269.00661469</v>
      </c>
      <c r="CT46" s="8">
        <f>Summary!CT26</f>
        <v>939787676.8524152</v>
      </c>
      <c r="CU46" s="8">
        <f>Summary!CU26</f>
        <v>946187412.58896542</v>
      </c>
      <c r="CV46" s="8">
        <f>Summary!CV26</f>
        <v>951959187.2978946</v>
      </c>
      <c r="CW46" s="8">
        <f>Summary!CW26</f>
        <v>957316446.56242573</v>
      </c>
      <c r="CX46" s="8">
        <f>Summary!CX26</f>
        <v>963157876.51492429</v>
      </c>
      <c r="CY46" s="8">
        <f>Summary!CY26</f>
        <v>968234832.39243078</v>
      </c>
      <c r="CZ46" s="8">
        <f>Summary!CZ26</f>
        <v>973237894.34994829</v>
      </c>
      <c r="DA46" s="8">
        <f>Summary!DA26</f>
        <v>977842421.539464</v>
      </c>
      <c r="DB46" s="8">
        <f>Summary!DB26</f>
        <v>982207925.65314031</v>
      </c>
      <c r="DC46" s="8">
        <f>Summary!DC26</f>
        <v>986607487.00974822</v>
      </c>
      <c r="DD46" s="8">
        <f>Summary!DD26</f>
        <v>990230468.78102148</v>
      </c>
      <c r="DE46" s="8">
        <f>Summary!DE26</f>
        <v>993988724.07238173</v>
      </c>
      <c r="DF46" s="8">
        <f>Summary!DF26</f>
        <v>997153040.24076629</v>
      </c>
      <c r="DG46" s="8">
        <f>Summary!DG26</f>
        <v>1000608913.9267229</v>
      </c>
      <c r="DH46" s="8">
        <f>Summary!DH26</f>
        <v>1003500013.5130305</v>
      </c>
      <c r="DI46" s="8">
        <f>Summary!DI26</f>
        <v>1006226475.7841492</v>
      </c>
      <c r="DJ46" s="8">
        <f>Summary!DJ26</f>
        <v>1008689864.4460659</v>
      </c>
      <c r="DK46" s="8">
        <f>Summary!DK26</f>
        <v>1010746275.3884084</v>
      </c>
      <c r="DL46" s="8">
        <f>Summary!DL26</f>
        <v>1012739541.9252046</v>
      </c>
      <c r="DM46" s="8">
        <f>Summary!DM26</f>
        <v>1014347547.4957725</v>
      </c>
      <c r="DN46" s="8">
        <f>Summary!DN26</f>
        <v>1015647965.5266206</v>
      </c>
      <c r="DO46" s="8">
        <f>Summary!DO26</f>
        <v>1016836443.3934695</v>
      </c>
      <c r="DP46" s="8">
        <f>Summary!DP26</f>
        <v>1017622838.5982862</v>
      </c>
      <c r="DQ46" s="8">
        <f>Summary!DQ26</f>
        <v>1018149166.3684765</v>
      </c>
      <c r="DR46" s="8">
        <f>Summary!DR26</f>
        <v>1018440699.0232332</v>
      </c>
    </row>
    <row r="47" spans="1:122" x14ac:dyDescent="0.2">
      <c r="A47" s="12" t="s">
        <v>77</v>
      </c>
      <c r="B47" s="132">
        <f>B45-B46</f>
        <v>4125000</v>
      </c>
      <c r="C47" s="132">
        <f t="shared" ref="C47:BN47" si="415">C45-C46</f>
        <v>5500000</v>
      </c>
      <c r="D47" s="132">
        <f>D45-D46</f>
        <v>6729166.6666666679</v>
      </c>
      <c r="E47" s="132">
        <f t="shared" si="415"/>
        <v>6729166.6666666716</v>
      </c>
      <c r="F47" s="132">
        <f t="shared" si="415"/>
        <v>6333333.3333333358</v>
      </c>
      <c r="G47" s="132">
        <f t="shared" si="415"/>
        <v>6729166.6666666716</v>
      </c>
      <c r="H47" s="132">
        <f t="shared" si="415"/>
        <v>6333333.3333333284</v>
      </c>
      <c r="I47" s="132">
        <f t="shared" si="415"/>
        <v>6729166.6666666567</v>
      </c>
      <c r="J47" s="132">
        <f t="shared" si="415"/>
        <v>6729166.6666666567</v>
      </c>
      <c r="K47" s="132">
        <f t="shared" si="415"/>
        <v>5541666.6666666567</v>
      </c>
      <c r="L47" s="132">
        <f t="shared" si="415"/>
        <v>6729166.6666666567</v>
      </c>
      <c r="M47" s="132">
        <f t="shared" si="415"/>
        <v>6333333.3333333284</v>
      </c>
      <c r="N47" s="132">
        <f t="shared" si="415"/>
        <v>5200590.2777777612</v>
      </c>
      <c r="O47" s="132">
        <f t="shared" si="415"/>
        <v>18254843.74999997</v>
      </c>
      <c r="P47" s="132">
        <f t="shared" si="415"/>
        <v>33325813.078703672</v>
      </c>
      <c r="Q47" s="132">
        <f t="shared" si="415"/>
        <v>48396782.407407373</v>
      </c>
      <c r="R47" s="132">
        <f t="shared" si="415"/>
        <v>62981591.435185164</v>
      </c>
      <c r="S47" s="132">
        <f t="shared" si="415"/>
        <v>78052560.763888866</v>
      </c>
      <c r="T47" s="132">
        <f t="shared" si="415"/>
        <v>94695703.12499997</v>
      </c>
      <c r="U47" s="132">
        <f t="shared" si="415"/>
        <v>112220839.12037036</v>
      </c>
      <c r="V47" s="132">
        <f t="shared" si="415"/>
        <v>129745975.11574075</v>
      </c>
      <c r="W47" s="132">
        <f t="shared" si="415"/>
        <v>146140457.17592594</v>
      </c>
      <c r="X47" s="132">
        <f t="shared" si="415"/>
        <v>163665593.17129633</v>
      </c>
      <c r="Y47" s="132">
        <f t="shared" si="415"/>
        <v>180625402.19907412</v>
      </c>
      <c r="Z47" s="132">
        <f t="shared" si="415"/>
        <v>7389917.8906250596</v>
      </c>
      <c r="AA47" s="132">
        <f t="shared" si="415"/>
        <v>25795796.995229661</v>
      </c>
      <c r="AB47" s="132">
        <f t="shared" si="415"/>
        <v>44679091.665921211</v>
      </c>
      <c r="AC47" s="132">
        <f t="shared" si="415"/>
        <v>63418469.595762074</v>
      </c>
      <c r="AD47" s="132">
        <f t="shared" si="415"/>
        <v>81431971.591792345</v>
      </c>
      <c r="AE47" s="132">
        <f t="shared" si="415"/>
        <v>99906551.555940509</v>
      </c>
      <c r="AF47" s="132">
        <f t="shared" si="415"/>
        <v>117653264.29091722</v>
      </c>
      <c r="AG47" s="132">
        <f t="shared" si="415"/>
        <v>135849946.55879909</v>
      </c>
      <c r="AH47" s="132">
        <f t="shared" si="415"/>
        <v>153901476.12962139</v>
      </c>
      <c r="AI47" s="132">
        <f t="shared" si="415"/>
        <v>8061353.2558747232</v>
      </c>
      <c r="AJ47" s="132">
        <f t="shared" si="415"/>
        <v>9710177.8227873147</v>
      </c>
      <c r="AK47" s="132">
        <f t="shared" si="415"/>
        <v>9064420.9257937074</v>
      </c>
      <c r="AL47" s="132">
        <f t="shared" si="415"/>
        <v>10674746.979108572</v>
      </c>
      <c r="AM47" s="132">
        <f t="shared" si="415"/>
        <v>8913505.2830434442</v>
      </c>
      <c r="AN47" s="132">
        <f t="shared" si="415"/>
        <v>9389472.111297369</v>
      </c>
      <c r="AO47" s="132">
        <f t="shared" si="415"/>
        <v>9307702.601949811</v>
      </c>
      <c r="AP47" s="132">
        <f t="shared" si="415"/>
        <v>8682621.8829678297</v>
      </c>
      <c r="AQ47" s="132">
        <f t="shared" si="415"/>
        <v>9679993.8698300719</v>
      </c>
      <c r="AR47" s="132">
        <f t="shared" si="415"/>
        <v>8525637.1599814296</v>
      </c>
      <c r="AS47" s="132">
        <f t="shared" si="415"/>
        <v>8974099.6939879656</v>
      </c>
      <c r="AT47" s="132">
        <f t="shared" si="415"/>
        <v>9934811.4455136061</v>
      </c>
      <c r="AU47" s="132">
        <f t="shared" si="415"/>
        <v>7249785.1757172942</v>
      </c>
      <c r="AV47" s="132">
        <f t="shared" si="415"/>
        <v>8716900.615635097</v>
      </c>
      <c r="AW47" s="132">
        <f t="shared" si="415"/>
        <v>8629806.581946969</v>
      </c>
      <c r="AX47" s="132">
        <f t="shared" si="415"/>
        <v>8542023.053825438</v>
      </c>
      <c r="AY47" s="132">
        <f t="shared" si="415"/>
        <v>7956277.2449627519</v>
      </c>
      <c r="AZ47" s="132">
        <f t="shared" si="415"/>
        <v>8856387.145142138</v>
      </c>
      <c r="BA47" s="132">
        <f t="shared" si="415"/>
        <v>8274480.7014769316</v>
      </c>
      <c r="BB47" s="132">
        <f t="shared" si="415"/>
        <v>7702479.225225091</v>
      </c>
      <c r="BC47" s="132">
        <f t="shared" si="415"/>
        <v>9044637.5390087366</v>
      </c>
      <c r="BD47" s="132">
        <f t="shared" si="415"/>
        <v>7529914.1477446556</v>
      </c>
      <c r="BE47" s="132">
        <f t="shared" si="415"/>
        <v>7907768.5108574033</v>
      </c>
      <c r="BF47" s="132">
        <f t="shared" si="415"/>
        <v>7814268.8480064273</v>
      </c>
      <c r="BG47" s="132">
        <f t="shared" si="415"/>
        <v>6357670.9242868423</v>
      </c>
      <c r="BH47" s="132">
        <f t="shared" si="415"/>
        <v>7625043.045350194</v>
      </c>
      <c r="BI47" s="132">
        <f t="shared" si="415"/>
        <v>7972205.4415383339</v>
      </c>
      <c r="BJ47" s="132">
        <f t="shared" si="415"/>
        <v>7432809.3080209494</v>
      </c>
      <c r="BK47" s="132">
        <f t="shared" si="415"/>
        <v>6904046.6366878748</v>
      </c>
      <c r="BL47" s="132">
        <f t="shared" si="415"/>
        <v>8088992.742087841</v>
      </c>
      <c r="BM47" s="132">
        <f t="shared" si="415"/>
        <v>7138714.0235626698</v>
      </c>
      <c r="BN47" s="132">
        <f t="shared" si="415"/>
        <v>7039126.0126872063</v>
      </c>
      <c r="BO47" s="132">
        <f t="shared" ref="BO47:DR47" si="416">BO45-BO46</f>
        <v>6938749.5967257023</v>
      </c>
      <c r="BP47" s="132">
        <f t="shared" si="416"/>
        <v>6435368.0321297646</v>
      </c>
      <c r="BQ47" s="132">
        <f t="shared" si="416"/>
        <v>7131818.6830282211</v>
      </c>
      <c r="BR47" s="132">
        <f t="shared" si="416"/>
        <v>6632827.255469799</v>
      </c>
      <c r="BS47" s="132">
        <f t="shared" si="416"/>
        <v>5761089.0950120687</v>
      </c>
      <c r="BT47" s="132">
        <f t="shared" si="416"/>
        <v>6802751.9107632637</v>
      </c>
      <c r="BU47" s="132">
        <f t="shared" si="416"/>
        <v>5947841.4936915636</v>
      </c>
      <c r="BV47" s="132">
        <f t="shared" si="416"/>
        <v>6213508.7777161598</v>
      </c>
      <c r="BW47" s="132">
        <f t="shared" si="416"/>
        <v>6465807.7679764032</v>
      </c>
      <c r="BX47" s="132">
        <f t="shared" si="416"/>
        <v>5998837.2818660736</v>
      </c>
      <c r="BY47" s="132">
        <f t="shared" si="416"/>
        <v>5890225.2467856407</v>
      </c>
      <c r="BZ47" s="132">
        <f t="shared" si="416"/>
        <v>5440709.0507551432</v>
      </c>
      <c r="CA47" s="132">
        <f t="shared" si="416"/>
        <v>5670414.8336830139</v>
      </c>
      <c r="CB47" s="132">
        <f t="shared" si="416"/>
        <v>5559202.7875542641</v>
      </c>
      <c r="CC47" s="132">
        <f t="shared" si="416"/>
        <v>5447110.3127270937</v>
      </c>
      <c r="CD47" s="132">
        <f t="shared" si="416"/>
        <v>5334130.4391407967</v>
      </c>
      <c r="CE47" s="132">
        <f t="shared" si="416"/>
        <v>4913182.2508755922</v>
      </c>
      <c r="CF47" s="132">
        <f t="shared" si="416"/>
        <v>5706125.0848920345</v>
      </c>
      <c r="CG47" s="132">
        <f t="shared" si="416"/>
        <v>4696278.489320755</v>
      </c>
      <c r="CH47" s="132">
        <f t="shared" si="416"/>
        <v>4873195.6155092716</v>
      </c>
      <c r="CI47" s="132">
        <f t="shared" si="416"/>
        <v>4475926.8240659237</v>
      </c>
      <c r="CJ47" s="132">
        <f t="shared" si="416"/>
        <v>4637218.4923250675</v>
      </c>
      <c r="CK47" s="132">
        <f t="shared" si="416"/>
        <v>4783581.5031114817</v>
      </c>
      <c r="CL47" s="132">
        <f t="shared" si="416"/>
        <v>4138814.3766138554</v>
      </c>
      <c r="CM47" s="132">
        <f t="shared" si="416"/>
        <v>4276200.9096018076</v>
      </c>
      <c r="CN47" s="132">
        <f t="shared" si="416"/>
        <v>4398301.4151961803</v>
      </c>
      <c r="CO47" s="132">
        <f t="shared" si="416"/>
        <v>4030733.9544267654</v>
      </c>
      <c r="CP47" s="132">
        <f t="shared" si="416"/>
        <v>3906541.1013373137</v>
      </c>
      <c r="CQ47" s="132">
        <f t="shared" si="416"/>
        <v>3114065.3392696381</v>
      </c>
      <c r="CR47" s="132">
        <f t="shared" si="416"/>
        <v>3655198.0312829018</v>
      </c>
      <c r="CS47" s="132">
        <f t="shared" si="416"/>
        <v>3320500.8804409504</v>
      </c>
      <c r="CT47" s="132">
        <f t="shared" si="416"/>
        <v>3599851.3518089056</v>
      </c>
      <c r="CU47" s="132">
        <f t="shared" si="416"/>
        <v>3078279.84476161</v>
      </c>
      <c r="CV47" s="132">
        <f t="shared" si="416"/>
        <v>3140462.327483058</v>
      </c>
      <c r="CW47" s="132">
        <f t="shared" si="416"/>
        <v>3363247.5484076738</v>
      </c>
      <c r="CX47" s="132">
        <f t="shared" si="416"/>
        <v>2707709.8013362885</v>
      </c>
      <c r="CY47" s="132">
        <f t="shared" si="416"/>
        <v>2743614.621863842</v>
      </c>
      <c r="CZ47" s="132">
        <f t="shared" si="416"/>
        <v>2455747.8344079256</v>
      </c>
      <c r="DA47" s="132">
        <f t="shared" si="416"/>
        <v>2473785.6644160748</v>
      </c>
      <c r="DB47" s="132">
        <f t="shared" si="416"/>
        <v>2474753.2630915642</v>
      </c>
      <c r="DC47" s="132">
        <f t="shared" si="416"/>
        <v>1811490.8856363297</v>
      </c>
      <c r="DD47" s="132">
        <f t="shared" si="416"/>
        <v>2060978.7081650496</v>
      </c>
      <c r="DE47" s="132">
        <f t="shared" si="416"/>
        <v>1808180.667648077</v>
      </c>
      <c r="DF47" s="132">
        <f t="shared" si="416"/>
        <v>1989745.4555504322</v>
      </c>
      <c r="DG47" s="132">
        <f t="shared" si="416"/>
        <v>1541919.7793637514</v>
      </c>
      <c r="DH47" s="132">
        <f t="shared" si="416"/>
        <v>1495156.7293229103</v>
      </c>
      <c r="DI47" s="132">
        <f t="shared" si="416"/>
        <v>1350890.5565347672</v>
      </c>
      <c r="DJ47" s="132">
        <f t="shared" si="416"/>
        <v>1134571.5543956757</v>
      </c>
      <c r="DK47" s="132">
        <f t="shared" si="416"/>
        <v>1121212.4269475937</v>
      </c>
      <c r="DL47" s="132">
        <f t="shared" si="416"/>
        <v>857602.97096931934</v>
      </c>
      <c r="DM47" s="132">
        <f t="shared" si="416"/>
        <v>762314.01808321476</v>
      </c>
      <c r="DN47" s="132">
        <f t="shared" si="416"/>
        <v>684275.13545823097</v>
      </c>
      <c r="DO47" s="132">
        <f t="shared" si="416"/>
        <v>406756.140422225</v>
      </c>
      <c r="DP47" s="132">
        <f t="shared" si="416"/>
        <v>308536.96873211861</v>
      </c>
      <c r="DQ47" s="132">
        <f t="shared" si="416"/>
        <v>163987.11830055714</v>
      </c>
      <c r="DR47" s="132">
        <f t="shared" si="416"/>
        <v>0</v>
      </c>
    </row>
  </sheetData>
  <mergeCells count="1">
    <mergeCell ref="B25:Y25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5 B35 D35:L35 C32:E32 N35:T3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35"/>
  <sheetViews>
    <sheetView showGridLines="0" topLeftCell="J4" workbookViewId="0">
      <selection activeCell="W25" sqref="V25:AD25"/>
    </sheetView>
  </sheetViews>
  <sheetFormatPr defaultColWidth="9.5703125" defaultRowHeight="13.5" x14ac:dyDescent="0.25"/>
  <cols>
    <col min="1" max="1" width="44" style="23" customWidth="1"/>
    <col min="2" max="2" width="13.42578125" style="23" customWidth="1"/>
    <col min="3" max="122" width="12.28515625" style="23" bestFit="1" customWidth="1"/>
    <col min="123" max="194" width="9.5703125" style="23" bestFit="1" customWidth="1"/>
    <col min="195" max="16384" width="9.5703125" style="23"/>
  </cols>
  <sheetData>
    <row r="1" spans="1:74" s="19" customFormat="1" ht="16.5" x14ac:dyDescent="0.3">
      <c r="A1" s="18" t="s">
        <v>0</v>
      </c>
      <c r="B1" s="10" t="str">
        <f>'SKS Edible Oil_Loan'!C1</f>
        <v>Sena Kalyan Sangstha-Edible Oil Project (SKS Edible Oil)</v>
      </c>
    </row>
    <row r="3" spans="1:74" s="21" customFormat="1" ht="18.75" x14ac:dyDescent="0.3">
      <c r="A3" s="20" t="s">
        <v>1</v>
      </c>
    </row>
    <row r="4" spans="1:74" s="19" customFormat="1" ht="16.5" x14ac:dyDescent="0.3">
      <c r="A4" s="18"/>
    </row>
    <row r="5" spans="1:74" s="22" customFormat="1" ht="15" x14ac:dyDescent="0.3">
      <c r="A5" s="22" t="s">
        <v>63</v>
      </c>
      <c r="B5" s="73">
        <f>'SKS Edible Oil_Loan'!C3</f>
        <v>43215</v>
      </c>
    </row>
    <row r="6" spans="1:74" x14ac:dyDescent="0.25">
      <c r="B6" s="54"/>
    </row>
    <row r="7" spans="1:74" ht="15" x14ac:dyDescent="0.3">
      <c r="A7" s="22" t="s">
        <v>2</v>
      </c>
      <c r="B7" s="77">
        <f>'SKS Edible Oil_Loan'!C5</f>
        <v>2355000000</v>
      </c>
      <c r="C7" s="22" t="s">
        <v>47</v>
      </c>
    </row>
    <row r="8" spans="1:74" ht="15" x14ac:dyDescent="0.3">
      <c r="A8" s="22"/>
      <c r="B8" s="54"/>
    </row>
    <row r="9" spans="1:74" ht="15" x14ac:dyDescent="0.3">
      <c r="A9" s="22" t="s">
        <v>3</v>
      </c>
      <c r="B9" s="127">
        <f>'SKS Edible Oil_Loan'!C8</f>
        <v>8.2500000000000004E-2</v>
      </c>
    </row>
    <row r="10" spans="1:74" ht="15" x14ac:dyDescent="0.3">
      <c r="A10" s="22" t="s">
        <v>48</v>
      </c>
      <c r="B10" s="54" t="s">
        <v>70</v>
      </c>
    </row>
    <row r="11" spans="1:74" ht="15" x14ac:dyDescent="0.3">
      <c r="A11" s="22" t="s">
        <v>49</v>
      </c>
      <c r="B11" s="53">
        <v>360</v>
      </c>
      <c r="C11" s="23" t="s">
        <v>53</v>
      </c>
    </row>
    <row r="12" spans="1:74" ht="15" x14ac:dyDescent="0.3">
      <c r="A12" s="22" t="s">
        <v>23</v>
      </c>
      <c r="B12" s="124" t="str">
        <f>'SKS Edible Oil_Loan'!C11</f>
        <v>Annuity</v>
      </c>
    </row>
    <row r="13" spans="1:74" ht="15" x14ac:dyDescent="0.3">
      <c r="A13" s="22"/>
      <c r="B13" s="13"/>
    </row>
    <row r="14" spans="1:74" s="55" customFormat="1" x14ac:dyDescent="0.25">
      <c r="A14" s="62" t="s">
        <v>52</v>
      </c>
      <c r="B14" s="59"/>
      <c r="C14" s="61"/>
      <c r="D14" s="3"/>
      <c r="E14" s="3"/>
      <c r="F14" s="3"/>
      <c r="G14" s="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</row>
    <row r="15" spans="1:74" x14ac:dyDescent="0.25">
      <c r="A15" s="63"/>
      <c r="B15" s="64"/>
      <c r="C15" s="64">
        <f>'SKS Edible Oil_Loan'!C16</f>
        <v>43240</v>
      </c>
      <c r="D15" s="64">
        <f>'SKS Edible Oil_Loan'!D16</f>
        <v>43646</v>
      </c>
      <c r="E15" s="64">
        <f>'SKS Edible Oil_Loan'!E16</f>
        <v>43774</v>
      </c>
      <c r="F15" s="64"/>
      <c r="G15" s="64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</row>
    <row r="16" spans="1:74" x14ac:dyDescent="0.25">
      <c r="A16" s="65"/>
      <c r="B16" s="66"/>
      <c r="C16" s="69">
        <f>'SKS Edible Oil_Loan'!C17</f>
        <v>1500000000</v>
      </c>
      <c r="D16" s="69">
        <f>'SKS Edible Oil_Loan'!D17</f>
        <v>200000000</v>
      </c>
      <c r="E16" s="69">
        <f>'SKS Edible Oil_Loan'!E17</f>
        <v>300000000</v>
      </c>
      <c r="F16" s="70"/>
      <c r="G16" s="70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30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30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</row>
    <row r="17" spans="1:122" s="55" customFormat="1" ht="13.5" customHeight="1" x14ac:dyDescent="0.25">
      <c r="A17" s="67"/>
      <c r="B17" s="68"/>
      <c r="C17" s="71">
        <f>C16</f>
        <v>1500000000</v>
      </c>
      <c r="D17" s="71">
        <f>D16+C17</f>
        <v>1700000000</v>
      </c>
      <c r="E17" s="71">
        <f>E16+D17</f>
        <v>2000000000</v>
      </c>
      <c r="F17" s="72"/>
      <c r="G17" s="72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</row>
    <row r="18" spans="1:122" s="55" customFormat="1" ht="13.5" customHeight="1" x14ac:dyDescent="0.3">
      <c r="A18" s="22"/>
      <c r="B18" s="25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30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4"/>
      <c r="BH18" s="24"/>
      <c r="BI18" s="30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</row>
    <row r="19" spans="1:122" s="55" customFormat="1" ht="13.5" customHeight="1" x14ac:dyDescent="0.25">
      <c r="A19" s="14" t="s">
        <v>61</v>
      </c>
      <c r="B19" s="125">
        <v>43235</v>
      </c>
      <c r="C19" s="125">
        <f>EDATE(B19,1)</f>
        <v>43266</v>
      </c>
      <c r="D19" s="125">
        <f>EDATE(C19,1)</f>
        <v>43296</v>
      </c>
      <c r="E19" s="125">
        <f t="shared" ref="E19:BP19" si="0">EDATE(D19,1)</f>
        <v>43327</v>
      </c>
      <c r="F19" s="125">
        <f t="shared" si="0"/>
        <v>43358</v>
      </c>
      <c r="G19" s="125">
        <f t="shared" si="0"/>
        <v>43388</v>
      </c>
      <c r="H19" s="125">
        <f t="shared" si="0"/>
        <v>43419</v>
      </c>
      <c r="I19" s="125">
        <f t="shared" si="0"/>
        <v>43449</v>
      </c>
      <c r="J19" s="125">
        <f t="shared" si="0"/>
        <v>43480</v>
      </c>
      <c r="K19" s="125">
        <f t="shared" si="0"/>
        <v>43511</v>
      </c>
      <c r="L19" s="125">
        <f t="shared" si="0"/>
        <v>43539</v>
      </c>
      <c r="M19" s="125">
        <f t="shared" si="0"/>
        <v>43570</v>
      </c>
      <c r="N19" s="125">
        <f t="shared" si="0"/>
        <v>43600</v>
      </c>
      <c r="O19" s="125">
        <f t="shared" si="0"/>
        <v>43631</v>
      </c>
      <c r="P19" s="125">
        <f t="shared" si="0"/>
        <v>43661</v>
      </c>
      <c r="Q19" s="125">
        <f t="shared" si="0"/>
        <v>43692</v>
      </c>
      <c r="R19" s="125">
        <f t="shared" si="0"/>
        <v>43723</v>
      </c>
      <c r="S19" s="125">
        <f t="shared" si="0"/>
        <v>43753</v>
      </c>
      <c r="T19" s="125">
        <f t="shared" si="0"/>
        <v>43784</v>
      </c>
      <c r="U19" s="125">
        <f t="shared" si="0"/>
        <v>43814</v>
      </c>
      <c r="V19" s="125">
        <f t="shared" si="0"/>
        <v>43845</v>
      </c>
      <c r="W19" s="125">
        <f t="shared" si="0"/>
        <v>43876</v>
      </c>
      <c r="X19" s="125">
        <f t="shared" si="0"/>
        <v>43905</v>
      </c>
      <c r="Y19" s="125">
        <f t="shared" si="0"/>
        <v>43936</v>
      </c>
      <c r="Z19" s="125">
        <f t="shared" si="0"/>
        <v>43966</v>
      </c>
      <c r="AA19" s="125">
        <f t="shared" si="0"/>
        <v>43997</v>
      </c>
      <c r="AB19" s="125">
        <f t="shared" si="0"/>
        <v>44027</v>
      </c>
      <c r="AC19" s="125">
        <f t="shared" si="0"/>
        <v>44058</v>
      </c>
      <c r="AD19" s="125">
        <f t="shared" si="0"/>
        <v>44089</v>
      </c>
      <c r="AE19" s="125">
        <f t="shared" si="0"/>
        <v>44119</v>
      </c>
      <c r="AF19" s="125">
        <f t="shared" si="0"/>
        <v>44150</v>
      </c>
      <c r="AG19" s="125">
        <f t="shared" si="0"/>
        <v>44180</v>
      </c>
      <c r="AH19" s="125">
        <f t="shared" si="0"/>
        <v>44211</v>
      </c>
      <c r="AI19" s="125">
        <f t="shared" si="0"/>
        <v>44242</v>
      </c>
      <c r="AJ19" s="125">
        <f t="shared" si="0"/>
        <v>44270</v>
      </c>
      <c r="AK19" s="125">
        <f t="shared" si="0"/>
        <v>44301</v>
      </c>
      <c r="AL19" s="125">
        <f t="shared" si="0"/>
        <v>44331</v>
      </c>
      <c r="AM19" s="125">
        <f t="shared" si="0"/>
        <v>44362</v>
      </c>
      <c r="AN19" s="125">
        <f t="shared" si="0"/>
        <v>44392</v>
      </c>
      <c r="AO19" s="125">
        <f t="shared" si="0"/>
        <v>44423</v>
      </c>
      <c r="AP19" s="125">
        <f t="shared" si="0"/>
        <v>44454</v>
      </c>
      <c r="AQ19" s="125">
        <f t="shared" si="0"/>
        <v>44484</v>
      </c>
      <c r="AR19" s="125">
        <f t="shared" si="0"/>
        <v>44515</v>
      </c>
      <c r="AS19" s="125">
        <f t="shared" si="0"/>
        <v>44545</v>
      </c>
      <c r="AT19" s="125">
        <f t="shared" si="0"/>
        <v>44576</v>
      </c>
      <c r="AU19" s="125">
        <f t="shared" si="0"/>
        <v>44607</v>
      </c>
      <c r="AV19" s="125">
        <f t="shared" si="0"/>
        <v>44635</v>
      </c>
      <c r="AW19" s="125">
        <f t="shared" si="0"/>
        <v>44666</v>
      </c>
      <c r="AX19" s="125">
        <f t="shared" si="0"/>
        <v>44696</v>
      </c>
      <c r="AY19" s="125">
        <f t="shared" si="0"/>
        <v>44727</v>
      </c>
      <c r="AZ19" s="125">
        <f t="shared" si="0"/>
        <v>44757</v>
      </c>
      <c r="BA19" s="125">
        <f t="shared" si="0"/>
        <v>44788</v>
      </c>
      <c r="BB19" s="125">
        <f t="shared" si="0"/>
        <v>44819</v>
      </c>
      <c r="BC19" s="125">
        <f t="shared" si="0"/>
        <v>44849</v>
      </c>
      <c r="BD19" s="125">
        <f t="shared" si="0"/>
        <v>44880</v>
      </c>
      <c r="BE19" s="125">
        <f t="shared" si="0"/>
        <v>44910</v>
      </c>
      <c r="BF19" s="125">
        <f t="shared" si="0"/>
        <v>44941</v>
      </c>
      <c r="BG19" s="125">
        <f t="shared" si="0"/>
        <v>44972</v>
      </c>
      <c r="BH19" s="125">
        <f t="shared" si="0"/>
        <v>45000</v>
      </c>
      <c r="BI19" s="125">
        <f t="shared" si="0"/>
        <v>45031</v>
      </c>
      <c r="BJ19" s="125">
        <f t="shared" si="0"/>
        <v>45061</v>
      </c>
      <c r="BK19" s="125">
        <f t="shared" si="0"/>
        <v>45092</v>
      </c>
      <c r="BL19" s="125">
        <f t="shared" si="0"/>
        <v>45122</v>
      </c>
      <c r="BM19" s="125">
        <f t="shared" si="0"/>
        <v>45153</v>
      </c>
      <c r="BN19" s="125">
        <f t="shared" si="0"/>
        <v>45184</v>
      </c>
      <c r="BO19" s="125">
        <f t="shared" si="0"/>
        <v>45214</v>
      </c>
      <c r="BP19" s="125">
        <f t="shared" si="0"/>
        <v>45245</v>
      </c>
      <c r="BQ19" s="125">
        <f t="shared" ref="BQ19:DR19" si="1">EDATE(BP19,1)</f>
        <v>45275</v>
      </c>
      <c r="BR19" s="125">
        <f t="shared" si="1"/>
        <v>45306</v>
      </c>
      <c r="BS19" s="125">
        <f t="shared" si="1"/>
        <v>45337</v>
      </c>
      <c r="BT19" s="125">
        <f t="shared" si="1"/>
        <v>45366</v>
      </c>
      <c r="BU19" s="125">
        <f t="shared" si="1"/>
        <v>45397</v>
      </c>
      <c r="BV19" s="125">
        <f t="shared" si="1"/>
        <v>45427</v>
      </c>
      <c r="BW19" s="125">
        <f t="shared" si="1"/>
        <v>45458</v>
      </c>
      <c r="BX19" s="125">
        <f t="shared" si="1"/>
        <v>45488</v>
      </c>
      <c r="BY19" s="125">
        <f t="shared" si="1"/>
        <v>45519</v>
      </c>
      <c r="BZ19" s="125">
        <f t="shared" si="1"/>
        <v>45550</v>
      </c>
      <c r="CA19" s="125">
        <f t="shared" si="1"/>
        <v>45580</v>
      </c>
      <c r="CB19" s="125">
        <f t="shared" si="1"/>
        <v>45611</v>
      </c>
      <c r="CC19" s="125">
        <f t="shared" si="1"/>
        <v>45641</v>
      </c>
      <c r="CD19" s="125">
        <f t="shared" si="1"/>
        <v>45672</v>
      </c>
      <c r="CE19" s="125">
        <f t="shared" si="1"/>
        <v>45703</v>
      </c>
      <c r="CF19" s="125">
        <f t="shared" si="1"/>
        <v>45731</v>
      </c>
      <c r="CG19" s="125">
        <f t="shared" si="1"/>
        <v>45762</v>
      </c>
      <c r="CH19" s="125">
        <f t="shared" si="1"/>
        <v>45792</v>
      </c>
      <c r="CI19" s="125">
        <f t="shared" si="1"/>
        <v>45823</v>
      </c>
      <c r="CJ19" s="125">
        <f t="shared" si="1"/>
        <v>45853</v>
      </c>
      <c r="CK19" s="125">
        <f t="shared" si="1"/>
        <v>45884</v>
      </c>
      <c r="CL19" s="125">
        <f t="shared" si="1"/>
        <v>45915</v>
      </c>
      <c r="CM19" s="125">
        <f t="shared" si="1"/>
        <v>45945</v>
      </c>
      <c r="CN19" s="125">
        <f t="shared" si="1"/>
        <v>45976</v>
      </c>
      <c r="CO19" s="125">
        <f t="shared" si="1"/>
        <v>46006</v>
      </c>
      <c r="CP19" s="125">
        <f t="shared" si="1"/>
        <v>46037</v>
      </c>
      <c r="CQ19" s="125">
        <f t="shared" si="1"/>
        <v>46068</v>
      </c>
      <c r="CR19" s="125">
        <f t="shared" si="1"/>
        <v>46096</v>
      </c>
      <c r="CS19" s="125">
        <f t="shared" si="1"/>
        <v>46127</v>
      </c>
      <c r="CT19" s="125">
        <f t="shared" si="1"/>
        <v>46157</v>
      </c>
      <c r="CU19" s="125">
        <f t="shared" si="1"/>
        <v>46188</v>
      </c>
      <c r="CV19" s="125">
        <f t="shared" si="1"/>
        <v>46218</v>
      </c>
      <c r="CW19" s="125">
        <f t="shared" si="1"/>
        <v>46249</v>
      </c>
      <c r="CX19" s="125">
        <f t="shared" si="1"/>
        <v>46280</v>
      </c>
      <c r="CY19" s="125">
        <f t="shared" si="1"/>
        <v>46310</v>
      </c>
      <c r="CZ19" s="125">
        <f t="shared" si="1"/>
        <v>46341</v>
      </c>
      <c r="DA19" s="125">
        <f t="shared" si="1"/>
        <v>46371</v>
      </c>
      <c r="DB19" s="125">
        <f t="shared" si="1"/>
        <v>46402</v>
      </c>
      <c r="DC19" s="125">
        <f t="shared" si="1"/>
        <v>46433</v>
      </c>
      <c r="DD19" s="125">
        <f t="shared" si="1"/>
        <v>46461</v>
      </c>
      <c r="DE19" s="125">
        <f t="shared" si="1"/>
        <v>46492</v>
      </c>
      <c r="DF19" s="125">
        <f t="shared" si="1"/>
        <v>46522</v>
      </c>
      <c r="DG19" s="125">
        <f t="shared" si="1"/>
        <v>46553</v>
      </c>
      <c r="DH19" s="125">
        <f t="shared" si="1"/>
        <v>46583</v>
      </c>
      <c r="DI19" s="125">
        <f t="shared" si="1"/>
        <v>46614</v>
      </c>
      <c r="DJ19" s="125">
        <f t="shared" si="1"/>
        <v>46645</v>
      </c>
      <c r="DK19" s="125">
        <f t="shared" si="1"/>
        <v>46675</v>
      </c>
      <c r="DL19" s="125">
        <f t="shared" si="1"/>
        <v>46706</v>
      </c>
      <c r="DM19" s="125">
        <f t="shared" si="1"/>
        <v>46736</v>
      </c>
      <c r="DN19" s="125">
        <f t="shared" si="1"/>
        <v>46767</v>
      </c>
      <c r="DO19" s="125">
        <f t="shared" si="1"/>
        <v>46798</v>
      </c>
      <c r="DP19" s="125">
        <f t="shared" si="1"/>
        <v>46827</v>
      </c>
      <c r="DQ19" s="125">
        <f t="shared" si="1"/>
        <v>46858</v>
      </c>
      <c r="DR19" s="125">
        <f t="shared" si="1"/>
        <v>46888</v>
      </c>
    </row>
    <row r="20" spans="1:122" s="55" customFormat="1" ht="13.5" customHeight="1" thickBot="1" x14ac:dyDescent="0.3">
      <c r="A20" s="114" t="s">
        <v>62</v>
      </c>
      <c r="B20" s="115">
        <v>8.2500000000000004E-2</v>
      </c>
      <c r="C20" s="115">
        <v>8.2500000000000004E-2</v>
      </c>
      <c r="D20" s="115">
        <v>9.5000000000000001E-2</v>
      </c>
      <c r="E20" s="115">
        <v>9.5000000000000001E-2</v>
      </c>
      <c r="F20" s="115">
        <v>9.5000000000000001E-2</v>
      </c>
      <c r="G20" s="115">
        <v>9.5000000000000001E-2</v>
      </c>
      <c r="H20" s="115">
        <v>9.5000000000000001E-2</v>
      </c>
      <c r="I20" s="115">
        <v>9.5000000000000001E-2</v>
      </c>
      <c r="J20" s="115">
        <v>9.5000000000000001E-2</v>
      </c>
      <c r="K20" s="115">
        <v>9.5000000000000001E-2</v>
      </c>
      <c r="L20" s="115">
        <v>9.5000000000000001E-2</v>
      </c>
      <c r="M20" s="115">
        <v>9.5000000000000001E-2</v>
      </c>
      <c r="N20" s="115">
        <v>9.5000000000000001E-2</v>
      </c>
      <c r="O20" s="115">
        <v>9.5000000000000001E-2</v>
      </c>
      <c r="P20" s="115">
        <v>9.5000000000000001E-2</v>
      </c>
      <c r="Q20" s="115">
        <v>9.5000000000000001E-2</v>
      </c>
      <c r="R20" s="115">
        <v>9.5000000000000001E-2</v>
      </c>
      <c r="S20" s="115">
        <v>9.5000000000000001E-2</v>
      </c>
      <c r="T20" s="115">
        <v>9.5000000000000001E-2</v>
      </c>
      <c r="U20" s="115">
        <v>9.5000000000000001E-2</v>
      </c>
      <c r="V20" s="115">
        <v>9.5000000000000001E-2</v>
      </c>
      <c r="W20" s="115">
        <v>9.5000000000000001E-2</v>
      </c>
      <c r="X20" s="115">
        <v>9.5000000000000001E-2</v>
      </c>
      <c r="Y20" s="115">
        <v>9.5000000000000001E-2</v>
      </c>
      <c r="Z20" s="115">
        <v>9.5000000000000001E-2</v>
      </c>
      <c r="AA20" s="115">
        <v>9.5000000000000001E-2</v>
      </c>
      <c r="AB20" s="115">
        <v>9.5000000000000001E-2</v>
      </c>
      <c r="AC20" s="115">
        <v>9.5000000000000001E-2</v>
      </c>
      <c r="AD20" s="115">
        <v>9.5000000000000001E-2</v>
      </c>
      <c r="AE20" s="115">
        <v>9.5000000000000001E-2</v>
      </c>
      <c r="AF20" s="115">
        <v>9.5000000000000001E-2</v>
      </c>
      <c r="AG20" s="115">
        <v>9.5000000000000001E-2</v>
      </c>
      <c r="AH20" s="115">
        <v>9.5000000000000001E-2</v>
      </c>
      <c r="AI20" s="115">
        <v>9.5000000000000001E-2</v>
      </c>
      <c r="AJ20" s="115">
        <v>9.5000000000000001E-2</v>
      </c>
      <c r="AK20" s="115">
        <v>9.5000000000000001E-2</v>
      </c>
      <c r="AL20" s="115">
        <v>9.5000000000000001E-2</v>
      </c>
      <c r="AM20" s="115">
        <v>9.5000000000000001E-2</v>
      </c>
      <c r="AN20" s="115">
        <v>9.5000000000000001E-2</v>
      </c>
      <c r="AO20" s="115">
        <v>9.5000000000000001E-2</v>
      </c>
      <c r="AP20" s="115">
        <v>9.5000000000000001E-2</v>
      </c>
      <c r="AQ20" s="115">
        <v>9.5000000000000001E-2</v>
      </c>
      <c r="AR20" s="115">
        <v>9.5000000000000001E-2</v>
      </c>
      <c r="AS20" s="115">
        <v>9.5000000000000001E-2</v>
      </c>
      <c r="AT20" s="115">
        <v>9.5000000000000001E-2</v>
      </c>
      <c r="AU20" s="115">
        <v>9.5000000000000001E-2</v>
      </c>
      <c r="AV20" s="115">
        <v>9.5000000000000001E-2</v>
      </c>
      <c r="AW20" s="115">
        <v>9.5000000000000001E-2</v>
      </c>
      <c r="AX20" s="115">
        <v>9.5000000000000001E-2</v>
      </c>
      <c r="AY20" s="115">
        <v>9.5000000000000001E-2</v>
      </c>
      <c r="AZ20" s="115">
        <v>9.5000000000000001E-2</v>
      </c>
      <c r="BA20" s="115">
        <v>9.5000000000000001E-2</v>
      </c>
      <c r="BB20" s="115">
        <v>9.5000000000000001E-2</v>
      </c>
      <c r="BC20" s="115">
        <v>9.5000000000000001E-2</v>
      </c>
      <c r="BD20" s="115">
        <v>9.5000000000000001E-2</v>
      </c>
      <c r="BE20" s="115">
        <v>9.5000000000000001E-2</v>
      </c>
      <c r="BF20" s="115">
        <v>9.5000000000000001E-2</v>
      </c>
      <c r="BG20" s="115">
        <v>9.5000000000000001E-2</v>
      </c>
      <c r="BH20" s="115">
        <v>9.5000000000000001E-2</v>
      </c>
      <c r="BI20" s="115">
        <v>9.5000000000000001E-2</v>
      </c>
      <c r="BJ20" s="115">
        <v>9.5000000000000001E-2</v>
      </c>
      <c r="BK20" s="115">
        <v>9.5000000000000001E-2</v>
      </c>
      <c r="BL20" s="115">
        <v>9.5000000000000001E-2</v>
      </c>
      <c r="BM20" s="115">
        <v>9.5000000000000001E-2</v>
      </c>
      <c r="BN20" s="115">
        <v>9.5000000000000001E-2</v>
      </c>
      <c r="BO20" s="115">
        <v>9.5000000000000001E-2</v>
      </c>
      <c r="BP20" s="115">
        <v>9.5000000000000001E-2</v>
      </c>
      <c r="BQ20" s="115">
        <v>9.5000000000000001E-2</v>
      </c>
      <c r="BR20" s="115">
        <v>9.5000000000000001E-2</v>
      </c>
      <c r="BS20" s="115">
        <v>9.5000000000000001E-2</v>
      </c>
      <c r="BT20" s="115">
        <v>9.5000000000000001E-2</v>
      </c>
      <c r="BU20" s="115">
        <v>9.5000000000000001E-2</v>
      </c>
      <c r="BV20" s="115">
        <v>9.5000000000000001E-2</v>
      </c>
      <c r="BW20" s="115">
        <v>9.5000000000000001E-2</v>
      </c>
      <c r="BX20" s="115">
        <v>9.5000000000000001E-2</v>
      </c>
      <c r="BY20" s="115">
        <v>9.5000000000000001E-2</v>
      </c>
      <c r="BZ20" s="115">
        <v>9.5000000000000001E-2</v>
      </c>
      <c r="CA20" s="115">
        <v>9.5000000000000001E-2</v>
      </c>
      <c r="CB20" s="115">
        <v>9.5000000000000001E-2</v>
      </c>
      <c r="CC20" s="115">
        <v>9.5000000000000001E-2</v>
      </c>
      <c r="CD20" s="115">
        <v>9.5000000000000001E-2</v>
      </c>
      <c r="CE20" s="115">
        <v>9.5000000000000001E-2</v>
      </c>
      <c r="CF20" s="115">
        <v>9.5000000000000001E-2</v>
      </c>
      <c r="CG20" s="115">
        <v>9.5000000000000001E-2</v>
      </c>
      <c r="CH20" s="115">
        <v>9.5000000000000001E-2</v>
      </c>
      <c r="CI20" s="115">
        <v>9.5000000000000001E-2</v>
      </c>
      <c r="CJ20" s="115">
        <v>9.5000000000000001E-2</v>
      </c>
      <c r="CK20" s="115">
        <v>9.5000000000000001E-2</v>
      </c>
      <c r="CL20" s="115">
        <v>9.5000000000000001E-2</v>
      </c>
      <c r="CM20" s="115">
        <v>9.5000000000000001E-2</v>
      </c>
      <c r="CN20" s="115">
        <v>9.5000000000000001E-2</v>
      </c>
      <c r="CO20" s="115">
        <v>9.5000000000000001E-2</v>
      </c>
      <c r="CP20" s="115">
        <v>9.5000000000000001E-2</v>
      </c>
      <c r="CQ20" s="115">
        <v>9.5000000000000001E-2</v>
      </c>
      <c r="CR20" s="115">
        <v>9.5000000000000001E-2</v>
      </c>
      <c r="CS20" s="115">
        <v>9.5000000000000001E-2</v>
      </c>
      <c r="CT20" s="115">
        <v>9.5000000000000001E-2</v>
      </c>
      <c r="CU20" s="115">
        <v>9.5000000000000001E-2</v>
      </c>
      <c r="CV20" s="115">
        <v>9.5000000000000001E-2</v>
      </c>
      <c r="CW20" s="115">
        <v>9.5000000000000001E-2</v>
      </c>
      <c r="CX20" s="115">
        <v>9.5000000000000001E-2</v>
      </c>
      <c r="CY20" s="115">
        <v>9.5000000000000001E-2</v>
      </c>
      <c r="CZ20" s="115">
        <v>9.5000000000000001E-2</v>
      </c>
      <c r="DA20" s="115">
        <v>9.5000000000000001E-2</v>
      </c>
      <c r="DB20" s="115">
        <v>9.5000000000000001E-2</v>
      </c>
      <c r="DC20" s="115">
        <v>9.5000000000000001E-2</v>
      </c>
      <c r="DD20" s="115">
        <v>9.5000000000000001E-2</v>
      </c>
      <c r="DE20" s="115">
        <v>9.5000000000000001E-2</v>
      </c>
      <c r="DF20" s="115">
        <v>9.5000000000000001E-2</v>
      </c>
      <c r="DG20" s="115">
        <v>9.5000000000000001E-2</v>
      </c>
      <c r="DH20" s="115">
        <v>9.5000000000000001E-2</v>
      </c>
      <c r="DI20" s="115">
        <v>9.5000000000000001E-2</v>
      </c>
      <c r="DJ20" s="115">
        <v>9.5000000000000001E-2</v>
      </c>
      <c r="DK20" s="115">
        <v>9.5000000000000001E-2</v>
      </c>
      <c r="DL20" s="115">
        <v>9.5000000000000001E-2</v>
      </c>
      <c r="DM20" s="115">
        <v>9.5000000000000001E-2</v>
      </c>
      <c r="DN20" s="115">
        <v>9.5000000000000001E-2</v>
      </c>
      <c r="DO20" s="115">
        <v>9.5000000000000001E-2</v>
      </c>
      <c r="DP20" s="115">
        <v>9.5000000000000001E-2</v>
      </c>
      <c r="DQ20" s="115">
        <v>9.5000000000000001E-2</v>
      </c>
      <c r="DR20" s="115">
        <v>9.5000000000000001E-2</v>
      </c>
    </row>
    <row r="21" spans="1:122" s="55" customFormat="1" ht="13.5" customHeight="1" x14ac:dyDescent="0.3">
      <c r="A21" s="22"/>
      <c r="B21" s="25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30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4"/>
      <c r="BH21" s="24"/>
      <c r="BI21" s="30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</row>
    <row r="22" spans="1:122" s="55" customFormat="1" ht="15" x14ac:dyDescent="0.3">
      <c r="A22" s="22" t="s">
        <v>14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</row>
    <row r="23" spans="1:122" s="55" customFormat="1" ht="15" x14ac:dyDescent="0.3">
      <c r="A23" s="28" t="s">
        <v>15</v>
      </c>
      <c r="B23" s="29">
        <v>43252</v>
      </c>
      <c r="C23" s="29">
        <f>EDATE(B23,1)</f>
        <v>43282</v>
      </c>
      <c r="D23" s="29">
        <f t="shared" ref="D23:BO23" si="2">EDATE(C23,1)</f>
        <v>43313</v>
      </c>
      <c r="E23" s="29">
        <f t="shared" si="2"/>
        <v>43344</v>
      </c>
      <c r="F23" s="29">
        <f t="shared" si="2"/>
        <v>43374</v>
      </c>
      <c r="G23" s="29">
        <f t="shared" si="2"/>
        <v>43405</v>
      </c>
      <c r="H23" s="29">
        <f t="shared" si="2"/>
        <v>43435</v>
      </c>
      <c r="I23" s="29">
        <f t="shared" si="2"/>
        <v>43466</v>
      </c>
      <c r="J23" s="29">
        <f t="shared" si="2"/>
        <v>43497</v>
      </c>
      <c r="K23" s="29">
        <f t="shared" si="2"/>
        <v>43525</v>
      </c>
      <c r="L23" s="29">
        <f t="shared" si="2"/>
        <v>43556</v>
      </c>
      <c r="M23" s="29">
        <f t="shared" si="2"/>
        <v>43586</v>
      </c>
      <c r="N23" s="29">
        <f t="shared" si="2"/>
        <v>43617</v>
      </c>
      <c r="O23" s="29">
        <f t="shared" si="2"/>
        <v>43647</v>
      </c>
      <c r="P23" s="29">
        <f t="shared" si="2"/>
        <v>43678</v>
      </c>
      <c r="Q23" s="29">
        <f t="shared" si="2"/>
        <v>43709</v>
      </c>
      <c r="R23" s="29">
        <f t="shared" si="2"/>
        <v>43739</v>
      </c>
      <c r="S23" s="29">
        <f t="shared" si="2"/>
        <v>43770</v>
      </c>
      <c r="T23" s="29">
        <f t="shared" si="2"/>
        <v>43800</v>
      </c>
      <c r="U23" s="29">
        <f t="shared" si="2"/>
        <v>43831</v>
      </c>
      <c r="V23" s="29">
        <f t="shared" si="2"/>
        <v>43862</v>
      </c>
      <c r="W23" s="29">
        <f t="shared" si="2"/>
        <v>43891</v>
      </c>
      <c r="X23" s="29">
        <f t="shared" si="2"/>
        <v>43922</v>
      </c>
      <c r="Y23" s="29">
        <f t="shared" si="2"/>
        <v>43952</v>
      </c>
      <c r="Z23" s="29">
        <f t="shared" si="2"/>
        <v>43983</v>
      </c>
      <c r="AA23" s="29">
        <f t="shared" si="2"/>
        <v>44013</v>
      </c>
      <c r="AB23" s="29">
        <f t="shared" si="2"/>
        <v>44044</v>
      </c>
      <c r="AC23" s="29">
        <f t="shared" si="2"/>
        <v>44075</v>
      </c>
      <c r="AD23" s="29">
        <f t="shared" si="2"/>
        <v>44105</v>
      </c>
      <c r="AE23" s="29">
        <f t="shared" si="2"/>
        <v>44136</v>
      </c>
      <c r="AF23" s="29">
        <f t="shared" si="2"/>
        <v>44166</v>
      </c>
      <c r="AG23" s="29">
        <f t="shared" si="2"/>
        <v>44197</v>
      </c>
      <c r="AH23" s="29">
        <f t="shared" si="2"/>
        <v>44228</v>
      </c>
      <c r="AI23" s="29">
        <f t="shared" si="2"/>
        <v>44256</v>
      </c>
      <c r="AJ23" s="29">
        <f t="shared" si="2"/>
        <v>44287</v>
      </c>
      <c r="AK23" s="29">
        <f t="shared" si="2"/>
        <v>44317</v>
      </c>
      <c r="AL23" s="29">
        <f t="shared" si="2"/>
        <v>44348</v>
      </c>
      <c r="AM23" s="29">
        <f t="shared" si="2"/>
        <v>44378</v>
      </c>
      <c r="AN23" s="29">
        <f t="shared" si="2"/>
        <v>44409</v>
      </c>
      <c r="AO23" s="29">
        <f t="shared" si="2"/>
        <v>44440</v>
      </c>
      <c r="AP23" s="29">
        <f t="shared" si="2"/>
        <v>44470</v>
      </c>
      <c r="AQ23" s="29">
        <f t="shared" si="2"/>
        <v>44501</v>
      </c>
      <c r="AR23" s="29">
        <f t="shared" si="2"/>
        <v>44531</v>
      </c>
      <c r="AS23" s="29">
        <f t="shared" si="2"/>
        <v>44562</v>
      </c>
      <c r="AT23" s="29">
        <f t="shared" si="2"/>
        <v>44593</v>
      </c>
      <c r="AU23" s="29">
        <f t="shared" si="2"/>
        <v>44621</v>
      </c>
      <c r="AV23" s="29">
        <f t="shared" si="2"/>
        <v>44652</v>
      </c>
      <c r="AW23" s="29">
        <f t="shared" si="2"/>
        <v>44682</v>
      </c>
      <c r="AX23" s="29">
        <f t="shared" si="2"/>
        <v>44713</v>
      </c>
      <c r="AY23" s="29">
        <f t="shared" si="2"/>
        <v>44743</v>
      </c>
      <c r="AZ23" s="29">
        <f t="shared" si="2"/>
        <v>44774</v>
      </c>
      <c r="BA23" s="29">
        <f t="shared" si="2"/>
        <v>44805</v>
      </c>
      <c r="BB23" s="29">
        <f t="shared" si="2"/>
        <v>44835</v>
      </c>
      <c r="BC23" s="29">
        <f t="shared" si="2"/>
        <v>44866</v>
      </c>
      <c r="BD23" s="29">
        <f t="shared" si="2"/>
        <v>44896</v>
      </c>
      <c r="BE23" s="29">
        <f t="shared" si="2"/>
        <v>44927</v>
      </c>
      <c r="BF23" s="29">
        <f t="shared" si="2"/>
        <v>44958</v>
      </c>
      <c r="BG23" s="29">
        <f t="shared" si="2"/>
        <v>44986</v>
      </c>
      <c r="BH23" s="29">
        <f t="shared" si="2"/>
        <v>45017</v>
      </c>
      <c r="BI23" s="29">
        <f t="shared" si="2"/>
        <v>45047</v>
      </c>
      <c r="BJ23" s="29">
        <f t="shared" si="2"/>
        <v>45078</v>
      </c>
      <c r="BK23" s="29">
        <f t="shared" si="2"/>
        <v>45108</v>
      </c>
      <c r="BL23" s="29">
        <f t="shared" si="2"/>
        <v>45139</v>
      </c>
      <c r="BM23" s="29">
        <f t="shared" si="2"/>
        <v>45170</v>
      </c>
      <c r="BN23" s="29">
        <f t="shared" si="2"/>
        <v>45200</v>
      </c>
      <c r="BO23" s="29">
        <f t="shared" si="2"/>
        <v>45231</v>
      </c>
      <c r="BP23" s="29">
        <f t="shared" ref="BP23:CH23" si="3">EDATE(BO23,1)</f>
        <v>45261</v>
      </c>
      <c r="BQ23" s="29">
        <f t="shared" si="3"/>
        <v>45292</v>
      </c>
      <c r="BR23" s="29">
        <f t="shared" si="3"/>
        <v>45323</v>
      </c>
      <c r="BS23" s="29">
        <f t="shared" si="3"/>
        <v>45352</v>
      </c>
      <c r="BT23" s="29">
        <f t="shared" si="3"/>
        <v>45383</v>
      </c>
      <c r="BU23" s="29">
        <f t="shared" si="3"/>
        <v>45413</v>
      </c>
      <c r="BV23" s="29">
        <f t="shared" si="3"/>
        <v>45444</v>
      </c>
      <c r="BW23" s="29">
        <f t="shared" si="3"/>
        <v>45474</v>
      </c>
      <c r="BX23" s="29">
        <f t="shared" si="3"/>
        <v>45505</v>
      </c>
      <c r="BY23" s="29">
        <f t="shared" si="3"/>
        <v>45536</v>
      </c>
      <c r="BZ23" s="29">
        <f t="shared" si="3"/>
        <v>45566</v>
      </c>
      <c r="CA23" s="29">
        <f t="shared" si="3"/>
        <v>45597</v>
      </c>
      <c r="CB23" s="29">
        <f t="shared" si="3"/>
        <v>45627</v>
      </c>
      <c r="CC23" s="29">
        <f t="shared" si="3"/>
        <v>45658</v>
      </c>
      <c r="CD23" s="29">
        <f t="shared" si="3"/>
        <v>45689</v>
      </c>
      <c r="CE23" s="29">
        <f t="shared" si="3"/>
        <v>45717</v>
      </c>
      <c r="CF23" s="29">
        <f t="shared" si="3"/>
        <v>45748</v>
      </c>
      <c r="CG23" s="29">
        <f t="shared" si="3"/>
        <v>45778</v>
      </c>
      <c r="CH23" s="29">
        <f t="shared" si="3"/>
        <v>45809</v>
      </c>
      <c r="CI23" s="29">
        <f t="shared" ref="CI23" si="4">EDATE(CH23,1)</f>
        <v>45839</v>
      </c>
      <c r="CJ23" s="29">
        <f t="shared" ref="CJ23" si="5">EDATE(CI23,1)</f>
        <v>45870</v>
      </c>
      <c r="CK23" s="29">
        <f t="shared" ref="CK23" si="6">EDATE(CJ23,1)</f>
        <v>45901</v>
      </c>
      <c r="CL23" s="29">
        <f t="shared" ref="CL23" si="7">EDATE(CK23,1)</f>
        <v>45931</v>
      </c>
      <c r="CM23" s="29">
        <f t="shared" ref="CM23" si="8">EDATE(CL23,1)</f>
        <v>45962</v>
      </c>
      <c r="CN23" s="29">
        <f t="shared" ref="CN23" si="9">EDATE(CM23,1)</f>
        <v>45992</v>
      </c>
      <c r="CO23" s="29">
        <f t="shared" ref="CO23" si="10">EDATE(CN23,1)</f>
        <v>46023</v>
      </c>
      <c r="CP23" s="29">
        <f t="shared" ref="CP23" si="11">EDATE(CO23,1)</f>
        <v>46054</v>
      </c>
      <c r="CQ23" s="29">
        <f t="shared" ref="CQ23" si="12">EDATE(CP23,1)</f>
        <v>46082</v>
      </c>
      <c r="CR23" s="29">
        <f t="shared" ref="CR23" si="13">EDATE(CQ23,1)</f>
        <v>46113</v>
      </c>
      <c r="CS23" s="29">
        <f t="shared" ref="CS23" si="14">EDATE(CR23,1)</f>
        <v>46143</v>
      </c>
      <c r="CT23" s="29">
        <f t="shared" ref="CT23" si="15">EDATE(CS23,1)</f>
        <v>46174</v>
      </c>
      <c r="CU23" s="29">
        <f t="shared" ref="CU23" si="16">EDATE(CT23,1)</f>
        <v>46204</v>
      </c>
      <c r="CV23" s="29">
        <f t="shared" ref="CV23" si="17">EDATE(CU23,1)</f>
        <v>46235</v>
      </c>
      <c r="CW23" s="29">
        <f t="shared" ref="CW23" si="18">EDATE(CV23,1)</f>
        <v>46266</v>
      </c>
      <c r="CX23" s="29">
        <f t="shared" ref="CX23" si="19">EDATE(CW23,1)</f>
        <v>46296</v>
      </c>
      <c r="CY23" s="29">
        <f t="shared" ref="CY23" si="20">EDATE(CX23,1)</f>
        <v>46327</v>
      </c>
      <c r="CZ23" s="29">
        <f t="shared" ref="CZ23" si="21">EDATE(CY23,1)</f>
        <v>46357</v>
      </c>
      <c r="DA23" s="29">
        <f t="shared" ref="DA23" si="22">EDATE(CZ23,1)</f>
        <v>46388</v>
      </c>
      <c r="DB23" s="29">
        <f t="shared" ref="DB23" si="23">EDATE(DA23,1)</f>
        <v>46419</v>
      </c>
      <c r="DC23" s="29">
        <f t="shared" ref="DC23" si="24">EDATE(DB23,1)</f>
        <v>46447</v>
      </c>
      <c r="DD23" s="29">
        <f t="shared" ref="DD23" si="25">EDATE(DC23,1)</f>
        <v>46478</v>
      </c>
      <c r="DE23" s="29">
        <f t="shared" ref="DE23" si="26">EDATE(DD23,1)</f>
        <v>46508</v>
      </c>
      <c r="DF23" s="29">
        <f t="shared" ref="DF23" si="27">EDATE(DE23,1)</f>
        <v>46539</v>
      </c>
      <c r="DG23" s="29">
        <f t="shared" ref="DG23" si="28">EDATE(DF23,1)</f>
        <v>46569</v>
      </c>
      <c r="DH23" s="29">
        <f t="shared" ref="DH23" si="29">EDATE(DG23,1)</f>
        <v>46600</v>
      </c>
      <c r="DI23" s="29">
        <f t="shared" ref="DI23" si="30">EDATE(DH23,1)</f>
        <v>46631</v>
      </c>
      <c r="DJ23" s="29">
        <f t="shared" ref="DJ23" si="31">EDATE(DI23,1)</f>
        <v>46661</v>
      </c>
      <c r="DK23" s="29">
        <f t="shared" ref="DK23" si="32">EDATE(DJ23,1)</f>
        <v>46692</v>
      </c>
      <c r="DL23" s="29">
        <f t="shared" ref="DL23" si="33">EDATE(DK23,1)</f>
        <v>46722</v>
      </c>
      <c r="DM23" s="29">
        <f t="shared" ref="DM23" si="34">EDATE(DL23,1)</f>
        <v>46753</v>
      </c>
      <c r="DN23" s="29">
        <f t="shared" ref="DN23" si="35">EDATE(DM23,1)</f>
        <v>46784</v>
      </c>
      <c r="DO23" s="29">
        <f t="shared" ref="DO23" si="36">EDATE(DN23,1)</f>
        <v>46813</v>
      </c>
      <c r="DP23" s="29">
        <f t="shared" ref="DP23" si="37">EDATE(DO23,1)</f>
        <v>46844</v>
      </c>
      <c r="DQ23" s="29">
        <f t="shared" ref="DQ23" si="38">EDATE(DP23,1)</f>
        <v>46874</v>
      </c>
      <c r="DR23" s="29">
        <f t="shared" ref="DR23" si="39">EDATE(DQ23,1)</f>
        <v>46905</v>
      </c>
    </row>
    <row r="24" spans="1:122" s="55" customFormat="1" x14ac:dyDescent="0.25">
      <c r="A24" s="23" t="s">
        <v>5</v>
      </c>
      <c r="B24" s="30">
        <f>C17</f>
        <v>1500000000</v>
      </c>
      <c r="C24" s="26">
        <f>B30</f>
        <v>1500000000</v>
      </c>
      <c r="D24" s="26">
        <f>C30</f>
        <v>1500000000</v>
      </c>
      <c r="E24" s="26">
        <f t="shared" ref="E24:BO24" si="40">D30</f>
        <v>1500000000</v>
      </c>
      <c r="F24" s="26">
        <f>E30</f>
        <v>1500000000</v>
      </c>
      <c r="G24" s="26">
        <f t="shared" si="40"/>
        <v>1500000000</v>
      </c>
      <c r="H24" s="26">
        <f t="shared" si="40"/>
        <v>1500000000</v>
      </c>
      <c r="I24" s="26">
        <f t="shared" si="40"/>
        <v>1500000000</v>
      </c>
      <c r="J24" s="26">
        <f t="shared" si="40"/>
        <v>1500000000</v>
      </c>
      <c r="K24" s="26">
        <f>J30</f>
        <v>1500000000</v>
      </c>
      <c r="L24" s="26">
        <f t="shared" si="40"/>
        <v>1500000000</v>
      </c>
      <c r="M24" s="26">
        <f>L30</f>
        <v>1500000000</v>
      </c>
      <c r="N24" s="26">
        <f t="shared" si="40"/>
        <v>1500000000</v>
      </c>
      <c r="O24" s="26">
        <f>N30+D16</f>
        <v>1842291666.6666667</v>
      </c>
      <c r="P24" s="26">
        <f t="shared" si="40"/>
        <v>1842291666.6666667</v>
      </c>
      <c r="Q24" s="26">
        <f t="shared" si="40"/>
        <v>1842291666.6666667</v>
      </c>
      <c r="R24" s="26">
        <f t="shared" si="40"/>
        <v>1842291666.6666667</v>
      </c>
      <c r="S24" s="26">
        <f t="shared" si="40"/>
        <v>1842291666.6666667</v>
      </c>
      <c r="T24" s="26">
        <f>S30+E16</f>
        <v>2142291666.6666667</v>
      </c>
      <c r="U24" s="26">
        <f t="shared" si="40"/>
        <v>2142291666.6666667</v>
      </c>
      <c r="V24" s="26">
        <f t="shared" si="40"/>
        <v>2142291666.6666667</v>
      </c>
      <c r="W24" s="26">
        <f t="shared" si="40"/>
        <v>2142291666.6666667</v>
      </c>
      <c r="X24" s="26">
        <f t="shared" si="40"/>
        <v>2142291666.6666667</v>
      </c>
      <c r="Y24" s="26">
        <f t="shared" si="40"/>
        <v>2142291666.6666667</v>
      </c>
      <c r="Z24" s="26">
        <f t="shared" si="40"/>
        <v>2142291666.6666667</v>
      </c>
      <c r="AA24" s="26">
        <f t="shared" si="40"/>
        <v>2333658281.25</v>
      </c>
      <c r="AB24" s="26">
        <f t="shared" si="40"/>
        <v>2317336160.2599669</v>
      </c>
      <c r="AC24" s="26">
        <f t="shared" si="40"/>
        <v>2300884822.4787626</v>
      </c>
      <c r="AD24" s="26">
        <f t="shared" si="40"/>
        <v>2284303244.9401236</v>
      </c>
      <c r="AE24" s="26">
        <f t="shared" si="40"/>
        <v>2267590396.5793037</v>
      </c>
      <c r="AF24" s="26">
        <f t="shared" si="40"/>
        <v>2250745238.1689606</v>
      </c>
      <c r="AG24" s="26">
        <f t="shared" si="40"/>
        <v>2233766722.2545357</v>
      </c>
      <c r="AH24" s="26">
        <f t="shared" si="40"/>
        <v>2216653793.0891213</v>
      </c>
      <c r="AI24" s="26">
        <f t="shared" si="40"/>
        <v>2199405386.5678144</v>
      </c>
      <c r="AJ24" s="26">
        <f t="shared" si="40"/>
        <v>2182020430.1615472</v>
      </c>
      <c r="AK24" s="26">
        <f t="shared" si="40"/>
        <v>2164497842.8503971</v>
      </c>
      <c r="AL24" s="26">
        <f t="shared" si="40"/>
        <v>2146836535.0563669</v>
      </c>
      <c r="AM24" s="26">
        <f t="shared" si="40"/>
        <v>2129035408.575634</v>
      </c>
      <c r="AN24" s="26">
        <f t="shared" si="40"/>
        <v>2111093356.510262</v>
      </c>
      <c r="AO24" s="26">
        <f t="shared" si="40"/>
        <v>2093009263.1993723</v>
      </c>
      <c r="AP24" s="26">
        <f t="shared" si="40"/>
        <v>2074782004.1497715</v>
      </c>
      <c r="AQ24" s="26">
        <f t="shared" si="40"/>
        <v>2056410445.966028</v>
      </c>
      <c r="AR24" s="26">
        <f t="shared" si="40"/>
        <v>2037893446.2799964</v>
      </c>
      <c r="AS24" s="26">
        <f t="shared" si="40"/>
        <v>2019229853.6797838</v>
      </c>
      <c r="AT24" s="26">
        <f t="shared" si="40"/>
        <v>2000418507.6381528</v>
      </c>
      <c r="AU24" s="26">
        <f t="shared" si="40"/>
        <v>1981458238.4403591</v>
      </c>
      <c r="AV24" s="26">
        <f t="shared" si="40"/>
        <v>1962347867.1114161</v>
      </c>
      <c r="AW24" s="26">
        <f t="shared" si="40"/>
        <v>1943086205.3427856</v>
      </c>
      <c r="AX24" s="26">
        <f t="shared" si="40"/>
        <v>1923672055.4184868</v>
      </c>
      <c r="AY24" s="26">
        <f t="shared" si="40"/>
        <v>1904104210.1406207</v>
      </c>
      <c r="AZ24" s="26">
        <f t="shared" si="40"/>
        <v>1884381452.7543049</v>
      </c>
      <c r="BA24" s="26">
        <f t="shared" si="40"/>
        <v>1864502556.872014</v>
      </c>
      <c r="BB24" s="26">
        <f t="shared" si="40"/>
        <v>1844466286.3973217</v>
      </c>
      <c r="BC24" s="26">
        <f t="shared" si="40"/>
        <v>1824271395.4480379</v>
      </c>
      <c r="BD24" s="26">
        <f t="shared" si="40"/>
        <v>1803916628.278739</v>
      </c>
      <c r="BE24" s="26">
        <f t="shared" si="40"/>
        <v>1783400719.2026832</v>
      </c>
      <c r="BF24" s="26">
        <f t="shared" si="40"/>
        <v>1762722392.5131085</v>
      </c>
      <c r="BG24" s="26">
        <f t="shared" si="40"/>
        <v>1741880362.403908</v>
      </c>
      <c r="BH24" s="26">
        <f t="shared" si="40"/>
        <v>1720873332.8896763</v>
      </c>
      <c r="BI24" s="26">
        <f t="shared" si="40"/>
        <v>1699699997.7251236</v>
      </c>
      <c r="BJ24" s="26">
        <f t="shared" si="40"/>
        <v>1678359040.3238516</v>
      </c>
      <c r="BK24" s="26">
        <f t="shared" si="40"/>
        <v>1656849133.6764863</v>
      </c>
      <c r="BL24" s="26">
        <f t="shared" si="40"/>
        <v>1635168940.2681625</v>
      </c>
      <c r="BM24" s="26">
        <f t="shared" si="40"/>
        <v>1613317111.9953563</v>
      </c>
      <c r="BN24" s="26">
        <f t="shared" si="40"/>
        <v>1591292290.082057</v>
      </c>
      <c r="BO24" s="26">
        <f t="shared" si="40"/>
        <v>1569093104.9952774</v>
      </c>
      <c r="BP24" s="26">
        <f t="shared" ref="BP24:CH24" si="41">BO30</f>
        <v>1546718176.3598943</v>
      </c>
      <c r="BQ24" s="26">
        <f t="shared" si="41"/>
        <v>1524166112.8728142</v>
      </c>
      <c r="BR24" s="26">
        <f t="shared" si="41"/>
        <v>1501435512.2164614</v>
      </c>
      <c r="BS24" s="26">
        <f t="shared" si="41"/>
        <v>1478524960.9715793</v>
      </c>
      <c r="BT24" s="26">
        <f t="shared" si="41"/>
        <v>1455433034.5293417</v>
      </c>
      <c r="BU24" s="26">
        <f t="shared" si="41"/>
        <v>1432158297.0027697</v>
      </c>
      <c r="BV24" s="26">
        <f t="shared" si="41"/>
        <v>1408699301.1374457</v>
      </c>
      <c r="BW24" s="26">
        <f t="shared" si="41"/>
        <v>1385054588.2215214</v>
      </c>
      <c r="BX24" s="26">
        <f t="shared" si="41"/>
        <v>1361222687.9950125</v>
      </c>
      <c r="BY24" s="26">
        <f t="shared" si="41"/>
        <v>1337202118.5583773</v>
      </c>
      <c r="BZ24" s="26">
        <f t="shared" si="41"/>
        <v>1312991386.2803686</v>
      </c>
      <c r="CA24" s="26">
        <f t="shared" si="41"/>
        <v>1288588985.7051589</v>
      </c>
      <c r="CB24" s="26">
        <f t="shared" si="41"/>
        <v>1263993399.458729</v>
      </c>
      <c r="CC24" s="26">
        <f t="shared" si="41"/>
        <v>1239203098.1545148</v>
      </c>
      <c r="CD24" s="26">
        <f t="shared" si="41"/>
        <v>1214216540.2983088</v>
      </c>
      <c r="CE24" s="26">
        <f t="shared" si="41"/>
        <v>1189032172.1924078</v>
      </c>
      <c r="CF24" s="26">
        <f t="shared" si="41"/>
        <v>1163648427.8390019</v>
      </c>
      <c r="CG24" s="26">
        <f t="shared" si="41"/>
        <v>1138063728.8427982</v>
      </c>
      <c r="CH24" s="26">
        <f t="shared" si="41"/>
        <v>1112276484.3128746</v>
      </c>
      <c r="CI24" s="26">
        <f t="shared" ref="CI24" si="42">CH30</f>
        <v>1086285090.7637556</v>
      </c>
      <c r="CJ24" s="26">
        <f t="shared" ref="CJ24" si="43">CI30</f>
        <v>1060087932.0157061</v>
      </c>
      <c r="CK24" s="26">
        <f t="shared" ref="CK24" si="44">CJ30</f>
        <v>1033683379.0942346</v>
      </c>
      <c r="CL24" s="26">
        <f t="shared" ref="CL24" si="45">CK30</f>
        <v>1007069790.1288015</v>
      </c>
      <c r="CM24" s="26">
        <f t="shared" ref="CM24" si="46">CL30</f>
        <v>980245510.25072527</v>
      </c>
      <c r="CN24" s="26">
        <f t="shared" ref="CN24" si="47">CM30</f>
        <v>953208871.49028099</v>
      </c>
      <c r="CO24" s="26">
        <f t="shared" ref="CO24" si="48">CN30</f>
        <v>925958192.67298317</v>
      </c>
      <c r="CP24" s="26">
        <f t="shared" ref="CP24" si="49">CO30</f>
        <v>898491779.31504846</v>
      </c>
      <c r="CQ24" s="26">
        <f t="shared" ref="CQ24" si="50">CP30</f>
        <v>870807923.51803005</v>
      </c>
      <c r="CR24" s="26">
        <f t="shared" ref="CR24" si="51">CQ30</f>
        <v>842904903.86261857</v>
      </c>
      <c r="CS24" s="26">
        <f t="shared" ref="CS24" si="52">CR30</f>
        <v>814780985.30160177</v>
      </c>
      <c r="CT24" s="26">
        <f t="shared" ref="CT24" si="53">CS30</f>
        <v>786434419.05197692</v>
      </c>
      <c r="CU24" s="26">
        <f t="shared" ref="CU24" si="54">CT30</f>
        <v>757863442.48620927</v>
      </c>
      <c r="CV24" s="26">
        <f t="shared" ref="CV24" si="55">CU30</f>
        <v>729066279.02262926</v>
      </c>
      <c r="CW24" s="26">
        <f t="shared" ref="CW24" si="56">CV30</f>
        <v>700041138.01496255</v>
      </c>
      <c r="CX24" s="26">
        <f t="shared" ref="CX24" si="57">CW30</f>
        <v>670786214.64098513</v>
      </c>
      <c r="CY24" s="26">
        <f t="shared" ref="CY24" si="58">CX30</f>
        <v>641299689.79029703</v>
      </c>
      <c r="CZ24" s="26">
        <f t="shared" ref="CZ24" si="59">CY30</f>
        <v>611579729.95120764</v>
      </c>
      <c r="DA24" s="26">
        <f t="shared" ref="DA24" si="60">CZ30</f>
        <v>581624487.09672546</v>
      </c>
      <c r="DB24" s="26">
        <f t="shared" ref="DB24" si="61">DA30</f>
        <v>551432098.5696454</v>
      </c>
      <c r="DC24" s="26">
        <f t="shared" ref="DC24" si="62">DB30</f>
        <v>521000686.96672589</v>
      </c>
      <c r="DD24" s="26">
        <f t="shared" ref="DD24" si="63">DC30</f>
        <v>490328360.02194995</v>
      </c>
      <c r="DE24" s="26">
        <f t="shared" ref="DE24" si="64">DD30</f>
        <v>459413210.4888612</v>
      </c>
      <c r="DF24" s="26">
        <f t="shared" ref="DF24" si="65">DE30</f>
        <v>428253316.02196884</v>
      </c>
      <c r="DG24" s="26">
        <f t="shared" ref="DG24" si="66">DF30</f>
        <v>396846739.0572136</v>
      </c>
      <c r="DH24" s="26">
        <f t="shared" ref="DH24" si="67">DG30</f>
        <v>365191526.69148737</v>
      </c>
      <c r="DI24" s="26">
        <f t="shared" ref="DI24" si="68">DH30</f>
        <v>333285710.56119913</v>
      </c>
      <c r="DJ24" s="26">
        <f t="shared" ref="DJ24" si="69">DI30</f>
        <v>301127306.71987945</v>
      </c>
      <c r="DK24" s="26">
        <f t="shared" ref="DK24" si="70">DJ30</f>
        <v>268714315.51481599</v>
      </c>
      <c r="DL24" s="26">
        <f t="shared" ref="DL24" si="71">DK30</f>
        <v>236044721.46271244</v>
      </c>
      <c r="DM24" s="26">
        <f t="shared" ref="DM24" si="72">DL30</f>
        <v>203116493.12436306</v>
      </c>
      <c r="DN24" s="26">
        <f t="shared" ref="DN24" si="73">DM30</f>
        <v>169927582.97833508</v>
      </c>
      <c r="DO24" s="26">
        <f t="shared" ref="DO24" si="74">DN30</f>
        <v>136475927.29365104</v>
      </c>
      <c r="DP24" s="26">
        <f t="shared" ref="DP24" si="75">DO30</f>
        <v>102759446.00146326</v>
      </c>
      <c r="DQ24" s="26">
        <f t="shared" ref="DQ24" si="76">DP30</f>
        <v>68776042.565712333</v>
      </c>
      <c r="DR24" s="26">
        <f t="shared" ref="DR24" si="77">DQ30</f>
        <v>34523603.852761701</v>
      </c>
    </row>
    <row r="25" spans="1:122" s="55" customFormat="1" x14ac:dyDescent="0.25">
      <c r="A25" s="23" t="s">
        <v>6</v>
      </c>
      <c r="B25" s="26">
        <f>B24*(B23-C15)*B20/360</f>
        <v>4125000</v>
      </c>
      <c r="C25" s="26">
        <f>C24*('SKS Edible Oil_Loan'!B27-B23)*C20/360+C30*(C23-'SKS Edible Oil_Loan'!B27)*C20/360</f>
        <v>10312500</v>
      </c>
      <c r="D25" s="26">
        <f>D24*('SKS Edible Oil_Loan'!C27-C23)*D20/360+D30*(D23-'SKS Edible Oil_Loan'!C27)*D20/360</f>
        <v>12270833.333333334</v>
      </c>
      <c r="E25" s="26">
        <f>E24*('SKS Edible Oil_Loan'!D27-D23)*E20/360+E30*(E23-'SKS Edible Oil_Loan'!D27)*E20/360</f>
        <v>12270833.333333334</v>
      </c>
      <c r="F25" s="26">
        <f>F24*('SKS Edible Oil_Loan'!E27-E23)*F20/360+F30*(F23-'SKS Edible Oil_Loan'!E27)*F20/360</f>
        <v>11875000</v>
      </c>
      <c r="G25" s="26">
        <f>G24*('SKS Edible Oil_Loan'!F27-F23)*G20/360+G30*(G23-'SKS Edible Oil_Loan'!F27)*G20/360</f>
        <v>12270833.333333334</v>
      </c>
      <c r="H25" s="26">
        <f>H24*('SKS Edible Oil_Loan'!G27-G23)*H20/360+H30*(H23-'SKS Edible Oil_Loan'!G27)*H20/360</f>
        <v>11875000</v>
      </c>
      <c r="I25" s="26">
        <f>I24*('SKS Edible Oil_Loan'!H27-H23)*I20/360+I30*(I23-'SKS Edible Oil_Loan'!H27)*I20/360</f>
        <v>12270833.333333334</v>
      </c>
      <c r="J25" s="26">
        <f>J24*('SKS Edible Oil_Loan'!I27-I23)*J20/360+J30*(J23-'SKS Edible Oil_Loan'!I27)*J20/360</f>
        <v>12270833.333333334</v>
      </c>
      <c r="K25" s="26">
        <f>K24*('SKS Edible Oil_Loan'!J27-J23)*K20/360+K30*(K23-'SKS Edible Oil_Loan'!J27)*K20/360</f>
        <v>11083333.333333334</v>
      </c>
      <c r="L25" s="26">
        <f>L24*('SKS Edible Oil_Loan'!K27-K23)*L20/360+L30*(L23-'SKS Edible Oil_Loan'!K27)*L20/360</f>
        <v>12270833.333333334</v>
      </c>
      <c r="M25" s="26">
        <f>M24*('SKS Edible Oil_Loan'!L27-L23)*M20/360+M30*(M23-'SKS Edible Oil_Loan'!L27)*M20/360</f>
        <v>11875000</v>
      </c>
      <c r="N25" s="26">
        <f>N24*('SKS Edible Oil_Loan'!M27-M23)*N20/360+N30*(N23-'SKS Edible Oil_Loan'!M27)*N20/360</f>
        <v>12721423.611111112</v>
      </c>
      <c r="O25" s="26">
        <f>N30*(D15-N23)*N20/360+O30*(O23-D15)*O20/360</f>
        <v>13054253.472222222</v>
      </c>
      <c r="P25" s="26">
        <f>P24*('SKS Edible Oil_Loan'!O27-O23)*P20/360+P30*(P23-'SKS Edible Oil_Loan'!O27)*P20/360</f>
        <v>15070969.328703705</v>
      </c>
      <c r="Q25" s="26">
        <f>Q24*('SKS Edible Oil_Loan'!P27-P23)*Q20/360+Q30*(Q23-'SKS Edible Oil_Loan'!P27)*Q20/360</f>
        <v>15070969.328703705</v>
      </c>
      <c r="R25" s="26">
        <f>R24*('SKS Edible Oil_Loan'!Q27-Q23)*R20/360+R30*(R23-'SKS Edible Oil_Loan'!Q27)*R20/360</f>
        <v>14584809.02777778</v>
      </c>
      <c r="S25" s="26">
        <f>S24*('SKS Edible Oil_Loan'!R27-R23)*S20/360+S30*(S23-'SKS Edible Oil_Loan'!R27)*S20/360</f>
        <v>15070969.328703705</v>
      </c>
      <c r="T25" s="26">
        <f>+S30*(E15-S23)*T20/360+T24*(T23-E15)*T20/360</f>
        <v>16643142.361111112</v>
      </c>
      <c r="U25" s="26">
        <f>U24*('SKS Edible Oil_Loan'!T27-T23)*U20/360+U30*(U23-'SKS Edible Oil_Loan'!T27)*U20/360</f>
        <v>17525135.995370373</v>
      </c>
      <c r="V25" s="26">
        <f>V24*('SKS Edible Oil_Loan'!U27-U23)*V20/360+V30*(V23-'SKS Edible Oil_Loan'!U27)*V20/360</f>
        <v>17525135.995370373</v>
      </c>
      <c r="W25" s="26">
        <f>W24*('SKS Edible Oil_Loan'!V27-V23)*W20/360+W30*(W23-'SKS Edible Oil_Loan'!V27)*W20/360</f>
        <v>16394482.060185187</v>
      </c>
      <c r="X25" s="26">
        <f>X24*('SKS Edible Oil_Loan'!W27-W23)*X20/360+X30*(X23-'SKS Edible Oil_Loan'!W27)*X20/360</f>
        <v>17525135.995370373</v>
      </c>
      <c r="Y25" s="26">
        <f>Y24*('SKS Edible Oil_Loan'!X27-X23)*Y20/360+Y30*(Y23-'SKS Edible Oil_Loan'!X27)*Y20/360</f>
        <v>16959809.02777778</v>
      </c>
      <c r="Z25" s="26">
        <f>Z24*('SKS Edible Oil_Loan'!Y27-Y23)*Z20/360+Z30*(Z23-'SKS Edible Oil_Loan'!Y27)*Z20/360</f>
        <v>18131130.274884261</v>
      </c>
      <c r="AA25" s="26">
        <f>AA24*('SKS Edible Oil_Loan'!Z27-Z23)*AA20/360+AA30*(AA23-'SKS Edible Oil_Loan'!Z27)*AA20/360</f>
        <v>18405879.104604583</v>
      </c>
      <c r="AB25" s="26">
        <f>AB24*('SKS Edible Oil_Loan'!AA27-AA23)*AB20/360+AB30*(AB23-'SKS Edible Oil_Loan'!AA27)*AB20/360</f>
        <v>18883294.670691546</v>
      </c>
      <c r="AC25" s="26">
        <f>AC24*('SKS Edible Oil_Loan'!AB27-AB23)*AC20/360+AC30*(AC23-'SKS Edible Oil_Loan'!AB27)*AC20/360</f>
        <v>18739377.92984087</v>
      </c>
      <c r="AD25" s="26">
        <f>AD24*('SKS Edible Oil_Loan'!AC27-AC23)*AD20/360+AD30*(AD23-'SKS Edible Oil_Loan'!AC27)*AD20/360</f>
        <v>18013501.996030293</v>
      </c>
      <c r="AE25" s="26">
        <f>AE24*('SKS Edible Oil_Loan'!AD27-AD23)*AE20/360+AE30*(AE23-'SKS Edible Oil_Loan'!AD27)*AE20/360</f>
        <v>18474579.964148179</v>
      </c>
      <c r="AF25" s="26">
        <f>AF24*('SKS Edible Oil_Loan'!AE27-AE23)*AF20/360+AF30*(AF23-'SKS Edible Oil_Loan'!AE27)*AF20/360</f>
        <v>17746712.734976701</v>
      </c>
      <c r="AG25" s="26">
        <f>AG24*('SKS Edible Oil_Loan'!AF27-AF23)*AG20/360+AG30*(AG23-'SKS Edible Oil_Loan'!AF27)*AG20/360</f>
        <v>18196682.267881844</v>
      </c>
      <c r="AH25" s="26">
        <f>AH24*('SKS Edible Oil_Loan'!AG27-AG23)*AH20/360+AH30*(AH23-'SKS Edible Oil_Loan'!AG27)*AH20/360</f>
        <v>18051529.570822299</v>
      </c>
      <c r="AI25" s="26">
        <f>AI24*('SKS Edible Oil_Loan'!AH27-AH23)*AI20/360+AI30*(AI23-'SKS Edible Oil_Loan'!AH27)*AI20/360</f>
        <v>16186934.267361253</v>
      </c>
      <c r="AJ25" s="26">
        <f>AJ24*('SKS Edible Oil_Loan'!AI27-AI23)*AJ20/360+AJ30*(AJ23-'SKS Edible Oil_Loan'!AI27)*AJ20/360</f>
        <v>17771531.078661803</v>
      </c>
      <c r="AK25" s="26">
        <f>AK24*('SKS Edible Oil_Loan'!AJ27-AJ23)*AK20/360+AK30*(AK23-'SKS Edible Oil_Loan'!AJ27)*AK20/360</f>
        <v>17061037.956324182</v>
      </c>
      <c r="AL25" s="26">
        <f>AL24*('SKS Edible Oil_Loan'!AK27-AK23)*AL20/360+AL30*(AL23-'SKS Edible Oil_Loan'!AK27)*AL20/360</f>
        <v>17473062.673453547</v>
      </c>
      <c r="AM25" s="26">
        <f>AM24*('SKS Edible Oil_Loan'!AL27-AL23)*AM20/360+AM30*(AM23-'SKS Edible Oil_Loan'!AL27)*AM20/360</f>
        <v>16779108.320281088</v>
      </c>
      <c r="AN25" s="26">
        <f>AN24*('SKS Edible Oil_Loan'!AM27-AM23)*AN20/360+AN30*(AN23-'SKS Edible Oil_Loan'!AM27)*AN20/360</f>
        <v>17188789.233960096</v>
      </c>
      <c r="AO25" s="26">
        <f>AO24*('SKS Edible Oil_Loan'!AN27-AN23)*AO20/360+AO30*(AO23-'SKS Edible Oil_Loan'!AN27)*AO20/360</f>
        <v>17040209.04654735</v>
      </c>
      <c r="AP25" s="26">
        <f>AP24*('SKS Edible Oil_Loan'!AO27-AO23)*AP20/360+AP30*(AP23-'SKS Edible Oil_Loan'!AO27)*AP20/360</f>
        <v>16347788.731632106</v>
      </c>
      <c r="AQ25" s="26">
        <f>AQ24*('SKS Edible Oil_Loan'!AP27-AP23)*AQ20/360+AQ30*(AQ23-'SKS Edible Oil_Loan'!AP27)*AQ20/360</f>
        <v>16734624.149741217</v>
      </c>
      <c r="AR25" s="26">
        <f>AR24*('SKS Edible Oil_Loan'!AQ27-AQ23)*AR20/360+AR30*(AR23-'SKS Edible Oil_Loan'!AQ27)*AR20/360</f>
        <v>16054521.280960184</v>
      </c>
      <c r="AS25" s="26">
        <f>AS24*('SKS Edible Oil_Loan'!AR27-AR23)*AS20/360+AS30*(AS23-'SKS Edible Oil_Loan'!AR27)*AS20/360</f>
        <v>16434032.208971471</v>
      </c>
      <c r="AT25" s="26">
        <f>AT24*('SKS Edible Oil_Loan'!AS27-AS23)*AT20/360+AT30*(AT23-'SKS Edible Oil_Loan'!AS27)*AT20/360</f>
        <v>16269470.053034283</v>
      </c>
      <c r="AU25" s="26">
        <f>AU24*('SKS Edible Oil_Loan'!AT27-AT23)*AU20/360+AU30*(AU23-'SKS Edible Oil_Loan'!AT27)*AU20/360</f>
        <v>14570172.556621835</v>
      </c>
      <c r="AV25" s="26">
        <f>AV24*('SKS Edible Oil_Loan'!AU27-AU23)*AV20/360+AV30*(AV23-'SKS Edible Oil_Loan'!AU27)*AV20/360</f>
        <v>15966685.791352171</v>
      </c>
      <c r="AW25" s="26">
        <f>AW24*('SKS Edible Oil_Loan'!AV27-AV23)*AW20/360+AW30*(AW23-'SKS Edible Oil_Loan'!AV27)*AW20/360</f>
        <v>15295671.75860888</v>
      </c>
      <c r="AX25" s="26">
        <f>AX24*('SKS Edible Oil_Loan'!AW27-AW23)*AX20/360+AX30*(AX23-'SKS Edible Oil_Loan'!AW27)*AX20/360</f>
        <v>15648922.591899138</v>
      </c>
      <c r="AY25" s="26">
        <f>AY24*('SKS Edible Oil_Loan'!AX27-AX23)*AY20/360+AY30*(AY23-'SKS Edible Oil_Loan'!AX27)*AY20/360</f>
        <v>14990884.465759913</v>
      </c>
      <c r="AZ25" s="26">
        <f>AZ24*('SKS Edible Oil_Loan'!AY27-AY23)*AZ20/360+AZ30*(AZ23-'SKS Edible Oil_Loan'!AY27)*AZ20/360</f>
        <v>15320862.406674195</v>
      </c>
      <c r="BA25" s="26">
        <f>BA24*('SKS Edible Oil_Loan'!AZ27-AZ23)*BA20/360+BA30*(BA23-'SKS Edible Oil_Loan'!AZ27)*BA20/360</f>
        <v>15162781.81436515</v>
      </c>
      <c r="BB25" s="26">
        <f>BB24*('SKS Edible Oil_Loan'!BA27-BA23)*BB20/360+BB30*(BB23-'SKS Edible Oil_Loan'!BA27)*BB20/360</f>
        <v>14516757.449970707</v>
      </c>
      <c r="BC25" s="26">
        <f>BC24*('SKS Edible Oil_Loan'!BB27-BB23)*BC20/360+BC30*(BC23-'SKS Edible Oil_Loan'!BB27)*BC20/360</f>
        <v>14821496.957927464</v>
      </c>
      <c r="BD25" s="26">
        <f>BD24*('SKS Edible Oil_Loan'!BC27-BC23)*BD20/360+BD30*(BD23-'SKS Edible Oil_Loan'!BC27)*BD20/360</f>
        <v>14194383.913330004</v>
      </c>
      <c r="BE25" s="26">
        <f>BE24*('SKS Edible Oil_Loan'!BD27-BD23)*BE20/360+BE30*(BE23-'SKS Edible Oil_Loan'!BD27)*BE20/360</f>
        <v>14496443.390133996</v>
      </c>
      <c r="BF25" s="26">
        <f>BF24*('SKS Edible Oil_Loan'!BE27-BE23)*BF20/360+BF30*(BF23-'SKS Edible Oil_Loan'!BE27)*BF20/360</f>
        <v>14326548.798124295</v>
      </c>
      <c r="BG25" s="26">
        <f>BG24*('SKS Edible Oil_Loan'!BF27-BF23)*BG20/360+BG30*(BG23-'SKS Edible Oil_Loan'!BF27)*BG20/360</f>
        <v>12792951.152056852</v>
      </c>
      <c r="BH25" s="26">
        <f>BH24*('SKS Edible Oil_Loan'!BG27-BG23)*BH20/360+BH30*(BH23-'SKS Edible Oil_Loan'!BG27)*BH20/360</f>
        <v>13982713.969637066</v>
      </c>
      <c r="BI25" s="26">
        <f>BI24*('SKS Edible Oil_Loan'!BH27-BH23)*BI20/360+BI30*(BI23-'SKS Edible Oil_Loan'!BH27)*BI20/360</f>
        <v>13354588.767667854</v>
      </c>
      <c r="BJ25" s="26">
        <f>BJ24*('SKS Edible Oil_Loan'!BI27-BI23)*BJ20/360+BJ30*(BJ23-'SKS Edible Oil_Loan'!BI27)*BJ20/360</f>
        <v>13633413.540328467</v>
      </c>
      <c r="BK25" s="26">
        <f>BK24*('SKS Edible Oil_Loan'!BJ27-BJ23)*BK20/360+BK30*(BK23-'SKS Edible Oil_Loan'!BJ27)*BK20/360</f>
        <v>13025183.713881481</v>
      </c>
      <c r="BL25" s="26">
        <f>BL24*('SKS Edible Oil_Loan'!BK27-BK23)*BL20/360+BL30*(BL23-'SKS Edible Oil_Loan'!BK27)*BL20/360</f>
        <v>13267027.719603676</v>
      </c>
      <c r="BM25" s="26">
        <f>BM24*('SKS Edible Oil_Loan'!BL27-BL23)*BM20/360+BM30*(BM23-'SKS Edible Oil_Loan'!BL27)*BM20/360</f>
        <v>13099024.465100961</v>
      </c>
      <c r="BN25" s="26">
        <f>BN24*('SKS Edible Oil_Loan'!BM27-BM23)*BN20/360+BN30*(BN23-'SKS Edible Oil_Loan'!BM27)*BN20/360</f>
        <v>12498142.618940871</v>
      </c>
      <c r="BO25" s="26">
        <f>BO24*('SKS Edible Oil_Loan'!BN27-BN23)*BO20/360+BO30*(BO23-'SKS Edible Oil_Loan'!BN27)*BO20/360</f>
        <v>12735676.901291523</v>
      </c>
      <c r="BP25" s="26">
        <f>BP24*('SKS Edible Oil_Loan'!BO27-BO23)*BP20/360+BP30*(BP23-'SKS Edible Oil_Loan'!BO27)*BP20/360</f>
        <v>12149632.405903716</v>
      </c>
      <c r="BQ25" s="26">
        <f>BQ24*('SKS Edible Oil_Loan'!BP27-BP23)*BQ20/360+BQ30*(BQ23-'SKS Edible Oil_Loan'!BP27)*BQ20/360</f>
        <v>12360555.209133541</v>
      </c>
      <c r="BR25" s="26">
        <f>BR24*('SKS Edible Oil_Loan'!BQ27-BQ23)*BR20/360+BR30*(BR23-'SKS Edible Oil_Loan'!BQ27)*BR20/360</f>
        <v>12179797.34226943</v>
      </c>
      <c r="BS25" s="26">
        <f>BS24*('SKS Edible Oil_Loan'!BR27-BR23)*BS20/360+BS30*(BS23-'SKS Edible Oil_Loan'!BR27)*BS20/360</f>
        <v>11223417.423045868</v>
      </c>
      <c r="BT25" s="26">
        <f>BT24*('SKS Edible Oil_Loan'!BS27-BS23)*BT20/360+BT30*(BT23-'SKS Edible Oil_Loan'!BS27)*BT20/360</f>
        <v>11795695.793106871</v>
      </c>
      <c r="BU25" s="26">
        <f>BU24*('SKS Edible Oil_Loan'!BT27-BT23)*BU20/360+BU30*(BU23-'SKS Edible Oil_Loan'!BT27)*BU20/360</f>
        <v>11238870.757618336</v>
      </c>
      <c r="BV25" s="26">
        <f>BV24*('SKS Edible Oil_Loan'!BU27-BU23)*BV20/360+BV30*(BV23-'SKS Edible Oil_Loan'!BU27)*BV20/360</f>
        <v>11417870.084695999</v>
      </c>
      <c r="BW25" s="26">
        <f>BW24*('SKS Edible Oil_Loan'!BV27-BV23)*BW20/360+BW30*(BW23-'SKS Edible Oil_Loan'!BV27)*BW20/360</f>
        <v>10851813.964011127</v>
      </c>
      <c r="BX25" s="26">
        <f>BX24*('SKS Edible Oil_Loan'!BW27-BW23)*BX20/360+BX30*(BX23-'SKS Edible Oil_Loan'!BW27)*BX20/360</f>
        <v>11027798.87918096</v>
      </c>
      <c r="BY25" s="26">
        <f>BY24*('SKS Edible Oil_Loan'!BX27-BX23)*BY20/360+BY30*(BY23-'SKS Edible Oil_Loan'!BX27)*BY20/360</f>
        <v>10830444.184792882</v>
      </c>
      <c r="BZ25" s="26">
        <f>BZ24*('SKS Edible Oil_Loan'!BY27-BY23)*BZ20/360+BZ30*(BZ23-'SKS Edible Oil_Loan'!BY27)*BZ20/360</f>
        <v>10291482.783402033</v>
      </c>
      <c r="CA25" s="26">
        <f>CA24*('SKS Edible Oil_Loan'!BZ27-BZ23)*CA20/360+CA30*(CA23-'SKS Edible Oil_Loan'!BZ27)*CA20/360</f>
        <v>10431035.253093638</v>
      </c>
      <c r="CB25" s="26">
        <f>CB24*('SKS Edible Oil_Loan'!CA27-CA23)*CB20/360+CB30*(CB23-'SKS Edible Oil_Loan'!CA27)*CB20/360</f>
        <v>9895402.3662529774</v>
      </c>
      <c r="CC25" s="26">
        <f>CC24*('SKS Edible Oil_Loan'!CB27-CB23)*CC20/360+CC30*(CC23-'SKS Edible Oil_Loan'!CB27)*CC20/360</f>
        <v>10025277.314242426</v>
      </c>
      <c r="CD25" s="26">
        <f>CD24*('SKS Edible Oil_Loan'!CC27-CC23)*CD20/360+CD30*(CD23-'SKS Edible Oil_Loan'!CC27)*CD20/360</f>
        <v>9819985.9907985814</v>
      </c>
      <c r="CE25" s="26">
        <f>CE24*('SKS Edible Oil_Loan'!CD27-CD23)*CE20/360+CE30*(CE23-'SKS Edible Oil_Loan'!CD27)*CE20/360</f>
        <v>8678450.7961517442</v>
      </c>
      <c r="CF25" s="26">
        <f>CF24*('SKS Edible Oil_Loan'!CE27-CE23)*CF20/360+CF30*(CF23-'SKS Edible Oil_Loan'!CE27)*CF20/360</f>
        <v>9391011.7730492037</v>
      </c>
      <c r="CG25" s="26">
        <f>CG24*('SKS Edible Oil_Loan'!CF27-CF23)*CG20/360+CG30*(CG23-'SKS Edible Oil_Loan'!CF27)*CG20/360</f>
        <v>8900791.7097680308</v>
      </c>
      <c r="CH25" s="26">
        <f>CH24*('SKS Edible Oil_Loan'!CG27-CG23)*CH20/360+CH30*(CH23-'SKS Edible Oil_Loan'!CG27)*CH20/360</f>
        <v>8982439.2936655227</v>
      </c>
      <c r="CI25" s="26">
        <f>CI24*('SKS Edible Oil_Loan'!CH27-CH23)*CI20/360+CI30*(CI23-'SKS Edible Oil_Loan'!CH27)*CI20/360</f>
        <v>8489146.7427213006</v>
      </c>
      <c r="CJ25" s="26">
        <f>CJ24*('SKS Edible Oil_Loan'!CI27-CI23)*CJ20/360+CJ30*(CJ23-'SKS Edible Oil_Loan'!CI27)*CJ20/360</f>
        <v>8553654.4633835498</v>
      </c>
      <c r="CK25" s="26">
        <f>CK24*('SKS Edible Oil_Loan'!CJ27-CJ23)*CK20/360+CK30*(CK23-'SKS Edible Oil_Loan'!CJ27)*CK20/360</f>
        <v>8329689.7619489739</v>
      </c>
      <c r="CL25" s="26">
        <f>CL24*('SKS Edible Oil_Loan'!CK27-CK23)*CL20/360+CL30*(CL23-'SKS Edible Oil_Loan'!CK27)*CL20/360</f>
        <v>7859377.767923357</v>
      </c>
      <c r="CM25" s="26">
        <f>CM24*('SKS Edible Oil_Loan'!CL27-CL23)*CM20/360+CM30*(CM23-'SKS Edible Oil_Loan'!CL27)*CM20/360</f>
        <v>7897663.4891396351</v>
      </c>
      <c r="CN25" s="26">
        <f>CN24*('SKS Edible Oil_Loan'!CM27-CM23)*CN20/360+CN30*(CN23-'SKS Edible Oil_Loan'!CM27)*CN20/360</f>
        <v>7416796.174915893</v>
      </c>
      <c r="CO25" s="26">
        <f>CO24*('SKS Edible Oil_Loan'!CN27-CN23)*CO20/360+CO30*(CO23-'SKS Edible Oil_Loan'!CN27)*CO20/360</f>
        <v>7451635.0551357521</v>
      </c>
      <c r="CP25" s="26">
        <f>CP24*('SKS Edible Oil_Loan'!CO27-CO23)*CP20/360+CP30*(CP23-'SKS Edible Oil_Loan'!CO27)*CP20/360</f>
        <v>7225969.0638073143</v>
      </c>
      <c r="CQ25" s="26">
        <f>CQ24*('SKS Edible Oil_Loan'!CP27-CP23)*CQ20/360+CQ30*(CQ23-'SKS Edible Oil_Loan'!CP27)*CQ20/360</f>
        <v>6331216.8344896184</v>
      </c>
      <c r="CR25" s="26">
        <f>CR24*('SKS Edible Oil_Loan'!CQ27-CQ23)*CR20/360+CR30*(CR23-'SKS Edible Oil_Loan'!CQ27)*CR20/360</f>
        <v>6769263.3705538046</v>
      </c>
      <c r="CS25" s="26">
        <f>CS24*('SKS Edible Oil_Loan'!CR27-CR23)*CS20/360+CS30*(CS23-'SKS Edible Oil_Loan'!CR27)*CS20/360</f>
        <v>6330663.9650281537</v>
      </c>
      <c r="CT25" s="26">
        <f>CT24*('SKS Edible Oil_Loan'!CS27-CS23)*CT20/360+CT30*(CT23-'SKS Edible Oil_Loan'!CS27)*CT20/360</f>
        <v>6297758.3171683587</v>
      </c>
      <c r="CU25" s="26">
        <f>CU24*('SKS Edible Oil_Loan'!CT27-CT23)*CU20/360+CU30*(CU23-'SKS Edible Oil_Loan'!CT27)*CU20/360</f>
        <v>5878164.2295029303</v>
      </c>
      <c r="CV25" s="26">
        <f>CV24*('SKS Edible Oil_Loan'!CU27-CU23)*CV20/360+CV30*(CV23-'SKS Edible Oil_Loan'!CU27)*CV20/360</f>
        <v>5833957.1916507268</v>
      </c>
      <c r="CW25" s="26">
        <f>CW24*('SKS Edible Oil_Loan'!CV27-CV23)*CW20/360+CW30*(CW23-'SKS Edible Oil_Loan'!CV27)*CW20/360</f>
        <v>5580044.4854556546</v>
      </c>
      <c r="CX25" s="26">
        <f>CX24*('SKS Edible Oil_Loan'!CW27-CW23)*CX20/360+CX30*(CX23-'SKS Edible Oil_Loan'!CW27)*CX20/360</f>
        <v>5185892.2054271158</v>
      </c>
      <c r="CY25" s="26">
        <f>CY24*('SKS Edible Oil_Loan'!CX27-CX23)*CY20/360+CY30*(CY23-'SKS Edible Oil_Loan'!CX27)*CY20/360</f>
        <v>5112860.6980341543</v>
      </c>
      <c r="CZ25" s="26">
        <f>CZ24*('SKS Edible Oil_Loan'!CY27-CY23)*CZ20/360+CZ30*(CZ23-'SKS Edible Oil_Loan'!CY27)*CZ20/360</f>
        <v>4715195.1700614691</v>
      </c>
      <c r="DA25" s="26">
        <f>DA24*('SKS Edible Oil_Loan'!CZ27-CZ23)*DA20/360+DA30*(DA23-'SKS Edible Oil_Loan'!CZ27)*DA20/360</f>
        <v>4622565.0195239503</v>
      </c>
      <c r="DB25" s="26">
        <f>DB24*('SKS Edible Oil_Loan'!DA27-DA23)*DB20/360+DB30*(DB23-'SKS Edible Oil_Loan'!DA27)*DB20/360</f>
        <v>4366471.712351704</v>
      </c>
      <c r="DC25" s="26">
        <f>DC24*('SKS Edible Oil_Loan'!DB27-DB23)*DC20/360+DC30*(DC23-'SKS Edible Oil_Loan'!DB27)*DC20/360</f>
        <v>3736298.9791526087</v>
      </c>
      <c r="DD25" s="26">
        <f>DD24*('SKS Edible Oil_Loan'!DC27-DC23)*DD20/360+DD30*(DD23-'SKS Edible Oil_Loan'!DC27)*DD20/360</f>
        <v>3872469.5938019566</v>
      </c>
      <c r="DE25" s="26">
        <f>DE24*('SKS Edible Oil_Loan'!DD27-DD23)*DE20/360+DE30*(DE23-'SKS Edible Oil_Loan'!DD27)*DE20/360</f>
        <v>3505457.2508432725</v>
      </c>
      <c r="DF25" s="26">
        <f>DF24*('SKS Edible Oil_Loan'!DE27-DE23)*DF20/360+DF30*(DF23-'SKS Edible Oil_Loan'!DE27)*DF20/360</f>
        <v>3345880.9562869864</v>
      </c>
      <c r="DG25" s="26">
        <f>DG24*('SKS Edible Oil_Loan'!DF27-DF23)*DG20/360+DG30*(DG23-'SKS Edible Oil_Loan'!DF27)*DG20/360</f>
        <v>3008048.0097698746</v>
      </c>
      <c r="DH25" s="26">
        <f>DH24*('SKS Edible Oil_Loan'!DG27-DG23)*DH20/360+DH30*(DH23-'SKS Edible Oil_Loan'!DG27)*DH20/360</f>
        <v>2844336.5362667078</v>
      </c>
      <c r="DI25" s="26">
        <f>DI24*('SKS Edible Oil_Loan'!DH27-DH23)*DI20/360+DI30*(DI23-'SKS Edible Oil_Loan'!DH27)*DI20/360</f>
        <v>2582196.0983305555</v>
      </c>
      <c r="DJ25" s="26">
        <f>DJ24*('SKS Edible Oil_Loan'!DI27-DI23)*DJ20/360+DJ30*(DJ23-'SKS Edible Oil_Loan'!DI27)*DJ20/360</f>
        <v>2247069.6597776664</v>
      </c>
      <c r="DK25" s="26">
        <f>DK24*('SKS Edible Oil_Loan'!DJ27-DJ23)*DK20/360+DK30*(DK23-'SKS Edible Oil_Loan'!DJ27)*DK20/360</f>
        <v>2043051.8148945444</v>
      </c>
      <c r="DL25" s="26">
        <f>DL24*('SKS Edible Oil_Loan'!DK27-DK23)*DL20/360+DL30*(DL23-'SKS Edible Oil_Loan'!DK27)*DL20/360</f>
        <v>1729657.0808178871</v>
      </c>
      <c r="DM25" s="26">
        <f>DM24*('SKS Edible Oil_Loan'!DL27-DL23)*DM20/360+DM30*(DM23-'SKS Edible Oil_Loan'!DL27)*DM20/360</f>
        <v>1512716.6176817056</v>
      </c>
      <c r="DN25" s="26">
        <f>DN24*('SKS Edible Oil_Loan'!DM27-DM23)*DN20/360+DN30*(DN23-'SKS Edible Oil_Loan'!DM27)*DN20/360</f>
        <v>1222379.1482231726</v>
      </c>
      <c r="DO25" s="26">
        <f>DO24*('SKS Edible Oil_Loan'!DN27-DN23)*DO20/360+DO30*(DO23-'SKS Edible Oil_Loan'!DN27)*DO20/360</f>
        <v>910958.8718128918</v>
      </c>
      <c r="DP25" s="26">
        <f>DP24*('SKS Edible Oil_Loan'!DO27-DO23)*DP20/360+DP30*(DP23-'SKS Edible Oil_Loan'!DO27)*DP20/360</f>
        <v>688176.03312658775</v>
      </c>
      <c r="DQ25" s="26">
        <f>DQ24*('SKS Edible Oil_Loan'!DP27-DP23)*DQ20/360+DQ30*(DQ23-'SKS Edible Oil_Loan'!DP27)*DQ20/360</f>
        <v>381777.91975870717</v>
      </c>
      <c r="DR25" s="26">
        <f>DR24*('SKS Edible Oil_Loan'!DQ27-DQ23)*DR20/360+DR30*(DR23-'SKS Edible Oil_Loan'!DQ27)*DR20/360</f>
        <v>127545.53645603723</v>
      </c>
    </row>
    <row r="26" spans="1:122" s="56" customFormat="1" x14ac:dyDescent="0.25">
      <c r="A26" s="48" t="s">
        <v>12</v>
      </c>
      <c r="B26" s="49">
        <f>B25</f>
        <v>4125000</v>
      </c>
      <c r="C26" s="49">
        <f t="shared" ref="C26:AH26" si="78">B26+C25</f>
        <v>14437500</v>
      </c>
      <c r="D26" s="49">
        <f t="shared" si="78"/>
        <v>26708333.333333336</v>
      </c>
      <c r="E26" s="49">
        <f>D26+E25</f>
        <v>38979166.666666672</v>
      </c>
      <c r="F26" s="49">
        <f t="shared" si="78"/>
        <v>50854166.666666672</v>
      </c>
      <c r="G26" s="49">
        <f t="shared" si="78"/>
        <v>63125000.000000007</v>
      </c>
      <c r="H26" s="49">
        <f t="shared" si="78"/>
        <v>75000000</v>
      </c>
      <c r="I26" s="49">
        <f t="shared" si="78"/>
        <v>87270833.333333328</v>
      </c>
      <c r="J26" s="49">
        <f t="shared" si="78"/>
        <v>99541666.666666657</v>
      </c>
      <c r="K26" s="49">
        <f t="shared" si="78"/>
        <v>110624999.99999999</v>
      </c>
      <c r="L26" s="49">
        <f t="shared" si="78"/>
        <v>122895833.33333331</v>
      </c>
      <c r="M26" s="49">
        <f t="shared" si="78"/>
        <v>134770833.33333331</v>
      </c>
      <c r="N26" s="49">
        <f t="shared" si="78"/>
        <v>147492256.94444442</v>
      </c>
      <c r="O26" s="49">
        <f t="shared" si="78"/>
        <v>160546510.41666663</v>
      </c>
      <c r="P26" s="49">
        <f t="shared" si="78"/>
        <v>175617479.74537033</v>
      </c>
      <c r="Q26" s="49">
        <f t="shared" si="78"/>
        <v>190688449.07407403</v>
      </c>
      <c r="R26" s="49">
        <f t="shared" si="78"/>
        <v>205273258.10185182</v>
      </c>
      <c r="S26" s="49">
        <f t="shared" si="78"/>
        <v>220344227.43055552</v>
      </c>
      <c r="T26" s="49">
        <f t="shared" si="78"/>
        <v>236987369.79166663</v>
      </c>
      <c r="U26" s="49">
        <f t="shared" si="78"/>
        <v>254512505.78703701</v>
      </c>
      <c r="V26" s="49">
        <f t="shared" si="78"/>
        <v>272037641.7824074</v>
      </c>
      <c r="W26" s="49">
        <f t="shared" si="78"/>
        <v>288432123.8425926</v>
      </c>
      <c r="X26" s="49">
        <f t="shared" si="78"/>
        <v>305957259.83796299</v>
      </c>
      <c r="Y26" s="49">
        <f t="shared" si="78"/>
        <v>322917068.86574078</v>
      </c>
      <c r="Z26" s="49">
        <f t="shared" si="78"/>
        <v>341048199.14062506</v>
      </c>
      <c r="AA26" s="49">
        <f t="shared" si="78"/>
        <v>359454078.24522966</v>
      </c>
      <c r="AB26" s="49">
        <f t="shared" si="78"/>
        <v>378337372.91592121</v>
      </c>
      <c r="AC26" s="49">
        <f t="shared" si="78"/>
        <v>397076750.84576207</v>
      </c>
      <c r="AD26" s="49">
        <f t="shared" si="78"/>
        <v>415090252.84179235</v>
      </c>
      <c r="AE26" s="49">
        <f t="shared" si="78"/>
        <v>433564832.80594051</v>
      </c>
      <c r="AF26" s="49">
        <f t="shared" si="78"/>
        <v>451311545.54091722</v>
      </c>
      <c r="AG26" s="49">
        <f t="shared" si="78"/>
        <v>469508227.80879909</v>
      </c>
      <c r="AH26" s="49">
        <f t="shared" si="78"/>
        <v>487559757.37962139</v>
      </c>
      <c r="AI26" s="49">
        <f t="shared" ref="AI26:BN26" si="79">AH26+AI25</f>
        <v>503746691.64698267</v>
      </c>
      <c r="AJ26" s="49">
        <f t="shared" si="79"/>
        <v>521518222.72564447</v>
      </c>
      <c r="AK26" s="49">
        <f t="shared" si="79"/>
        <v>538579260.68196869</v>
      </c>
      <c r="AL26" s="49">
        <f t="shared" si="79"/>
        <v>556052323.35542226</v>
      </c>
      <c r="AM26" s="49">
        <f t="shared" si="79"/>
        <v>572831431.67570329</v>
      </c>
      <c r="AN26" s="49">
        <f t="shared" si="79"/>
        <v>590020220.90966344</v>
      </c>
      <c r="AO26" s="49">
        <f t="shared" si="79"/>
        <v>607060429.95621073</v>
      </c>
      <c r="AP26" s="49">
        <f t="shared" si="79"/>
        <v>623408218.68784285</v>
      </c>
      <c r="AQ26" s="49">
        <f t="shared" si="79"/>
        <v>640142842.83758402</v>
      </c>
      <c r="AR26" s="49">
        <f t="shared" si="79"/>
        <v>656197364.11854422</v>
      </c>
      <c r="AS26" s="49">
        <f t="shared" si="79"/>
        <v>672631396.32751572</v>
      </c>
      <c r="AT26" s="49">
        <f t="shared" si="79"/>
        <v>688900866.38055003</v>
      </c>
      <c r="AU26" s="49">
        <f t="shared" si="79"/>
        <v>703471038.93717182</v>
      </c>
      <c r="AV26" s="49">
        <f t="shared" si="79"/>
        <v>719437724.72852397</v>
      </c>
      <c r="AW26" s="49">
        <f t="shared" si="79"/>
        <v>734733396.48713291</v>
      </c>
      <c r="AX26" s="49">
        <f t="shared" si="79"/>
        <v>750382319.07903206</v>
      </c>
      <c r="AY26" s="49">
        <f t="shared" si="79"/>
        <v>765373203.54479194</v>
      </c>
      <c r="AZ26" s="49">
        <f t="shared" si="79"/>
        <v>780694065.95146608</v>
      </c>
      <c r="BA26" s="49">
        <f t="shared" si="79"/>
        <v>795856847.76583123</v>
      </c>
      <c r="BB26" s="49">
        <f t="shared" si="79"/>
        <v>810373605.21580195</v>
      </c>
      <c r="BC26" s="49">
        <f t="shared" si="79"/>
        <v>825195102.17372942</v>
      </c>
      <c r="BD26" s="49">
        <f t="shared" si="79"/>
        <v>839389486.08705938</v>
      </c>
      <c r="BE26" s="49">
        <f t="shared" si="79"/>
        <v>853885929.47719336</v>
      </c>
      <c r="BF26" s="49">
        <f t="shared" si="79"/>
        <v>868212478.27531767</v>
      </c>
      <c r="BG26" s="49">
        <f t="shared" si="79"/>
        <v>881005429.42737448</v>
      </c>
      <c r="BH26" s="49">
        <f t="shared" si="79"/>
        <v>894988143.39701152</v>
      </c>
      <c r="BI26" s="49">
        <f t="shared" si="79"/>
        <v>908342732.16467941</v>
      </c>
      <c r="BJ26" s="49">
        <f t="shared" si="79"/>
        <v>921976145.70500791</v>
      </c>
      <c r="BK26" s="49">
        <f t="shared" si="79"/>
        <v>935001329.4188894</v>
      </c>
      <c r="BL26" s="49">
        <f t="shared" si="79"/>
        <v>948268357.13849306</v>
      </c>
      <c r="BM26" s="49">
        <f t="shared" si="79"/>
        <v>961367381.60359406</v>
      </c>
      <c r="BN26" s="49">
        <f t="shared" si="79"/>
        <v>973865524.22253489</v>
      </c>
      <c r="BO26" s="49">
        <f t="shared" ref="BO26:CH26" si="80">BN26+BO25</f>
        <v>986601201.12382638</v>
      </c>
      <c r="BP26" s="49">
        <f t="shared" si="80"/>
        <v>998750833.52973008</v>
      </c>
      <c r="BQ26" s="49">
        <f t="shared" si="80"/>
        <v>1011111388.7388636</v>
      </c>
      <c r="BR26" s="49">
        <f t="shared" si="80"/>
        <v>1023291186.081133</v>
      </c>
      <c r="BS26" s="49">
        <f t="shared" si="80"/>
        <v>1034514603.5041789</v>
      </c>
      <c r="BT26" s="49">
        <f t="shared" si="80"/>
        <v>1046310299.2972858</v>
      </c>
      <c r="BU26" s="49">
        <f t="shared" si="80"/>
        <v>1057549170.0549041</v>
      </c>
      <c r="BV26" s="49">
        <f t="shared" si="80"/>
        <v>1068967040.1396002</v>
      </c>
      <c r="BW26" s="49">
        <f t="shared" si="80"/>
        <v>1079818854.1036112</v>
      </c>
      <c r="BX26" s="49">
        <f t="shared" si="80"/>
        <v>1090846652.9827921</v>
      </c>
      <c r="BY26" s="49">
        <f t="shared" si="80"/>
        <v>1101677097.1675851</v>
      </c>
      <c r="BZ26" s="49">
        <f t="shared" si="80"/>
        <v>1111968579.9509871</v>
      </c>
      <c r="CA26" s="49">
        <f t="shared" si="80"/>
        <v>1122399615.2040808</v>
      </c>
      <c r="CB26" s="49">
        <f t="shared" si="80"/>
        <v>1132295017.5703337</v>
      </c>
      <c r="CC26" s="49">
        <f t="shared" si="80"/>
        <v>1142320294.8845761</v>
      </c>
      <c r="CD26" s="49">
        <f t="shared" si="80"/>
        <v>1152140280.8753746</v>
      </c>
      <c r="CE26" s="49">
        <f t="shared" si="80"/>
        <v>1160818731.6715262</v>
      </c>
      <c r="CF26" s="49">
        <f t="shared" si="80"/>
        <v>1170209743.4445753</v>
      </c>
      <c r="CG26" s="49">
        <f t="shared" si="80"/>
        <v>1179110535.1543434</v>
      </c>
      <c r="CH26" s="49">
        <f t="shared" si="80"/>
        <v>1188092974.4480088</v>
      </c>
      <c r="CI26" s="49">
        <f t="shared" ref="CI26" si="81">CH26+CI25</f>
        <v>1196582121.1907301</v>
      </c>
      <c r="CJ26" s="49">
        <f t="shared" ref="CJ26" si="82">CI26+CJ25</f>
        <v>1205135775.6541135</v>
      </c>
      <c r="CK26" s="49">
        <f t="shared" ref="CK26" si="83">CJ26+CK25</f>
        <v>1213465465.4160626</v>
      </c>
      <c r="CL26" s="49">
        <f t="shared" ref="CL26" si="84">CK26+CL25</f>
        <v>1221324843.1839859</v>
      </c>
      <c r="CM26" s="49">
        <f t="shared" ref="CM26" si="85">CL26+CM25</f>
        <v>1229222506.6731255</v>
      </c>
      <c r="CN26" s="49">
        <f t="shared" ref="CN26" si="86">CM26+CN25</f>
        <v>1236639302.8480413</v>
      </c>
      <c r="CO26" s="49">
        <f t="shared" ref="CO26" si="87">CN26+CO25</f>
        <v>1244090937.903177</v>
      </c>
      <c r="CP26" s="49">
        <f t="shared" ref="CP26" si="88">CO26+CP25</f>
        <v>1251316906.9669843</v>
      </c>
      <c r="CQ26" s="49">
        <f t="shared" ref="CQ26" si="89">CP26+CQ25</f>
        <v>1257648123.8014739</v>
      </c>
      <c r="CR26" s="49">
        <f t="shared" ref="CR26" si="90">CQ26+CR25</f>
        <v>1264417387.1720276</v>
      </c>
      <c r="CS26" s="49">
        <f t="shared" ref="CS26" si="91">CR26+CS25</f>
        <v>1270748051.1370556</v>
      </c>
      <c r="CT26" s="49">
        <f t="shared" ref="CT26" si="92">CS26+CT25</f>
        <v>1277045809.4542241</v>
      </c>
      <c r="CU26" s="49">
        <f t="shared" ref="CU26" si="93">CT26+CU25</f>
        <v>1282923973.683727</v>
      </c>
      <c r="CV26" s="49">
        <f t="shared" ref="CV26" si="94">CU26+CV25</f>
        <v>1288757930.8753777</v>
      </c>
      <c r="CW26" s="49">
        <f t="shared" ref="CW26" si="95">CV26+CW25</f>
        <v>1294337975.3608334</v>
      </c>
      <c r="CX26" s="49">
        <f t="shared" ref="CX26" si="96">CW26+CX25</f>
        <v>1299523867.5662606</v>
      </c>
      <c r="CY26" s="49">
        <f t="shared" ref="CY26" si="97">CX26+CY25</f>
        <v>1304636728.2642946</v>
      </c>
      <c r="CZ26" s="49">
        <f t="shared" ref="CZ26" si="98">CY26+CZ25</f>
        <v>1309351923.4343562</v>
      </c>
      <c r="DA26" s="49">
        <f t="shared" ref="DA26" si="99">CZ26+DA25</f>
        <v>1313974488.4538801</v>
      </c>
      <c r="DB26" s="49">
        <f t="shared" ref="DB26" si="100">DA26+DB25</f>
        <v>1318340960.1662319</v>
      </c>
      <c r="DC26" s="49">
        <f t="shared" ref="DC26" si="101">DB26+DC25</f>
        <v>1322077259.1453846</v>
      </c>
      <c r="DD26" s="49">
        <f t="shared" ref="DD26" si="102">DC26+DD25</f>
        <v>1325949728.7391865</v>
      </c>
      <c r="DE26" s="49">
        <f t="shared" ref="DE26" si="103">DD26+DE25</f>
        <v>1329455185.9900298</v>
      </c>
      <c r="DF26" s="49">
        <f t="shared" ref="DF26" si="104">DE26+DF25</f>
        <v>1332801066.9463167</v>
      </c>
      <c r="DG26" s="49">
        <f t="shared" ref="DG26" si="105">DF26+DG25</f>
        <v>1335809114.9560866</v>
      </c>
      <c r="DH26" s="49">
        <f t="shared" ref="DH26" si="106">DG26+DH25</f>
        <v>1338653451.4923534</v>
      </c>
      <c r="DI26" s="49">
        <f t="shared" ref="DI26" si="107">DH26+DI25</f>
        <v>1341235647.5906839</v>
      </c>
      <c r="DJ26" s="49">
        <f t="shared" ref="DJ26" si="108">DI26+DJ25</f>
        <v>1343482717.2504616</v>
      </c>
      <c r="DK26" s="49">
        <f t="shared" ref="DK26" si="109">DJ26+DK25</f>
        <v>1345525769.065356</v>
      </c>
      <c r="DL26" s="49">
        <f t="shared" ref="DL26" si="110">DK26+DL25</f>
        <v>1347255426.146174</v>
      </c>
      <c r="DM26" s="49">
        <f t="shared" ref="DM26" si="111">DL26+DM25</f>
        <v>1348768142.7638557</v>
      </c>
      <c r="DN26" s="49">
        <f t="shared" ref="DN26" si="112">DM26+DN25</f>
        <v>1349990521.9120789</v>
      </c>
      <c r="DO26" s="49">
        <f t="shared" ref="DO26" si="113">DN26+DO25</f>
        <v>1350901480.7838917</v>
      </c>
      <c r="DP26" s="49">
        <f t="shared" ref="DP26" si="114">DO26+DP25</f>
        <v>1351589656.8170183</v>
      </c>
      <c r="DQ26" s="49">
        <f t="shared" ref="DQ26" si="115">DP26+DQ25</f>
        <v>1351971434.7367771</v>
      </c>
      <c r="DR26" s="49">
        <f t="shared" ref="DR26" si="116">DQ26+DR25</f>
        <v>1352098980.2732332</v>
      </c>
    </row>
    <row r="27" spans="1:122" s="55" customFormat="1" x14ac:dyDescent="0.25">
      <c r="A27" s="23" t="s">
        <v>7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f>'SKS Edible Oil_Loan'!Z31</f>
        <v>16322120.990033351</v>
      </c>
      <c r="AB27" s="26">
        <f>'SKS Edible Oil_Loan'!AA31</f>
        <v>16451337.781204449</v>
      </c>
      <c r="AC27" s="26">
        <f>'SKS Edible Oil_Loan'!AB31</f>
        <v>16581577.538638985</v>
      </c>
      <c r="AD27" s="26">
        <f>'SKS Edible Oil_Loan'!AC31</f>
        <v>16712848.360819874</v>
      </c>
      <c r="AE27" s="26">
        <f>'SKS Edible Oil_Loan'!AD31</f>
        <v>16845158.410343036</v>
      </c>
      <c r="AF27" s="26">
        <f>'SKS Edible Oil_Loan'!AE31</f>
        <v>16978515.914424919</v>
      </c>
      <c r="AG27" s="26">
        <f>'SKS Edible Oil_Loan'!AF31</f>
        <v>17112929.165414114</v>
      </c>
      <c r="AH27" s="26">
        <f>'SKS Edible Oil_Loan'!AG31</f>
        <v>17248406.521306973</v>
      </c>
      <c r="AI27" s="26">
        <f>'SKS Edible Oil_Loan'!AH31</f>
        <v>17384956.406267319</v>
      </c>
      <c r="AJ27" s="26">
        <f>'SKS Edible Oil_Loan'!AI31</f>
        <v>17522587.311150271</v>
      </c>
      <c r="AK27" s="26">
        <f>'SKS Edible Oil_Loan'!AJ31</f>
        <v>17661307.794030208</v>
      </c>
      <c r="AL27" s="26">
        <f>'SKS Edible Oil_Loan'!AK31</f>
        <v>17801126.480732948</v>
      </c>
      <c r="AM27" s="26">
        <f>'SKS Edible Oil_Loan'!AL31</f>
        <v>17942052.065372083</v>
      </c>
      <c r="AN27" s="26">
        <f>'SKS Edible Oil_Loan'!AM31</f>
        <v>18084093.310889617</v>
      </c>
      <c r="AO27" s="26">
        <f>'SKS Edible Oil_Loan'!AN31</f>
        <v>18227259.049600825</v>
      </c>
      <c r="AP27" s="26">
        <f>'SKS Edible Oil_Loan'!AO31</f>
        <v>18371558.183743499</v>
      </c>
      <c r="AQ27" s="26">
        <f>'SKS Edible Oil_Loan'!AP31</f>
        <v>18516999.686031464</v>
      </c>
      <c r="AR27" s="26">
        <f>'SKS Edible Oil_Loan'!AQ31</f>
        <v>18663592.600212548</v>
      </c>
      <c r="AS27" s="26">
        <f>'SKS Edible Oil_Loan'!AR31</f>
        <v>18811346.041630898</v>
      </c>
      <c r="AT27" s="26">
        <f>'SKS Edible Oil_Loan'!AS31</f>
        <v>18960269.197793808</v>
      </c>
      <c r="AU27" s="26">
        <f>'SKS Edible Oil_Loan'!AT31</f>
        <v>19110371.32894301</v>
      </c>
      <c r="AV27" s="26">
        <f>'SKS Edible Oil_Loan'!AU31</f>
        <v>19261661.768630479</v>
      </c>
      <c r="AW27" s="26">
        <f>'SKS Edible Oil_Loan'!AV31</f>
        <v>19414149.924298801</v>
      </c>
      <c r="AX27" s="26">
        <f>'SKS Edible Oil_Loan'!AW31</f>
        <v>19567845.277866166</v>
      </c>
      <c r="AY27" s="26">
        <f>'SKS Edible Oil_Loan'!AX31</f>
        <v>19722757.386315938</v>
      </c>
      <c r="AZ27" s="26">
        <f>'SKS Edible Oil_Loan'!AY31</f>
        <v>19878895.882290941</v>
      </c>
      <c r="BA27" s="26">
        <f>'SKS Edible Oil_Loan'!AZ31</f>
        <v>20036270.474692412</v>
      </c>
      <c r="BB27" s="26">
        <f>'SKS Edible Oil_Loan'!BA31</f>
        <v>20194890.949283723</v>
      </c>
      <c r="BC27" s="26">
        <f>'SKS Edible Oil_Loan'!BB31</f>
        <v>20354767.169298891</v>
      </c>
      <c r="BD27" s="26">
        <f>'SKS Edible Oil_Loan'!BC31</f>
        <v>20515909.07605584</v>
      </c>
      <c r="BE27" s="26">
        <f>'SKS Edible Oil_Loan'!BD31</f>
        <v>20678326.689574614</v>
      </c>
      <c r="BF27" s="26">
        <f>'SKS Edible Oil_Loan'!BE31</f>
        <v>20842030.109200411</v>
      </c>
      <c r="BG27" s="26">
        <f>'SKS Edible Oil_Loan'!BF31</f>
        <v>21007029.514231581</v>
      </c>
      <c r="BH27" s="26">
        <f>'SKS Edible Oil_Loan'!BG31</f>
        <v>21173335.164552581</v>
      </c>
      <c r="BI27" s="26">
        <f>'SKS Edible Oil_Loan'!BH31</f>
        <v>21340957.401271962</v>
      </c>
      <c r="BJ27" s="26">
        <f>'SKS Edible Oil_Loan'!BI31</f>
        <v>21509906.647365361</v>
      </c>
      <c r="BK27" s="26">
        <f>'SKS Edible Oil_Loan'!BJ31</f>
        <v>21680193.408323668</v>
      </c>
      <c r="BL27" s="26">
        <f>'SKS Edible Oil_Loan'!BK31</f>
        <v>21851828.272806231</v>
      </c>
      <c r="BM27" s="26">
        <f>'SKS Edible Oil_Loan'!BL31</f>
        <v>22024821.913299281</v>
      </c>
      <c r="BN27" s="26">
        <f>'SKS Edible Oil_Loan'!BM31</f>
        <v>22199185.086779565</v>
      </c>
      <c r="BO27" s="26">
        <f>'SKS Edible Oil_Loan'!BN31</f>
        <v>22374928.635383237</v>
      </c>
      <c r="BP27" s="26">
        <f>'SKS Edible Oil_Loan'!BO31</f>
        <v>22552063.487080023</v>
      </c>
      <c r="BQ27" s="26">
        <f>'SKS Edible Oil_Loan'!BP31</f>
        <v>22730600.65635274</v>
      </c>
      <c r="BR27" s="26">
        <f>'SKS Edible Oil_Loan'!BQ31</f>
        <v>22910551.2448822</v>
      </c>
      <c r="BS27" s="26">
        <f>'SKS Edible Oil_Loan'!BR31</f>
        <v>23091926.442237515</v>
      </c>
      <c r="BT27" s="26">
        <f>'SKS Edible Oil_Loan'!BS31</f>
        <v>23274737.5265719</v>
      </c>
      <c r="BU27" s="26">
        <f>'SKS Edible Oil_Loan'!BT31</f>
        <v>23458995.865323927</v>
      </c>
      <c r="BV27" s="26">
        <f>'SKS Edible Oil_Loan'!BU31</f>
        <v>23644712.915924404</v>
      </c>
      <c r="BW27" s="26">
        <f>'SKS Edible Oil_Loan'!BV31</f>
        <v>23831900.226508811</v>
      </c>
      <c r="BX27" s="26">
        <f>'SKS Edible Oil_Loan'!BW31</f>
        <v>24020569.436635338</v>
      </c>
      <c r="BY27" s="26">
        <f>'SKS Edible Oil_Loan'!BX31</f>
        <v>24210732.278008696</v>
      </c>
      <c r="BZ27" s="26">
        <f>'SKS Edible Oil_Loan'!BY31</f>
        <v>24402400.575209603</v>
      </c>
      <c r="CA27" s="26">
        <f>'SKS Edible Oil_Loan'!BZ31</f>
        <v>24595586.24643001</v>
      </c>
      <c r="CB27" s="26">
        <f>'SKS Edible Oil_Loan'!CA31</f>
        <v>24790301.304214247</v>
      </c>
      <c r="CC27" s="26">
        <f>'SKS Edible Oil_Loan'!CB31</f>
        <v>24986557.856205944</v>
      </c>
      <c r="CD27" s="26">
        <f>'SKS Edible Oil_Loan'!CC31</f>
        <v>25184368.10590091</v>
      </c>
      <c r="CE27" s="26">
        <f>'SKS Edible Oil_Loan'!CD31</f>
        <v>25383744.353405952</v>
      </c>
      <c r="CF27" s="26">
        <f>'SKS Edible Oil_Loan'!CE31</f>
        <v>25584698.996203754</v>
      </c>
      <c r="CG27" s="26">
        <f>'SKS Edible Oil_Loan'!CF31</f>
        <v>25787244.529923704</v>
      </c>
      <c r="CH27" s="26">
        <f>'SKS Edible Oil_Loan'!CG31</f>
        <v>25991393.549118929</v>
      </c>
      <c r="CI27" s="26">
        <f>'SKS Edible Oil_Loan'!CH31</f>
        <v>26197158.748049453</v>
      </c>
      <c r="CJ27" s="26">
        <f>'SKS Edible Oil_Loan'!CI31</f>
        <v>26404552.921471514</v>
      </c>
      <c r="CK27" s="26">
        <f>'SKS Edible Oil_Loan'!CJ31</f>
        <v>26613588.965433162</v>
      </c>
      <c r="CL27" s="26">
        <f>'SKS Edible Oil_Loan'!CK31</f>
        <v>26824279.878076173</v>
      </c>
      <c r="CM27" s="26">
        <f>'SKS Edible Oil_Loan'!CL31</f>
        <v>27036638.76044428</v>
      </c>
      <c r="CN27" s="26">
        <f>'SKS Edible Oil_Loan'!CM31</f>
        <v>27250678.81729779</v>
      </c>
      <c r="CO27" s="26">
        <f>'SKS Edible Oil_Loan'!CN31</f>
        <v>27466413.357934736</v>
      </c>
      <c r="CP27" s="26">
        <f>'SKS Edible Oil_Loan'!CO31</f>
        <v>27683855.797018386</v>
      </c>
      <c r="CQ27" s="26">
        <f>'SKS Edible Oil_Loan'!CP31</f>
        <v>27903019.655411448</v>
      </c>
      <c r="CR27" s="26">
        <f>'SKS Edible Oil_Loan'!CQ31</f>
        <v>28123918.561016787</v>
      </c>
      <c r="CS27" s="26">
        <f>'SKS Edible Oil_Loan'!CR31</f>
        <v>28346566.249624837</v>
      </c>
      <c r="CT27" s="26">
        <f>'SKS Edible Oil_Loan'!CS31</f>
        <v>28570976.565767698</v>
      </c>
      <c r="CU27" s="26">
        <f>'SKS Edible Oil_Loan'!CT31</f>
        <v>28797163.463580031</v>
      </c>
      <c r="CV27" s="26">
        <f>'SKS Edible Oil_Loan'!CU31</f>
        <v>29025141.007666707</v>
      </c>
      <c r="CW27" s="26">
        <f>'SKS Edible Oil_Loan'!CV31</f>
        <v>29254923.3739774</v>
      </c>
      <c r="CX27" s="26">
        <f>'SKS Edible Oil_Loan'!CW31</f>
        <v>29486524.850688051</v>
      </c>
      <c r="CY27" s="26">
        <f>'SKS Edible Oil_Loan'!CX31</f>
        <v>29719959.839089338</v>
      </c>
      <c r="CZ27" s="26">
        <f>'SKS Edible Oil_Loan'!CY31</f>
        <v>29955242.854482125</v>
      </c>
      <c r="DA27" s="26">
        <f>'SKS Edible Oil_Loan'!CZ31</f>
        <v>30192388.527080107</v>
      </c>
      <c r="DB27" s="26">
        <f>'SKS Edible Oil_Loan'!DA31</f>
        <v>30431411.602919497</v>
      </c>
      <c r="DC27" s="26">
        <f>'SKS Edible Oil_Loan'!DB31</f>
        <v>30672326.944775939</v>
      </c>
      <c r="DD27" s="26">
        <f>'SKS Edible Oil_Loan'!DC31</f>
        <v>30915149.533088747</v>
      </c>
      <c r="DE27" s="26">
        <f>'SKS Edible Oil_Loan'!DD31</f>
        <v>31159894.466892369</v>
      </c>
      <c r="DF27" s="26">
        <f>'SKS Edible Oil_Loan'!DE31</f>
        <v>31406576.964755263</v>
      </c>
      <c r="DG27" s="26">
        <f>'SKS Edible Oil_Loan'!DF31</f>
        <v>31655212.365726247</v>
      </c>
      <c r="DH27" s="26">
        <f>'SKS Edible Oil_Loan'!DG31</f>
        <v>31905816.130288243</v>
      </c>
      <c r="DI27" s="26">
        <f>'SKS Edible Oil_Loan'!DH31</f>
        <v>32158403.841319691</v>
      </c>
      <c r="DJ27" s="26">
        <f>'SKS Edible Oil_Loan'!DI31</f>
        <v>32412991.205063473</v>
      </c>
      <c r="DK27" s="26">
        <f>'SKS Edible Oil_Loan'!DJ31</f>
        <v>32669594.05210356</v>
      </c>
      <c r="DL27" s="26">
        <f>'SKS Edible Oil_Loan'!DK31</f>
        <v>32928228.33834938</v>
      </c>
      <c r="DM27" s="26">
        <f>'SKS Edible Oil_Loan'!DL31</f>
        <v>33188910.146027979</v>
      </c>
      <c r="DN27" s="26">
        <f>'SKS Edible Oil_Loan'!DM31</f>
        <v>33451655.684684038</v>
      </c>
      <c r="DO27" s="26">
        <f>'SKS Edible Oil_Loan'!DN31</f>
        <v>33716481.29218778</v>
      </c>
      <c r="DP27" s="26">
        <f>'SKS Edible Oil_Loan'!DO31</f>
        <v>33983403.435750939</v>
      </c>
      <c r="DQ27" s="26">
        <f>'SKS Edible Oil_Loan'!DP31</f>
        <v>34252438.712950632</v>
      </c>
      <c r="DR27" s="26">
        <f>'SKS Edible Oil_Loan'!DQ31</f>
        <v>34523603.852761492</v>
      </c>
    </row>
    <row r="28" spans="1:122" s="55" customFormat="1" x14ac:dyDescent="0.25">
      <c r="A28" s="23" t="s">
        <v>13</v>
      </c>
      <c r="B28" s="26">
        <f>B27</f>
        <v>0</v>
      </c>
      <c r="C28" s="26">
        <f>B28+C27</f>
        <v>0</v>
      </c>
      <c r="D28" s="26">
        <f t="shared" ref="D28:AD28" si="117">C28+D27</f>
        <v>0</v>
      </c>
      <c r="E28" s="26">
        <f t="shared" si="117"/>
        <v>0</v>
      </c>
      <c r="F28" s="26">
        <f t="shared" si="117"/>
        <v>0</v>
      </c>
      <c r="G28" s="26">
        <f t="shared" si="117"/>
        <v>0</v>
      </c>
      <c r="H28" s="26">
        <f t="shared" si="117"/>
        <v>0</v>
      </c>
      <c r="I28" s="26">
        <f t="shared" si="117"/>
        <v>0</v>
      </c>
      <c r="J28" s="26">
        <f t="shared" si="117"/>
        <v>0</v>
      </c>
      <c r="K28" s="26">
        <f t="shared" si="117"/>
        <v>0</v>
      </c>
      <c r="L28" s="26">
        <f t="shared" si="117"/>
        <v>0</v>
      </c>
      <c r="M28" s="26">
        <f t="shared" si="117"/>
        <v>0</v>
      </c>
      <c r="N28" s="26">
        <f t="shared" si="117"/>
        <v>0</v>
      </c>
      <c r="O28" s="26">
        <f t="shared" si="117"/>
        <v>0</v>
      </c>
      <c r="P28" s="26">
        <f t="shared" si="117"/>
        <v>0</v>
      </c>
      <c r="Q28" s="26">
        <f t="shared" si="117"/>
        <v>0</v>
      </c>
      <c r="R28" s="26">
        <f t="shared" si="117"/>
        <v>0</v>
      </c>
      <c r="S28" s="26">
        <f t="shared" si="117"/>
        <v>0</v>
      </c>
      <c r="T28" s="26">
        <f t="shared" si="117"/>
        <v>0</v>
      </c>
      <c r="U28" s="26">
        <f t="shared" si="117"/>
        <v>0</v>
      </c>
      <c r="V28" s="26">
        <f t="shared" si="117"/>
        <v>0</v>
      </c>
      <c r="W28" s="26">
        <f t="shared" si="117"/>
        <v>0</v>
      </c>
      <c r="X28" s="26">
        <f t="shared" si="117"/>
        <v>0</v>
      </c>
      <c r="Y28" s="26">
        <f t="shared" si="117"/>
        <v>0</v>
      </c>
      <c r="Z28" s="26">
        <f t="shared" si="117"/>
        <v>0</v>
      </c>
      <c r="AA28" s="26">
        <f t="shared" si="117"/>
        <v>16322120.990033351</v>
      </c>
      <c r="AB28" s="26">
        <f t="shared" si="117"/>
        <v>32773458.771237798</v>
      </c>
      <c r="AC28" s="26">
        <f t="shared" si="117"/>
        <v>49355036.309876785</v>
      </c>
      <c r="AD28" s="26">
        <f t="shared" si="117"/>
        <v>66067884.670696661</v>
      </c>
      <c r="AE28" s="26">
        <f t="shared" ref="AE28:BD28" si="118">AD28+AE27</f>
        <v>82913043.081039697</v>
      </c>
      <c r="AF28" s="26">
        <f t="shared" si="118"/>
        <v>99891558.995464623</v>
      </c>
      <c r="AG28" s="26">
        <f t="shared" si="118"/>
        <v>117004488.16087873</v>
      </c>
      <c r="AH28" s="26">
        <f t="shared" si="118"/>
        <v>134252894.68218571</v>
      </c>
      <c r="AI28" s="26">
        <f t="shared" si="118"/>
        <v>151637851.08845302</v>
      </c>
      <c r="AJ28" s="26">
        <f t="shared" si="118"/>
        <v>169160438.39960331</v>
      </c>
      <c r="AK28" s="26">
        <f t="shared" si="118"/>
        <v>186821746.19363353</v>
      </c>
      <c r="AL28" s="26">
        <f t="shared" si="118"/>
        <v>204622872.67436647</v>
      </c>
      <c r="AM28" s="26">
        <f t="shared" si="118"/>
        <v>222564924.73973855</v>
      </c>
      <c r="AN28" s="26">
        <f t="shared" si="118"/>
        <v>240649018.05062819</v>
      </c>
      <c r="AO28" s="26">
        <f t="shared" si="118"/>
        <v>258876277.10022902</v>
      </c>
      <c r="AP28" s="26">
        <f t="shared" si="118"/>
        <v>277247835.2839725</v>
      </c>
      <c r="AQ28" s="26">
        <f t="shared" si="118"/>
        <v>295764834.97000396</v>
      </c>
      <c r="AR28" s="26">
        <f t="shared" si="118"/>
        <v>314428427.57021654</v>
      </c>
      <c r="AS28" s="26">
        <f t="shared" si="118"/>
        <v>333239773.61184746</v>
      </c>
      <c r="AT28" s="26">
        <f t="shared" si="118"/>
        <v>352200042.80964124</v>
      </c>
      <c r="AU28" s="26">
        <f t="shared" si="118"/>
        <v>371310414.13858426</v>
      </c>
      <c r="AV28" s="26">
        <f t="shared" si="118"/>
        <v>390572075.90721476</v>
      </c>
      <c r="AW28" s="26">
        <f t="shared" si="118"/>
        <v>409986225.83151358</v>
      </c>
      <c r="AX28" s="26">
        <f t="shared" si="118"/>
        <v>429554071.10937977</v>
      </c>
      <c r="AY28" s="26">
        <f t="shared" si="118"/>
        <v>449276828.49569571</v>
      </c>
      <c r="AZ28" s="26">
        <f t="shared" si="118"/>
        <v>469155724.37798667</v>
      </c>
      <c r="BA28" s="26">
        <f t="shared" si="118"/>
        <v>489191994.85267907</v>
      </c>
      <c r="BB28" s="26">
        <f t="shared" si="118"/>
        <v>509386885.80196279</v>
      </c>
      <c r="BC28" s="26">
        <f t="shared" si="118"/>
        <v>529741652.97126168</v>
      </c>
      <c r="BD28" s="26">
        <f t="shared" si="118"/>
        <v>550257562.0473175</v>
      </c>
      <c r="BE28" s="26">
        <f t="shared" ref="BE28:BS28" si="119">BD28+BE27</f>
        <v>570935888.7368921</v>
      </c>
      <c r="BF28" s="26">
        <f t="shared" si="119"/>
        <v>591777918.84609246</v>
      </c>
      <c r="BG28" s="26">
        <f t="shared" si="119"/>
        <v>612784948.36032403</v>
      </c>
      <c r="BH28" s="26">
        <f t="shared" si="119"/>
        <v>633958283.52487659</v>
      </c>
      <c r="BI28" s="26">
        <f t="shared" si="119"/>
        <v>655299240.92614853</v>
      </c>
      <c r="BJ28" s="26">
        <f t="shared" si="119"/>
        <v>676809147.57351387</v>
      </c>
      <c r="BK28" s="26">
        <f t="shared" si="119"/>
        <v>698489340.98183751</v>
      </c>
      <c r="BL28" s="26">
        <f t="shared" si="119"/>
        <v>720341169.2546438</v>
      </c>
      <c r="BM28" s="26">
        <f t="shared" si="119"/>
        <v>742365991.16794312</v>
      </c>
      <c r="BN28" s="26">
        <f t="shared" si="119"/>
        <v>764565176.25472271</v>
      </c>
      <c r="BO28" s="26">
        <f t="shared" si="119"/>
        <v>786940104.89010596</v>
      </c>
      <c r="BP28" s="26">
        <f t="shared" si="119"/>
        <v>809492168.37718594</v>
      </c>
      <c r="BQ28" s="26">
        <f t="shared" si="119"/>
        <v>832222769.0335387</v>
      </c>
      <c r="BR28" s="26">
        <f t="shared" si="119"/>
        <v>855133320.27842093</v>
      </c>
      <c r="BS28" s="26">
        <f t="shared" si="119"/>
        <v>878225246.72065842</v>
      </c>
      <c r="BT28" s="26">
        <f>BS28+BT27</f>
        <v>901499984.24723029</v>
      </c>
      <c r="BU28" s="26">
        <f t="shared" ref="BU28:CF28" si="120">BT28+BU27</f>
        <v>924958980.11255419</v>
      </c>
      <c r="BV28" s="26">
        <f t="shared" si="120"/>
        <v>948603693.02847862</v>
      </c>
      <c r="BW28" s="26">
        <f t="shared" si="120"/>
        <v>972435593.25498748</v>
      </c>
      <c r="BX28" s="26">
        <f t="shared" si="120"/>
        <v>996456162.69162285</v>
      </c>
      <c r="BY28" s="26">
        <f t="shared" si="120"/>
        <v>1020666894.9696316</v>
      </c>
      <c r="BZ28" s="26">
        <f t="shared" si="120"/>
        <v>1045069295.5448412</v>
      </c>
      <c r="CA28" s="26">
        <f t="shared" si="120"/>
        <v>1069664881.7912712</v>
      </c>
      <c r="CB28" s="26">
        <f t="shared" si="120"/>
        <v>1094455183.0954854</v>
      </c>
      <c r="CC28" s="26">
        <f t="shared" si="120"/>
        <v>1119441740.9516914</v>
      </c>
      <c r="CD28" s="26">
        <f t="shared" si="120"/>
        <v>1144626109.0575924</v>
      </c>
      <c r="CE28" s="26">
        <f t="shared" si="120"/>
        <v>1170009853.4109983</v>
      </c>
      <c r="CF28" s="26">
        <f t="shared" si="120"/>
        <v>1195594552.407202</v>
      </c>
      <c r="CG28" s="26">
        <f>CF28+CG27</f>
        <v>1221381796.9371257</v>
      </c>
      <c r="CH28" s="26">
        <f>CG28+CH27</f>
        <v>1247373190.4862447</v>
      </c>
      <c r="CI28" s="26">
        <f t="shared" ref="CI28:DR28" si="121">CH28+CI27</f>
        <v>1273570349.2342942</v>
      </c>
      <c r="CJ28" s="26">
        <f t="shared" si="121"/>
        <v>1299974902.1557658</v>
      </c>
      <c r="CK28" s="26">
        <f t="shared" si="121"/>
        <v>1326588491.1211989</v>
      </c>
      <c r="CL28" s="26">
        <f t="shared" si="121"/>
        <v>1353412770.999275</v>
      </c>
      <c r="CM28" s="26">
        <f t="shared" si="121"/>
        <v>1380449409.7597191</v>
      </c>
      <c r="CN28" s="26">
        <f t="shared" si="121"/>
        <v>1407700088.5770168</v>
      </c>
      <c r="CO28" s="26">
        <f t="shared" si="121"/>
        <v>1435166501.9349515</v>
      </c>
      <c r="CP28" s="26">
        <f t="shared" si="121"/>
        <v>1462850357.7319698</v>
      </c>
      <c r="CQ28" s="26">
        <f t="shared" si="121"/>
        <v>1490753377.3873813</v>
      </c>
      <c r="CR28" s="26">
        <f t="shared" si="121"/>
        <v>1518877295.9483981</v>
      </c>
      <c r="CS28" s="26">
        <f t="shared" si="121"/>
        <v>1547223862.1980228</v>
      </c>
      <c r="CT28" s="26">
        <f t="shared" si="121"/>
        <v>1575794838.7637906</v>
      </c>
      <c r="CU28" s="26">
        <f t="shared" si="121"/>
        <v>1604592002.2273707</v>
      </c>
      <c r="CV28" s="26">
        <f t="shared" si="121"/>
        <v>1633617143.2350373</v>
      </c>
      <c r="CW28" s="26">
        <f t="shared" si="121"/>
        <v>1662872066.6090147</v>
      </c>
      <c r="CX28" s="26">
        <f t="shared" si="121"/>
        <v>1692358591.4597027</v>
      </c>
      <c r="CY28" s="26">
        <f t="shared" si="121"/>
        <v>1722078551.2987921</v>
      </c>
      <c r="CZ28" s="26">
        <f t="shared" si="121"/>
        <v>1752033794.1532743</v>
      </c>
      <c r="DA28" s="26">
        <f t="shared" si="121"/>
        <v>1782226182.6803544</v>
      </c>
      <c r="DB28" s="26">
        <f t="shared" si="121"/>
        <v>1812657594.2832739</v>
      </c>
      <c r="DC28" s="26">
        <f t="shared" si="121"/>
        <v>1843329921.2280498</v>
      </c>
      <c r="DD28" s="26">
        <f t="shared" si="121"/>
        <v>1874245070.7611384</v>
      </c>
      <c r="DE28" s="26">
        <f t="shared" si="121"/>
        <v>1905404965.2280309</v>
      </c>
      <c r="DF28" s="26">
        <f t="shared" si="121"/>
        <v>1936811542.1927862</v>
      </c>
      <c r="DG28" s="26">
        <f t="shared" si="121"/>
        <v>1968466754.5585124</v>
      </c>
      <c r="DH28" s="26">
        <f t="shared" si="121"/>
        <v>2000372570.6888008</v>
      </c>
      <c r="DI28" s="26">
        <f t="shared" si="121"/>
        <v>2032530974.5301206</v>
      </c>
      <c r="DJ28" s="26">
        <f t="shared" si="121"/>
        <v>2064943965.7351842</v>
      </c>
      <c r="DK28" s="26">
        <f t="shared" si="121"/>
        <v>2097613559.7872877</v>
      </c>
      <c r="DL28" s="26">
        <f t="shared" si="121"/>
        <v>2130541788.1256371</v>
      </c>
      <c r="DM28" s="26">
        <f t="shared" si="121"/>
        <v>2163730698.2716651</v>
      </c>
      <c r="DN28" s="26">
        <f t="shared" si="121"/>
        <v>2197182353.9563494</v>
      </c>
      <c r="DO28" s="26">
        <f t="shared" si="121"/>
        <v>2230898835.2485371</v>
      </c>
      <c r="DP28" s="26">
        <f t="shared" si="121"/>
        <v>2264882238.684288</v>
      </c>
      <c r="DQ28" s="26">
        <f t="shared" si="121"/>
        <v>2299134677.3972387</v>
      </c>
      <c r="DR28" s="26">
        <f t="shared" si="121"/>
        <v>2333658281.25</v>
      </c>
    </row>
    <row r="29" spans="1:122" s="55" customFormat="1" x14ac:dyDescent="0.25">
      <c r="A29" s="23" t="s">
        <v>8</v>
      </c>
      <c r="B29" s="32">
        <f t="shared" ref="B29:BM29" si="122">B27+B25</f>
        <v>4125000</v>
      </c>
      <c r="C29" s="32">
        <f t="shared" si="122"/>
        <v>10312500</v>
      </c>
      <c r="D29" s="32">
        <f t="shared" si="122"/>
        <v>12270833.333333334</v>
      </c>
      <c r="E29" s="32">
        <f t="shared" si="122"/>
        <v>12270833.333333334</v>
      </c>
      <c r="F29" s="32">
        <f t="shared" si="122"/>
        <v>11875000</v>
      </c>
      <c r="G29" s="32">
        <f t="shared" si="122"/>
        <v>12270833.333333334</v>
      </c>
      <c r="H29" s="32">
        <f t="shared" si="122"/>
        <v>11875000</v>
      </c>
      <c r="I29" s="32">
        <f t="shared" si="122"/>
        <v>12270833.333333334</v>
      </c>
      <c r="J29" s="32">
        <f t="shared" si="122"/>
        <v>12270833.333333334</v>
      </c>
      <c r="K29" s="32">
        <f t="shared" si="122"/>
        <v>11083333.333333334</v>
      </c>
      <c r="L29" s="32">
        <f t="shared" si="122"/>
        <v>12270833.333333334</v>
      </c>
      <c r="M29" s="32">
        <f t="shared" si="122"/>
        <v>11875000</v>
      </c>
      <c r="N29" s="32">
        <f t="shared" si="122"/>
        <v>12721423.611111112</v>
      </c>
      <c r="O29" s="32">
        <f t="shared" si="122"/>
        <v>13054253.472222222</v>
      </c>
      <c r="P29" s="32">
        <f t="shared" si="122"/>
        <v>15070969.328703705</v>
      </c>
      <c r="Q29" s="32">
        <f t="shared" si="122"/>
        <v>15070969.328703705</v>
      </c>
      <c r="R29" s="32">
        <f t="shared" si="122"/>
        <v>14584809.02777778</v>
      </c>
      <c r="S29" s="32">
        <f t="shared" si="122"/>
        <v>15070969.328703705</v>
      </c>
      <c r="T29" s="32">
        <f t="shared" si="122"/>
        <v>16643142.361111112</v>
      </c>
      <c r="U29" s="32">
        <f t="shared" si="122"/>
        <v>17525135.995370373</v>
      </c>
      <c r="V29" s="32">
        <f t="shared" si="122"/>
        <v>17525135.995370373</v>
      </c>
      <c r="W29" s="32">
        <f t="shared" si="122"/>
        <v>16394482.060185187</v>
      </c>
      <c r="X29" s="32">
        <f t="shared" si="122"/>
        <v>17525135.995370373</v>
      </c>
      <c r="Y29" s="32">
        <f t="shared" si="122"/>
        <v>16959809.02777778</v>
      </c>
      <c r="Z29" s="32">
        <f t="shared" si="122"/>
        <v>18131130.274884261</v>
      </c>
      <c r="AA29" s="32">
        <f t="shared" si="122"/>
        <v>34728000.09463793</v>
      </c>
      <c r="AB29" s="32">
        <f t="shared" si="122"/>
        <v>35334632.451895997</v>
      </c>
      <c r="AC29" s="32">
        <f t="shared" si="122"/>
        <v>35320955.468479857</v>
      </c>
      <c r="AD29" s="32">
        <f t="shared" si="122"/>
        <v>34726350.35685017</v>
      </c>
      <c r="AE29" s="32">
        <f t="shared" si="122"/>
        <v>35319738.374491215</v>
      </c>
      <c r="AF29" s="32">
        <f t="shared" si="122"/>
        <v>34725228.64940162</v>
      </c>
      <c r="AG29" s="32">
        <f t="shared" si="122"/>
        <v>35309611.433295958</v>
      </c>
      <c r="AH29" s="32">
        <f t="shared" si="122"/>
        <v>35299936.092129275</v>
      </c>
      <c r="AI29" s="32">
        <f t="shared" si="122"/>
        <v>33571890.673628569</v>
      </c>
      <c r="AJ29" s="32">
        <f t="shared" si="122"/>
        <v>35294118.389812075</v>
      </c>
      <c r="AK29" s="32">
        <f t="shared" si="122"/>
        <v>34722345.750354394</v>
      </c>
      <c r="AL29" s="32">
        <f t="shared" si="122"/>
        <v>35274189.154186495</v>
      </c>
      <c r="AM29" s="32">
        <f t="shared" si="122"/>
        <v>34721160.385653168</v>
      </c>
      <c r="AN29" s="32">
        <f t="shared" si="122"/>
        <v>35272882.544849709</v>
      </c>
      <c r="AO29" s="32">
        <f t="shared" si="122"/>
        <v>35267468.096148178</v>
      </c>
      <c r="AP29" s="32">
        <f t="shared" si="122"/>
        <v>34719346.915375605</v>
      </c>
      <c r="AQ29" s="32">
        <f t="shared" si="122"/>
        <v>35251623.835772678</v>
      </c>
      <c r="AR29" s="32">
        <f t="shared" si="122"/>
        <v>34718113.881172732</v>
      </c>
      <c r="AS29" s="32">
        <f t="shared" si="122"/>
        <v>35245378.250602365</v>
      </c>
      <c r="AT29" s="32">
        <f t="shared" si="122"/>
        <v>35229739.250828087</v>
      </c>
      <c r="AU29" s="32">
        <f t="shared" si="122"/>
        <v>33680543.885564849</v>
      </c>
      <c r="AV29" s="32">
        <f t="shared" si="122"/>
        <v>35228347.55998265</v>
      </c>
      <c r="AW29" s="32">
        <f t="shared" si="122"/>
        <v>34709821.682907678</v>
      </c>
      <c r="AX29" s="32">
        <f t="shared" si="122"/>
        <v>35216767.869765304</v>
      </c>
      <c r="AY29" s="32">
        <f t="shared" si="122"/>
        <v>34713641.852075852</v>
      </c>
      <c r="AZ29" s="32">
        <f t="shared" si="122"/>
        <v>35199758.288965136</v>
      </c>
      <c r="BA29" s="32">
        <f t="shared" si="122"/>
        <v>35199052.28905756</v>
      </c>
      <c r="BB29" s="32">
        <f t="shared" si="122"/>
        <v>34711648.399254426</v>
      </c>
      <c r="BC29" s="32">
        <f t="shared" si="122"/>
        <v>35176264.127226353</v>
      </c>
      <c r="BD29" s="32">
        <f t="shared" si="122"/>
        <v>34710292.989385843</v>
      </c>
      <c r="BE29" s="32">
        <f t="shared" si="122"/>
        <v>35174770.079708606</v>
      </c>
      <c r="BF29" s="32">
        <f t="shared" si="122"/>
        <v>35168578.907324702</v>
      </c>
      <c r="BG29" s="32">
        <f t="shared" si="122"/>
        <v>33799980.666288435</v>
      </c>
      <c r="BH29" s="32">
        <f t="shared" si="122"/>
        <v>35156049.13418965</v>
      </c>
      <c r="BI29" s="32">
        <f t="shared" si="122"/>
        <v>34695546.168939814</v>
      </c>
      <c r="BJ29" s="32">
        <f t="shared" si="122"/>
        <v>35143320.187693827</v>
      </c>
      <c r="BK29" s="32">
        <f t="shared" si="122"/>
        <v>34705377.122205153</v>
      </c>
      <c r="BL29" s="32">
        <f t="shared" si="122"/>
        <v>35118855.992409907</v>
      </c>
      <c r="BM29" s="32">
        <f t="shared" si="122"/>
        <v>35123846.378400244</v>
      </c>
      <c r="BN29" s="32">
        <f t="shared" ref="BN29:CG29" si="123">BN27+BN25</f>
        <v>34697327.70572044</v>
      </c>
      <c r="BO29" s="32">
        <f t="shared" si="123"/>
        <v>35110605.53667476</v>
      </c>
      <c r="BP29" s="32">
        <f t="shared" si="123"/>
        <v>34701695.892983735</v>
      </c>
      <c r="BQ29" s="32">
        <f t="shared" si="123"/>
        <v>35091155.865486279</v>
      </c>
      <c r="BR29" s="32">
        <f t="shared" si="123"/>
        <v>35090348.587151632</v>
      </c>
      <c r="BS29" s="32">
        <f t="shared" si="123"/>
        <v>34315343.865283385</v>
      </c>
      <c r="BT29" s="32">
        <f t="shared" si="123"/>
        <v>35070433.319678769</v>
      </c>
      <c r="BU29" s="32">
        <f t="shared" si="123"/>
        <v>34697866.622942261</v>
      </c>
      <c r="BV29" s="32">
        <f t="shared" si="123"/>
        <v>35062583.000620402</v>
      </c>
      <c r="BW29" s="32">
        <f t="shared" si="123"/>
        <v>34683714.190519936</v>
      </c>
      <c r="BX29" s="32">
        <f t="shared" si="123"/>
        <v>35048368.315816298</v>
      </c>
      <c r="BY29" s="32">
        <f t="shared" si="123"/>
        <v>35041176.462801576</v>
      </c>
      <c r="BZ29" s="32">
        <f t="shared" si="123"/>
        <v>34693883.358611636</v>
      </c>
      <c r="CA29" s="32">
        <f t="shared" si="123"/>
        <v>35026621.499523647</v>
      </c>
      <c r="CB29" s="32">
        <f t="shared" si="123"/>
        <v>34685703.670467228</v>
      </c>
      <c r="CC29" s="32">
        <f t="shared" si="123"/>
        <v>35011835.17044837</v>
      </c>
      <c r="CD29" s="32">
        <f t="shared" si="123"/>
        <v>35004354.096699491</v>
      </c>
      <c r="CE29" s="32">
        <f t="shared" si="123"/>
        <v>34062195.149557695</v>
      </c>
      <c r="CF29" s="32">
        <f t="shared" si="123"/>
        <v>34975710.769252956</v>
      </c>
      <c r="CG29" s="32">
        <f t="shared" si="123"/>
        <v>34688036.239691734</v>
      </c>
      <c r="CH29" s="32">
        <f t="shared" ref="CH29:DR29" si="124">CH27+CH25</f>
        <v>34973832.842784449</v>
      </c>
      <c r="CI29" s="32">
        <f t="shared" si="124"/>
        <v>34686305.490770757</v>
      </c>
      <c r="CJ29" s="32">
        <f t="shared" si="124"/>
        <v>34958207.384855062</v>
      </c>
      <c r="CK29" s="32">
        <f t="shared" si="124"/>
        <v>34943278.727382138</v>
      </c>
      <c r="CL29" s="32">
        <f t="shared" si="124"/>
        <v>34683657.645999528</v>
      </c>
      <c r="CM29" s="32">
        <f t="shared" si="124"/>
        <v>34934302.249583915</v>
      </c>
      <c r="CN29" s="32">
        <f t="shared" si="124"/>
        <v>34667474.992213681</v>
      </c>
      <c r="CO29" s="32">
        <f t="shared" si="124"/>
        <v>34918048.413070485</v>
      </c>
      <c r="CP29" s="32">
        <f t="shared" si="124"/>
        <v>34909824.860825703</v>
      </c>
      <c r="CQ29" s="32">
        <f t="shared" si="124"/>
        <v>34234236.489901066</v>
      </c>
      <c r="CR29" s="32">
        <f t="shared" si="124"/>
        <v>34893181.93157059</v>
      </c>
      <c r="CS29" s="32">
        <f t="shared" si="124"/>
        <v>34677230.214652993</v>
      </c>
      <c r="CT29" s="32">
        <f t="shared" si="124"/>
        <v>34868734.88293606</v>
      </c>
      <c r="CU29" s="32">
        <f t="shared" si="124"/>
        <v>34675327.693082958</v>
      </c>
      <c r="CV29" s="32">
        <f t="shared" si="124"/>
        <v>34859098.199317433</v>
      </c>
      <c r="CW29" s="32">
        <f t="shared" si="124"/>
        <v>34834967.859433055</v>
      </c>
      <c r="CX29" s="32">
        <f t="shared" si="124"/>
        <v>34672417.056115165</v>
      </c>
      <c r="CY29" s="32">
        <f t="shared" si="124"/>
        <v>34832820.537123494</v>
      </c>
      <c r="CZ29" s="32">
        <f t="shared" si="124"/>
        <v>34670438.024543598</v>
      </c>
      <c r="DA29" s="32">
        <f t="shared" si="124"/>
        <v>34814953.54660406</v>
      </c>
      <c r="DB29" s="32">
        <f t="shared" si="124"/>
        <v>34797883.315271199</v>
      </c>
      <c r="DC29" s="32">
        <f t="shared" si="124"/>
        <v>34408625.923928544</v>
      </c>
      <c r="DD29" s="32">
        <f t="shared" si="124"/>
        <v>34787619.126890704</v>
      </c>
      <c r="DE29" s="32">
        <f t="shared" si="124"/>
        <v>34665351.717735641</v>
      </c>
      <c r="DF29" s="32">
        <f t="shared" si="124"/>
        <v>34752457.921042249</v>
      </c>
      <c r="DG29" s="32">
        <f t="shared" si="124"/>
        <v>34663260.375496119</v>
      </c>
      <c r="DH29" s="32">
        <f t="shared" si="124"/>
        <v>34750152.66655495</v>
      </c>
      <c r="DI29" s="32">
        <f t="shared" si="124"/>
        <v>34740599.939650245</v>
      </c>
      <c r="DJ29" s="32">
        <f t="shared" si="124"/>
        <v>34660060.864841141</v>
      </c>
      <c r="DK29" s="32">
        <f t="shared" si="124"/>
        <v>34712645.866998106</v>
      </c>
      <c r="DL29" s="32">
        <f t="shared" si="124"/>
        <v>34657885.419167265</v>
      </c>
      <c r="DM29" s="32">
        <f t="shared" si="124"/>
        <v>34701626.763709687</v>
      </c>
      <c r="DN29" s="32">
        <f t="shared" si="124"/>
        <v>34674034.832907207</v>
      </c>
      <c r="DO29" s="32">
        <f t="shared" si="124"/>
        <v>34627440.164000675</v>
      </c>
      <c r="DP29" s="32">
        <f t="shared" si="124"/>
        <v>34671579.468877524</v>
      </c>
      <c r="DQ29" s="32">
        <f t="shared" si="124"/>
        <v>34634216.632709339</v>
      </c>
      <c r="DR29" s="32">
        <f t="shared" si="124"/>
        <v>34651149.389217526</v>
      </c>
    </row>
    <row r="30" spans="1:122" s="55" customFormat="1" ht="14.25" thickBot="1" x14ac:dyDescent="0.3">
      <c r="A30" s="33" t="s">
        <v>9</v>
      </c>
      <c r="B30" s="34">
        <f>B24-B27</f>
        <v>1500000000</v>
      </c>
      <c r="C30" s="34">
        <f t="shared" ref="C30:Y30" si="125">C24-C27</f>
        <v>1500000000</v>
      </c>
      <c r="D30" s="34">
        <f t="shared" si="125"/>
        <v>1500000000</v>
      </c>
      <c r="E30" s="34">
        <f t="shared" si="125"/>
        <v>1500000000</v>
      </c>
      <c r="F30" s="34">
        <f t="shared" si="125"/>
        <v>1500000000</v>
      </c>
      <c r="G30" s="34">
        <f t="shared" si="125"/>
        <v>1500000000</v>
      </c>
      <c r="H30" s="34">
        <f t="shared" si="125"/>
        <v>1500000000</v>
      </c>
      <c r="I30" s="34">
        <f t="shared" si="125"/>
        <v>1500000000</v>
      </c>
      <c r="J30" s="34">
        <f t="shared" si="125"/>
        <v>1500000000</v>
      </c>
      <c r="K30" s="34">
        <f t="shared" si="125"/>
        <v>1500000000</v>
      </c>
      <c r="L30" s="34">
        <f t="shared" si="125"/>
        <v>1500000000</v>
      </c>
      <c r="M30" s="34">
        <f t="shared" si="125"/>
        <v>1500000000</v>
      </c>
      <c r="N30" s="34">
        <f>'SKS Edible Oil_Loan'!M34</f>
        <v>1642291666.6666667</v>
      </c>
      <c r="O30" s="34">
        <f t="shared" si="125"/>
        <v>1842291666.6666667</v>
      </c>
      <c r="P30" s="34">
        <f t="shared" si="125"/>
        <v>1842291666.6666667</v>
      </c>
      <c r="Q30" s="34">
        <f t="shared" si="125"/>
        <v>1842291666.6666667</v>
      </c>
      <c r="R30" s="34">
        <f t="shared" si="125"/>
        <v>1842291666.6666667</v>
      </c>
      <c r="S30" s="34">
        <f t="shared" si="125"/>
        <v>1842291666.6666667</v>
      </c>
      <c r="T30" s="34">
        <f t="shared" si="125"/>
        <v>2142291666.6666667</v>
      </c>
      <c r="U30" s="34">
        <f t="shared" si="125"/>
        <v>2142291666.6666667</v>
      </c>
      <c r="V30" s="34">
        <f t="shared" si="125"/>
        <v>2142291666.6666667</v>
      </c>
      <c r="W30" s="34">
        <f t="shared" si="125"/>
        <v>2142291666.6666667</v>
      </c>
      <c r="X30" s="34">
        <f t="shared" si="125"/>
        <v>2142291666.6666667</v>
      </c>
      <c r="Y30" s="34">
        <f t="shared" si="125"/>
        <v>2142291666.6666667</v>
      </c>
      <c r="Z30" s="34">
        <f>'SKS Edible Oil_Loan'!Y34</f>
        <v>2333658281.25</v>
      </c>
      <c r="AA30" s="34">
        <f t="shared" ref="AA30:BN30" si="126">AA24-AA27</f>
        <v>2317336160.2599669</v>
      </c>
      <c r="AB30" s="34">
        <f t="shared" si="126"/>
        <v>2300884822.4787626</v>
      </c>
      <c r="AC30" s="34">
        <f t="shared" si="126"/>
        <v>2284303244.9401236</v>
      </c>
      <c r="AD30" s="34">
        <f t="shared" si="126"/>
        <v>2267590396.5793037</v>
      </c>
      <c r="AE30" s="34">
        <f t="shared" si="126"/>
        <v>2250745238.1689606</v>
      </c>
      <c r="AF30" s="34">
        <f t="shared" si="126"/>
        <v>2233766722.2545357</v>
      </c>
      <c r="AG30" s="34">
        <f t="shared" si="126"/>
        <v>2216653793.0891213</v>
      </c>
      <c r="AH30" s="34">
        <f t="shared" si="126"/>
        <v>2199405386.5678144</v>
      </c>
      <c r="AI30" s="34">
        <f t="shared" si="126"/>
        <v>2182020430.1615472</v>
      </c>
      <c r="AJ30" s="34">
        <f t="shared" si="126"/>
        <v>2164497842.8503971</v>
      </c>
      <c r="AK30" s="34">
        <f t="shared" si="126"/>
        <v>2146836535.0563669</v>
      </c>
      <c r="AL30" s="34">
        <f t="shared" si="126"/>
        <v>2129035408.575634</v>
      </c>
      <c r="AM30" s="34">
        <f t="shared" si="126"/>
        <v>2111093356.510262</v>
      </c>
      <c r="AN30" s="34">
        <f t="shared" si="126"/>
        <v>2093009263.1993723</v>
      </c>
      <c r="AO30" s="34">
        <f t="shared" si="126"/>
        <v>2074782004.1497715</v>
      </c>
      <c r="AP30" s="34">
        <f t="shared" si="126"/>
        <v>2056410445.966028</v>
      </c>
      <c r="AQ30" s="34">
        <f t="shared" si="126"/>
        <v>2037893446.2799964</v>
      </c>
      <c r="AR30" s="34">
        <f t="shared" si="126"/>
        <v>2019229853.6797838</v>
      </c>
      <c r="AS30" s="34">
        <f t="shared" si="126"/>
        <v>2000418507.6381528</v>
      </c>
      <c r="AT30" s="34">
        <f t="shared" si="126"/>
        <v>1981458238.4403591</v>
      </c>
      <c r="AU30" s="34">
        <f t="shared" si="126"/>
        <v>1962347867.1114161</v>
      </c>
      <c r="AV30" s="34">
        <f t="shared" si="126"/>
        <v>1943086205.3427856</v>
      </c>
      <c r="AW30" s="34">
        <f t="shared" si="126"/>
        <v>1923672055.4184868</v>
      </c>
      <c r="AX30" s="34">
        <f t="shared" si="126"/>
        <v>1904104210.1406207</v>
      </c>
      <c r="AY30" s="34">
        <f t="shared" si="126"/>
        <v>1884381452.7543049</v>
      </c>
      <c r="AZ30" s="34">
        <f t="shared" si="126"/>
        <v>1864502556.872014</v>
      </c>
      <c r="BA30" s="34">
        <f t="shared" si="126"/>
        <v>1844466286.3973217</v>
      </c>
      <c r="BB30" s="34">
        <f t="shared" si="126"/>
        <v>1824271395.4480379</v>
      </c>
      <c r="BC30" s="34">
        <f t="shared" si="126"/>
        <v>1803916628.278739</v>
      </c>
      <c r="BD30" s="34">
        <f t="shared" si="126"/>
        <v>1783400719.2026832</v>
      </c>
      <c r="BE30" s="34">
        <f t="shared" si="126"/>
        <v>1762722392.5131085</v>
      </c>
      <c r="BF30" s="34">
        <f t="shared" si="126"/>
        <v>1741880362.403908</v>
      </c>
      <c r="BG30" s="34">
        <f t="shared" si="126"/>
        <v>1720873332.8896763</v>
      </c>
      <c r="BH30" s="34">
        <f t="shared" si="126"/>
        <v>1699699997.7251236</v>
      </c>
      <c r="BI30" s="34">
        <f t="shared" si="126"/>
        <v>1678359040.3238516</v>
      </c>
      <c r="BJ30" s="34">
        <f t="shared" si="126"/>
        <v>1656849133.6764863</v>
      </c>
      <c r="BK30" s="34">
        <f t="shared" si="126"/>
        <v>1635168940.2681625</v>
      </c>
      <c r="BL30" s="34">
        <f t="shared" si="126"/>
        <v>1613317111.9953563</v>
      </c>
      <c r="BM30" s="34">
        <f t="shared" si="126"/>
        <v>1591292290.082057</v>
      </c>
      <c r="BN30" s="34">
        <f t="shared" si="126"/>
        <v>1569093104.9952774</v>
      </c>
      <c r="BO30" s="34">
        <f t="shared" ref="BO30:CH30" si="127">BO24-BO27</f>
        <v>1546718176.3598943</v>
      </c>
      <c r="BP30" s="34">
        <f t="shared" si="127"/>
        <v>1524166112.8728142</v>
      </c>
      <c r="BQ30" s="34">
        <f t="shared" si="127"/>
        <v>1501435512.2164614</v>
      </c>
      <c r="BR30" s="34">
        <f t="shared" si="127"/>
        <v>1478524960.9715793</v>
      </c>
      <c r="BS30" s="34">
        <f t="shared" si="127"/>
        <v>1455433034.5293417</v>
      </c>
      <c r="BT30" s="34">
        <f t="shared" si="127"/>
        <v>1432158297.0027697</v>
      </c>
      <c r="BU30" s="34">
        <f t="shared" si="127"/>
        <v>1408699301.1374457</v>
      </c>
      <c r="BV30" s="34">
        <f t="shared" si="127"/>
        <v>1385054588.2215214</v>
      </c>
      <c r="BW30" s="34">
        <f t="shared" si="127"/>
        <v>1361222687.9950125</v>
      </c>
      <c r="BX30" s="34">
        <f t="shared" si="127"/>
        <v>1337202118.5583773</v>
      </c>
      <c r="BY30" s="34">
        <f t="shared" si="127"/>
        <v>1312991386.2803686</v>
      </c>
      <c r="BZ30" s="34">
        <f t="shared" si="127"/>
        <v>1288588985.7051589</v>
      </c>
      <c r="CA30" s="34">
        <f t="shared" si="127"/>
        <v>1263993399.458729</v>
      </c>
      <c r="CB30" s="34">
        <f t="shared" si="127"/>
        <v>1239203098.1545148</v>
      </c>
      <c r="CC30" s="34">
        <f t="shared" si="127"/>
        <v>1214216540.2983088</v>
      </c>
      <c r="CD30" s="34">
        <f t="shared" si="127"/>
        <v>1189032172.1924078</v>
      </c>
      <c r="CE30" s="34">
        <f t="shared" si="127"/>
        <v>1163648427.8390019</v>
      </c>
      <c r="CF30" s="34">
        <f t="shared" si="127"/>
        <v>1138063728.8427982</v>
      </c>
      <c r="CG30" s="34">
        <f t="shared" si="127"/>
        <v>1112276484.3128746</v>
      </c>
      <c r="CH30" s="34">
        <f t="shared" si="127"/>
        <v>1086285090.7637556</v>
      </c>
      <c r="CI30" s="34">
        <f t="shared" ref="CI30:DR30" si="128">CI24-CI27</f>
        <v>1060087932.0157061</v>
      </c>
      <c r="CJ30" s="34">
        <f t="shared" si="128"/>
        <v>1033683379.0942346</v>
      </c>
      <c r="CK30" s="34">
        <f t="shared" si="128"/>
        <v>1007069790.1288015</v>
      </c>
      <c r="CL30" s="34">
        <f t="shared" si="128"/>
        <v>980245510.25072527</v>
      </c>
      <c r="CM30" s="34">
        <f t="shared" si="128"/>
        <v>953208871.49028099</v>
      </c>
      <c r="CN30" s="34">
        <f t="shared" si="128"/>
        <v>925958192.67298317</v>
      </c>
      <c r="CO30" s="34">
        <f t="shared" si="128"/>
        <v>898491779.31504846</v>
      </c>
      <c r="CP30" s="34">
        <f t="shared" si="128"/>
        <v>870807923.51803005</v>
      </c>
      <c r="CQ30" s="34">
        <f t="shared" si="128"/>
        <v>842904903.86261857</v>
      </c>
      <c r="CR30" s="34">
        <f t="shared" si="128"/>
        <v>814780985.30160177</v>
      </c>
      <c r="CS30" s="34">
        <f t="shared" si="128"/>
        <v>786434419.05197692</v>
      </c>
      <c r="CT30" s="34">
        <f t="shared" si="128"/>
        <v>757863442.48620927</v>
      </c>
      <c r="CU30" s="34">
        <f t="shared" si="128"/>
        <v>729066279.02262926</v>
      </c>
      <c r="CV30" s="34">
        <f t="shared" si="128"/>
        <v>700041138.01496255</v>
      </c>
      <c r="CW30" s="34">
        <f t="shared" si="128"/>
        <v>670786214.64098513</v>
      </c>
      <c r="CX30" s="34">
        <f t="shared" si="128"/>
        <v>641299689.79029703</v>
      </c>
      <c r="CY30" s="34">
        <f t="shared" si="128"/>
        <v>611579729.95120764</v>
      </c>
      <c r="CZ30" s="34">
        <f t="shared" si="128"/>
        <v>581624487.09672546</v>
      </c>
      <c r="DA30" s="34">
        <f t="shared" si="128"/>
        <v>551432098.5696454</v>
      </c>
      <c r="DB30" s="34">
        <f t="shared" si="128"/>
        <v>521000686.96672589</v>
      </c>
      <c r="DC30" s="34">
        <f t="shared" si="128"/>
        <v>490328360.02194995</v>
      </c>
      <c r="DD30" s="34">
        <f t="shared" si="128"/>
        <v>459413210.4888612</v>
      </c>
      <c r="DE30" s="34">
        <f t="shared" si="128"/>
        <v>428253316.02196884</v>
      </c>
      <c r="DF30" s="34">
        <f t="shared" si="128"/>
        <v>396846739.0572136</v>
      </c>
      <c r="DG30" s="34">
        <f t="shared" si="128"/>
        <v>365191526.69148737</v>
      </c>
      <c r="DH30" s="34">
        <f t="shared" si="128"/>
        <v>333285710.56119913</v>
      </c>
      <c r="DI30" s="34">
        <f t="shared" si="128"/>
        <v>301127306.71987945</v>
      </c>
      <c r="DJ30" s="34">
        <f t="shared" si="128"/>
        <v>268714315.51481599</v>
      </c>
      <c r="DK30" s="34">
        <f t="shared" si="128"/>
        <v>236044721.46271244</v>
      </c>
      <c r="DL30" s="34">
        <f t="shared" si="128"/>
        <v>203116493.12436306</v>
      </c>
      <c r="DM30" s="34">
        <f t="shared" si="128"/>
        <v>169927582.97833508</v>
      </c>
      <c r="DN30" s="34">
        <f t="shared" si="128"/>
        <v>136475927.29365104</v>
      </c>
      <c r="DO30" s="34">
        <f t="shared" si="128"/>
        <v>102759446.00146326</v>
      </c>
      <c r="DP30" s="34">
        <f t="shared" si="128"/>
        <v>68776042.565712333</v>
      </c>
      <c r="DQ30" s="34">
        <f t="shared" si="128"/>
        <v>34523603.852761701</v>
      </c>
      <c r="DR30" s="34">
        <f t="shared" si="128"/>
        <v>2.0861625671386719E-7</v>
      </c>
    </row>
    <row r="31" spans="1:122" s="55" customFormat="1" x14ac:dyDescent="0.25">
      <c r="A31" s="23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</row>
    <row r="32" spans="1:122" s="57" customFormat="1" x14ac:dyDescent="0.25">
      <c r="A32" s="50"/>
      <c r="B32" s="51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DR32" s="57">
        <f>+DR26-SUM('SKS Edible Oil_Loan'!B29:DQ29)</f>
        <v>0</v>
      </c>
    </row>
    <row r="33" spans="2:85" x14ac:dyDescent="0.25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CG33" s="30"/>
    </row>
    <row r="34" spans="2:85" x14ac:dyDescent="0.25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CG34" s="30"/>
    </row>
    <row r="35" spans="2:85" x14ac:dyDescent="0.25"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C29:F29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opLeftCell="A33" zoomScaleNormal="100" workbookViewId="0">
      <selection activeCell="K42" sqref="K42:K136"/>
    </sheetView>
  </sheetViews>
  <sheetFormatPr defaultColWidth="9.140625" defaultRowHeight="13.5" x14ac:dyDescent="0.25"/>
  <cols>
    <col min="1" max="1" width="15" style="55" bestFit="1" customWidth="1"/>
    <col min="2" max="2" width="16.140625" style="55" customWidth="1"/>
    <col min="3" max="3" width="16.28515625" style="55" customWidth="1"/>
    <col min="4" max="4" width="17.7109375" style="55" customWidth="1"/>
    <col min="5" max="5" width="16.5703125" style="55" bestFit="1" customWidth="1"/>
    <col min="6" max="6" width="20.28515625" style="55" bestFit="1" customWidth="1"/>
    <col min="7" max="7" width="16" style="55" bestFit="1" customWidth="1"/>
    <col min="8" max="8" width="14.5703125" style="55" bestFit="1" customWidth="1"/>
    <col min="9" max="16384" width="9.140625" style="55"/>
  </cols>
  <sheetData>
    <row r="1" spans="1:8" ht="16.5" x14ac:dyDescent="0.3">
      <c r="A1" s="18" t="s">
        <v>0</v>
      </c>
      <c r="B1" s="19"/>
      <c r="C1" s="18" t="str">
        <f>'SKS Edible Oil_Loan'!C1</f>
        <v>Sena Kalyan Sangstha-Edible Oil Project (SKS Edible Oil)</v>
      </c>
      <c r="D1" s="19"/>
      <c r="E1" s="19"/>
    </row>
    <row r="2" spans="1:8" ht="16.5" x14ac:dyDescent="0.3">
      <c r="A2" s="18"/>
      <c r="B2" s="19"/>
      <c r="C2" s="19"/>
      <c r="D2" s="19"/>
      <c r="E2" s="19"/>
    </row>
    <row r="3" spans="1:8" ht="15" x14ac:dyDescent="0.3">
      <c r="A3" s="22" t="s">
        <v>4</v>
      </c>
      <c r="B3" s="23"/>
      <c r="C3" s="92">
        <f>'SKS Edible Oil_Loan'!C3</f>
        <v>43215</v>
      </c>
      <c r="D3" s="22"/>
      <c r="E3" s="22"/>
    </row>
    <row r="4" spans="1:8" x14ac:dyDescent="0.25">
      <c r="A4" s="23"/>
      <c r="B4" s="23"/>
      <c r="C4" s="23"/>
      <c r="D4" s="23"/>
      <c r="E4" s="23"/>
    </row>
    <row r="5" spans="1:8" ht="15" x14ac:dyDescent="0.3">
      <c r="A5" s="22" t="s">
        <v>2</v>
      </c>
      <c r="B5" s="23"/>
      <c r="C5" s="93">
        <f>'SKS Edible Oil_Loan'!C5</f>
        <v>2355000000</v>
      </c>
      <c r="D5" s="22"/>
      <c r="E5" s="23"/>
    </row>
    <row r="6" spans="1:8" ht="15" x14ac:dyDescent="0.3">
      <c r="A6" s="22"/>
      <c r="B6" s="23"/>
      <c r="C6" s="23"/>
      <c r="D6" s="23"/>
      <c r="E6" s="23"/>
    </row>
    <row r="7" spans="1:8" ht="15" x14ac:dyDescent="0.3">
      <c r="A7" s="22" t="s">
        <v>3</v>
      </c>
      <c r="B7" s="23"/>
      <c r="C7" s="128">
        <f>'SKS Edible Oil_Loan'!C8</f>
        <v>8.2500000000000004E-2</v>
      </c>
      <c r="D7" s="23"/>
      <c r="E7" s="23"/>
    </row>
    <row r="8" spans="1:8" ht="15" x14ac:dyDescent="0.3">
      <c r="A8" s="95"/>
      <c r="B8" s="23"/>
      <c r="C8" s="96"/>
      <c r="D8" s="94"/>
      <c r="E8" s="23"/>
    </row>
    <row r="9" spans="1:8" ht="15" x14ac:dyDescent="0.3">
      <c r="A9" s="95" t="s">
        <v>51</v>
      </c>
      <c r="B9" s="94"/>
      <c r="C9" s="97">
        <f>'SKS Edible Oil_Loan'!C13</f>
        <v>96</v>
      </c>
      <c r="D9" s="23"/>
      <c r="E9" s="23"/>
    </row>
    <row r="10" spans="1:8" ht="15" x14ac:dyDescent="0.3">
      <c r="A10" s="95"/>
      <c r="B10" s="98"/>
      <c r="C10" s="99"/>
      <c r="D10" s="23"/>
      <c r="E10" s="23"/>
    </row>
    <row r="11" spans="1:8" ht="15" x14ac:dyDescent="0.3">
      <c r="A11" s="95" t="s">
        <v>52</v>
      </c>
      <c r="B11" s="98"/>
      <c r="C11" s="99"/>
      <c r="D11" s="23"/>
      <c r="E11" s="23"/>
    </row>
    <row r="12" spans="1:8" ht="15" x14ac:dyDescent="0.3">
      <c r="A12" s="100"/>
      <c r="B12" s="101"/>
      <c r="C12" s="101">
        <f>'SKS Edible Oil_Loan'!C16</f>
        <v>43240</v>
      </c>
      <c r="D12" s="101"/>
      <c r="E12" s="101"/>
      <c r="F12" s="110"/>
    </row>
    <row r="13" spans="1:8" ht="15" x14ac:dyDescent="0.3">
      <c r="A13" s="102"/>
      <c r="B13" s="103"/>
      <c r="C13" s="104">
        <f>'SKS Edible Oil_Loan'!C17</f>
        <v>1500000000</v>
      </c>
      <c r="D13" s="104"/>
      <c r="E13" s="104"/>
      <c r="F13" s="110"/>
    </row>
    <row r="14" spans="1:8" ht="15" x14ac:dyDescent="0.3">
      <c r="A14" s="105"/>
      <c r="B14" s="106"/>
      <c r="C14" s="107">
        <f>C13</f>
        <v>1500000000</v>
      </c>
      <c r="D14" s="107"/>
      <c r="E14" s="107"/>
      <c r="F14" s="110"/>
    </row>
    <row r="15" spans="1:8" x14ac:dyDescent="0.25">
      <c r="A15" s="108"/>
      <c r="D15" s="110"/>
      <c r="E15" s="110"/>
      <c r="F15" s="110"/>
    </row>
    <row r="16" spans="1:8" ht="15" x14ac:dyDescent="0.25">
      <c r="A16" s="111" t="s">
        <v>11</v>
      </c>
      <c r="B16" s="112" t="s">
        <v>5</v>
      </c>
      <c r="C16" s="112" t="s">
        <v>6</v>
      </c>
      <c r="D16" s="112" t="s">
        <v>12</v>
      </c>
      <c r="E16" s="112" t="s">
        <v>7</v>
      </c>
      <c r="F16" s="112" t="s">
        <v>13</v>
      </c>
      <c r="G16" s="112" t="s">
        <v>8</v>
      </c>
      <c r="H16" s="112" t="s">
        <v>9</v>
      </c>
    </row>
    <row r="17" spans="1:11" x14ac:dyDescent="0.25">
      <c r="A17" s="116">
        <f t="array" ref="A17:H136">TRANSPOSE('SKS Edible Oil_Loan'!B27:DQ34)</f>
        <v>43266</v>
      </c>
      <c r="B17" s="109">
        <v>1500000000</v>
      </c>
      <c r="C17" s="109">
        <v>8937500</v>
      </c>
      <c r="D17" s="109">
        <v>0</v>
      </c>
      <c r="E17" s="109">
        <v>0</v>
      </c>
      <c r="F17" s="109">
        <v>0</v>
      </c>
      <c r="G17" s="109">
        <v>0</v>
      </c>
      <c r="H17" s="109">
        <v>1500000000</v>
      </c>
      <c r="K17" s="136"/>
    </row>
    <row r="18" spans="1:11" x14ac:dyDescent="0.25">
      <c r="A18" s="116">
        <v>43296</v>
      </c>
      <c r="B18" s="109">
        <v>1500000000</v>
      </c>
      <c r="C18" s="109">
        <v>11041666.666666668</v>
      </c>
      <c r="D18" s="109">
        <v>0</v>
      </c>
      <c r="E18" s="109">
        <v>0</v>
      </c>
      <c r="F18" s="109">
        <v>0</v>
      </c>
      <c r="G18" s="109">
        <v>0</v>
      </c>
      <c r="H18" s="109">
        <v>1500000000</v>
      </c>
      <c r="K18" s="136"/>
    </row>
    <row r="19" spans="1:11" x14ac:dyDescent="0.25">
      <c r="A19" s="116">
        <v>43327</v>
      </c>
      <c r="B19" s="109">
        <v>1500000000</v>
      </c>
      <c r="C19" s="109">
        <v>12270833.333333334</v>
      </c>
      <c r="D19" s="109">
        <v>0</v>
      </c>
      <c r="E19" s="109">
        <v>0</v>
      </c>
      <c r="F19" s="109">
        <v>0</v>
      </c>
      <c r="G19" s="109">
        <v>0</v>
      </c>
      <c r="H19" s="109">
        <v>1500000000</v>
      </c>
      <c r="K19" s="136"/>
    </row>
    <row r="20" spans="1:11" x14ac:dyDescent="0.25">
      <c r="A20" s="116">
        <v>43358</v>
      </c>
      <c r="B20" s="109">
        <v>1500000000</v>
      </c>
      <c r="C20" s="109">
        <v>12270833.333333334</v>
      </c>
      <c r="D20" s="109">
        <v>0</v>
      </c>
      <c r="E20" s="109">
        <v>0</v>
      </c>
      <c r="F20" s="109">
        <v>0</v>
      </c>
      <c r="G20" s="109">
        <v>0</v>
      </c>
      <c r="H20" s="109">
        <v>1500000000</v>
      </c>
      <c r="K20" s="136"/>
    </row>
    <row r="21" spans="1:11" x14ac:dyDescent="0.25">
      <c r="A21" s="116">
        <v>43388</v>
      </c>
      <c r="B21" s="109">
        <v>1500000000</v>
      </c>
      <c r="C21" s="109">
        <v>11875000</v>
      </c>
      <c r="D21" s="109">
        <v>0</v>
      </c>
      <c r="E21" s="109">
        <v>0</v>
      </c>
      <c r="F21" s="109">
        <v>0</v>
      </c>
      <c r="G21" s="109">
        <v>0</v>
      </c>
      <c r="H21" s="109">
        <v>1500000000</v>
      </c>
      <c r="K21" s="136"/>
    </row>
    <row r="22" spans="1:11" x14ac:dyDescent="0.25">
      <c r="A22" s="116">
        <v>43419</v>
      </c>
      <c r="B22" s="109">
        <v>1500000000</v>
      </c>
      <c r="C22" s="109">
        <v>12270833.333333334</v>
      </c>
      <c r="D22" s="109">
        <v>0</v>
      </c>
      <c r="E22" s="109">
        <v>0</v>
      </c>
      <c r="F22" s="109">
        <v>0</v>
      </c>
      <c r="G22" s="109">
        <v>0</v>
      </c>
      <c r="H22" s="109">
        <v>1500000000</v>
      </c>
      <c r="K22" s="136"/>
    </row>
    <row r="23" spans="1:11" x14ac:dyDescent="0.25">
      <c r="A23" s="116">
        <v>43449</v>
      </c>
      <c r="B23" s="109">
        <v>1500000000</v>
      </c>
      <c r="C23" s="109">
        <v>11875000</v>
      </c>
      <c r="D23" s="109">
        <v>0</v>
      </c>
      <c r="E23" s="109">
        <v>0</v>
      </c>
      <c r="F23" s="109">
        <v>0</v>
      </c>
      <c r="G23" s="109">
        <v>0</v>
      </c>
      <c r="H23" s="109">
        <v>1500000000</v>
      </c>
      <c r="K23" s="136"/>
    </row>
    <row r="24" spans="1:11" x14ac:dyDescent="0.25">
      <c r="A24" s="116">
        <v>43480</v>
      </c>
      <c r="B24" s="109">
        <v>1500000000</v>
      </c>
      <c r="C24" s="109">
        <v>12270833.333333334</v>
      </c>
      <c r="D24" s="109">
        <v>0</v>
      </c>
      <c r="E24" s="109">
        <v>0</v>
      </c>
      <c r="F24" s="109">
        <v>0</v>
      </c>
      <c r="G24" s="109">
        <v>0</v>
      </c>
      <c r="H24" s="109">
        <v>1500000000</v>
      </c>
      <c r="K24" s="136"/>
    </row>
    <row r="25" spans="1:11" x14ac:dyDescent="0.25">
      <c r="A25" s="116">
        <v>43511</v>
      </c>
      <c r="B25" s="109">
        <v>1500000000</v>
      </c>
      <c r="C25" s="109">
        <v>12270833.333333334</v>
      </c>
      <c r="D25" s="109">
        <v>0</v>
      </c>
      <c r="E25" s="109">
        <v>0</v>
      </c>
      <c r="F25" s="109">
        <v>0</v>
      </c>
      <c r="G25" s="109">
        <v>0</v>
      </c>
      <c r="H25" s="109">
        <v>1500000000</v>
      </c>
      <c r="K25" s="136"/>
    </row>
    <row r="26" spans="1:11" x14ac:dyDescent="0.25">
      <c r="A26" s="116">
        <v>43539</v>
      </c>
      <c r="B26" s="109">
        <v>1500000000</v>
      </c>
      <c r="C26" s="109">
        <v>11083333.333333334</v>
      </c>
      <c r="D26" s="109">
        <v>0</v>
      </c>
      <c r="E26" s="109">
        <v>0</v>
      </c>
      <c r="F26" s="109">
        <v>0</v>
      </c>
      <c r="G26" s="109">
        <v>0</v>
      </c>
      <c r="H26" s="109">
        <v>1500000000</v>
      </c>
      <c r="K26" s="136"/>
    </row>
    <row r="27" spans="1:11" x14ac:dyDescent="0.25">
      <c r="A27" s="116">
        <v>43570</v>
      </c>
      <c r="B27" s="109">
        <v>1500000000</v>
      </c>
      <c r="C27" s="109">
        <v>12270833.333333334</v>
      </c>
      <c r="D27" s="109">
        <v>0</v>
      </c>
      <c r="E27" s="109">
        <v>0</v>
      </c>
      <c r="F27" s="109">
        <v>0</v>
      </c>
      <c r="G27" s="109">
        <v>0</v>
      </c>
      <c r="H27" s="109">
        <v>1500000000</v>
      </c>
      <c r="K27" s="136"/>
    </row>
    <row r="28" spans="1:11" x14ac:dyDescent="0.25">
      <c r="A28" s="116">
        <v>43605</v>
      </c>
      <c r="B28" s="109">
        <v>1500000000</v>
      </c>
      <c r="C28" s="109">
        <v>13854166.666666666</v>
      </c>
      <c r="D28" s="109">
        <v>0</v>
      </c>
      <c r="E28" s="109">
        <v>0</v>
      </c>
      <c r="F28" s="109">
        <v>0</v>
      </c>
      <c r="G28" s="109">
        <v>0</v>
      </c>
      <c r="H28" s="109">
        <v>1642291666.6666667</v>
      </c>
      <c r="K28" s="136"/>
    </row>
    <row r="29" spans="1:11" x14ac:dyDescent="0.25">
      <c r="A29" s="116">
        <v>43631</v>
      </c>
      <c r="B29" s="109">
        <v>1642291666.6666667</v>
      </c>
      <c r="C29" s="109">
        <v>11267945.601851853</v>
      </c>
      <c r="D29" s="109">
        <v>0</v>
      </c>
      <c r="E29" s="109">
        <v>0</v>
      </c>
      <c r="F29" s="109">
        <v>0</v>
      </c>
      <c r="G29" s="109">
        <v>0</v>
      </c>
      <c r="H29" s="109">
        <v>1642291666.6666667</v>
      </c>
      <c r="K29" s="136"/>
    </row>
    <row r="30" spans="1:11" x14ac:dyDescent="0.25">
      <c r="A30" s="116">
        <v>43661</v>
      </c>
      <c r="B30" s="109">
        <v>1842291666.6666667</v>
      </c>
      <c r="C30" s="109">
        <v>13793142.361111112</v>
      </c>
      <c r="D30" s="109">
        <v>0</v>
      </c>
      <c r="E30" s="109">
        <v>0</v>
      </c>
      <c r="F30" s="109">
        <v>0</v>
      </c>
      <c r="G30" s="109">
        <v>0</v>
      </c>
      <c r="H30" s="109">
        <v>1842291666.6666667</v>
      </c>
      <c r="K30" s="136"/>
    </row>
    <row r="31" spans="1:11" x14ac:dyDescent="0.25">
      <c r="A31" s="116">
        <v>43692</v>
      </c>
      <c r="B31" s="109">
        <v>1842291666.6666667</v>
      </c>
      <c r="C31" s="109">
        <v>15070969.328703705</v>
      </c>
      <c r="D31" s="109">
        <v>0</v>
      </c>
      <c r="E31" s="109">
        <v>0</v>
      </c>
      <c r="F31" s="109">
        <v>0</v>
      </c>
      <c r="G31" s="109">
        <v>0</v>
      </c>
      <c r="H31" s="109">
        <v>1842291666.6666667</v>
      </c>
      <c r="K31" s="136"/>
    </row>
    <row r="32" spans="1:11" x14ac:dyDescent="0.25">
      <c r="A32" s="116">
        <v>43723</v>
      </c>
      <c r="B32" s="109">
        <v>1842291666.6666667</v>
      </c>
      <c r="C32" s="109">
        <v>15070969.328703705</v>
      </c>
      <c r="D32" s="109">
        <v>0</v>
      </c>
      <c r="E32" s="109">
        <v>0</v>
      </c>
      <c r="F32" s="109">
        <v>0</v>
      </c>
      <c r="G32" s="109">
        <v>0</v>
      </c>
      <c r="H32" s="109">
        <v>1842291666.6666667</v>
      </c>
      <c r="K32" s="136"/>
    </row>
    <row r="33" spans="1:11" x14ac:dyDescent="0.25">
      <c r="A33" s="116">
        <v>43753</v>
      </c>
      <c r="B33" s="109">
        <v>1842291666.6666667</v>
      </c>
      <c r="C33" s="109">
        <v>14584809.027777778</v>
      </c>
      <c r="D33" s="109">
        <v>0</v>
      </c>
      <c r="E33" s="109">
        <v>0</v>
      </c>
      <c r="F33" s="109">
        <v>0</v>
      </c>
      <c r="G33" s="109">
        <v>0</v>
      </c>
      <c r="H33" s="109">
        <v>1842291666.6666667</v>
      </c>
      <c r="K33" s="136"/>
    </row>
    <row r="34" spans="1:11" x14ac:dyDescent="0.25">
      <c r="A34" s="116">
        <v>43784</v>
      </c>
      <c r="B34" s="109">
        <v>2142291666.6666667</v>
      </c>
      <c r="C34" s="109">
        <v>15862635.995370369</v>
      </c>
      <c r="D34" s="109">
        <v>0</v>
      </c>
      <c r="E34" s="109">
        <v>0</v>
      </c>
      <c r="F34" s="109">
        <v>0</v>
      </c>
      <c r="G34" s="109">
        <v>0</v>
      </c>
      <c r="H34" s="109">
        <v>2142291666.6666667</v>
      </c>
      <c r="K34" s="136"/>
    </row>
    <row r="35" spans="1:11" x14ac:dyDescent="0.25">
      <c r="A35" s="116">
        <v>43814</v>
      </c>
      <c r="B35" s="109">
        <v>2142291666.6666667</v>
      </c>
      <c r="C35" s="109">
        <v>16959809.027777776</v>
      </c>
      <c r="D35" s="109">
        <v>0</v>
      </c>
      <c r="E35" s="109">
        <v>0</v>
      </c>
      <c r="F35" s="109">
        <v>0</v>
      </c>
      <c r="G35" s="109">
        <v>0</v>
      </c>
      <c r="H35" s="109">
        <v>2142291666.6666667</v>
      </c>
      <c r="K35" s="136"/>
    </row>
    <row r="36" spans="1:11" x14ac:dyDescent="0.25">
      <c r="A36" s="116">
        <v>43845</v>
      </c>
      <c r="B36" s="109">
        <v>2142291666.6666667</v>
      </c>
      <c r="C36" s="109">
        <v>17525135.995370373</v>
      </c>
      <c r="D36" s="109">
        <v>0</v>
      </c>
      <c r="E36" s="109">
        <v>0</v>
      </c>
      <c r="F36" s="109">
        <v>0</v>
      </c>
      <c r="G36" s="109">
        <v>0</v>
      </c>
      <c r="H36" s="109">
        <v>2142291666.6666667</v>
      </c>
      <c r="K36" s="136"/>
    </row>
    <row r="37" spans="1:11" x14ac:dyDescent="0.25">
      <c r="A37" s="116">
        <v>43876</v>
      </c>
      <c r="B37" s="109">
        <v>2142291666.6666667</v>
      </c>
      <c r="C37" s="109">
        <v>17525135.995370373</v>
      </c>
      <c r="D37" s="109">
        <v>0</v>
      </c>
      <c r="E37" s="109">
        <v>0</v>
      </c>
      <c r="F37" s="109">
        <v>0</v>
      </c>
      <c r="G37" s="109">
        <v>0</v>
      </c>
      <c r="H37" s="109">
        <v>2142291666.6666667</v>
      </c>
      <c r="K37" s="136"/>
    </row>
    <row r="38" spans="1:11" x14ac:dyDescent="0.25">
      <c r="A38" s="116">
        <v>43905</v>
      </c>
      <c r="B38" s="109">
        <v>2142291666.6666667</v>
      </c>
      <c r="C38" s="109">
        <v>16394482.060185187</v>
      </c>
      <c r="D38" s="109">
        <v>0</v>
      </c>
      <c r="E38" s="109">
        <v>0</v>
      </c>
      <c r="F38" s="109">
        <v>0</v>
      </c>
      <c r="G38" s="109">
        <v>0</v>
      </c>
      <c r="H38" s="109">
        <v>2142291666.6666667</v>
      </c>
      <c r="K38" s="136"/>
    </row>
    <row r="39" spans="1:11" x14ac:dyDescent="0.25">
      <c r="A39" s="116">
        <v>43936</v>
      </c>
      <c r="B39" s="109">
        <v>2142291666.6666667</v>
      </c>
      <c r="C39" s="109">
        <v>17525135.995370373</v>
      </c>
      <c r="D39" s="109">
        <v>0</v>
      </c>
      <c r="E39" s="109">
        <v>0</v>
      </c>
      <c r="F39" s="109">
        <v>0</v>
      </c>
      <c r="G39" s="109">
        <v>0</v>
      </c>
      <c r="H39" s="109">
        <v>2142291666.6666667</v>
      </c>
      <c r="K39" s="136"/>
    </row>
    <row r="40" spans="1:11" x14ac:dyDescent="0.25">
      <c r="A40" s="116">
        <v>43971</v>
      </c>
      <c r="B40" s="109">
        <v>2142291666.6666667</v>
      </c>
      <c r="C40" s="109">
        <v>19786443.865740743</v>
      </c>
      <c r="D40" s="109">
        <v>0</v>
      </c>
      <c r="E40" s="109">
        <v>0</v>
      </c>
      <c r="F40" s="109">
        <v>0</v>
      </c>
      <c r="G40" s="109">
        <v>0</v>
      </c>
      <c r="H40" s="109">
        <v>2333658281.25</v>
      </c>
      <c r="K40" s="136"/>
    </row>
    <row r="41" spans="1:11" x14ac:dyDescent="0.25">
      <c r="A41" s="116">
        <v>43997</v>
      </c>
      <c r="B41" s="109">
        <v>2333658281.25</v>
      </c>
      <c r="C41" s="109">
        <v>16011488.763020834</v>
      </c>
      <c r="D41" s="109">
        <v>16011488.763020834</v>
      </c>
      <c r="E41" s="109">
        <v>16322120.990033351</v>
      </c>
      <c r="F41" s="109">
        <v>16322120.990033351</v>
      </c>
      <c r="G41" s="109">
        <v>32333609.753054187</v>
      </c>
      <c r="H41" s="109">
        <v>2317336160.2599669</v>
      </c>
      <c r="J41" s="143">
        <v>16011488.76</v>
      </c>
      <c r="K41" s="145">
        <f>+J41-C41</f>
        <v>-3.0208341777324677E-3</v>
      </c>
    </row>
    <row r="42" spans="1:11" x14ac:dyDescent="0.25">
      <c r="A42" s="116">
        <v>44027</v>
      </c>
      <c r="B42" s="109">
        <v>2317336160.2599669</v>
      </c>
      <c r="C42" s="109">
        <v>18345577.935391404</v>
      </c>
      <c r="D42" s="109">
        <v>34357066.69841224</v>
      </c>
      <c r="E42" s="109">
        <v>16451337.781204449</v>
      </c>
      <c r="F42" s="109">
        <v>32773458.771237798</v>
      </c>
      <c r="G42" s="109">
        <v>34796915.716595851</v>
      </c>
      <c r="H42" s="109">
        <v>2300884822.4787626</v>
      </c>
      <c r="J42" s="143">
        <v>18345577.940000001</v>
      </c>
      <c r="K42" s="145">
        <f t="shared" ref="K42:K105" si="0">+J42-C42</f>
        <v>4.608597606420517E-3</v>
      </c>
    </row>
    <row r="43" spans="1:11" x14ac:dyDescent="0.25">
      <c r="A43" s="116">
        <v>44056</v>
      </c>
      <c r="B43" s="109">
        <v>2300884822.4787626</v>
      </c>
      <c r="C43" s="109">
        <v>17608160.238691643</v>
      </c>
      <c r="D43" s="109">
        <v>51965226.937103882</v>
      </c>
      <c r="E43" s="109">
        <v>16581577.538638985</v>
      </c>
      <c r="F43" s="109">
        <v>49355036.309876785</v>
      </c>
      <c r="G43" s="109">
        <v>34189737.77733063</v>
      </c>
      <c r="H43" s="109">
        <v>2284303244.9401236</v>
      </c>
      <c r="J43" s="143">
        <v>17608160.239999998</v>
      </c>
      <c r="K43" s="145">
        <f t="shared" si="0"/>
        <v>1.3083554804325104E-3</v>
      </c>
    </row>
    <row r="44" spans="1:11" x14ac:dyDescent="0.25">
      <c r="A44" s="116">
        <v>44089</v>
      </c>
      <c r="B44" s="109">
        <v>2284303244.9401236</v>
      </c>
      <c r="C44" s="109">
        <v>19892474.091353577</v>
      </c>
      <c r="D44" s="109">
        <v>71857701.028457463</v>
      </c>
      <c r="E44" s="109">
        <v>16712848.360819874</v>
      </c>
      <c r="F44" s="109">
        <v>66067884.670696661</v>
      </c>
      <c r="G44" s="109">
        <v>36605322.452173449</v>
      </c>
      <c r="H44" s="109">
        <v>2267590396.5793037</v>
      </c>
      <c r="J44" s="143">
        <v>19892474.09</v>
      </c>
      <c r="K44" s="145">
        <f t="shared" si="0"/>
        <v>-1.3535767793655396E-3</v>
      </c>
    </row>
    <row r="45" spans="1:11" x14ac:dyDescent="0.25">
      <c r="A45" s="116">
        <v>44119</v>
      </c>
      <c r="B45" s="109">
        <v>2267590396.5793037</v>
      </c>
      <c r="C45" s="109">
        <v>17951757.306252822</v>
      </c>
      <c r="D45" s="109">
        <v>89809458.334710285</v>
      </c>
      <c r="E45" s="109">
        <v>16845158.410343036</v>
      </c>
      <c r="F45" s="109">
        <v>82913043.081039697</v>
      </c>
      <c r="G45" s="109">
        <v>34796915.716595858</v>
      </c>
      <c r="H45" s="109">
        <v>2250745238.1689606</v>
      </c>
      <c r="J45" s="143">
        <v>17951757.309999999</v>
      </c>
      <c r="K45" s="145">
        <f t="shared" si="0"/>
        <v>3.7471763789653778E-3</v>
      </c>
    </row>
    <row r="46" spans="1:11" x14ac:dyDescent="0.25">
      <c r="A46" s="116">
        <v>44150</v>
      </c>
      <c r="B46" s="109">
        <v>2250745238.1689606</v>
      </c>
      <c r="C46" s="109">
        <v>18412346.462243304</v>
      </c>
      <c r="D46" s="109">
        <v>108221804.79695359</v>
      </c>
      <c r="E46" s="109">
        <v>16978515.914424919</v>
      </c>
      <c r="F46" s="109">
        <v>99891558.995464623</v>
      </c>
      <c r="G46" s="109">
        <v>35390862.376668222</v>
      </c>
      <c r="H46" s="109">
        <v>2233766722.2545357</v>
      </c>
      <c r="J46" s="143">
        <v>18412346.460000001</v>
      </c>
      <c r="K46" s="145">
        <f t="shared" si="0"/>
        <v>-2.2433027625083923E-3</v>
      </c>
    </row>
    <row r="47" spans="1:11" x14ac:dyDescent="0.25">
      <c r="A47" s="116">
        <v>44180</v>
      </c>
      <c r="B47" s="109">
        <v>2233766722.2545357</v>
      </c>
      <c r="C47" s="109">
        <v>17683986.551181741</v>
      </c>
      <c r="D47" s="109">
        <v>125905791.34813532</v>
      </c>
      <c r="E47" s="109">
        <v>17112929.165414114</v>
      </c>
      <c r="F47" s="109">
        <v>117004488.16087873</v>
      </c>
      <c r="G47" s="109">
        <v>34796915.716595858</v>
      </c>
      <c r="H47" s="109">
        <v>2216653793.0891213</v>
      </c>
      <c r="J47" s="143">
        <v>17683986.550000001</v>
      </c>
      <c r="K47" s="145">
        <f t="shared" si="0"/>
        <v>-1.1817403137683868E-3</v>
      </c>
    </row>
    <row r="48" spans="1:11" x14ac:dyDescent="0.25">
      <c r="A48" s="116">
        <v>44210</v>
      </c>
      <c r="B48" s="109">
        <v>2216653793.0891213</v>
      </c>
      <c r="C48" s="109">
        <v>17548509.195288878</v>
      </c>
      <c r="D48" s="109">
        <v>143454300.54342419</v>
      </c>
      <c r="E48" s="109">
        <v>17248406.521306973</v>
      </c>
      <c r="F48" s="109">
        <v>134252894.68218571</v>
      </c>
      <c r="G48" s="109">
        <v>34796915.716595851</v>
      </c>
      <c r="H48" s="109">
        <v>2199405386.5678144</v>
      </c>
      <c r="J48" s="143">
        <v>17548509.199999999</v>
      </c>
      <c r="K48" s="145">
        <f t="shared" si="0"/>
        <v>4.7111213207244873E-3</v>
      </c>
    </row>
    <row r="49" spans="1:11" x14ac:dyDescent="0.25">
      <c r="A49" s="116">
        <v>44242</v>
      </c>
      <c r="B49" s="109">
        <v>2199405386.5678144</v>
      </c>
      <c r="C49" s="109">
        <v>18572756.597683765</v>
      </c>
      <c r="D49" s="109">
        <v>162027057.14110795</v>
      </c>
      <c r="E49" s="109">
        <v>17384956.406267319</v>
      </c>
      <c r="F49" s="109">
        <v>151637851.08845302</v>
      </c>
      <c r="G49" s="109">
        <v>35957713.003951088</v>
      </c>
      <c r="H49" s="109">
        <v>2182020430.1615472</v>
      </c>
      <c r="J49" s="143">
        <v>18572756.600000001</v>
      </c>
      <c r="K49" s="145">
        <f t="shared" si="0"/>
        <v>2.3162364959716797E-3</v>
      </c>
    </row>
    <row r="50" spans="1:11" x14ac:dyDescent="0.25">
      <c r="A50" s="116">
        <v>44270</v>
      </c>
      <c r="B50" s="109">
        <v>2182020430.1615472</v>
      </c>
      <c r="C50" s="109">
        <v>16122706.51174921</v>
      </c>
      <c r="D50" s="109">
        <v>178149763.65285715</v>
      </c>
      <c r="E50" s="109">
        <v>17522587.311150271</v>
      </c>
      <c r="F50" s="109">
        <v>169160438.39960331</v>
      </c>
      <c r="G50" s="109">
        <v>33645293.822899483</v>
      </c>
      <c r="H50" s="109">
        <v>2164497842.8503971</v>
      </c>
      <c r="J50" s="143">
        <v>16122706.51</v>
      </c>
      <c r="K50" s="145">
        <f t="shared" si="0"/>
        <v>-1.7492100596427917E-3</v>
      </c>
    </row>
    <row r="51" spans="1:11" x14ac:dyDescent="0.25">
      <c r="A51" s="116">
        <v>44301</v>
      </c>
      <c r="B51" s="109">
        <v>2164497842.8503971</v>
      </c>
      <c r="C51" s="109">
        <v>17706794.853317834</v>
      </c>
      <c r="D51" s="109">
        <v>195856558.50617498</v>
      </c>
      <c r="E51" s="109">
        <v>17661307.794030208</v>
      </c>
      <c r="F51" s="109">
        <v>186821746.19363353</v>
      </c>
      <c r="G51" s="109">
        <v>35368102.647348046</v>
      </c>
      <c r="H51" s="109">
        <v>2146836535.0563669</v>
      </c>
      <c r="J51" s="143">
        <v>17706794.850000001</v>
      </c>
      <c r="K51" s="145">
        <f t="shared" si="0"/>
        <v>-3.3178329467773438E-3</v>
      </c>
    </row>
    <row r="52" spans="1:11" x14ac:dyDescent="0.25">
      <c r="A52" s="116">
        <v>44329</v>
      </c>
      <c r="B52" s="109">
        <v>2146836535.0563669</v>
      </c>
      <c r="C52" s="109">
        <v>15862736.620138712</v>
      </c>
      <c r="D52" s="109">
        <v>211719295.12631369</v>
      </c>
      <c r="E52" s="109">
        <v>17801126.480732948</v>
      </c>
      <c r="F52" s="109">
        <v>204622872.67436647</v>
      </c>
      <c r="G52" s="109">
        <v>33663863.10087166</v>
      </c>
      <c r="H52" s="109">
        <v>2129035408.575634</v>
      </c>
      <c r="J52" s="143">
        <v>15862736.619999999</v>
      </c>
      <c r="K52" s="145">
        <f t="shared" si="0"/>
        <v>-1.387130469083786E-4</v>
      </c>
    </row>
    <row r="53" spans="1:11" x14ac:dyDescent="0.25">
      <c r="A53" s="116">
        <v>44362</v>
      </c>
      <c r="B53" s="109">
        <v>2129035408.575634</v>
      </c>
      <c r="C53" s="109">
        <v>18540350.016346149</v>
      </c>
      <c r="D53" s="109">
        <v>230259645.14265984</v>
      </c>
      <c r="E53" s="109">
        <v>17942052.065372083</v>
      </c>
      <c r="F53" s="109">
        <v>222564924.73973855</v>
      </c>
      <c r="G53" s="109">
        <v>36482402.081718236</v>
      </c>
      <c r="H53" s="109">
        <v>2111093356.510262</v>
      </c>
      <c r="J53" s="143">
        <v>18540350.02</v>
      </c>
      <c r="K53" s="145">
        <f t="shared" si="0"/>
        <v>3.6538504064083099E-3</v>
      </c>
    </row>
    <row r="54" spans="1:11" x14ac:dyDescent="0.25">
      <c r="A54" s="116">
        <v>44392</v>
      </c>
      <c r="B54" s="109">
        <v>2111093356.510262</v>
      </c>
      <c r="C54" s="109">
        <v>16712822.405706242</v>
      </c>
      <c r="D54" s="109">
        <v>246972467.54836607</v>
      </c>
      <c r="E54" s="109">
        <v>18084093.310889617</v>
      </c>
      <c r="F54" s="109">
        <v>240649018.05062819</v>
      </c>
      <c r="G54" s="109">
        <v>34796915.716595858</v>
      </c>
      <c r="H54" s="109">
        <v>2093009263.1993723</v>
      </c>
      <c r="J54" s="143">
        <v>16712822.41</v>
      </c>
      <c r="K54" s="145">
        <f t="shared" si="0"/>
        <v>4.2937584221363068E-3</v>
      </c>
    </row>
    <row r="55" spans="1:11" x14ac:dyDescent="0.25">
      <c r="A55" s="116">
        <v>44423</v>
      </c>
      <c r="B55" s="109">
        <v>2093009263.1993723</v>
      </c>
      <c r="C55" s="109">
        <v>17121978.555894867</v>
      </c>
      <c r="D55" s="109">
        <v>264094446.10426092</v>
      </c>
      <c r="E55" s="109">
        <v>18227259.049600825</v>
      </c>
      <c r="F55" s="109">
        <v>258876277.10022902</v>
      </c>
      <c r="G55" s="109">
        <v>35349237.605495691</v>
      </c>
      <c r="H55" s="109">
        <v>2074782004.1497715</v>
      </c>
      <c r="J55" s="143">
        <v>17121978.559999999</v>
      </c>
      <c r="K55" s="145">
        <f t="shared" si="0"/>
        <v>4.1051320731639862E-3</v>
      </c>
    </row>
    <row r="56" spans="1:11" x14ac:dyDescent="0.25">
      <c r="A56" s="116">
        <v>44454</v>
      </c>
      <c r="B56" s="109">
        <v>2074782004.1497715</v>
      </c>
      <c r="C56" s="109">
        <v>16972869.450614102</v>
      </c>
      <c r="D56" s="109">
        <v>281067315.55487502</v>
      </c>
      <c r="E56" s="109">
        <v>18371558.183743499</v>
      </c>
      <c r="F56" s="109">
        <v>277247835.2839725</v>
      </c>
      <c r="G56" s="109">
        <v>35344427.634357601</v>
      </c>
      <c r="H56" s="109">
        <v>2056410445.966028</v>
      </c>
      <c r="J56" s="143">
        <v>16972869.449999999</v>
      </c>
      <c r="K56" s="145">
        <f t="shared" si="0"/>
        <v>-6.1410292983055115E-4</v>
      </c>
    </row>
    <row r="57" spans="1:11" x14ac:dyDescent="0.25">
      <c r="A57" s="116">
        <v>44483</v>
      </c>
      <c r="B57" s="109">
        <v>2056410445.966028</v>
      </c>
      <c r="C57" s="109">
        <v>15737252.162878908</v>
      </c>
      <c r="D57" s="109">
        <v>296804567.71775395</v>
      </c>
      <c r="E57" s="109">
        <v>18516999.686031464</v>
      </c>
      <c r="F57" s="109">
        <v>295764834.97000396</v>
      </c>
      <c r="G57" s="109">
        <v>34254251.848910376</v>
      </c>
      <c r="H57" s="109">
        <v>2037893446.2799964</v>
      </c>
      <c r="J57" s="143">
        <v>15737252.16</v>
      </c>
      <c r="K57" s="145">
        <f t="shared" si="0"/>
        <v>-2.8789080679416656E-3</v>
      </c>
    </row>
    <row r="58" spans="1:11" x14ac:dyDescent="0.25">
      <c r="A58" s="116">
        <v>44515</v>
      </c>
      <c r="B58" s="109">
        <v>2037893446.2799964</v>
      </c>
      <c r="C58" s="109">
        <v>17208877.990808859</v>
      </c>
      <c r="D58" s="109">
        <v>314013445.70856279</v>
      </c>
      <c r="E58" s="109">
        <v>18663592.600212548</v>
      </c>
      <c r="F58" s="109">
        <v>314428427.57021654</v>
      </c>
      <c r="G58" s="109">
        <v>35872470.591021404</v>
      </c>
      <c r="H58" s="109">
        <v>2019229853.6797838</v>
      </c>
      <c r="J58" s="143">
        <v>17208877.989999998</v>
      </c>
      <c r="K58" s="145">
        <f t="shared" si="0"/>
        <v>-8.0886110663414001E-4</v>
      </c>
    </row>
    <row r="59" spans="1:11" x14ac:dyDescent="0.25">
      <c r="A59" s="116">
        <v>44545</v>
      </c>
      <c r="B59" s="109">
        <v>2019229853.6797838</v>
      </c>
      <c r="C59" s="109">
        <v>15985569.674964955</v>
      </c>
      <c r="D59" s="109">
        <v>329999015.38352776</v>
      </c>
      <c r="E59" s="109">
        <v>18811346.041630898</v>
      </c>
      <c r="F59" s="109">
        <v>333239773.61184746</v>
      </c>
      <c r="G59" s="109">
        <v>34796915.716595851</v>
      </c>
      <c r="H59" s="109">
        <v>2000418507.6381528</v>
      </c>
      <c r="J59" s="143">
        <v>15985569.68</v>
      </c>
      <c r="K59" s="145">
        <f t="shared" si="0"/>
        <v>5.0350446254014969E-3</v>
      </c>
    </row>
    <row r="60" spans="1:11" x14ac:dyDescent="0.25">
      <c r="A60" s="116">
        <v>44574</v>
      </c>
      <c r="B60" s="109">
        <v>2000418507.6381528</v>
      </c>
      <c r="C60" s="109">
        <v>15308758.301508641</v>
      </c>
      <c r="D60" s="109">
        <v>345307773.68503642</v>
      </c>
      <c r="E60" s="109">
        <v>18960269.197793808</v>
      </c>
      <c r="F60" s="109">
        <v>352200042.80964124</v>
      </c>
      <c r="G60" s="109">
        <v>34269027.499302447</v>
      </c>
      <c r="H60" s="109">
        <v>1981458238.4403591</v>
      </c>
      <c r="J60" s="143">
        <v>15308758.300000001</v>
      </c>
      <c r="K60" s="145">
        <f t="shared" si="0"/>
        <v>-1.5086401253938675E-3</v>
      </c>
    </row>
    <row r="61" spans="1:11" x14ac:dyDescent="0.25">
      <c r="A61" s="116">
        <v>44607</v>
      </c>
      <c r="B61" s="109">
        <v>1981458238.4403591</v>
      </c>
      <c r="C61" s="109">
        <v>17255198.826418128</v>
      </c>
      <c r="D61" s="109">
        <v>362562972.51145452</v>
      </c>
      <c r="E61" s="109">
        <v>19110371.32894301</v>
      </c>
      <c r="F61" s="109">
        <v>371310414.13858426</v>
      </c>
      <c r="G61" s="109">
        <v>36365570.155361138</v>
      </c>
      <c r="H61" s="109">
        <v>1962347867.1114161</v>
      </c>
      <c r="J61" s="143">
        <v>17255198.829999998</v>
      </c>
      <c r="K61" s="145">
        <f t="shared" si="0"/>
        <v>3.5818703472614288E-3</v>
      </c>
    </row>
    <row r="62" spans="1:11" x14ac:dyDescent="0.25">
      <c r="A62" s="116">
        <v>44635</v>
      </c>
      <c r="B62" s="109">
        <v>1962347867.1114161</v>
      </c>
      <c r="C62" s="109">
        <v>14499570.351434352</v>
      </c>
      <c r="D62" s="109">
        <v>377062542.86288887</v>
      </c>
      <c r="E62" s="109">
        <v>19261661.768630479</v>
      </c>
      <c r="F62" s="109">
        <v>390572075.90721476</v>
      </c>
      <c r="G62" s="109">
        <v>33761232.120064832</v>
      </c>
      <c r="H62" s="109">
        <v>1943086205.3427856</v>
      </c>
      <c r="J62" s="143">
        <v>14499570.35</v>
      </c>
      <c r="K62" s="145">
        <f t="shared" si="0"/>
        <v>-1.4343522489070892E-3</v>
      </c>
    </row>
    <row r="63" spans="1:11" x14ac:dyDescent="0.25">
      <c r="A63" s="116">
        <v>44665</v>
      </c>
      <c r="B63" s="109">
        <v>1943086205.3427856</v>
      </c>
      <c r="C63" s="109">
        <v>15382765.792297054</v>
      </c>
      <c r="D63" s="109">
        <v>392445308.65518594</v>
      </c>
      <c r="E63" s="109">
        <v>19414149.924298801</v>
      </c>
      <c r="F63" s="109">
        <v>409986225.83151358</v>
      </c>
      <c r="G63" s="109">
        <v>34796915.716595858</v>
      </c>
      <c r="H63" s="109">
        <v>1923672055.4184868</v>
      </c>
      <c r="J63" s="143">
        <v>15382765.789999999</v>
      </c>
      <c r="K63" s="145">
        <f t="shared" si="0"/>
        <v>-2.2970549762248993E-3</v>
      </c>
    </row>
    <row r="64" spans="1:11" x14ac:dyDescent="0.25">
      <c r="A64" s="116">
        <v>44696</v>
      </c>
      <c r="B64" s="109">
        <v>1923672055.4184868</v>
      </c>
      <c r="C64" s="109">
        <v>15736706.120020678</v>
      </c>
      <c r="D64" s="109">
        <v>408182014.77520663</v>
      </c>
      <c r="E64" s="109">
        <v>19567845.277866166</v>
      </c>
      <c r="F64" s="109">
        <v>429554071.10937977</v>
      </c>
      <c r="G64" s="109">
        <v>35304551.397886842</v>
      </c>
      <c r="H64" s="109">
        <v>1904104210.1406207</v>
      </c>
      <c r="J64" s="143">
        <v>15736706.119999999</v>
      </c>
      <c r="K64" s="145">
        <f t="shared" si="0"/>
        <v>-2.0679086446762085E-5</v>
      </c>
    </row>
    <row r="65" spans="1:11" x14ac:dyDescent="0.25">
      <c r="A65" s="116">
        <v>44727</v>
      </c>
      <c r="B65" s="109">
        <v>1904104210.1406207</v>
      </c>
      <c r="C65" s="109">
        <v>15576630.274622578</v>
      </c>
      <c r="D65" s="109">
        <v>423758645.04982919</v>
      </c>
      <c r="E65" s="109">
        <v>19722757.386315938</v>
      </c>
      <c r="F65" s="109">
        <v>449276828.49569571</v>
      </c>
      <c r="G65" s="109">
        <v>35299387.660938516</v>
      </c>
      <c r="H65" s="109">
        <v>1884381452.7543049</v>
      </c>
      <c r="J65" s="143">
        <v>15576630.27</v>
      </c>
      <c r="K65" s="145">
        <f t="shared" si="0"/>
        <v>-4.6225786209106445E-3</v>
      </c>
    </row>
    <row r="66" spans="1:11" x14ac:dyDescent="0.25">
      <c r="A66" s="116">
        <v>44756</v>
      </c>
      <c r="B66" s="109">
        <v>1884381452.7543049</v>
      </c>
      <c r="C66" s="109">
        <v>14420752.506494749</v>
      </c>
      <c r="D66" s="109">
        <v>438179397.55632395</v>
      </c>
      <c r="E66" s="109">
        <v>19878895.882290941</v>
      </c>
      <c r="F66" s="109">
        <v>469155724.37798667</v>
      </c>
      <c r="G66" s="109">
        <v>34299648.38878569</v>
      </c>
      <c r="H66" s="109">
        <v>1864502556.872014</v>
      </c>
      <c r="J66" s="143">
        <v>14420752.51</v>
      </c>
      <c r="K66" s="145">
        <f t="shared" si="0"/>
        <v>3.5052504390478134E-3</v>
      </c>
    </row>
    <row r="67" spans="1:11" x14ac:dyDescent="0.25">
      <c r="A67" s="116">
        <v>44788</v>
      </c>
      <c r="B67" s="109">
        <v>1864502556.872014</v>
      </c>
      <c r="C67" s="109">
        <v>15744688.25803034</v>
      </c>
      <c r="D67" s="109">
        <v>453924085.8143543</v>
      </c>
      <c r="E67" s="109">
        <v>20036270.474692412</v>
      </c>
      <c r="F67" s="109">
        <v>489191994.85267907</v>
      </c>
      <c r="G67" s="109">
        <v>35780958.732722752</v>
      </c>
      <c r="H67" s="109">
        <v>1844466286.3973217</v>
      </c>
      <c r="J67" s="143">
        <v>15744688.26</v>
      </c>
      <c r="K67" s="145">
        <f t="shared" si="0"/>
        <v>1.9696597009897232E-3</v>
      </c>
    </row>
    <row r="68" spans="1:11" x14ac:dyDescent="0.25">
      <c r="A68" s="116">
        <v>44819</v>
      </c>
      <c r="B68" s="109">
        <v>1844466286.3973217</v>
      </c>
      <c r="C68" s="109">
        <v>15088758.926222533</v>
      </c>
      <c r="D68" s="109">
        <v>469012844.74057686</v>
      </c>
      <c r="E68" s="109">
        <v>20194890.949283723</v>
      </c>
      <c r="F68" s="109">
        <v>509386885.80196279</v>
      </c>
      <c r="G68" s="109">
        <v>35283649.875506252</v>
      </c>
      <c r="H68" s="109">
        <v>1824271395.4480379</v>
      </c>
      <c r="J68" s="143">
        <v>15088758.93</v>
      </c>
      <c r="K68" s="145">
        <f t="shared" si="0"/>
        <v>3.7774667143821716E-3</v>
      </c>
    </row>
    <row r="69" spans="1:11" x14ac:dyDescent="0.25">
      <c r="A69" s="116">
        <v>44847</v>
      </c>
      <c r="B69" s="109">
        <v>1824271395.4480379</v>
      </c>
      <c r="C69" s="109">
        <v>13479338.644143837</v>
      </c>
      <c r="D69" s="109">
        <v>482492183.38472068</v>
      </c>
      <c r="E69" s="109">
        <v>20354767.169298891</v>
      </c>
      <c r="F69" s="109">
        <v>529741652.97126168</v>
      </c>
      <c r="G69" s="109">
        <v>33834105.813442729</v>
      </c>
      <c r="H69" s="109">
        <v>1803916628.278739</v>
      </c>
      <c r="J69" s="143">
        <v>13479338.640000001</v>
      </c>
      <c r="K69" s="145">
        <f t="shared" si="0"/>
        <v>-4.1438359767198563E-3</v>
      </c>
    </row>
    <row r="70" spans="1:11" x14ac:dyDescent="0.25">
      <c r="A70" s="116">
        <v>44880</v>
      </c>
      <c r="B70" s="109">
        <v>1803916628.278739</v>
      </c>
      <c r="C70" s="109">
        <v>15709107.304594019</v>
      </c>
      <c r="D70" s="109">
        <v>498201290.68931472</v>
      </c>
      <c r="E70" s="109">
        <v>20515909.07605584</v>
      </c>
      <c r="F70" s="109">
        <v>550257562.0473175</v>
      </c>
      <c r="G70" s="109">
        <v>36225016.380649857</v>
      </c>
      <c r="H70" s="109">
        <v>1783400719.2026832</v>
      </c>
      <c r="J70" s="143">
        <v>15709107.300000001</v>
      </c>
      <c r="K70" s="145">
        <f t="shared" si="0"/>
        <v>-4.5940186828374863E-3</v>
      </c>
    </row>
    <row r="71" spans="1:11" x14ac:dyDescent="0.25">
      <c r="A71" s="116">
        <v>44910</v>
      </c>
      <c r="B71" s="109">
        <v>1783400719.2026832</v>
      </c>
      <c r="C71" s="109">
        <v>14118589.027021244</v>
      </c>
      <c r="D71" s="109">
        <v>512319879.71633595</v>
      </c>
      <c r="E71" s="109">
        <v>20678326.689574614</v>
      </c>
      <c r="F71" s="109">
        <v>570935888.7368921</v>
      </c>
      <c r="G71" s="109">
        <v>34796915.716595858</v>
      </c>
      <c r="H71" s="109">
        <v>1762722392.5131085</v>
      </c>
      <c r="J71" s="143">
        <v>14118589.029999999</v>
      </c>
      <c r="K71" s="145">
        <f t="shared" si="0"/>
        <v>2.9787551611661911E-3</v>
      </c>
    </row>
    <row r="72" spans="1:11" x14ac:dyDescent="0.25">
      <c r="A72" s="116">
        <v>44941</v>
      </c>
      <c r="B72" s="109">
        <v>1762722392.5131085</v>
      </c>
      <c r="C72" s="109">
        <v>14420048.460975291</v>
      </c>
      <c r="D72" s="109">
        <v>526739928.17731124</v>
      </c>
      <c r="E72" s="109">
        <v>20842030.109200411</v>
      </c>
      <c r="F72" s="109">
        <v>591777918.84609246</v>
      </c>
      <c r="G72" s="109">
        <v>35262078.5701757</v>
      </c>
      <c r="H72" s="109">
        <v>1741880362.403908</v>
      </c>
      <c r="J72" s="143">
        <v>14420048.460000001</v>
      </c>
      <c r="K72" s="145">
        <f t="shared" si="0"/>
        <v>-9.7529031336307526E-4</v>
      </c>
    </row>
    <row r="73" spans="1:11" x14ac:dyDescent="0.25">
      <c r="A73" s="116">
        <v>44972</v>
      </c>
      <c r="B73" s="109">
        <v>1741880362.403908</v>
      </c>
      <c r="C73" s="109">
        <v>14249549.075776415</v>
      </c>
      <c r="D73" s="109">
        <v>540989477.25308764</v>
      </c>
      <c r="E73" s="109">
        <v>21007029.514231581</v>
      </c>
      <c r="F73" s="109">
        <v>612784948.36032403</v>
      </c>
      <c r="G73" s="109">
        <v>35256578.590007998</v>
      </c>
      <c r="H73" s="109">
        <v>1720873332.8896763</v>
      </c>
      <c r="J73" s="143">
        <v>14249549.08</v>
      </c>
      <c r="K73" s="145">
        <f t="shared" si="0"/>
        <v>4.2235851287841797E-3</v>
      </c>
    </row>
    <row r="74" spans="1:11" x14ac:dyDescent="0.25">
      <c r="A74" s="116">
        <v>45000</v>
      </c>
      <c r="B74" s="109">
        <v>1720873332.8896763</v>
      </c>
      <c r="C74" s="109">
        <v>12715341.848573718</v>
      </c>
      <c r="D74" s="109">
        <v>553704819.10166132</v>
      </c>
      <c r="E74" s="109">
        <v>21173335.164552581</v>
      </c>
      <c r="F74" s="109">
        <v>633958283.52487659</v>
      </c>
      <c r="G74" s="109">
        <v>33888677.013126299</v>
      </c>
      <c r="H74" s="109">
        <v>1699699997.7251236</v>
      </c>
      <c r="J74" s="143">
        <v>12715341.85</v>
      </c>
      <c r="K74" s="145">
        <f t="shared" si="0"/>
        <v>1.4262814074754715E-3</v>
      </c>
    </row>
    <row r="75" spans="1:11" x14ac:dyDescent="0.25">
      <c r="A75" s="116">
        <v>45029</v>
      </c>
      <c r="B75" s="109">
        <v>1699699997.7251236</v>
      </c>
      <c r="C75" s="109">
        <v>13007426.371479766</v>
      </c>
      <c r="D75" s="109">
        <v>566712245.47314107</v>
      </c>
      <c r="E75" s="109">
        <v>21340957.401271962</v>
      </c>
      <c r="F75" s="109">
        <v>655299240.92614853</v>
      </c>
      <c r="G75" s="109">
        <v>34348383.772751726</v>
      </c>
      <c r="H75" s="109">
        <v>1678359040.3238516</v>
      </c>
      <c r="J75" s="143">
        <v>13007426.369999999</v>
      </c>
      <c r="K75" s="145">
        <f t="shared" si="0"/>
        <v>-1.4797672629356384E-3</v>
      </c>
    </row>
    <row r="76" spans="1:11" x14ac:dyDescent="0.25">
      <c r="A76" s="116">
        <v>45061</v>
      </c>
      <c r="B76" s="109">
        <v>1678359040.3238516</v>
      </c>
      <c r="C76" s="109">
        <v>14172809.673845857</v>
      </c>
      <c r="D76" s="109">
        <v>580885055.14698696</v>
      </c>
      <c r="E76" s="109">
        <v>21509906.647365361</v>
      </c>
      <c r="F76" s="109">
        <v>676809147.57351387</v>
      </c>
      <c r="G76" s="109">
        <v>35682716.321211219</v>
      </c>
      <c r="H76" s="109">
        <v>1656849133.6764863</v>
      </c>
      <c r="J76" s="143">
        <v>14172809.67</v>
      </c>
      <c r="K76" s="145">
        <f t="shared" si="0"/>
        <v>-3.8458574563264847E-3</v>
      </c>
    </row>
    <row r="77" spans="1:11" x14ac:dyDescent="0.25">
      <c r="A77" s="116">
        <v>45092</v>
      </c>
      <c r="B77" s="109">
        <v>1656849133.6764863</v>
      </c>
      <c r="C77" s="109">
        <v>13553946.385214591</v>
      </c>
      <c r="D77" s="109">
        <v>594439001.53220153</v>
      </c>
      <c r="E77" s="109">
        <v>21680193.408323668</v>
      </c>
      <c r="F77" s="109">
        <v>698489340.98183751</v>
      </c>
      <c r="G77" s="109">
        <v>35234139.793538257</v>
      </c>
      <c r="H77" s="109">
        <v>1635168940.2681625</v>
      </c>
      <c r="J77" s="143">
        <v>13553946.390000001</v>
      </c>
      <c r="K77" s="145">
        <f t="shared" si="0"/>
        <v>4.7854091972112656E-3</v>
      </c>
    </row>
    <row r="78" spans="1:11" x14ac:dyDescent="0.25">
      <c r="A78" s="116">
        <v>45120</v>
      </c>
      <c r="B78" s="109">
        <v>1635168940.2681625</v>
      </c>
      <c r="C78" s="109">
        <v>12082081.614203647</v>
      </c>
      <c r="D78" s="109">
        <v>606521083.14640522</v>
      </c>
      <c r="E78" s="109">
        <v>21851828.272806231</v>
      </c>
      <c r="F78" s="109">
        <v>720341169.2546438</v>
      </c>
      <c r="G78" s="109">
        <v>33933909.887009874</v>
      </c>
      <c r="H78" s="109">
        <v>1613317111.9953563</v>
      </c>
      <c r="J78" s="143">
        <v>12082081.609999999</v>
      </c>
      <c r="K78" s="145">
        <f t="shared" si="0"/>
        <v>-4.2036473751068115E-3</v>
      </c>
    </row>
    <row r="79" spans="1:11" x14ac:dyDescent="0.25">
      <c r="A79" s="116">
        <v>45153</v>
      </c>
      <c r="B79" s="109">
        <v>1613317111.9953563</v>
      </c>
      <c r="C79" s="109">
        <v>14049303.183626227</v>
      </c>
      <c r="D79" s="109">
        <v>620570386.33003139</v>
      </c>
      <c r="E79" s="109">
        <v>22024821.913299281</v>
      </c>
      <c r="F79" s="109">
        <v>742365991.16794312</v>
      </c>
      <c r="G79" s="109">
        <v>36074125.096925512</v>
      </c>
      <c r="H79" s="109">
        <v>1591292290.082057</v>
      </c>
      <c r="J79" s="143">
        <v>14049303.18</v>
      </c>
      <c r="K79" s="145">
        <f t="shared" si="0"/>
        <v>-3.6262273788452148E-3</v>
      </c>
    </row>
    <row r="80" spans="1:11" x14ac:dyDescent="0.25">
      <c r="A80" s="116">
        <v>45183</v>
      </c>
      <c r="B80" s="109">
        <v>1591292290.082057</v>
      </c>
      <c r="C80" s="109">
        <v>12597730.629816283</v>
      </c>
      <c r="D80" s="109">
        <v>633168116.95984769</v>
      </c>
      <c r="E80" s="109">
        <v>22199185.086779565</v>
      </c>
      <c r="F80" s="109">
        <v>764565176.25472271</v>
      </c>
      <c r="G80" s="109">
        <v>34796915.716595843</v>
      </c>
      <c r="H80" s="109">
        <v>1569093104.9952774</v>
      </c>
      <c r="J80" s="143">
        <v>12597730.630000001</v>
      </c>
      <c r="K80" s="145">
        <f t="shared" si="0"/>
        <v>1.8371827900409698E-4</v>
      </c>
    </row>
    <row r="81" spans="1:11" x14ac:dyDescent="0.25">
      <c r="A81" s="116">
        <v>45214</v>
      </c>
      <c r="B81" s="109">
        <v>1569093104.9952774</v>
      </c>
      <c r="C81" s="109">
        <v>12836053.317253033</v>
      </c>
      <c r="D81" s="109">
        <v>646004170.27710068</v>
      </c>
      <c r="E81" s="109">
        <v>22374928.635383237</v>
      </c>
      <c r="F81" s="109">
        <v>786940104.89010596</v>
      </c>
      <c r="G81" s="109">
        <v>35210981.952636272</v>
      </c>
      <c r="H81" s="109">
        <v>1546718176.3598943</v>
      </c>
      <c r="J81" s="143">
        <v>12836053.32</v>
      </c>
      <c r="K81" s="145">
        <f t="shared" si="0"/>
        <v>2.7469675987958908E-3</v>
      </c>
    </row>
    <row r="82" spans="1:11" x14ac:dyDescent="0.25">
      <c r="A82" s="116">
        <v>45245</v>
      </c>
      <c r="B82" s="109">
        <v>1546718176.3598943</v>
      </c>
      <c r="C82" s="109">
        <v>12653013.970499691</v>
      </c>
      <c r="D82" s="109">
        <v>658657184.24760032</v>
      </c>
      <c r="E82" s="109">
        <v>22552063.487080023</v>
      </c>
      <c r="F82" s="109">
        <v>809492168.37718594</v>
      </c>
      <c r="G82" s="109">
        <v>35205077.457579717</v>
      </c>
      <c r="H82" s="109">
        <v>1524166112.8728142</v>
      </c>
      <c r="J82" s="143">
        <v>12653013.970000001</v>
      </c>
      <c r="K82" s="145">
        <f t="shared" si="0"/>
        <v>-4.9968995153903961E-4</v>
      </c>
    </row>
    <row r="83" spans="1:11" x14ac:dyDescent="0.25">
      <c r="A83" s="116">
        <v>45274</v>
      </c>
      <c r="B83" s="109">
        <v>1524166112.8728142</v>
      </c>
      <c r="C83" s="109">
        <v>11664104.55823501</v>
      </c>
      <c r="D83" s="109">
        <v>670321288.80583537</v>
      </c>
      <c r="E83" s="109">
        <v>22730600.65635274</v>
      </c>
      <c r="F83" s="109">
        <v>832222769.0335387</v>
      </c>
      <c r="G83" s="109">
        <v>34394705.214587748</v>
      </c>
      <c r="H83" s="109">
        <v>1501435512.2164614</v>
      </c>
      <c r="J83" s="143">
        <v>11664104.560000001</v>
      </c>
      <c r="K83" s="145">
        <f t="shared" si="0"/>
        <v>1.7649903893470764E-3</v>
      </c>
    </row>
    <row r="84" spans="1:11" x14ac:dyDescent="0.25">
      <c r="A84" s="116">
        <v>45306</v>
      </c>
      <c r="B84" s="109">
        <v>1501435512.2164614</v>
      </c>
      <c r="C84" s="109">
        <v>12678788.769827895</v>
      </c>
      <c r="D84" s="109">
        <v>683000077.57566321</v>
      </c>
      <c r="E84" s="109">
        <v>22910551.2448822</v>
      </c>
      <c r="F84" s="109">
        <v>855133320.27842093</v>
      </c>
      <c r="G84" s="109">
        <v>35589340.014710099</v>
      </c>
      <c r="H84" s="109">
        <v>1478524960.9715793</v>
      </c>
      <c r="J84" s="143">
        <v>12678788.77</v>
      </c>
      <c r="K84" s="145">
        <f t="shared" si="0"/>
        <v>1.7210468649864197E-4</v>
      </c>
    </row>
    <row r="85" spans="1:11" x14ac:dyDescent="0.25">
      <c r="A85" s="116">
        <v>45337</v>
      </c>
      <c r="B85" s="109">
        <v>1478524960.9715793</v>
      </c>
      <c r="C85" s="109">
        <v>12095155.583503615</v>
      </c>
      <c r="D85" s="109">
        <v>695095233.15916681</v>
      </c>
      <c r="E85" s="109">
        <v>23091926.442237515</v>
      </c>
      <c r="F85" s="109">
        <v>878225246.72065842</v>
      </c>
      <c r="G85" s="109">
        <v>35187082.02574113</v>
      </c>
      <c r="H85" s="109">
        <v>1455433034.5293417</v>
      </c>
      <c r="J85" s="143">
        <v>12095155.58</v>
      </c>
      <c r="K85" s="145">
        <f t="shared" si="0"/>
        <v>-3.5036150366067886E-3</v>
      </c>
    </row>
    <row r="86" spans="1:11" x14ac:dyDescent="0.25">
      <c r="A86" s="116">
        <v>45365</v>
      </c>
      <c r="B86" s="109">
        <v>1455433034.5293417</v>
      </c>
      <c r="C86" s="109">
        <v>10754032.977355691</v>
      </c>
      <c r="D86" s="109">
        <v>705849266.13652253</v>
      </c>
      <c r="E86" s="109">
        <v>23274737.5265719</v>
      </c>
      <c r="F86" s="109">
        <v>901499984.24723029</v>
      </c>
      <c r="G86" s="109">
        <v>34028770.503927588</v>
      </c>
      <c r="H86" s="109">
        <v>1432158297.0027697</v>
      </c>
      <c r="J86" s="143">
        <v>10754032.98</v>
      </c>
      <c r="K86" s="145">
        <f t="shared" si="0"/>
        <v>2.6443097740411758E-3</v>
      </c>
    </row>
    <row r="87" spans="1:11" x14ac:dyDescent="0.25">
      <c r="A87" s="116">
        <v>45397</v>
      </c>
      <c r="B87" s="109">
        <v>1432158297.0027697</v>
      </c>
      <c r="C87" s="109">
        <v>12093781.174690057</v>
      </c>
      <c r="D87" s="109">
        <v>717943047.31121254</v>
      </c>
      <c r="E87" s="109">
        <v>23458995.865323927</v>
      </c>
      <c r="F87" s="109">
        <v>924958980.11255419</v>
      </c>
      <c r="G87" s="109">
        <v>35552777.040013984</v>
      </c>
      <c r="H87" s="109">
        <v>1408699301.1374457</v>
      </c>
      <c r="J87" s="143">
        <v>12093781.17</v>
      </c>
      <c r="K87" s="145">
        <f t="shared" si="0"/>
        <v>-4.6900566667318344E-3</v>
      </c>
    </row>
    <row r="88" spans="1:11" x14ac:dyDescent="0.25">
      <c r="A88" s="116">
        <v>45427</v>
      </c>
      <c r="B88" s="109">
        <v>1408699301.1374457</v>
      </c>
      <c r="C88" s="109">
        <v>11152202.800671443</v>
      </c>
      <c r="D88" s="109">
        <v>729095250.111884</v>
      </c>
      <c r="E88" s="109">
        <v>23644712.915924404</v>
      </c>
      <c r="F88" s="109">
        <v>948603693.02847862</v>
      </c>
      <c r="G88" s="109">
        <v>34796915.716595843</v>
      </c>
      <c r="H88" s="109">
        <v>1385054588.2215214</v>
      </c>
      <c r="J88" s="143">
        <v>11152202.800000001</v>
      </c>
      <c r="K88" s="145">
        <f t="shared" si="0"/>
        <v>-6.7144259810447693E-4</v>
      </c>
    </row>
    <row r="89" spans="1:11" x14ac:dyDescent="0.25">
      <c r="A89" s="116">
        <v>45456</v>
      </c>
      <c r="B89" s="109">
        <v>1385054588.2215214</v>
      </c>
      <c r="C89" s="109">
        <v>10599514.973750809</v>
      </c>
      <c r="D89" s="109">
        <v>739694765.08563483</v>
      </c>
      <c r="E89" s="109">
        <v>23831900.226508811</v>
      </c>
      <c r="F89" s="109">
        <v>972435593.25498748</v>
      </c>
      <c r="G89" s="109">
        <v>34431415.200259618</v>
      </c>
      <c r="H89" s="109">
        <v>1361222687.9950125</v>
      </c>
      <c r="J89" s="143">
        <v>10599514.970000001</v>
      </c>
      <c r="K89" s="145">
        <f t="shared" si="0"/>
        <v>-3.7508085370063782E-3</v>
      </c>
    </row>
    <row r="90" spans="1:11" x14ac:dyDescent="0.25">
      <c r="A90" s="116">
        <v>45488</v>
      </c>
      <c r="B90" s="109">
        <v>1361222687.9950125</v>
      </c>
      <c r="C90" s="109">
        <v>11494769.365291217</v>
      </c>
      <c r="D90" s="109">
        <v>751189534.45092607</v>
      </c>
      <c r="E90" s="109">
        <v>24020569.436635338</v>
      </c>
      <c r="F90" s="109">
        <v>996456162.69162285</v>
      </c>
      <c r="G90" s="109">
        <v>35515338.801926553</v>
      </c>
      <c r="H90" s="109">
        <v>1337202118.5583773</v>
      </c>
      <c r="J90" s="143">
        <v>11494769.369999999</v>
      </c>
      <c r="K90" s="145">
        <f t="shared" si="0"/>
        <v>4.7087818384170532E-3</v>
      </c>
    </row>
    <row r="91" spans="1:11" x14ac:dyDescent="0.25">
      <c r="A91" s="116">
        <v>45519</v>
      </c>
      <c r="B91" s="109">
        <v>1337202118.5583773</v>
      </c>
      <c r="C91" s="109">
        <v>10939056.219873391</v>
      </c>
      <c r="D91" s="109">
        <v>762128590.67079949</v>
      </c>
      <c r="E91" s="109">
        <v>24210732.278008696</v>
      </c>
      <c r="F91" s="109">
        <v>1020666894.9696316</v>
      </c>
      <c r="G91" s="109">
        <v>35149788.497882083</v>
      </c>
      <c r="H91" s="109">
        <v>1312991386.2803686</v>
      </c>
      <c r="J91" s="143">
        <v>10939056.220000001</v>
      </c>
      <c r="K91" s="145">
        <f t="shared" si="0"/>
        <v>1.2660957872867584E-4</v>
      </c>
    </row>
    <row r="92" spans="1:11" x14ac:dyDescent="0.25">
      <c r="A92" s="116">
        <v>45550</v>
      </c>
      <c r="B92" s="109">
        <v>1312991386.2803686</v>
      </c>
      <c r="C92" s="109">
        <v>10740998.979432462</v>
      </c>
      <c r="D92" s="109">
        <v>772869589.65023196</v>
      </c>
      <c r="E92" s="109">
        <v>24402400.575209603</v>
      </c>
      <c r="F92" s="109">
        <v>1045069295.5448412</v>
      </c>
      <c r="G92" s="109">
        <v>35143399.554642066</v>
      </c>
      <c r="H92" s="109">
        <v>1288588985.7051589</v>
      </c>
      <c r="J92" s="143">
        <v>10740998.98</v>
      </c>
      <c r="K92" s="145">
        <f t="shared" si="0"/>
        <v>5.6753866374492645E-4</v>
      </c>
    </row>
    <row r="93" spans="1:11" x14ac:dyDescent="0.25">
      <c r="A93" s="116">
        <v>45580</v>
      </c>
      <c r="B93" s="109">
        <v>1288588985.7051589</v>
      </c>
      <c r="C93" s="109">
        <v>10201329.470165841</v>
      </c>
      <c r="D93" s="109">
        <v>783070919.12039781</v>
      </c>
      <c r="E93" s="109">
        <v>24595586.24643001</v>
      </c>
      <c r="F93" s="109">
        <v>1069664881.7912712</v>
      </c>
      <c r="G93" s="109">
        <v>34796915.716595851</v>
      </c>
      <c r="H93" s="109">
        <v>1263993399.458729</v>
      </c>
      <c r="J93" s="143">
        <v>10201329.470000001</v>
      </c>
      <c r="K93" s="145">
        <f t="shared" si="0"/>
        <v>-1.6584061086177826E-4</v>
      </c>
    </row>
    <row r="94" spans="1:11" x14ac:dyDescent="0.25">
      <c r="A94" s="116">
        <v>45610</v>
      </c>
      <c r="B94" s="109">
        <v>1263993399.458729</v>
      </c>
      <c r="C94" s="109">
        <v>10006614.412381606</v>
      </c>
      <c r="D94" s="109">
        <v>793077533.53277946</v>
      </c>
      <c r="E94" s="109">
        <v>24790301.304214247</v>
      </c>
      <c r="F94" s="109">
        <v>1094455183.0954854</v>
      </c>
      <c r="G94" s="109">
        <v>34796915.716595851</v>
      </c>
      <c r="H94" s="109">
        <v>1239203098.1545148</v>
      </c>
      <c r="J94" s="143">
        <v>10006614.41</v>
      </c>
      <c r="K94" s="145">
        <f t="shared" si="0"/>
        <v>-2.3816060274839401E-3</v>
      </c>
    </row>
    <row r="95" spans="1:11" x14ac:dyDescent="0.25">
      <c r="A95" s="116">
        <v>45641</v>
      </c>
      <c r="B95" s="109">
        <v>1239203098.1545148</v>
      </c>
      <c r="C95" s="109">
        <v>10137369.789069572</v>
      </c>
      <c r="D95" s="109">
        <v>803214903.32184899</v>
      </c>
      <c r="E95" s="109">
        <v>24986557.856205944</v>
      </c>
      <c r="F95" s="109">
        <v>1119441740.9516914</v>
      </c>
      <c r="G95" s="109">
        <v>35123927.645275518</v>
      </c>
      <c r="H95" s="109">
        <v>1214216540.2983088</v>
      </c>
      <c r="J95" s="143">
        <v>10137369.789999999</v>
      </c>
      <c r="K95" s="145">
        <f t="shared" si="0"/>
        <v>9.3042664229869843E-4</v>
      </c>
    </row>
    <row r="96" spans="1:11" x14ac:dyDescent="0.25">
      <c r="A96" s="116">
        <v>45672</v>
      </c>
      <c r="B96" s="109">
        <v>1214216540.2983088</v>
      </c>
      <c r="C96" s="109">
        <v>9932965.8643847778</v>
      </c>
      <c r="D96" s="109">
        <v>813147869.18623376</v>
      </c>
      <c r="E96" s="109">
        <v>25184368.10590091</v>
      </c>
      <c r="F96" s="109">
        <v>1144626109.0575924</v>
      </c>
      <c r="G96" s="109">
        <v>35117333.970285684</v>
      </c>
      <c r="H96" s="109">
        <v>1189032172.1924078</v>
      </c>
      <c r="J96" s="143">
        <v>9932965.8599999994</v>
      </c>
      <c r="K96" s="145">
        <f t="shared" si="0"/>
        <v>-4.3847784399986267E-3</v>
      </c>
    </row>
    <row r="97" spans="1:11" x14ac:dyDescent="0.25">
      <c r="A97" s="116">
        <v>45701</v>
      </c>
      <c r="B97" s="109">
        <v>1189032172.1924078</v>
      </c>
      <c r="C97" s="109">
        <v>9099398.9844168983</v>
      </c>
      <c r="D97" s="109">
        <v>822247268.1706506</v>
      </c>
      <c r="E97" s="109">
        <v>25383744.353405952</v>
      </c>
      <c r="F97" s="109">
        <v>1170009853.4109983</v>
      </c>
      <c r="G97" s="109">
        <v>34483143.337822855</v>
      </c>
      <c r="H97" s="109">
        <v>1163648427.8390019</v>
      </c>
      <c r="J97" s="143">
        <v>9099398.9800000004</v>
      </c>
      <c r="K97" s="145">
        <f t="shared" si="0"/>
        <v>-4.4168978929519653E-3</v>
      </c>
    </row>
    <row r="98" spans="1:11" x14ac:dyDescent="0.25">
      <c r="A98" s="116">
        <v>45729</v>
      </c>
      <c r="B98" s="109">
        <v>1163648427.8390019</v>
      </c>
      <c r="C98" s="109">
        <v>8598068.9390326254</v>
      </c>
      <c r="D98" s="109">
        <v>830845337.10968328</v>
      </c>
      <c r="E98" s="109">
        <v>25584698.996203754</v>
      </c>
      <c r="F98" s="109">
        <v>1195594552.407202</v>
      </c>
      <c r="G98" s="109">
        <v>34182767.93523638</v>
      </c>
      <c r="H98" s="109">
        <v>1138063728.8427982</v>
      </c>
      <c r="J98" s="143">
        <v>8598068.9399999995</v>
      </c>
      <c r="K98" s="145">
        <f t="shared" si="0"/>
        <v>9.6737407147884369E-4</v>
      </c>
    </row>
    <row r="99" spans="1:11" x14ac:dyDescent="0.25">
      <c r="A99" s="116">
        <v>45762</v>
      </c>
      <c r="B99" s="109">
        <v>1138063728.8427982</v>
      </c>
      <c r="C99" s="109">
        <v>9910638.3053393681</v>
      </c>
      <c r="D99" s="109">
        <v>840755975.41502261</v>
      </c>
      <c r="E99" s="109">
        <v>25787244.529923704</v>
      </c>
      <c r="F99" s="109">
        <v>1221381796.9371257</v>
      </c>
      <c r="G99" s="109">
        <v>35697882.835263073</v>
      </c>
      <c r="H99" s="109">
        <v>1112276484.3128746</v>
      </c>
      <c r="J99" s="143">
        <v>9910638.3100000005</v>
      </c>
      <c r="K99" s="145">
        <f t="shared" si="0"/>
        <v>4.660632461309433E-3</v>
      </c>
    </row>
    <row r="100" spans="1:11" x14ac:dyDescent="0.25">
      <c r="A100" s="116">
        <v>45792</v>
      </c>
      <c r="B100" s="109">
        <v>1112276484.3128746</v>
      </c>
      <c r="C100" s="109">
        <v>8805522.1674769241</v>
      </c>
      <c r="D100" s="109">
        <v>849561497.5824995</v>
      </c>
      <c r="E100" s="109">
        <v>25991393.549118929</v>
      </c>
      <c r="F100" s="109">
        <v>1247373190.4862447</v>
      </c>
      <c r="G100" s="109">
        <v>34796915.716595851</v>
      </c>
      <c r="H100" s="109">
        <v>1086285090.7637556</v>
      </c>
      <c r="J100" s="143">
        <v>8805522.1699999999</v>
      </c>
      <c r="K100" s="145">
        <f t="shared" si="0"/>
        <v>2.5230757892131805E-3</v>
      </c>
    </row>
    <row r="101" spans="1:11" x14ac:dyDescent="0.25">
      <c r="A101" s="116">
        <v>45823</v>
      </c>
      <c r="B101" s="109">
        <v>1086285090.7637556</v>
      </c>
      <c r="C101" s="109">
        <v>8886415.5341646113</v>
      </c>
      <c r="D101" s="109">
        <v>858447913.11666417</v>
      </c>
      <c r="E101" s="109">
        <v>26197158.748049453</v>
      </c>
      <c r="F101" s="109">
        <v>1273570349.2342942</v>
      </c>
      <c r="G101" s="109">
        <v>35083574.28221406</v>
      </c>
      <c r="H101" s="109">
        <v>1060087932.0157061</v>
      </c>
      <c r="J101" s="143">
        <v>8886415.5299999993</v>
      </c>
      <c r="K101" s="145">
        <f t="shared" si="0"/>
        <v>-4.1646119207143784E-3</v>
      </c>
    </row>
    <row r="102" spans="1:11" x14ac:dyDescent="0.25">
      <c r="A102" s="116">
        <v>45853</v>
      </c>
      <c r="B102" s="109">
        <v>1060087932.0157061</v>
      </c>
      <c r="C102" s="109">
        <v>8392362.7951243408</v>
      </c>
      <c r="D102" s="109">
        <v>866840275.91178846</v>
      </c>
      <c r="E102" s="109">
        <v>26404552.921471514</v>
      </c>
      <c r="F102" s="109">
        <v>1299974902.1557658</v>
      </c>
      <c r="G102" s="109">
        <v>34796915.716595858</v>
      </c>
      <c r="H102" s="109">
        <v>1033683379.0942346</v>
      </c>
      <c r="J102" s="143">
        <v>8392362.8000000007</v>
      </c>
      <c r="K102" s="145">
        <f t="shared" si="0"/>
        <v>4.8756599426269531E-3</v>
      </c>
    </row>
    <row r="103" spans="1:11" x14ac:dyDescent="0.25">
      <c r="A103" s="116">
        <v>45883</v>
      </c>
      <c r="B103" s="109">
        <v>1033683379.0942346</v>
      </c>
      <c r="C103" s="109">
        <v>8183326.751162691</v>
      </c>
      <c r="D103" s="109">
        <v>875023602.66295111</v>
      </c>
      <c r="E103" s="109">
        <v>26613588.965433162</v>
      </c>
      <c r="F103" s="109">
        <v>1326588491.1211989</v>
      </c>
      <c r="G103" s="109">
        <v>34796915.716595851</v>
      </c>
      <c r="H103" s="109">
        <v>1007069790.1288015</v>
      </c>
      <c r="J103" s="143">
        <v>8183326.75</v>
      </c>
      <c r="K103" s="145">
        <f t="shared" si="0"/>
        <v>-1.1626910418272018E-3</v>
      </c>
    </row>
    <row r="104" spans="1:11" x14ac:dyDescent="0.25">
      <c r="A104" s="116">
        <v>45915</v>
      </c>
      <c r="B104" s="109">
        <v>1007069790.1288015</v>
      </c>
      <c r="C104" s="109">
        <v>8504144.8944209907</v>
      </c>
      <c r="D104" s="109">
        <v>883527747.55737209</v>
      </c>
      <c r="E104" s="109">
        <v>26824279.878076173</v>
      </c>
      <c r="F104" s="109">
        <v>1353412770.999275</v>
      </c>
      <c r="G104" s="109">
        <v>35328424.772497162</v>
      </c>
      <c r="H104" s="109">
        <v>980245510.25072527</v>
      </c>
      <c r="J104" s="143">
        <v>8504144.8900000006</v>
      </c>
      <c r="K104" s="145">
        <f t="shared" si="0"/>
        <v>-4.4209901243448257E-3</v>
      </c>
    </row>
    <row r="105" spans="1:11" x14ac:dyDescent="0.25">
      <c r="A105" s="116">
        <v>45945</v>
      </c>
      <c r="B105" s="109">
        <v>980245510.25072527</v>
      </c>
      <c r="C105" s="109">
        <v>7760276.9561515758</v>
      </c>
      <c r="D105" s="109">
        <v>891288024.5135237</v>
      </c>
      <c r="E105" s="109">
        <v>27036638.76044428</v>
      </c>
      <c r="F105" s="109">
        <v>1380449409.7597191</v>
      </c>
      <c r="G105" s="109">
        <v>34796915.716595858</v>
      </c>
      <c r="H105" s="109">
        <v>953208871.49028099</v>
      </c>
      <c r="J105" s="143">
        <v>7760276.96</v>
      </c>
      <c r="K105" s="145">
        <f t="shared" si="0"/>
        <v>3.8484241813421249E-3</v>
      </c>
    </row>
    <row r="106" spans="1:11" x14ac:dyDescent="0.25">
      <c r="A106" s="116">
        <v>45974</v>
      </c>
      <c r="B106" s="109">
        <v>953208871.49028099</v>
      </c>
      <c r="C106" s="109">
        <v>7294695.669321456</v>
      </c>
      <c r="D106" s="109">
        <v>898582720.18284512</v>
      </c>
      <c r="E106" s="109">
        <v>27250678.81729779</v>
      </c>
      <c r="F106" s="109">
        <v>1407700088.5770168</v>
      </c>
      <c r="G106" s="109">
        <v>34545374.486619249</v>
      </c>
      <c r="H106" s="109">
        <v>925958192.67298317</v>
      </c>
      <c r="J106" s="143">
        <v>7294695.6699999999</v>
      </c>
      <c r="K106" s="145">
        <f t="shared" ref="K106:K136" si="1">+J106-C106</f>
        <v>6.7854393273591995E-4</v>
      </c>
    </row>
    <row r="107" spans="1:11" x14ac:dyDescent="0.25">
      <c r="A107" s="116">
        <v>46006</v>
      </c>
      <c r="B107" s="109">
        <v>925958192.67298317</v>
      </c>
      <c r="C107" s="109">
        <v>7819202.5159051912</v>
      </c>
      <c r="D107" s="109">
        <v>906401922.69875026</v>
      </c>
      <c r="E107" s="109">
        <v>27466413.357934736</v>
      </c>
      <c r="F107" s="109">
        <v>1435166501.9349515</v>
      </c>
      <c r="G107" s="109">
        <v>35285615.87383993</v>
      </c>
      <c r="H107" s="109">
        <v>898491779.31504846</v>
      </c>
      <c r="J107" s="143">
        <v>7819202.5199999996</v>
      </c>
      <c r="K107" s="145">
        <f t="shared" si="1"/>
        <v>4.0948083624243736E-3</v>
      </c>
    </row>
    <row r="108" spans="1:11" x14ac:dyDescent="0.25">
      <c r="A108" s="116">
        <v>46037</v>
      </c>
      <c r="B108" s="109">
        <v>898491779.31504846</v>
      </c>
      <c r="C108" s="109">
        <v>7350161.9168967158</v>
      </c>
      <c r="D108" s="109">
        <v>913752084.61564696</v>
      </c>
      <c r="E108" s="109">
        <v>27683855.797018386</v>
      </c>
      <c r="F108" s="109">
        <v>1462850357.7319698</v>
      </c>
      <c r="G108" s="109">
        <v>35034017.713915102</v>
      </c>
      <c r="H108" s="109">
        <v>870807923.51803005</v>
      </c>
      <c r="J108" s="143">
        <v>7350161.9199999999</v>
      </c>
      <c r="K108" s="145">
        <f t="shared" si="1"/>
        <v>3.103284165263176E-3</v>
      </c>
    </row>
    <row r="109" spans="1:11" x14ac:dyDescent="0.25">
      <c r="A109" s="116">
        <v>46068</v>
      </c>
      <c r="B109" s="109">
        <v>870807923.51803005</v>
      </c>
      <c r="C109" s="109">
        <v>7123692.5965572186</v>
      </c>
      <c r="D109" s="109">
        <v>920875777.21220422</v>
      </c>
      <c r="E109" s="109">
        <v>27903019.655411448</v>
      </c>
      <c r="F109" s="109">
        <v>1490753377.3873813</v>
      </c>
      <c r="G109" s="109">
        <v>35026712.251968667</v>
      </c>
      <c r="H109" s="109">
        <v>842904903.86261857</v>
      </c>
      <c r="J109" s="143">
        <v>7123692.5999999996</v>
      </c>
      <c r="K109" s="145">
        <f t="shared" si="1"/>
        <v>3.4427810460329056E-3</v>
      </c>
    </row>
    <row r="110" spans="1:11" x14ac:dyDescent="0.25">
      <c r="A110" s="116">
        <v>46096</v>
      </c>
      <c r="B110" s="109">
        <v>842904903.86261857</v>
      </c>
      <c r="C110" s="109">
        <v>6228130.6785404589</v>
      </c>
      <c r="D110" s="109">
        <v>927103907.89074469</v>
      </c>
      <c r="E110" s="109">
        <v>28123918.561016787</v>
      </c>
      <c r="F110" s="109">
        <v>1518877295.9483981</v>
      </c>
      <c r="G110" s="109">
        <v>34352049.239557244</v>
      </c>
      <c r="H110" s="109">
        <v>814780985.30160177</v>
      </c>
      <c r="J110" s="143">
        <v>6228130.6799999997</v>
      </c>
      <c r="K110" s="145">
        <f t="shared" si="1"/>
        <v>1.4595407992601395E-3</v>
      </c>
    </row>
    <row r="111" spans="1:11" x14ac:dyDescent="0.25">
      <c r="A111" s="116">
        <v>46127</v>
      </c>
      <c r="B111" s="109">
        <v>814780985.30160177</v>
      </c>
      <c r="C111" s="109">
        <v>6665361.1158700483</v>
      </c>
      <c r="D111" s="109">
        <v>933769269.00661469</v>
      </c>
      <c r="E111" s="109">
        <v>28346566.249624837</v>
      </c>
      <c r="F111" s="109">
        <v>1547223862.1980228</v>
      </c>
      <c r="G111" s="109">
        <v>35011927.365494885</v>
      </c>
      <c r="H111" s="109">
        <v>786434419.05197692</v>
      </c>
      <c r="J111" s="143">
        <v>6665361.1200000001</v>
      </c>
      <c r="K111" s="145">
        <f t="shared" si="1"/>
        <v>4.1299518197774887E-3</v>
      </c>
    </row>
    <row r="112" spans="1:11" x14ac:dyDescent="0.25">
      <c r="A112" s="116">
        <v>46156</v>
      </c>
      <c r="B112" s="109">
        <v>786434419.05197692</v>
      </c>
      <c r="C112" s="109">
        <v>6018407.8458005451</v>
      </c>
      <c r="D112" s="109">
        <v>939787676.8524152</v>
      </c>
      <c r="E112" s="109">
        <v>28570976.565767698</v>
      </c>
      <c r="F112" s="109">
        <v>1575794838.7637906</v>
      </c>
      <c r="G112" s="109">
        <v>34589384.411568239</v>
      </c>
      <c r="H112" s="109">
        <v>757863442.48620927</v>
      </c>
      <c r="J112" s="143">
        <v>6018407.8499999996</v>
      </c>
      <c r="K112" s="145">
        <f t="shared" si="1"/>
        <v>4.1994545608758926E-3</v>
      </c>
    </row>
    <row r="113" spans="1:11" x14ac:dyDescent="0.25">
      <c r="A113" s="116">
        <v>46188</v>
      </c>
      <c r="B113" s="109">
        <v>757863442.48620927</v>
      </c>
      <c r="C113" s="109">
        <v>6399735.7365502119</v>
      </c>
      <c r="D113" s="109">
        <v>946187412.58896542</v>
      </c>
      <c r="E113" s="109">
        <v>28797163.463580031</v>
      </c>
      <c r="F113" s="109">
        <v>1604592002.2273707</v>
      </c>
      <c r="G113" s="109">
        <v>35196899.200130239</v>
      </c>
      <c r="H113" s="109">
        <v>729066279.02262926</v>
      </c>
      <c r="J113" s="143">
        <v>6399735.7400000002</v>
      </c>
      <c r="K113" s="145">
        <f t="shared" si="1"/>
        <v>3.4497883170843124E-3</v>
      </c>
    </row>
    <row r="114" spans="1:11" x14ac:dyDescent="0.25">
      <c r="A114" s="116">
        <v>46218</v>
      </c>
      <c r="B114" s="109">
        <v>729066279.02262926</v>
      </c>
      <c r="C114" s="109">
        <v>5771774.7089291485</v>
      </c>
      <c r="D114" s="109">
        <v>951959187.2978946</v>
      </c>
      <c r="E114" s="109">
        <v>29025141.007666707</v>
      </c>
      <c r="F114" s="109">
        <v>1633617143.2350373</v>
      </c>
      <c r="G114" s="109">
        <v>34796915.716595858</v>
      </c>
      <c r="H114" s="109">
        <v>700041138.01496255</v>
      </c>
      <c r="J114" s="143">
        <v>5771774.71</v>
      </c>
      <c r="K114" s="145">
        <f t="shared" si="1"/>
        <v>1.0708514600992203E-3</v>
      </c>
    </row>
    <row r="115" spans="1:11" x14ac:dyDescent="0.25">
      <c r="A115" s="116">
        <v>46247</v>
      </c>
      <c r="B115" s="109">
        <v>700041138.01496255</v>
      </c>
      <c r="C115" s="109">
        <v>5357259.2645311719</v>
      </c>
      <c r="D115" s="109">
        <v>957316446.56242573</v>
      </c>
      <c r="E115" s="109">
        <v>29254923.3739774</v>
      </c>
      <c r="F115" s="109">
        <v>1662872066.6090147</v>
      </c>
      <c r="G115" s="109">
        <v>34612182.638508573</v>
      </c>
      <c r="H115" s="109">
        <v>670786214.64098513</v>
      </c>
      <c r="J115" s="143">
        <v>5357259.26</v>
      </c>
      <c r="K115" s="145">
        <f t="shared" si="1"/>
        <v>-4.5311721041798592E-3</v>
      </c>
    </row>
    <row r="116" spans="1:11" x14ac:dyDescent="0.25">
      <c r="A116" s="116">
        <v>46280</v>
      </c>
      <c r="B116" s="109">
        <v>670786214.64098513</v>
      </c>
      <c r="C116" s="109">
        <v>5841429.9524985785</v>
      </c>
      <c r="D116" s="109">
        <v>963157876.51492429</v>
      </c>
      <c r="E116" s="109">
        <v>29486524.850688051</v>
      </c>
      <c r="F116" s="109">
        <v>1692358591.4597027</v>
      </c>
      <c r="G116" s="109">
        <v>35327954.803186633</v>
      </c>
      <c r="H116" s="109">
        <v>641299689.79029703</v>
      </c>
      <c r="J116" s="143">
        <v>5841429.9500000002</v>
      </c>
      <c r="K116" s="145">
        <f t="shared" si="1"/>
        <v>-2.498578280210495E-3</v>
      </c>
    </row>
    <row r="117" spans="1:11" x14ac:dyDescent="0.25">
      <c r="A117" s="116">
        <v>46310</v>
      </c>
      <c r="B117" s="109">
        <v>641299689.79029703</v>
      </c>
      <c r="C117" s="109">
        <v>5076955.8775065187</v>
      </c>
      <c r="D117" s="109">
        <v>968234832.39243078</v>
      </c>
      <c r="E117" s="109">
        <v>29719959.839089338</v>
      </c>
      <c r="F117" s="109">
        <v>1722078551.2987921</v>
      </c>
      <c r="G117" s="109">
        <v>34796915.716595858</v>
      </c>
      <c r="H117" s="109">
        <v>611579729.95120764</v>
      </c>
      <c r="J117" s="143">
        <v>5076955.88</v>
      </c>
      <c r="K117" s="145">
        <f t="shared" si="1"/>
        <v>2.4934811517596245E-3</v>
      </c>
    </row>
    <row r="118" spans="1:11" x14ac:dyDescent="0.25">
      <c r="A118" s="116">
        <v>46341</v>
      </c>
      <c r="B118" s="109">
        <v>611579729.95120764</v>
      </c>
      <c r="C118" s="109">
        <v>5003061.9575175187</v>
      </c>
      <c r="D118" s="109">
        <v>973237894.34994829</v>
      </c>
      <c r="E118" s="109">
        <v>29955242.854482125</v>
      </c>
      <c r="F118" s="109">
        <v>1752033794.1532743</v>
      </c>
      <c r="G118" s="109">
        <v>34958304.811999641</v>
      </c>
      <c r="H118" s="109">
        <v>581624487.09672546</v>
      </c>
      <c r="J118" s="143">
        <v>5003061.96</v>
      </c>
      <c r="K118" s="145">
        <f t="shared" si="1"/>
        <v>2.4824813008308411E-3</v>
      </c>
    </row>
    <row r="119" spans="1:11" x14ac:dyDescent="0.25">
      <c r="A119" s="116">
        <v>46371</v>
      </c>
      <c r="B119" s="109">
        <v>581624487.09672546</v>
      </c>
      <c r="C119" s="109">
        <v>4604527.1895157434</v>
      </c>
      <c r="D119" s="109">
        <v>977842421.539464</v>
      </c>
      <c r="E119" s="109">
        <v>30192388.527080107</v>
      </c>
      <c r="F119" s="109">
        <v>1782226182.6803544</v>
      </c>
      <c r="G119" s="109">
        <v>34796915.716595851</v>
      </c>
      <c r="H119" s="109">
        <v>551432098.5696454</v>
      </c>
      <c r="J119" s="143">
        <v>4604527.1900000004</v>
      </c>
      <c r="K119" s="145">
        <f t="shared" si="1"/>
        <v>4.8425700515508652E-4</v>
      </c>
    </row>
    <row r="120" spans="1:11" x14ac:dyDescent="0.25">
      <c r="A120" s="116">
        <v>46401</v>
      </c>
      <c r="B120" s="109">
        <v>551432098.5696454</v>
      </c>
      <c r="C120" s="109">
        <v>4365504.1136763599</v>
      </c>
      <c r="D120" s="109">
        <v>982207925.65314031</v>
      </c>
      <c r="E120" s="109">
        <v>30431411.602919497</v>
      </c>
      <c r="F120" s="109">
        <v>1812657594.2832739</v>
      </c>
      <c r="G120" s="109">
        <v>34796915.716595858</v>
      </c>
      <c r="H120" s="109">
        <v>521000686.96672589</v>
      </c>
      <c r="J120" s="143">
        <v>4365504.1100000003</v>
      </c>
      <c r="K120" s="145">
        <f t="shared" si="1"/>
        <v>-3.6763595417141914E-3</v>
      </c>
    </row>
    <row r="121" spans="1:11" x14ac:dyDescent="0.25">
      <c r="A121" s="116">
        <v>46433</v>
      </c>
      <c r="B121" s="109">
        <v>521000686.96672589</v>
      </c>
      <c r="C121" s="109">
        <v>4399561.3566079075</v>
      </c>
      <c r="D121" s="109">
        <v>986607487.00974822</v>
      </c>
      <c r="E121" s="109">
        <v>30672326.944775939</v>
      </c>
      <c r="F121" s="109">
        <v>1843329921.2280498</v>
      </c>
      <c r="G121" s="109">
        <v>35071888.301383846</v>
      </c>
      <c r="H121" s="109">
        <v>490328360.02194995</v>
      </c>
      <c r="J121" s="143">
        <v>4399561.3600000003</v>
      </c>
      <c r="K121" s="145">
        <f t="shared" si="1"/>
        <v>3.3920928835868835E-3</v>
      </c>
    </row>
    <row r="122" spans="1:11" x14ac:dyDescent="0.25">
      <c r="A122" s="116">
        <v>46461</v>
      </c>
      <c r="B122" s="109">
        <v>490328360.02194995</v>
      </c>
      <c r="C122" s="109">
        <v>3622981.7712732973</v>
      </c>
      <c r="D122" s="109">
        <v>990230468.78102148</v>
      </c>
      <c r="E122" s="109">
        <v>30915149.533088747</v>
      </c>
      <c r="F122" s="109">
        <v>1874245070.7611384</v>
      </c>
      <c r="G122" s="109">
        <v>34538131.304362044</v>
      </c>
      <c r="H122" s="109">
        <v>459413210.4888612</v>
      </c>
      <c r="J122" s="143">
        <v>3622981.77</v>
      </c>
      <c r="K122" s="145">
        <f t="shared" si="1"/>
        <v>-1.2732972390949726E-3</v>
      </c>
    </row>
    <row r="123" spans="1:11" x14ac:dyDescent="0.25">
      <c r="A123" s="116">
        <v>46492</v>
      </c>
      <c r="B123" s="109">
        <v>459413210.4888612</v>
      </c>
      <c r="C123" s="109">
        <v>3758255.2913602674</v>
      </c>
      <c r="D123" s="109">
        <v>993988724.07238173</v>
      </c>
      <c r="E123" s="109">
        <v>31159894.466892369</v>
      </c>
      <c r="F123" s="109">
        <v>1905404965.2280309</v>
      </c>
      <c r="G123" s="109">
        <v>34918149.758252636</v>
      </c>
      <c r="H123" s="109">
        <v>428253316.02196884</v>
      </c>
      <c r="J123" s="143">
        <v>3758255.29</v>
      </c>
      <c r="K123" s="145">
        <f t="shared" si="1"/>
        <v>-1.3602674007415771E-3</v>
      </c>
    </row>
    <row r="124" spans="1:11" x14ac:dyDescent="0.25">
      <c r="A124" s="116">
        <v>46520</v>
      </c>
      <c r="B124" s="109">
        <v>428253316.02196884</v>
      </c>
      <c r="C124" s="109">
        <v>3164316.1683845473</v>
      </c>
      <c r="D124" s="109">
        <v>997153040.24076629</v>
      </c>
      <c r="E124" s="109">
        <v>31406576.964755263</v>
      </c>
      <c r="F124" s="109">
        <v>1936811542.1927862</v>
      </c>
      <c r="G124" s="109">
        <v>34570893.133139811</v>
      </c>
      <c r="H124" s="109">
        <v>396846739.0572136</v>
      </c>
      <c r="J124" s="143">
        <v>3164316.17</v>
      </c>
      <c r="K124" s="145">
        <f t="shared" si="1"/>
        <v>1.6154525801539421E-3</v>
      </c>
    </row>
    <row r="125" spans="1:11" x14ac:dyDescent="0.25">
      <c r="A125" s="116">
        <v>46553</v>
      </c>
      <c r="B125" s="109">
        <v>396846739.0572136</v>
      </c>
      <c r="C125" s="109">
        <v>3455873.685956568</v>
      </c>
      <c r="D125" s="109">
        <v>1000608913.9267229</v>
      </c>
      <c r="E125" s="109">
        <v>31655212.365726247</v>
      </c>
      <c r="F125" s="109">
        <v>1968466754.5585124</v>
      </c>
      <c r="G125" s="109">
        <v>35111086.051682815</v>
      </c>
      <c r="H125" s="109">
        <v>365191526.69148737</v>
      </c>
      <c r="J125" s="143">
        <v>3455873.69</v>
      </c>
      <c r="K125" s="145">
        <f t="shared" si="1"/>
        <v>4.0434319525957108E-3</v>
      </c>
    </row>
    <row r="126" spans="1:11" x14ac:dyDescent="0.25">
      <c r="A126" s="116">
        <v>46583</v>
      </c>
      <c r="B126" s="109">
        <v>365191526.69148737</v>
      </c>
      <c r="C126" s="109">
        <v>2891099.5863076085</v>
      </c>
      <c r="D126" s="109">
        <v>1003500013.5130305</v>
      </c>
      <c r="E126" s="109">
        <v>31905816.130288243</v>
      </c>
      <c r="F126" s="109">
        <v>2000372570.6888008</v>
      </c>
      <c r="G126" s="109">
        <v>34796915.716595851</v>
      </c>
      <c r="H126" s="109">
        <v>333285710.56119913</v>
      </c>
      <c r="J126" s="143">
        <v>2891099.59</v>
      </c>
      <c r="K126" s="145">
        <f t="shared" si="1"/>
        <v>3.6923913285136223E-3</v>
      </c>
    </row>
    <row r="127" spans="1:11" x14ac:dyDescent="0.25">
      <c r="A127" s="116">
        <v>46614</v>
      </c>
      <c r="B127" s="109">
        <v>333285710.56119913</v>
      </c>
      <c r="C127" s="109">
        <v>2726462.2711186986</v>
      </c>
      <c r="D127" s="109">
        <v>1006226475.7841492</v>
      </c>
      <c r="E127" s="109">
        <v>32158403.841319691</v>
      </c>
      <c r="F127" s="109">
        <v>2032530974.5301206</v>
      </c>
      <c r="G127" s="109">
        <v>34884866.112438388</v>
      </c>
      <c r="H127" s="109">
        <v>301127306.71987945</v>
      </c>
      <c r="J127" s="143">
        <v>2726462.27</v>
      </c>
      <c r="K127" s="145">
        <f t="shared" si="1"/>
        <v>-1.1186986230313778E-3</v>
      </c>
    </row>
    <row r="128" spans="1:11" x14ac:dyDescent="0.25">
      <c r="A128" s="116">
        <v>46645</v>
      </c>
      <c r="B128" s="109">
        <v>301127306.71987945</v>
      </c>
      <c r="C128" s="109">
        <v>2463388.6619167919</v>
      </c>
      <c r="D128" s="109">
        <v>1008689864.4460659</v>
      </c>
      <c r="E128" s="109">
        <v>32412991.205063473</v>
      </c>
      <c r="F128" s="109">
        <v>2064943965.7351842</v>
      </c>
      <c r="G128" s="109">
        <v>34876379.866980262</v>
      </c>
      <c r="H128" s="109">
        <v>268714315.51481599</v>
      </c>
      <c r="J128" s="143">
        <v>2463388.66</v>
      </c>
      <c r="K128" s="145">
        <f t="shared" si="1"/>
        <v>-1.9167917780578136E-3</v>
      </c>
    </row>
    <row r="129" spans="1:11" x14ac:dyDescent="0.25">
      <c r="A129" s="116">
        <v>46674</v>
      </c>
      <c r="B129" s="109">
        <v>268714315.51481599</v>
      </c>
      <c r="C129" s="109">
        <v>2056410.9423425503</v>
      </c>
      <c r="D129" s="109">
        <v>1010746275.3884084</v>
      </c>
      <c r="E129" s="109">
        <v>32669594.05210356</v>
      </c>
      <c r="F129" s="109">
        <v>2097613559.7872877</v>
      </c>
      <c r="G129" s="109">
        <v>34726004.994446114</v>
      </c>
      <c r="H129" s="109">
        <v>236044721.46271244</v>
      </c>
      <c r="J129" s="143">
        <v>2056410.94</v>
      </c>
      <c r="K129" s="145">
        <f t="shared" si="1"/>
        <v>-2.3425503168255091E-3</v>
      </c>
    </row>
    <row r="130" spans="1:11" x14ac:dyDescent="0.25">
      <c r="A130" s="116">
        <v>46706</v>
      </c>
      <c r="B130" s="109">
        <v>236044721.46271244</v>
      </c>
      <c r="C130" s="109">
        <v>1993266.5367962383</v>
      </c>
      <c r="D130" s="109">
        <v>1012739541.9252046</v>
      </c>
      <c r="E130" s="109">
        <v>32928228.33834938</v>
      </c>
      <c r="F130" s="109">
        <v>2130541788.1256371</v>
      </c>
      <c r="G130" s="109">
        <v>34921494.875145614</v>
      </c>
      <c r="H130" s="109">
        <v>203116493.12436306</v>
      </c>
      <c r="J130" s="143">
        <v>1993266.54</v>
      </c>
      <c r="K130" s="145">
        <f t="shared" si="1"/>
        <v>3.2037617638707161E-3</v>
      </c>
    </row>
    <row r="131" spans="1:11" x14ac:dyDescent="0.25">
      <c r="A131" s="116">
        <v>46736</v>
      </c>
      <c r="B131" s="109">
        <v>203116493.12436306</v>
      </c>
      <c r="C131" s="109">
        <v>1608005.5705678745</v>
      </c>
      <c r="D131" s="109">
        <v>1014347547.4957725</v>
      </c>
      <c r="E131" s="109">
        <v>33188910.146027979</v>
      </c>
      <c r="F131" s="109">
        <v>2163730698.2716651</v>
      </c>
      <c r="G131" s="109">
        <v>34796915.716595851</v>
      </c>
      <c r="H131" s="109">
        <v>169927582.97833508</v>
      </c>
      <c r="J131" s="143">
        <v>1608005.57</v>
      </c>
      <c r="K131" s="145">
        <f t="shared" si="1"/>
        <v>-5.6787440553307533E-4</v>
      </c>
    </row>
    <row r="132" spans="1:11" x14ac:dyDescent="0.25">
      <c r="A132" s="116">
        <v>46765</v>
      </c>
      <c r="B132" s="109">
        <v>169927582.97833508</v>
      </c>
      <c r="C132" s="109">
        <v>1300418.0308480922</v>
      </c>
      <c r="D132" s="109">
        <v>1015647965.5266206</v>
      </c>
      <c r="E132" s="109">
        <v>33451655.684684038</v>
      </c>
      <c r="F132" s="109">
        <v>2197182353.9563494</v>
      </c>
      <c r="G132" s="109">
        <v>34752073.715532131</v>
      </c>
      <c r="H132" s="109">
        <v>136475927.29365104</v>
      </c>
      <c r="J132" s="143">
        <v>1300418.03</v>
      </c>
      <c r="K132" s="145">
        <f t="shared" si="1"/>
        <v>-8.4809213876724243E-4</v>
      </c>
    </row>
    <row r="133" spans="1:11" x14ac:dyDescent="0.25">
      <c r="A133" s="116">
        <v>46798</v>
      </c>
      <c r="B133" s="109">
        <v>136475927.29365104</v>
      </c>
      <c r="C133" s="109">
        <v>1188477.8668488776</v>
      </c>
      <c r="D133" s="109">
        <v>1016836443.3934695</v>
      </c>
      <c r="E133" s="109">
        <v>33716481.29218778</v>
      </c>
      <c r="F133" s="109">
        <v>2230898835.2485371</v>
      </c>
      <c r="G133" s="109">
        <v>34904959.159036659</v>
      </c>
      <c r="H133" s="109">
        <v>102759446.00146326</v>
      </c>
      <c r="J133" s="143">
        <v>1188477.8700000001</v>
      </c>
      <c r="K133" s="145">
        <f t="shared" si="1"/>
        <v>3.1511224806308746E-3</v>
      </c>
    </row>
    <row r="134" spans="1:11" x14ac:dyDescent="0.25">
      <c r="A134" s="116">
        <v>46827</v>
      </c>
      <c r="B134" s="109">
        <v>102759446.00146326</v>
      </c>
      <c r="C134" s="109">
        <v>786395.20481675363</v>
      </c>
      <c r="D134" s="109">
        <v>1017622838.5982862</v>
      </c>
      <c r="E134" s="109">
        <v>33983403.435750939</v>
      </c>
      <c r="F134" s="109">
        <v>2264882238.684288</v>
      </c>
      <c r="G134" s="109">
        <v>34769798.64056769</v>
      </c>
      <c r="H134" s="109">
        <v>68776042.565712333</v>
      </c>
      <c r="J134" s="143">
        <v>786395.2</v>
      </c>
      <c r="K134" s="145">
        <f t="shared" si="1"/>
        <v>-4.8167536733672023E-3</v>
      </c>
    </row>
    <row r="135" spans="1:11" x14ac:dyDescent="0.25">
      <c r="A135" s="116">
        <v>46856</v>
      </c>
      <c r="B135" s="109">
        <v>68776042.565712333</v>
      </c>
      <c r="C135" s="109">
        <v>526327.77019038191</v>
      </c>
      <c r="D135" s="109">
        <v>1018149166.3684765</v>
      </c>
      <c r="E135" s="109">
        <v>34252438.712950632</v>
      </c>
      <c r="F135" s="109">
        <v>2299134677.3972387</v>
      </c>
      <c r="G135" s="109">
        <v>34778766.483141012</v>
      </c>
      <c r="H135" s="109">
        <v>34523603.852761701</v>
      </c>
      <c r="J135" s="143">
        <v>526327.77</v>
      </c>
      <c r="K135" s="145">
        <f t="shared" si="1"/>
        <v>-1.9038189202547073E-4</v>
      </c>
    </row>
    <row r="136" spans="1:11" x14ac:dyDescent="0.25">
      <c r="A136" s="116">
        <v>46888</v>
      </c>
      <c r="B136" s="109">
        <v>34523603.852761701</v>
      </c>
      <c r="C136" s="109">
        <v>291532.6547566544</v>
      </c>
      <c r="D136" s="109">
        <v>1018440699.0232332</v>
      </c>
      <c r="E136" s="109">
        <v>34523603.852761492</v>
      </c>
      <c r="F136" s="109">
        <v>2333658281.25</v>
      </c>
      <c r="G136" s="109">
        <v>34815136.50751815</v>
      </c>
      <c r="H136" s="109">
        <v>2.0861625671386719E-7</v>
      </c>
      <c r="J136" s="143">
        <v>291532.65000000002</v>
      </c>
      <c r="K136" s="145">
        <f t="shared" si="1"/>
        <v>-4.756654379889369E-3</v>
      </c>
    </row>
  </sheetData>
  <pageMargins left="0.7" right="0.22" top="0.21" bottom="0.17" header="0.3" footer="0.3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SKS Edible Oil_Loan</vt:lpstr>
      <vt:lpstr>Accrual_SKS Edible Oil</vt:lpstr>
      <vt:lpstr>Repayment Schedule</vt:lpstr>
      <vt:lpstr>'SKS Edible Oil_Loan'!Print_Area</vt:lpstr>
    </vt:vector>
  </TitlesOfParts>
  <Company>IDCOL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Zabir Ibne Raquib</dc:creator>
  <cp:lastModifiedBy>Mokaddim Jashim Bhuiyan</cp:lastModifiedBy>
  <cp:lastPrinted>2015-03-05T06:44:36Z</cp:lastPrinted>
  <dcterms:created xsi:type="dcterms:W3CDTF">2004-09-21T04:29:34Z</dcterms:created>
  <dcterms:modified xsi:type="dcterms:W3CDTF">2021-02-04T12:02:27Z</dcterms:modified>
</cp:coreProperties>
</file>