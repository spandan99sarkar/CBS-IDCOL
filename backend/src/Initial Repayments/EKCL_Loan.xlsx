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dfs01\CREDIT ADMIN\Credit Administration Department\All-Loan-BdBank_Revised\Term_Loans\INFRASTRUCTURE LOANS\BDT LOANS\"/>
    </mc:Choice>
  </mc:AlternateContent>
  <xr:revisionPtr revIDLastSave="0" documentId="13_ncr:1_{754E462C-4787-4425-8363-DBF6A3CCEB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bursement" sheetId="4" r:id="rId1"/>
    <sheet name="Summary" sheetId="5" r:id="rId2"/>
    <sheet name="EKCL_BDT_Loan" sheetId="2" r:id="rId3"/>
    <sheet name="Accrual_EKCL" sheetId="3" r:id="rId4"/>
    <sheet name="Repayment Schedule" sheetId="8" r:id="rId5"/>
  </sheets>
  <definedNames>
    <definedName name="_xlnm.Print_Area" localSheetId="2">EKCL_BDT_Loan!$A$1:$J$40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" i="5" l="1"/>
  <c r="AI25" i="5"/>
  <c r="T21" i="5"/>
  <c r="Q21" i="5"/>
  <c r="W25" i="5"/>
  <c r="T25" i="5"/>
  <c r="AA35" i="5"/>
  <c r="Z35" i="5"/>
  <c r="Y35" i="5"/>
  <c r="X35" i="5"/>
  <c r="W35" i="5"/>
  <c r="Q25" i="5" l="1"/>
  <c r="K25" i="5"/>
  <c r="H35" i="5" l="1"/>
  <c r="I34" i="3"/>
  <c r="I29" i="3" s="1"/>
  <c r="D28" i="3"/>
  <c r="E34" i="2"/>
  <c r="D34" i="2"/>
  <c r="D39" i="2"/>
  <c r="C33" i="2"/>
  <c r="D9" i="4"/>
  <c r="C23" i="8" s="1"/>
  <c r="G35" i="5"/>
  <c r="CS1" i="5"/>
  <c r="CS19" i="5" s="1"/>
  <c r="CT1" i="5"/>
  <c r="CT19" i="5" s="1"/>
  <c r="CS35" i="5"/>
  <c r="CT35" i="5"/>
  <c r="O31" i="3"/>
  <c r="P31" i="3"/>
  <c r="Q31" i="3"/>
  <c r="R31" i="3"/>
  <c r="B1" i="5"/>
  <c r="B19" i="5" s="1"/>
  <c r="B22" i="5"/>
  <c r="B5" i="5" s="1"/>
  <c r="B26" i="5"/>
  <c r="B11" i="5" s="1"/>
  <c r="B28" i="5"/>
  <c r="B14" i="5" s="1"/>
  <c r="B35" i="5"/>
  <c r="E23" i="2"/>
  <c r="E18" i="3" s="1"/>
  <c r="D23" i="2"/>
  <c r="D18" i="3" s="1"/>
  <c r="C23" i="2"/>
  <c r="E22" i="2"/>
  <c r="E17" i="3" s="1"/>
  <c r="D22" i="2"/>
  <c r="D17" i="3" s="1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F35" i="5"/>
  <c r="E35" i="5"/>
  <c r="D35" i="5"/>
  <c r="C35" i="5"/>
  <c r="D8" i="4"/>
  <c r="D32" i="3" l="1"/>
  <c r="B4" i="5" s="1"/>
  <c r="B6" i="5" s="1"/>
  <c r="B9" i="8" l="1"/>
  <c r="B12" i="3" l="1"/>
  <c r="B17" i="8" l="1"/>
  <c r="B15" i="8"/>
  <c r="B13" i="8"/>
  <c r="B11" i="8"/>
  <c r="B5" i="8"/>
  <c r="B3" i="8"/>
  <c r="N31" i="3" l="1"/>
  <c r="K31" i="3"/>
  <c r="H31" i="3"/>
  <c r="E31" i="3"/>
  <c r="B11" i="3"/>
  <c r="B5" i="3"/>
  <c r="C26" i="2"/>
  <c r="D26" i="2" l="1"/>
  <c r="E26" i="2" l="1"/>
  <c r="F26" i="2" l="1"/>
  <c r="G26" i="2" l="1"/>
  <c r="H26" i="2" l="1"/>
  <c r="I26" i="2" l="1"/>
  <c r="J26" i="2" l="1"/>
  <c r="K26" i="2" l="1"/>
  <c r="E44" i="2"/>
  <c r="D44" i="2"/>
  <c r="C44" i="2"/>
  <c r="C37" i="2"/>
  <c r="D37" i="2" s="1"/>
  <c r="E37" i="2" s="1"/>
  <c r="L26" i="2" l="1"/>
  <c r="C24" i="8"/>
  <c r="C22" i="8"/>
  <c r="B7" i="8"/>
  <c r="B1" i="8"/>
  <c r="M26" i="2" l="1"/>
  <c r="B7" i="3"/>
  <c r="N26" i="2" l="1"/>
  <c r="O26" i="2" l="1"/>
  <c r="P26" i="2" l="1"/>
  <c r="Q26" i="2" l="1"/>
  <c r="C7" i="2"/>
  <c r="B9" i="3" s="1"/>
  <c r="R26" i="2" l="1"/>
  <c r="S26" i="2" l="1"/>
  <c r="C1" i="2"/>
  <c r="T26" i="2" l="1"/>
  <c r="U26" i="2" l="1"/>
  <c r="V26" i="2" l="1"/>
  <c r="W26" i="2" l="1"/>
  <c r="C22" i="2"/>
  <c r="X26" i="2" l="1"/>
  <c r="H9" i="2"/>
  <c r="H8" i="2"/>
  <c r="C18" i="3"/>
  <c r="C17" i="3"/>
  <c r="Y26" i="2" l="1"/>
  <c r="E27" i="3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C24" i="2"/>
  <c r="Z26" i="2" l="1"/>
  <c r="D24" i="2"/>
  <c r="E24" i="2" s="1"/>
  <c r="C34" i="2" s="1"/>
  <c r="C35" i="2" s="1"/>
  <c r="E10" i="5" s="1"/>
  <c r="Q27" i="3"/>
  <c r="R27" i="3" s="1"/>
  <c r="N1" i="5"/>
  <c r="N19" i="5" s="1"/>
  <c r="M1" i="5"/>
  <c r="M19" i="5" s="1"/>
  <c r="L1" i="5"/>
  <c r="L19" i="5" s="1"/>
  <c r="K1" i="5"/>
  <c r="K19" i="5" s="1"/>
  <c r="J1" i="5"/>
  <c r="J19" i="5" s="1"/>
  <c r="I1" i="5"/>
  <c r="I19" i="5" s="1"/>
  <c r="H1" i="5"/>
  <c r="H19" i="5" s="1"/>
  <c r="G1" i="5"/>
  <c r="G19" i="5" s="1"/>
  <c r="F1" i="5"/>
  <c r="F19" i="5" s="1"/>
  <c r="E1" i="5"/>
  <c r="E19" i="5" s="1"/>
  <c r="D1" i="5"/>
  <c r="D19" i="5" s="1"/>
  <c r="C1" i="5"/>
  <c r="C19" i="5" s="1"/>
  <c r="B1" i="3"/>
  <c r="C28" i="5"/>
  <c r="D28" i="5" s="1"/>
  <c r="E28" i="5" s="1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C19" i="3"/>
  <c r="B14" i="3"/>
  <c r="F10" i="5" l="1"/>
  <c r="G10" i="5" s="1"/>
  <c r="AA26" i="2"/>
  <c r="D19" i="3"/>
  <c r="E19" i="3" s="1"/>
  <c r="C25" i="5"/>
  <c r="O1" i="5"/>
  <c r="O19" i="5" s="1"/>
  <c r="S27" i="3"/>
  <c r="P1" i="5"/>
  <c r="P19" i="5" s="1"/>
  <c r="F44" i="2"/>
  <c r="B3" i="5" l="1"/>
  <c r="B7" i="5" s="1"/>
  <c r="D29" i="3"/>
  <c r="AB26" i="2"/>
  <c r="T27" i="3"/>
  <c r="Q1" i="5"/>
  <c r="Q19" i="5" s="1"/>
  <c r="G44" i="2"/>
  <c r="D30" i="3" l="1"/>
  <c r="B9" i="5" s="1"/>
  <c r="B13" i="5" s="1"/>
  <c r="AC26" i="2"/>
  <c r="U27" i="3"/>
  <c r="R1" i="5"/>
  <c r="R19" i="5" s="1"/>
  <c r="H44" i="2"/>
  <c r="AD26" i="2" l="1"/>
  <c r="V27" i="3"/>
  <c r="S1" i="5"/>
  <c r="S19" i="5" s="1"/>
  <c r="I44" i="2"/>
  <c r="AE26" i="2" l="1"/>
  <c r="W27" i="3"/>
  <c r="T1" i="5"/>
  <c r="T19" i="5" s="1"/>
  <c r="J44" i="2"/>
  <c r="AF26" i="2" l="1"/>
  <c r="X27" i="3"/>
  <c r="U1" i="5"/>
  <c r="U19" i="5" s="1"/>
  <c r="K44" i="2"/>
  <c r="AG26" i="2" l="1"/>
  <c r="Y27" i="3"/>
  <c r="V1" i="5"/>
  <c r="V19" i="5" s="1"/>
  <c r="L44" i="2"/>
  <c r="C38" i="2"/>
  <c r="C39" i="2"/>
  <c r="D33" i="2" s="1"/>
  <c r="AH26" i="2" l="1"/>
  <c r="Z27" i="3"/>
  <c r="W1" i="5"/>
  <c r="W19" i="5" s="1"/>
  <c r="C45" i="2"/>
  <c r="D35" i="2"/>
  <c r="H10" i="5" s="1"/>
  <c r="I10" i="5" s="1"/>
  <c r="J10" i="5" s="1"/>
  <c r="M44" i="2"/>
  <c r="AA27" i="3" l="1"/>
  <c r="X1" i="5"/>
  <c r="X19" i="5" s="1"/>
  <c r="N44" i="2"/>
  <c r="AB27" i="3" l="1"/>
  <c r="Y1" i="5"/>
  <c r="Y19" i="5" s="1"/>
  <c r="O44" i="2"/>
  <c r="AC27" i="3" l="1"/>
  <c r="Z1" i="5"/>
  <c r="Z19" i="5" s="1"/>
  <c r="P44" i="2"/>
  <c r="AD27" i="3" l="1"/>
  <c r="AA1" i="5"/>
  <c r="AA19" i="5" s="1"/>
  <c r="Q44" i="2"/>
  <c r="AE27" i="3" l="1"/>
  <c r="AB1" i="5"/>
  <c r="AB19" i="5" s="1"/>
  <c r="AK28" i="5"/>
  <c r="R44" i="2"/>
  <c r="AF27" i="3" l="1"/>
  <c r="AC1" i="5"/>
  <c r="AC19" i="5" s="1"/>
  <c r="AL28" i="5"/>
  <c r="AM28" i="5" s="1"/>
  <c r="AN28" i="5" s="1"/>
  <c r="AO28" i="5" s="1"/>
  <c r="AP28" i="5" s="1"/>
  <c r="AQ28" i="5" s="1"/>
  <c r="AR28" i="5" s="1"/>
  <c r="AS28" i="5" s="1"/>
  <c r="AT28" i="5" s="1"/>
  <c r="S44" i="2"/>
  <c r="AG27" i="3" l="1"/>
  <c r="AD1" i="5"/>
  <c r="AD19" i="5" s="1"/>
  <c r="AU28" i="5"/>
  <c r="AV28" i="5" s="1"/>
  <c r="AW28" i="5" s="1"/>
  <c r="AX28" i="5" s="1"/>
  <c r="AY28" i="5" s="1"/>
  <c r="AZ28" i="5" s="1"/>
  <c r="BA28" i="5" s="1"/>
  <c r="BB28" i="5" s="1"/>
  <c r="BC28" i="5" s="1"/>
  <c r="BD28" i="5" s="1"/>
  <c r="BE28" i="5" s="1"/>
  <c r="BF28" i="5" s="1"/>
  <c r="T44" i="2"/>
  <c r="E32" i="3"/>
  <c r="C4" i="5" s="1"/>
  <c r="AH27" i="3" l="1"/>
  <c r="AE1" i="5"/>
  <c r="AE19" i="5" s="1"/>
  <c r="BG28" i="5"/>
  <c r="BF14" i="5"/>
  <c r="U44" i="2"/>
  <c r="F32" i="3"/>
  <c r="D4" i="5" s="1"/>
  <c r="AI27" i="3" l="1"/>
  <c r="AF1" i="5"/>
  <c r="AF19" i="5" s="1"/>
  <c r="BH28" i="5"/>
  <c r="BG14" i="5"/>
  <c r="V44" i="2"/>
  <c r="C14" i="5"/>
  <c r="G32" i="3"/>
  <c r="E4" i="5" s="1"/>
  <c r="AJ27" i="3" l="1"/>
  <c r="AG1" i="5"/>
  <c r="AG19" i="5" s="1"/>
  <c r="BI28" i="5"/>
  <c r="BH14" i="5"/>
  <c r="W44" i="2"/>
  <c r="D14" i="5"/>
  <c r="H32" i="3"/>
  <c r="F4" i="5" s="1"/>
  <c r="AK27" i="3" l="1"/>
  <c r="AH1" i="5"/>
  <c r="AH19" i="5" s="1"/>
  <c r="BJ28" i="5"/>
  <c r="BI14" i="5"/>
  <c r="X44" i="2"/>
  <c r="E14" i="5"/>
  <c r="I32" i="3"/>
  <c r="G4" i="5" s="1"/>
  <c r="AL27" i="3" l="1"/>
  <c r="AI1" i="5"/>
  <c r="AI19" i="5" s="1"/>
  <c r="BK28" i="5"/>
  <c r="BJ14" i="5"/>
  <c r="Y44" i="2"/>
  <c r="F14" i="5"/>
  <c r="J32" i="3"/>
  <c r="H4" i="5" s="1"/>
  <c r="AM27" i="3" l="1"/>
  <c r="AJ1" i="5"/>
  <c r="AJ19" i="5" s="1"/>
  <c r="BL28" i="5"/>
  <c r="BK14" i="5"/>
  <c r="Z44" i="2"/>
  <c r="G14" i="5"/>
  <c r="K32" i="3"/>
  <c r="I4" i="5" s="1"/>
  <c r="AN27" i="3" l="1"/>
  <c r="AK1" i="5"/>
  <c r="AK19" i="5" s="1"/>
  <c r="C26" i="5"/>
  <c r="BM28" i="5"/>
  <c r="BL14" i="5"/>
  <c r="AA44" i="2"/>
  <c r="H14" i="5"/>
  <c r="L32" i="3"/>
  <c r="J4" i="5" s="1"/>
  <c r="AO27" i="3" l="1"/>
  <c r="AL1" i="5"/>
  <c r="AL19" i="5" s="1"/>
  <c r="D26" i="5"/>
  <c r="E26" i="5" s="1"/>
  <c r="C11" i="5"/>
  <c r="C12" i="5" s="1"/>
  <c r="BN28" i="5"/>
  <c r="BM14" i="5"/>
  <c r="AB44" i="2"/>
  <c r="I14" i="5"/>
  <c r="M32" i="3"/>
  <c r="K4" i="5" s="1"/>
  <c r="AP27" i="3" l="1"/>
  <c r="AM1" i="5"/>
  <c r="AM19" i="5" s="1"/>
  <c r="D33" i="3"/>
  <c r="BO28" i="5"/>
  <c r="BN14" i="5"/>
  <c r="D34" i="3"/>
  <c r="E28" i="3" s="1"/>
  <c r="E29" i="3" s="1"/>
  <c r="D11" i="5"/>
  <c r="AC44" i="2"/>
  <c r="J14" i="5"/>
  <c r="AQ27" i="3" l="1"/>
  <c r="AN1" i="5"/>
  <c r="AN19" i="5" s="1"/>
  <c r="BP28" i="5"/>
  <c r="BO14" i="5"/>
  <c r="E34" i="3"/>
  <c r="F28" i="3" s="1"/>
  <c r="F29" i="3" s="1"/>
  <c r="C3" i="5"/>
  <c r="D12" i="5"/>
  <c r="AD44" i="2"/>
  <c r="K14" i="5"/>
  <c r="AR27" i="3" l="1"/>
  <c r="AO1" i="5"/>
  <c r="AO19" i="5" s="1"/>
  <c r="E33" i="3"/>
  <c r="F33" i="3"/>
  <c r="BQ28" i="5"/>
  <c r="BP14" i="5"/>
  <c r="D3" i="5"/>
  <c r="F34" i="3"/>
  <c r="G28" i="3" s="1"/>
  <c r="G29" i="3" s="1"/>
  <c r="E11" i="5"/>
  <c r="AE44" i="2"/>
  <c r="L14" i="5"/>
  <c r="AS27" i="3" l="1"/>
  <c r="AP1" i="5"/>
  <c r="AP19" i="5" s="1"/>
  <c r="E30" i="3"/>
  <c r="C9" i="5" s="1"/>
  <c r="C13" i="5" s="1"/>
  <c r="G33" i="3"/>
  <c r="BR28" i="5"/>
  <c r="BQ14" i="5"/>
  <c r="E3" i="5"/>
  <c r="G34" i="3"/>
  <c r="H28" i="3" s="1"/>
  <c r="H29" i="3" s="1"/>
  <c r="E12" i="5"/>
  <c r="AF44" i="2"/>
  <c r="M14" i="5"/>
  <c r="F30" i="3" l="1"/>
  <c r="D9" i="5" s="1"/>
  <c r="D13" i="5" s="1"/>
  <c r="AT27" i="3"/>
  <c r="AQ1" i="5"/>
  <c r="AQ19" i="5" s="1"/>
  <c r="BS28" i="5"/>
  <c r="BR14" i="5"/>
  <c r="H34" i="3"/>
  <c r="I28" i="3" s="1"/>
  <c r="F3" i="5"/>
  <c r="AG44" i="2"/>
  <c r="N14" i="5"/>
  <c r="G30" i="3" l="1"/>
  <c r="E9" i="5" s="1"/>
  <c r="E13" i="5" s="1"/>
  <c r="AU27" i="3"/>
  <c r="AR1" i="5"/>
  <c r="AR19" i="5" s="1"/>
  <c r="H33" i="3"/>
  <c r="I33" i="3"/>
  <c r="BT28" i="5"/>
  <c r="BS14" i="5"/>
  <c r="G3" i="5"/>
  <c r="J28" i="3"/>
  <c r="AH44" i="2"/>
  <c r="O14" i="5"/>
  <c r="J29" i="3" l="1"/>
  <c r="H3" i="5"/>
  <c r="AV27" i="3"/>
  <c r="AS1" i="5"/>
  <c r="AS19" i="5" s="1"/>
  <c r="H30" i="3"/>
  <c r="F9" i="5" s="1"/>
  <c r="J33" i="3"/>
  <c r="BU28" i="5"/>
  <c r="BT14" i="5"/>
  <c r="J34" i="3"/>
  <c r="K28" i="3" s="1"/>
  <c r="K29" i="3" s="1"/>
  <c r="P14" i="5"/>
  <c r="AW27" i="3" l="1"/>
  <c r="AT1" i="5"/>
  <c r="AT19" i="5" s="1"/>
  <c r="I30" i="3"/>
  <c r="G9" i="5" s="1"/>
  <c r="BV28" i="5"/>
  <c r="BU14" i="5"/>
  <c r="K34" i="3"/>
  <c r="L28" i="3" s="1"/>
  <c r="L29" i="3" s="1"/>
  <c r="I3" i="5"/>
  <c r="Q14" i="5"/>
  <c r="AX27" i="3" l="1"/>
  <c r="AU1" i="5"/>
  <c r="AU19" i="5" s="1"/>
  <c r="J30" i="3"/>
  <c r="H9" i="5" s="1"/>
  <c r="K33" i="3"/>
  <c r="L33" i="3"/>
  <c r="BW28" i="5"/>
  <c r="BV14" i="5"/>
  <c r="J3" i="5"/>
  <c r="L34" i="3"/>
  <c r="M28" i="3" s="1"/>
  <c r="M29" i="3" s="1"/>
  <c r="R14" i="5"/>
  <c r="AY27" i="3" l="1"/>
  <c r="AV1" i="5"/>
  <c r="AV19" i="5" s="1"/>
  <c r="K30" i="3"/>
  <c r="I9" i="5" s="1"/>
  <c r="M33" i="3"/>
  <c r="BX28" i="5"/>
  <c r="BW14" i="5"/>
  <c r="K3" i="5"/>
  <c r="M34" i="3"/>
  <c r="N28" i="3" s="1"/>
  <c r="N29" i="3" s="1"/>
  <c r="S14" i="5"/>
  <c r="AZ27" i="3" l="1"/>
  <c r="AW1" i="5"/>
  <c r="AW19" i="5" s="1"/>
  <c r="L30" i="3"/>
  <c r="J9" i="5" s="1"/>
  <c r="L3" i="5"/>
  <c r="M3" i="5" s="1"/>
  <c r="N3" i="5" s="1"/>
  <c r="O3" i="5" s="1"/>
  <c r="P3" i="5" s="1"/>
  <c r="Q3" i="5" s="1"/>
  <c r="R3" i="5" s="1"/>
  <c r="BY28" i="5"/>
  <c r="BX14" i="5"/>
  <c r="T14" i="5"/>
  <c r="BA27" i="3" l="1"/>
  <c r="AX1" i="5"/>
  <c r="AX19" i="5" s="1"/>
  <c r="M30" i="3"/>
  <c r="K9" i="5" s="1"/>
  <c r="BZ28" i="5"/>
  <c r="BY14" i="5"/>
  <c r="S3" i="5"/>
  <c r="T3" i="5" s="1"/>
  <c r="U3" i="5" s="1"/>
  <c r="V3" i="5" s="1"/>
  <c r="W3" i="5" s="1"/>
  <c r="X3" i="5" s="1"/>
  <c r="Y3" i="5" s="1"/>
  <c r="Z3" i="5" s="1"/>
  <c r="U14" i="5"/>
  <c r="BB27" i="3" l="1"/>
  <c r="AY1" i="5"/>
  <c r="AY19" i="5" s="1"/>
  <c r="CA28" i="5"/>
  <c r="BZ14" i="5"/>
  <c r="V14" i="5"/>
  <c r="AA3" i="5"/>
  <c r="BC27" i="3" l="1"/>
  <c r="AZ1" i="5"/>
  <c r="AZ19" i="5" s="1"/>
  <c r="CB28" i="5"/>
  <c r="CA14" i="5"/>
  <c r="W14" i="5"/>
  <c r="AB3" i="5"/>
  <c r="BD27" i="3" l="1"/>
  <c r="BA1" i="5"/>
  <c r="BA19" i="5" s="1"/>
  <c r="CC28" i="5"/>
  <c r="CB14" i="5"/>
  <c r="X14" i="5"/>
  <c r="AC3" i="5"/>
  <c r="BE27" i="3" l="1"/>
  <c r="BB1" i="5"/>
  <c r="BB19" i="5" s="1"/>
  <c r="CD28" i="5"/>
  <c r="CC14" i="5"/>
  <c r="Y14" i="5"/>
  <c r="AD3" i="5"/>
  <c r="BF27" i="3" l="1"/>
  <c r="BC1" i="5"/>
  <c r="BC19" i="5" s="1"/>
  <c r="CE28" i="5"/>
  <c r="CD14" i="5"/>
  <c r="Z14" i="5"/>
  <c r="AE3" i="5"/>
  <c r="BG27" i="3" l="1"/>
  <c r="BD1" i="5"/>
  <c r="BD19" i="5" s="1"/>
  <c r="CF28" i="5"/>
  <c r="CE14" i="5"/>
  <c r="AA14" i="5"/>
  <c r="AF3" i="5"/>
  <c r="BH27" i="3" l="1"/>
  <c r="BE1" i="5"/>
  <c r="BE19" i="5" s="1"/>
  <c r="CG28" i="5"/>
  <c r="CF14" i="5"/>
  <c r="AB14" i="5"/>
  <c r="AG3" i="5"/>
  <c r="BI27" i="3" l="1"/>
  <c r="BF1" i="5"/>
  <c r="BF19" i="5" s="1"/>
  <c r="CH28" i="5"/>
  <c r="CG14" i="5"/>
  <c r="AC14" i="5"/>
  <c r="AH3" i="5"/>
  <c r="BJ27" i="3" l="1"/>
  <c r="BG1" i="5"/>
  <c r="BG19" i="5" s="1"/>
  <c r="CI28" i="5"/>
  <c r="CH14" i="5"/>
  <c r="AD14" i="5"/>
  <c r="AI3" i="5"/>
  <c r="BK27" i="3" l="1"/>
  <c r="BH1" i="5"/>
  <c r="BH19" i="5" s="1"/>
  <c r="CJ28" i="5"/>
  <c r="CI14" i="5"/>
  <c r="AE14" i="5"/>
  <c r="AJ3" i="5"/>
  <c r="BL27" i="3" l="1"/>
  <c r="BI1" i="5"/>
  <c r="BI19" i="5" s="1"/>
  <c r="CK28" i="5"/>
  <c r="CJ14" i="5"/>
  <c r="AF14" i="5"/>
  <c r="AK3" i="5"/>
  <c r="BM27" i="3" l="1"/>
  <c r="BJ1" i="5"/>
  <c r="BJ19" i="5" s="1"/>
  <c r="CL28" i="5"/>
  <c r="CK14" i="5"/>
  <c r="AG14" i="5"/>
  <c r="AL3" i="5"/>
  <c r="BN27" i="3" l="1"/>
  <c r="BK1" i="5"/>
  <c r="BK19" i="5" s="1"/>
  <c r="CM28" i="5"/>
  <c r="CL14" i="5"/>
  <c r="AH14" i="5"/>
  <c r="AM3" i="5"/>
  <c r="BO27" i="3" l="1"/>
  <c r="BL1" i="5"/>
  <c r="BL19" i="5" s="1"/>
  <c r="CN28" i="5"/>
  <c r="CM14" i="5"/>
  <c r="AI14" i="5"/>
  <c r="AN3" i="5"/>
  <c r="BP27" i="3" l="1"/>
  <c r="BM1" i="5"/>
  <c r="BM19" i="5" s="1"/>
  <c r="CO28" i="5"/>
  <c r="CN14" i="5"/>
  <c r="AJ14" i="5"/>
  <c r="AO3" i="5"/>
  <c r="BQ27" i="3" l="1"/>
  <c r="BN1" i="5"/>
  <c r="BN19" i="5" s="1"/>
  <c r="CO14" i="5"/>
  <c r="CP28" i="5"/>
  <c r="AK14" i="5"/>
  <c r="AP3" i="5"/>
  <c r="BR27" i="3" l="1"/>
  <c r="BO1" i="5"/>
  <c r="BO19" i="5" s="1"/>
  <c r="CQ28" i="5"/>
  <c r="CP14" i="5"/>
  <c r="AL14" i="5"/>
  <c r="AQ3" i="5"/>
  <c r="BS27" i="3" l="1"/>
  <c r="BP1" i="5"/>
  <c r="BP19" i="5" s="1"/>
  <c r="CR28" i="5"/>
  <c r="CQ14" i="5"/>
  <c r="AM14" i="5"/>
  <c r="AR3" i="5"/>
  <c r="CR14" i="5" l="1"/>
  <c r="CS28" i="5"/>
  <c r="BT27" i="3"/>
  <c r="BQ1" i="5"/>
  <c r="BQ19" i="5" s="1"/>
  <c r="AN14" i="5"/>
  <c r="AS3" i="5"/>
  <c r="CS14" i="5" l="1"/>
  <c r="CT28" i="5"/>
  <c r="CT14" i="5" s="1"/>
  <c r="BU27" i="3"/>
  <c r="BR1" i="5"/>
  <c r="BR19" i="5" s="1"/>
  <c r="AO14" i="5"/>
  <c r="AT3" i="5"/>
  <c r="BV27" i="3" l="1"/>
  <c r="BS1" i="5"/>
  <c r="BS19" i="5" s="1"/>
  <c r="AP14" i="5"/>
  <c r="AU3" i="5"/>
  <c r="BW27" i="3" l="1"/>
  <c r="BT1" i="5"/>
  <c r="BT19" i="5" s="1"/>
  <c r="AQ14" i="5"/>
  <c r="AV3" i="5"/>
  <c r="BX27" i="3" l="1"/>
  <c r="BU1" i="5"/>
  <c r="BU19" i="5" s="1"/>
  <c r="AR14" i="5"/>
  <c r="AW3" i="5"/>
  <c r="BY27" i="3" l="1"/>
  <c r="BV1" i="5"/>
  <c r="BV19" i="5" s="1"/>
  <c r="AS14" i="5"/>
  <c r="AX3" i="5"/>
  <c r="BZ27" i="3" l="1"/>
  <c r="BW1" i="5"/>
  <c r="BW19" i="5" s="1"/>
  <c r="AT14" i="5"/>
  <c r="AY3" i="5"/>
  <c r="CA27" i="3" l="1"/>
  <c r="BX1" i="5"/>
  <c r="BX19" i="5" s="1"/>
  <c r="AU14" i="5"/>
  <c r="AZ3" i="5"/>
  <c r="CB27" i="3" l="1"/>
  <c r="BY1" i="5"/>
  <c r="BY19" i="5" s="1"/>
  <c r="AV14" i="5"/>
  <c r="BA3" i="5"/>
  <c r="CC27" i="3" l="1"/>
  <c r="BZ1" i="5"/>
  <c r="BZ19" i="5" s="1"/>
  <c r="AW14" i="5"/>
  <c r="BB3" i="5"/>
  <c r="CD27" i="3" l="1"/>
  <c r="CA1" i="5"/>
  <c r="CA19" i="5" s="1"/>
  <c r="AX14" i="5"/>
  <c r="BC3" i="5"/>
  <c r="CE27" i="3" l="1"/>
  <c r="CB1" i="5"/>
  <c r="CB19" i="5" s="1"/>
  <c r="AY14" i="5"/>
  <c r="BD3" i="5"/>
  <c r="CF27" i="3" l="1"/>
  <c r="CC1" i="5"/>
  <c r="CC19" i="5" s="1"/>
  <c r="AZ14" i="5"/>
  <c r="BE3" i="5"/>
  <c r="CG27" i="3" l="1"/>
  <c r="CD1" i="5"/>
  <c r="CD19" i="5" s="1"/>
  <c r="BA14" i="5"/>
  <c r="BF3" i="5"/>
  <c r="CE1" i="5" l="1"/>
  <c r="CE19" i="5" s="1"/>
  <c r="CH27" i="3"/>
  <c r="BB14" i="5"/>
  <c r="BG3" i="5"/>
  <c r="CI27" i="3" l="1"/>
  <c r="CF1" i="5"/>
  <c r="CF19" i="5" s="1"/>
  <c r="BC14" i="5"/>
  <c r="BH3" i="5"/>
  <c r="CJ27" i="3" l="1"/>
  <c r="CG1" i="5"/>
  <c r="CG19" i="5" s="1"/>
  <c r="BE14" i="5"/>
  <c r="BD14" i="5"/>
  <c r="BI3" i="5"/>
  <c r="CK27" i="3" l="1"/>
  <c r="CH1" i="5"/>
  <c r="CH19" i="5" s="1"/>
  <c r="BJ3" i="5"/>
  <c r="CL27" i="3" l="1"/>
  <c r="CI1" i="5"/>
  <c r="CI19" i="5" s="1"/>
  <c r="BK3" i="5"/>
  <c r="CM27" i="3" l="1"/>
  <c r="CJ1" i="5"/>
  <c r="CJ19" i="5" s="1"/>
  <c r="BL3" i="5"/>
  <c r="CK1" i="5" l="1"/>
  <c r="CK19" i="5" s="1"/>
  <c r="CN27" i="3"/>
  <c r="BM3" i="5"/>
  <c r="CO27" i="3" l="1"/>
  <c r="CL1" i="5"/>
  <c r="CL19" i="5" s="1"/>
  <c r="BN3" i="5"/>
  <c r="CP27" i="3" l="1"/>
  <c r="CM1" i="5"/>
  <c r="CM19" i="5" s="1"/>
  <c r="BO3" i="5"/>
  <c r="CQ27" i="3" l="1"/>
  <c r="CN1" i="5"/>
  <c r="CN19" i="5" s="1"/>
  <c r="BP3" i="5"/>
  <c r="CR27" i="3" l="1"/>
  <c r="CO1" i="5"/>
  <c r="CO19" i="5" s="1"/>
  <c r="BQ3" i="5"/>
  <c r="CS27" i="3" l="1"/>
  <c r="CP1" i="5"/>
  <c r="CP19" i="5" s="1"/>
  <c r="BR3" i="5"/>
  <c r="CT27" i="3" l="1"/>
  <c r="CQ1" i="5"/>
  <c r="CQ19" i="5" s="1"/>
  <c r="BS3" i="5"/>
  <c r="CR1" i="5" l="1"/>
  <c r="CR19" i="5" s="1"/>
  <c r="CU27" i="3"/>
  <c r="CV27" i="3" s="1"/>
  <c r="BT3" i="5"/>
  <c r="BU3" i="5" l="1"/>
  <c r="BV3" i="5" l="1"/>
  <c r="BW3" i="5" l="1"/>
  <c r="BX3" i="5" l="1"/>
  <c r="BY3" i="5" l="1"/>
  <c r="BZ3" i="5" l="1"/>
  <c r="CA3" i="5" l="1"/>
  <c r="CB3" i="5" l="1"/>
  <c r="CC3" i="5" l="1"/>
  <c r="CD3" i="5" l="1"/>
  <c r="CE3" i="5" s="1"/>
  <c r="CF3" i="5" s="1"/>
  <c r="CG3" i="5" l="1"/>
  <c r="CH3" i="5" l="1"/>
  <c r="CI3" i="5" l="1"/>
  <c r="CJ3" i="5" l="1"/>
  <c r="CK3" i="5" l="1"/>
  <c r="CL3" i="5" l="1"/>
  <c r="CM3" i="5" l="1"/>
  <c r="CN3" i="5" l="1"/>
  <c r="CO3" i="5" l="1"/>
  <c r="CP3" i="5" s="1"/>
  <c r="CQ3" i="5" l="1"/>
  <c r="CR3" i="5" l="1"/>
  <c r="CS3" i="5" s="1"/>
  <c r="CT3" i="5" l="1"/>
  <c r="C21" i="5"/>
  <c r="C22" i="5" s="1"/>
  <c r="D22" i="5" s="1"/>
  <c r="C5" i="5" l="1"/>
  <c r="C6" i="5" s="1"/>
  <c r="C7" i="5" l="1"/>
  <c r="D5" i="5"/>
  <c r="D7" i="5" l="1"/>
  <c r="E22" i="5"/>
  <c r="E5" i="5" s="1"/>
  <c r="D6" i="5"/>
  <c r="F21" i="5" l="1"/>
  <c r="F22" i="5" s="1"/>
  <c r="E6" i="5"/>
  <c r="E7" i="5"/>
  <c r="G22" i="5" l="1"/>
  <c r="H22" i="5" s="1"/>
  <c r="F5" i="5"/>
  <c r="F6" i="5" s="1"/>
  <c r="F7" i="5" l="1"/>
  <c r="H5" i="5"/>
  <c r="I21" i="5" s="1"/>
  <c r="G5" i="5"/>
  <c r="G6" i="5" s="1"/>
  <c r="G7" i="5" l="1"/>
  <c r="I22" i="5" l="1"/>
  <c r="J22" i="5" s="1"/>
  <c r="K22" i="5" s="1"/>
  <c r="H6" i="5"/>
  <c r="H7" i="5"/>
  <c r="I5" i="5" l="1"/>
  <c r="I7" i="5" s="1"/>
  <c r="I6" i="5" l="1"/>
  <c r="K5" i="5"/>
  <c r="J5" i="5"/>
  <c r="J7" i="5" s="1"/>
  <c r="J6" i="5" l="1"/>
  <c r="K6" i="5" l="1"/>
  <c r="K7" i="5"/>
  <c r="D38" i="2" l="1"/>
  <c r="E33" i="2"/>
  <c r="D45" i="2" l="1"/>
  <c r="E39" i="2"/>
  <c r="F33" i="2" s="1"/>
  <c r="F34" i="2" s="1"/>
  <c r="F37" i="2"/>
  <c r="F39" i="2" l="1"/>
  <c r="G33" i="2" s="1"/>
  <c r="E35" i="2"/>
  <c r="K10" i="5" s="1"/>
  <c r="L10" i="5" s="1"/>
  <c r="M10" i="5" s="1"/>
  <c r="E38" i="2"/>
  <c r="G36" i="2" l="1"/>
  <c r="S31" i="3" s="1"/>
  <c r="G34" i="2"/>
  <c r="AH36" i="2"/>
  <c r="CV31" i="3" s="1"/>
  <c r="AG36" i="2"/>
  <c r="CS31" i="3" s="1"/>
  <c r="AA36" i="2"/>
  <c r="CA31" i="3" s="1"/>
  <c r="U36" i="2"/>
  <c r="BI31" i="3" s="1"/>
  <c r="O36" i="2"/>
  <c r="AQ31" i="3" s="1"/>
  <c r="I36" i="2"/>
  <c r="Y31" i="3" s="1"/>
  <c r="Y36" i="2"/>
  <c r="BU31" i="3" s="1"/>
  <c r="M36" i="2"/>
  <c r="AK31" i="3" s="1"/>
  <c r="V36" i="2"/>
  <c r="BL31" i="3" s="1"/>
  <c r="P36" i="2"/>
  <c r="AT31" i="3" s="1"/>
  <c r="AF36" i="2"/>
  <c r="CP31" i="3" s="1"/>
  <c r="Z36" i="2"/>
  <c r="BX31" i="3" s="1"/>
  <c r="T36" i="2"/>
  <c r="BF31" i="3" s="1"/>
  <c r="N36" i="2"/>
  <c r="AN31" i="3" s="1"/>
  <c r="H36" i="2"/>
  <c r="V31" i="3" s="1"/>
  <c r="AE36" i="2"/>
  <c r="CM31" i="3" s="1"/>
  <c r="S36" i="2"/>
  <c r="BC31" i="3" s="1"/>
  <c r="AD36" i="2"/>
  <c r="CJ31" i="3" s="1"/>
  <c r="X36" i="2"/>
  <c r="BR31" i="3" s="1"/>
  <c r="R36" i="2"/>
  <c r="AZ31" i="3" s="1"/>
  <c r="L36" i="2"/>
  <c r="AH31" i="3" s="1"/>
  <c r="W36" i="2"/>
  <c r="BO31" i="3" s="1"/>
  <c r="Q36" i="2"/>
  <c r="AW31" i="3" s="1"/>
  <c r="K36" i="2"/>
  <c r="AE31" i="3" s="1"/>
  <c r="AB36" i="2"/>
  <c r="CD31" i="3" s="1"/>
  <c r="J36" i="2"/>
  <c r="AB31" i="3" s="1"/>
  <c r="AC36" i="2"/>
  <c r="CG31" i="3" s="1"/>
  <c r="E45" i="2"/>
  <c r="F38" i="2"/>
  <c r="F45" i="2" s="1"/>
  <c r="F35" i="2"/>
  <c r="N10" i="5" s="1"/>
  <c r="O10" i="5" s="1"/>
  <c r="P10" i="5" s="1"/>
  <c r="G39" i="2" l="1"/>
  <c r="H33" i="2" s="1"/>
  <c r="H34" i="2" s="1"/>
  <c r="G37" i="2"/>
  <c r="H37" i="2"/>
  <c r="F26" i="5"/>
  <c r="G26" i="5" s="1"/>
  <c r="N32" i="3"/>
  <c r="N34" i="3"/>
  <c r="H39" i="2"/>
  <c r="G38" i="2"/>
  <c r="G45" i="2" s="1"/>
  <c r="G35" i="2"/>
  <c r="Q10" i="5" s="1"/>
  <c r="R10" i="5" s="1"/>
  <c r="S10" i="5" s="1"/>
  <c r="I33" i="2" l="1"/>
  <c r="I34" i="2" s="1"/>
  <c r="O28" i="3"/>
  <c r="O29" i="3" s="1"/>
  <c r="L4" i="5"/>
  <c r="O32" i="3"/>
  <c r="H35" i="2"/>
  <c r="T10" i="5" s="1"/>
  <c r="U10" i="5" s="1"/>
  <c r="V10" i="5" s="1"/>
  <c r="H38" i="2"/>
  <c r="I37" i="2"/>
  <c r="F11" i="5"/>
  <c r="I39" i="2" l="1"/>
  <c r="J33" i="2" s="1"/>
  <c r="J34" i="2" s="1"/>
  <c r="M4" i="5"/>
  <c r="P32" i="3"/>
  <c r="L22" i="5"/>
  <c r="N30" i="3"/>
  <c r="N33" i="3"/>
  <c r="O33" i="3"/>
  <c r="O34" i="3"/>
  <c r="P28" i="3" s="1"/>
  <c r="P29" i="3" s="1"/>
  <c r="G11" i="5"/>
  <c r="H26" i="5" s="1"/>
  <c r="H45" i="2"/>
  <c r="F13" i="5"/>
  <c r="F12" i="5"/>
  <c r="I35" i="2"/>
  <c r="W10" i="5" s="1"/>
  <c r="X10" i="5" s="1"/>
  <c r="Y10" i="5" s="1"/>
  <c r="I38" i="2"/>
  <c r="J39" i="2" l="1"/>
  <c r="J37" i="2"/>
  <c r="P33" i="3"/>
  <c r="P34" i="3"/>
  <c r="Q28" i="3" s="1"/>
  <c r="Q29" i="3" s="1"/>
  <c r="M22" i="5"/>
  <c r="L5" i="5"/>
  <c r="N4" i="5"/>
  <c r="Q32" i="3"/>
  <c r="L9" i="5"/>
  <c r="O30" i="3"/>
  <c r="J35" i="2"/>
  <c r="Z10" i="5" s="1"/>
  <c r="AA10" i="5" s="1"/>
  <c r="AB10" i="5" s="1"/>
  <c r="J38" i="2"/>
  <c r="I45" i="2"/>
  <c r="H11" i="5"/>
  <c r="G13" i="5"/>
  <c r="G12" i="5"/>
  <c r="K33" i="2" l="1"/>
  <c r="I26" i="5"/>
  <c r="J26" i="5" s="1"/>
  <c r="M9" i="5"/>
  <c r="P30" i="3"/>
  <c r="L7" i="5"/>
  <c r="L6" i="5"/>
  <c r="M5" i="5"/>
  <c r="N21" i="5" s="1"/>
  <c r="N22" i="5" s="1"/>
  <c r="N5" i="5" s="1"/>
  <c r="O4" i="5"/>
  <c r="R32" i="3"/>
  <c r="Q34" i="3"/>
  <c r="R28" i="3" s="1"/>
  <c r="R29" i="3" s="1"/>
  <c r="J45" i="2"/>
  <c r="H13" i="5"/>
  <c r="H12" i="5"/>
  <c r="N7" i="5" l="1"/>
  <c r="O21" i="5"/>
  <c r="O22" i="5" s="1"/>
  <c r="P22" i="5" s="1"/>
  <c r="K34" i="2"/>
  <c r="K35" i="2" s="1"/>
  <c r="AC10" i="5" s="1"/>
  <c r="AD10" i="5" s="1"/>
  <c r="AE10" i="5" s="1"/>
  <c r="K39" i="2"/>
  <c r="K37" i="2"/>
  <c r="Q33" i="3"/>
  <c r="N6" i="5"/>
  <c r="P4" i="5"/>
  <c r="S32" i="3"/>
  <c r="R33" i="3"/>
  <c r="R34" i="3"/>
  <c r="S28" i="3" s="1"/>
  <c r="M7" i="5"/>
  <c r="M6" i="5"/>
  <c r="N9" i="5"/>
  <c r="I11" i="5"/>
  <c r="K38" i="2" l="1"/>
  <c r="K45" i="2" s="1"/>
  <c r="L33" i="2"/>
  <c r="P5" i="5"/>
  <c r="P6" i="5" s="1"/>
  <c r="Q30" i="3"/>
  <c r="R30" i="3" s="1"/>
  <c r="O5" i="5"/>
  <c r="Q4" i="5"/>
  <c r="T32" i="3"/>
  <c r="S34" i="3"/>
  <c r="T28" i="3" s="1"/>
  <c r="T29" i="3" s="1"/>
  <c r="J11" i="5"/>
  <c r="K26" i="5" s="1"/>
  <c r="I13" i="5"/>
  <c r="I12" i="5"/>
  <c r="Q22" i="5" l="1"/>
  <c r="Q5" i="5" s="1"/>
  <c r="Q7" i="5" s="1"/>
  <c r="S29" i="3"/>
  <c r="S33" i="3" s="1"/>
  <c r="L34" i="2"/>
  <c r="L35" i="2" s="1"/>
  <c r="AF10" i="5" s="1"/>
  <c r="AG10" i="5" s="1"/>
  <c r="AH10" i="5" s="1"/>
  <c r="L39" i="2"/>
  <c r="L37" i="2"/>
  <c r="O9" i="5"/>
  <c r="P7" i="5"/>
  <c r="R4" i="5"/>
  <c r="U32" i="3"/>
  <c r="T34" i="3"/>
  <c r="U28" i="3" s="1"/>
  <c r="U29" i="3" s="1"/>
  <c r="P9" i="5"/>
  <c r="O7" i="5"/>
  <c r="O6" i="5"/>
  <c r="J13" i="5"/>
  <c r="J12" i="5"/>
  <c r="K11" i="5"/>
  <c r="Q6" i="5" l="1"/>
  <c r="S30" i="3"/>
  <c r="Q9" i="5" s="1"/>
  <c r="R22" i="5"/>
  <c r="L26" i="5"/>
  <c r="M26" i="5" s="1"/>
  <c r="L38" i="2"/>
  <c r="M33" i="2"/>
  <c r="M37" i="2"/>
  <c r="T33" i="3"/>
  <c r="U33" i="3"/>
  <c r="U34" i="3"/>
  <c r="V28" i="3" s="1"/>
  <c r="S4" i="5"/>
  <c r="V32" i="3"/>
  <c r="K13" i="5"/>
  <c r="K12" i="5"/>
  <c r="S22" i="5" l="1"/>
  <c r="R5" i="5"/>
  <c r="R6" i="5" s="1"/>
  <c r="M34" i="2"/>
  <c r="M35" i="2" s="1"/>
  <c r="AI10" i="5" s="1"/>
  <c r="AJ10" i="5" s="1"/>
  <c r="AK10" i="5" s="1"/>
  <c r="M39" i="2"/>
  <c r="L45" i="2"/>
  <c r="T30" i="3"/>
  <c r="U30" i="3" s="1"/>
  <c r="W32" i="3"/>
  <c r="T4" i="5"/>
  <c r="V34" i="3"/>
  <c r="W28" i="3" s="1"/>
  <c r="W29" i="3" s="1"/>
  <c r="L11" i="5"/>
  <c r="V29" i="3" l="1"/>
  <c r="V33" i="3" s="1"/>
  <c r="R7" i="5"/>
  <c r="S5" i="5"/>
  <c r="T22" i="5" s="1"/>
  <c r="T5" i="5" s="1"/>
  <c r="T7" i="5" s="1"/>
  <c r="M38" i="2"/>
  <c r="M45" i="2" s="1"/>
  <c r="N33" i="2"/>
  <c r="R9" i="5"/>
  <c r="W34" i="3"/>
  <c r="X28" i="3" s="1"/>
  <c r="X29" i="3" s="1"/>
  <c r="S9" i="5"/>
  <c r="X32" i="3"/>
  <c r="U4" i="5"/>
  <c r="M11" i="5"/>
  <c r="N26" i="5" s="1"/>
  <c r="L13" i="5"/>
  <c r="L12" i="5"/>
  <c r="V30" i="3" l="1"/>
  <c r="T9" i="5" s="1"/>
  <c r="T6" i="5"/>
  <c r="S7" i="5"/>
  <c r="S6" i="5"/>
  <c r="U22" i="5"/>
  <c r="N37" i="2"/>
  <c r="N34" i="2"/>
  <c r="N35" i="2" s="1"/>
  <c r="AL10" i="5" s="1"/>
  <c r="AM10" i="5" s="1"/>
  <c r="AN10" i="5" s="1"/>
  <c r="N39" i="2"/>
  <c r="V4" i="5"/>
  <c r="Y32" i="3"/>
  <c r="X33" i="3"/>
  <c r="X34" i="3"/>
  <c r="Y28" i="3" s="1"/>
  <c r="N11" i="5"/>
  <c r="M13" i="5"/>
  <c r="M12" i="5"/>
  <c r="V22" i="5" l="1"/>
  <c r="V5" i="5" s="1"/>
  <c r="U5" i="5"/>
  <c r="U7" i="5" s="1"/>
  <c r="O26" i="5"/>
  <c r="P26" i="5" s="1"/>
  <c r="N38" i="2"/>
  <c r="O33" i="2"/>
  <c r="Z32" i="3"/>
  <c r="W4" i="5"/>
  <c r="Y34" i="3"/>
  <c r="Z28" i="3" s="1"/>
  <c r="Z29" i="3" s="1"/>
  <c r="W30" i="3"/>
  <c r="W33" i="3"/>
  <c r="N13" i="5"/>
  <c r="N12" i="5"/>
  <c r="Y29" i="3" l="1"/>
  <c r="Y33" i="3" s="1"/>
  <c r="U6" i="5"/>
  <c r="W22" i="5"/>
  <c r="W5" i="5" s="1"/>
  <c r="W7" i="5" s="1"/>
  <c r="O37" i="2"/>
  <c r="O34" i="2"/>
  <c r="O35" i="2" s="1"/>
  <c r="AO10" i="5" s="1"/>
  <c r="AP10" i="5" s="1"/>
  <c r="AQ10" i="5" s="1"/>
  <c r="O39" i="2"/>
  <c r="N45" i="2"/>
  <c r="V6" i="5"/>
  <c r="V7" i="5"/>
  <c r="Z34" i="3"/>
  <c r="AA28" i="3" s="1"/>
  <c r="AA29" i="3" s="1"/>
  <c r="U9" i="5"/>
  <c r="X30" i="3"/>
  <c r="X4" i="5"/>
  <c r="AA32" i="3"/>
  <c r="O11" i="5"/>
  <c r="X22" i="5" l="1"/>
  <c r="Y22" i="5" s="1"/>
  <c r="W6" i="5"/>
  <c r="O38" i="2"/>
  <c r="P33" i="2"/>
  <c r="Z33" i="3"/>
  <c r="AB32" i="3"/>
  <c r="Y4" i="5"/>
  <c r="AA33" i="3"/>
  <c r="AA34" i="3"/>
  <c r="AB28" i="3" s="1"/>
  <c r="Y30" i="3"/>
  <c r="V9" i="5"/>
  <c r="P11" i="5"/>
  <c r="Q26" i="5" s="1"/>
  <c r="O13" i="5"/>
  <c r="O12" i="5"/>
  <c r="X5" i="5" l="1"/>
  <c r="X7" i="5" s="1"/>
  <c r="Y5" i="5"/>
  <c r="Y7" i="5" s="1"/>
  <c r="P34" i="2"/>
  <c r="P35" i="2" s="1"/>
  <c r="AR10" i="5" s="1"/>
  <c r="AS10" i="5" s="1"/>
  <c r="AT10" i="5" s="1"/>
  <c r="P39" i="2"/>
  <c r="P37" i="2"/>
  <c r="O45" i="2"/>
  <c r="W9" i="5"/>
  <c r="Z30" i="3"/>
  <c r="AB34" i="3"/>
  <c r="AC28" i="3" s="1"/>
  <c r="AC29" i="3" s="1"/>
  <c r="AC32" i="3"/>
  <c r="Z4" i="5"/>
  <c r="Z22" i="5" s="1"/>
  <c r="Z5" i="5" s="1"/>
  <c r="Q11" i="5"/>
  <c r="P13" i="5"/>
  <c r="P12" i="5"/>
  <c r="Y6" i="5" l="1"/>
  <c r="AB29" i="3"/>
  <c r="AB33" i="3" s="1"/>
  <c r="X6" i="5"/>
  <c r="R26" i="5"/>
  <c r="S26" i="5" s="1"/>
  <c r="Q33" i="2"/>
  <c r="P38" i="2"/>
  <c r="Q37" i="2"/>
  <c r="AC34" i="3"/>
  <c r="AD28" i="3" s="1"/>
  <c r="AD29" i="3" s="1"/>
  <c r="AA30" i="3"/>
  <c r="X9" i="5"/>
  <c r="AA4" i="5"/>
  <c r="AD32" i="3"/>
  <c r="Z7" i="5"/>
  <c r="Z6" i="5"/>
  <c r="Q13" i="5"/>
  <c r="Q12" i="5"/>
  <c r="P45" i="2" l="1"/>
  <c r="Q34" i="2"/>
  <c r="Q35" i="2" s="1"/>
  <c r="AU10" i="5" s="1"/>
  <c r="AV10" i="5" s="1"/>
  <c r="AW10" i="5" s="1"/>
  <c r="Q39" i="2"/>
  <c r="AC33" i="3"/>
  <c r="AB30" i="3"/>
  <c r="Y9" i="5"/>
  <c r="AE32" i="3"/>
  <c r="AB4" i="5"/>
  <c r="AD34" i="3"/>
  <c r="AE28" i="3" s="1"/>
  <c r="AD33" i="3"/>
  <c r="AA22" i="5"/>
  <c r="AB22" i="5" s="1"/>
  <c r="R11" i="5"/>
  <c r="R33" i="2" l="1"/>
  <c r="Q38" i="2"/>
  <c r="AF32" i="3"/>
  <c r="AC4" i="5"/>
  <c r="AE34" i="3"/>
  <c r="AF28" i="3" s="1"/>
  <c r="AF29" i="3" s="1"/>
  <c r="Z9" i="5"/>
  <c r="AC30" i="3"/>
  <c r="AA5" i="5"/>
  <c r="AA7" i="5" s="1"/>
  <c r="AB5" i="5"/>
  <c r="S11" i="5"/>
  <c r="T26" i="5" s="1"/>
  <c r="R12" i="5"/>
  <c r="R13" i="5"/>
  <c r="AC22" i="5" l="1"/>
  <c r="AC5" i="5" s="1"/>
  <c r="AE29" i="3"/>
  <c r="AE33" i="3" s="1"/>
  <c r="R37" i="2"/>
  <c r="Q45" i="2"/>
  <c r="R34" i="2"/>
  <c r="R35" i="2" s="1"/>
  <c r="AX10" i="5" s="1"/>
  <c r="AY10" i="5" s="1"/>
  <c r="AZ10" i="5" s="1"/>
  <c r="R39" i="2"/>
  <c r="AA6" i="5"/>
  <c r="AF34" i="3"/>
  <c r="AG28" i="3" s="1"/>
  <c r="AG29" i="3" s="1"/>
  <c r="AA9" i="5"/>
  <c r="AD30" i="3"/>
  <c r="AD4" i="5"/>
  <c r="AG32" i="3"/>
  <c r="T11" i="5"/>
  <c r="S12" i="5"/>
  <c r="S13" i="5"/>
  <c r="AB7" i="5"/>
  <c r="AB6" i="5"/>
  <c r="AD22" i="5" l="1"/>
  <c r="AE22" i="5" s="1"/>
  <c r="U26" i="5"/>
  <c r="V26" i="5" s="1"/>
  <c r="R38" i="2"/>
  <c r="S33" i="2"/>
  <c r="S37" i="2"/>
  <c r="AF33" i="3"/>
  <c r="AB9" i="5"/>
  <c r="AE30" i="3"/>
  <c r="AE4" i="5"/>
  <c r="AH32" i="3"/>
  <c r="AG34" i="3"/>
  <c r="AH28" i="3" s="1"/>
  <c r="AG33" i="3"/>
  <c r="T12" i="5"/>
  <c r="T13" i="5"/>
  <c r="AC7" i="5"/>
  <c r="AC6" i="5"/>
  <c r="R45" i="2" l="1"/>
  <c r="S34" i="2"/>
  <c r="S35" i="2" s="1"/>
  <c r="BA10" i="5" s="1"/>
  <c r="BB10" i="5" s="1"/>
  <c r="BC10" i="5" s="1"/>
  <c r="S39" i="2"/>
  <c r="AF4" i="5"/>
  <c r="AI32" i="3"/>
  <c r="AH34" i="3"/>
  <c r="AI28" i="3" s="1"/>
  <c r="AI29" i="3" s="1"/>
  <c r="AC9" i="5"/>
  <c r="AF30" i="3"/>
  <c r="AD5" i="5"/>
  <c r="U11" i="5"/>
  <c r="AH29" i="3" l="1"/>
  <c r="AH33" i="3" s="1"/>
  <c r="S38" i="2"/>
  <c r="T33" i="2"/>
  <c r="AI34" i="3"/>
  <c r="AJ28" i="3" s="1"/>
  <c r="AJ29" i="3" s="1"/>
  <c r="AD9" i="5"/>
  <c r="AG30" i="3"/>
  <c r="AJ32" i="3"/>
  <c r="AG4" i="5"/>
  <c r="AE5" i="5"/>
  <c r="AF22" i="5" s="1"/>
  <c r="V11" i="5"/>
  <c r="W26" i="5" s="1"/>
  <c r="AD7" i="5"/>
  <c r="AD6" i="5"/>
  <c r="U12" i="5"/>
  <c r="U13" i="5"/>
  <c r="S45" i="2" l="1"/>
  <c r="T37" i="2"/>
  <c r="T34" i="2"/>
  <c r="T35" i="2" s="1"/>
  <c r="BD10" i="5" s="1"/>
  <c r="BE10" i="5" s="1"/>
  <c r="BF10" i="5" s="1"/>
  <c r="T39" i="2"/>
  <c r="AI33" i="3"/>
  <c r="AE9" i="5"/>
  <c r="AH30" i="3"/>
  <c r="AK32" i="3"/>
  <c r="AH4" i="5"/>
  <c r="AJ33" i="3"/>
  <c r="AJ34" i="3"/>
  <c r="AK28" i="3" s="1"/>
  <c r="V12" i="5"/>
  <c r="V13" i="5"/>
  <c r="AF5" i="5"/>
  <c r="AE7" i="5"/>
  <c r="AE6" i="5"/>
  <c r="W11" i="5"/>
  <c r="X26" i="5" l="1"/>
  <c r="Y26" i="5" s="1"/>
  <c r="T38" i="2"/>
  <c r="T45" i="2" s="1"/>
  <c r="U33" i="2"/>
  <c r="AI4" i="5"/>
  <c r="AL32" i="3"/>
  <c r="AK34" i="3"/>
  <c r="AL28" i="3" s="1"/>
  <c r="AL29" i="3" s="1"/>
  <c r="AI30" i="3"/>
  <c r="AF9" i="5"/>
  <c r="W12" i="5"/>
  <c r="W13" i="5"/>
  <c r="AF7" i="5"/>
  <c r="AF6" i="5"/>
  <c r="AG22" i="5"/>
  <c r="AH22" i="5" s="1"/>
  <c r="AK29" i="3" l="1"/>
  <c r="AK33" i="3" s="1"/>
  <c r="U37" i="2"/>
  <c r="U34" i="2"/>
  <c r="U35" i="2" s="1"/>
  <c r="BG10" i="5" s="1"/>
  <c r="BH10" i="5" s="1"/>
  <c r="BI10" i="5" s="1"/>
  <c r="U39" i="2"/>
  <c r="AL34" i="3"/>
  <c r="AM28" i="3" s="1"/>
  <c r="AM29" i="3" s="1"/>
  <c r="AM32" i="3"/>
  <c r="AJ4" i="5"/>
  <c r="AG9" i="5"/>
  <c r="AJ30" i="3"/>
  <c r="AG5" i="5"/>
  <c r="X11" i="5"/>
  <c r="AL33" i="3" l="1"/>
  <c r="U38" i="2"/>
  <c r="U45" i="2" s="1"/>
  <c r="V33" i="2"/>
  <c r="V37" i="2"/>
  <c r="AK4" i="5"/>
  <c r="AN32" i="3"/>
  <c r="AH9" i="5"/>
  <c r="AK30" i="3"/>
  <c r="AM33" i="3"/>
  <c r="AM34" i="3"/>
  <c r="AN28" i="3" s="1"/>
  <c r="Y11" i="5"/>
  <c r="Z26" i="5" s="1"/>
  <c r="X12" i="5"/>
  <c r="X13" i="5"/>
  <c r="AH5" i="5"/>
  <c r="AI22" i="5" s="1"/>
  <c r="AG7" i="5"/>
  <c r="AG6" i="5"/>
  <c r="V34" i="2" l="1"/>
  <c r="V35" i="2" s="1"/>
  <c r="BJ10" i="5" s="1"/>
  <c r="BK10" i="5" s="1"/>
  <c r="BL10" i="5" s="1"/>
  <c r="V39" i="2"/>
  <c r="AI9" i="5"/>
  <c r="AL30" i="3"/>
  <c r="AN34" i="3"/>
  <c r="AO28" i="3" s="1"/>
  <c r="AO29" i="3" s="1"/>
  <c r="AL4" i="5"/>
  <c r="AO32" i="3"/>
  <c r="AI5" i="5"/>
  <c r="Z11" i="5"/>
  <c r="AA26" i="5" s="1"/>
  <c r="AB26" i="5" s="1"/>
  <c r="AH7" i="5"/>
  <c r="AH6" i="5"/>
  <c r="Y12" i="5"/>
  <c r="Y13" i="5"/>
  <c r="AN29" i="3" l="1"/>
  <c r="AN33" i="3" s="1"/>
  <c r="W33" i="2"/>
  <c r="V38" i="2"/>
  <c r="AO34" i="3"/>
  <c r="AP28" i="3" s="1"/>
  <c r="AP29" i="3" s="1"/>
  <c r="AM4" i="5"/>
  <c r="AP32" i="3"/>
  <c r="AM30" i="3"/>
  <c r="AJ9" i="5"/>
  <c r="AI7" i="5"/>
  <c r="AI6" i="5"/>
  <c r="AJ22" i="5"/>
  <c r="AK22" i="5" s="1"/>
  <c r="Z12" i="5"/>
  <c r="Z13" i="5"/>
  <c r="V45" i="2" l="1"/>
  <c r="W37" i="2"/>
  <c r="AO33" i="3"/>
  <c r="W34" i="2"/>
  <c r="W39" i="2"/>
  <c r="AN4" i="5"/>
  <c r="AQ32" i="3"/>
  <c r="AN30" i="3"/>
  <c r="AK9" i="5"/>
  <c r="AP33" i="3"/>
  <c r="AP34" i="3"/>
  <c r="AQ28" i="3" s="1"/>
  <c r="AA11" i="5"/>
  <c r="AJ5" i="5"/>
  <c r="W35" i="2" l="1"/>
  <c r="BM10" i="5" s="1"/>
  <c r="BN10" i="5" s="1"/>
  <c r="BO10" i="5" s="1"/>
  <c r="W38" i="2"/>
  <c r="X33" i="2"/>
  <c r="X37" i="2"/>
  <c r="AL9" i="5"/>
  <c r="AO30" i="3"/>
  <c r="AQ34" i="3"/>
  <c r="AR28" i="3" s="1"/>
  <c r="AR29" i="3" s="1"/>
  <c r="AR32" i="3"/>
  <c r="AO4" i="5"/>
  <c r="AJ7" i="5"/>
  <c r="AJ6" i="5"/>
  <c r="AB11" i="5"/>
  <c r="AC26" i="5" s="1"/>
  <c r="AA12" i="5"/>
  <c r="AA13" i="5"/>
  <c r="AK5" i="5"/>
  <c r="AL21" i="5" s="1"/>
  <c r="AL22" i="5" s="1"/>
  <c r="AQ29" i="3" l="1"/>
  <c r="AQ33" i="3" s="1"/>
  <c r="X34" i="2"/>
  <c r="X38" i="2" s="1"/>
  <c r="X45" i="2" s="1"/>
  <c r="X39" i="2"/>
  <c r="W45" i="2"/>
  <c r="AR34" i="3"/>
  <c r="AS28" i="3" s="1"/>
  <c r="AS29" i="3" s="1"/>
  <c r="AP30" i="3"/>
  <c r="AM9" i="5"/>
  <c r="AP4" i="5"/>
  <c r="AS32" i="3"/>
  <c r="AL5" i="5"/>
  <c r="AK7" i="5"/>
  <c r="AK6" i="5"/>
  <c r="AC11" i="5"/>
  <c r="AB12" i="5"/>
  <c r="AB13" i="5"/>
  <c r="Y33" i="2" l="1"/>
  <c r="X35" i="2"/>
  <c r="BP10" i="5" s="1"/>
  <c r="BQ10" i="5" s="1"/>
  <c r="BR10" i="5" s="1"/>
  <c r="AR33" i="3"/>
  <c r="AN9" i="5"/>
  <c r="AQ30" i="3"/>
  <c r="AT32" i="3"/>
  <c r="AQ4" i="5"/>
  <c r="AS33" i="3"/>
  <c r="AS34" i="3"/>
  <c r="AT28" i="3" s="1"/>
  <c r="AC12" i="5"/>
  <c r="AD26" i="5"/>
  <c r="AE26" i="5" s="1"/>
  <c r="AC13" i="5"/>
  <c r="AL7" i="5"/>
  <c r="AL6" i="5"/>
  <c r="AM22" i="5"/>
  <c r="AN22" i="5" s="1"/>
  <c r="Y37" i="2" l="1"/>
  <c r="Y34" i="2"/>
  <c r="Y39" i="2"/>
  <c r="AT34" i="3"/>
  <c r="AU28" i="3" s="1"/>
  <c r="AU29" i="3" s="1"/>
  <c r="AR4" i="5"/>
  <c r="AU32" i="3"/>
  <c r="AR30" i="3"/>
  <c r="AO9" i="5"/>
  <c r="AM5" i="5"/>
  <c r="AD11" i="5"/>
  <c r="AT29" i="3" l="1"/>
  <c r="AT33" i="3" s="1"/>
  <c r="Y35" i="2"/>
  <c r="BS10" i="5" s="1"/>
  <c r="BT10" i="5" s="1"/>
  <c r="BU10" i="5" s="1"/>
  <c r="Y38" i="2"/>
  <c r="Z33" i="2"/>
  <c r="AV32" i="3"/>
  <c r="AS4" i="5"/>
  <c r="AS30" i="3"/>
  <c r="AP9" i="5"/>
  <c r="AU34" i="3"/>
  <c r="AV28" i="3" s="1"/>
  <c r="AV29" i="3" s="1"/>
  <c r="AE11" i="5"/>
  <c r="AF26" i="5" s="1"/>
  <c r="AM7" i="5"/>
  <c r="AM6" i="5"/>
  <c r="AD12" i="5"/>
  <c r="AD13" i="5"/>
  <c r="AN5" i="5"/>
  <c r="AO21" i="5" s="1"/>
  <c r="AO22" i="5" s="1"/>
  <c r="Y45" i="2" l="1"/>
  <c r="Z34" i="2"/>
  <c r="Z39" i="2"/>
  <c r="Z37" i="2"/>
  <c r="AU33" i="3"/>
  <c r="AT30" i="3"/>
  <c r="AQ9" i="5"/>
  <c r="AV33" i="3"/>
  <c r="AV34" i="3"/>
  <c r="AW28" i="3" s="1"/>
  <c r="AW32" i="3"/>
  <c r="AT4" i="5"/>
  <c r="AO5" i="5"/>
  <c r="AN7" i="5"/>
  <c r="AN6" i="5"/>
  <c r="AF11" i="5"/>
  <c r="AG26" i="5" s="1"/>
  <c r="AH26" i="5" s="1"/>
  <c r="AE12" i="5"/>
  <c r="AE13" i="5"/>
  <c r="AP22" i="5" l="1"/>
  <c r="AQ22" i="5" s="1"/>
  <c r="AA33" i="2"/>
  <c r="Z35" i="2"/>
  <c r="BV10" i="5" s="1"/>
  <c r="BW10" i="5" s="1"/>
  <c r="BX10" i="5" s="1"/>
  <c r="Z38" i="2"/>
  <c r="AU4" i="5"/>
  <c r="AX32" i="3"/>
  <c r="AW34" i="3"/>
  <c r="AX28" i="3" s="1"/>
  <c r="AX29" i="3" s="1"/>
  <c r="AR9" i="5"/>
  <c r="AU30" i="3"/>
  <c r="AO7" i="5"/>
  <c r="AO6" i="5"/>
  <c r="AF12" i="5"/>
  <c r="AF13" i="5"/>
  <c r="AW29" i="3" l="1"/>
  <c r="AW33" i="3" s="1"/>
  <c r="Z45" i="2"/>
  <c r="AA34" i="2"/>
  <c r="AA39" i="2"/>
  <c r="AA37" i="2"/>
  <c r="AX34" i="3"/>
  <c r="AY28" i="3" s="1"/>
  <c r="AY29" i="3" s="1"/>
  <c r="AS9" i="5"/>
  <c r="AV30" i="3"/>
  <c r="AV4" i="5"/>
  <c r="AY32" i="3"/>
  <c r="AG11" i="5"/>
  <c r="AP5" i="5"/>
  <c r="AB33" i="2" l="1"/>
  <c r="AA35" i="2"/>
  <c r="BY10" i="5" s="1"/>
  <c r="BZ10" i="5" s="1"/>
  <c r="CA10" i="5" s="1"/>
  <c r="AA38" i="2"/>
  <c r="AB37" i="2"/>
  <c r="AX33" i="3"/>
  <c r="AY33" i="3"/>
  <c r="AY34" i="3"/>
  <c r="AZ28" i="3" s="1"/>
  <c r="AT9" i="5"/>
  <c r="AW30" i="3"/>
  <c r="AZ32" i="3"/>
  <c r="AW4" i="5"/>
  <c r="AQ5" i="5"/>
  <c r="AR21" i="5" s="1"/>
  <c r="AR22" i="5" s="1"/>
  <c r="AH11" i="5"/>
  <c r="AI26" i="5" s="1"/>
  <c r="AG12" i="5"/>
  <c r="AG13" i="5"/>
  <c r="AP7" i="5"/>
  <c r="AP6" i="5"/>
  <c r="AA45" i="2" l="1"/>
  <c r="AB34" i="2"/>
  <c r="AB35" i="2" s="1"/>
  <c r="CB10" i="5" s="1"/>
  <c r="CC10" i="5" s="1"/>
  <c r="CD10" i="5" s="1"/>
  <c r="AB39" i="2"/>
  <c r="AX4" i="5"/>
  <c r="BA32" i="3"/>
  <c r="AU9" i="5"/>
  <c r="AX30" i="3"/>
  <c r="AZ34" i="3"/>
  <c r="BA28" i="3" s="1"/>
  <c r="BA29" i="3" s="1"/>
  <c r="AI11" i="5"/>
  <c r="AJ26" i="5" s="1"/>
  <c r="AK26" i="5" s="1"/>
  <c r="AH12" i="5"/>
  <c r="AH13" i="5"/>
  <c r="AR5" i="5"/>
  <c r="AQ7" i="5"/>
  <c r="AQ6" i="5"/>
  <c r="AZ29" i="3" l="1"/>
  <c r="AZ33" i="3" s="1"/>
  <c r="AS22" i="5"/>
  <c r="AT22" i="5" s="1"/>
  <c r="AB38" i="2"/>
  <c r="AB45" i="2" s="1"/>
  <c r="AC33" i="2"/>
  <c r="AY30" i="3"/>
  <c r="AV9" i="5"/>
  <c r="BA34" i="3"/>
  <c r="BB28" i="3" s="1"/>
  <c r="BB29" i="3" s="1"/>
  <c r="BB32" i="3"/>
  <c r="AY4" i="5"/>
  <c r="AR7" i="5"/>
  <c r="AR6" i="5"/>
  <c r="AI12" i="5"/>
  <c r="AI13" i="5"/>
  <c r="AC37" i="2" l="1"/>
  <c r="AC34" i="2"/>
  <c r="AC35" i="2" s="1"/>
  <c r="CE10" i="5" s="1"/>
  <c r="CF10" i="5" s="1"/>
  <c r="CG10" i="5" s="1"/>
  <c r="AC39" i="2"/>
  <c r="BA33" i="3"/>
  <c r="BC32" i="3"/>
  <c r="AZ4" i="5"/>
  <c r="AW9" i="5"/>
  <c r="AZ30" i="3"/>
  <c r="BB33" i="3"/>
  <c r="BB34" i="3"/>
  <c r="BC28" i="3" s="1"/>
  <c r="AS5" i="5"/>
  <c r="AJ11" i="5"/>
  <c r="AC38" i="2" l="1"/>
  <c r="AC45" i="2" s="1"/>
  <c r="AD33" i="2"/>
  <c r="BC34" i="3"/>
  <c r="BD28" i="3" s="1"/>
  <c r="BD29" i="3" s="1"/>
  <c r="AX9" i="5"/>
  <c r="BA30" i="3"/>
  <c r="BA4" i="5"/>
  <c r="BD32" i="3"/>
  <c r="AT5" i="5"/>
  <c r="AU21" i="5" s="1"/>
  <c r="AU22" i="5" s="1"/>
  <c r="AK11" i="5"/>
  <c r="AL25" i="5" s="1"/>
  <c r="AL26" i="5" s="1"/>
  <c r="AS7" i="5"/>
  <c r="AS6" i="5"/>
  <c r="AJ12" i="5"/>
  <c r="AJ13" i="5"/>
  <c r="BC29" i="3" l="1"/>
  <c r="BC33" i="3" s="1"/>
  <c r="AD34" i="2"/>
  <c r="AD35" i="2" s="1"/>
  <c r="CH10" i="5" s="1"/>
  <c r="CI10" i="5" s="1"/>
  <c r="CJ10" i="5" s="1"/>
  <c r="AD39" i="2"/>
  <c r="AD37" i="2"/>
  <c r="BD34" i="3"/>
  <c r="BE28" i="3" s="1"/>
  <c r="BE29" i="3" s="1"/>
  <c r="BB30" i="3"/>
  <c r="AY9" i="5"/>
  <c r="BE32" i="3"/>
  <c r="BB4" i="5"/>
  <c r="AL11" i="5"/>
  <c r="AM26" i="5" s="1"/>
  <c r="AN26" i="5" s="1"/>
  <c r="AK12" i="5"/>
  <c r="AK13" i="5"/>
  <c r="AU5" i="5"/>
  <c r="AT7" i="5"/>
  <c r="AT6" i="5"/>
  <c r="AD38" i="2" l="1"/>
  <c r="AD45" i="2" s="1"/>
  <c r="AE33" i="2"/>
  <c r="AE37" i="2"/>
  <c r="BD33" i="3"/>
  <c r="AZ9" i="5"/>
  <c r="BC30" i="3"/>
  <c r="BC4" i="5"/>
  <c r="BF32" i="3"/>
  <c r="BE33" i="3"/>
  <c r="BE34" i="3"/>
  <c r="BF28" i="3" s="1"/>
  <c r="AU7" i="5"/>
  <c r="AU6" i="5"/>
  <c r="AV22" i="5"/>
  <c r="AW22" i="5" s="1"/>
  <c r="AL12" i="5"/>
  <c r="AL13" i="5"/>
  <c r="AE34" i="2" l="1"/>
  <c r="AE35" i="2" s="1"/>
  <c r="CK10" i="5" s="1"/>
  <c r="CL10" i="5" s="1"/>
  <c r="CM10" i="5" s="1"/>
  <c r="AE39" i="2"/>
  <c r="BF34" i="3"/>
  <c r="BG28" i="3" s="1"/>
  <c r="BG29" i="3" s="1"/>
  <c r="BA9" i="5"/>
  <c r="BD30" i="3"/>
  <c r="BD4" i="5"/>
  <c r="BG32" i="3"/>
  <c r="AM11" i="5"/>
  <c r="AV5" i="5"/>
  <c r="BF29" i="3" l="1"/>
  <c r="BF33" i="3" s="1"/>
  <c r="AE38" i="2"/>
  <c r="AE45" i="2" s="1"/>
  <c r="AF33" i="2"/>
  <c r="BB9" i="5"/>
  <c r="BE30" i="3"/>
  <c r="BH32" i="3"/>
  <c r="BE4" i="5"/>
  <c r="BG34" i="3"/>
  <c r="BH28" i="3" s="1"/>
  <c r="BH29" i="3" s="1"/>
  <c r="AM12" i="5"/>
  <c r="AM13" i="5"/>
  <c r="AV7" i="5"/>
  <c r="AV6" i="5"/>
  <c r="AW5" i="5"/>
  <c r="AX21" i="5" s="1"/>
  <c r="AX22" i="5" s="1"/>
  <c r="AN11" i="5"/>
  <c r="AO25" i="5" s="1"/>
  <c r="AO26" i="5" s="1"/>
  <c r="AF37" i="2" l="1"/>
  <c r="AF34" i="2"/>
  <c r="AF35" i="2" s="1"/>
  <c r="CN10" i="5" s="1"/>
  <c r="CO10" i="5" s="1"/>
  <c r="CP10" i="5" s="1"/>
  <c r="AF39" i="2"/>
  <c r="BG33" i="3"/>
  <c r="BF4" i="5"/>
  <c r="BI32" i="3"/>
  <c r="BC9" i="5"/>
  <c r="BF30" i="3"/>
  <c r="BH33" i="3"/>
  <c r="BH34" i="3"/>
  <c r="BI28" i="3" s="1"/>
  <c r="AO11" i="5"/>
  <c r="AP26" i="5" s="1"/>
  <c r="AQ26" i="5" s="1"/>
  <c r="AX5" i="5"/>
  <c r="AN12" i="5"/>
  <c r="AN13" i="5"/>
  <c r="AW7" i="5"/>
  <c r="AW6" i="5"/>
  <c r="AY22" i="5" l="1"/>
  <c r="AZ22" i="5" s="1"/>
  <c r="AF38" i="2"/>
  <c r="AF45" i="2" s="1"/>
  <c r="AG33" i="2"/>
  <c r="BG30" i="3"/>
  <c r="BD9" i="5"/>
  <c r="BI34" i="3"/>
  <c r="BJ28" i="3" s="1"/>
  <c r="BJ29" i="3" s="1"/>
  <c r="BG4" i="5"/>
  <c r="BJ32" i="3"/>
  <c r="AO12" i="5"/>
  <c r="AO13" i="5"/>
  <c r="AX7" i="5"/>
  <c r="AX6" i="5"/>
  <c r="BI29" i="3" l="1"/>
  <c r="BI33" i="3" s="1"/>
  <c r="AG34" i="2"/>
  <c r="AG35" i="2" s="1"/>
  <c r="CQ10" i="5" s="1"/>
  <c r="CR10" i="5" s="1"/>
  <c r="CS10" i="5" s="1"/>
  <c r="AG39" i="2"/>
  <c r="AG37" i="2"/>
  <c r="BJ34" i="3"/>
  <c r="BK28" i="3" s="1"/>
  <c r="BK29" i="3" s="1"/>
  <c r="BE9" i="5"/>
  <c r="BH30" i="3"/>
  <c r="BH4" i="5"/>
  <c r="BK32" i="3"/>
  <c r="AY5" i="5"/>
  <c r="AP11" i="5"/>
  <c r="AH33" i="2" l="1"/>
  <c r="AH34" i="2" s="1"/>
  <c r="AG38" i="2"/>
  <c r="AH37" i="2"/>
  <c r="BJ33" i="3"/>
  <c r="BF9" i="5"/>
  <c r="BI30" i="3"/>
  <c r="BI4" i="5"/>
  <c r="BL32" i="3"/>
  <c r="BK33" i="3"/>
  <c r="BK34" i="3"/>
  <c r="BL28" i="3" s="1"/>
  <c r="AQ11" i="5"/>
  <c r="AR25" i="5" s="1"/>
  <c r="AR26" i="5" s="1"/>
  <c r="AP12" i="5"/>
  <c r="AP13" i="5"/>
  <c r="AZ5" i="5"/>
  <c r="BA21" i="5" s="1"/>
  <c r="BA22" i="5" s="1"/>
  <c r="AY7" i="5"/>
  <c r="AY6" i="5"/>
  <c r="AG45" i="2" l="1"/>
  <c r="AH39" i="2"/>
  <c r="BM32" i="3"/>
  <c r="BJ4" i="5"/>
  <c r="BL34" i="3"/>
  <c r="BM28" i="3" s="1"/>
  <c r="BM29" i="3" s="1"/>
  <c r="BJ30" i="3"/>
  <c r="BG9" i="5"/>
  <c r="AR11" i="5"/>
  <c r="AS26" i="5" s="1"/>
  <c r="AT26" i="5" s="1"/>
  <c r="AQ12" i="5"/>
  <c r="AQ13" i="5"/>
  <c r="BA5" i="5"/>
  <c r="AZ7" i="5"/>
  <c r="AZ6" i="5"/>
  <c r="BL29" i="3" l="1"/>
  <c r="BL33" i="3" s="1"/>
  <c r="AH38" i="2"/>
  <c r="AH45" i="2" s="1"/>
  <c r="AH35" i="2"/>
  <c r="CT10" i="5" s="1"/>
  <c r="BM34" i="3"/>
  <c r="BN28" i="3" s="1"/>
  <c r="BN29" i="3" s="1"/>
  <c r="BK30" i="3"/>
  <c r="BH9" i="5"/>
  <c r="BN32" i="3"/>
  <c r="BK4" i="5"/>
  <c r="BA7" i="5"/>
  <c r="BA6" i="5"/>
  <c r="BB22" i="5"/>
  <c r="BC22" i="5" s="1"/>
  <c r="AR12" i="5"/>
  <c r="AR13" i="5"/>
  <c r="A28" i="8" l="1" a="1"/>
  <c r="B28" i="8" s="1"/>
  <c r="BM33" i="3"/>
  <c r="BI9" i="5"/>
  <c r="BL30" i="3"/>
  <c r="BL4" i="5"/>
  <c r="BO32" i="3"/>
  <c r="BN33" i="3"/>
  <c r="BN34" i="3"/>
  <c r="BO28" i="3" s="1"/>
  <c r="BB5" i="5"/>
  <c r="AS11" i="5"/>
  <c r="A38" i="8" l="1"/>
  <c r="G41" i="8"/>
  <c r="C52" i="8"/>
  <c r="C51" i="8"/>
  <c r="H51" i="8"/>
  <c r="C37" i="8"/>
  <c r="H37" i="8"/>
  <c r="H44" i="8"/>
  <c r="F51" i="8"/>
  <c r="E28" i="8"/>
  <c r="E42" i="8"/>
  <c r="D42" i="8"/>
  <c r="F48" i="8"/>
  <c r="E59" i="8"/>
  <c r="H40" i="8"/>
  <c r="G29" i="8"/>
  <c r="D50" i="8"/>
  <c r="A43" i="8"/>
  <c r="C38" i="8"/>
  <c r="D39" i="8"/>
  <c r="E41" i="8"/>
  <c r="H43" i="8"/>
  <c r="A32" i="8"/>
  <c r="H36" i="8"/>
  <c r="F35" i="8"/>
  <c r="B50" i="8"/>
  <c r="A39" i="8"/>
  <c r="B45" i="8"/>
  <c r="E38" i="8"/>
  <c r="A51" i="8"/>
  <c r="F52" i="8"/>
  <c r="B59" i="8"/>
  <c r="A28" i="8"/>
  <c r="E40" i="8"/>
  <c r="E48" i="8"/>
  <c r="B35" i="8"/>
  <c r="H46" i="8"/>
  <c r="H38" i="8"/>
  <c r="F29" i="8"/>
  <c r="A59" i="8"/>
  <c r="H50" i="8"/>
  <c r="C50" i="8"/>
  <c r="D53" i="8"/>
  <c r="E35" i="8"/>
  <c r="B44" i="8"/>
  <c r="B48" i="8"/>
  <c r="H49" i="8"/>
  <c r="E43" i="8"/>
  <c r="D56" i="8"/>
  <c r="A37" i="8"/>
  <c r="E29" i="8"/>
  <c r="A35" i="8"/>
  <c r="D54" i="8"/>
  <c r="D45" i="8"/>
  <c r="F30" i="8"/>
  <c r="A42" i="8"/>
  <c r="G35" i="8"/>
  <c r="B46" i="8"/>
  <c r="F42" i="8"/>
  <c r="F34" i="8"/>
  <c r="D40" i="8"/>
  <c r="H57" i="8"/>
  <c r="D28" i="8"/>
  <c r="E45" i="8"/>
  <c r="C57" i="8"/>
  <c r="A47" i="8"/>
  <c r="C43" i="8"/>
  <c r="D49" i="8"/>
  <c r="E58" i="8"/>
  <c r="G54" i="8"/>
  <c r="C39" i="8"/>
  <c r="F57" i="8"/>
  <c r="B51" i="8"/>
  <c r="C54" i="8"/>
  <c r="H58" i="8"/>
  <c r="C30" i="8"/>
  <c r="G47" i="8"/>
  <c r="C59" i="8"/>
  <c r="B29" i="8"/>
  <c r="H30" i="8"/>
  <c r="H54" i="8"/>
  <c r="E54" i="8"/>
  <c r="H55" i="8"/>
  <c r="F44" i="8"/>
  <c r="A50" i="8"/>
  <c r="D55" i="8"/>
  <c r="A31" i="8"/>
  <c r="F32" i="8"/>
  <c r="B41" i="8"/>
  <c r="C42" i="8"/>
  <c r="H33" i="8"/>
  <c r="G40" i="8"/>
  <c r="C29" i="8"/>
  <c r="F40" i="8"/>
  <c r="A46" i="8"/>
  <c r="B38" i="8"/>
  <c r="H35" i="8"/>
  <c r="A41" i="8"/>
  <c r="E32" i="8"/>
  <c r="F39" i="8"/>
  <c r="G38" i="8"/>
  <c r="F54" i="8"/>
  <c r="G37" i="8"/>
  <c r="F43" i="8"/>
  <c r="C33" i="8"/>
  <c r="C55" i="8"/>
  <c r="E34" i="8"/>
  <c r="A44" i="8"/>
  <c r="H32" i="8"/>
  <c r="D57" i="8"/>
  <c r="B47" i="8"/>
  <c r="A54" i="8"/>
  <c r="H48" i="8"/>
  <c r="A55" i="8"/>
  <c r="G53" i="8"/>
  <c r="E37" i="8"/>
  <c r="C32" i="8"/>
  <c r="G56" i="8"/>
  <c r="A57" i="8"/>
  <c r="C56" i="8"/>
  <c r="C47" i="8"/>
  <c r="B36" i="8"/>
  <c r="B42" i="8"/>
  <c r="A56" i="8"/>
  <c r="D51" i="8"/>
  <c r="B40" i="8"/>
  <c r="F38" i="8"/>
  <c r="C28" i="8"/>
  <c r="G28" i="8"/>
  <c r="D46" i="8"/>
  <c r="B49" i="8"/>
  <c r="F49" i="8"/>
  <c r="G49" i="8"/>
  <c r="G43" i="8"/>
  <c r="G44" i="8"/>
  <c r="F55" i="8"/>
  <c r="A52" i="8"/>
  <c r="G48" i="8"/>
  <c r="E51" i="8"/>
  <c r="A45" i="8"/>
  <c r="H52" i="8"/>
  <c r="C31" i="8"/>
  <c r="A40" i="8"/>
  <c r="A49" i="8"/>
  <c r="F46" i="8"/>
  <c r="A36" i="8"/>
  <c r="F50" i="8"/>
  <c r="A33" i="8"/>
  <c r="H41" i="8"/>
  <c r="B31" i="8"/>
  <c r="H42" i="8"/>
  <c r="E56" i="8"/>
  <c r="C45" i="8"/>
  <c r="G42" i="8"/>
  <c r="C40" i="8"/>
  <c r="B37" i="8"/>
  <c r="D35" i="8"/>
  <c r="C48" i="8"/>
  <c r="F47" i="8"/>
  <c r="D37" i="8"/>
  <c r="D59" i="8"/>
  <c r="D44" i="8"/>
  <c r="G55" i="8"/>
  <c r="G45" i="8"/>
  <c r="F36" i="8"/>
  <c r="C49" i="8"/>
  <c r="H56" i="8"/>
  <c r="C35" i="8"/>
  <c r="B58" i="8"/>
  <c r="B33" i="8"/>
  <c r="E44" i="8"/>
  <c r="H29" i="8"/>
  <c r="E57" i="8"/>
  <c r="H53" i="8"/>
  <c r="E52" i="8"/>
  <c r="G33" i="8"/>
  <c r="F37" i="8"/>
  <c r="B55" i="8"/>
  <c r="F58" i="8"/>
  <c r="A48" i="8"/>
  <c r="B54" i="8"/>
  <c r="B56" i="8"/>
  <c r="E46" i="8"/>
  <c r="G51" i="8"/>
  <c r="C41" i="8"/>
  <c r="E36" i="8"/>
  <c r="G46" i="8"/>
  <c r="E50" i="8"/>
  <c r="D38" i="8"/>
  <c r="E39" i="8"/>
  <c r="D29" i="8"/>
  <c r="G59" i="8"/>
  <c r="B39" i="8"/>
  <c r="A29" i="8"/>
  <c r="H45" i="8"/>
  <c r="D52" i="8"/>
  <c r="H47" i="8"/>
  <c r="A58" i="8"/>
  <c r="B53" i="8"/>
  <c r="A30" i="8"/>
  <c r="H31" i="8"/>
  <c r="F59" i="8"/>
  <c r="D41" i="8"/>
  <c r="D43" i="8"/>
  <c r="C46" i="8"/>
  <c r="G39" i="8"/>
  <c r="E47" i="8"/>
  <c r="G36" i="8"/>
  <c r="E33" i="8"/>
  <c r="D48" i="8"/>
  <c r="D36" i="8"/>
  <c r="B57" i="8"/>
  <c r="H39" i="8"/>
  <c r="D32" i="8"/>
  <c r="C53" i="8"/>
  <c r="C44" i="8"/>
  <c r="A34" i="8"/>
  <c r="H34" i="8"/>
  <c r="G57" i="8"/>
  <c r="F56" i="8"/>
  <c r="G52" i="8"/>
  <c r="C34" i="8"/>
  <c r="A53" i="8"/>
  <c r="E31" i="8"/>
  <c r="E53" i="8"/>
  <c r="F31" i="8"/>
  <c r="G34" i="8"/>
  <c r="H28" i="8"/>
  <c r="F33" i="8"/>
  <c r="G58" i="8"/>
  <c r="D30" i="8"/>
  <c r="E49" i="8"/>
  <c r="C36" i="8"/>
  <c r="F53" i="8"/>
  <c r="E55" i="8"/>
  <c r="D58" i="8"/>
  <c r="E30" i="8"/>
  <c r="B43" i="8"/>
  <c r="F45" i="8"/>
  <c r="G32" i="8"/>
  <c r="B32" i="8"/>
  <c r="F41" i="8"/>
  <c r="G30" i="8"/>
  <c r="B30" i="8"/>
  <c r="B52" i="8"/>
  <c r="D47" i="8"/>
  <c r="D34" i="8"/>
  <c r="G31" i="8"/>
  <c r="G50" i="8"/>
  <c r="D33" i="8"/>
  <c r="D31" i="8"/>
  <c r="B34" i="8"/>
  <c r="C58" i="8"/>
  <c r="H59" i="8"/>
  <c r="F28" i="8"/>
  <c r="BM4" i="5"/>
  <c r="BP32" i="3"/>
  <c r="BO34" i="3"/>
  <c r="BP28" i="3" s="1"/>
  <c r="BP29" i="3" s="1"/>
  <c r="BJ9" i="5"/>
  <c r="BM30" i="3"/>
  <c r="BB7" i="5"/>
  <c r="BB6" i="5"/>
  <c r="BC5" i="5"/>
  <c r="BD21" i="5" s="1"/>
  <c r="BD22" i="5" s="1"/>
  <c r="AT11" i="5"/>
  <c r="AU25" i="5" s="1"/>
  <c r="AU26" i="5" s="1"/>
  <c r="AS12" i="5"/>
  <c r="AS13" i="5"/>
  <c r="BO29" i="3" l="1"/>
  <c r="BO33" i="3" s="1"/>
  <c r="BP34" i="3"/>
  <c r="BQ28" i="3" s="1"/>
  <c r="BQ29" i="3" s="1"/>
  <c r="BK9" i="5"/>
  <c r="BN30" i="3"/>
  <c r="BN4" i="5"/>
  <c r="BQ32" i="3"/>
  <c r="BD5" i="5"/>
  <c r="AU11" i="5"/>
  <c r="AV26" i="5" s="1"/>
  <c r="AW26" i="5" s="1"/>
  <c r="BC7" i="5"/>
  <c r="BC6" i="5"/>
  <c r="AT12" i="5"/>
  <c r="AT13" i="5"/>
  <c r="BE22" i="5" l="1"/>
  <c r="BF22" i="5" s="1"/>
  <c r="BP33" i="3"/>
  <c r="BO30" i="3"/>
  <c r="BL9" i="5"/>
  <c r="BO4" i="5"/>
  <c r="BR32" i="3"/>
  <c r="BQ33" i="3"/>
  <c r="BQ34" i="3"/>
  <c r="BR28" i="3" s="1"/>
  <c r="AU12" i="5"/>
  <c r="AU13" i="5"/>
  <c r="BD7" i="5"/>
  <c r="BD6" i="5"/>
  <c r="BR34" i="3" l="1"/>
  <c r="BS28" i="3" s="1"/>
  <c r="BS29" i="3" s="1"/>
  <c r="BP4" i="5"/>
  <c r="BS32" i="3"/>
  <c r="BM9" i="5"/>
  <c r="BP30" i="3"/>
  <c r="BE5" i="5"/>
  <c r="AV11" i="5"/>
  <c r="BR29" i="3" l="1"/>
  <c r="BR33" i="3" s="1"/>
  <c r="BQ4" i="5"/>
  <c r="BT32" i="3"/>
  <c r="BQ30" i="3"/>
  <c r="BN9" i="5"/>
  <c r="BS34" i="3"/>
  <c r="BT28" i="3" s="1"/>
  <c r="BT29" i="3" s="1"/>
  <c r="BF5" i="5"/>
  <c r="BG21" i="5" s="1"/>
  <c r="BG22" i="5" s="1"/>
  <c r="AW11" i="5"/>
  <c r="AX25" i="5" s="1"/>
  <c r="AX26" i="5" s="1"/>
  <c r="BE7" i="5"/>
  <c r="BE6" i="5"/>
  <c r="AV12" i="5"/>
  <c r="AV13" i="5"/>
  <c r="BS33" i="3" l="1"/>
  <c r="BU32" i="3"/>
  <c r="BR4" i="5"/>
  <c r="BO9" i="5"/>
  <c r="BR30" i="3"/>
  <c r="BT33" i="3"/>
  <c r="BT34" i="3"/>
  <c r="BU28" i="3" s="1"/>
  <c r="AX11" i="5"/>
  <c r="AY26" i="5" s="1"/>
  <c r="AZ26" i="5" s="1"/>
  <c r="AW12" i="5"/>
  <c r="AW13" i="5"/>
  <c r="BG5" i="5"/>
  <c r="BF7" i="5"/>
  <c r="BF6" i="5"/>
  <c r="BP9" i="5" l="1"/>
  <c r="BS30" i="3"/>
  <c r="BU34" i="3"/>
  <c r="BV28" i="3" s="1"/>
  <c r="BV29" i="3" s="1"/>
  <c r="BS4" i="5"/>
  <c r="BV32" i="3"/>
  <c r="AX12" i="5"/>
  <c r="AX13" i="5"/>
  <c r="BG7" i="5"/>
  <c r="BG6" i="5"/>
  <c r="BH22" i="5"/>
  <c r="BI22" i="5" s="1"/>
  <c r="BU29" i="3" l="1"/>
  <c r="BU33" i="3" s="1"/>
  <c r="BV34" i="3"/>
  <c r="BW28" i="3" s="1"/>
  <c r="BW29" i="3" s="1"/>
  <c r="BQ9" i="5"/>
  <c r="BT30" i="3"/>
  <c r="BW32" i="3"/>
  <c r="BT4" i="5"/>
  <c r="BH5" i="5"/>
  <c r="AY11" i="5"/>
  <c r="BV33" i="3" l="1"/>
  <c r="BR9" i="5"/>
  <c r="BU30" i="3"/>
  <c r="BU4" i="5"/>
  <c r="BX32" i="3"/>
  <c r="BW33" i="3"/>
  <c r="BW34" i="3"/>
  <c r="BX28" i="3" s="1"/>
  <c r="AZ11" i="5"/>
  <c r="BA25" i="5" s="1"/>
  <c r="BA26" i="5" s="1"/>
  <c r="BI5" i="5"/>
  <c r="BJ21" i="5" s="1"/>
  <c r="BJ22" i="5" s="1"/>
  <c r="AY12" i="5"/>
  <c r="AY13" i="5"/>
  <c r="BH7" i="5"/>
  <c r="BH6" i="5"/>
  <c r="BX34" i="3" l="1"/>
  <c r="BY28" i="3" s="1"/>
  <c r="BY29" i="3" s="1"/>
  <c r="BV4" i="5"/>
  <c r="BY32" i="3"/>
  <c r="BS9" i="5"/>
  <c r="BV30" i="3"/>
  <c r="BJ5" i="5"/>
  <c r="BA11" i="5"/>
  <c r="BB26" i="5" s="1"/>
  <c r="BC26" i="5" s="1"/>
  <c r="BI7" i="5"/>
  <c r="BI6" i="5"/>
  <c r="AZ12" i="5"/>
  <c r="AZ13" i="5"/>
  <c r="BX29" i="3" l="1"/>
  <c r="BX33" i="3" s="1"/>
  <c r="BW4" i="5"/>
  <c r="BZ32" i="3"/>
  <c r="BT9" i="5"/>
  <c r="BW30" i="3"/>
  <c r="BY34" i="3"/>
  <c r="BZ28" i="3" s="1"/>
  <c r="BZ29" i="3" s="1"/>
  <c r="BA12" i="5"/>
  <c r="BA13" i="5"/>
  <c r="BJ7" i="5"/>
  <c r="BJ6" i="5"/>
  <c r="BK22" i="5"/>
  <c r="BL22" i="5" s="1"/>
  <c r="BY33" i="3" l="1"/>
  <c r="BU9" i="5"/>
  <c r="BX30" i="3"/>
  <c r="BX4" i="5"/>
  <c r="CA32" i="3"/>
  <c r="BZ33" i="3"/>
  <c r="BZ34" i="3"/>
  <c r="CA28" i="3" s="1"/>
  <c r="BB11" i="5"/>
  <c r="BK5" i="5"/>
  <c r="CB32" i="3" l="1"/>
  <c r="BY4" i="5"/>
  <c r="CA34" i="3"/>
  <c r="CB28" i="3" s="1"/>
  <c r="CB29" i="3" s="1"/>
  <c r="BV9" i="5"/>
  <c r="BY30" i="3"/>
  <c r="BC11" i="5"/>
  <c r="BD25" i="5" s="1"/>
  <c r="BD26" i="5" s="1"/>
  <c r="BL5" i="5"/>
  <c r="BM21" i="5" s="1"/>
  <c r="BM22" i="5" s="1"/>
  <c r="BK7" i="5"/>
  <c r="BK6" i="5"/>
  <c r="BB12" i="5"/>
  <c r="BB13" i="5"/>
  <c r="CA29" i="3" l="1"/>
  <c r="CA33" i="3" s="1"/>
  <c r="BZ30" i="3"/>
  <c r="BW9" i="5"/>
  <c r="CB34" i="3"/>
  <c r="CC28" i="3" s="1"/>
  <c r="CC29" i="3" s="1"/>
  <c r="BZ4" i="5"/>
  <c r="CC32" i="3"/>
  <c r="BD11" i="5"/>
  <c r="BE26" i="5" s="1"/>
  <c r="BF26" i="5" s="1"/>
  <c r="BC12" i="5"/>
  <c r="BC13" i="5"/>
  <c r="BM5" i="5"/>
  <c r="BL7" i="5"/>
  <c r="BL6" i="5"/>
  <c r="CB33" i="3" l="1"/>
  <c r="CC33" i="3"/>
  <c r="CC34" i="3"/>
  <c r="CD28" i="3" s="1"/>
  <c r="CD32" i="3"/>
  <c r="CA4" i="5"/>
  <c r="CA30" i="3"/>
  <c r="BX9" i="5"/>
  <c r="BM7" i="5"/>
  <c r="BM6" i="5"/>
  <c r="BN22" i="5"/>
  <c r="BO22" i="5" s="1"/>
  <c r="BD12" i="5"/>
  <c r="BD13" i="5"/>
  <c r="CB4" i="5" l="1"/>
  <c r="CE32" i="3"/>
  <c r="CD34" i="3"/>
  <c r="CE28" i="3" s="1"/>
  <c r="CE29" i="3" s="1"/>
  <c r="CB30" i="3"/>
  <c r="BY9" i="5"/>
  <c r="BE11" i="5"/>
  <c r="BN5" i="5"/>
  <c r="CD29" i="3" l="1"/>
  <c r="CD33" i="3" s="1"/>
  <c r="CF32" i="3"/>
  <c r="CC4" i="5"/>
  <c r="CE34" i="3"/>
  <c r="CF28" i="3" s="1"/>
  <c r="CF29" i="3" s="1"/>
  <c r="BZ9" i="5"/>
  <c r="CC30" i="3"/>
  <c r="BN7" i="5"/>
  <c r="BN6" i="5"/>
  <c r="BE12" i="5"/>
  <c r="BE13" i="5"/>
  <c r="BF11" i="5"/>
  <c r="BG25" i="5" s="1"/>
  <c r="BG26" i="5" s="1"/>
  <c r="BO5" i="5"/>
  <c r="BP21" i="5" s="1"/>
  <c r="BP22" i="5" s="1"/>
  <c r="CE33" i="3" l="1"/>
  <c r="CF33" i="3"/>
  <c r="CF34" i="3"/>
  <c r="CG28" i="3" s="1"/>
  <c r="CA9" i="5"/>
  <c r="CD30" i="3"/>
  <c r="CD4" i="5"/>
  <c r="CG32" i="3"/>
  <c r="BG11" i="5"/>
  <c r="BH26" i="5" s="1"/>
  <c r="BI26" i="5" s="1"/>
  <c r="BP5" i="5"/>
  <c r="BO7" i="5"/>
  <c r="BO6" i="5"/>
  <c r="BF12" i="5"/>
  <c r="BF13" i="5"/>
  <c r="CG34" i="3" l="1"/>
  <c r="CH28" i="3" s="1"/>
  <c r="CH29" i="3" s="1"/>
  <c r="CE30" i="3"/>
  <c r="CB9" i="5"/>
  <c r="CE4" i="5"/>
  <c r="CH32" i="3"/>
  <c r="BG12" i="5"/>
  <c r="BG13" i="5"/>
  <c r="BP7" i="5"/>
  <c r="BP6" i="5"/>
  <c r="BQ22" i="5"/>
  <c r="BR22" i="5" s="1"/>
  <c r="CG29" i="3" l="1"/>
  <c r="CG33" i="3" s="1"/>
  <c r="CF30" i="3"/>
  <c r="CC9" i="5"/>
  <c r="CH34" i="3"/>
  <c r="CI28" i="3" s="1"/>
  <c r="CI29" i="3" s="1"/>
  <c r="CI32" i="3"/>
  <c r="CF4" i="5"/>
  <c r="BH11" i="5"/>
  <c r="BQ5" i="5"/>
  <c r="CH33" i="3" l="1"/>
  <c r="CI33" i="3"/>
  <c r="CI34" i="3"/>
  <c r="CJ28" i="3" s="1"/>
  <c r="CG4" i="5"/>
  <c r="CJ32" i="3"/>
  <c r="CD9" i="5"/>
  <c r="CG30" i="3"/>
  <c r="BI11" i="5"/>
  <c r="BJ25" i="5" s="1"/>
  <c r="BJ26" i="5" s="1"/>
  <c r="BH12" i="5"/>
  <c r="BH13" i="5"/>
  <c r="BR5" i="5"/>
  <c r="BS21" i="5" s="1"/>
  <c r="BS22" i="5" s="1"/>
  <c r="BQ7" i="5"/>
  <c r="BQ6" i="5"/>
  <c r="CH4" i="5" l="1"/>
  <c r="CK32" i="3"/>
  <c r="CH30" i="3"/>
  <c r="CE9" i="5"/>
  <c r="CJ34" i="3"/>
  <c r="CK28" i="3" s="1"/>
  <c r="CK29" i="3" s="1"/>
  <c r="BS5" i="5"/>
  <c r="BJ11" i="5"/>
  <c r="BK26" i="5" s="1"/>
  <c r="BL26" i="5" s="1"/>
  <c r="BR7" i="5"/>
  <c r="BR6" i="5"/>
  <c r="BI12" i="5"/>
  <c r="BI13" i="5"/>
  <c r="CJ29" i="3" l="1"/>
  <c r="CJ33" i="3" s="1"/>
  <c r="CI30" i="3"/>
  <c r="CF9" i="5"/>
  <c r="CK34" i="3"/>
  <c r="CL28" i="3" s="1"/>
  <c r="CL29" i="3" s="1"/>
  <c r="CI4" i="5"/>
  <c r="CL32" i="3"/>
  <c r="BJ12" i="5"/>
  <c r="BJ13" i="5"/>
  <c r="BS7" i="5"/>
  <c r="BS6" i="5"/>
  <c r="BT22" i="5"/>
  <c r="BU22" i="5" s="1"/>
  <c r="CK33" i="3" l="1"/>
  <c r="CL33" i="3"/>
  <c r="CL34" i="3"/>
  <c r="CM28" i="3" s="1"/>
  <c r="CJ4" i="5"/>
  <c r="CM32" i="3"/>
  <c r="CJ30" i="3"/>
  <c r="CG9" i="5"/>
  <c r="BT5" i="5"/>
  <c r="BK11" i="5"/>
  <c r="CK4" i="5" l="1"/>
  <c r="CN32" i="3"/>
  <c r="CM34" i="3"/>
  <c r="CN28" i="3" s="1"/>
  <c r="CN29" i="3" s="1"/>
  <c r="CH9" i="5"/>
  <c r="CK30" i="3"/>
  <c r="BL11" i="5"/>
  <c r="BM25" i="5" s="1"/>
  <c r="BM26" i="5" s="1"/>
  <c r="BT7" i="5"/>
  <c r="BT6" i="5"/>
  <c r="BK12" i="5"/>
  <c r="BK13" i="5"/>
  <c r="BU5" i="5"/>
  <c r="BV21" i="5" s="1"/>
  <c r="BV22" i="5" s="1"/>
  <c r="CM29" i="3" l="1"/>
  <c r="CM33" i="3" s="1"/>
  <c r="CN34" i="3"/>
  <c r="CO28" i="3" s="1"/>
  <c r="CO29" i="3" s="1"/>
  <c r="CL30" i="3"/>
  <c r="CI9" i="5"/>
  <c r="CO32" i="3"/>
  <c r="CL4" i="5"/>
  <c r="BM11" i="5"/>
  <c r="BN26" i="5" s="1"/>
  <c r="BO26" i="5" s="1"/>
  <c r="BL12" i="5"/>
  <c r="BL13" i="5"/>
  <c r="BV5" i="5"/>
  <c r="BU7" i="5"/>
  <c r="BU6" i="5"/>
  <c r="CN33" i="3" l="1"/>
  <c r="CM30" i="3"/>
  <c r="CJ9" i="5"/>
  <c r="CP32" i="3"/>
  <c r="CM4" i="5"/>
  <c r="CO33" i="3"/>
  <c r="CO34" i="3"/>
  <c r="CP28" i="3" s="1"/>
  <c r="BV7" i="5"/>
  <c r="BV6" i="5"/>
  <c r="BW22" i="5"/>
  <c r="BX22" i="5" s="1"/>
  <c r="BM12" i="5"/>
  <c r="BM13" i="5"/>
  <c r="CQ32" i="3" l="1"/>
  <c r="CN4" i="5"/>
  <c r="CP34" i="3"/>
  <c r="CQ28" i="3" s="1"/>
  <c r="CQ29" i="3" s="1"/>
  <c r="CN30" i="3"/>
  <c r="CK9" i="5"/>
  <c r="BN11" i="5"/>
  <c r="BW5" i="5"/>
  <c r="CP29" i="3" l="1"/>
  <c r="CP33" i="3" s="1"/>
  <c r="CO4" i="5"/>
  <c r="CR32" i="3"/>
  <c r="CQ34" i="3"/>
  <c r="CL9" i="5"/>
  <c r="CO30" i="3"/>
  <c r="BO11" i="5"/>
  <c r="BP25" i="5" s="1"/>
  <c r="BP26" i="5" s="1"/>
  <c r="BP11" i="5" s="1"/>
  <c r="BP12" i="5" s="1"/>
  <c r="BN12" i="5"/>
  <c r="BN13" i="5"/>
  <c r="BX5" i="5"/>
  <c r="BY21" i="5" s="1"/>
  <c r="BY22" i="5" s="1"/>
  <c r="BW7" i="5"/>
  <c r="BW6" i="5"/>
  <c r="CS32" i="3" l="1"/>
  <c r="CP4" i="5"/>
  <c r="CQ33" i="3"/>
  <c r="CR28" i="3"/>
  <c r="CR29" i="3" s="1"/>
  <c r="CP30" i="3"/>
  <c r="CM9" i="5"/>
  <c r="BX7" i="5"/>
  <c r="BX6" i="5"/>
  <c r="BQ26" i="5"/>
  <c r="BR26" i="5" s="1"/>
  <c r="BO12" i="5"/>
  <c r="BO13" i="5"/>
  <c r="BY5" i="5"/>
  <c r="CT32" i="3" l="1"/>
  <c r="CQ4" i="5"/>
  <c r="CR34" i="3"/>
  <c r="CS28" i="3" s="1"/>
  <c r="CN9" i="5"/>
  <c r="CQ30" i="3"/>
  <c r="BY7" i="5"/>
  <c r="BY6" i="5"/>
  <c r="BZ22" i="5"/>
  <c r="CA22" i="5" s="1"/>
  <c r="BP13" i="5"/>
  <c r="CR4" i="5" l="1"/>
  <c r="CU32" i="3"/>
  <c r="CS34" i="3"/>
  <c r="CT28" i="3" s="1"/>
  <c r="CT29" i="3" s="1"/>
  <c r="CR30" i="3"/>
  <c r="CP9" i="5" s="1"/>
  <c r="CR33" i="3"/>
  <c r="CO9" i="5"/>
  <c r="BQ11" i="5"/>
  <c r="BZ5" i="5"/>
  <c r="CV32" i="3" l="1"/>
  <c r="CT4" i="5" s="1"/>
  <c r="CS4" i="5"/>
  <c r="CS29" i="3"/>
  <c r="CS33" i="3" s="1"/>
  <c r="CT34" i="3"/>
  <c r="CA5" i="5"/>
  <c r="CB21" i="5" s="1"/>
  <c r="CB22" i="5" s="1"/>
  <c r="BR11" i="5"/>
  <c r="BS25" i="5" s="1"/>
  <c r="BS26" i="5" s="1"/>
  <c r="BZ7" i="5"/>
  <c r="BZ6" i="5"/>
  <c r="BQ12" i="5"/>
  <c r="BQ13" i="5"/>
  <c r="CS30" i="3" l="1"/>
  <c r="CQ9" i="5" s="1"/>
  <c r="CT33" i="3"/>
  <c r="CU28" i="3"/>
  <c r="CB5" i="5"/>
  <c r="BS11" i="5"/>
  <c r="BT26" i="5" s="1"/>
  <c r="BU26" i="5" s="1"/>
  <c r="BR12" i="5"/>
  <c r="BR13" i="5"/>
  <c r="CA7" i="5"/>
  <c r="CA6" i="5"/>
  <c r="CT30" i="3" l="1"/>
  <c r="CR9" i="5" s="1"/>
  <c r="CU34" i="3"/>
  <c r="CV28" i="3" s="1"/>
  <c r="CU29" i="3"/>
  <c r="CB7" i="5"/>
  <c r="CB6" i="5"/>
  <c r="CC22" i="5"/>
  <c r="CD22" i="5" s="1"/>
  <c r="BS12" i="5"/>
  <c r="BS13" i="5"/>
  <c r="CU30" i="3" l="1"/>
  <c r="CS9" i="5" s="1"/>
  <c r="CU33" i="3"/>
  <c r="CV34" i="3"/>
  <c r="CV29" i="3" s="1"/>
  <c r="CC5" i="5"/>
  <c r="BT11" i="5"/>
  <c r="CV33" i="3" l="1"/>
  <c r="CV36" i="3"/>
  <c r="CV30" i="3"/>
  <c r="CT9" i="5" s="1"/>
  <c r="CD5" i="5"/>
  <c r="CE21" i="5" s="1"/>
  <c r="CE22" i="5" s="1"/>
  <c r="BU11" i="5"/>
  <c r="BV25" i="5" s="1"/>
  <c r="BV26" i="5" s="1"/>
  <c r="CC7" i="5"/>
  <c r="CC6" i="5"/>
  <c r="BT12" i="5"/>
  <c r="BT13" i="5"/>
  <c r="CE5" i="5" l="1"/>
  <c r="CD7" i="5"/>
  <c r="CD6" i="5"/>
  <c r="BV11" i="5"/>
  <c r="BW26" i="5" s="1"/>
  <c r="BX26" i="5" s="1"/>
  <c r="BU12" i="5"/>
  <c r="BU13" i="5"/>
  <c r="BV12" i="5" l="1"/>
  <c r="BV13" i="5"/>
  <c r="CE7" i="5"/>
  <c r="CE6" i="5"/>
  <c r="CF22" i="5"/>
  <c r="CG22" i="5" s="1"/>
  <c r="BW11" i="5" l="1"/>
  <c r="CF5" i="5"/>
  <c r="BW12" i="5" l="1"/>
  <c r="BW13" i="5"/>
  <c r="BX11" i="5"/>
  <c r="BY25" i="5" s="1"/>
  <c r="BY26" i="5" s="1"/>
  <c r="CG5" i="5"/>
  <c r="CH21" i="5" s="1"/>
  <c r="CH22" i="5" s="1"/>
  <c r="CF7" i="5"/>
  <c r="CF6" i="5"/>
  <c r="BX12" i="5" l="1"/>
  <c r="BX13" i="5"/>
  <c r="CH5" i="5"/>
  <c r="CG7" i="5"/>
  <c r="CG6" i="5"/>
  <c r="BY11" i="5"/>
  <c r="BZ26" i="5" s="1"/>
  <c r="CA26" i="5" s="1"/>
  <c r="CH7" i="5" l="1"/>
  <c r="CH6" i="5"/>
  <c r="CI22" i="5"/>
  <c r="CJ22" i="5" s="1"/>
  <c r="BY12" i="5"/>
  <c r="BY13" i="5"/>
  <c r="BZ11" i="5" l="1"/>
  <c r="CI5" i="5"/>
  <c r="CJ5" i="5" l="1"/>
  <c r="CK21" i="5" s="1"/>
  <c r="CK22" i="5" s="1"/>
  <c r="CA11" i="5"/>
  <c r="CB25" i="5" s="1"/>
  <c r="CB26" i="5" s="1"/>
  <c r="CI7" i="5"/>
  <c r="CI6" i="5"/>
  <c r="BZ12" i="5"/>
  <c r="BZ13" i="5"/>
  <c r="CA12" i="5" l="1"/>
  <c r="CA13" i="5"/>
  <c r="CK5" i="5"/>
  <c r="CJ7" i="5"/>
  <c r="CJ6" i="5"/>
  <c r="CB11" i="5"/>
  <c r="CC26" i="5" s="1"/>
  <c r="CD26" i="5" s="1"/>
  <c r="CK7" i="5" l="1"/>
  <c r="CK6" i="5"/>
  <c r="CL22" i="5"/>
  <c r="CM22" i="5" s="1"/>
  <c r="CB12" i="5"/>
  <c r="CB13" i="5"/>
  <c r="CC11" i="5" l="1"/>
  <c r="CL5" i="5"/>
  <c r="CL7" i="5" l="1"/>
  <c r="CL6" i="5"/>
  <c r="CC12" i="5"/>
  <c r="CC13" i="5"/>
  <c r="CM5" i="5"/>
  <c r="CN21" i="5" s="1"/>
  <c r="CN22" i="5" s="1"/>
  <c r="CD11" i="5"/>
  <c r="CE25" i="5" s="1"/>
  <c r="CE26" i="5" s="1"/>
  <c r="CE11" i="5" l="1"/>
  <c r="CF26" i="5" s="1"/>
  <c r="CG26" i="5" s="1"/>
  <c r="CD12" i="5"/>
  <c r="CD13" i="5"/>
  <c r="CN5" i="5"/>
  <c r="CM7" i="5"/>
  <c r="CM6" i="5"/>
  <c r="CN7" i="5" l="1"/>
  <c r="CN6" i="5"/>
  <c r="CO22" i="5"/>
  <c r="CP22" i="5" s="1"/>
  <c r="CE12" i="5"/>
  <c r="CE13" i="5"/>
  <c r="CP5" i="5" l="1"/>
  <c r="CQ21" i="5" s="1"/>
  <c r="CQ22" i="5" s="1"/>
  <c r="CQ5" i="5" s="1"/>
  <c r="CF11" i="5"/>
  <c r="CO5" i="5"/>
  <c r="CO7" i="5" s="1"/>
  <c r="CP6" i="5" l="1"/>
  <c r="CP7" i="5"/>
  <c r="CQ6" i="5"/>
  <c r="CR22" i="5"/>
  <c r="CR5" i="5" s="1"/>
  <c r="CQ7" i="5"/>
  <c r="CG11" i="5"/>
  <c r="CH25" i="5" s="1"/>
  <c r="CH26" i="5" s="1"/>
  <c r="CO6" i="5"/>
  <c r="CF12" i="5"/>
  <c r="CF13" i="5"/>
  <c r="CS22" i="5" l="1"/>
  <c r="CS5" i="5" s="1"/>
  <c r="CR6" i="5"/>
  <c r="CR7" i="5"/>
  <c r="CH11" i="5"/>
  <c r="CI26" i="5" s="1"/>
  <c r="CJ26" i="5" s="1"/>
  <c r="CG12" i="5"/>
  <c r="CG13" i="5"/>
  <c r="CT21" i="5" l="1"/>
  <c r="CT22" i="5" s="1"/>
  <c r="CT5" i="5" s="1"/>
  <c r="CT6" i="5" s="1"/>
  <c r="CS6" i="5"/>
  <c r="CS7" i="5"/>
  <c r="CH12" i="5"/>
  <c r="CH13" i="5"/>
  <c r="CT7" i="5" l="1"/>
  <c r="CI11" i="5"/>
  <c r="CJ11" i="5" l="1"/>
  <c r="CK25" i="5" s="1"/>
  <c r="CK26" i="5" s="1"/>
  <c r="CI12" i="5"/>
  <c r="CI13" i="5"/>
  <c r="CK11" i="5" l="1"/>
  <c r="CL26" i="5" s="1"/>
  <c r="CM26" i="5" s="1"/>
  <c r="CJ12" i="5"/>
  <c r="CJ13" i="5"/>
  <c r="CK12" i="5" l="1"/>
  <c r="CK13" i="5"/>
  <c r="CL11" i="5" l="1"/>
  <c r="CM11" i="5" l="1"/>
  <c r="CN25" i="5" s="1"/>
  <c r="CN26" i="5" s="1"/>
  <c r="CL12" i="5"/>
  <c r="CL13" i="5"/>
  <c r="CN11" i="5" l="1"/>
  <c r="CO26" i="5" s="1"/>
  <c r="CP26" i="5" s="1"/>
  <c r="CM12" i="5"/>
  <c r="CM13" i="5"/>
  <c r="CP11" i="5" l="1"/>
  <c r="CQ25" i="5" s="1"/>
  <c r="CQ26" i="5" s="1"/>
  <c r="CN12" i="5"/>
  <c r="CN13" i="5"/>
  <c r="CQ11" i="5" l="1"/>
  <c r="CR25" i="5" s="1"/>
  <c r="CP12" i="5"/>
  <c r="CP13" i="5"/>
  <c r="CO11" i="5"/>
  <c r="CQ13" i="5" l="1"/>
  <c r="CR26" i="5"/>
  <c r="CQ12" i="5"/>
  <c r="CO12" i="5"/>
  <c r="CO13" i="5"/>
  <c r="CR11" i="5" l="1"/>
  <c r="CS25" i="5" l="1"/>
  <c r="CS26" i="5" s="1"/>
  <c r="CS11" i="5" s="1"/>
  <c r="CR13" i="5"/>
  <c r="CR12" i="5"/>
  <c r="GB37" i="3"/>
  <c r="CS13" i="5" l="1"/>
  <c r="CT25" i="5"/>
  <c r="CT26" i="5" s="1"/>
  <c r="CT11" i="5" s="1"/>
  <c r="CT12" i="5" s="1"/>
  <c r="CS12" i="5"/>
  <c r="CT1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Shafiul Azam Shuvo</author>
    <author>Md. Adil Hossain</author>
    <author>SHAFIUL AZAM SHUVO</author>
    <author>Rezwana Ali Tanima</author>
    <author>Author</author>
  </authors>
  <commentList>
    <comment ref="I32" authorId="0" shapeId="0" xr:uid="{B8DD67BE-BE0A-4BAC-BEBC-638E5CB1990C}">
      <text>
        <r>
          <rPr>
            <b/>
            <sz val="9"/>
            <color indexed="81"/>
            <rFont val="Tahoma"/>
            <family val="2"/>
          </rPr>
          <t>Shafiul Azam Shuvo:</t>
        </r>
        <r>
          <rPr>
            <sz val="9"/>
            <color indexed="81"/>
            <rFont val="Tahoma"/>
            <family val="2"/>
          </rPr>
          <t xml:space="preserve">
As the borrower paid 10,249 more than the invoice amount hence the amount has been assigned to Sep'23 Interest (Partial)</t>
        </r>
      </text>
    </comment>
    <comment ref="J32" authorId="1" shapeId="0" xr:uid="{2FD497CB-37A7-4834-BC28-066DA3B206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Sep'23 Partial</t>
        </r>
      </text>
    </comment>
    <comment ref="K32" authorId="0" shapeId="0" xr:uid="{268BC153-C760-492D-9E3F-9941F162CD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Sep'23 Partial</t>
        </r>
      </text>
    </comment>
    <comment ref="L32" authorId="0" shapeId="0" xr:uid="{69CE786C-5891-4731-A8A0-8344554368CF}">
      <text>
        <r>
          <rPr>
            <b/>
            <sz val="9"/>
            <color indexed="81"/>
            <rFont val="Tahoma"/>
            <family val="2"/>
          </rPr>
          <t>Shafiul Azam Shuvo:</t>
        </r>
        <r>
          <rPr>
            <sz val="9"/>
            <color indexed="81"/>
            <rFont val="Tahoma"/>
            <family val="2"/>
          </rPr>
          <t xml:space="preserve">
Sep'23 Remaining</t>
        </r>
      </text>
    </comment>
    <comment ref="M32" authorId="0" shapeId="0" xr:uid="{5847D225-DC42-4F08-9B75-51F9C6D8DC67}">
      <text>
        <r>
          <rPr>
            <b/>
            <sz val="9"/>
            <color indexed="81"/>
            <rFont val="Tahoma"/>
            <family val="2"/>
          </rPr>
          <t>Shafiul Azam Shuvo:</t>
        </r>
        <r>
          <rPr>
            <sz val="9"/>
            <color indexed="81"/>
            <rFont val="Tahoma"/>
            <family val="2"/>
          </rPr>
          <t xml:space="preserve">
Dec'23</t>
        </r>
      </text>
    </comment>
    <comment ref="N32" authorId="0" shapeId="0" xr:uid="{B5E3C51D-D19E-4428-984B-FDD9172C2851}">
      <text>
        <r>
          <rPr>
            <b/>
            <sz val="9"/>
            <color indexed="81"/>
            <rFont val="Tahoma"/>
            <family val="2"/>
          </rPr>
          <t>Shafiul Azam Shuvo:</t>
        </r>
        <r>
          <rPr>
            <sz val="9"/>
            <color indexed="81"/>
            <rFont val="Tahoma"/>
            <family val="2"/>
          </rPr>
          <t xml:space="preserve">
Mar'24 Interest</t>
        </r>
      </text>
    </comment>
    <comment ref="S32" authorId="1" shapeId="0" xr:uid="{AE89DB01-9A78-45E7-BD81-57282F545414}">
      <text>
        <r>
          <rPr>
            <b/>
            <sz val="9"/>
            <color indexed="81"/>
            <rFont val="Tahoma"/>
            <family val="2"/>
          </rPr>
          <t>Md. Adil Hossain:</t>
        </r>
        <r>
          <rPr>
            <sz val="9"/>
            <color indexed="81"/>
            <rFont val="Tahoma"/>
            <family val="2"/>
          </rPr>
          <t xml:space="preserve">
Mar'24 remaining</t>
        </r>
      </text>
    </comment>
    <comment ref="T32" authorId="1" shapeId="0" xr:uid="{E1E8D5F6-3C03-46A8-8A84-3B76B243E9CA}">
      <text>
        <r>
          <rPr>
            <b/>
            <sz val="9"/>
            <color indexed="81"/>
            <rFont val="Tahoma"/>
            <family val="2"/>
          </rPr>
          <t>Md. Adil Hossain:</t>
        </r>
        <r>
          <rPr>
            <sz val="9"/>
            <color indexed="81"/>
            <rFont val="Tahoma"/>
            <family val="2"/>
          </rPr>
          <t xml:space="preserve">
Jun'24 partial</t>
        </r>
      </text>
    </comment>
    <comment ref="U32" authorId="2" shapeId="0" xr:uid="{735A6293-8B7D-4651-A3F6-FD9A93FBAB1A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Jun'24 Partial
</t>
        </r>
      </text>
    </comment>
    <comment ref="V32" authorId="2" shapeId="0" xr:uid="{DDBBFAB8-09A6-417E-9397-78C5C147B7F7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Jun'24 Partial</t>
        </r>
      </text>
    </comment>
    <comment ref="W32" authorId="2" shapeId="0" xr:uid="{E11B4799-307D-4EAB-BE7D-F3B20174B8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Jun'24 Remaining</t>
        </r>
      </text>
    </comment>
    <comment ref="X32" authorId="2" shapeId="0" xr:uid="{EB2BA5FE-BB9A-4A1A-92A5-5B5C7BE06B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Sep'24 Partial</t>
        </r>
      </text>
    </comment>
    <comment ref="Y32" authorId="2" shapeId="0" xr:uid="{F4620525-CBB0-4A9D-9AB1-897D7E8C8E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Sep'24 Remaining</t>
        </r>
      </text>
    </comment>
    <comment ref="AE32" authorId="0" shapeId="0" xr:uid="{FCBA7EEF-1575-47AD-9B60-845B66EB60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Mar'25</t>
        </r>
      </text>
    </comment>
    <comment ref="AF32" authorId="0" shapeId="0" xr:uid="{34DF01F2-8EA2-4D1A-B637-12D5119DAB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Jun'25</t>
        </r>
      </text>
    </comment>
    <comment ref="AI32" authorId="0" shapeId="0" xr:uid="{64F10215-B5FA-45C2-B82C-4602649D770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Sep'25</t>
        </r>
      </text>
    </comment>
    <comment ref="AJ32" authorId="0" shapeId="0" xr:uid="{A24E7813-1BD5-480E-9C18-B031A1A9BA3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Sep'25</t>
        </r>
      </text>
    </comment>
    <comment ref="AK32" authorId="0" shapeId="0" xr:uid="{F19B8AC3-DA06-4FC1-B188-5473F8EE1A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Sep'25</t>
        </r>
      </text>
    </comment>
    <comment ref="Y33" authorId="2" shapeId="0" xr:uid="{AC578ADC-EE75-48A2-AEA4-F862F92D7F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Mar'24 Partial</t>
        </r>
      </text>
    </comment>
    <comment ref="Z33" authorId="2" shapeId="0" xr:uid="{4A911EA0-E0C3-49A3-A978-5F45AF7C40D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Mar'24 Partial</t>
        </r>
      </text>
    </comment>
    <comment ref="AA33" authorId="2" shapeId="0" xr:uid="{BF8E3E1A-2002-4170-AB0A-AF162770A3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Mar'24 Partial</t>
        </r>
      </text>
    </comment>
    <comment ref="AB33" authorId="3" shapeId="0" xr:uid="{923A7A85-BB18-43ED-9E99-8764550ED71B}">
      <text>
        <r>
          <rPr>
            <b/>
            <sz val="9"/>
            <color indexed="81"/>
            <rFont val="Tahoma"/>
            <family val="2"/>
          </rPr>
          <t>Rezwana Ali Tanima:</t>
        </r>
        <r>
          <rPr>
            <sz val="9"/>
            <color indexed="81"/>
            <rFont val="Tahoma"/>
            <family val="2"/>
          </rPr>
          <t xml:space="preserve">
Mar'24 Principal (partial)</t>
        </r>
      </text>
    </comment>
    <comment ref="AC33" authorId="3" shapeId="0" xr:uid="{3FF5CCAF-B55B-4276-83F0-9FB19C6C295B}">
      <text>
        <r>
          <rPr>
            <b/>
            <sz val="9"/>
            <color indexed="81"/>
            <rFont val="Tahoma"/>
            <family val="2"/>
          </rPr>
          <t>Rezwana Ali Tanima:</t>
        </r>
        <r>
          <rPr>
            <sz val="9"/>
            <color indexed="81"/>
            <rFont val="Tahoma"/>
            <family val="2"/>
          </rPr>
          <t xml:space="preserve">
Jun'24 Principal (partial)</t>
        </r>
      </text>
    </comment>
    <comment ref="AD33" authorId="4" shapeId="0" xr:uid="{71E79BA9-EFB2-477D-90CC-67EE3FE667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Jun'24 partial</t>
        </r>
      </text>
    </comment>
    <comment ref="AE33" authorId="0" shapeId="0" xr:uid="{D00BDBD0-537A-4D29-9806-19E48810A9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Jun'24 Remaining</t>
        </r>
      </text>
    </comment>
    <comment ref="AF33" authorId="0" shapeId="0" xr:uid="{9F262C80-961A-4E99-ABD7-FB6FE78AE9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Sep'24</t>
        </r>
      </text>
    </comment>
    <comment ref="AG33" authorId="0" shapeId="0" xr:uid="{DB17BB9A-9989-4EC5-A7FB-8A8342EFF2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Dec'24</t>
        </r>
      </text>
    </comment>
    <comment ref="AH33" authorId="0" shapeId="0" xr:uid="{722318C6-787C-43EE-B63A-E94AA4C0CF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Mar'25 Partial</t>
        </r>
      </text>
    </comment>
    <comment ref="AK33" authorId="0" shapeId="0" xr:uid="{238080EE-A7C4-4BED-873F-3F1F925AE9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Mar'25 Partial</t>
        </r>
      </text>
    </comment>
  </commentList>
</comments>
</file>

<file path=xl/sharedStrings.xml><?xml version="1.0" encoding="utf-8"?>
<sst xmlns="http://schemas.openxmlformats.org/spreadsheetml/2006/main" count="122" uniqueCount="82">
  <si>
    <t>Project name:</t>
  </si>
  <si>
    <t>Assumptions:</t>
  </si>
  <si>
    <t>Loan Amount</t>
  </si>
  <si>
    <t>Interest Rate</t>
  </si>
  <si>
    <t>Drawdown Date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</si>
  <si>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</si>
  <si>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</si>
  <si>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</si>
  <si>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</si>
  <si>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</si>
  <si>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</si>
  <si>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</si>
  <si>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</si>
  <si>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</si>
  <si>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Accrual of interest</t>
  </si>
  <si>
    <t>Months</t>
  </si>
  <si>
    <t>Borrower:</t>
  </si>
  <si>
    <t>Currency:</t>
  </si>
  <si>
    <t xml:space="preserve">Type 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</si>
  <si>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</si>
  <si>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</si>
  <si>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</si>
  <si>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</si>
  <si>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</si>
  <si>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</si>
  <si>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</si>
  <si>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</si>
  <si>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</si>
  <si>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</si>
  <si>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</si>
  <si>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</si>
  <si>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</si>
  <si>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</si>
  <si>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</si>
  <si>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</si>
  <si>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</si>
  <si>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</si>
  <si>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</si>
  <si>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</si>
  <si>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</si>
  <si>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</si>
  <si>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</si>
  <si>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</si>
  <si>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</si>
  <si>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 xml:space="preserve"> </t>
  </si>
  <si>
    <t>IDCOL Loan</t>
  </si>
  <si>
    <t>Repayment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</si>
  <si>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</si>
  <si>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</si>
  <si>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</si>
  <si>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</si>
  <si>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</si>
  <si>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</si>
  <si>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</si>
  <si>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Actual Payment date</t>
  </si>
  <si>
    <t>Actual Payment amount:</t>
  </si>
  <si>
    <t>LPC</t>
  </si>
  <si>
    <t>Total</t>
  </si>
  <si>
    <t>Amount</t>
  </si>
  <si>
    <t>Request Date</t>
  </si>
  <si>
    <t>First Drawdown Date</t>
  </si>
  <si>
    <t>Interest Grace</t>
  </si>
  <si>
    <t>Principal Grace</t>
  </si>
  <si>
    <t>Interest Grace Ends</t>
  </si>
  <si>
    <t>Principal Grace Ends</t>
  </si>
  <si>
    <t>Average Installment Size</t>
  </si>
  <si>
    <t>Month</t>
  </si>
  <si>
    <t>Agreement date</t>
  </si>
  <si>
    <t>0 months</t>
  </si>
  <si>
    <t>*If payment date is not a business day, then payment date shall be immediately the preceding business day.</t>
  </si>
  <si>
    <t>96 months</t>
  </si>
  <si>
    <t>12 months</t>
  </si>
  <si>
    <t>Period</t>
  </si>
  <si>
    <t>Expected Interest Rate</t>
  </si>
  <si>
    <t>Sanctioned Amount</t>
  </si>
  <si>
    <t>Tenure</t>
  </si>
  <si>
    <t>Source</t>
  </si>
  <si>
    <t>Quarterly Installment</t>
  </si>
  <si>
    <t>Esquire Knit Composite Limited (EKCL)</t>
  </si>
  <si>
    <t>AFD CBD 1026 01 W</t>
  </si>
  <si>
    <t>Check</t>
  </si>
  <si>
    <t>Reimbursement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</si>
</sst>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</numFmts>
  <fonts count="23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i/>
      <sz val="10"/>
      <name val="Times New Roman"/>
      <family val="1"/>
    </font>
    <font>
      <sz val="10"/>
      <color theme="1"/>
      <name val="Book Antiqua"/>
      <family val="1"/>
    </font>
    <font>
      <sz val="11"/>
      <color rgb="FF000000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62">
    <xf numFmtId="0" fontId="0" fillId="0" borderId="0" xfId="0"/>
    <xf numFmtId="3" fontId="2" fillId="0" borderId="0" xfId="0" applyNumberFormat="1" applyFont="1" applyAlignment="1" applyProtection="1">
      <alignment horizontal="center"/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3" fontId="2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4" fontId="2" fillId="0" borderId="0" xfId="0" applyNumberFormat="1" applyFont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1" xfId="0" applyNumberFormat="1" applyFont="1" applyBorder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10" fontId="11" fillId="0" borderId="0" xfId="0" applyNumberFormat="1" applyFont="1" applyAlignment="1" applyProtection="1">
      <alignment horizontal="center"/>
      <protection locked="0"/>
    </xf>
    <xf numFmtId="3" fontId="12" fillId="0" borderId="0" xfId="0" applyNumberFormat="1" applyFont="1" applyAlignment="1" applyProtection="1">
      <alignment horizontal="right"/>
      <protection locked="0"/>
    </xf>
    <xf numFmtId="3" fontId="12" fillId="0" borderId="0" xfId="0" applyNumberFormat="1" applyFont="1" applyAlignment="1" applyProtection="1">
      <alignment horizontal="center"/>
      <protection locked="0"/>
    </xf>
    <xf numFmtId="4" fontId="12" fillId="0" borderId="0" xfId="0" applyNumberFormat="1" applyFont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Protection="1">
      <protection locked="0"/>
    </xf>
    <xf numFmtId="43" fontId="12" fillId="0" borderId="0" xfId="1" applyFont="1"/>
    <xf numFmtId="0" fontId="12" fillId="0" borderId="1" xfId="0" applyFont="1" applyBorder="1" applyProtection="1">
      <protection locked="0"/>
    </xf>
    <xf numFmtId="3" fontId="12" fillId="0" borderId="1" xfId="0" applyNumberFormat="1" applyFont="1" applyBorder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4" fontId="12" fillId="0" borderId="0" xfId="0" applyNumberFormat="1" applyFont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0" fontId="14" fillId="0" borderId="0" xfId="0" applyFont="1" applyProtection="1">
      <protection locked="0"/>
    </xf>
    <xf numFmtId="3" fontId="14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 applyProtection="1">
      <protection locked="0"/>
    </xf>
    <xf numFmtId="1" fontId="12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166" fontId="12" fillId="0" borderId="0" xfId="0" applyNumberFormat="1" applyFont="1" applyAlignment="1" applyProtection="1">
      <alignment horizontal="right"/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3" fontId="2" fillId="0" borderId="0" xfId="0" applyNumberFormat="1" applyFont="1"/>
    <xf numFmtId="0" fontId="5" fillId="0" borderId="0" xfId="0" applyFont="1" applyAlignment="1" applyProtection="1">
      <alignment horizontal="right"/>
      <protection locked="0"/>
    </xf>
    <xf numFmtId="3" fontId="5" fillId="0" borderId="0" xfId="0" applyNumberFormat="1" applyFont="1"/>
    <xf numFmtId="43" fontId="12" fillId="0" borderId="0" xfId="0" applyNumberFormat="1" applyFont="1"/>
    <xf numFmtId="3" fontId="5" fillId="2" borderId="2" xfId="0" applyNumberFormat="1" applyFont="1" applyFill="1" applyBorder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Border="1"/>
    <xf numFmtId="164" fontId="5" fillId="0" borderId="5" xfId="0" applyNumberFormat="1" applyFont="1" applyBorder="1" applyAlignment="1" applyProtection="1">
      <alignment horizontal="right"/>
      <protection locked="0"/>
    </xf>
    <xf numFmtId="3" fontId="5" fillId="0" borderId="6" xfId="0" applyNumberFormat="1" applyFont="1" applyBorder="1"/>
    <xf numFmtId="164" fontId="5" fillId="0" borderId="6" xfId="0" applyNumberFormat="1" applyFont="1" applyBorder="1" applyAlignment="1" applyProtection="1">
      <alignment horizontal="right"/>
      <protection locked="0"/>
    </xf>
    <xf numFmtId="3" fontId="2" fillId="0" borderId="5" xfId="0" applyNumberFormat="1" applyFont="1" applyBorder="1" applyAlignment="1" applyProtection="1">
      <alignment horizontal="right"/>
      <protection locked="0"/>
    </xf>
    <xf numFmtId="3" fontId="2" fillId="0" borderId="6" xfId="0" applyNumberFormat="1" applyFont="1" applyBorder="1" applyAlignment="1" applyProtection="1">
      <alignment horizontal="right"/>
      <protection locked="0"/>
    </xf>
    <xf numFmtId="164" fontId="2" fillId="0" borderId="4" xfId="0" applyNumberFormat="1" applyFont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64" fontId="2" fillId="3" borderId="0" xfId="0" applyNumberFormat="1" applyFont="1" applyFill="1" applyAlignment="1" applyProtection="1">
      <alignment horizontal="right"/>
      <protection locked="0"/>
    </xf>
    <xf numFmtId="0" fontId="15" fillId="0" borderId="0" xfId="0" applyFont="1"/>
    <xf numFmtId="15" fontId="12" fillId="0" borderId="0" xfId="0" applyNumberFormat="1" applyFont="1" applyAlignment="1">
      <alignment horizontal="center"/>
    </xf>
    <xf numFmtId="0" fontId="11" fillId="4" borderId="7" xfId="0" applyFont="1" applyFill="1" applyBorder="1"/>
    <xf numFmtId="0" fontId="11" fillId="4" borderId="8" xfId="0" applyFont="1" applyFill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164" fontId="6" fillId="2" borderId="2" xfId="0" applyNumberFormat="1" applyFont="1" applyFill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41" fontId="2" fillId="0" borderId="4" xfId="1" applyNumberFormat="1" applyFont="1" applyFill="1" applyBorder="1" applyAlignment="1" applyProtection="1">
      <alignment horizontal="right"/>
    </xf>
    <xf numFmtId="0" fontId="3" fillId="0" borderId="0" xfId="0" applyFont="1"/>
    <xf numFmtId="3" fontId="2" fillId="0" borderId="5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12" fillId="0" borderId="0" xfId="0" applyNumberFormat="1" applyFont="1" applyAlignment="1">
      <alignment horizontal="right"/>
    </xf>
    <xf numFmtId="9" fontId="2" fillId="0" borderId="0" xfId="2" applyFont="1" applyFill="1" applyBorder="1" applyAlignment="1" applyProtection="1">
      <alignment horizontal="right"/>
      <protection locked="0"/>
    </xf>
    <xf numFmtId="1" fontId="12" fillId="0" borderId="0" xfId="0" applyNumberFormat="1" applyFont="1" applyAlignment="1">
      <alignment horizontal="center" vertical="center"/>
    </xf>
    <xf numFmtId="15" fontId="12" fillId="0" borderId="0" xfId="0" applyNumberFormat="1" applyFont="1" applyAlignment="1">
      <alignment horizontal="center" vertical="center"/>
    </xf>
    <xf numFmtId="0" fontId="16" fillId="0" borderId="0" xfId="0" applyFont="1" applyAlignment="1" applyProtection="1">
      <alignment horizontal="left" vertical="center"/>
      <protection locked="0"/>
    </xf>
    <xf numFmtId="165" fontId="2" fillId="0" borderId="0" xfId="1" applyNumberFormat="1" applyFont="1" applyFill="1" applyBorder="1" applyAlignment="1" applyProtection="1">
      <alignment horizontal="right"/>
      <protection locked="0"/>
    </xf>
    <xf numFmtId="164" fontId="2" fillId="2" borderId="2" xfId="0" applyNumberFormat="1" applyFont="1" applyFill="1" applyBorder="1" applyAlignment="1" applyProtection="1">
      <alignment horizontal="right"/>
      <protection locked="0"/>
    </xf>
    <xf numFmtId="43" fontId="17" fillId="0" borderId="0" xfId="1" applyFont="1"/>
    <xf numFmtId="3" fontId="4" fillId="0" borderId="0" xfId="0" applyNumberFormat="1" applyFont="1"/>
    <xf numFmtId="3" fontId="2" fillId="0" borderId="4" xfId="0" applyNumberFormat="1" applyFont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9" fontId="2" fillId="0" borderId="4" xfId="0" applyNumberFormat="1" applyFont="1" applyBorder="1" applyAlignment="1" applyProtection="1">
      <alignment horizontal="right"/>
      <protection locked="0"/>
    </xf>
    <xf numFmtId="164" fontId="2" fillId="0" borderId="4" xfId="0" applyNumberFormat="1" applyFont="1" applyBorder="1"/>
    <xf numFmtId="4" fontId="1" fillId="0" borderId="0" xfId="0" applyNumberFormat="1" applyFont="1" applyAlignment="1">
      <alignment vertical="center" wrapText="1"/>
    </xf>
    <xf numFmtId="43" fontId="0" fillId="0" borderId="0" xfId="0" applyNumberFormat="1"/>
    <xf numFmtId="15" fontId="1" fillId="0" borderId="0" xfId="0" applyNumberFormat="1" applyFont="1" applyAlignment="1">
      <alignment vertical="center" wrapText="1"/>
    </xf>
    <xf numFmtId="3" fontId="12" fillId="0" borderId="0" xfId="0" applyNumberFormat="1" applyFont="1"/>
    <xf numFmtId="0" fontId="2" fillId="2" borderId="4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43" fontId="12" fillId="0" borderId="0" xfId="1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5" fillId="0" borderId="1" xfId="0" applyFont="1" applyBorder="1" applyProtection="1">
      <protection locked="0"/>
    </xf>
    <xf numFmtId="10" fontId="2" fillId="0" borderId="1" xfId="0" applyNumberFormat="1" applyFont="1" applyBorder="1" applyAlignment="1" applyProtection="1">
      <alignment horizontal="right"/>
      <protection locked="0"/>
    </xf>
    <xf numFmtId="10" fontId="12" fillId="5" borderId="1" xfId="0" applyNumberFormat="1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left" vertical="top"/>
      <protection locked="0"/>
    </xf>
    <xf numFmtId="164" fontId="12" fillId="0" borderId="0" xfId="0" applyNumberFormat="1" applyFont="1"/>
    <xf numFmtId="43" fontId="12" fillId="0" borderId="0" xfId="1" applyFont="1" applyBorder="1"/>
    <xf numFmtId="164" fontId="12" fillId="0" borderId="2" xfId="1" applyNumberFormat="1" applyFont="1" applyFill="1" applyBorder="1"/>
    <xf numFmtId="4" fontId="0" fillId="0" borderId="0" xfId="0" applyNumberFormat="1"/>
    <xf numFmtId="15" fontId="0" fillId="0" borderId="0" xfId="0" applyNumberFormat="1"/>
    <xf numFmtId="14" fontId="12" fillId="0" borderId="0" xfId="0" applyNumberFormat="1" applyFont="1" applyAlignment="1" applyProtection="1">
      <alignment horizontal="center"/>
      <protection locked="0"/>
    </xf>
    <xf numFmtId="164" fontId="6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3" fontId="15" fillId="0" borderId="0" xfId="1" applyFont="1" applyBorder="1"/>
    <xf numFmtId="164" fontId="6" fillId="0" borderId="0" xfId="0" applyNumberFormat="1" applyFont="1" applyAlignment="1" applyProtection="1">
      <alignment horizontal="right"/>
      <protection locked="0"/>
    </xf>
    <xf numFmtId="43" fontId="12" fillId="0" borderId="0" xfId="1" applyFont="1" applyFill="1" applyBorder="1"/>
    <xf numFmtId="43" fontId="13" fillId="0" borderId="0" xfId="1" applyFont="1" applyFill="1" applyBorder="1"/>
    <xf numFmtId="43" fontId="17" fillId="0" borderId="0" xfId="1" applyFont="1" applyFill="1" applyBorder="1"/>
    <xf numFmtId="0" fontId="12" fillId="6" borderId="0" xfId="0" applyFont="1" applyFill="1"/>
    <xf numFmtId="165" fontId="2" fillId="0" borderId="4" xfId="1" applyNumberFormat="1" applyFont="1" applyBorder="1"/>
    <xf numFmtId="0" fontId="1" fillId="0" borderId="0" xfId="0" applyFont="1"/>
    <xf numFmtId="1" fontId="2" fillId="0" borderId="4" xfId="0" applyNumberFormat="1" applyFont="1" applyBorder="1" applyAlignment="1" applyProtection="1">
      <alignment horizontal="right"/>
      <protection locked="0"/>
    </xf>
    <xf numFmtId="4" fontId="12" fillId="6" borderId="0" xfId="0" applyNumberFormat="1" applyFont="1" applyFill="1" applyAlignment="1">
      <alignment horizontal="center"/>
    </xf>
    <xf numFmtId="164" fontId="12" fillId="0" borderId="4" xfId="1" applyNumberFormat="1" applyFont="1" applyFill="1" applyBorder="1"/>
    <xf numFmtId="43" fontId="12" fillId="0" borderId="10" xfId="1" applyFont="1" applyBorder="1"/>
    <xf numFmtId="43" fontId="12" fillId="0" borderId="11" xfId="1" applyFont="1" applyBorder="1"/>
    <xf numFmtId="43" fontId="2" fillId="0" borderId="0" xfId="1" applyFont="1" applyProtection="1">
      <protection locked="0"/>
    </xf>
    <xf numFmtId="43" fontId="2" fillId="0" borderId="0" xfId="0" applyNumberFormat="1" applyFont="1" applyProtection="1">
      <protection locked="0"/>
    </xf>
    <xf numFmtId="1" fontId="15" fillId="0" borderId="0" xfId="0" applyNumberFormat="1" applyFont="1"/>
    <xf numFmtId="43" fontId="15" fillId="0" borderId="0" xfId="1" applyFont="1"/>
    <xf numFmtId="4" fontId="18" fillId="0" borderId="0" xfId="0" applyNumberFormat="1" applyFont="1"/>
    <xf numFmtId="43" fontId="12" fillId="0" borderId="15" xfId="1" applyFont="1" applyBorder="1"/>
    <xf numFmtId="43" fontId="12" fillId="0" borderId="14" xfId="1" applyFont="1" applyBorder="1"/>
    <xf numFmtId="43" fontId="12" fillId="0" borderId="16" xfId="1" applyFont="1" applyBorder="1"/>
    <xf numFmtId="43" fontId="12" fillId="0" borderId="17" xfId="1" applyFont="1" applyBorder="1"/>
    <xf numFmtId="43" fontId="11" fillId="0" borderId="12" xfId="1" applyFont="1" applyBorder="1"/>
    <xf numFmtId="43" fontId="11" fillId="0" borderId="13" xfId="1" applyFont="1" applyBorder="1"/>
    <xf numFmtId="43" fontId="12" fillId="0" borderId="6" xfId="1" applyFont="1" applyBorder="1"/>
    <xf numFmtId="43" fontId="11" fillId="0" borderId="15" xfId="1" applyFont="1" applyBorder="1"/>
    <xf numFmtId="43" fontId="12" fillId="0" borderId="15" xfId="0" applyNumberFormat="1" applyFont="1" applyBorder="1"/>
    <xf numFmtId="43" fontId="11" fillId="0" borderId="10" xfId="1" applyFont="1" applyBorder="1"/>
    <xf numFmtId="164" fontId="12" fillId="0" borderId="4" xfId="1" applyNumberFormat="1" applyFont="1" applyFill="1" applyBorder="1" applyAlignment="1">
      <alignment horizontal="center" vertical="center"/>
    </xf>
    <xf numFmtId="0" fontId="12" fillId="0" borderId="14" xfId="0" applyFont="1" applyBorder="1"/>
    <xf numFmtId="164" fontId="12" fillId="0" borderId="9" xfId="1" applyNumberFormat="1" applyFont="1" applyFill="1" applyBorder="1" applyAlignment="1">
      <alignment horizontal="center" vertical="center"/>
    </xf>
    <xf numFmtId="43" fontId="11" fillId="0" borderId="14" xfId="1" applyFont="1" applyBorder="1"/>
    <xf numFmtId="164" fontId="12" fillId="0" borderId="9" xfId="1" applyNumberFormat="1" applyFont="1" applyFill="1" applyBorder="1" applyAlignment="1">
      <alignment horizontal="center"/>
    </xf>
    <xf numFmtId="164" fontId="12" fillId="0" borderId="2" xfId="1" applyNumberFormat="1" applyFont="1" applyFill="1" applyBorder="1" applyAlignment="1">
      <alignment horizontal="center"/>
    </xf>
    <xf numFmtId="164" fontId="12" fillId="0" borderId="3" xfId="1" applyNumberFormat="1" applyFont="1" applyFill="1" applyBorder="1" applyAlignment="1">
      <alignment horizontal="center"/>
    </xf>
    <xf numFmtId="164" fontId="12" fillId="0" borderId="12" xfId="1" applyNumberFormat="1" applyFont="1" applyFill="1" applyBorder="1" applyAlignment="1">
      <alignment horizontal="center" vertical="center"/>
    </xf>
    <xf numFmtId="164" fontId="12" fillId="0" borderId="13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left"/>
      <protection locked="0"/>
    </xf>
    <xf numFmtId="0" fontId="2" fillId="2" borderId="9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5" xfId="0" applyFont="1" applyBorder="1" applyProtection="1">
      <protection locked="0"/>
    </xf>
    <xf numFmtId="165" fontId="2" fillId="0" borderId="0" xfId="1" applyNumberFormat="1" applyFont="1" applyFill="1" applyBorder="1" applyAlignment="1" applyProtection="1">
      <alignment horizontal="left"/>
      <protection locked="0"/>
    </xf>
  </cellXfs>
  <cellStyles count="4">
    <cellStyle name="Comma" xfId="1" builtinId="3"/>
    <cellStyle name="Normal" xfId="0" builtinId="0"/>
    <cellStyle name="Normal 2" xfId="3" xr:uid="{57ED2006-652D-43EC-9F27-53771F6A0AA2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workbookViewId="0">
      <selection activeCell="F9" sqref="F9"/>
    </sheetView>
  </sheetViews>
  <sheetFormatPr defaultColWidth="9.140625" defaultRowHeight="13.5" x14ac:dyDescent="0.25"/>
  <cols>
    <col min="1" max="1" width="21.42578125" style="21" bestFit="1" customWidth="1"/>
    <col min="2" max="2" width="17.7109375" style="21" customWidth="1"/>
    <col min="3" max="3" width="29.28515625" style="21" bestFit="1" customWidth="1"/>
    <col min="4" max="4" width="24.5703125" style="21" bestFit="1" customWidth="1"/>
    <col min="5" max="5" width="17.5703125" style="21" bestFit="1" customWidth="1"/>
    <col min="6" max="6" width="9.28515625" style="21" bestFit="1" customWidth="1"/>
    <col min="7" max="7" width="12.5703125" style="21" customWidth="1"/>
    <col min="8" max="8" width="14" style="21" customWidth="1"/>
    <col min="9" max="9" width="16.5703125" style="21" customWidth="1"/>
    <col min="10" max="10" width="21.28515625" style="21" customWidth="1"/>
    <col min="11" max="16384" width="9.140625" style="21"/>
  </cols>
  <sheetData>
    <row r="1" spans="1:10" x14ac:dyDescent="0.25">
      <c r="A1" s="40" t="s">
        <v>16</v>
      </c>
      <c r="B1" s="21" t="s">
        <v>78</v>
      </c>
    </row>
    <row r="2" spans="1:10" x14ac:dyDescent="0.25">
      <c r="A2" s="40" t="s">
        <v>17</v>
      </c>
      <c r="B2" s="21" t="s">
        <v>47</v>
      </c>
    </row>
    <row r="3" spans="1:10" x14ac:dyDescent="0.25">
      <c r="A3" s="40" t="s">
        <v>18</v>
      </c>
      <c r="B3" s="121" t="s">
        <v>45</v>
      </c>
    </row>
    <row r="4" spans="1:10" x14ac:dyDescent="0.25">
      <c r="A4" s="40"/>
    </row>
    <row r="6" spans="1:10" ht="14.25" thickBot="1" x14ac:dyDescent="0.3"/>
    <row r="7" spans="1:10" ht="15.75" thickBot="1" x14ac:dyDescent="0.35">
      <c r="A7" s="72" t="s">
        <v>19</v>
      </c>
      <c r="B7" s="73" t="s">
        <v>20</v>
      </c>
      <c r="C7" s="73" t="s">
        <v>21</v>
      </c>
      <c r="D7" s="73" t="s">
        <v>22</v>
      </c>
      <c r="E7" s="73" t="s">
        <v>76</v>
      </c>
      <c r="G7" s="102"/>
      <c r="H7" s="103"/>
      <c r="I7" s="103"/>
      <c r="J7" s="102"/>
    </row>
    <row r="8" spans="1:10" x14ac:dyDescent="0.25">
      <c r="A8" s="66">
        <v>1</v>
      </c>
      <c r="B8" s="71">
        <v>44921</v>
      </c>
      <c r="C8" s="101">
        <v>350000000</v>
      </c>
      <c r="D8" s="68">
        <f>C8</f>
        <v>350000000</v>
      </c>
      <c r="E8" s="125" t="s">
        <v>79</v>
      </c>
      <c r="F8" s="41" t="s">
        <v>81</v>
      </c>
    </row>
    <row r="9" spans="1:10" x14ac:dyDescent="0.25">
      <c r="A9" s="66">
        <v>2</v>
      </c>
      <c r="B9" s="71">
        <v>45061</v>
      </c>
      <c r="C9" s="67">
        <v>277057493</v>
      </c>
      <c r="D9" s="68">
        <f>D8+C9</f>
        <v>627057493</v>
      </c>
      <c r="E9" s="125" t="s">
        <v>79</v>
      </c>
      <c r="F9" s="41" t="s">
        <v>81</v>
      </c>
    </row>
    <row r="10" spans="1:10" x14ac:dyDescent="0.25">
      <c r="A10" s="66"/>
      <c r="B10" s="71"/>
      <c r="C10" s="67"/>
      <c r="D10" s="68"/>
      <c r="E10" s="66"/>
      <c r="G10" s="84"/>
      <c r="H10" s="85"/>
      <c r="I10" s="29"/>
      <c r="J10" s="55"/>
    </row>
    <row r="11" spans="1:10" x14ac:dyDescent="0.25">
      <c r="A11" s="66"/>
      <c r="B11" s="71"/>
      <c r="C11" s="29"/>
      <c r="D11" s="68"/>
      <c r="G11" s="66"/>
      <c r="H11" s="85"/>
      <c r="I11" s="29"/>
      <c r="J11" s="55"/>
    </row>
    <row r="12" spans="1:10" x14ac:dyDescent="0.25">
      <c r="B12" s="41"/>
      <c r="C12" s="29"/>
      <c r="D12" s="42"/>
      <c r="G12" s="41"/>
    </row>
    <row r="13" spans="1:10" ht="15" x14ac:dyDescent="0.25">
      <c r="B13" s="41"/>
      <c r="C13" s="29"/>
      <c r="D13" s="133"/>
      <c r="G13" s="41"/>
    </row>
    <row r="14" spans="1:10" x14ac:dyDescent="0.25">
      <c r="B14" s="41"/>
      <c r="C14" s="29"/>
      <c r="D14" s="42"/>
      <c r="G14" s="41"/>
    </row>
    <row r="15" spans="1:10" x14ac:dyDescent="0.25">
      <c r="B15" s="41"/>
      <c r="C15" s="29"/>
      <c r="D15" s="42"/>
      <c r="E15" s="21" t="s">
        <v>44</v>
      </c>
      <c r="G15" s="41"/>
    </row>
    <row r="16" spans="1:10" x14ac:dyDescent="0.25">
      <c r="B16" s="41"/>
      <c r="C16" s="29"/>
      <c r="D16" s="42"/>
      <c r="G16" s="41"/>
    </row>
    <row r="17" spans="4:7" x14ac:dyDescent="0.25">
      <c r="D17" s="55"/>
      <c r="G17" s="41"/>
    </row>
    <row r="19" spans="4:7" x14ac:dyDescent="0.25">
      <c r="G19" s="41"/>
    </row>
    <row r="20" spans="4:7" x14ac:dyDescent="0.25">
      <c r="G20" s="41"/>
    </row>
    <row r="21" spans="4:7" x14ac:dyDescent="0.25">
      <c r="G21" s="41"/>
    </row>
    <row r="22" spans="4:7" x14ac:dyDescent="0.25">
      <c r="G22" s="4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O41"/>
  <sheetViews>
    <sheetView showGridLines="0" tabSelected="1" zoomScaleNormal="100" workbookViewId="0">
      <pane xSplit="1" ySplit="1" topLeftCell="AA2" activePane="bottomRight" state="frozen"/>
      <selection activeCell="B31" sqref="B31"/>
      <selection pane="topRight" activeCell="B31" sqref="B31"/>
      <selection pane="bottomLeft" activeCell="B31" sqref="B31"/>
      <selection pane="bottomRight" activeCell="AK1" sqref="AK1:AK1048576"/>
    </sheetView>
  </sheetViews>
  <sheetFormatPr defaultColWidth="9.140625" defaultRowHeight="13.5" x14ac:dyDescent="0.25"/>
  <cols>
    <col min="1" max="1" width="29.7109375" style="34" customWidth="1"/>
    <col min="2" max="11" width="15.5703125" style="21" bestFit="1" customWidth="1"/>
    <col min="12" max="14" width="14.5703125" style="21" bestFit="1" customWidth="1"/>
    <col min="15" max="20" width="15.5703125" style="21" bestFit="1" customWidth="1"/>
    <col min="21" max="22" width="14.5703125" style="21" bestFit="1" customWidth="1"/>
    <col min="23" max="27" width="15.5703125" style="21" bestFit="1" customWidth="1"/>
    <col min="28" max="33" width="15.5703125" style="21" customWidth="1"/>
    <col min="34" max="35" width="15.5703125" style="21" bestFit="1" customWidth="1"/>
    <col min="36" max="37" width="15.5703125" style="21" customWidth="1"/>
    <col min="38" max="38" width="15.5703125" style="21" bestFit="1" customWidth="1"/>
    <col min="39" max="45" width="15.5703125" style="21" customWidth="1"/>
    <col min="46" max="47" width="15.5703125" style="21" bestFit="1" customWidth="1"/>
    <col min="48" max="49" width="15.5703125" style="21" customWidth="1"/>
    <col min="50" max="105" width="17.28515625" style="21" bestFit="1" customWidth="1"/>
    <col min="106" max="109" width="17.28515625" style="21" customWidth="1"/>
    <col min="110" max="111" width="17.28515625" style="21" bestFit="1" customWidth="1"/>
    <col min="112" max="113" width="17.28515625" style="21" customWidth="1"/>
    <col min="114" max="114" width="17.28515625" style="21" bestFit="1" customWidth="1"/>
    <col min="115" max="115" width="17.28515625" style="21" customWidth="1"/>
    <col min="116" max="117" width="14.5703125" style="21" bestFit="1" customWidth="1"/>
    <col min="118" max="118" width="17.28515625" style="21" bestFit="1" customWidth="1"/>
    <col min="119" max="120" width="17.28515625" style="21" customWidth="1"/>
    <col min="121" max="121" width="17.28515625" style="21" bestFit="1" customWidth="1"/>
    <col min="122" max="124" width="17.28515625" style="21" customWidth="1"/>
    <col min="125" max="125" width="15.28515625" style="21" bestFit="1" customWidth="1"/>
    <col min="126" max="128" width="17.28515625" style="21" customWidth="1"/>
    <col min="129" max="130" width="17.28515625" style="21" bestFit="1" customWidth="1"/>
    <col min="131" max="132" width="17.28515625" style="21" customWidth="1"/>
    <col min="133" max="133" width="17.28515625" style="21" bestFit="1" customWidth="1"/>
    <col min="134" max="182" width="15.28515625" style="21" bestFit="1" customWidth="1"/>
    <col min="183" max="16384" width="9.140625" style="21"/>
  </cols>
  <sheetData>
    <row r="1" spans="1:171" ht="15" x14ac:dyDescent="0.3">
      <c r="B1" s="27">
        <f>Accrual_EKCL!D27</f>
        <v>44927</v>
      </c>
      <c r="C1" s="27">
        <f>Accrual_EKCL!E27</f>
        <v>44958</v>
      </c>
      <c r="D1" s="27">
        <f>Accrual_EKCL!F27</f>
        <v>44986</v>
      </c>
      <c r="E1" s="27">
        <f>Accrual_EKCL!G27</f>
        <v>45017</v>
      </c>
      <c r="F1" s="27">
        <f>Accrual_EKCL!H27</f>
        <v>45047</v>
      </c>
      <c r="G1" s="27">
        <f>Accrual_EKCL!I27</f>
        <v>45078</v>
      </c>
      <c r="H1" s="27">
        <f>Accrual_EKCL!J27</f>
        <v>45108</v>
      </c>
      <c r="I1" s="27">
        <f>Accrual_EKCL!K27</f>
        <v>45139</v>
      </c>
      <c r="J1" s="27">
        <f>Accrual_EKCL!L27</f>
        <v>45170</v>
      </c>
      <c r="K1" s="27">
        <f>Accrual_EKCL!M27</f>
        <v>45200</v>
      </c>
      <c r="L1" s="27">
        <f>Accrual_EKCL!N27</f>
        <v>45231</v>
      </c>
      <c r="M1" s="27">
        <f>Accrual_EKCL!O27</f>
        <v>45261</v>
      </c>
      <c r="N1" s="27">
        <f>Accrual_EKCL!P27</f>
        <v>45292</v>
      </c>
      <c r="O1" s="27">
        <f>Accrual_EKCL!Q27</f>
        <v>45323</v>
      </c>
      <c r="P1" s="27">
        <f>Accrual_EKCL!R27</f>
        <v>45352</v>
      </c>
      <c r="Q1" s="27">
        <f>Accrual_EKCL!S27</f>
        <v>45383</v>
      </c>
      <c r="R1" s="27">
        <f>Accrual_EKCL!T27</f>
        <v>45413</v>
      </c>
      <c r="S1" s="27">
        <f>Accrual_EKCL!U27</f>
        <v>45444</v>
      </c>
      <c r="T1" s="27">
        <f>Accrual_EKCL!V27</f>
        <v>45474</v>
      </c>
      <c r="U1" s="27">
        <f>Accrual_EKCL!W27</f>
        <v>45505</v>
      </c>
      <c r="V1" s="27">
        <f>Accrual_EKCL!X27</f>
        <v>45536</v>
      </c>
      <c r="W1" s="27">
        <f>Accrual_EKCL!Y27</f>
        <v>45566</v>
      </c>
      <c r="X1" s="27">
        <f>Accrual_EKCL!Z27</f>
        <v>45597</v>
      </c>
      <c r="Y1" s="27">
        <f>Accrual_EKCL!AA27</f>
        <v>45627</v>
      </c>
      <c r="Z1" s="27">
        <f>Accrual_EKCL!AB27</f>
        <v>45658</v>
      </c>
      <c r="AA1" s="27">
        <f>Accrual_EKCL!AC27</f>
        <v>45689</v>
      </c>
      <c r="AB1" s="27">
        <f>Accrual_EKCL!AD27</f>
        <v>45717</v>
      </c>
      <c r="AC1" s="27">
        <f>Accrual_EKCL!AE27</f>
        <v>45748</v>
      </c>
      <c r="AD1" s="27">
        <f>Accrual_EKCL!AF27</f>
        <v>45778</v>
      </c>
      <c r="AE1" s="27">
        <f>Accrual_EKCL!AG27</f>
        <v>45809</v>
      </c>
      <c r="AF1" s="27">
        <f>Accrual_EKCL!AH27</f>
        <v>45839</v>
      </c>
      <c r="AG1" s="27">
        <f>Accrual_EKCL!AI27</f>
        <v>45870</v>
      </c>
      <c r="AH1" s="27">
        <f>Accrual_EKCL!AJ27</f>
        <v>45901</v>
      </c>
      <c r="AI1" s="27">
        <f>Accrual_EKCL!AK27</f>
        <v>45931</v>
      </c>
      <c r="AJ1" s="27">
        <f>Accrual_EKCL!AL27</f>
        <v>45962</v>
      </c>
      <c r="AK1" s="27">
        <f>Accrual_EKCL!AM27</f>
        <v>45992</v>
      </c>
      <c r="AL1" s="27">
        <f>Accrual_EKCL!AN27</f>
        <v>46023</v>
      </c>
      <c r="AM1" s="27">
        <f>Accrual_EKCL!AO27</f>
        <v>46054</v>
      </c>
      <c r="AN1" s="27">
        <f>Accrual_EKCL!AP27</f>
        <v>46082</v>
      </c>
      <c r="AO1" s="27">
        <f>Accrual_EKCL!AQ27</f>
        <v>46113</v>
      </c>
      <c r="AP1" s="27">
        <f>Accrual_EKCL!AR27</f>
        <v>46143</v>
      </c>
      <c r="AQ1" s="27">
        <f>Accrual_EKCL!AS27</f>
        <v>46174</v>
      </c>
      <c r="AR1" s="27">
        <f>Accrual_EKCL!AT27</f>
        <v>46204</v>
      </c>
      <c r="AS1" s="27">
        <f>Accrual_EKCL!AU27</f>
        <v>46235</v>
      </c>
      <c r="AT1" s="27">
        <f>Accrual_EKCL!AV27</f>
        <v>46266</v>
      </c>
      <c r="AU1" s="27">
        <f>Accrual_EKCL!AW27</f>
        <v>46296</v>
      </c>
      <c r="AV1" s="27">
        <f>Accrual_EKCL!AX27</f>
        <v>46327</v>
      </c>
      <c r="AW1" s="27">
        <f>Accrual_EKCL!AY27</f>
        <v>46357</v>
      </c>
      <c r="AX1" s="27">
        <f>Accrual_EKCL!AZ27</f>
        <v>46388</v>
      </c>
      <c r="AY1" s="27">
        <f>Accrual_EKCL!BA27</f>
        <v>46419</v>
      </c>
      <c r="AZ1" s="27">
        <f>Accrual_EKCL!BB27</f>
        <v>46447</v>
      </c>
      <c r="BA1" s="27">
        <f>Accrual_EKCL!BC27</f>
        <v>46478</v>
      </c>
      <c r="BB1" s="27">
        <f>Accrual_EKCL!BD27</f>
        <v>46508</v>
      </c>
      <c r="BC1" s="27">
        <f>Accrual_EKCL!BE27</f>
        <v>46539</v>
      </c>
      <c r="BD1" s="27">
        <f>Accrual_EKCL!BF27</f>
        <v>46569</v>
      </c>
      <c r="BE1" s="27">
        <f>Accrual_EKCL!BG27</f>
        <v>46600</v>
      </c>
      <c r="BF1" s="27">
        <f>Accrual_EKCL!BH27</f>
        <v>46631</v>
      </c>
      <c r="BG1" s="27">
        <f>Accrual_EKCL!BI27</f>
        <v>46661</v>
      </c>
      <c r="BH1" s="27">
        <f>Accrual_EKCL!BJ27</f>
        <v>46692</v>
      </c>
      <c r="BI1" s="27">
        <f>Accrual_EKCL!BK27</f>
        <v>46722</v>
      </c>
      <c r="BJ1" s="27">
        <f>Accrual_EKCL!BL27</f>
        <v>46753</v>
      </c>
      <c r="BK1" s="27">
        <f>Accrual_EKCL!BM27</f>
        <v>46784</v>
      </c>
      <c r="BL1" s="27">
        <f>Accrual_EKCL!BN27</f>
        <v>46813</v>
      </c>
      <c r="BM1" s="27">
        <f>Accrual_EKCL!BO27</f>
        <v>46844</v>
      </c>
      <c r="BN1" s="27">
        <f>Accrual_EKCL!BP27</f>
        <v>46874</v>
      </c>
      <c r="BO1" s="27">
        <f>Accrual_EKCL!BQ27</f>
        <v>46905</v>
      </c>
      <c r="BP1" s="27">
        <f>Accrual_EKCL!BR27</f>
        <v>46935</v>
      </c>
      <c r="BQ1" s="27">
        <f>Accrual_EKCL!BS27</f>
        <v>46966</v>
      </c>
      <c r="BR1" s="27">
        <f>Accrual_EKCL!BT27</f>
        <v>46997</v>
      </c>
      <c r="BS1" s="27">
        <f>Accrual_EKCL!BU27</f>
        <v>47027</v>
      </c>
      <c r="BT1" s="27">
        <f>Accrual_EKCL!BV27</f>
        <v>47058</v>
      </c>
      <c r="BU1" s="27">
        <f>Accrual_EKCL!BW27</f>
        <v>47088</v>
      </c>
      <c r="BV1" s="27">
        <f>Accrual_EKCL!BX27</f>
        <v>47119</v>
      </c>
      <c r="BW1" s="27">
        <f>Accrual_EKCL!BY27</f>
        <v>47150</v>
      </c>
      <c r="BX1" s="27">
        <f>Accrual_EKCL!BZ27</f>
        <v>47178</v>
      </c>
      <c r="BY1" s="27">
        <f>Accrual_EKCL!CA27</f>
        <v>47209</v>
      </c>
      <c r="BZ1" s="27">
        <f>Accrual_EKCL!CB27</f>
        <v>47239</v>
      </c>
      <c r="CA1" s="27">
        <f>Accrual_EKCL!CC27</f>
        <v>47270</v>
      </c>
      <c r="CB1" s="27">
        <f>Accrual_EKCL!CD27</f>
        <v>47300</v>
      </c>
      <c r="CC1" s="27">
        <f>Accrual_EKCL!CE27</f>
        <v>47331</v>
      </c>
      <c r="CD1" s="27">
        <f>Accrual_EKCL!CF27</f>
        <v>47362</v>
      </c>
      <c r="CE1" s="27">
        <f>Accrual_EKCL!CG27</f>
        <v>47392</v>
      </c>
      <c r="CF1" s="27">
        <f>Accrual_EKCL!CH27</f>
        <v>47423</v>
      </c>
      <c r="CG1" s="27">
        <f>Accrual_EKCL!CI27</f>
        <v>47453</v>
      </c>
      <c r="CH1" s="27">
        <f>Accrual_EKCL!CJ27</f>
        <v>47484</v>
      </c>
      <c r="CI1" s="27">
        <f>Accrual_EKCL!CK27</f>
        <v>47515</v>
      </c>
      <c r="CJ1" s="27">
        <f>Accrual_EKCL!CL27</f>
        <v>47543</v>
      </c>
      <c r="CK1" s="27">
        <f>Accrual_EKCL!CM27</f>
        <v>47574</v>
      </c>
      <c r="CL1" s="27">
        <f>Accrual_EKCL!CN27</f>
        <v>47604</v>
      </c>
      <c r="CM1" s="27">
        <f>Accrual_EKCL!CO27</f>
        <v>47635</v>
      </c>
      <c r="CN1" s="27">
        <f>Accrual_EKCL!CP27</f>
        <v>47665</v>
      </c>
      <c r="CO1" s="27">
        <f>Accrual_EKCL!CQ27</f>
        <v>47696</v>
      </c>
      <c r="CP1" s="27">
        <f>Accrual_EKCL!CR27</f>
        <v>47727</v>
      </c>
      <c r="CQ1" s="27">
        <f>Accrual_EKCL!CS27</f>
        <v>47757</v>
      </c>
      <c r="CR1" s="27">
        <f>Accrual_EKCL!CT27</f>
        <v>47788</v>
      </c>
      <c r="CS1" s="27">
        <f>Accrual_EKCL!CU27</f>
        <v>47818</v>
      </c>
      <c r="CT1" s="27">
        <f>Accrual_EKCL!CV27</f>
        <v>47849</v>
      </c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7"/>
      <c r="EQ1" s="117"/>
      <c r="ER1" s="117"/>
      <c r="ES1" s="117"/>
      <c r="ET1" s="117"/>
      <c r="EU1" s="117"/>
      <c r="EV1" s="117"/>
      <c r="EW1" s="117"/>
      <c r="EX1" s="117"/>
      <c r="EY1" s="117"/>
      <c r="EZ1" s="117"/>
      <c r="FA1" s="117"/>
      <c r="FB1" s="117"/>
      <c r="FC1" s="117"/>
      <c r="FD1" s="117"/>
      <c r="FE1" s="117"/>
      <c r="FF1" s="117"/>
      <c r="FG1" s="117"/>
      <c r="FH1" s="117"/>
      <c r="FI1" s="117"/>
      <c r="FJ1" s="117"/>
      <c r="FK1" s="117"/>
      <c r="FL1" s="117"/>
      <c r="FM1" s="117"/>
      <c r="FN1" s="117"/>
      <c r="FO1" s="117"/>
    </row>
    <row r="2" spans="1:171" ht="15" x14ac:dyDescent="0.3">
      <c r="A2" s="35" t="s">
        <v>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</row>
    <row r="3" spans="1:171" x14ac:dyDescent="0.25">
      <c r="A3" s="36" t="s">
        <v>24</v>
      </c>
      <c r="B3" s="29">
        <f>Accrual_EKCL!D28</f>
        <v>350000000</v>
      </c>
      <c r="C3" s="29">
        <f>Accrual_EKCL!E28</f>
        <v>350000000</v>
      </c>
      <c r="D3" s="29">
        <f>Accrual_EKCL!F28</f>
        <v>350000000</v>
      </c>
      <c r="E3" s="29">
        <f>Accrual_EKCL!G28</f>
        <v>350000000</v>
      </c>
      <c r="F3" s="29">
        <f>Accrual_EKCL!H28</f>
        <v>350000000</v>
      </c>
      <c r="G3" s="29">
        <f>Accrual_EKCL!I28</f>
        <v>350000000</v>
      </c>
      <c r="H3" s="29">
        <f>Accrual_EKCL!J28</f>
        <v>627057493</v>
      </c>
      <c r="I3" s="29">
        <f>Accrual_EKCL!K28</f>
        <v>627057493</v>
      </c>
      <c r="J3" s="29">
        <f>Accrual_EKCL!L28</f>
        <v>627057493</v>
      </c>
      <c r="K3" s="29">
        <f>Accrual_EKCL!M28</f>
        <v>627057493</v>
      </c>
      <c r="L3" s="29">
        <f>Accrual_EKCL!N28</f>
        <v>627057493</v>
      </c>
      <c r="M3" s="29">
        <f t="shared" ref="M3:AR3" si="0">L3</f>
        <v>627057493</v>
      </c>
      <c r="N3" s="29">
        <f t="shared" si="0"/>
        <v>627057493</v>
      </c>
      <c r="O3" s="29">
        <f t="shared" si="0"/>
        <v>627057493</v>
      </c>
      <c r="P3" s="29">
        <f t="shared" si="0"/>
        <v>627057493</v>
      </c>
      <c r="Q3" s="29">
        <f t="shared" si="0"/>
        <v>627057493</v>
      </c>
      <c r="R3" s="29">
        <f t="shared" si="0"/>
        <v>627057493</v>
      </c>
      <c r="S3" s="29">
        <f t="shared" si="0"/>
        <v>627057493</v>
      </c>
      <c r="T3" s="29">
        <f t="shared" si="0"/>
        <v>627057493</v>
      </c>
      <c r="U3" s="29">
        <f t="shared" si="0"/>
        <v>627057493</v>
      </c>
      <c r="V3" s="29">
        <f t="shared" si="0"/>
        <v>627057493</v>
      </c>
      <c r="W3" s="29">
        <f t="shared" si="0"/>
        <v>627057493</v>
      </c>
      <c r="X3" s="29">
        <f t="shared" si="0"/>
        <v>627057493</v>
      </c>
      <c r="Y3" s="29">
        <f t="shared" si="0"/>
        <v>627057493</v>
      </c>
      <c r="Z3" s="29">
        <f t="shared" si="0"/>
        <v>627057493</v>
      </c>
      <c r="AA3" s="29">
        <f t="shared" si="0"/>
        <v>627057493</v>
      </c>
      <c r="AB3" s="29">
        <f t="shared" si="0"/>
        <v>627057493</v>
      </c>
      <c r="AC3" s="29">
        <f t="shared" si="0"/>
        <v>627057493</v>
      </c>
      <c r="AD3" s="29">
        <f t="shared" si="0"/>
        <v>627057493</v>
      </c>
      <c r="AE3" s="29">
        <f t="shared" si="0"/>
        <v>627057493</v>
      </c>
      <c r="AF3" s="29">
        <f t="shared" si="0"/>
        <v>627057493</v>
      </c>
      <c r="AG3" s="29">
        <f t="shared" si="0"/>
        <v>627057493</v>
      </c>
      <c r="AH3" s="29">
        <f t="shared" si="0"/>
        <v>627057493</v>
      </c>
      <c r="AI3" s="29">
        <f t="shared" si="0"/>
        <v>627057493</v>
      </c>
      <c r="AJ3" s="29">
        <f t="shared" si="0"/>
        <v>627057493</v>
      </c>
      <c r="AK3" s="29">
        <f t="shared" si="0"/>
        <v>627057493</v>
      </c>
      <c r="AL3" s="29">
        <f t="shared" si="0"/>
        <v>627057493</v>
      </c>
      <c r="AM3" s="29">
        <f t="shared" si="0"/>
        <v>627057493</v>
      </c>
      <c r="AN3" s="29">
        <f t="shared" si="0"/>
        <v>627057493</v>
      </c>
      <c r="AO3" s="29">
        <f t="shared" si="0"/>
        <v>627057493</v>
      </c>
      <c r="AP3" s="29">
        <f t="shared" si="0"/>
        <v>627057493</v>
      </c>
      <c r="AQ3" s="29">
        <f t="shared" si="0"/>
        <v>627057493</v>
      </c>
      <c r="AR3" s="29">
        <f t="shared" si="0"/>
        <v>627057493</v>
      </c>
      <c r="AS3" s="29">
        <f t="shared" ref="AS3:BX3" si="1">AR3</f>
        <v>627057493</v>
      </c>
      <c r="AT3" s="29">
        <f t="shared" si="1"/>
        <v>627057493</v>
      </c>
      <c r="AU3" s="29">
        <f t="shared" si="1"/>
        <v>627057493</v>
      </c>
      <c r="AV3" s="29">
        <f t="shared" si="1"/>
        <v>627057493</v>
      </c>
      <c r="AW3" s="29">
        <f t="shared" si="1"/>
        <v>627057493</v>
      </c>
      <c r="AX3" s="29">
        <f t="shared" si="1"/>
        <v>627057493</v>
      </c>
      <c r="AY3" s="29">
        <f t="shared" si="1"/>
        <v>627057493</v>
      </c>
      <c r="AZ3" s="29">
        <f t="shared" si="1"/>
        <v>627057493</v>
      </c>
      <c r="BA3" s="29">
        <f t="shared" si="1"/>
        <v>627057493</v>
      </c>
      <c r="BB3" s="29">
        <f t="shared" si="1"/>
        <v>627057493</v>
      </c>
      <c r="BC3" s="29">
        <f t="shared" si="1"/>
        <v>627057493</v>
      </c>
      <c r="BD3" s="29">
        <f t="shared" si="1"/>
        <v>627057493</v>
      </c>
      <c r="BE3" s="29">
        <f t="shared" si="1"/>
        <v>627057493</v>
      </c>
      <c r="BF3" s="29">
        <f t="shared" si="1"/>
        <v>627057493</v>
      </c>
      <c r="BG3" s="29">
        <f t="shared" si="1"/>
        <v>627057493</v>
      </c>
      <c r="BH3" s="29">
        <f t="shared" si="1"/>
        <v>627057493</v>
      </c>
      <c r="BI3" s="29">
        <f t="shared" si="1"/>
        <v>627057493</v>
      </c>
      <c r="BJ3" s="29">
        <f t="shared" si="1"/>
        <v>627057493</v>
      </c>
      <c r="BK3" s="29">
        <f t="shared" si="1"/>
        <v>627057493</v>
      </c>
      <c r="BL3" s="29">
        <f t="shared" si="1"/>
        <v>627057493</v>
      </c>
      <c r="BM3" s="29">
        <f t="shared" si="1"/>
        <v>627057493</v>
      </c>
      <c r="BN3" s="29">
        <f t="shared" si="1"/>
        <v>627057493</v>
      </c>
      <c r="BO3" s="29">
        <f t="shared" si="1"/>
        <v>627057493</v>
      </c>
      <c r="BP3" s="29">
        <f t="shared" si="1"/>
        <v>627057493</v>
      </c>
      <c r="BQ3" s="29">
        <f t="shared" si="1"/>
        <v>627057493</v>
      </c>
      <c r="BR3" s="29">
        <f t="shared" si="1"/>
        <v>627057493</v>
      </c>
      <c r="BS3" s="29">
        <f t="shared" si="1"/>
        <v>627057493</v>
      </c>
      <c r="BT3" s="29">
        <f t="shared" si="1"/>
        <v>627057493</v>
      </c>
      <c r="BU3" s="29">
        <f t="shared" si="1"/>
        <v>627057493</v>
      </c>
      <c r="BV3" s="29">
        <f t="shared" si="1"/>
        <v>627057493</v>
      </c>
      <c r="BW3" s="29">
        <f t="shared" si="1"/>
        <v>627057493</v>
      </c>
      <c r="BX3" s="29">
        <f t="shared" si="1"/>
        <v>627057493</v>
      </c>
      <c r="BY3" s="29">
        <f t="shared" ref="BY3:CR3" si="2">BX3</f>
        <v>627057493</v>
      </c>
      <c r="BZ3" s="29">
        <f t="shared" si="2"/>
        <v>627057493</v>
      </c>
      <c r="CA3" s="29">
        <f t="shared" si="2"/>
        <v>627057493</v>
      </c>
      <c r="CB3" s="29">
        <f t="shared" si="2"/>
        <v>627057493</v>
      </c>
      <c r="CC3" s="29">
        <f t="shared" si="2"/>
        <v>627057493</v>
      </c>
      <c r="CD3" s="29">
        <f t="shared" si="2"/>
        <v>627057493</v>
      </c>
      <c r="CE3" s="29">
        <f t="shared" si="2"/>
        <v>627057493</v>
      </c>
      <c r="CF3" s="29">
        <f t="shared" si="2"/>
        <v>627057493</v>
      </c>
      <c r="CG3" s="29">
        <f t="shared" si="2"/>
        <v>627057493</v>
      </c>
      <c r="CH3" s="29">
        <f t="shared" si="2"/>
        <v>627057493</v>
      </c>
      <c r="CI3" s="29">
        <f t="shared" si="2"/>
        <v>627057493</v>
      </c>
      <c r="CJ3" s="29">
        <f t="shared" si="2"/>
        <v>627057493</v>
      </c>
      <c r="CK3" s="29">
        <f t="shared" si="2"/>
        <v>627057493</v>
      </c>
      <c r="CL3" s="29">
        <f t="shared" si="2"/>
        <v>627057493</v>
      </c>
      <c r="CM3" s="29">
        <f t="shared" si="2"/>
        <v>627057493</v>
      </c>
      <c r="CN3" s="29">
        <f t="shared" si="2"/>
        <v>627057493</v>
      </c>
      <c r="CO3" s="29">
        <f t="shared" si="2"/>
        <v>627057493</v>
      </c>
      <c r="CP3" s="29">
        <f t="shared" si="2"/>
        <v>627057493</v>
      </c>
      <c r="CQ3" s="29">
        <f t="shared" si="2"/>
        <v>627057493</v>
      </c>
      <c r="CR3" s="29">
        <f t="shared" si="2"/>
        <v>627057493</v>
      </c>
      <c r="CS3" s="29">
        <f t="shared" ref="CS3" si="3">CR3</f>
        <v>627057493</v>
      </c>
      <c r="CT3" s="29">
        <f t="shared" ref="CT3" si="4">CS3</f>
        <v>627057493</v>
      </c>
      <c r="CU3" s="118"/>
      <c r="CV3" s="118"/>
      <c r="CW3" s="118"/>
      <c r="CX3" s="118"/>
      <c r="CY3" s="118"/>
      <c r="CZ3" s="118"/>
      <c r="DA3" s="118"/>
      <c r="DB3" s="118"/>
      <c r="DC3" s="118"/>
      <c r="DD3" s="118"/>
      <c r="DE3" s="118"/>
      <c r="DF3" s="118"/>
      <c r="DG3" s="118"/>
      <c r="DH3" s="118"/>
      <c r="DI3" s="118"/>
      <c r="DJ3" s="118"/>
      <c r="DK3" s="118"/>
      <c r="DL3" s="118"/>
      <c r="DM3" s="118"/>
      <c r="DN3" s="118"/>
      <c r="DO3" s="118"/>
      <c r="DP3" s="118"/>
      <c r="DQ3" s="118"/>
      <c r="DR3" s="118"/>
      <c r="DS3" s="118"/>
      <c r="DT3" s="118"/>
      <c r="DU3" s="118"/>
      <c r="DV3" s="118"/>
      <c r="DW3" s="118"/>
      <c r="DX3" s="118"/>
      <c r="DY3" s="118"/>
      <c r="DZ3" s="118"/>
      <c r="EA3" s="118"/>
      <c r="EB3" s="118"/>
      <c r="EC3" s="118"/>
      <c r="ED3" s="118"/>
      <c r="EE3" s="118"/>
      <c r="EF3" s="118"/>
      <c r="EG3" s="118"/>
      <c r="EH3" s="118"/>
      <c r="EI3" s="118"/>
      <c r="EJ3" s="118"/>
      <c r="EK3" s="118"/>
      <c r="EL3" s="118"/>
      <c r="EM3" s="118"/>
      <c r="EN3" s="118"/>
      <c r="EO3" s="118"/>
      <c r="EP3" s="118"/>
      <c r="EQ3" s="118"/>
      <c r="ER3" s="118"/>
      <c r="ES3" s="118"/>
      <c r="ET3" s="118"/>
      <c r="EU3" s="118"/>
      <c r="EV3" s="118"/>
      <c r="EW3" s="118"/>
      <c r="EX3" s="118"/>
      <c r="EY3" s="118"/>
      <c r="EZ3" s="118"/>
      <c r="FA3" s="118"/>
      <c r="FB3" s="118"/>
      <c r="FC3" s="118"/>
      <c r="FD3" s="118"/>
      <c r="FE3" s="118"/>
      <c r="FF3" s="118"/>
      <c r="FG3" s="118"/>
      <c r="FH3" s="118"/>
      <c r="FI3" s="118"/>
      <c r="FJ3" s="118"/>
      <c r="FK3" s="118"/>
      <c r="FL3" s="118"/>
      <c r="FM3" s="118"/>
      <c r="FN3" s="118"/>
      <c r="FO3" s="118"/>
    </row>
    <row r="4" spans="1:171" x14ac:dyDescent="0.25">
      <c r="A4" s="36" t="s">
        <v>25</v>
      </c>
      <c r="B4" s="29">
        <f>Accrual_EKCL!D32</f>
        <v>0</v>
      </c>
      <c r="C4" s="29">
        <f>Accrual_EKCL!E32</f>
        <v>0</v>
      </c>
      <c r="D4" s="29">
        <f>Accrual_EKCL!F32</f>
        <v>0</v>
      </c>
      <c r="E4" s="29">
        <f>Accrual_EKCL!G32</f>
        <v>0</v>
      </c>
      <c r="F4" s="29">
        <f>Accrual_EKCL!H32</f>
        <v>0</v>
      </c>
      <c r="G4" s="29">
        <f>Accrual_EKCL!I32</f>
        <v>0</v>
      </c>
      <c r="H4" s="29">
        <f>Accrual_EKCL!J32</f>
        <v>0</v>
      </c>
      <c r="I4" s="29">
        <f>Accrual_EKCL!K32</f>
        <v>0</v>
      </c>
      <c r="J4" s="29">
        <f>Accrual_EKCL!L32</f>
        <v>0</v>
      </c>
      <c r="K4" s="29">
        <f>Accrual_EKCL!M32</f>
        <v>0</v>
      </c>
      <c r="L4" s="29">
        <f>Accrual_EKCL!N32</f>
        <v>0</v>
      </c>
      <c r="M4" s="29">
        <f>Accrual_EKCL!O32</f>
        <v>0</v>
      </c>
      <c r="N4" s="29">
        <f>Accrual_EKCL!P32</f>
        <v>0</v>
      </c>
      <c r="O4" s="29">
        <f>Accrual_EKCL!Q32</f>
        <v>0</v>
      </c>
      <c r="P4" s="29">
        <f>Accrual_EKCL!R32</f>
        <v>0</v>
      </c>
      <c r="Q4" s="29">
        <f>Accrual_EKCL!S32</f>
        <v>18842220.383179542</v>
      </c>
      <c r="R4" s="29">
        <f>Accrual_EKCL!T32</f>
        <v>18842220.383179542</v>
      </c>
      <c r="S4" s="29">
        <f>Accrual_EKCL!U32</f>
        <v>18842220.383179542</v>
      </c>
      <c r="T4" s="29">
        <f>Accrual_EKCL!V32</f>
        <v>37919968.521148823</v>
      </c>
      <c r="U4" s="29">
        <f>Accrual_EKCL!W32</f>
        <v>37919968.521148823</v>
      </c>
      <c r="V4" s="29">
        <f>Accrual_EKCL!X32</f>
        <v>37919968.521148823</v>
      </c>
      <c r="W4" s="29">
        <f>Accrual_EKCL!Y32</f>
        <v>57236188.510842726</v>
      </c>
      <c r="X4" s="29">
        <f>Accrual_EKCL!Z32</f>
        <v>57236188.510842726</v>
      </c>
      <c r="Y4" s="29">
        <f>Accrual_EKCL!AA32</f>
        <v>57236188.510842726</v>
      </c>
      <c r="Z4" s="29">
        <f>Accrual_EKCL!AB32</f>
        <v>76793861.2504078</v>
      </c>
      <c r="AA4" s="29">
        <f>Accrual_EKCL!AC32</f>
        <v>76793861.2504078</v>
      </c>
      <c r="AB4" s="29">
        <f>Accrual_EKCL!AD32</f>
        <v>76793861.2504078</v>
      </c>
      <c r="AC4" s="29">
        <f>Accrual_EKCL!AE32</f>
        <v>96596004.899217442</v>
      </c>
      <c r="AD4" s="29">
        <f>Accrual_EKCL!AF32</f>
        <v>96596004.899217442</v>
      </c>
      <c r="AE4" s="29">
        <f>Accrual_EKCL!AG32</f>
        <v>96596004.899217442</v>
      </c>
      <c r="AF4" s="29">
        <f>Accrual_EKCL!AH32</f>
        <v>116645675.3436372</v>
      </c>
      <c r="AG4" s="29">
        <f>Accrual_EKCL!AI32</f>
        <v>116645675.3436372</v>
      </c>
      <c r="AH4" s="29">
        <f>Accrual_EKCL!AJ32</f>
        <v>116645675.3436372</v>
      </c>
      <c r="AI4" s="29">
        <f>Accrual_EKCL!AK32</f>
        <v>136945966.66861221</v>
      </c>
      <c r="AJ4" s="29">
        <f>Accrual_EKCL!AL32</f>
        <v>136945966.66861221</v>
      </c>
      <c r="AK4" s="29">
        <f>Accrual_EKCL!AM32</f>
        <v>136945966.66861221</v>
      </c>
      <c r="AL4" s="29">
        <f>Accrual_EKCL!AN32</f>
        <v>157500011.63514942</v>
      </c>
      <c r="AM4" s="29">
        <f>Accrual_EKCL!AO32</f>
        <v>157500011.63514942</v>
      </c>
      <c r="AN4" s="29">
        <f>Accrual_EKCL!AP32</f>
        <v>157500011.63514942</v>
      </c>
      <c r="AO4" s="29">
        <f>Accrual_EKCL!AQ32</f>
        <v>178310982.16376832</v>
      </c>
      <c r="AP4" s="29">
        <f>Accrual_EKCL!AR32</f>
        <v>178310982.16376832</v>
      </c>
      <c r="AQ4" s="29">
        <f>Accrual_EKCL!AS32</f>
        <v>178310982.16376832</v>
      </c>
      <c r="AR4" s="29">
        <f>Accrual_EKCL!AT32</f>
        <v>199382089.82399496</v>
      </c>
      <c r="AS4" s="29">
        <f>Accrual_EKCL!AU32</f>
        <v>199382089.82399496</v>
      </c>
      <c r="AT4" s="29">
        <f>Accrual_EKCL!AV32</f>
        <v>199382089.82399496</v>
      </c>
      <c r="AU4" s="29">
        <f>Accrual_EKCL!AW32</f>
        <v>220716586.32997444</v>
      </c>
      <c r="AV4" s="29">
        <f>Accrual_EKCL!AX32</f>
        <v>220716586.32997444</v>
      </c>
      <c r="AW4" s="29">
        <f>Accrual_EKCL!AY32</f>
        <v>220716586.32997444</v>
      </c>
      <c r="AX4" s="29">
        <f>Accrual_EKCL!AZ32</f>
        <v>242317764.04227865</v>
      </c>
      <c r="AY4" s="29">
        <f>Accrual_EKCL!BA32</f>
        <v>242317764.04227865</v>
      </c>
      <c r="AZ4" s="29">
        <f>Accrual_EKCL!BB32</f>
        <v>242317764.04227865</v>
      </c>
      <c r="BA4" s="29">
        <f>Accrual_EKCL!BC32</f>
        <v>264188956.47598666</v>
      </c>
      <c r="BB4" s="29">
        <f>Accrual_EKCL!BD32</f>
        <v>264188956.47598666</v>
      </c>
      <c r="BC4" s="29">
        <f>Accrual_EKCL!BE32</f>
        <v>264188956.47598666</v>
      </c>
      <c r="BD4" s="29">
        <f>Accrual_EKCL!BF32</f>
        <v>286333538.81511605</v>
      </c>
      <c r="BE4" s="29">
        <f>Accrual_EKCL!BG32</f>
        <v>286333538.81511605</v>
      </c>
      <c r="BF4" s="29">
        <f>Accrual_EKCL!BH32</f>
        <v>286333538.81511605</v>
      </c>
      <c r="BG4" s="29">
        <f>Accrual_EKCL!BI32</f>
        <v>308754928.43348455</v>
      </c>
      <c r="BH4" s="29">
        <f>Accrual_EKCL!BJ32</f>
        <v>308754928.43348455</v>
      </c>
      <c r="BI4" s="29">
        <f>Accrual_EKCL!BK32</f>
        <v>308754928.43348455</v>
      </c>
      <c r="BJ4" s="29">
        <f>Accrual_EKCL!BL32</f>
        <v>331456585.42208266</v>
      </c>
      <c r="BK4" s="29">
        <f>Accrual_EKCL!BM32</f>
        <v>331456585.42208266</v>
      </c>
      <c r="BL4" s="29">
        <f>Accrual_EKCL!BN32</f>
        <v>331456585.42208266</v>
      </c>
      <c r="BM4" s="29">
        <f>Accrual_EKCL!BO32</f>
        <v>354442013.12303823</v>
      </c>
      <c r="BN4" s="29">
        <f>Accrual_EKCL!BP32</f>
        <v>354442013.12303823</v>
      </c>
      <c r="BO4" s="29">
        <f>Accrual_EKCL!BQ32</f>
        <v>354442013.12303823</v>
      </c>
      <c r="BP4" s="29">
        <f>Accrual_EKCL!BR32</f>
        <v>377714758.67025578</v>
      </c>
      <c r="BQ4" s="29">
        <f>Accrual_EKCL!BS32</f>
        <v>377714758.67025578</v>
      </c>
      <c r="BR4" s="29">
        <f>Accrual_EKCL!BT32</f>
        <v>377714758.67025578</v>
      </c>
      <c r="BS4" s="29">
        <f>Accrual_EKCL!BU32</f>
        <v>401278413.5368135</v>
      </c>
      <c r="BT4" s="29">
        <f>Accrual_EKCL!BV32</f>
        <v>401278413.5368135</v>
      </c>
      <c r="BU4" s="29">
        <f>Accrual_EKCL!BW32</f>
        <v>401278413.5368135</v>
      </c>
      <c r="BV4" s="29">
        <f>Accrual_EKCL!BX32</f>
        <v>425136614.08920324</v>
      </c>
      <c r="BW4" s="29">
        <f>Accrual_EKCL!BY32</f>
        <v>425136614.08920324</v>
      </c>
      <c r="BX4" s="29">
        <f>Accrual_EKCL!BZ32</f>
        <v>425136614.08920324</v>
      </c>
      <c r="BY4" s="29">
        <f>Accrual_EKCL!CA32</f>
        <v>449293042.14849782</v>
      </c>
      <c r="BZ4" s="29">
        <f>Accrual_EKCL!CB32</f>
        <v>449293042.14849782</v>
      </c>
      <c r="CA4" s="29">
        <f>Accrual_EKCL!CC32</f>
        <v>449293042.14849782</v>
      </c>
      <c r="CB4" s="29">
        <f>Accrual_EKCL!CD32</f>
        <v>473751425.55853355</v>
      </c>
      <c r="CC4" s="29">
        <f>Accrual_EKCL!CE32</f>
        <v>473751425.55853355</v>
      </c>
      <c r="CD4" s="29">
        <f>Accrual_EKCL!CF32</f>
        <v>473751425.55853355</v>
      </c>
      <c r="CE4" s="29">
        <f>Accrual_EKCL!CG32</f>
        <v>498515538.76119477</v>
      </c>
      <c r="CF4" s="29">
        <f>Accrual_EKCL!CH32</f>
        <v>498515538.76119477</v>
      </c>
      <c r="CG4" s="29">
        <f>Accrual_EKCL!CI32</f>
        <v>498515538.76119477</v>
      </c>
      <c r="CH4" s="29">
        <f>Accrual_EKCL!CJ32</f>
        <v>523589203.37888926</v>
      </c>
      <c r="CI4" s="29">
        <f>Accrual_EKCL!CK32</f>
        <v>523589203.37888926</v>
      </c>
      <c r="CJ4" s="29">
        <f>Accrual_EKCL!CL32</f>
        <v>523589203.37888926</v>
      </c>
      <c r="CK4" s="29">
        <f>Accrual_EKCL!CM32</f>
        <v>548976288.80430496</v>
      </c>
      <c r="CL4" s="29">
        <f>Accrual_EKCL!CN32</f>
        <v>548976288.80430496</v>
      </c>
      <c r="CM4" s="29">
        <f>Accrual_EKCL!CO32</f>
        <v>548976288.80430496</v>
      </c>
      <c r="CN4" s="29">
        <f>Accrual_EKCL!CP32</f>
        <v>574680712.79753828</v>
      </c>
      <c r="CO4" s="29">
        <f>Accrual_EKCL!CQ32</f>
        <v>574680712.79753828</v>
      </c>
      <c r="CP4" s="29">
        <f>Accrual_EKCL!CR32</f>
        <v>574680712.79753828</v>
      </c>
      <c r="CQ4" s="29">
        <f>Accrual_EKCL!CS32</f>
        <v>600706442.09068704</v>
      </c>
      <c r="CR4" s="29">
        <f>Accrual_EKCL!CT32</f>
        <v>600706442.09068704</v>
      </c>
      <c r="CS4" s="29">
        <f>Accrual_EKCL!CU32</f>
        <v>600706442.09068704</v>
      </c>
      <c r="CT4" s="29">
        <f>Accrual_EKCL!CV32</f>
        <v>627057493.00000012</v>
      </c>
      <c r="CU4" s="118"/>
      <c r="CV4" s="118"/>
      <c r="CW4" s="118"/>
      <c r="CX4" s="118"/>
      <c r="CY4" s="118"/>
      <c r="CZ4" s="118"/>
      <c r="DA4" s="118"/>
      <c r="DB4" s="118"/>
      <c r="DC4" s="118"/>
      <c r="DD4" s="118"/>
      <c r="DE4" s="118"/>
      <c r="DF4" s="118"/>
      <c r="DG4" s="118"/>
      <c r="DH4" s="118"/>
      <c r="DI4" s="118"/>
      <c r="DJ4" s="118"/>
      <c r="DK4" s="118"/>
      <c r="DL4" s="118"/>
      <c r="DM4" s="118"/>
      <c r="DN4" s="118"/>
      <c r="DO4" s="118"/>
      <c r="DP4" s="118"/>
      <c r="DQ4" s="118"/>
      <c r="DR4" s="118"/>
      <c r="DS4" s="118"/>
      <c r="DT4" s="118"/>
      <c r="DU4" s="118"/>
      <c r="DV4" s="118"/>
      <c r="DW4" s="118"/>
      <c r="DX4" s="118"/>
      <c r="DY4" s="118"/>
      <c r="DZ4" s="118"/>
      <c r="EA4" s="118"/>
      <c r="EB4" s="118"/>
      <c r="EC4" s="118"/>
      <c r="ED4" s="118"/>
      <c r="EE4" s="118"/>
      <c r="EF4" s="118"/>
      <c r="EG4" s="118"/>
      <c r="EH4" s="118"/>
      <c r="EI4" s="118"/>
      <c r="EJ4" s="118"/>
      <c r="EK4" s="118"/>
      <c r="EL4" s="118"/>
      <c r="EM4" s="118"/>
      <c r="EN4" s="118"/>
      <c r="EO4" s="118"/>
      <c r="EP4" s="118"/>
      <c r="EQ4" s="118"/>
      <c r="ER4" s="118"/>
      <c r="ES4" s="118"/>
      <c r="ET4" s="118"/>
      <c r="EU4" s="118"/>
      <c r="EV4" s="118"/>
      <c r="EW4" s="118"/>
      <c r="EX4" s="118"/>
      <c r="EY4" s="118"/>
      <c r="EZ4" s="118"/>
      <c r="FA4" s="118"/>
      <c r="FB4" s="118"/>
      <c r="FC4" s="118"/>
      <c r="FD4" s="118"/>
      <c r="FE4" s="118"/>
      <c r="FF4" s="118"/>
      <c r="FG4" s="118"/>
      <c r="FH4" s="118"/>
      <c r="FI4" s="118"/>
      <c r="FJ4" s="118"/>
      <c r="FK4" s="118"/>
      <c r="FL4" s="118"/>
      <c r="FM4" s="118"/>
      <c r="FN4" s="118"/>
      <c r="FO4" s="118"/>
    </row>
    <row r="5" spans="1:171" x14ac:dyDescent="0.25">
      <c r="A5" s="36" t="s">
        <v>26</v>
      </c>
      <c r="B5" s="29">
        <f>B22</f>
        <v>0</v>
      </c>
      <c r="C5" s="29">
        <f t="shared" ref="C5" si="5">C22</f>
        <v>0</v>
      </c>
      <c r="D5" s="29">
        <f t="shared" ref="D5:AI5" si="6">D22</f>
        <v>0</v>
      </c>
      <c r="E5" s="29">
        <f t="shared" si="6"/>
        <v>0</v>
      </c>
      <c r="F5" s="29">
        <f t="shared" si="6"/>
        <v>0</v>
      </c>
      <c r="G5" s="29">
        <f t="shared" si="6"/>
        <v>0</v>
      </c>
      <c r="H5" s="29">
        <f t="shared" si="6"/>
        <v>0</v>
      </c>
      <c r="I5" s="29">
        <f t="shared" si="6"/>
        <v>0</v>
      </c>
      <c r="J5" s="29">
        <f t="shared" si="6"/>
        <v>0</v>
      </c>
      <c r="K5" s="29">
        <f t="shared" si="6"/>
        <v>0</v>
      </c>
      <c r="L5" s="29">
        <f t="shared" si="6"/>
        <v>0</v>
      </c>
      <c r="M5" s="29">
        <f t="shared" si="6"/>
        <v>0</v>
      </c>
      <c r="N5" s="29">
        <f t="shared" si="6"/>
        <v>0</v>
      </c>
      <c r="O5" s="29">
        <f t="shared" si="6"/>
        <v>0</v>
      </c>
      <c r="P5" s="29">
        <f t="shared" si="6"/>
        <v>0</v>
      </c>
      <c r="Q5" s="29">
        <f t="shared" si="6"/>
        <v>18842220</v>
      </c>
      <c r="R5" s="29">
        <f t="shared" si="6"/>
        <v>18842220</v>
      </c>
      <c r="S5" s="29">
        <f t="shared" si="6"/>
        <v>18842220</v>
      </c>
      <c r="T5" s="29">
        <f t="shared" si="6"/>
        <v>37919968</v>
      </c>
      <c r="U5" s="29">
        <f t="shared" si="6"/>
        <v>37919968</v>
      </c>
      <c r="V5" s="29">
        <f t="shared" si="6"/>
        <v>37919968</v>
      </c>
      <c r="W5" s="29">
        <f t="shared" si="6"/>
        <v>57236188</v>
      </c>
      <c r="X5" s="29">
        <f t="shared" si="6"/>
        <v>57236188</v>
      </c>
      <c r="Y5" s="29">
        <f t="shared" si="6"/>
        <v>57236188</v>
      </c>
      <c r="Z5" s="29">
        <f t="shared" si="6"/>
        <v>76793861</v>
      </c>
      <c r="AA5" s="29">
        <f t="shared" si="6"/>
        <v>76793861</v>
      </c>
      <c r="AB5" s="29">
        <f t="shared" si="6"/>
        <v>76793861</v>
      </c>
      <c r="AC5" s="29">
        <f t="shared" si="6"/>
        <v>87605118</v>
      </c>
      <c r="AD5" s="29">
        <f t="shared" si="6"/>
        <v>87605118</v>
      </c>
      <c r="AE5" s="29">
        <f t="shared" si="6"/>
        <v>87605118</v>
      </c>
      <c r="AF5" s="29">
        <f t="shared" si="6"/>
        <v>87605118</v>
      </c>
      <c r="AG5" s="29">
        <f t="shared" si="6"/>
        <v>87605118</v>
      </c>
      <c r="AH5" s="29">
        <f t="shared" si="6"/>
        <v>87605118</v>
      </c>
      <c r="AI5" s="29">
        <f t="shared" si="6"/>
        <v>87605118</v>
      </c>
      <c r="AJ5" s="29">
        <f t="shared" ref="AJ5:BO5" si="7">AJ22</f>
        <v>87605118</v>
      </c>
      <c r="AK5" s="29">
        <f t="shared" si="7"/>
        <v>87605118</v>
      </c>
      <c r="AL5" s="29">
        <f t="shared" si="7"/>
        <v>157500011.63514942</v>
      </c>
      <c r="AM5" s="29">
        <f t="shared" si="7"/>
        <v>157500011.63514942</v>
      </c>
      <c r="AN5" s="29">
        <f t="shared" si="7"/>
        <v>157500011.63514942</v>
      </c>
      <c r="AO5" s="29">
        <f t="shared" si="7"/>
        <v>178310982.16376832</v>
      </c>
      <c r="AP5" s="29">
        <f t="shared" si="7"/>
        <v>178310982.16376832</v>
      </c>
      <c r="AQ5" s="29">
        <f t="shared" si="7"/>
        <v>178310982.16376832</v>
      </c>
      <c r="AR5" s="29">
        <f t="shared" si="7"/>
        <v>199382089.82399496</v>
      </c>
      <c r="AS5" s="29">
        <f t="shared" si="7"/>
        <v>199382089.82399496</v>
      </c>
      <c r="AT5" s="29">
        <f t="shared" si="7"/>
        <v>199382089.82399496</v>
      </c>
      <c r="AU5" s="29">
        <f t="shared" si="7"/>
        <v>220716586.32997444</v>
      </c>
      <c r="AV5" s="29">
        <f t="shared" si="7"/>
        <v>220716586.32997444</v>
      </c>
      <c r="AW5" s="29">
        <f t="shared" si="7"/>
        <v>220716586.32997444</v>
      </c>
      <c r="AX5" s="29">
        <f t="shared" si="7"/>
        <v>242317764.04227865</v>
      </c>
      <c r="AY5" s="29">
        <f t="shared" si="7"/>
        <v>242317764.04227865</v>
      </c>
      <c r="AZ5" s="29">
        <f t="shared" si="7"/>
        <v>242317764.04227865</v>
      </c>
      <c r="BA5" s="29">
        <f t="shared" si="7"/>
        <v>264188956.47598666</v>
      </c>
      <c r="BB5" s="29">
        <f t="shared" si="7"/>
        <v>264188956.47598666</v>
      </c>
      <c r="BC5" s="29">
        <f t="shared" si="7"/>
        <v>264188956.47598666</v>
      </c>
      <c r="BD5" s="29">
        <f t="shared" si="7"/>
        <v>286333538.81511605</v>
      </c>
      <c r="BE5" s="29">
        <f t="shared" si="7"/>
        <v>286333538.81511605</v>
      </c>
      <c r="BF5" s="29">
        <f t="shared" si="7"/>
        <v>286333538.81511605</v>
      </c>
      <c r="BG5" s="29">
        <f t="shared" si="7"/>
        <v>308754928.43348455</v>
      </c>
      <c r="BH5" s="29">
        <f t="shared" si="7"/>
        <v>308754928.43348455</v>
      </c>
      <c r="BI5" s="29">
        <f t="shared" si="7"/>
        <v>308754928.43348455</v>
      </c>
      <c r="BJ5" s="29">
        <f t="shared" si="7"/>
        <v>331456585.42208266</v>
      </c>
      <c r="BK5" s="29">
        <f t="shared" si="7"/>
        <v>331456585.42208266</v>
      </c>
      <c r="BL5" s="29">
        <f t="shared" si="7"/>
        <v>331456585.42208266</v>
      </c>
      <c r="BM5" s="29">
        <f t="shared" si="7"/>
        <v>354442013.12303823</v>
      </c>
      <c r="BN5" s="29">
        <f t="shared" si="7"/>
        <v>354442013.12303823</v>
      </c>
      <c r="BO5" s="29">
        <f t="shared" si="7"/>
        <v>354442013.12303823</v>
      </c>
      <c r="BP5" s="29">
        <f t="shared" ref="BP5:CT5" si="8">BP22</f>
        <v>377714758.67025578</v>
      </c>
      <c r="BQ5" s="29">
        <f t="shared" si="8"/>
        <v>377714758.67025578</v>
      </c>
      <c r="BR5" s="29">
        <f t="shared" si="8"/>
        <v>377714758.67025578</v>
      </c>
      <c r="BS5" s="29">
        <f t="shared" si="8"/>
        <v>401278413.5368135</v>
      </c>
      <c r="BT5" s="29">
        <f t="shared" si="8"/>
        <v>401278413.5368135</v>
      </c>
      <c r="BU5" s="29">
        <f t="shared" si="8"/>
        <v>401278413.5368135</v>
      </c>
      <c r="BV5" s="29">
        <f t="shared" si="8"/>
        <v>425136614.08920324</v>
      </c>
      <c r="BW5" s="29">
        <f t="shared" si="8"/>
        <v>425136614.08920324</v>
      </c>
      <c r="BX5" s="29">
        <f t="shared" si="8"/>
        <v>425136614.08920324</v>
      </c>
      <c r="BY5" s="29">
        <f t="shared" si="8"/>
        <v>449293042.14849782</v>
      </c>
      <c r="BZ5" s="29">
        <f t="shared" si="8"/>
        <v>449293042.14849782</v>
      </c>
      <c r="CA5" s="29">
        <f t="shared" si="8"/>
        <v>449293042.14849782</v>
      </c>
      <c r="CB5" s="29">
        <f t="shared" si="8"/>
        <v>473751425.55853355</v>
      </c>
      <c r="CC5" s="29">
        <f t="shared" si="8"/>
        <v>473751425.55853355</v>
      </c>
      <c r="CD5" s="29">
        <f t="shared" si="8"/>
        <v>473751425.55853355</v>
      </c>
      <c r="CE5" s="29">
        <f t="shared" si="8"/>
        <v>498515538.76119477</v>
      </c>
      <c r="CF5" s="29">
        <f t="shared" si="8"/>
        <v>498515538.76119477</v>
      </c>
      <c r="CG5" s="29">
        <f t="shared" si="8"/>
        <v>498515538.76119477</v>
      </c>
      <c r="CH5" s="29">
        <f t="shared" si="8"/>
        <v>523589203.37888926</v>
      </c>
      <c r="CI5" s="29">
        <f t="shared" si="8"/>
        <v>523589203.37888926</v>
      </c>
      <c r="CJ5" s="29">
        <f t="shared" si="8"/>
        <v>523589203.37888926</v>
      </c>
      <c r="CK5" s="29">
        <f t="shared" si="8"/>
        <v>548976288.80430496</v>
      </c>
      <c r="CL5" s="29">
        <f t="shared" si="8"/>
        <v>548976288.80430496</v>
      </c>
      <c r="CM5" s="29">
        <f t="shared" si="8"/>
        <v>548976288.80430496</v>
      </c>
      <c r="CN5" s="29">
        <f t="shared" si="8"/>
        <v>574680712.79753828</v>
      </c>
      <c r="CO5" s="29">
        <f t="shared" si="8"/>
        <v>574680712.79753828</v>
      </c>
      <c r="CP5" s="29">
        <f t="shared" si="8"/>
        <v>574680712.79753828</v>
      </c>
      <c r="CQ5" s="29">
        <f t="shared" si="8"/>
        <v>600706442.09068704</v>
      </c>
      <c r="CR5" s="29">
        <f t="shared" si="8"/>
        <v>600706442.09068704</v>
      </c>
      <c r="CS5" s="29">
        <f t="shared" si="8"/>
        <v>600706442.09068704</v>
      </c>
      <c r="CT5" s="29">
        <f t="shared" si="8"/>
        <v>627057493.00000012</v>
      </c>
      <c r="CU5" s="118"/>
      <c r="CV5" s="118"/>
      <c r="CW5" s="118"/>
      <c r="CX5" s="118"/>
      <c r="CY5" s="118"/>
      <c r="CZ5" s="118"/>
      <c r="DA5" s="118"/>
      <c r="DB5" s="118"/>
      <c r="DC5" s="118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118"/>
      <c r="DP5" s="118"/>
      <c r="DQ5" s="118"/>
      <c r="DR5" s="118"/>
      <c r="DS5" s="118"/>
      <c r="DT5" s="118"/>
      <c r="DU5" s="118"/>
      <c r="DV5" s="118"/>
      <c r="DW5" s="118"/>
      <c r="DX5" s="118"/>
      <c r="DY5" s="118"/>
      <c r="DZ5" s="118"/>
      <c r="EA5" s="118"/>
      <c r="EB5" s="118"/>
      <c r="EC5" s="118"/>
      <c r="ED5" s="118"/>
      <c r="EE5" s="118"/>
      <c r="EF5" s="118"/>
      <c r="EG5" s="118"/>
      <c r="EH5" s="118"/>
      <c r="EI5" s="118"/>
      <c r="EJ5" s="118"/>
      <c r="EK5" s="118"/>
      <c r="EL5" s="118"/>
      <c r="EM5" s="118"/>
      <c r="EN5" s="118"/>
      <c r="EO5" s="118"/>
      <c r="EP5" s="118"/>
      <c r="EQ5" s="118"/>
      <c r="ER5" s="118"/>
      <c r="ES5" s="118"/>
      <c r="ET5" s="118"/>
      <c r="EU5" s="118"/>
      <c r="EV5" s="118"/>
      <c r="EW5" s="118"/>
      <c r="EX5" s="118"/>
      <c r="EY5" s="118"/>
      <c r="EZ5" s="118"/>
      <c r="FA5" s="118"/>
      <c r="FB5" s="118"/>
      <c r="FC5" s="118"/>
      <c r="FD5" s="118"/>
      <c r="FE5" s="118"/>
      <c r="FF5" s="118"/>
      <c r="FG5" s="118"/>
      <c r="FH5" s="118"/>
      <c r="FI5" s="118"/>
      <c r="FJ5" s="118"/>
      <c r="FK5" s="118"/>
      <c r="FL5" s="118"/>
      <c r="FM5" s="118"/>
      <c r="FN5" s="118"/>
      <c r="FO5" s="118"/>
    </row>
    <row r="6" spans="1:171" x14ac:dyDescent="0.25">
      <c r="A6" s="36" t="s">
        <v>27</v>
      </c>
      <c r="B6" s="29">
        <f t="shared" ref="B6:AG6" si="9">IF((B4-B5)&gt;0,(B4-B5),0)</f>
        <v>0</v>
      </c>
      <c r="C6" s="29">
        <f t="shared" si="9"/>
        <v>0</v>
      </c>
      <c r="D6" s="29">
        <f t="shared" si="9"/>
        <v>0</v>
      </c>
      <c r="E6" s="29">
        <f t="shared" si="9"/>
        <v>0</v>
      </c>
      <c r="F6" s="29">
        <f t="shared" si="9"/>
        <v>0</v>
      </c>
      <c r="G6" s="29">
        <f t="shared" si="9"/>
        <v>0</v>
      </c>
      <c r="H6" s="29">
        <f t="shared" si="9"/>
        <v>0</v>
      </c>
      <c r="I6" s="29">
        <f t="shared" si="9"/>
        <v>0</v>
      </c>
      <c r="J6" s="29">
        <f t="shared" si="9"/>
        <v>0</v>
      </c>
      <c r="K6" s="29">
        <f t="shared" si="9"/>
        <v>0</v>
      </c>
      <c r="L6" s="29">
        <f t="shared" si="9"/>
        <v>0</v>
      </c>
      <c r="M6" s="29">
        <f t="shared" si="9"/>
        <v>0</v>
      </c>
      <c r="N6" s="29">
        <f t="shared" si="9"/>
        <v>0</v>
      </c>
      <c r="O6" s="29">
        <f t="shared" si="9"/>
        <v>0</v>
      </c>
      <c r="P6" s="29">
        <f t="shared" si="9"/>
        <v>0</v>
      </c>
      <c r="Q6" s="29">
        <f t="shared" si="9"/>
        <v>0.38317954167723656</v>
      </c>
      <c r="R6" s="29">
        <f t="shared" si="9"/>
        <v>0.38317954167723656</v>
      </c>
      <c r="S6" s="29">
        <f t="shared" si="9"/>
        <v>0.38317954167723656</v>
      </c>
      <c r="T6" s="29">
        <f t="shared" si="9"/>
        <v>0.52114882320165634</v>
      </c>
      <c r="U6" s="29">
        <f t="shared" si="9"/>
        <v>0.52114882320165634</v>
      </c>
      <c r="V6" s="29">
        <f t="shared" si="9"/>
        <v>0.52114882320165634</v>
      </c>
      <c r="W6" s="29">
        <f t="shared" si="9"/>
        <v>0.51084272563457489</v>
      </c>
      <c r="X6" s="29">
        <f t="shared" si="9"/>
        <v>0.51084272563457489</v>
      </c>
      <c r="Y6" s="29">
        <f t="shared" si="9"/>
        <v>0.51084272563457489</v>
      </c>
      <c r="Z6" s="29">
        <f t="shared" si="9"/>
        <v>0.25040780007839203</v>
      </c>
      <c r="AA6" s="29">
        <f t="shared" si="9"/>
        <v>0.25040780007839203</v>
      </c>
      <c r="AB6" s="29">
        <f t="shared" si="9"/>
        <v>0.25040780007839203</v>
      </c>
      <c r="AC6" s="29">
        <f t="shared" si="9"/>
        <v>8990886.8992174417</v>
      </c>
      <c r="AD6" s="29">
        <f t="shared" si="9"/>
        <v>8990886.8992174417</v>
      </c>
      <c r="AE6" s="29">
        <f t="shared" si="9"/>
        <v>8990886.8992174417</v>
      </c>
      <c r="AF6" s="29">
        <f t="shared" si="9"/>
        <v>29040557.343637198</v>
      </c>
      <c r="AG6" s="29">
        <f t="shared" si="9"/>
        <v>29040557.343637198</v>
      </c>
      <c r="AH6" s="29">
        <f t="shared" ref="AH6:BM6" si="10">IF((AH4-AH5)&gt;0,(AH4-AH5),0)</f>
        <v>29040557.343637198</v>
      </c>
      <c r="AI6" s="29">
        <f t="shared" si="10"/>
        <v>49340848.668612212</v>
      </c>
      <c r="AJ6" s="29">
        <f t="shared" si="10"/>
        <v>49340848.668612212</v>
      </c>
      <c r="AK6" s="29">
        <f t="shared" si="10"/>
        <v>49340848.668612212</v>
      </c>
      <c r="AL6" s="29">
        <f t="shared" si="10"/>
        <v>0</v>
      </c>
      <c r="AM6" s="29">
        <f t="shared" si="10"/>
        <v>0</v>
      </c>
      <c r="AN6" s="29">
        <f t="shared" si="10"/>
        <v>0</v>
      </c>
      <c r="AO6" s="29">
        <f t="shared" si="10"/>
        <v>0</v>
      </c>
      <c r="AP6" s="29">
        <f t="shared" si="10"/>
        <v>0</v>
      </c>
      <c r="AQ6" s="29">
        <f t="shared" si="10"/>
        <v>0</v>
      </c>
      <c r="AR6" s="29">
        <f t="shared" si="10"/>
        <v>0</v>
      </c>
      <c r="AS6" s="29">
        <f t="shared" si="10"/>
        <v>0</v>
      </c>
      <c r="AT6" s="29">
        <f t="shared" si="10"/>
        <v>0</v>
      </c>
      <c r="AU6" s="29">
        <f t="shared" si="10"/>
        <v>0</v>
      </c>
      <c r="AV6" s="29">
        <f t="shared" si="10"/>
        <v>0</v>
      </c>
      <c r="AW6" s="29">
        <f t="shared" si="10"/>
        <v>0</v>
      </c>
      <c r="AX6" s="29">
        <f t="shared" si="10"/>
        <v>0</v>
      </c>
      <c r="AY6" s="29">
        <f t="shared" si="10"/>
        <v>0</v>
      </c>
      <c r="AZ6" s="29">
        <f t="shared" si="10"/>
        <v>0</v>
      </c>
      <c r="BA6" s="29">
        <f t="shared" si="10"/>
        <v>0</v>
      </c>
      <c r="BB6" s="29">
        <f t="shared" si="10"/>
        <v>0</v>
      </c>
      <c r="BC6" s="29">
        <f t="shared" si="10"/>
        <v>0</v>
      </c>
      <c r="BD6" s="29">
        <f t="shared" si="10"/>
        <v>0</v>
      </c>
      <c r="BE6" s="29">
        <f t="shared" si="10"/>
        <v>0</v>
      </c>
      <c r="BF6" s="29">
        <f t="shared" si="10"/>
        <v>0</v>
      </c>
      <c r="BG6" s="29">
        <f t="shared" si="10"/>
        <v>0</v>
      </c>
      <c r="BH6" s="29">
        <f t="shared" si="10"/>
        <v>0</v>
      </c>
      <c r="BI6" s="29">
        <f t="shared" si="10"/>
        <v>0</v>
      </c>
      <c r="BJ6" s="29">
        <f t="shared" si="10"/>
        <v>0</v>
      </c>
      <c r="BK6" s="29">
        <f t="shared" si="10"/>
        <v>0</v>
      </c>
      <c r="BL6" s="29">
        <f t="shared" si="10"/>
        <v>0</v>
      </c>
      <c r="BM6" s="29">
        <f t="shared" si="10"/>
        <v>0</v>
      </c>
      <c r="BN6" s="29">
        <f t="shared" ref="BN6:CR6" si="11">IF((BN4-BN5)&gt;0,(BN4-BN5),0)</f>
        <v>0</v>
      </c>
      <c r="BO6" s="29">
        <f t="shared" si="11"/>
        <v>0</v>
      </c>
      <c r="BP6" s="29">
        <f t="shared" si="11"/>
        <v>0</v>
      </c>
      <c r="BQ6" s="29">
        <f t="shared" si="11"/>
        <v>0</v>
      </c>
      <c r="BR6" s="29">
        <f t="shared" si="11"/>
        <v>0</v>
      </c>
      <c r="BS6" s="29">
        <f t="shared" si="11"/>
        <v>0</v>
      </c>
      <c r="BT6" s="29">
        <f t="shared" si="11"/>
        <v>0</v>
      </c>
      <c r="BU6" s="29">
        <f t="shared" si="11"/>
        <v>0</v>
      </c>
      <c r="BV6" s="29">
        <f t="shared" si="11"/>
        <v>0</v>
      </c>
      <c r="BW6" s="29">
        <f t="shared" si="11"/>
        <v>0</v>
      </c>
      <c r="BX6" s="29">
        <f t="shared" si="11"/>
        <v>0</v>
      </c>
      <c r="BY6" s="29">
        <f t="shared" si="11"/>
        <v>0</v>
      </c>
      <c r="BZ6" s="29">
        <f t="shared" si="11"/>
        <v>0</v>
      </c>
      <c r="CA6" s="29">
        <f t="shared" si="11"/>
        <v>0</v>
      </c>
      <c r="CB6" s="29">
        <f t="shared" si="11"/>
        <v>0</v>
      </c>
      <c r="CC6" s="29">
        <f t="shared" si="11"/>
        <v>0</v>
      </c>
      <c r="CD6" s="29">
        <f t="shared" si="11"/>
        <v>0</v>
      </c>
      <c r="CE6" s="29">
        <f t="shared" si="11"/>
        <v>0</v>
      </c>
      <c r="CF6" s="29">
        <f t="shared" si="11"/>
        <v>0</v>
      </c>
      <c r="CG6" s="29">
        <f t="shared" si="11"/>
        <v>0</v>
      </c>
      <c r="CH6" s="29">
        <f t="shared" si="11"/>
        <v>0</v>
      </c>
      <c r="CI6" s="29">
        <f t="shared" si="11"/>
        <v>0</v>
      </c>
      <c r="CJ6" s="29">
        <f t="shared" si="11"/>
        <v>0</v>
      </c>
      <c r="CK6" s="29">
        <f t="shared" si="11"/>
        <v>0</v>
      </c>
      <c r="CL6" s="29">
        <f t="shared" si="11"/>
        <v>0</v>
      </c>
      <c r="CM6" s="29">
        <f t="shared" si="11"/>
        <v>0</v>
      </c>
      <c r="CN6" s="29">
        <f t="shared" si="11"/>
        <v>0</v>
      </c>
      <c r="CO6" s="29">
        <f t="shared" si="11"/>
        <v>0</v>
      </c>
      <c r="CP6" s="29">
        <f t="shared" si="11"/>
        <v>0</v>
      </c>
      <c r="CQ6" s="29">
        <f t="shared" si="11"/>
        <v>0</v>
      </c>
      <c r="CR6" s="29">
        <f t="shared" si="11"/>
        <v>0</v>
      </c>
      <c r="CS6" s="29">
        <f t="shared" ref="CS6:CT6" si="12">IF((CS4-CS5)&gt;0,(CS4-CS5),0)</f>
        <v>0</v>
      </c>
      <c r="CT6" s="29">
        <f t="shared" si="12"/>
        <v>0</v>
      </c>
      <c r="CU6" s="118"/>
      <c r="CV6" s="118"/>
      <c r="CW6" s="118"/>
      <c r="CX6" s="118"/>
      <c r="CY6" s="118"/>
      <c r="CZ6" s="118"/>
      <c r="DA6" s="118"/>
      <c r="DB6" s="118"/>
      <c r="DC6" s="118"/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8"/>
      <c r="EC6" s="118"/>
      <c r="ED6" s="118"/>
      <c r="EE6" s="118"/>
      <c r="EF6" s="118"/>
      <c r="EG6" s="118"/>
      <c r="EH6" s="118"/>
      <c r="EI6" s="118"/>
      <c r="EJ6" s="118"/>
      <c r="EK6" s="118"/>
      <c r="EL6" s="118"/>
      <c r="EM6" s="118"/>
      <c r="EN6" s="118"/>
      <c r="EO6" s="118"/>
      <c r="EP6" s="118"/>
      <c r="EQ6" s="118"/>
      <c r="ER6" s="118"/>
      <c r="ES6" s="118"/>
      <c r="ET6" s="118"/>
      <c r="EU6" s="118"/>
      <c r="EV6" s="118"/>
      <c r="EW6" s="118"/>
      <c r="EX6" s="118"/>
      <c r="EY6" s="118"/>
      <c r="EZ6" s="118"/>
      <c r="FA6" s="118"/>
      <c r="FB6" s="118"/>
      <c r="FC6" s="118"/>
      <c r="FD6" s="118"/>
      <c r="FE6" s="118"/>
      <c r="FF6" s="118"/>
      <c r="FG6" s="118"/>
      <c r="FH6" s="118"/>
      <c r="FI6" s="118"/>
      <c r="FJ6" s="118"/>
      <c r="FK6" s="118"/>
      <c r="FL6" s="118"/>
      <c r="FM6" s="118"/>
      <c r="FN6" s="118"/>
      <c r="FO6" s="118"/>
    </row>
    <row r="7" spans="1:171" x14ac:dyDescent="0.25">
      <c r="A7" s="36" t="s">
        <v>28</v>
      </c>
      <c r="B7" s="29">
        <f t="shared" ref="B7:AG7" si="13">B3-B5</f>
        <v>350000000</v>
      </c>
      <c r="C7" s="29">
        <f t="shared" si="13"/>
        <v>350000000</v>
      </c>
      <c r="D7" s="29">
        <f t="shared" si="13"/>
        <v>350000000</v>
      </c>
      <c r="E7" s="29">
        <f t="shared" si="13"/>
        <v>350000000</v>
      </c>
      <c r="F7" s="29">
        <f t="shared" si="13"/>
        <v>350000000</v>
      </c>
      <c r="G7" s="29">
        <f t="shared" si="13"/>
        <v>350000000</v>
      </c>
      <c r="H7" s="29">
        <f t="shared" si="13"/>
        <v>627057493</v>
      </c>
      <c r="I7" s="29">
        <f t="shared" si="13"/>
        <v>627057493</v>
      </c>
      <c r="J7" s="29">
        <f t="shared" si="13"/>
        <v>627057493</v>
      </c>
      <c r="K7" s="29">
        <f t="shared" si="13"/>
        <v>627057493</v>
      </c>
      <c r="L7" s="29">
        <f t="shared" si="13"/>
        <v>627057493</v>
      </c>
      <c r="M7" s="29">
        <f t="shared" si="13"/>
        <v>627057493</v>
      </c>
      <c r="N7" s="29">
        <f t="shared" si="13"/>
        <v>627057493</v>
      </c>
      <c r="O7" s="29">
        <f t="shared" si="13"/>
        <v>627057493</v>
      </c>
      <c r="P7" s="29">
        <f t="shared" si="13"/>
        <v>627057493</v>
      </c>
      <c r="Q7" s="29">
        <f t="shared" si="13"/>
        <v>608215273</v>
      </c>
      <c r="R7" s="29">
        <f t="shared" si="13"/>
        <v>608215273</v>
      </c>
      <c r="S7" s="29">
        <f t="shared" si="13"/>
        <v>608215273</v>
      </c>
      <c r="T7" s="29">
        <f t="shared" si="13"/>
        <v>589137525</v>
      </c>
      <c r="U7" s="29">
        <f t="shared" si="13"/>
        <v>589137525</v>
      </c>
      <c r="V7" s="29">
        <f t="shared" si="13"/>
        <v>589137525</v>
      </c>
      <c r="W7" s="29">
        <f t="shared" si="13"/>
        <v>569821305</v>
      </c>
      <c r="X7" s="29">
        <f t="shared" si="13"/>
        <v>569821305</v>
      </c>
      <c r="Y7" s="29">
        <f t="shared" si="13"/>
        <v>569821305</v>
      </c>
      <c r="Z7" s="29">
        <f t="shared" si="13"/>
        <v>550263632</v>
      </c>
      <c r="AA7" s="29">
        <f t="shared" si="13"/>
        <v>550263632</v>
      </c>
      <c r="AB7" s="29">
        <f t="shared" si="13"/>
        <v>550263632</v>
      </c>
      <c r="AC7" s="29">
        <f t="shared" si="13"/>
        <v>539452375</v>
      </c>
      <c r="AD7" s="29">
        <f t="shared" si="13"/>
        <v>539452375</v>
      </c>
      <c r="AE7" s="29">
        <f t="shared" si="13"/>
        <v>539452375</v>
      </c>
      <c r="AF7" s="29">
        <f t="shared" si="13"/>
        <v>539452375</v>
      </c>
      <c r="AG7" s="29">
        <f t="shared" si="13"/>
        <v>539452375</v>
      </c>
      <c r="AH7" s="29">
        <f t="shared" ref="AH7:BM7" si="14">AH3-AH5</f>
        <v>539452375</v>
      </c>
      <c r="AI7" s="29">
        <f t="shared" si="14"/>
        <v>539452375</v>
      </c>
      <c r="AJ7" s="29">
        <f t="shared" si="14"/>
        <v>539452375</v>
      </c>
      <c r="AK7" s="29">
        <f t="shared" si="14"/>
        <v>539452375</v>
      </c>
      <c r="AL7" s="29">
        <f t="shared" si="14"/>
        <v>469557481.36485058</v>
      </c>
      <c r="AM7" s="29">
        <f t="shared" si="14"/>
        <v>469557481.36485058</v>
      </c>
      <c r="AN7" s="29">
        <f t="shared" si="14"/>
        <v>469557481.36485058</v>
      </c>
      <c r="AO7" s="29">
        <f t="shared" si="14"/>
        <v>448746510.83623171</v>
      </c>
      <c r="AP7" s="29">
        <f t="shared" si="14"/>
        <v>448746510.83623171</v>
      </c>
      <c r="AQ7" s="29">
        <f t="shared" si="14"/>
        <v>448746510.83623171</v>
      </c>
      <c r="AR7" s="29">
        <f t="shared" si="14"/>
        <v>427675403.17600501</v>
      </c>
      <c r="AS7" s="29">
        <f t="shared" si="14"/>
        <v>427675403.17600501</v>
      </c>
      <c r="AT7" s="29">
        <f t="shared" si="14"/>
        <v>427675403.17600501</v>
      </c>
      <c r="AU7" s="29">
        <f t="shared" si="14"/>
        <v>406340906.67002559</v>
      </c>
      <c r="AV7" s="29">
        <f t="shared" si="14"/>
        <v>406340906.67002559</v>
      </c>
      <c r="AW7" s="29">
        <f t="shared" si="14"/>
        <v>406340906.67002559</v>
      </c>
      <c r="AX7" s="29">
        <f t="shared" si="14"/>
        <v>384739728.95772135</v>
      </c>
      <c r="AY7" s="29">
        <f t="shared" si="14"/>
        <v>384739728.95772135</v>
      </c>
      <c r="AZ7" s="29">
        <f t="shared" si="14"/>
        <v>384739728.95772135</v>
      </c>
      <c r="BA7" s="29">
        <f t="shared" si="14"/>
        <v>362868536.52401334</v>
      </c>
      <c r="BB7" s="29">
        <f t="shared" si="14"/>
        <v>362868536.52401334</v>
      </c>
      <c r="BC7" s="29">
        <f t="shared" si="14"/>
        <v>362868536.52401334</v>
      </c>
      <c r="BD7" s="29">
        <f t="shared" si="14"/>
        <v>340723954.18488395</v>
      </c>
      <c r="BE7" s="29">
        <f t="shared" si="14"/>
        <v>340723954.18488395</v>
      </c>
      <c r="BF7" s="29">
        <f t="shared" si="14"/>
        <v>340723954.18488395</v>
      </c>
      <c r="BG7" s="29">
        <f t="shared" si="14"/>
        <v>318302564.56651545</v>
      </c>
      <c r="BH7" s="29">
        <f t="shared" si="14"/>
        <v>318302564.56651545</v>
      </c>
      <c r="BI7" s="29">
        <f t="shared" si="14"/>
        <v>318302564.56651545</v>
      </c>
      <c r="BJ7" s="29">
        <f t="shared" si="14"/>
        <v>295600907.57791734</v>
      </c>
      <c r="BK7" s="29">
        <f t="shared" si="14"/>
        <v>295600907.57791734</v>
      </c>
      <c r="BL7" s="29">
        <f t="shared" si="14"/>
        <v>295600907.57791734</v>
      </c>
      <c r="BM7" s="29">
        <f t="shared" si="14"/>
        <v>272615479.87696177</v>
      </c>
      <c r="BN7" s="29">
        <f t="shared" ref="BN7:CR7" si="15">BN3-BN5</f>
        <v>272615479.87696177</v>
      </c>
      <c r="BO7" s="29">
        <f t="shared" si="15"/>
        <v>272615479.87696177</v>
      </c>
      <c r="BP7" s="29">
        <f t="shared" si="15"/>
        <v>249342734.32974422</v>
      </c>
      <c r="BQ7" s="29">
        <f t="shared" si="15"/>
        <v>249342734.32974422</v>
      </c>
      <c r="BR7" s="29">
        <f t="shared" si="15"/>
        <v>249342734.32974422</v>
      </c>
      <c r="BS7" s="29">
        <f t="shared" si="15"/>
        <v>225779079.4631865</v>
      </c>
      <c r="BT7" s="29">
        <f t="shared" si="15"/>
        <v>225779079.4631865</v>
      </c>
      <c r="BU7" s="29">
        <f t="shared" si="15"/>
        <v>225779079.4631865</v>
      </c>
      <c r="BV7" s="29">
        <f t="shared" si="15"/>
        <v>201920878.91079676</v>
      </c>
      <c r="BW7" s="29">
        <f t="shared" si="15"/>
        <v>201920878.91079676</v>
      </c>
      <c r="BX7" s="29">
        <f t="shared" si="15"/>
        <v>201920878.91079676</v>
      </c>
      <c r="BY7" s="29">
        <f t="shared" si="15"/>
        <v>177764450.85150218</v>
      </c>
      <c r="BZ7" s="29">
        <f t="shared" si="15"/>
        <v>177764450.85150218</v>
      </c>
      <c r="CA7" s="29">
        <f t="shared" si="15"/>
        <v>177764450.85150218</v>
      </c>
      <c r="CB7" s="29">
        <f t="shared" si="15"/>
        <v>153306067.44146645</v>
      </c>
      <c r="CC7" s="29">
        <f t="shared" si="15"/>
        <v>153306067.44146645</v>
      </c>
      <c r="CD7" s="29">
        <f t="shared" si="15"/>
        <v>153306067.44146645</v>
      </c>
      <c r="CE7" s="29">
        <f t="shared" si="15"/>
        <v>128541954.23880523</v>
      </c>
      <c r="CF7" s="29">
        <f t="shared" si="15"/>
        <v>128541954.23880523</v>
      </c>
      <c r="CG7" s="29">
        <f t="shared" si="15"/>
        <v>128541954.23880523</v>
      </c>
      <c r="CH7" s="29">
        <f t="shared" si="15"/>
        <v>103468289.62111074</v>
      </c>
      <c r="CI7" s="29">
        <f t="shared" si="15"/>
        <v>103468289.62111074</v>
      </c>
      <c r="CJ7" s="29">
        <f t="shared" si="15"/>
        <v>103468289.62111074</v>
      </c>
      <c r="CK7" s="29">
        <f t="shared" si="15"/>
        <v>78081204.195695043</v>
      </c>
      <c r="CL7" s="29">
        <f t="shared" si="15"/>
        <v>78081204.195695043</v>
      </c>
      <c r="CM7" s="29">
        <f t="shared" si="15"/>
        <v>78081204.195695043</v>
      </c>
      <c r="CN7" s="29">
        <f t="shared" si="15"/>
        <v>52376780.20246172</v>
      </c>
      <c r="CO7" s="29">
        <f t="shared" si="15"/>
        <v>52376780.20246172</v>
      </c>
      <c r="CP7" s="29">
        <f t="shared" si="15"/>
        <v>52376780.20246172</v>
      </c>
      <c r="CQ7" s="29">
        <f t="shared" si="15"/>
        <v>26351050.909312963</v>
      </c>
      <c r="CR7" s="29">
        <f t="shared" si="15"/>
        <v>26351050.909312963</v>
      </c>
      <c r="CS7" s="29">
        <f t="shared" ref="CS7:CT7" si="16">CS3-CS5</f>
        <v>26351050.909312963</v>
      </c>
      <c r="CT7" s="29">
        <f t="shared" si="16"/>
        <v>0</v>
      </c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8"/>
      <c r="DF7" s="118"/>
      <c r="DG7" s="118"/>
      <c r="DH7" s="118"/>
      <c r="DI7" s="118"/>
      <c r="DJ7" s="118"/>
      <c r="DK7" s="118"/>
      <c r="DL7" s="118"/>
      <c r="DM7" s="118"/>
      <c r="DN7" s="118"/>
      <c r="DO7" s="118"/>
      <c r="DP7" s="118"/>
      <c r="DQ7" s="118"/>
      <c r="DR7" s="118"/>
      <c r="DS7" s="118"/>
      <c r="DT7" s="118"/>
      <c r="DU7" s="118"/>
      <c r="DV7" s="118"/>
      <c r="DW7" s="118"/>
      <c r="DX7" s="118"/>
      <c r="DY7" s="118"/>
      <c r="DZ7" s="118"/>
      <c r="EA7" s="118"/>
      <c r="EB7" s="118"/>
      <c r="EC7" s="118"/>
      <c r="ED7" s="118"/>
      <c r="EE7" s="118"/>
      <c r="EF7" s="118"/>
      <c r="EG7" s="118"/>
      <c r="EH7" s="118"/>
      <c r="EI7" s="118"/>
      <c r="EJ7" s="118"/>
      <c r="EK7" s="118"/>
      <c r="EL7" s="118"/>
      <c r="EM7" s="118"/>
      <c r="EN7" s="118"/>
      <c r="EO7" s="118"/>
      <c r="EP7" s="118"/>
      <c r="EQ7" s="118"/>
      <c r="ER7" s="118"/>
      <c r="ES7" s="118"/>
      <c r="ET7" s="118"/>
      <c r="EU7" s="118"/>
      <c r="EV7" s="118"/>
      <c r="EW7" s="118"/>
      <c r="EX7" s="118"/>
      <c r="EY7" s="118"/>
      <c r="EZ7" s="118"/>
      <c r="FA7" s="118"/>
      <c r="FB7" s="118"/>
      <c r="FC7" s="118"/>
      <c r="FD7" s="118"/>
      <c r="FE7" s="118"/>
      <c r="FF7" s="118"/>
      <c r="FG7" s="118"/>
      <c r="FH7" s="118"/>
      <c r="FI7" s="118"/>
      <c r="FJ7" s="118"/>
      <c r="FK7" s="118"/>
      <c r="FL7" s="118"/>
      <c r="FM7" s="118"/>
      <c r="FN7" s="118"/>
      <c r="FO7" s="118"/>
    </row>
    <row r="8" spans="1:171" ht="15" x14ac:dyDescent="0.3">
      <c r="A8" s="35" t="s">
        <v>29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</row>
    <row r="9" spans="1:171" x14ac:dyDescent="0.25">
      <c r="A9" s="37" t="s">
        <v>30</v>
      </c>
      <c r="B9" s="29">
        <f>Accrual_EKCL!D30</f>
        <v>291666.66666666669</v>
      </c>
      <c r="C9" s="29">
        <f>Accrual_EKCL!E30</f>
        <v>1798611.1111111112</v>
      </c>
      <c r="D9" s="29">
        <f>Accrual_EKCL!F30</f>
        <v>3159722.222222222</v>
      </c>
      <c r="E9" s="29">
        <f>Accrual_EKCL!G30</f>
        <v>4666666.666666666</v>
      </c>
      <c r="F9" s="29">
        <f>Accrual_EKCL!H30</f>
        <v>6124999.9999999991</v>
      </c>
      <c r="G9" s="29">
        <f>Accrual_EKCL!I30</f>
        <v>8286107.9695833325</v>
      </c>
      <c r="H9" s="29">
        <f>Accrual_EKCL!J30</f>
        <v>10898847.52375</v>
      </c>
      <c r="I9" s="29">
        <f>Accrual_EKCL!K30</f>
        <v>13598678.396388888</v>
      </c>
      <c r="J9" s="29">
        <f>Accrual_EKCL!L30</f>
        <v>16298509.269027777</v>
      </c>
      <c r="K9" s="29">
        <f>Accrual_EKCL!M30</f>
        <v>18911248.823194444</v>
      </c>
      <c r="L9" s="29">
        <f>Accrual_EKCL!N30</f>
        <v>21611079.695833333</v>
      </c>
      <c r="M9" s="29">
        <f>Accrual_EKCL!O30</f>
        <v>24223819.25</v>
      </c>
      <c r="N9" s="29">
        <f>Accrual_EKCL!P30</f>
        <v>26923650.122638889</v>
      </c>
      <c r="O9" s="29">
        <f>Accrual_EKCL!Q30</f>
        <v>29623480.995277777</v>
      </c>
      <c r="P9" s="29">
        <f>Accrual_EKCL!R30</f>
        <v>32149129.230972223</v>
      </c>
      <c r="Q9" s="29">
        <f>Accrual_EKCL!S30</f>
        <v>34801854.552653164</v>
      </c>
      <c r="R9" s="29">
        <f>Accrual_EKCL!T30</f>
        <v>37336084.855223246</v>
      </c>
      <c r="S9" s="29">
        <f>Accrual_EKCL!U30</f>
        <v>39954789.501212336</v>
      </c>
      <c r="T9" s="29">
        <f>Accrual_EKCL!V30</f>
        <v>42441325.433437496</v>
      </c>
      <c r="U9" s="29">
        <f>Accrual_EKCL!W30</f>
        <v>44977889.774943665</v>
      </c>
      <c r="V9" s="29">
        <f>Accrual_EKCL!X30</f>
        <v>47514454.116449833</v>
      </c>
      <c r="W9" s="29">
        <f>Accrual_EKCL!Y30</f>
        <v>49926268.868467949</v>
      </c>
      <c r="X9" s="29">
        <f>Accrual_EKCL!Z30</f>
        <v>52379666.151685156</v>
      </c>
      <c r="Y9" s="29">
        <f>Accrual_EKCL!AA30</f>
        <v>54753921.587056644</v>
      </c>
      <c r="Z9" s="29">
        <f>Accrual_EKCL!AB30</f>
        <v>57161141.031860985</v>
      </c>
      <c r="AA9" s="29">
        <f>Accrual_EKCL!AC30</f>
        <v>59530331.668560617</v>
      </c>
      <c r="AB9" s="29">
        <f>Accrual_EKCL!AD30</f>
        <v>61670245.792031251</v>
      </c>
      <c r="AC9" s="29">
        <f>Accrual_EKCL!AE30</f>
        <v>63987180.771879859</v>
      </c>
      <c r="AD9" s="29">
        <f>Accrual_EKCL!AF30</f>
        <v>66197436.972299784</v>
      </c>
      <c r="AE9" s="29">
        <f>Accrual_EKCL!AG30</f>
        <v>68481368.379400373</v>
      </c>
      <c r="AF9" s="29">
        <f>Accrual_EKCL!AH30</f>
        <v>70647069.756610483</v>
      </c>
      <c r="AG9" s="29">
        <f>Accrual_EKCL!AI30</f>
        <v>72844676.193742052</v>
      </c>
      <c r="AH9" s="29">
        <f>Accrual_EKCL!AJ30</f>
        <v>75042282.630873621</v>
      </c>
      <c r="AI9" s="29">
        <f>Accrual_EKCL!AK30</f>
        <v>77123886.779275194</v>
      </c>
      <c r="AJ9" s="29">
        <f>Accrual_EKCL!AL30</f>
        <v>79234089.184313118</v>
      </c>
      <c r="AK9" s="29">
        <f>Accrual_EKCL!AM30</f>
        <v>81276220.544027239</v>
      </c>
      <c r="AL9" s="29">
        <f>Accrual_EKCL!AN30</f>
        <v>83337892.565116391</v>
      </c>
      <c r="AM9" s="29">
        <f>Accrual_EKCL!AO30</f>
        <v>85359598.387659505</v>
      </c>
      <c r="AN9" s="29">
        <f>Accrual_EKCL!AP30</f>
        <v>87185655.259633929</v>
      </c>
      <c r="AO9" s="29">
        <f>Accrual_EKCL!AQ30</f>
        <v>89158224.068428904</v>
      </c>
      <c r="AP9" s="29">
        <f>Accrual_EKCL!AR30</f>
        <v>91028001.196913198</v>
      </c>
      <c r="AQ9" s="29">
        <f>Accrual_EKCL!AS30</f>
        <v>92960104.2296803</v>
      </c>
      <c r="AR9" s="29">
        <f>Accrual_EKCL!AT30</f>
        <v>94783056.674475208</v>
      </c>
      <c r="AS9" s="29">
        <f>Accrual_EKCL!AU30</f>
        <v>96624436.882594123</v>
      </c>
      <c r="AT9" s="29">
        <f>Accrual_EKCL!AV30</f>
        <v>98465817.090713039</v>
      </c>
      <c r="AU9" s="29">
        <f>Accrual_EKCL!AW30</f>
        <v>100200387.94504422</v>
      </c>
      <c r="AV9" s="29">
        <f>Accrual_EKCL!AX30</f>
        <v>101949911.29320683</v>
      </c>
      <c r="AW9" s="29">
        <f>Accrual_EKCL!AY30</f>
        <v>103642998.40433194</v>
      </c>
      <c r="AX9" s="29">
        <f>Accrual_EKCL!AZ30</f>
        <v>105341518.97178493</v>
      </c>
      <c r="AY9" s="29">
        <f>Accrual_EKCL!BA30</f>
        <v>106998037.24924178</v>
      </c>
      <c r="AZ9" s="29">
        <f>Accrual_EKCL!BB30</f>
        <v>108494247.3062996</v>
      </c>
      <c r="BA9" s="29">
        <f>Accrual_EKCL!BC30</f>
        <v>110099125.26828797</v>
      </c>
      <c r="BB9" s="29">
        <f>Accrual_EKCL!BD30</f>
        <v>111611077.5038047</v>
      </c>
      <c r="BC9" s="29">
        <f>Accrual_EKCL!BE30</f>
        <v>113173428.14717197</v>
      </c>
      <c r="BD9" s="29">
        <f>Accrual_EKCL!BF30</f>
        <v>114636170.19971286</v>
      </c>
      <c r="BE9" s="29">
        <f>Accrual_EKCL!BG30</f>
        <v>116103176.11356445</v>
      </c>
      <c r="BF9" s="29">
        <f>Accrual_EKCL!BH30</f>
        <v>117570182.02741604</v>
      </c>
      <c r="BG9" s="29">
        <f>Accrual_EKCL!BI30</f>
        <v>118940039.85959001</v>
      </c>
      <c r="BH9" s="29">
        <f>Accrual_EKCL!BJ30</f>
        <v>120310509.23480695</v>
      </c>
      <c r="BI9" s="29">
        <f>Accrual_EKCL!BK30</f>
        <v>121636769.92050077</v>
      </c>
      <c r="BJ9" s="29">
        <f>Accrual_EKCL!BL30</f>
        <v>122953638.1611613</v>
      </c>
      <c r="BK9" s="29">
        <f>Accrual_EKCL!BM30</f>
        <v>124226364.29101068</v>
      </c>
      <c r="BL9" s="29">
        <f>Accrual_EKCL!BN30</f>
        <v>125416979.05764395</v>
      </c>
      <c r="BM9" s="29">
        <f>Accrual_EKCL!BO30</f>
        <v>126635434.03875495</v>
      </c>
      <c r="BN9" s="29">
        <f>Accrual_EKCL!BP30</f>
        <v>127771331.87157562</v>
      </c>
      <c r="BO9" s="29">
        <f>Accrual_EKCL!BQ30</f>
        <v>128945092.96549033</v>
      </c>
      <c r="BP9" s="29">
        <f>Accrual_EKCL!BR30</f>
        <v>130029273.58598386</v>
      </c>
      <c r="BQ9" s="29">
        <f>Accrual_EKCL!BS30</f>
        <v>131102832.58101471</v>
      </c>
      <c r="BR9" s="29">
        <f>Accrual_EKCL!BT30</f>
        <v>132176391.57604556</v>
      </c>
      <c r="BS9" s="29">
        <f>Accrual_EKCL!BU30</f>
        <v>133162955.95827159</v>
      </c>
      <c r="BT9" s="29">
        <f>Accrual_EKCL!BV30</f>
        <v>134135060.32818253</v>
      </c>
      <c r="BU9" s="29">
        <f>Accrual_EKCL!BW30</f>
        <v>135075806.49261248</v>
      </c>
      <c r="BV9" s="29">
        <f>Accrual_EKCL!BX30</f>
        <v>135991579.00010806</v>
      </c>
      <c r="BW9" s="29">
        <f>Accrual_EKCL!BY30</f>
        <v>136860960.56208509</v>
      </c>
      <c r="BX9" s="29">
        <f>Accrual_EKCL!BZ30</f>
        <v>137646208.42451596</v>
      </c>
      <c r="BY9" s="29">
        <f>Accrual_EKCL!CA30</f>
        <v>138458553.97579744</v>
      </c>
      <c r="BZ9" s="29">
        <f>Accrual_EKCL!CB30</f>
        <v>139199239.18767869</v>
      </c>
      <c r="CA9" s="29">
        <f>Accrual_EKCL!CC30</f>
        <v>139964613.90662265</v>
      </c>
      <c r="CB9" s="29">
        <f>Accrual_EKCL!CD30</f>
        <v>140650947.1553705</v>
      </c>
      <c r="CC9" s="29">
        <f>Accrual_EKCL!CE30</f>
        <v>141311014.94574347</v>
      </c>
      <c r="CD9" s="29">
        <f>Accrual_EKCL!CF30</f>
        <v>141971082.73611644</v>
      </c>
      <c r="CE9" s="29">
        <f>Accrual_EKCL!CG30</f>
        <v>142554826.65444997</v>
      </c>
      <c r="CF9" s="29">
        <f>Accrual_EKCL!CH30</f>
        <v>143108271.17964482</v>
      </c>
      <c r="CG9" s="29">
        <f>Accrual_EKCL!CI30</f>
        <v>143643862.65563986</v>
      </c>
      <c r="CH9" s="29">
        <f>Accrual_EKCL!CJ30</f>
        <v>144138105.4727096</v>
      </c>
      <c r="CI9" s="29">
        <f>Accrual_EKCL!CK30</f>
        <v>144583593.94191161</v>
      </c>
      <c r="CJ9" s="29">
        <f>Accrual_EKCL!CL30</f>
        <v>144985970.62377149</v>
      </c>
      <c r="CK9" s="29">
        <f>Accrual_EKCL!CM30</f>
        <v>145371517.36349681</v>
      </c>
      <c r="CL9" s="29">
        <f>Accrual_EKCL!CN30</f>
        <v>145696855.7143122</v>
      </c>
      <c r="CM9" s="29">
        <f>Accrual_EKCL!CO30</f>
        <v>146033038.67682144</v>
      </c>
      <c r="CN9" s="29">
        <f>Accrual_EKCL!CP30</f>
        <v>146301256.08542964</v>
      </c>
      <c r="CO9" s="29">
        <f>Accrual_EKCL!CQ30</f>
        <v>146526767.22241247</v>
      </c>
      <c r="CP9" s="29">
        <f>Accrual_EKCL!CR30</f>
        <v>146752278.3593953</v>
      </c>
      <c r="CQ9" s="29">
        <f>Accrual_EKCL!CS30</f>
        <v>146912679.98958746</v>
      </c>
      <c r="CR9" s="29">
        <f>Accrual_EKCL!CT30</f>
        <v>147026135.90322477</v>
      </c>
      <c r="CS9" s="29">
        <f>Accrual_EKCL!CU30</f>
        <v>147135931.94868025</v>
      </c>
      <c r="CT9" s="29">
        <f>Accrual_EKCL!CV30</f>
        <v>147187170.10322613</v>
      </c>
      <c r="CU9" s="118"/>
      <c r="CV9" s="118"/>
      <c r="CW9" s="118"/>
      <c r="CX9" s="118"/>
      <c r="CY9" s="118"/>
      <c r="CZ9" s="118"/>
      <c r="DA9" s="118"/>
      <c r="DB9" s="118"/>
      <c r="DC9" s="118"/>
      <c r="DD9" s="118"/>
      <c r="DE9" s="118"/>
      <c r="DF9" s="118"/>
      <c r="DG9" s="118"/>
      <c r="DH9" s="118"/>
      <c r="DI9" s="118"/>
      <c r="DJ9" s="118"/>
      <c r="DK9" s="118"/>
      <c r="DL9" s="118"/>
      <c r="DM9" s="118"/>
      <c r="DN9" s="118"/>
      <c r="DO9" s="118"/>
      <c r="DP9" s="118"/>
      <c r="DQ9" s="118"/>
      <c r="DR9" s="118"/>
      <c r="DS9" s="118"/>
      <c r="DT9" s="118"/>
      <c r="DU9" s="118"/>
      <c r="DV9" s="118"/>
      <c r="DW9" s="118"/>
      <c r="DX9" s="118"/>
      <c r="DY9" s="118"/>
      <c r="DZ9" s="118"/>
      <c r="EA9" s="118"/>
      <c r="EB9" s="118"/>
      <c r="EC9" s="118"/>
      <c r="ED9" s="118"/>
      <c r="EE9" s="118"/>
      <c r="EF9" s="118"/>
      <c r="EG9" s="118"/>
      <c r="EH9" s="118"/>
      <c r="EI9" s="118"/>
      <c r="EJ9" s="118"/>
      <c r="EK9" s="118"/>
      <c r="EL9" s="118"/>
      <c r="EM9" s="118"/>
      <c r="EN9" s="118"/>
      <c r="EO9" s="118"/>
      <c r="EP9" s="118"/>
      <c r="EQ9" s="118"/>
      <c r="ER9" s="118"/>
      <c r="ES9" s="118"/>
      <c r="ET9" s="118"/>
      <c r="EU9" s="118"/>
      <c r="EV9" s="118"/>
      <c r="EW9" s="118"/>
      <c r="EX9" s="118"/>
      <c r="EY9" s="118"/>
      <c r="EZ9" s="118"/>
      <c r="FA9" s="118"/>
      <c r="FB9" s="118"/>
      <c r="FC9" s="118"/>
      <c r="FD9" s="118"/>
      <c r="FE9" s="118"/>
      <c r="FF9" s="118"/>
      <c r="FG9" s="118"/>
      <c r="FH9" s="118"/>
      <c r="FI9" s="118"/>
      <c r="FJ9" s="118"/>
      <c r="FK9" s="118"/>
      <c r="FL9" s="118"/>
      <c r="FM9" s="118"/>
      <c r="FN9" s="118"/>
      <c r="FO9" s="118"/>
    </row>
    <row r="10" spans="1:171" x14ac:dyDescent="0.25">
      <c r="A10" s="36" t="s">
        <v>31</v>
      </c>
      <c r="B10" s="29">
        <v>0</v>
      </c>
      <c r="C10" s="29">
        <v>0</v>
      </c>
      <c r="D10" s="29">
        <v>0</v>
      </c>
      <c r="E10" s="29">
        <f>EKCL_BDT_Loan!$C$35</f>
        <v>3840277.777777778</v>
      </c>
      <c r="F10" s="29">
        <f>E10</f>
        <v>3840277.777777778</v>
      </c>
      <c r="G10" s="29">
        <f>F10</f>
        <v>3840277.777777778</v>
      </c>
      <c r="H10" s="29">
        <f>EKCL_BDT_Loan!$D$35</f>
        <v>9505386.4281944446</v>
      </c>
      <c r="I10" s="29">
        <f t="shared" ref="I10:CS10" si="17">H10</f>
        <v>9505386.4281944446</v>
      </c>
      <c r="J10" s="29">
        <f t="shared" si="17"/>
        <v>9505386.4281944446</v>
      </c>
      <c r="K10" s="29">
        <f>EKCL_BDT_Loan!$E$35</f>
        <v>17430696.409166668</v>
      </c>
      <c r="L10" s="29">
        <f t="shared" si="17"/>
        <v>17430696.409166668</v>
      </c>
      <c r="M10" s="29">
        <f t="shared" si="17"/>
        <v>17430696.409166668</v>
      </c>
      <c r="N10" s="29">
        <f>EKCL_BDT_Loan!$F$35</f>
        <v>25356006.390138891</v>
      </c>
      <c r="O10" s="29">
        <f t="shared" si="17"/>
        <v>25356006.390138891</v>
      </c>
      <c r="P10" s="29">
        <f t="shared" si="17"/>
        <v>25356006.390138891</v>
      </c>
      <c r="Q10" s="29">
        <f>EKCL_BDT_Loan!$G$35</f>
        <v>33281316.371111114</v>
      </c>
      <c r="R10" s="29">
        <f t="shared" si="17"/>
        <v>33281316.371111114</v>
      </c>
      <c r="S10" s="29">
        <f t="shared" si="17"/>
        <v>33281316.371111114</v>
      </c>
      <c r="T10" s="29">
        <f>EKCL_BDT_Loan!$H$35</f>
        <v>40968481.622240372</v>
      </c>
      <c r="U10" s="29">
        <f t="shared" si="17"/>
        <v>40968481.622240372</v>
      </c>
      <c r="V10" s="29">
        <f t="shared" si="17"/>
        <v>40968481.622240372</v>
      </c>
      <c r="W10" s="29">
        <f>EKCL_BDT_Loan!$I$35</f>
        <v>48659999.302936487</v>
      </c>
      <c r="X10" s="29">
        <f t="shared" si="17"/>
        <v>48659999.302936487</v>
      </c>
      <c r="Y10" s="29">
        <f t="shared" si="17"/>
        <v>48659999.302936487</v>
      </c>
      <c r="Z10" s="29">
        <f>EKCL_BDT_Loan!$J$35</f>
        <v>55861907.45689667</v>
      </c>
      <c r="AA10" s="29">
        <f t="shared" si="17"/>
        <v>55861907.45689667</v>
      </c>
      <c r="AB10" s="29">
        <f t="shared" si="17"/>
        <v>55861907.45689667</v>
      </c>
      <c r="AC10" s="29">
        <f>EKCL_BDT_Loan!$K$35</f>
        <v>62587351.844947241</v>
      </c>
      <c r="AD10" s="29">
        <f t="shared" si="17"/>
        <v>62587351.844947241</v>
      </c>
      <c r="AE10" s="29">
        <f t="shared" si="17"/>
        <v>62587351.844947241</v>
      </c>
      <c r="AF10" s="29">
        <f>EKCL_BDT_Loan!$L$35</f>
        <v>69512821.272929683</v>
      </c>
      <c r="AG10" s="29">
        <f t="shared" si="17"/>
        <v>69512821.272929683</v>
      </c>
      <c r="AH10" s="29">
        <f t="shared" si="17"/>
        <v>69512821.272929683</v>
      </c>
      <c r="AI10" s="29">
        <f>EKCL_BDT_Loan!$M$35</f>
        <v>76034750.054094315</v>
      </c>
      <c r="AJ10" s="29">
        <f t="shared" si="17"/>
        <v>76034750.054094315</v>
      </c>
      <c r="AK10" s="29">
        <f t="shared" si="17"/>
        <v>76034750.054094315</v>
      </c>
      <c r="AL10" s="29">
        <f>EKCL_BDT_Loan!$N$35</f>
        <v>82229215.178560466</v>
      </c>
      <c r="AM10" s="29">
        <f t="shared" si="17"/>
        <v>82229215.178560466</v>
      </c>
      <c r="AN10" s="29">
        <f t="shared" si="17"/>
        <v>82229215.178560466</v>
      </c>
      <c r="AO10" s="29">
        <f>EKCL_BDT_Loan!$O$35</f>
        <v>88098683.695621103</v>
      </c>
      <c r="AP10" s="29">
        <f t="shared" si="17"/>
        <v>88098683.695621103</v>
      </c>
      <c r="AQ10" s="29">
        <f t="shared" si="17"/>
        <v>88098683.695621103</v>
      </c>
      <c r="AR10" s="29">
        <f>EKCL_BDT_Loan!$P$35</f>
        <v>93832666.889639616</v>
      </c>
      <c r="AS10" s="29">
        <f t="shared" si="17"/>
        <v>93832666.889639616</v>
      </c>
      <c r="AT10" s="29">
        <f t="shared" si="17"/>
        <v>93832666.889639616</v>
      </c>
      <c r="AU10" s="29">
        <f>EKCL_BDT_Loan!$Q$35</f>
        <v>99297408.152444124</v>
      </c>
      <c r="AV10" s="29">
        <f t="shared" si="17"/>
        <v>99297408.152444124</v>
      </c>
      <c r="AW10" s="29">
        <f t="shared" si="17"/>
        <v>99297408.152444124</v>
      </c>
      <c r="AX10" s="29">
        <f>EKCL_BDT_Loan!$R$35</f>
        <v>104433105.72285695</v>
      </c>
      <c r="AY10" s="29">
        <f t="shared" si="17"/>
        <v>104433105.72285695</v>
      </c>
      <c r="AZ10" s="29">
        <f t="shared" si="17"/>
        <v>104433105.72285695</v>
      </c>
      <c r="BA10" s="29">
        <f>EKCL_BDT_Loan!$S$35</f>
        <v>109242352.33482847</v>
      </c>
      <c r="BB10" s="29">
        <f t="shared" si="17"/>
        <v>109242352.33482847</v>
      </c>
      <c r="BC10" s="29">
        <f t="shared" si="17"/>
        <v>109242352.33482847</v>
      </c>
      <c r="BD10" s="29">
        <f>EKCL_BDT_Loan!$T$35</f>
        <v>113879005.85707974</v>
      </c>
      <c r="BE10" s="29">
        <f t="shared" si="17"/>
        <v>113879005.85707974</v>
      </c>
      <c r="BF10" s="29">
        <f t="shared" si="17"/>
        <v>113879005.85707974</v>
      </c>
      <c r="BG10" s="29">
        <f>EKCL_BDT_Loan!$U$35</f>
        <v>118232700.82721993</v>
      </c>
      <c r="BH10" s="29">
        <f t="shared" si="17"/>
        <v>118232700.82721993</v>
      </c>
      <c r="BI10" s="29">
        <f t="shared" si="17"/>
        <v>118232700.82721993</v>
      </c>
      <c r="BJ10" s="29">
        <f>EKCL_BDT_Loan!$V$35</f>
        <v>122255691.57382451</v>
      </c>
      <c r="BK10" s="29">
        <f t="shared" si="17"/>
        <v>122255691.57382451</v>
      </c>
      <c r="BL10" s="29">
        <f t="shared" si="17"/>
        <v>122255691.57382451</v>
      </c>
      <c r="BM10" s="29">
        <f>EKCL_BDT_Loan!$W$35</f>
        <v>125991758.60015652</v>
      </c>
      <c r="BN10" s="29">
        <f t="shared" si="17"/>
        <v>125991758.60015652</v>
      </c>
      <c r="BO10" s="29">
        <f t="shared" si="17"/>
        <v>125991758.60015652</v>
      </c>
      <c r="BP10" s="29">
        <f>EKCL_BDT_Loan!$X$35</f>
        <v>129475178.62080659</v>
      </c>
      <c r="BQ10" s="29">
        <f t="shared" si="17"/>
        <v>129475178.62080659</v>
      </c>
      <c r="BR10" s="29">
        <f t="shared" si="17"/>
        <v>129475178.62080659</v>
      </c>
      <c r="BS10" s="29">
        <f>EKCL_BDT_Loan!$Y$35</f>
        <v>132661224.67057554</v>
      </c>
      <c r="BT10" s="29">
        <f t="shared" si="17"/>
        <v>132661224.67057554</v>
      </c>
      <c r="BU10" s="29">
        <f t="shared" si="17"/>
        <v>132661224.67057554</v>
      </c>
      <c r="BV10" s="29">
        <f>EKCL_BDT_Loan!$Z$35</f>
        <v>135514821.36934638</v>
      </c>
      <c r="BW10" s="29">
        <f t="shared" si="17"/>
        <v>135514821.36934638</v>
      </c>
      <c r="BX10" s="29">
        <f t="shared" si="17"/>
        <v>135514821.36934638</v>
      </c>
      <c r="BY10" s="29">
        <f>EKCL_BDT_Loan!$AA$35</f>
        <v>138038832.35573134</v>
      </c>
      <c r="BZ10" s="29">
        <f t="shared" si="17"/>
        <v>138038832.35573134</v>
      </c>
      <c r="CA10" s="29">
        <f t="shared" si="17"/>
        <v>138038832.35573134</v>
      </c>
      <c r="CB10" s="29">
        <f>EKCL_BDT_Loan!$AB$35</f>
        <v>140310267.00550053</v>
      </c>
      <c r="CC10" s="29">
        <f t="shared" si="17"/>
        <v>140310267.00550053</v>
      </c>
      <c r="CD10" s="29">
        <f t="shared" si="17"/>
        <v>140310267.00550053</v>
      </c>
      <c r="CE10" s="29">
        <f>EKCL_BDT_Loan!$AC$35</f>
        <v>142269177.86725259</v>
      </c>
      <c r="CF10" s="29">
        <f t="shared" si="17"/>
        <v>142269177.86725259</v>
      </c>
      <c r="CG10" s="29">
        <f t="shared" si="17"/>
        <v>142269177.86725259</v>
      </c>
      <c r="CH10" s="29">
        <f>EKCL_BDT_Loan!$AD$35</f>
        <v>143893805.34443748</v>
      </c>
      <c r="CI10" s="29">
        <f t="shared" si="17"/>
        <v>143893805.34443748</v>
      </c>
      <c r="CJ10" s="29">
        <f t="shared" si="17"/>
        <v>143893805.34443748</v>
      </c>
      <c r="CK10" s="29">
        <f>EKCL_BDT_Loan!$AE$35</f>
        <v>145187158.96470135</v>
      </c>
      <c r="CL10" s="29">
        <f t="shared" si="17"/>
        <v>145187158.96470135</v>
      </c>
      <c r="CM10" s="29">
        <f t="shared" si="17"/>
        <v>145187158.96470135</v>
      </c>
      <c r="CN10" s="29">
        <f>EKCL_BDT_Loan!$AF$35</f>
        <v>146184863.24053523</v>
      </c>
      <c r="CO10" s="29">
        <f t="shared" si="17"/>
        <v>146184863.24053523</v>
      </c>
      <c r="CP10" s="29">
        <f t="shared" si="17"/>
        <v>146184863.24053523</v>
      </c>
      <c r="CQ10" s="29">
        <f>EKCL_BDT_Loan!$AG$35</f>
        <v>146854122.09867778</v>
      </c>
      <c r="CR10" s="29">
        <f t="shared" si="17"/>
        <v>146854122.09867778</v>
      </c>
      <c r="CS10" s="29">
        <f t="shared" si="17"/>
        <v>146854122.09867778</v>
      </c>
      <c r="CT10" s="29">
        <f>EKCL_BDT_Loan!$AH$35</f>
        <v>147187170.10322604</v>
      </c>
      <c r="CU10" s="118"/>
      <c r="CV10" s="118"/>
      <c r="CW10" s="118"/>
      <c r="CX10" s="118"/>
      <c r="CY10" s="118"/>
      <c r="CZ10" s="118"/>
      <c r="DA10" s="118"/>
      <c r="DB10" s="118"/>
      <c r="DC10" s="118"/>
      <c r="DD10" s="118"/>
      <c r="DE10" s="118"/>
      <c r="DF10" s="118"/>
      <c r="DG10" s="118"/>
      <c r="DH10" s="118"/>
      <c r="DI10" s="118"/>
      <c r="DJ10" s="118"/>
      <c r="DK10" s="118"/>
      <c r="DL10" s="118"/>
      <c r="DM10" s="118"/>
      <c r="DN10" s="118"/>
      <c r="DO10" s="118"/>
      <c r="DP10" s="118"/>
      <c r="DQ10" s="118"/>
      <c r="DR10" s="118"/>
      <c r="DS10" s="118"/>
      <c r="DT10" s="118"/>
      <c r="DU10" s="118"/>
      <c r="DV10" s="118"/>
      <c r="DW10" s="118"/>
      <c r="DX10" s="118"/>
      <c r="DY10" s="118"/>
      <c r="DZ10" s="118"/>
      <c r="EA10" s="118"/>
      <c r="EB10" s="118"/>
      <c r="EC10" s="118"/>
      <c r="ED10" s="118"/>
      <c r="EE10" s="118"/>
      <c r="EF10" s="118"/>
      <c r="EG10" s="118"/>
      <c r="EH10" s="118"/>
      <c r="EI10" s="118"/>
      <c r="EJ10" s="118"/>
      <c r="EK10" s="118"/>
      <c r="EL10" s="118"/>
      <c r="EM10" s="118"/>
      <c r="EN10" s="118"/>
      <c r="EO10" s="118"/>
      <c r="EP10" s="118"/>
      <c r="EQ10" s="118"/>
      <c r="ER10" s="118"/>
      <c r="ES10" s="118"/>
      <c r="ET10" s="118"/>
      <c r="EU10" s="118"/>
      <c r="EV10" s="118"/>
      <c r="EW10" s="118"/>
      <c r="EX10" s="118"/>
      <c r="EY10" s="118"/>
      <c r="EZ10" s="118"/>
      <c r="FA10" s="118"/>
      <c r="FB10" s="118"/>
      <c r="FC10" s="118"/>
      <c r="FD10" s="118"/>
      <c r="FE10" s="118"/>
      <c r="FF10" s="118"/>
      <c r="FG10" s="118"/>
      <c r="FH10" s="118"/>
      <c r="FI10" s="118"/>
      <c r="FJ10" s="118"/>
      <c r="FK10" s="118"/>
      <c r="FL10" s="118"/>
      <c r="FM10" s="118"/>
      <c r="FN10" s="118"/>
      <c r="FO10" s="118"/>
    </row>
    <row r="11" spans="1:171" x14ac:dyDescent="0.25">
      <c r="A11" s="36" t="s">
        <v>32</v>
      </c>
      <c r="B11" s="29">
        <f t="shared" ref="B11:D11" si="18">B26</f>
        <v>0</v>
      </c>
      <c r="C11" s="29">
        <f t="shared" si="18"/>
        <v>0</v>
      </c>
      <c r="D11" s="29">
        <f t="shared" si="18"/>
        <v>0</v>
      </c>
      <c r="E11" s="29">
        <f t="shared" ref="E11:AJ11" si="19">E26</f>
        <v>3840278</v>
      </c>
      <c r="F11" s="29">
        <f t="shared" si="19"/>
        <v>3840278</v>
      </c>
      <c r="G11" s="29">
        <f t="shared" si="19"/>
        <v>3840278</v>
      </c>
      <c r="H11" s="29">
        <f t="shared" si="19"/>
        <v>9505387</v>
      </c>
      <c r="I11" s="29">
        <f t="shared" si="19"/>
        <v>9505387</v>
      </c>
      <c r="J11" s="29">
        <f t="shared" si="19"/>
        <v>9505387</v>
      </c>
      <c r="K11" s="29">
        <f t="shared" si="19"/>
        <v>17430697</v>
      </c>
      <c r="L11" s="29">
        <f t="shared" si="19"/>
        <v>17430697</v>
      </c>
      <c r="M11" s="29">
        <f t="shared" si="19"/>
        <v>17430697</v>
      </c>
      <c r="N11" s="29">
        <f t="shared" si="19"/>
        <v>25356007</v>
      </c>
      <c r="O11" s="29">
        <f t="shared" si="19"/>
        <v>25356007</v>
      </c>
      <c r="P11" s="29">
        <f t="shared" si="19"/>
        <v>25356007</v>
      </c>
      <c r="Q11" s="29">
        <f t="shared" si="19"/>
        <v>33281317</v>
      </c>
      <c r="R11" s="29">
        <f t="shared" si="19"/>
        <v>33281317</v>
      </c>
      <c r="S11" s="29">
        <f t="shared" si="19"/>
        <v>33281317</v>
      </c>
      <c r="T11" s="29">
        <f t="shared" si="19"/>
        <v>40968482</v>
      </c>
      <c r="U11" s="29">
        <f t="shared" si="19"/>
        <v>40968482</v>
      </c>
      <c r="V11" s="29">
        <f t="shared" si="19"/>
        <v>40968482</v>
      </c>
      <c r="W11" s="29">
        <f t="shared" si="19"/>
        <v>48660000</v>
      </c>
      <c r="X11" s="29">
        <f t="shared" si="19"/>
        <v>48660000</v>
      </c>
      <c r="Y11" s="29">
        <f t="shared" si="19"/>
        <v>48660000</v>
      </c>
      <c r="Z11" s="29">
        <f t="shared" si="19"/>
        <v>55861908</v>
      </c>
      <c r="AA11" s="29">
        <f t="shared" si="19"/>
        <v>55861908</v>
      </c>
      <c r="AB11" s="29">
        <f t="shared" si="19"/>
        <v>55861908</v>
      </c>
      <c r="AC11" s="29">
        <f t="shared" si="19"/>
        <v>62587352</v>
      </c>
      <c r="AD11" s="29">
        <f t="shared" si="19"/>
        <v>62587352</v>
      </c>
      <c r="AE11" s="29">
        <f t="shared" si="19"/>
        <v>62587352</v>
      </c>
      <c r="AF11" s="29">
        <f t="shared" si="19"/>
        <v>69512822</v>
      </c>
      <c r="AG11" s="29">
        <f t="shared" si="19"/>
        <v>69512822</v>
      </c>
      <c r="AH11" s="29">
        <f t="shared" si="19"/>
        <v>69512822</v>
      </c>
      <c r="AI11" s="29">
        <f t="shared" si="19"/>
        <v>76034751</v>
      </c>
      <c r="AJ11" s="29">
        <f t="shared" si="19"/>
        <v>76034751</v>
      </c>
      <c r="AK11" s="29">
        <f t="shared" ref="AK11:BP11" si="20">AK26</f>
        <v>76034751</v>
      </c>
      <c r="AL11" s="29">
        <f t="shared" si="20"/>
        <v>82229215.178560466</v>
      </c>
      <c r="AM11" s="29">
        <f t="shared" si="20"/>
        <v>82229215.178560466</v>
      </c>
      <c r="AN11" s="29">
        <f t="shared" si="20"/>
        <v>82229215.178560466</v>
      </c>
      <c r="AO11" s="29">
        <f t="shared" si="20"/>
        <v>88098683.695621103</v>
      </c>
      <c r="AP11" s="29">
        <f t="shared" si="20"/>
        <v>88098683.695621103</v>
      </c>
      <c r="AQ11" s="29">
        <f t="shared" si="20"/>
        <v>88098683.695621103</v>
      </c>
      <c r="AR11" s="29">
        <f t="shared" si="20"/>
        <v>93832666.889639616</v>
      </c>
      <c r="AS11" s="29">
        <f t="shared" si="20"/>
        <v>93832666.889639616</v>
      </c>
      <c r="AT11" s="29">
        <f t="shared" si="20"/>
        <v>93832666.889639616</v>
      </c>
      <c r="AU11" s="29">
        <f t="shared" si="20"/>
        <v>99297408.152444124</v>
      </c>
      <c r="AV11" s="29">
        <f t="shared" si="20"/>
        <v>99297408.152444124</v>
      </c>
      <c r="AW11" s="29">
        <f t="shared" si="20"/>
        <v>99297408.152444124</v>
      </c>
      <c r="AX11" s="29">
        <f t="shared" si="20"/>
        <v>104433105.72285695</v>
      </c>
      <c r="AY11" s="29">
        <f t="shared" si="20"/>
        <v>104433105.72285695</v>
      </c>
      <c r="AZ11" s="29">
        <f t="shared" si="20"/>
        <v>104433105.72285695</v>
      </c>
      <c r="BA11" s="29">
        <f t="shared" si="20"/>
        <v>109242352.33482847</v>
      </c>
      <c r="BB11" s="29">
        <f t="shared" si="20"/>
        <v>109242352.33482847</v>
      </c>
      <c r="BC11" s="29">
        <f t="shared" si="20"/>
        <v>109242352.33482847</v>
      </c>
      <c r="BD11" s="29">
        <f t="shared" si="20"/>
        <v>113879005.85707974</v>
      </c>
      <c r="BE11" s="29">
        <f t="shared" si="20"/>
        <v>113879005.85707974</v>
      </c>
      <c r="BF11" s="29">
        <f t="shared" si="20"/>
        <v>113879005.85707974</v>
      </c>
      <c r="BG11" s="29">
        <f t="shared" si="20"/>
        <v>118232700.82721993</v>
      </c>
      <c r="BH11" s="29">
        <f t="shared" si="20"/>
        <v>118232700.82721993</v>
      </c>
      <c r="BI11" s="29">
        <f t="shared" si="20"/>
        <v>118232700.82721993</v>
      </c>
      <c r="BJ11" s="29">
        <f t="shared" si="20"/>
        <v>122255691.57382451</v>
      </c>
      <c r="BK11" s="29">
        <f t="shared" si="20"/>
        <v>122255691.57382451</v>
      </c>
      <c r="BL11" s="29">
        <f t="shared" si="20"/>
        <v>122255691.57382451</v>
      </c>
      <c r="BM11" s="29">
        <f t="shared" si="20"/>
        <v>125991758.60015652</v>
      </c>
      <c r="BN11" s="29">
        <f t="shared" si="20"/>
        <v>125991758.60015652</v>
      </c>
      <c r="BO11" s="29">
        <f t="shared" si="20"/>
        <v>125991758.60015652</v>
      </c>
      <c r="BP11" s="29">
        <f t="shared" si="20"/>
        <v>129475178.62080659</v>
      </c>
      <c r="BQ11" s="29">
        <f t="shared" ref="BQ11:CT11" si="21">BQ26</f>
        <v>129475178.62080659</v>
      </c>
      <c r="BR11" s="29">
        <f t="shared" si="21"/>
        <v>129475178.62080659</v>
      </c>
      <c r="BS11" s="29">
        <f t="shared" si="21"/>
        <v>132661224.67057554</v>
      </c>
      <c r="BT11" s="29">
        <f t="shared" si="21"/>
        <v>132661224.67057554</v>
      </c>
      <c r="BU11" s="29">
        <f t="shared" si="21"/>
        <v>132661224.67057554</v>
      </c>
      <c r="BV11" s="29">
        <f t="shared" si="21"/>
        <v>135514821.36934638</v>
      </c>
      <c r="BW11" s="29">
        <f t="shared" si="21"/>
        <v>135514821.36934638</v>
      </c>
      <c r="BX11" s="29">
        <f t="shared" si="21"/>
        <v>135514821.36934638</v>
      </c>
      <c r="BY11" s="29">
        <f t="shared" si="21"/>
        <v>138038832.35573134</v>
      </c>
      <c r="BZ11" s="29">
        <f t="shared" si="21"/>
        <v>138038832.35573134</v>
      </c>
      <c r="CA11" s="29">
        <f t="shared" si="21"/>
        <v>138038832.35573134</v>
      </c>
      <c r="CB11" s="29">
        <f t="shared" si="21"/>
        <v>140310267.00550053</v>
      </c>
      <c r="CC11" s="29">
        <f t="shared" si="21"/>
        <v>140310267.00550053</v>
      </c>
      <c r="CD11" s="29">
        <f t="shared" si="21"/>
        <v>140310267.00550053</v>
      </c>
      <c r="CE11" s="29">
        <f t="shared" si="21"/>
        <v>142269177.86725259</v>
      </c>
      <c r="CF11" s="29">
        <f t="shared" si="21"/>
        <v>142269177.86725259</v>
      </c>
      <c r="CG11" s="29">
        <f t="shared" si="21"/>
        <v>142269177.86725259</v>
      </c>
      <c r="CH11" s="29">
        <f t="shared" si="21"/>
        <v>143893805.34443748</v>
      </c>
      <c r="CI11" s="29">
        <f t="shared" si="21"/>
        <v>143893805.34443748</v>
      </c>
      <c r="CJ11" s="29">
        <f t="shared" si="21"/>
        <v>143893805.34443748</v>
      </c>
      <c r="CK11" s="29">
        <f t="shared" si="21"/>
        <v>145187158.96470135</v>
      </c>
      <c r="CL11" s="29">
        <f t="shared" si="21"/>
        <v>145187158.96470135</v>
      </c>
      <c r="CM11" s="29">
        <f t="shared" si="21"/>
        <v>145187158.96470135</v>
      </c>
      <c r="CN11" s="29">
        <f t="shared" si="21"/>
        <v>146184863.24053523</v>
      </c>
      <c r="CO11" s="29">
        <f t="shared" si="21"/>
        <v>146184863.24053523</v>
      </c>
      <c r="CP11" s="29">
        <f t="shared" si="21"/>
        <v>146184863.24053523</v>
      </c>
      <c r="CQ11" s="29">
        <f t="shared" si="21"/>
        <v>146854122.09867778</v>
      </c>
      <c r="CR11" s="29">
        <f t="shared" si="21"/>
        <v>146854122.09867778</v>
      </c>
      <c r="CS11" s="29">
        <f t="shared" si="21"/>
        <v>146854122.09867778</v>
      </c>
      <c r="CT11" s="29">
        <f t="shared" si="21"/>
        <v>147187170.10322604</v>
      </c>
      <c r="CU11" s="118"/>
      <c r="CV11" s="118"/>
      <c r="CW11" s="118"/>
      <c r="CX11" s="118"/>
      <c r="CY11" s="118"/>
      <c r="CZ11" s="118"/>
      <c r="DA11" s="118"/>
      <c r="DB11" s="118"/>
      <c r="DC11" s="118"/>
      <c r="DD11" s="118"/>
      <c r="DE11" s="118"/>
      <c r="DF11" s="118"/>
      <c r="DG11" s="118"/>
      <c r="DH11" s="118"/>
      <c r="DI11" s="118"/>
      <c r="DJ11" s="118"/>
      <c r="DK11" s="118"/>
      <c r="DL11" s="118"/>
      <c r="DM11" s="118"/>
      <c r="DN11" s="118"/>
      <c r="DO11" s="118"/>
      <c r="DP11" s="118"/>
      <c r="DQ11" s="118"/>
      <c r="DR11" s="118"/>
      <c r="DS11" s="118"/>
      <c r="DT11" s="118"/>
      <c r="DU11" s="118"/>
      <c r="DV11" s="118"/>
      <c r="DW11" s="118"/>
      <c r="DX11" s="118"/>
      <c r="DY11" s="118"/>
      <c r="DZ11" s="118"/>
      <c r="EA11" s="118"/>
      <c r="EB11" s="118"/>
      <c r="EC11" s="118"/>
      <c r="ED11" s="118"/>
      <c r="EE11" s="118"/>
      <c r="EF11" s="118"/>
      <c r="EG11" s="118"/>
      <c r="EH11" s="118"/>
      <c r="EI11" s="118"/>
      <c r="EJ11" s="118"/>
      <c r="EK11" s="118"/>
      <c r="EL11" s="118"/>
      <c r="EM11" s="118"/>
      <c r="EN11" s="118"/>
      <c r="EO11" s="118"/>
      <c r="EP11" s="118"/>
      <c r="EQ11" s="118"/>
      <c r="ER11" s="118"/>
      <c r="ES11" s="118"/>
      <c r="ET11" s="118"/>
      <c r="EU11" s="118"/>
      <c r="EV11" s="118"/>
      <c r="EW11" s="118"/>
      <c r="EX11" s="118"/>
      <c r="EY11" s="118"/>
      <c r="EZ11" s="118"/>
      <c r="FA11" s="118"/>
      <c r="FB11" s="118"/>
      <c r="FC11" s="118"/>
      <c r="FD11" s="118"/>
      <c r="FE11" s="118"/>
      <c r="FF11" s="118"/>
      <c r="FG11" s="118"/>
      <c r="FH11" s="118"/>
      <c r="FI11" s="118"/>
      <c r="FJ11" s="118"/>
      <c r="FK11" s="118"/>
      <c r="FL11" s="118"/>
      <c r="FM11" s="118"/>
      <c r="FN11" s="118"/>
      <c r="FO11" s="118"/>
    </row>
    <row r="12" spans="1:171" x14ac:dyDescent="0.25">
      <c r="A12" s="36" t="s">
        <v>33</v>
      </c>
      <c r="B12" s="29">
        <v>0</v>
      </c>
      <c r="C12" s="29">
        <f t="shared" ref="C12:AH12" si="22">IF((C10-C11)&gt;0,(C10-C11),0)</f>
        <v>0</v>
      </c>
      <c r="D12" s="29">
        <f t="shared" si="22"/>
        <v>0</v>
      </c>
      <c r="E12" s="29">
        <f>IF((E10-E11)&gt;0,(E10-E11),0)</f>
        <v>0</v>
      </c>
      <c r="F12" s="29">
        <f t="shared" si="22"/>
        <v>0</v>
      </c>
      <c r="G12" s="29">
        <f t="shared" si="22"/>
        <v>0</v>
      </c>
      <c r="H12" s="29">
        <f>IF((H10-H11)&gt;0,(H10-H11),0)</f>
        <v>0</v>
      </c>
      <c r="I12" s="29">
        <f t="shared" si="22"/>
        <v>0</v>
      </c>
      <c r="J12" s="29">
        <f t="shared" si="22"/>
        <v>0</v>
      </c>
      <c r="K12" s="29">
        <f t="shared" si="22"/>
        <v>0</v>
      </c>
      <c r="L12" s="29">
        <f t="shared" si="22"/>
        <v>0</v>
      </c>
      <c r="M12" s="29">
        <f t="shared" si="22"/>
        <v>0</v>
      </c>
      <c r="N12" s="29">
        <f t="shared" si="22"/>
        <v>0</v>
      </c>
      <c r="O12" s="29">
        <f t="shared" si="22"/>
        <v>0</v>
      </c>
      <c r="P12" s="29">
        <f t="shared" si="22"/>
        <v>0</v>
      </c>
      <c r="Q12" s="29">
        <f t="shared" si="22"/>
        <v>0</v>
      </c>
      <c r="R12" s="29">
        <f t="shared" si="22"/>
        <v>0</v>
      </c>
      <c r="S12" s="29">
        <f t="shared" si="22"/>
        <v>0</v>
      </c>
      <c r="T12" s="29">
        <f t="shared" si="22"/>
        <v>0</v>
      </c>
      <c r="U12" s="29">
        <f t="shared" si="22"/>
        <v>0</v>
      </c>
      <c r="V12" s="29">
        <f t="shared" si="22"/>
        <v>0</v>
      </c>
      <c r="W12" s="29">
        <f t="shared" si="22"/>
        <v>0</v>
      </c>
      <c r="X12" s="29">
        <f t="shared" si="22"/>
        <v>0</v>
      </c>
      <c r="Y12" s="29">
        <f t="shared" si="22"/>
        <v>0</v>
      </c>
      <c r="Z12" s="29">
        <f t="shared" si="22"/>
        <v>0</v>
      </c>
      <c r="AA12" s="29">
        <f t="shared" si="22"/>
        <v>0</v>
      </c>
      <c r="AB12" s="29">
        <f t="shared" si="22"/>
        <v>0</v>
      </c>
      <c r="AC12" s="29">
        <f t="shared" si="22"/>
        <v>0</v>
      </c>
      <c r="AD12" s="29">
        <f t="shared" si="22"/>
        <v>0</v>
      </c>
      <c r="AE12" s="29">
        <f t="shared" si="22"/>
        <v>0</v>
      </c>
      <c r="AF12" s="29">
        <f t="shared" si="22"/>
        <v>0</v>
      </c>
      <c r="AG12" s="29">
        <f t="shared" si="22"/>
        <v>0</v>
      </c>
      <c r="AH12" s="29">
        <f t="shared" si="22"/>
        <v>0</v>
      </c>
      <c r="AI12" s="29">
        <f t="shared" ref="AI12:BN12" si="23">IF((AI10-AI11)&gt;0,(AI10-AI11),0)</f>
        <v>0</v>
      </c>
      <c r="AJ12" s="29">
        <f t="shared" si="23"/>
        <v>0</v>
      </c>
      <c r="AK12" s="29">
        <f t="shared" si="23"/>
        <v>0</v>
      </c>
      <c r="AL12" s="29">
        <f t="shared" si="23"/>
        <v>0</v>
      </c>
      <c r="AM12" s="29">
        <f t="shared" si="23"/>
        <v>0</v>
      </c>
      <c r="AN12" s="29">
        <f t="shared" si="23"/>
        <v>0</v>
      </c>
      <c r="AO12" s="29">
        <f t="shared" si="23"/>
        <v>0</v>
      </c>
      <c r="AP12" s="29">
        <f t="shared" si="23"/>
        <v>0</v>
      </c>
      <c r="AQ12" s="29">
        <f t="shared" si="23"/>
        <v>0</v>
      </c>
      <c r="AR12" s="29">
        <f t="shared" si="23"/>
        <v>0</v>
      </c>
      <c r="AS12" s="29">
        <f t="shared" si="23"/>
        <v>0</v>
      </c>
      <c r="AT12" s="29">
        <f t="shared" si="23"/>
        <v>0</v>
      </c>
      <c r="AU12" s="29">
        <f t="shared" si="23"/>
        <v>0</v>
      </c>
      <c r="AV12" s="29">
        <f t="shared" si="23"/>
        <v>0</v>
      </c>
      <c r="AW12" s="29">
        <f t="shared" si="23"/>
        <v>0</v>
      </c>
      <c r="AX12" s="29">
        <f t="shared" si="23"/>
        <v>0</v>
      </c>
      <c r="AY12" s="29">
        <f t="shared" si="23"/>
        <v>0</v>
      </c>
      <c r="AZ12" s="29">
        <f t="shared" si="23"/>
        <v>0</v>
      </c>
      <c r="BA12" s="29">
        <f t="shared" si="23"/>
        <v>0</v>
      </c>
      <c r="BB12" s="29">
        <f t="shared" si="23"/>
        <v>0</v>
      </c>
      <c r="BC12" s="29">
        <f t="shared" si="23"/>
        <v>0</v>
      </c>
      <c r="BD12" s="29">
        <f t="shared" si="23"/>
        <v>0</v>
      </c>
      <c r="BE12" s="29">
        <f t="shared" si="23"/>
        <v>0</v>
      </c>
      <c r="BF12" s="29">
        <f t="shared" si="23"/>
        <v>0</v>
      </c>
      <c r="BG12" s="29">
        <f t="shared" si="23"/>
        <v>0</v>
      </c>
      <c r="BH12" s="29">
        <f t="shared" si="23"/>
        <v>0</v>
      </c>
      <c r="BI12" s="29">
        <f t="shared" si="23"/>
        <v>0</v>
      </c>
      <c r="BJ12" s="29">
        <f t="shared" si="23"/>
        <v>0</v>
      </c>
      <c r="BK12" s="29">
        <f t="shared" si="23"/>
        <v>0</v>
      </c>
      <c r="BL12" s="29">
        <f t="shared" si="23"/>
        <v>0</v>
      </c>
      <c r="BM12" s="29">
        <f t="shared" si="23"/>
        <v>0</v>
      </c>
      <c r="BN12" s="29">
        <f t="shared" si="23"/>
        <v>0</v>
      </c>
      <c r="BO12" s="29">
        <f t="shared" ref="BO12:CR12" si="24">IF((BO10-BO11)&gt;0,(BO10-BO11),0)</f>
        <v>0</v>
      </c>
      <c r="BP12" s="29">
        <f t="shared" si="24"/>
        <v>0</v>
      </c>
      <c r="BQ12" s="29">
        <f t="shared" si="24"/>
        <v>0</v>
      </c>
      <c r="BR12" s="29">
        <f t="shared" si="24"/>
        <v>0</v>
      </c>
      <c r="BS12" s="29">
        <f t="shared" si="24"/>
        <v>0</v>
      </c>
      <c r="BT12" s="29">
        <f t="shared" si="24"/>
        <v>0</v>
      </c>
      <c r="BU12" s="29">
        <f t="shared" si="24"/>
        <v>0</v>
      </c>
      <c r="BV12" s="29">
        <f t="shared" si="24"/>
        <v>0</v>
      </c>
      <c r="BW12" s="29">
        <f t="shared" si="24"/>
        <v>0</v>
      </c>
      <c r="BX12" s="29">
        <f t="shared" si="24"/>
        <v>0</v>
      </c>
      <c r="BY12" s="29">
        <f t="shared" si="24"/>
        <v>0</v>
      </c>
      <c r="BZ12" s="29">
        <f t="shared" si="24"/>
        <v>0</v>
      </c>
      <c r="CA12" s="29">
        <f t="shared" si="24"/>
        <v>0</v>
      </c>
      <c r="CB12" s="29">
        <f t="shared" si="24"/>
        <v>0</v>
      </c>
      <c r="CC12" s="29">
        <f t="shared" si="24"/>
        <v>0</v>
      </c>
      <c r="CD12" s="29">
        <f t="shared" si="24"/>
        <v>0</v>
      </c>
      <c r="CE12" s="29">
        <f t="shared" si="24"/>
        <v>0</v>
      </c>
      <c r="CF12" s="29">
        <f t="shared" si="24"/>
        <v>0</v>
      </c>
      <c r="CG12" s="29">
        <f t="shared" si="24"/>
        <v>0</v>
      </c>
      <c r="CH12" s="29">
        <f t="shared" si="24"/>
        <v>0</v>
      </c>
      <c r="CI12" s="29">
        <f t="shared" si="24"/>
        <v>0</v>
      </c>
      <c r="CJ12" s="29">
        <f t="shared" si="24"/>
        <v>0</v>
      </c>
      <c r="CK12" s="29">
        <f t="shared" si="24"/>
        <v>0</v>
      </c>
      <c r="CL12" s="29">
        <f t="shared" si="24"/>
        <v>0</v>
      </c>
      <c r="CM12" s="29">
        <f t="shared" si="24"/>
        <v>0</v>
      </c>
      <c r="CN12" s="29">
        <f t="shared" si="24"/>
        <v>0</v>
      </c>
      <c r="CO12" s="29">
        <f t="shared" si="24"/>
        <v>0</v>
      </c>
      <c r="CP12" s="29">
        <f t="shared" si="24"/>
        <v>0</v>
      </c>
      <c r="CQ12" s="29">
        <f t="shared" si="24"/>
        <v>0</v>
      </c>
      <c r="CR12" s="29">
        <f t="shared" si="24"/>
        <v>0</v>
      </c>
      <c r="CS12" s="29">
        <f t="shared" ref="CS12:CT12" si="25">IF((CS10-CS11)&gt;0,(CS10-CS11),0)</f>
        <v>0</v>
      </c>
      <c r="CT12" s="29">
        <f t="shared" si="25"/>
        <v>0</v>
      </c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  <c r="DH12" s="118"/>
      <c r="DI12" s="118"/>
      <c r="DJ12" s="118"/>
      <c r="DK12" s="118"/>
      <c r="DL12" s="118"/>
      <c r="DM12" s="118"/>
      <c r="DN12" s="118"/>
      <c r="DO12" s="118"/>
      <c r="DP12" s="118"/>
      <c r="DQ12" s="118"/>
      <c r="DR12" s="118"/>
      <c r="DS12" s="118"/>
      <c r="DT12" s="118"/>
      <c r="DU12" s="118"/>
      <c r="DV12" s="118"/>
      <c r="DW12" s="118"/>
      <c r="DX12" s="118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8"/>
      <c r="ES12" s="118"/>
      <c r="ET12" s="118"/>
      <c r="EU12" s="118"/>
      <c r="EV12" s="118"/>
      <c r="EW12" s="118"/>
      <c r="EX12" s="118"/>
      <c r="EY12" s="118"/>
      <c r="EZ12" s="118"/>
      <c r="FA12" s="118"/>
      <c r="FB12" s="118"/>
      <c r="FC12" s="118"/>
      <c r="FD12" s="118"/>
      <c r="FE12" s="118"/>
      <c r="FF12" s="118"/>
      <c r="FG12" s="118"/>
      <c r="FH12" s="118"/>
      <c r="FI12" s="118"/>
      <c r="FJ12" s="118"/>
      <c r="FK12" s="118"/>
      <c r="FL12" s="118"/>
      <c r="FM12" s="118"/>
      <c r="FN12" s="118"/>
      <c r="FO12" s="118"/>
    </row>
    <row r="13" spans="1:171" x14ac:dyDescent="0.25">
      <c r="A13" s="36" t="s">
        <v>34</v>
      </c>
      <c r="B13" s="29">
        <f t="shared" ref="B13:AG13" si="26">B9-B11</f>
        <v>291666.66666666669</v>
      </c>
      <c r="C13" s="29">
        <f t="shared" si="26"/>
        <v>1798611.1111111112</v>
      </c>
      <c r="D13" s="29">
        <f t="shared" si="26"/>
        <v>3159722.222222222</v>
      </c>
      <c r="E13" s="29">
        <f t="shared" si="26"/>
        <v>826388.66666666605</v>
      </c>
      <c r="F13" s="29">
        <f t="shared" si="26"/>
        <v>2284721.9999999991</v>
      </c>
      <c r="G13" s="29">
        <f t="shared" si="26"/>
        <v>4445829.9695833325</v>
      </c>
      <c r="H13" s="29">
        <f t="shared" si="26"/>
        <v>1393460.5237499997</v>
      </c>
      <c r="I13" s="29">
        <f t="shared" si="26"/>
        <v>4093291.3963888884</v>
      </c>
      <c r="J13" s="29">
        <f t="shared" si="26"/>
        <v>6793122.269027777</v>
      </c>
      <c r="K13" s="29">
        <f t="shared" si="26"/>
        <v>1480551.8231944442</v>
      </c>
      <c r="L13" s="29">
        <f t="shared" si="26"/>
        <v>4180382.6958333328</v>
      </c>
      <c r="M13" s="29">
        <f t="shared" si="26"/>
        <v>6793122.25</v>
      </c>
      <c r="N13" s="29">
        <f t="shared" si="26"/>
        <v>1567643.1226388887</v>
      </c>
      <c r="O13" s="29">
        <f t="shared" si="26"/>
        <v>4267473.9952777773</v>
      </c>
      <c r="P13" s="29">
        <f t="shared" si="26"/>
        <v>6793122.230972223</v>
      </c>
      <c r="Q13" s="29">
        <f t="shared" si="26"/>
        <v>1520537.5526531637</v>
      </c>
      <c r="R13" s="29">
        <f t="shared" si="26"/>
        <v>4054767.8552232459</v>
      </c>
      <c r="S13" s="29">
        <f t="shared" si="26"/>
        <v>6673472.5012123361</v>
      </c>
      <c r="T13" s="29">
        <f t="shared" si="26"/>
        <v>1472843.4334374964</v>
      </c>
      <c r="U13" s="29">
        <f t="shared" si="26"/>
        <v>4009407.7749436647</v>
      </c>
      <c r="V13" s="29">
        <f t="shared" si="26"/>
        <v>6545972.1164498329</v>
      </c>
      <c r="W13" s="29">
        <f t="shared" si="26"/>
        <v>1266268.8684679493</v>
      </c>
      <c r="X13" s="29">
        <f t="shared" si="26"/>
        <v>3719666.1516851559</v>
      </c>
      <c r="Y13" s="29">
        <f t="shared" si="26"/>
        <v>6093921.5870566443</v>
      </c>
      <c r="Z13" s="29">
        <f t="shared" si="26"/>
        <v>1299233.0318609849</v>
      </c>
      <c r="AA13" s="29">
        <f t="shared" si="26"/>
        <v>3668423.6685606167</v>
      </c>
      <c r="AB13" s="29">
        <f t="shared" si="26"/>
        <v>5808337.7920312509</v>
      </c>
      <c r="AC13" s="29">
        <f t="shared" si="26"/>
        <v>1399828.7718798593</v>
      </c>
      <c r="AD13" s="29">
        <f t="shared" si="26"/>
        <v>3610084.9722997844</v>
      </c>
      <c r="AE13" s="29">
        <f t="shared" si="26"/>
        <v>5894016.3794003725</v>
      </c>
      <c r="AF13" s="29">
        <f t="shared" si="26"/>
        <v>1134247.7566104829</v>
      </c>
      <c r="AG13" s="29">
        <f t="shared" si="26"/>
        <v>3331854.1937420517</v>
      </c>
      <c r="AH13" s="29">
        <f t="shared" ref="AH13:BM13" si="27">AH9-AH11</f>
        <v>5529460.6308736205</v>
      </c>
      <c r="AI13" s="29">
        <f t="shared" si="27"/>
        <v>1089135.7792751938</v>
      </c>
      <c r="AJ13" s="29">
        <f t="shared" si="27"/>
        <v>3199338.1843131185</v>
      </c>
      <c r="AK13" s="29">
        <f t="shared" si="27"/>
        <v>5241469.5440272391</v>
      </c>
      <c r="AL13" s="29">
        <f t="shared" si="27"/>
        <v>1108677.386555925</v>
      </c>
      <c r="AM13" s="29">
        <f t="shared" si="27"/>
        <v>3130383.2090990394</v>
      </c>
      <c r="AN13" s="29">
        <f t="shared" si="27"/>
        <v>4956440.081073463</v>
      </c>
      <c r="AO13" s="29">
        <f t="shared" si="27"/>
        <v>1059540.3728078008</v>
      </c>
      <c r="AP13" s="29">
        <f t="shared" si="27"/>
        <v>2929317.5012920946</v>
      </c>
      <c r="AQ13" s="29">
        <f t="shared" si="27"/>
        <v>4861420.5340591967</v>
      </c>
      <c r="AR13" s="29">
        <f t="shared" si="27"/>
        <v>950389.78483559191</v>
      </c>
      <c r="AS13" s="29">
        <f t="shared" si="27"/>
        <v>2791769.9929545075</v>
      </c>
      <c r="AT13" s="29">
        <f t="shared" si="27"/>
        <v>4633150.201073423</v>
      </c>
      <c r="AU13" s="29">
        <f t="shared" si="27"/>
        <v>902979.79260009527</v>
      </c>
      <c r="AV13" s="29">
        <f t="shared" si="27"/>
        <v>2652503.1407627016</v>
      </c>
      <c r="AW13" s="29">
        <f t="shared" si="27"/>
        <v>4345590.2518878132</v>
      </c>
      <c r="AX13" s="29">
        <f t="shared" si="27"/>
        <v>908413.24892798066</v>
      </c>
      <c r="AY13" s="29">
        <f t="shared" si="27"/>
        <v>2564931.5263848305</v>
      </c>
      <c r="AZ13" s="29">
        <f t="shared" si="27"/>
        <v>4061141.5834426433</v>
      </c>
      <c r="BA13" s="29">
        <f t="shared" si="27"/>
        <v>856772.93345950544</v>
      </c>
      <c r="BB13" s="29">
        <f t="shared" si="27"/>
        <v>2368725.1689762324</v>
      </c>
      <c r="BC13" s="29">
        <f t="shared" si="27"/>
        <v>3931075.812343508</v>
      </c>
      <c r="BD13" s="29">
        <f t="shared" si="27"/>
        <v>757164.34263311327</v>
      </c>
      <c r="BE13" s="29">
        <f t="shared" si="27"/>
        <v>2224170.2564847022</v>
      </c>
      <c r="BF13" s="29">
        <f t="shared" si="27"/>
        <v>3691176.1703362912</v>
      </c>
      <c r="BG13" s="29">
        <f t="shared" si="27"/>
        <v>707339.03237007558</v>
      </c>
      <c r="BH13" s="29">
        <f t="shared" si="27"/>
        <v>2077808.4075870216</v>
      </c>
      <c r="BI13" s="29">
        <f t="shared" si="27"/>
        <v>3404069.0932808369</v>
      </c>
      <c r="BJ13" s="29">
        <f t="shared" si="27"/>
        <v>697946.58733679354</v>
      </c>
      <c r="BK13" s="29">
        <f t="shared" si="27"/>
        <v>1970672.7171861678</v>
      </c>
      <c r="BL13" s="29">
        <f t="shared" si="27"/>
        <v>3161287.48381944</v>
      </c>
      <c r="BM13" s="29">
        <f t="shared" si="27"/>
        <v>643675.4385984391</v>
      </c>
      <c r="BN13" s="29">
        <f t="shared" ref="BN13:CR13" si="28">BN9-BN11</f>
        <v>1779573.2714191079</v>
      </c>
      <c r="BO13" s="29">
        <f t="shared" si="28"/>
        <v>2953334.3653338104</v>
      </c>
      <c r="BP13" s="29">
        <f t="shared" si="28"/>
        <v>554094.96517726779</v>
      </c>
      <c r="BQ13" s="29">
        <f t="shared" si="28"/>
        <v>1627653.960208118</v>
      </c>
      <c r="BR13" s="29">
        <f t="shared" si="28"/>
        <v>2701212.9552389681</v>
      </c>
      <c r="BS13" s="29">
        <f t="shared" si="28"/>
        <v>501731.28769604862</v>
      </c>
      <c r="BT13" s="29">
        <f t="shared" si="28"/>
        <v>1473835.6576069891</v>
      </c>
      <c r="BU13" s="29">
        <f t="shared" si="28"/>
        <v>2414581.8220369369</v>
      </c>
      <c r="BV13" s="29">
        <f t="shared" si="28"/>
        <v>476757.63076168299</v>
      </c>
      <c r="BW13" s="29">
        <f t="shared" si="28"/>
        <v>1346139.1927387118</v>
      </c>
      <c r="BX13" s="29">
        <f t="shared" si="28"/>
        <v>2131387.0551695824</v>
      </c>
      <c r="BY13" s="29">
        <f t="shared" si="28"/>
        <v>419721.62006610632</v>
      </c>
      <c r="BZ13" s="29">
        <f t="shared" si="28"/>
        <v>1160406.8319473565</v>
      </c>
      <c r="CA13" s="29">
        <f t="shared" si="28"/>
        <v>1925781.55089131</v>
      </c>
      <c r="CB13" s="29">
        <f t="shared" si="28"/>
        <v>340680.14986997843</v>
      </c>
      <c r="CC13" s="29">
        <f t="shared" si="28"/>
        <v>1000747.9402429461</v>
      </c>
      <c r="CD13" s="29">
        <f t="shared" si="28"/>
        <v>1660815.7306159139</v>
      </c>
      <c r="CE13" s="29">
        <f t="shared" si="28"/>
        <v>285648.78719738126</v>
      </c>
      <c r="CF13" s="29">
        <f t="shared" si="28"/>
        <v>839093.3123922348</v>
      </c>
      <c r="CG13" s="29">
        <f t="shared" si="28"/>
        <v>1374684.7883872688</v>
      </c>
      <c r="CH13" s="29">
        <f t="shared" si="28"/>
        <v>244300.12827211618</v>
      </c>
      <c r="CI13" s="29">
        <f t="shared" si="28"/>
        <v>689788.59747412801</v>
      </c>
      <c r="CJ13" s="29">
        <f t="shared" si="28"/>
        <v>1092165.2793340087</v>
      </c>
      <c r="CK13" s="29">
        <f t="shared" si="28"/>
        <v>184358.39879545569</v>
      </c>
      <c r="CL13" s="29">
        <f t="shared" si="28"/>
        <v>509696.74961084127</v>
      </c>
      <c r="CM13" s="29">
        <f t="shared" si="28"/>
        <v>845879.71212008595</v>
      </c>
      <c r="CN13" s="29">
        <f t="shared" si="28"/>
        <v>116392.84489440918</v>
      </c>
      <c r="CO13" s="29">
        <f t="shared" si="28"/>
        <v>341903.98187723756</v>
      </c>
      <c r="CP13" s="29">
        <f t="shared" si="28"/>
        <v>567415.11886006594</v>
      </c>
      <c r="CQ13" s="29">
        <f t="shared" si="28"/>
        <v>58557.890909671783</v>
      </c>
      <c r="CR13" s="29">
        <f t="shared" si="28"/>
        <v>172013.80454698205</v>
      </c>
      <c r="CS13" s="29">
        <f t="shared" ref="CS13:CT13" si="29">CS9-CS11</f>
        <v>281809.85000246763</v>
      </c>
      <c r="CT13" s="29">
        <f t="shared" si="29"/>
        <v>0</v>
      </c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118"/>
      <c r="FC13" s="118"/>
      <c r="FD13" s="118"/>
      <c r="FE13" s="118"/>
      <c r="FF13" s="118"/>
      <c r="FG13" s="118"/>
      <c r="FH13" s="118"/>
      <c r="FI13" s="118"/>
      <c r="FJ13" s="118"/>
      <c r="FK13" s="118"/>
      <c r="FL13" s="118"/>
      <c r="FM13" s="118"/>
      <c r="FN13" s="118"/>
      <c r="FO13" s="118"/>
    </row>
    <row r="14" spans="1:171" x14ac:dyDescent="0.25">
      <c r="A14" s="36" t="s">
        <v>35</v>
      </c>
      <c r="B14" s="29">
        <f t="shared" ref="B14:AG14" si="30">B28</f>
        <v>0</v>
      </c>
      <c r="C14" s="29">
        <f t="shared" si="30"/>
        <v>0</v>
      </c>
      <c r="D14" s="29">
        <f t="shared" si="30"/>
        <v>0</v>
      </c>
      <c r="E14" s="29">
        <f t="shared" si="30"/>
        <v>0</v>
      </c>
      <c r="F14" s="29">
        <f t="shared" si="30"/>
        <v>0</v>
      </c>
      <c r="G14" s="29">
        <f t="shared" si="30"/>
        <v>0</v>
      </c>
      <c r="H14" s="29">
        <f t="shared" si="30"/>
        <v>24642</v>
      </c>
      <c r="I14" s="29">
        <f t="shared" si="30"/>
        <v>24642</v>
      </c>
      <c r="J14" s="29">
        <f t="shared" si="30"/>
        <v>24642</v>
      </c>
      <c r="K14" s="29">
        <f t="shared" si="30"/>
        <v>24642</v>
      </c>
      <c r="L14" s="29">
        <f t="shared" si="30"/>
        <v>24642</v>
      </c>
      <c r="M14" s="29">
        <f t="shared" si="30"/>
        <v>24642</v>
      </c>
      <c r="N14" s="29">
        <f t="shared" si="30"/>
        <v>24642</v>
      </c>
      <c r="O14" s="29">
        <f t="shared" si="30"/>
        <v>24642</v>
      </c>
      <c r="P14" s="29">
        <f t="shared" si="30"/>
        <v>24642</v>
      </c>
      <c r="Q14" s="29">
        <f t="shared" si="30"/>
        <v>24642</v>
      </c>
      <c r="R14" s="29">
        <f t="shared" si="30"/>
        <v>24642</v>
      </c>
      <c r="S14" s="29">
        <f t="shared" si="30"/>
        <v>24642</v>
      </c>
      <c r="T14" s="29">
        <f t="shared" si="30"/>
        <v>24642</v>
      </c>
      <c r="U14" s="29">
        <f t="shared" si="30"/>
        <v>24642</v>
      </c>
      <c r="V14" s="29">
        <f t="shared" si="30"/>
        <v>24642</v>
      </c>
      <c r="W14" s="29">
        <f t="shared" si="30"/>
        <v>24642</v>
      </c>
      <c r="X14" s="29">
        <f t="shared" si="30"/>
        <v>24642</v>
      </c>
      <c r="Y14" s="29">
        <f t="shared" si="30"/>
        <v>24642</v>
      </c>
      <c r="Z14" s="29">
        <f t="shared" si="30"/>
        <v>24642</v>
      </c>
      <c r="AA14" s="29">
        <f t="shared" si="30"/>
        <v>24642</v>
      </c>
      <c r="AB14" s="29">
        <f t="shared" si="30"/>
        <v>24642</v>
      </c>
      <c r="AC14" s="29">
        <f t="shared" si="30"/>
        <v>24642</v>
      </c>
      <c r="AD14" s="29">
        <f t="shared" si="30"/>
        <v>24642</v>
      </c>
      <c r="AE14" s="29">
        <f t="shared" si="30"/>
        <v>24642</v>
      </c>
      <c r="AF14" s="29">
        <f t="shared" si="30"/>
        <v>24642</v>
      </c>
      <c r="AG14" s="29">
        <f t="shared" si="30"/>
        <v>24642</v>
      </c>
      <c r="AH14" s="29">
        <f t="shared" ref="AH14:BM14" si="31">AH28</f>
        <v>24642</v>
      </c>
      <c r="AI14" s="29">
        <f t="shared" si="31"/>
        <v>24642</v>
      </c>
      <c r="AJ14" s="29">
        <f t="shared" si="31"/>
        <v>24642</v>
      </c>
      <c r="AK14" s="29">
        <f t="shared" si="31"/>
        <v>24642</v>
      </c>
      <c r="AL14" s="29">
        <f t="shared" si="31"/>
        <v>24642</v>
      </c>
      <c r="AM14" s="29">
        <f t="shared" si="31"/>
        <v>24642</v>
      </c>
      <c r="AN14" s="29">
        <f t="shared" si="31"/>
        <v>24642</v>
      </c>
      <c r="AO14" s="29">
        <f t="shared" si="31"/>
        <v>24642</v>
      </c>
      <c r="AP14" s="29">
        <f t="shared" si="31"/>
        <v>24642</v>
      </c>
      <c r="AQ14" s="29">
        <f t="shared" si="31"/>
        <v>24642</v>
      </c>
      <c r="AR14" s="29">
        <f t="shared" si="31"/>
        <v>24642</v>
      </c>
      <c r="AS14" s="29">
        <f t="shared" si="31"/>
        <v>24642</v>
      </c>
      <c r="AT14" s="29">
        <f t="shared" si="31"/>
        <v>24642</v>
      </c>
      <c r="AU14" s="29">
        <f t="shared" si="31"/>
        <v>24642</v>
      </c>
      <c r="AV14" s="29">
        <f t="shared" si="31"/>
        <v>24642</v>
      </c>
      <c r="AW14" s="29">
        <f t="shared" si="31"/>
        <v>24642</v>
      </c>
      <c r="AX14" s="29">
        <f t="shared" si="31"/>
        <v>24642</v>
      </c>
      <c r="AY14" s="29">
        <f t="shared" si="31"/>
        <v>24642</v>
      </c>
      <c r="AZ14" s="29">
        <f t="shared" si="31"/>
        <v>24642</v>
      </c>
      <c r="BA14" s="29">
        <f t="shared" si="31"/>
        <v>24642</v>
      </c>
      <c r="BB14" s="29">
        <f t="shared" si="31"/>
        <v>24642</v>
      </c>
      <c r="BC14" s="29">
        <f t="shared" si="31"/>
        <v>24642</v>
      </c>
      <c r="BD14" s="29">
        <f t="shared" si="31"/>
        <v>24642</v>
      </c>
      <c r="BE14" s="29">
        <f t="shared" si="31"/>
        <v>24642</v>
      </c>
      <c r="BF14" s="29">
        <f t="shared" si="31"/>
        <v>24642</v>
      </c>
      <c r="BG14" s="29">
        <f t="shared" si="31"/>
        <v>24642</v>
      </c>
      <c r="BH14" s="29">
        <f t="shared" si="31"/>
        <v>24642</v>
      </c>
      <c r="BI14" s="29">
        <f t="shared" si="31"/>
        <v>24642</v>
      </c>
      <c r="BJ14" s="29">
        <f t="shared" si="31"/>
        <v>24642</v>
      </c>
      <c r="BK14" s="29">
        <f t="shared" si="31"/>
        <v>24642</v>
      </c>
      <c r="BL14" s="29">
        <f t="shared" si="31"/>
        <v>24642</v>
      </c>
      <c r="BM14" s="29">
        <f t="shared" si="31"/>
        <v>24642</v>
      </c>
      <c r="BN14" s="29">
        <f t="shared" ref="BN14:CR14" si="32">BN28</f>
        <v>24642</v>
      </c>
      <c r="BO14" s="29">
        <f t="shared" si="32"/>
        <v>24642</v>
      </c>
      <c r="BP14" s="29">
        <f t="shared" si="32"/>
        <v>24642</v>
      </c>
      <c r="BQ14" s="29">
        <f t="shared" si="32"/>
        <v>24642</v>
      </c>
      <c r="BR14" s="29">
        <f t="shared" si="32"/>
        <v>24642</v>
      </c>
      <c r="BS14" s="29">
        <f t="shared" si="32"/>
        <v>24642</v>
      </c>
      <c r="BT14" s="29">
        <f t="shared" si="32"/>
        <v>24642</v>
      </c>
      <c r="BU14" s="29">
        <f t="shared" si="32"/>
        <v>24642</v>
      </c>
      <c r="BV14" s="29">
        <f t="shared" si="32"/>
        <v>24642</v>
      </c>
      <c r="BW14" s="29">
        <f t="shared" si="32"/>
        <v>24642</v>
      </c>
      <c r="BX14" s="29">
        <f t="shared" si="32"/>
        <v>24642</v>
      </c>
      <c r="BY14" s="29">
        <f t="shared" si="32"/>
        <v>24642</v>
      </c>
      <c r="BZ14" s="29">
        <f t="shared" si="32"/>
        <v>24642</v>
      </c>
      <c r="CA14" s="29">
        <f t="shared" si="32"/>
        <v>24642</v>
      </c>
      <c r="CB14" s="29">
        <f t="shared" si="32"/>
        <v>24642</v>
      </c>
      <c r="CC14" s="29">
        <f t="shared" si="32"/>
        <v>24642</v>
      </c>
      <c r="CD14" s="29">
        <f t="shared" si="32"/>
        <v>24642</v>
      </c>
      <c r="CE14" s="29">
        <f t="shared" si="32"/>
        <v>24642</v>
      </c>
      <c r="CF14" s="29">
        <f t="shared" si="32"/>
        <v>24642</v>
      </c>
      <c r="CG14" s="29">
        <f t="shared" si="32"/>
        <v>24642</v>
      </c>
      <c r="CH14" s="29">
        <f t="shared" si="32"/>
        <v>24642</v>
      </c>
      <c r="CI14" s="29">
        <f t="shared" si="32"/>
        <v>24642</v>
      </c>
      <c r="CJ14" s="29">
        <f t="shared" si="32"/>
        <v>24642</v>
      </c>
      <c r="CK14" s="29">
        <f t="shared" si="32"/>
        <v>24642</v>
      </c>
      <c r="CL14" s="29">
        <f t="shared" si="32"/>
        <v>24642</v>
      </c>
      <c r="CM14" s="29">
        <f t="shared" si="32"/>
        <v>24642</v>
      </c>
      <c r="CN14" s="29">
        <f t="shared" si="32"/>
        <v>24642</v>
      </c>
      <c r="CO14" s="29">
        <f t="shared" si="32"/>
        <v>24642</v>
      </c>
      <c r="CP14" s="29">
        <f t="shared" si="32"/>
        <v>24642</v>
      </c>
      <c r="CQ14" s="29">
        <f t="shared" si="32"/>
        <v>24642</v>
      </c>
      <c r="CR14" s="29">
        <f t="shared" si="32"/>
        <v>24642</v>
      </c>
      <c r="CS14" s="29">
        <f t="shared" ref="CS14:CT14" si="33">CS28</f>
        <v>24642</v>
      </c>
      <c r="CT14" s="29">
        <f t="shared" si="33"/>
        <v>24642</v>
      </c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18"/>
      <c r="DK14" s="118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118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8"/>
      <c r="ES14" s="118"/>
      <c r="ET14" s="118"/>
      <c r="EU14" s="118"/>
      <c r="EV14" s="118"/>
      <c r="EW14" s="118"/>
      <c r="EX14" s="118"/>
      <c r="EY14" s="118"/>
      <c r="EZ14" s="118"/>
      <c r="FA14" s="118"/>
      <c r="FB14" s="118"/>
      <c r="FC14" s="118"/>
      <c r="FD14" s="118"/>
      <c r="FE14" s="118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</row>
    <row r="15" spans="1:171" x14ac:dyDescent="0.25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</row>
    <row r="16" spans="1:171" x14ac:dyDescent="0.25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</row>
    <row r="17" spans="1:171" x14ac:dyDescent="0.25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</row>
    <row r="18" spans="1:171" x14ac:dyDescent="0.25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</row>
    <row r="19" spans="1:171" ht="15" x14ac:dyDescent="0.3">
      <c r="B19" s="27">
        <f t="shared" ref="B19:AG19" si="34">B1</f>
        <v>44927</v>
      </c>
      <c r="C19" s="27">
        <f t="shared" si="34"/>
        <v>44958</v>
      </c>
      <c r="D19" s="27">
        <f t="shared" si="34"/>
        <v>44986</v>
      </c>
      <c r="E19" s="27">
        <f t="shared" si="34"/>
        <v>45017</v>
      </c>
      <c r="F19" s="27">
        <f t="shared" si="34"/>
        <v>45047</v>
      </c>
      <c r="G19" s="27">
        <f t="shared" si="34"/>
        <v>45078</v>
      </c>
      <c r="H19" s="27">
        <f t="shared" si="34"/>
        <v>45108</v>
      </c>
      <c r="I19" s="27">
        <f t="shared" si="34"/>
        <v>45139</v>
      </c>
      <c r="J19" s="27">
        <f t="shared" si="34"/>
        <v>45170</v>
      </c>
      <c r="K19" s="27">
        <f t="shared" si="34"/>
        <v>45200</v>
      </c>
      <c r="L19" s="27">
        <f t="shared" si="34"/>
        <v>45231</v>
      </c>
      <c r="M19" s="27">
        <f t="shared" si="34"/>
        <v>45261</v>
      </c>
      <c r="N19" s="27">
        <f t="shared" si="34"/>
        <v>45292</v>
      </c>
      <c r="O19" s="27">
        <f t="shared" si="34"/>
        <v>45323</v>
      </c>
      <c r="P19" s="27">
        <f t="shared" si="34"/>
        <v>45352</v>
      </c>
      <c r="Q19" s="27">
        <f t="shared" si="34"/>
        <v>45383</v>
      </c>
      <c r="R19" s="27">
        <f t="shared" si="34"/>
        <v>45413</v>
      </c>
      <c r="S19" s="27">
        <f t="shared" si="34"/>
        <v>45444</v>
      </c>
      <c r="T19" s="27">
        <f t="shared" si="34"/>
        <v>45474</v>
      </c>
      <c r="U19" s="27">
        <f t="shared" si="34"/>
        <v>45505</v>
      </c>
      <c r="V19" s="27">
        <f t="shared" si="34"/>
        <v>45536</v>
      </c>
      <c r="W19" s="27">
        <f t="shared" si="34"/>
        <v>45566</v>
      </c>
      <c r="X19" s="27">
        <f t="shared" si="34"/>
        <v>45597</v>
      </c>
      <c r="Y19" s="27">
        <f t="shared" si="34"/>
        <v>45627</v>
      </c>
      <c r="Z19" s="27">
        <f t="shared" si="34"/>
        <v>45658</v>
      </c>
      <c r="AA19" s="27">
        <f t="shared" si="34"/>
        <v>45689</v>
      </c>
      <c r="AB19" s="27">
        <f t="shared" si="34"/>
        <v>45717</v>
      </c>
      <c r="AC19" s="27">
        <f t="shared" si="34"/>
        <v>45748</v>
      </c>
      <c r="AD19" s="27">
        <f t="shared" si="34"/>
        <v>45778</v>
      </c>
      <c r="AE19" s="27">
        <f t="shared" si="34"/>
        <v>45809</v>
      </c>
      <c r="AF19" s="27">
        <f t="shared" si="34"/>
        <v>45839</v>
      </c>
      <c r="AG19" s="27">
        <f t="shared" si="34"/>
        <v>45870</v>
      </c>
      <c r="AH19" s="27">
        <f t="shared" ref="AH19:BM19" si="35">AH1</f>
        <v>45901</v>
      </c>
      <c r="AI19" s="27">
        <f t="shared" si="35"/>
        <v>45931</v>
      </c>
      <c r="AJ19" s="27">
        <f t="shared" si="35"/>
        <v>45962</v>
      </c>
      <c r="AK19" s="27">
        <f t="shared" si="35"/>
        <v>45992</v>
      </c>
      <c r="AL19" s="27">
        <f t="shared" si="35"/>
        <v>46023</v>
      </c>
      <c r="AM19" s="27">
        <f t="shared" si="35"/>
        <v>46054</v>
      </c>
      <c r="AN19" s="27">
        <f t="shared" si="35"/>
        <v>46082</v>
      </c>
      <c r="AO19" s="27">
        <f t="shared" si="35"/>
        <v>46113</v>
      </c>
      <c r="AP19" s="27">
        <f t="shared" si="35"/>
        <v>46143</v>
      </c>
      <c r="AQ19" s="27">
        <f t="shared" si="35"/>
        <v>46174</v>
      </c>
      <c r="AR19" s="27">
        <f t="shared" si="35"/>
        <v>46204</v>
      </c>
      <c r="AS19" s="27">
        <f t="shared" si="35"/>
        <v>46235</v>
      </c>
      <c r="AT19" s="27">
        <f t="shared" si="35"/>
        <v>46266</v>
      </c>
      <c r="AU19" s="27">
        <f t="shared" si="35"/>
        <v>46296</v>
      </c>
      <c r="AV19" s="27">
        <f t="shared" si="35"/>
        <v>46327</v>
      </c>
      <c r="AW19" s="27">
        <f t="shared" si="35"/>
        <v>46357</v>
      </c>
      <c r="AX19" s="27">
        <f t="shared" si="35"/>
        <v>46388</v>
      </c>
      <c r="AY19" s="27">
        <f t="shared" si="35"/>
        <v>46419</v>
      </c>
      <c r="AZ19" s="27">
        <f t="shared" si="35"/>
        <v>46447</v>
      </c>
      <c r="BA19" s="27">
        <f t="shared" si="35"/>
        <v>46478</v>
      </c>
      <c r="BB19" s="27">
        <f t="shared" si="35"/>
        <v>46508</v>
      </c>
      <c r="BC19" s="27">
        <f t="shared" si="35"/>
        <v>46539</v>
      </c>
      <c r="BD19" s="27">
        <f t="shared" si="35"/>
        <v>46569</v>
      </c>
      <c r="BE19" s="27">
        <f t="shared" si="35"/>
        <v>46600</v>
      </c>
      <c r="BF19" s="27">
        <f t="shared" si="35"/>
        <v>46631</v>
      </c>
      <c r="BG19" s="27">
        <f t="shared" si="35"/>
        <v>46661</v>
      </c>
      <c r="BH19" s="27">
        <f t="shared" si="35"/>
        <v>46692</v>
      </c>
      <c r="BI19" s="27">
        <f t="shared" si="35"/>
        <v>46722</v>
      </c>
      <c r="BJ19" s="27">
        <f t="shared" si="35"/>
        <v>46753</v>
      </c>
      <c r="BK19" s="27">
        <f t="shared" si="35"/>
        <v>46784</v>
      </c>
      <c r="BL19" s="27">
        <f t="shared" si="35"/>
        <v>46813</v>
      </c>
      <c r="BM19" s="27">
        <f t="shared" si="35"/>
        <v>46844</v>
      </c>
      <c r="BN19" s="27">
        <f t="shared" ref="BN19:CR19" si="36">BN1</f>
        <v>46874</v>
      </c>
      <c r="BO19" s="27">
        <f t="shared" si="36"/>
        <v>46905</v>
      </c>
      <c r="BP19" s="27">
        <f t="shared" si="36"/>
        <v>46935</v>
      </c>
      <c r="BQ19" s="27">
        <f t="shared" si="36"/>
        <v>46966</v>
      </c>
      <c r="BR19" s="27">
        <f t="shared" si="36"/>
        <v>46997</v>
      </c>
      <c r="BS19" s="27">
        <f t="shared" si="36"/>
        <v>47027</v>
      </c>
      <c r="BT19" s="27">
        <f t="shared" si="36"/>
        <v>47058</v>
      </c>
      <c r="BU19" s="27">
        <f t="shared" si="36"/>
        <v>47088</v>
      </c>
      <c r="BV19" s="27">
        <f t="shared" si="36"/>
        <v>47119</v>
      </c>
      <c r="BW19" s="27">
        <f t="shared" si="36"/>
        <v>47150</v>
      </c>
      <c r="BX19" s="27">
        <f t="shared" si="36"/>
        <v>47178</v>
      </c>
      <c r="BY19" s="27">
        <f t="shared" si="36"/>
        <v>47209</v>
      </c>
      <c r="BZ19" s="27">
        <f t="shared" si="36"/>
        <v>47239</v>
      </c>
      <c r="CA19" s="27">
        <f t="shared" si="36"/>
        <v>47270</v>
      </c>
      <c r="CB19" s="27">
        <f t="shared" si="36"/>
        <v>47300</v>
      </c>
      <c r="CC19" s="27">
        <f t="shared" si="36"/>
        <v>47331</v>
      </c>
      <c r="CD19" s="27">
        <f t="shared" si="36"/>
        <v>47362</v>
      </c>
      <c r="CE19" s="27">
        <f t="shared" si="36"/>
        <v>47392</v>
      </c>
      <c r="CF19" s="27">
        <f t="shared" si="36"/>
        <v>47423</v>
      </c>
      <c r="CG19" s="27">
        <f t="shared" si="36"/>
        <v>47453</v>
      </c>
      <c r="CH19" s="27">
        <f t="shared" si="36"/>
        <v>47484</v>
      </c>
      <c r="CI19" s="27">
        <f t="shared" si="36"/>
        <v>47515</v>
      </c>
      <c r="CJ19" s="27">
        <f t="shared" si="36"/>
        <v>47543</v>
      </c>
      <c r="CK19" s="27">
        <f t="shared" si="36"/>
        <v>47574</v>
      </c>
      <c r="CL19" s="27">
        <f t="shared" si="36"/>
        <v>47604</v>
      </c>
      <c r="CM19" s="27">
        <f t="shared" si="36"/>
        <v>47635</v>
      </c>
      <c r="CN19" s="27">
        <f t="shared" si="36"/>
        <v>47665</v>
      </c>
      <c r="CO19" s="27">
        <f t="shared" si="36"/>
        <v>47696</v>
      </c>
      <c r="CP19" s="27">
        <f t="shared" si="36"/>
        <v>47727</v>
      </c>
      <c r="CQ19" s="27">
        <f t="shared" si="36"/>
        <v>47757</v>
      </c>
      <c r="CR19" s="27">
        <f t="shared" si="36"/>
        <v>47788</v>
      </c>
      <c r="CS19" s="27">
        <f t="shared" ref="CS19:CT19" si="37">CS1</f>
        <v>47818</v>
      </c>
      <c r="CT19" s="27">
        <f t="shared" si="37"/>
        <v>47849</v>
      </c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7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/>
      <c r="DV19" s="117"/>
      <c r="DW19" s="117"/>
      <c r="DX19" s="117"/>
      <c r="DY19" s="117"/>
      <c r="DZ19" s="117"/>
      <c r="EA19" s="117"/>
      <c r="EB19" s="117"/>
      <c r="EC19" s="117"/>
      <c r="ED19" s="117"/>
      <c r="EE19" s="117"/>
      <c r="EF19" s="117"/>
      <c r="EG19" s="117"/>
      <c r="EH19" s="117"/>
      <c r="EI19" s="117"/>
      <c r="EJ19" s="117"/>
      <c r="EK19" s="117"/>
      <c r="EL19" s="117"/>
      <c r="EM19" s="117"/>
      <c r="EN19" s="117"/>
      <c r="EO19" s="117"/>
      <c r="EP19" s="117"/>
      <c r="EQ19" s="117"/>
      <c r="ER19" s="117"/>
      <c r="ES19" s="117"/>
      <c r="ET19" s="117"/>
      <c r="EU19" s="117"/>
      <c r="EV19" s="117"/>
      <c r="EW19" s="117"/>
      <c r="EX19" s="117"/>
      <c r="EY19" s="117"/>
      <c r="EZ19" s="117"/>
      <c r="FA19" s="117"/>
      <c r="FB19" s="117"/>
      <c r="FC19" s="117"/>
      <c r="FD19" s="117"/>
      <c r="FE19" s="117"/>
      <c r="FF19" s="117"/>
      <c r="FG19" s="117"/>
      <c r="FH19" s="117"/>
      <c r="FI19" s="117"/>
      <c r="FJ19" s="117"/>
      <c r="FK19" s="117"/>
      <c r="FL19" s="117"/>
      <c r="FM19" s="117"/>
      <c r="FN19" s="117"/>
      <c r="FO19" s="117"/>
    </row>
    <row r="20" spans="1:171" ht="15" x14ac:dyDescent="0.3">
      <c r="A20" s="38" t="s">
        <v>36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</row>
    <row r="21" spans="1:171" x14ac:dyDescent="0.25">
      <c r="A21" s="36" t="s">
        <v>37</v>
      </c>
      <c r="B21" s="39"/>
      <c r="C21" s="39">
        <f>C4-B5</f>
        <v>0</v>
      </c>
      <c r="D21" s="39"/>
      <c r="E21" s="39"/>
      <c r="F21" s="39">
        <f>F4-E5</f>
        <v>0</v>
      </c>
      <c r="G21" s="39"/>
      <c r="H21" s="39"/>
      <c r="I21" s="39">
        <f>I4-H5</f>
        <v>0</v>
      </c>
      <c r="J21" s="39"/>
      <c r="K21" s="39"/>
      <c r="L21" s="39"/>
      <c r="M21" s="39"/>
      <c r="N21" s="39">
        <f>N4-M5</f>
        <v>0</v>
      </c>
      <c r="O21" s="39">
        <f>O4-N5</f>
        <v>0</v>
      </c>
      <c r="P21" s="39"/>
      <c r="Q21" s="29">
        <f>4979869+500000+1400000+11962351</f>
        <v>18842220</v>
      </c>
      <c r="R21" s="29">
        <v>0</v>
      </c>
      <c r="S21" s="39"/>
      <c r="T21" s="29">
        <f>3037649+12798092+3242007</f>
        <v>19077748</v>
      </c>
      <c r="U21" s="29">
        <v>0</v>
      </c>
      <c r="V21" s="39"/>
      <c r="W21" s="29">
        <v>19316220</v>
      </c>
      <c r="X21" s="29">
        <v>0</v>
      </c>
      <c r="Y21" s="39"/>
      <c r="Z21" s="29">
        <v>19557673</v>
      </c>
      <c r="AA21" s="39"/>
      <c r="AB21" s="39"/>
      <c r="AC21" s="29">
        <f>7333186+3478071</f>
        <v>10811257</v>
      </c>
      <c r="AD21" s="39"/>
      <c r="AE21" s="39"/>
      <c r="AF21" s="39">
        <v>0</v>
      </c>
      <c r="AG21" s="39"/>
      <c r="AH21" s="39"/>
      <c r="AI21" s="39">
        <v>0</v>
      </c>
      <c r="AJ21" s="39"/>
      <c r="AK21" s="39"/>
      <c r="AL21" s="39">
        <f>AL4-AK5</f>
        <v>69894893.635149419</v>
      </c>
      <c r="AM21" s="39"/>
      <c r="AN21" s="39"/>
      <c r="AO21" s="39">
        <f>AO4-AN5</f>
        <v>20810970.528618902</v>
      </c>
      <c r="AP21" s="39"/>
      <c r="AQ21" s="39"/>
      <c r="AR21" s="39">
        <f>AR4-AQ5</f>
        <v>21071107.660226643</v>
      </c>
      <c r="AS21" s="39"/>
      <c r="AT21" s="39"/>
      <c r="AU21" s="39">
        <f>AU4-AT5</f>
        <v>21334496.505979478</v>
      </c>
      <c r="AV21" s="39"/>
      <c r="AW21" s="39"/>
      <c r="AX21" s="39">
        <f>AX4-AW5</f>
        <v>21601177.712304205</v>
      </c>
      <c r="AY21" s="39"/>
      <c r="AZ21" s="39"/>
      <c r="BA21" s="39">
        <f>BA4-AZ5</f>
        <v>21871192.433708012</v>
      </c>
      <c r="BB21" s="39"/>
      <c r="BC21" s="39"/>
      <c r="BD21" s="39">
        <f>BD4-BC5</f>
        <v>22144582.339129388</v>
      </c>
      <c r="BE21" s="39"/>
      <c r="BF21" s="39"/>
      <c r="BG21" s="39">
        <f>BG4-BF5</f>
        <v>22421389.618368506</v>
      </c>
      <c r="BH21" s="39"/>
      <c r="BI21" s="39"/>
      <c r="BJ21" s="39">
        <f>BJ4-BI5</f>
        <v>22701656.988598108</v>
      </c>
      <c r="BK21" s="39"/>
      <c r="BL21" s="39"/>
      <c r="BM21" s="39">
        <f>BM4-BL5</f>
        <v>22985427.70095557</v>
      </c>
      <c r="BN21" s="39"/>
      <c r="BO21" s="39"/>
      <c r="BP21" s="39">
        <f>BP4-BO5</f>
        <v>23272745.547217548</v>
      </c>
      <c r="BQ21" s="39"/>
      <c r="BR21" s="39"/>
      <c r="BS21" s="39">
        <f>BS4-BR5</f>
        <v>23563654.866557717</v>
      </c>
      <c r="BT21" s="39"/>
      <c r="BU21" s="39"/>
      <c r="BV21" s="39">
        <f>BV4-BU5</f>
        <v>23858200.552389741</v>
      </c>
      <c r="BW21" s="39"/>
      <c r="BX21" s="39"/>
      <c r="BY21" s="39">
        <f>BY4-BX5</f>
        <v>24156428.059294581</v>
      </c>
      <c r="BZ21" s="39"/>
      <c r="CA21" s="39"/>
      <c r="CB21" s="39">
        <f>CB4-CA5</f>
        <v>24458383.410035729</v>
      </c>
      <c r="CC21" s="39"/>
      <c r="CD21" s="39"/>
      <c r="CE21" s="39">
        <f>CE4-CD5</f>
        <v>24764113.202661216</v>
      </c>
      <c r="CF21" s="39"/>
      <c r="CG21" s="39"/>
      <c r="CH21" s="39">
        <f>CH4-CG5</f>
        <v>25073664.617694497</v>
      </c>
      <c r="CI21" s="39"/>
      <c r="CJ21" s="39"/>
      <c r="CK21" s="39">
        <f>CK4-CJ5</f>
        <v>25387085.425415695</v>
      </c>
      <c r="CL21" s="39"/>
      <c r="CM21" s="39"/>
      <c r="CN21" s="39">
        <f>CN4-CM5</f>
        <v>25704423.993233323</v>
      </c>
      <c r="CO21" s="39"/>
      <c r="CP21" s="39"/>
      <c r="CQ21" s="39">
        <f>CQ4-CP5</f>
        <v>26025729.293148756</v>
      </c>
      <c r="CR21" s="39"/>
      <c r="CS21" s="39"/>
      <c r="CT21" s="39">
        <f>CT4-CS5</f>
        <v>26351050.909313083</v>
      </c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19"/>
      <c r="DL21" s="119"/>
      <c r="DM21" s="119"/>
      <c r="DN21" s="119"/>
      <c r="DO21" s="119"/>
      <c r="DP21" s="119"/>
      <c r="DQ21" s="119"/>
      <c r="DR21" s="119"/>
      <c r="DS21" s="119"/>
      <c r="DT21" s="119"/>
      <c r="DU21" s="119"/>
      <c r="DV21" s="119"/>
      <c r="DW21" s="119"/>
      <c r="DX21" s="119"/>
      <c r="DY21" s="119"/>
      <c r="DZ21" s="119"/>
      <c r="EA21" s="119"/>
      <c r="EB21" s="119"/>
      <c r="EC21" s="119"/>
      <c r="ED21" s="119"/>
      <c r="EE21" s="119"/>
      <c r="EF21" s="119"/>
      <c r="EG21" s="119"/>
      <c r="EH21" s="119"/>
      <c r="EI21" s="119"/>
      <c r="EJ21" s="119"/>
      <c r="EK21" s="119"/>
      <c r="EL21" s="119"/>
      <c r="EM21" s="119"/>
      <c r="EN21" s="119"/>
      <c r="EO21" s="119"/>
      <c r="EP21" s="119"/>
      <c r="EQ21" s="119"/>
      <c r="ER21" s="119"/>
      <c r="ES21" s="119"/>
      <c r="ET21" s="119"/>
      <c r="EU21" s="119"/>
      <c r="EV21" s="119"/>
      <c r="EW21" s="119"/>
      <c r="EX21" s="119"/>
      <c r="EY21" s="119"/>
      <c r="EZ21" s="119"/>
      <c r="FA21" s="119"/>
      <c r="FB21" s="119"/>
      <c r="FC21" s="119"/>
      <c r="FD21" s="119"/>
      <c r="FE21" s="119"/>
      <c r="FF21" s="119"/>
      <c r="FG21" s="119"/>
      <c r="FH21" s="119"/>
      <c r="FI21" s="119"/>
      <c r="FJ21" s="119"/>
      <c r="FK21" s="119"/>
      <c r="FL21" s="119"/>
      <c r="FM21" s="119"/>
      <c r="FN21" s="119"/>
      <c r="FO21" s="119"/>
    </row>
    <row r="22" spans="1:171" x14ac:dyDescent="0.25">
      <c r="A22" s="36" t="s">
        <v>38</v>
      </c>
      <c r="B22" s="29">
        <f>+B21</f>
        <v>0</v>
      </c>
      <c r="C22" s="29">
        <f>B22+C21</f>
        <v>0</v>
      </c>
      <c r="D22" s="29">
        <f t="shared" ref="D22" si="38">C22+D21</f>
        <v>0</v>
      </c>
      <c r="E22" s="29">
        <f t="shared" ref="E22:AJ22" si="39">D22+E21</f>
        <v>0</v>
      </c>
      <c r="F22" s="29">
        <f t="shared" si="39"/>
        <v>0</v>
      </c>
      <c r="G22" s="29">
        <f t="shared" si="39"/>
        <v>0</v>
      </c>
      <c r="H22" s="29">
        <f t="shared" si="39"/>
        <v>0</v>
      </c>
      <c r="I22" s="29">
        <f t="shared" si="39"/>
        <v>0</v>
      </c>
      <c r="J22" s="29">
        <f t="shared" si="39"/>
        <v>0</v>
      </c>
      <c r="K22" s="29">
        <f t="shared" si="39"/>
        <v>0</v>
      </c>
      <c r="L22" s="29">
        <f t="shared" si="39"/>
        <v>0</v>
      </c>
      <c r="M22" s="29">
        <f t="shared" si="39"/>
        <v>0</v>
      </c>
      <c r="N22" s="29">
        <f t="shared" si="39"/>
        <v>0</v>
      </c>
      <c r="O22" s="29">
        <f t="shared" si="39"/>
        <v>0</v>
      </c>
      <c r="P22" s="29">
        <f t="shared" si="39"/>
        <v>0</v>
      </c>
      <c r="Q22" s="29">
        <f t="shared" si="39"/>
        <v>18842220</v>
      </c>
      <c r="R22" s="29">
        <f t="shared" si="39"/>
        <v>18842220</v>
      </c>
      <c r="S22" s="29">
        <f t="shared" si="39"/>
        <v>18842220</v>
      </c>
      <c r="T22" s="29">
        <f t="shared" si="39"/>
        <v>37919968</v>
      </c>
      <c r="U22" s="29">
        <f t="shared" si="39"/>
        <v>37919968</v>
      </c>
      <c r="V22" s="29">
        <f t="shared" si="39"/>
        <v>37919968</v>
      </c>
      <c r="W22" s="29">
        <f t="shared" si="39"/>
        <v>57236188</v>
      </c>
      <c r="X22" s="29">
        <f t="shared" si="39"/>
        <v>57236188</v>
      </c>
      <c r="Y22" s="29">
        <f t="shared" si="39"/>
        <v>57236188</v>
      </c>
      <c r="Z22" s="29">
        <f t="shared" si="39"/>
        <v>76793861</v>
      </c>
      <c r="AA22" s="29">
        <f t="shared" si="39"/>
        <v>76793861</v>
      </c>
      <c r="AB22" s="29">
        <f t="shared" si="39"/>
        <v>76793861</v>
      </c>
      <c r="AC22" s="29">
        <f t="shared" si="39"/>
        <v>87605118</v>
      </c>
      <c r="AD22" s="29">
        <f t="shared" si="39"/>
        <v>87605118</v>
      </c>
      <c r="AE22" s="29">
        <f t="shared" si="39"/>
        <v>87605118</v>
      </c>
      <c r="AF22" s="29">
        <f t="shared" si="39"/>
        <v>87605118</v>
      </c>
      <c r="AG22" s="29">
        <f t="shared" si="39"/>
        <v>87605118</v>
      </c>
      <c r="AH22" s="29">
        <f t="shared" si="39"/>
        <v>87605118</v>
      </c>
      <c r="AI22" s="29">
        <f t="shared" si="39"/>
        <v>87605118</v>
      </c>
      <c r="AJ22" s="29">
        <f t="shared" si="39"/>
        <v>87605118</v>
      </c>
      <c r="AK22" s="29">
        <f t="shared" ref="AK22:BP22" si="40">AJ22+AK21</f>
        <v>87605118</v>
      </c>
      <c r="AL22" s="29">
        <f t="shared" si="40"/>
        <v>157500011.63514942</v>
      </c>
      <c r="AM22" s="29">
        <f t="shared" si="40"/>
        <v>157500011.63514942</v>
      </c>
      <c r="AN22" s="29">
        <f t="shared" si="40"/>
        <v>157500011.63514942</v>
      </c>
      <c r="AO22" s="29">
        <f t="shared" si="40"/>
        <v>178310982.16376832</v>
      </c>
      <c r="AP22" s="29">
        <f t="shared" si="40"/>
        <v>178310982.16376832</v>
      </c>
      <c r="AQ22" s="29">
        <f t="shared" si="40"/>
        <v>178310982.16376832</v>
      </c>
      <c r="AR22" s="29">
        <f t="shared" si="40"/>
        <v>199382089.82399496</v>
      </c>
      <c r="AS22" s="29">
        <f t="shared" si="40"/>
        <v>199382089.82399496</v>
      </c>
      <c r="AT22" s="29">
        <f t="shared" si="40"/>
        <v>199382089.82399496</v>
      </c>
      <c r="AU22" s="29">
        <f t="shared" si="40"/>
        <v>220716586.32997444</v>
      </c>
      <c r="AV22" s="29">
        <f t="shared" si="40"/>
        <v>220716586.32997444</v>
      </c>
      <c r="AW22" s="29">
        <f t="shared" si="40"/>
        <v>220716586.32997444</v>
      </c>
      <c r="AX22" s="29">
        <f t="shared" si="40"/>
        <v>242317764.04227865</v>
      </c>
      <c r="AY22" s="29">
        <f t="shared" si="40"/>
        <v>242317764.04227865</v>
      </c>
      <c r="AZ22" s="29">
        <f t="shared" si="40"/>
        <v>242317764.04227865</v>
      </c>
      <c r="BA22" s="29">
        <f t="shared" si="40"/>
        <v>264188956.47598666</v>
      </c>
      <c r="BB22" s="29">
        <f t="shared" si="40"/>
        <v>264188956.47598666</v>
      </c>
      <c r="BC22" s="29">
        <f t="shared" si="40"/>
        <v>264188956.47598666</v>
      </c>
      <c r="BD22" s="29">
        <f t="shared" si="40"/>
        <v>286333538.81511605</v>
      </c>
      <c r="BE22" s="29">
        <f t="shared" si="40"/>
        <v>286333538.81511605</v>
      </c>
      <c r="BF22" s="29">
        <f t="shared" si="40"/>
        <v>286333538.81511605</v>
      </c>
      <c r="BG22" s="29">
        <f t="shared" si="40"/>
        <v>308754928.43348455</v>
      </c>
      <c r="BH22" s="29">
        <f t="shared" si="40"/>
        <v>308754928.43348455</v>
      </c>
      <c r="BI22" s="29">
        <f t="shared" si="40"/>
        <v>308754928.43348455</v>
      </c>
      <c r="BJ22" s="29">
        <f t="shared" si="40"/>
        <v>331456585.42208266</v>
      </c>
      <c r="BK22" s="29">
        <f t="shared" si="40"/>
        <v>331456585.42208266</v>
      </c>
      <c r="BL22" s="29">
        <f t="shared" si="40"/>
        <v>331456585.42208266</v>
      </c>
      <c r="BM22" s="29">
        <f t="shared" si="40"/>
        <v>354442013.12303823</v>
      </c>
      <c r="BN22" s="29">
        <f t="shared" si="40"/>
        <v>354442013.12303823</v>
      </c>
      <c r="BO22" s="29">
        <f t="shared" si="40"/>
        <v>354442013.12303823</v>
      </c>
      <c r="BP22" s="29">
        <f t="shared" si="40"/>
        <v>377714758.67025578</v>
      </c>
      <c r="BQ22" s="29">
        <f t="shared" ref="BQ22:CT22" si="41">BP22+BQ21</f>
        <v>377714758.67025578</v>
      </c>
      <c r="BR22" s="29">
        <f t="shared" si="41"/>
        <v>377714758.67025578</v>
      </c>
      <c r="BS22" s="29">
        <f t="shared" si="41"/>
        <v>401278413.5368135</v>
      </c>
      <c r="BT22" s="29">
        <f t="shared" si="41"/>
        <v>401278413.5368135</v>
      </c>
      <c r="BU22" s="29">
        <f t="shared" si="41"/>
        <v>401278413.5368135</v>
      </c>
      <c r="BV22" s="29">
        <f t="shared" si="41"/>
        <v>425136614.08920324</v>
      </c>
      <c r="BW22" s="29">
        <f t="shared" si="41"/>
        <v>425136614.08920324</v>
      </c>
      <c r="BX22" s="29">
        <f t="shared" si="41"/>
        <v>425136614.08920324</v>
      </c>
      <c r="BY22" s="29">
        <f t="shared" si="41"/>
        <v>449293042.14849782</v>
      </c>
      <c r="BZ22" s="29">
        <f t="shared" si="41"/>
        <v>449293042.14849782</v>
      </c>
      <c r="CA22" s="29">
        <f t="shared" si="41"/>
        <v>449293042.14849782</v>
      </c>
      <c r="CB22" s="29">
        <f t="shared" si="41"/>
        <v>473751425.55853355</v>
      </c>
      <c r="CC22" s="29">
        <f t="shared" si="41"/>
        <v>473751425.55853355</v>
      </c>
      <c r="CD22" s="29">
        <f t="shared" si="41"/>
        <v>473751425.55853355</v>
      </c>
      <c r="CE22" s="29">
        <f t="shared" si="41"/>
        <v>498515538.76119477</v>
      </c>
      <c r="CF22" s="29">
        <f t="shared" si="41"/>
        <v>498515538.76119477</v>
      </c>
      <c r="CG22" s="29">
        <f t="shared" si="41"/>
        <v>498515538.76119477</v>
      </c>
      <c r="CH22" s="29">
        <f t="shared" si="41"/>
        <v>523589203.37888926</v>
      </c>
      <c r="CI22" s="29">
        <f t="shared" si="41"/>
        <v>523589203.37888926</v>
      </c>
      <c r="CJ22" s="29">
        <f t="shared" si="41"/>
        <v>523589203.37888926</v>
      </c>
      <c r="CK22" s="29">
        <f t="shared" si="41"/>
        <v>548976288.80430496</v>
      </c>
      <c r="CL22" s="29">
        <f t="shared" si="41"/>
        <v>548976288.80430496</v>
      </c>
      <c r="CM22" s="29">
        <f t="shared" si="41"/>
        <v>548976288.80430496</v>
      </c>
      <c r="CN22" s="29">
        <f t="shared" si="41"/>
        <v>574680712.79753828</v>
      </c>
      <c r="CO22" s="29">
        <f t="shared" si="41"/>
        <v>574680712.79753828</v>
      </c>
      <c r="CP22" s="29">
        <f t="shared" si="41"/>
        <v>574680712.79753828</v>
      </c>
      <c r="CQ22" s="29">
        <f t="shared" si="41"/>
        <v>600706442.09068704</v>
      </c>
      <c r="CR22" s="29">
        <f t="shared" si="41"/>
        <v>600706442.09068704</v>
      </c>
      <c r="CS22" s="29">
        <f t="shared" si="41"/>
        <v>600706442.09068704</v>
      </c>
      <c r="CT22" s="29">
        <f t="shared" si="41"/>
        <v>627057493.00000012</v>
      </c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118"/>
      <c r="DG22" s="118"/>
      <c r="DH22" s="118"/>
      <c r="DI22" s="118"/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  <c r="ER22" s="118"/>
      <c r="ES22" s="118"/>
      <c r="ET22" s="118"/>
      <c r="EU22" s="118"/>
      <c r="EV22" s="118"/>
      <c r="EW22" s="118"/>
      <c r="EX22" s="118"/>
      <c r="EY22" s="118"/>
      <c r="EZ22" s="118"/>
      <c r="FA22" s="118"/>
      <c r="FB22" s="118"/>
      <c r="FC22" s="118"/>
      <c r="FD22" s="118"/>
      <c r="FE22" s="118"/>
      <c r="FF22" s="118"/>
      <c r="FG22" s="118"/>
      <c r="FH22" s="118"/>
      <c r="FI22" s="118"/>
      <c r="FJ22" s="118"/>
      <c r="FK22" s="118"/>
      <c r="FL22" s="118"/>
      <c r="FM22" s="118"/>
      <c r="FN22" s="118"/>
      <c r="FO22" s="118"/>
    </row>
    <row r="23" spans="1:171" x14ac:dyDescent="0.2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  <c r="FB23" s="118"/>
      <c r="FC23" s="118"/>
      <c r="FD23" s="118"/>
      <c r="FE23" s="118"/>
      <c r="FF23" s="118"/>
      <c r="FG23" s="118"/>
      <c r="FH23" s="118"/>
      <c r="FI23" s="118"/>
      <c r="FJ23" s="118"/>
      <c r="FK23" s="118"/>
      <c r="FL23" s="118"/>
      <c r="FM23" s="118"/>
      <c r="FN23" s="118"/>
      <c r="FO23" s="118"/>
    </row>
    <row r="24" spans="1:171" ht="15" x14ac:dyDescent="0.3">
      <c r="A24" s="38" t="s">
        <v>41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N24" s="118"/>
      <c r="DO24" s="118"/>
      <c r="DP24" s="118"/>
      <c r="DQ24" s="118"/>
      <c r="DR24" s="118"/>
      <c r="DS24" s="118"/>
      <c r="DT24" s="118"/>
      <c r="DU24" s="118"/>
      <c r="DV24" s="118"/>
      <c r="DW24" s="118"/>
      <c r="DX24" s="118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  <c r="EJ24" s="118"/>
      <c r="EK24" s="118"/>
      <c r="EL24" s="118"/>
      <c r="EM24" s="118"/>
      <c r="EN24" s="118"/>
      <c r="EO24" s="118"/>
      <c r="EP24" s="118"/>
      <c r="EQ24" s="118"/>
      <c r="ER24" s="118"/>
      <c r="ES24" s="118"/>
      <c r="ET24" s="118"/>
      <c r="EU24" s="118"/>
      <c r="EV24" s="118"/>
      <c r="EW24" s="118"/>
      <c r="EX24" s="118"/>
      <c r="EY24" s="118"/>
      <c r="EZ24" s="118"/>
      <c r="FA24" s="118"/>
      <c r="FB24" s="118"/>
      <c r="FC24" s="118"/>
      <c r="FD24" s="118"/>
      <c r="FE24" s="118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</row>
    <row r="25" spans="1:171" s="70" customFormat="1" x14ac:dyDescent="0.25">
      <c r="A25" s="36" t="s">
        <v>42</v>
      </c>
      <c r="B25" s="39"/>
      <c r="C25" s="116">
        <f>+C10-B11</f>
        <v>0</v>
      </c>
      <c r="D25" s="89"/>
      <c r="E25" s="109">
        <v>3840278</v>
      </c>
      <c r="F25" s="89"/>
      <c r="G25" s="39"/>
      <c r="H25" s="29">
        <v>5665109</v>
      </c>
      <c r="I25" s="89"/>
      <c r="J25" s="39"/>
      <c r="K25" s="29">
        <f>10249+2500000+5000000+415061</f>
        <v>7925310</v>
      </c>
      <c r="L25" s="89"/>
      <c r="M25" s="39"/>
      <c r="N25" s="29">
        <v>7925310</v>
      </c>
      <c r="O25" s="89"/>
      <c r="P25" s="39"/>
      <c r="Q25" s="29">
        <f>183862+7741448</f>
        <v>7925310</v>
      </c>
      <c r="R25" s="89"/>
      <c r="S25" s="39"/>
      <c r="T25" s="29">
        <f>2258552+3000000+100000+2328613</f>
        <v>7687165</v>
      </c>
      <c r="U25" s="89"/>
      <c r="V25" s="39"/>
      <c r="W25" s="29">
        <f>4171387+3520131</f>
        <v>7691518</v>
      </c>
      <c r="X25" s="89"/>
      <c r="Y25" s="39"/>
      <c r="Z25" s="29">
        <v>7201908</v>
      </c>
      <c r="AA25" s="89"/>
      <c r="AB25" s="39"/>
      <c r="AC25" s="29">
        <v>6725444</v>
      </c>
      <c r="AD25" s="89"/>
      <c r="AE25" s="39"/>
      <c r="AF25" s="29">
        <v>6925470</v>
      </c>
      <c r="AG25" s="89"/>
      <c r="AH25" s="39"/>
      <c r="AI25" s="29">
        <f>2500000+2500000+1521929</f>
        <v>6521929</v>
      </c>
      <c r="AJ25" s="89"/>
      <c r="AK25" s="39"/>
      <c r="AL25" s="39">
        <f>AL10-AK11</f>
        <v>6194464.1785604656</v>
      </c>
      <c r="AM25" s="89"/>
      <c r="AN25" s="39"/>
      <c r="AO25" s="39">
        <f>AO10-AN11</f>
        <v>5869468.5170606375</v>
      </c>
      <c r="AP25" s="89"/>
      <c r="AQ25" s="39"/>
      <c r="AR25" s="39">
        <f>AR10-AQ11</f>
        <v>5733983.194018513</v>
      </c>
      <c r="AS25" s="89"/>
      <c r="AT25" s="39"/>
      <c r="AU25" s="39">
        <f>AU10-AT11</f>
        <v>5464741.2628045082</v>
      </c>
      <c r="AV25" s="89"/>
      <c r="AW25" s="39"/>
      <c r="AX25" s="39">
        <f>AX10-AW11</f>
        <v>5135697.5704128295</v>
      </c>
      <c r="AY25" s="89"/>
      <c r="AZ25" s="39"/>
      <c r="BA25" s="39">
        <f>BA10-AZ11</f>
        <v>4809246.6119715124</v>
      </c>
      <c r="BB25" s="89"/>
      <c r="BC25" s="39"/>
      <c r="BD25" s="39">
        <f>BD10-BC11</f>
        <v>4636653.5222512782</v>
      </c>
      <c r="BE25" s="89"/>
      <c r="BF25" s="39"/>
      <c r="BG25" s="39">
        <f>BG10-BF11</f>
        <v>4353694.9701401889</v>
      </c>
      <c r="BH25" s="89"/>
      <c r="BI25" s="39"/>
      <c r="BJ25" s="39">
        <f>BJ10-BI11</f>
        <v>4022990.7466045767</v>
      </c>
      <c r="BK25" s="89"/>
      <c r="BL25" s="39"/>
      <c r="BM25" s="39">
        <f>BM10-BL11</f>
        <v>3736067.0263320059</v>
      </c>
      <c r="BN25" s="89"/>
      <c r="BO25" s="39"/>
      <c r="BP25" s="39">
        <f>BP10-BO11</f>
        <v>3483420.0206500739</v>
      </c>
      <c r="BQ25" s="89"/>
      <c r="BR25" s="39"/>
      <c r="BS25" s="39">
        <f>BS10-BR11</f>
        <v>3186046.0497689545</v>
      </c>
      <c r="BT25" s="89"/>
      <c r="BU25" s="39"/>
      <c r="BV25" s="39">
        <f>BV10-BU11</f>
        <v>2853596.698770836</v>
      </c>
      <c r="BW25" s="89"/>
      <c r="BX25" s="39"/>
      <c r="BY25" s="39">
        <f>BY10-BX11</f>
        <v>2524010.986384958</v>
      </c>
      <c r="BZ25" s="89"/>
      <c r="CA25" s="39"/>
      <c r="CB25" s="39">
        <f>CB10-CA11</f>
        <v>2271434.649769187</v>
      </c>
      <c r="CC25" s="89"/>
      <c r="CD25" s="39"/>
      <c r="CE25" s="39">
        <f>CE10-CD11</f>
        <v>1958910.861752063</v>
      </c>
      <c r="CF25" s="89"/>
      <c r="CG25" s="39"/>
      <c r="CH25" s="39">
        <f>CH10-CG11</f>
        <v>1624627.4771848917</v>
      </c>
      <c r="CI25" s="89"/>
      <c r="CJ25" s="39"/>
      <c r="CK25" s="39">
        <f>CK10-CJ11</f>
        <v>1293353.6202638745</v>
      </c>
      <c r="CL25" s="89"/>
      <c r="CM25" s="39"/>
      <c r="CN25" s="39">
        <f>CN10-CM11</f>
        <v>997704.27583387494</v>
      </c>
      <c r="CO25" s="89"/>
      <c r="CP25" s="39"/>
      <c r="CQ25" s="39">
        <f>CQ10-CP11</f>
        <v>669258.85814255476</v>
      </c>
      <c r="CR25" s="39">
        <f>CR10-CQ11</f>
        <v>0</v>
      </c>
      <c r="CS25" s="39">
        <f>CS10-CR11</f>
        <v>0</v>
      </c>
      <c r="CT25" s="39">
        <f>CT10-CS11</f>
        <v>333048.00454825163</v>
      </c>
      <c r="CU25" s="119"/>
      <c r="CV25" s="120"/>
      <c r="CW25" s="119"/>
      <c r="CX25" s="119"/>
      <c r="CY25" s="120"/>
      <c r="CZ25" s="119"/>
      <c r="DA25" s="119"/>
      <c r="DB25" s="120"/>
      <c r="DC25" s="119"/>
      <c r="DD25" s="119"/>
      <c r="DE25" s="120"/>
      <c r="DF25" s="119"/>
      <c r="DG25" s="119"/>
      <c r="DH25" s="120"/>
      <c r="DI25" s="119"/>
      <c r="DJ25" s="119"/>
      <c r="DK25" s="120"/>
      <c r="DL25" s="119"/>
      <c r="DM25" s="119"/>
      <c r="DN25" s="120"/>
      <c r="DO25" s="119"/>
      <c r="DP25" s="119"/>
      <c r="DQ25" s="120"/>
      <c r="DR25" s="119"/>
      <c r="DS25" s="119"/>
      <c r="DT25" s="120"/>
      <c r="DU25" s="119"/>
      <c r="DV25" s="119"/>
      <c r="DW25" s="120"/>
      <c r="DX25" s="119"/>
      <c r="DY25" s="119"/>
      <c r="DZ25" s="120"/>
      <c r="EA25" s="119"/>
      <c r="EB25" s="119"/>
      <c r="EC25" s="120"/>
      <c r="ED25" s="119"/>
      <c r="EE25" s="119"/>
      <c r="EF25" s="120"/>
      <c r="EG25" s="119"/>
      <c r="EH25" s="119"/>
      <c r="EI25" s="120"/>
      <c r="EJ25" s="119"/>
      <c r="EK25" s="119"/>
      <c r="EL25" s="120"/>
      <c r="EM25" s="119"/>
      <c r="EN25" s="119"/>
      <c r="EO25" s="120"/>
      <c r="EP25" s="119"/>
      <c r="EQ25" s="119"/>
      <c r="ER25" s="120"/>
      <c r="ES25" s="119"/>
      <c r="ET25" s="119"/>
      <c r="EU25" s="120"/>
      <c r="EV25" s="119"/>
      <c r="EW25" s="119"/>
      <c r="EX25" s="120"/>
      <c r="EY25" s="119"/>
      <c r="EZ25" s="119"/>
      <c r="FA25" s="120"/>
      <c r="FB25" s="119"/>
      <c r="FC25" s="119"/>
      <c r="FD25" s="120"/>
      <c r="FE25" s="119"/>
      <c r="FF25" s="119"/>
      <c r="FG25" s="120"/>
      <c r="FH25" s="119"/>
      <c r="FI25" s="119"/>
      <c r="FJ25" s="120"/>
      <c r="FK25" s="119"/>
      <c r="FL25" s="119"/>
      <c r="FM25" s="120"/>
      <c r="FN25" s="119"/>
      <c r="FO25" s="119"/>
    </row>
    <row r="26" spans="1:171" x14ac:dyDescent="0.25">
      <c r="A26" s="36" t="s">
        <v>43</v>
      </c>
      <c r="B26" s="29">
        <f>+B25</f>
        <v>0</v>
      </c>
      <c r="C26" s="29">
        <f>B26+C25</f>
        <v>0</v>
      </c>
      <c r="D26" s="29">
        <f t="shared" ref="D26:E26" si="42">C26+D25</f>
        <v>0</v>
      </c>
      <c r="E26" s="29">
        <f t="shared" si="42"/>
        <v>3840278</v>
      </c>
      <c r="F26" s="29">
        <f t="shared" ref="F26:AK26" si="43">E26+F25</f>
        <v>3840278</v>
      </c>
      <c r="G26" s="29">
        <f t="shared" si="43"/>
        <v>3840278</v>
      </c>
      <c r="H26" s="29">
        <f t="shared" si="43"/>
        <v>9505387</v>
      </c>
      <c r="I26" s="29">
        <f t="shared" si="43"/>
        <v>9505387</v>
      </c>
      <c r="J26" s="29">
        <f t="shared" si="43"/>
        <v>9505387</v>
      </c>
      <c r="K26" s="29">
        <f t="shared" si="43"/>
        <v>17430697</v>
      </c>
      <c r="L26" s="29">
        <f t="shared" si="43"/>
        <v>17430697</v>
      </c>
      <c r="M26" s="29">
        <f t="shared" si="43"/>
        <v>17430697</v>
      </c>
      <c r="N26" s="29">
        <f t="shared" si="43"/>
        <v>25356007</v>
      </c>
      <c r="O26" s="29">
        <f t="shared" si="43"/>
        <v>25356007</v>
      </c>
      <c r="P26" s="29">
        <f t="shared" si="43"/>
        <v>25356007</v>
      </c>
      <c r="Q26" s="29">
        <f t="shared" si="43"/>
        <v>33281317</v>
      </c>
      <c r="R26" s="29">
        <f t="shared" si="43"/>
        <v>33281317</v>
      </c>
      <c r="S26" s="29">
        <f t="shared" si="43"/>
        <v>33281317</v>
      </c>
      <c r="T26" s="29">
        <f t="shared" si="43"/>
        <v>40968482</v>
      </c>
      <c r="U26" s="29">
        <f t="shared" si="43"/>
        <v>40968482</v>
      </c>
      <c r="V26" s="29">
        <f t="shared" si="43"/>
        <v>40968482</v>
      </c>
      <c r="W26" s="29">
        <f t="shared" si="43"/>
        <v>48660000</v>
      </c>
      <c r="X26" s="29">
        <f t="shared" si="43"/>
        <v>48660000</v>
      </c>
      <c r="Y26" s="29">
        <f t="shared" si="43"/>
        <v>48660000</v>
      </c>
      <c r="Z26" s="29">
        <f t="shared" si="43"/>
        <v>55861908</v>
      </c>
      <c r="AA26" s="29">
        <f t="shared" si="43"/>
        <v>55861908</v>
      </c>
      <c r="AB26" s="29">
        <f t="shared" si="43"/>
        <v>55861908</v>
      </c>
      <c r="AC26" s="29">
        <f t="shared" si="43"/>
        <v>62587352</v>
      </c>
      <c r="AD26" s="29">
        <f t="shared" si="43"/>
        <v>62587352</v>
      </c>
      <c r="AE26" s="29">
        <f t="shared" si="43"/>
        <v>62587352</v>
      </c>
      <c r="AF26" s="29">
        <f t="shared" si="43"/>
        <v>69512822</v>
      </c>
      <c r="AG26" s="29">
        <f t="shared" si="43"/>
        <v>69512822</v>
      </c>
      <c r="AH26" s="29">
        <f t="shared" si="43"/>
        <v>69512822</v>
      </c>
      <c r="AI26" s="29">
        <f t="shared" si="43"/>
        <v>76034751</v>
      </c>
      <c r="AJ26" s="29">
        <f t="shared" si="43"/>
        <v>76034751</v>
      </c>
      <c r="AK26" s="29">
        <f t="shared" si="43"/>
        <v>76034751</v>
      </c>
      <c r="AL26" s="29">
        <f t="shared" ref="AL26:BQ26" si="44">AK26+AL25</f>
        <v>82229215.178560466</v>
      </c>
      <c r="AM26" s="29">
        <f t="shared" si="44"/>
        <v>82229215.178560466</v>
      </c>
      <c r="AN26" s="29">
        <f t="shared" si="44"/>
        <v>82229215.178560466</v>
      </c>
      <c r="AO26" s="29">
        <f t="shared" si="44"/>
        <v>88098683.695621103</v>
      </c>
      <c r="AP26" s="29">
        <f t="shared" si="44"/>
        <v>88098683.695621103</v>
      </c>
      <c r="AQ26" s="29">
        <f t="shared" si="44"/>
        <v>88098683.695621103</v>
      </c>
      <c r="AR26" s="29">
        <f t="shared" si="44"/>
        <v>93832666.889639616</v>
      </c>
      <c r="AS26" s="29">
        <f t="shared" si="44"/>
        <v>93832666.889639616</v>
      </c>
      <c r="AT26" s="29">
        <f t="shared" si="44"/>
        <v>93832666.889639616</v>
      </c>
      <c r="AU26" s="29">
        <f t="shared" si="44"/>
        <v>99297408.152444124</v>
      </c>
      <c r="AV26" s="29">
        <f t="shared" si="44"/>
        <v>99297408.152444124</v>
      </c>
      <c r="AW26" s="29">
        <f t="shared" si="44"/>
        <v>99297408.152444124</v>
      </c>
      <c r="AX26" s="29">
        <f t="shared" si="44"/>
        <v>104433105.72285695</v>
      </c>
      <c r="AY26" s="29">
        <f t="shared" si="44"/>
        <v>104433105.72285695</v>
      </c>
      <c r="AZ26" s="29">
        <f t="shared" si="44"/>
        <v>104433105.72285695</v>
      </c>
      <c r="BA26" s="29">
        <f t="shared" si="44"/>
        <v>109242352.33482847</v>
      </c>
      <c r="BB26" s="29">
        <f t="shared" si="44"/>
        <v>109242352.33482847</v>
      </c>
      <c r="BC26" s="29">
        <f t="shared" si="44"/>
        <v>109242352.33482847</v>
      </c>
      <c r="BD26" s="29">
        <f t="shared" si="44"/>
        <v>113879005.85707974</v>
      </c>
      <c r="BE26" s="29">
        <f t="shared" si="44"/>
        <v>113879005.85707974</v>
      </c>
      <c r="BF26" s="29">
        <f t="shared" si="44"/>
        <v>113879005.85707974</v>
      </c>
      <c r="BG26" s="29">
        <f t="shared" si="44"/>
        <v>118232700.82721993</v>
      </c>
      <c r="BH26" s="29">
        <f t="shared" si="44"/>
        <v>118232700.82721993</v>
      </c>
      <c r="BI26" s="29">
        <f t="shared" si="44"/>
        <v>118232700.82721993</v>
      </c>
      <c r="BJ26" s="29">
        <f t="shared" si="44"/>
        <v>122255691.57382451</v>
      </c>
      <c r="BK26" s="29">
        <f t="shared" si="44"/>
        <v>122255691.57382451</v>
      </c>
      <c r="BL26" s="29">
        <f t="shared" si="44"/>
        <v>122255691.57382451</v>
      </c>
      <c r="BM26" s="29">
        <f t="shared" si="44"/>
        <v>125991758.60015652</v>
      </c>
      <c r="BN26" s="29">
        <f t="shared" si="44"/>
        <v>125991758.60015652</v>
      </c>
      <c r="BO26" s="29">
        <f t="shared" si="44"/>
        <v>125991758.60015652</v>
      </c>
      <c r="BP26" s="29">
        <f t="shared" si="44"/>
        <v>129475178.62080659</v>
      </c>
      <c r="BQ26" s="29">
        <f t="shared" si="44"/>
        <v>129475178.62080659</v>
      </c>
      <c r="BR26" s="29">
        <f t="shared" ref="BR26:CT26" si="45">BQ26+BR25</f>
        <v>129475178.62080659</v>
      </c>
      <c r="BS26" s="29">
        <f t="shared" si="45"/>
        <v>132661224.67057554</v>
      </c>
      <c r="BT26" s="29">
        <f t="shared" si="45"/>
        <v>132661224.67057554</v>
      </c>
      <c r="BU26" s="29">
        <f t="shared" si="45"/>
        <v>132661224.67057554</v>
      </c>
      <c r="BV26" s="29">
        <f t="shared" si="45"/>
        <v>135514821.36934638</v>
      </c>
      <c r="BW26" s="29">
        <f t="shared" si="45"/>
        <v>135514821.36934638</v>
      </c>
      <c r="BX26" s="29">
        <f t="shared" si="45"/>
        <v>135514821.36934638</v>
      </c>
      <c r="BY26" s="29">
        <f t="shared" si="45"/>
        <v>138038832.35573134</v>
      </c>
      <c r="BZ26" s="29">
        <f t="shared" si="45"/>
        <v>138038832.35573134</v>
      </c>
      <c r="CA26" s="29">
        <f t="shared" si="45"/>
        <v>138038832.35573134</v>
      </c>
      <c r="CB26" s="29">
        <f t="shared" si="45"/>
        <v>140310267.00550053</v>
      </c>
      <c r="CC26" s="29">
        <f t="shared" si="45"/>
        <v>140310267.00550053</v>
      </c>
      <c r="CD26" s="29">
        <f t="shared" si="45"/>
        <v>140310267.00550053</v>
      </c>
      <c r="CE26" s="29">
        <f t="shared" si="45"/>
        <v>142269177.86725259</v>
      </c>
      <c r="CF26" s="29">
        <f t="shared" si="45"/>
        <v>142269177.86725259</v>
      </c>
      <c r="CG26" s="29">
        <f t="shared" si="45"/>
        <v>142269177.86725259</v>
      </c>
      <c r="CH26" s="29">
        <f t="shared" si="45"/>
        <v>143893805.34443748</v>
      </c>
      <c r="CI26" s="29">
        <f t="shared" si="45"/>
        <v>143893805.34443748</v>
      </c>
      <c r="CJ26" s="29">
        <f t="shared" si="45"/>
        <v>143893805.34443748</v>
      </c>
      <c r="CK26" s="29">
        <f t="shared" si="45"/>
        <v>145187158.96470135</v>
      </c>
      <c r="CL26" s="29">
        <f t="shared" si="45"/>
        <v>145187158.96470135</v>
      </c>
      <c r="CM26" s="29">
        <f t="shared" si="45"/>
        <v>145187158.96470135</v>
      </c>
      <c r="CN26" s="29">
        <f t="shared" si="45"/>
        <v>146184863.24053523</v>
      </c>
      <c r="CO26" s="29">
        <f t="shared" si="45"/>
        <v>146184863.24053523</v>
      </c>
      <c r="CP26" s="29">
        <f t="shared" si="45"/>
        <v>146184863.24053523</v>
      </c>
      <c r="CQ26" s="29">
        <f t="shared" si="45"/>
        <v>146854122.09867778</v>
      </c>
      <c r="CR26" s="29">
        <f t="shared" si="45"/>
        <v>146854122.09867778</v>
      </c>
      <c r="CS26" s="29">
        <f t="shared" si="45"/>
        <v>146854122.09867778</v>
      </c>
      <c r="CT26" s="29">
        <f t="shared" si="45"/>
        <v>147187170.10322604</v>
      </c>
      <c r="CU26" s="118"/>
      <c r="CV26" s="118"/>
      <c r="CW26" s="118"/>
      <c r="CX26" s="118"/>
      <c r="CY26" s="118"/>
      <c r="CZ26" s="118"/>
      <c r="DA26" s="118"/>
      <c r="DB26" s="118"/>
      <c r="DC26" s="118"/>
      <c r="DD26" s="118"/>
      <c r="DE26" s="118"/>
      <c r="DF26" s="118"/>
      <c r="DG26" s="118"/>
      <c r="DH26" s="118"/>
      <c r="DI26" s="118"/>
      <c r="DJ26" s="118"/>
      <c r="DK26" s="118"/>
      <c r="DL26" s="118"/>
      <c r="DM26" s="118"/>
      <c r="DN26" s="118"/>
      <c r="DO26" s="118"/>
      <c r="DP26" s="118"/>
      <c r="DQ26" s="118"/>
      <c r="DR26" s="118"/>
      <c r="DS26" s="118"/>
      <c r="DT26" s="118"/>
      <c r="DU26" s="118"/>
      <c r="DV26" s="118"/>
      <c r="DW26" s="118"/>
      <c r="DX26" s="118"/>
      <c r="DY26" s="118"/>
      <c r="DZ26" s="118"/>
      <c r="EA26" s="118"/>
      <c r="EB26" s="118"/>
      <c r="EC26" s="118"/>
      <c r="ED26" s="118"/>
      <c r="EE26" s="118"/>
      <c r="EF26" s="118"/>
      <c r="EG26" s="118"/>
      <c r="EH26" s="118"/>
      <c r="EI26" s="118"/>
      <c r="EJ26" s="118"/>
      <c r="EK26" s="118"/>
      <c r="EL26" s="118"/>
      <c r="EM26" s="118"/>
      <c r="EN26" s="118"/>
      <c r="EO26" s="118"/>
      <c r="EP26" s="118"/>
      <c r="EQ26" s="118"/>
      <c r="ER26" s="118"/>
      <c r="ES26" s="118"/>
      <c r="ET26" s="118"/>
      <c r="EU26" s="118"/>
      <c r="EV26" s="118"/>
      <c r="EW26" s="118"/>
      <c r="EX26" s="118"/>
      <c r="EY26" s="118"/>
      <c r="EZ26" s="118"/>
      <c r="FA26" s="118"/>
      <c r="FB26" s="118"/>
      <c r="FC26" s="118"/>
      <c r="FD26" s="118"/>
      <c r="FE26" s="118"/>
      <c r="FF26" s="118"/>
      <c r="FG26" s="118"/>
      <c r="FH26" s="118"/>
      <c r="FI26" s="118"/>
      <c r="FJ26" s="118"/>
      <c r="FK26" s="118"/>
      <c r="FL26" s="118"/>
      <c r="FM26" s="118"/>
      <c r="FN26" s="118"/>
      <c r="FO26" s="118"/>
    </row>
    <row r="27" spans="1:171" x14ac:dyDescent="0.25">
      <c r="A27" s="36" t="s">
        <v>39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24642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118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  <c r="ER27" s="118"/>
      <c r="ES27" s="118"/>
      <c r="ET27" s="118"/>
      <c r="EU27" s="118"/>
      <c r="EV27" s="118"/>
      <c r="EW27" s="118"/>
      <c r="EX27" s="118"/>
      <c r="EY27" s="118"/>
      <c r="EZ27" s="118"/>
      <c r="FA27" s="118"/>
      <c r="FB27" s="118"/>
      <c r="FC27" s="118"/>
      <c r="FD27" s="118"/>
      <c r="FE27" s="118"/>
      <c r="FF27" s="118"/>
      <c r="FG27" s="118"/>
      <c r="FH27" s="118"/>
      <c r="FI27" s="118"/>
      <c r="FJ27" s="118"/>
      <c r="FK27" s="118"/>
      <c r="FL27" s="118"/>
      <c r="FM27" s="118"/>
      <c r="FN27" s="118"/>
      <c r="FO27" s="118"/>
    </row>
    <row r="28" spans="1:171" x14ac:dyDescent="0.25">
      <c r="A28" s="34" t="s">
        <v>40</v>
      </c>
      <c r="B28" s="29">
        <f>B27</f>
        <v>0</v>
      </c>
      <c r="C28" s="29">
        <f>B28+C27</f>
        <v>0</v>
      </c>
      <c r="D28" s="29">
        <f t="shared" ref="D28:AH28" si="46">C28+D27</f>
        <v>0</v>
      </c>
      <c r="E28" s="29">
        <f t="shared" si="46"/>
        <v>0</v>
      </c>
      <c r="F28" s="29">
        <f t="shared" si="46"/>
        <v>0</v>
      </c>
      <c r="G28" s="29">
        <f t="shared" si="46"/>
        <v>0</v>
      </c>
      <c r="H28" s="29">
        <f t="shared" si="46"/>
        <v>24642</v>
      </c>
      <c r="I28" s="29">
        <f t="shared" si="46"/>
        <v>24642</v>
      </c>
      <c r="J28" s="29">
        <f t="shared" si="46"/>
        <v>24642</v>
      </c>
      <c r="K28" s="29">
        <f t="shared" si="46"/>
        <v>24642</v>
      </c>
      <c r="L28" s="29">
        <f t="shared" si="46"/>
        <v>24642</v>
      </c>
      <c r="M28" s="29">
        <f t="shared" si="46"/>
        <v>24642</v>
      </c>
      <c r="N28" s="29">
        <f t="shared" si="46"/>
        <v>24642</v>
      </c>
      <c r="O28" s="29">
        <f t="shared" si="46"/>
        <v>24642</v>
      </c>
      <c r="P28" s="29">
        <f t="shared" si="46"/>
        <v>24642</v>
      </c>
      <c r="Q28" s="29">
        <f t="shared" si="46"/>
        <v>24642</v>
      </c>
      <c r="R28" s="29">
        <f t="shared" si="46"/>
        <v>24642</v>
      </c>
      <c r="S28" s="29">
        <f t="shared" si="46"/>
        <v>24642</v>
      </c>
      <c r="T28" s="29">
        <f t="shared" si="46"/>
        <v>24642</v>
      </c>
      <c r="U28" s="29">
        <f t="shared" si="46"/>
        <v>24642</v>
      </c>
      <c r="V28" s="29">
        <f t="shared" si="46"/>
        <v>24642</v>
      </c>
      <c r="W28" s="29">
        <f t="shared" si="46"/>
        <v>24642</v>
      </c>
      <c r="X28" s="29">
        <f t="shared" si="46"/>
        <v>24642</v>
      </c>
      <c r="Y28" s="29">
        <f t="shared" si="46"/>
        <v>24642</v>
      </c>
      <c r="Z28" s="29">
        <f t="shared" si="46"/>
        <v>24642</v>
      </c>
      <c r="AA28" s="29">
        <f t="shared" si="46"/>
        <v>24642</v>
      </c>
      <c r="AB28" s="29">
        <f t="shared" si="46"/>
        <v>24642</v>
      </c>
      <c r="AC28" s="29">
        <f t="shared" si="46"/>
        <v>24642</v>
      </c>
      <c r="AD28" s="29">
        <f t="shared" si="46"/>
        <v>24642</v>
      </c>
      <c r="AE28" s="29">
        <f t="shared" si="46"/>
        <v>24642</v>
      </c>
      <c r="AF28" s="29">
        <f t="shared" si="46"/>
        <v>24642</v>
      </c>
      <c r="AG28" s="29">
        <f t="shared" si="46"/>
        <v>24642</v>
      </c>
      <c r="AH28" s="29">
        <f t="shared" si="46"/>
        <v>24642</v>
      </c>
      <c r="AI28" s="29">
        <f t="shared" ref="AI28:BN28" si="47">AH28+AI27</f>
        <v>24642</v>
      </c>
      <c r="AJ28" s="29">
        <f t="shared" si="47"/>
        <v>24642</v>
      </c>
      <c r="AK28" s="29">
        <f t="shared" si="47"/>
        <v>24642</v>
      </c>
      <c r="AL28" s="29">
        <f t="shared" si="47"/>
        <v>24642</v>
      </c>
      <c r="AM28" s="29">
        <f t="shared" si="47"/>
        <v>24642</v>
      </c>
      <c r="AN28" s="29">
        <f t="shared" si="47"/>
        <v>24642</v>
      </c>
      <c r="AO28" s="29">
        <f t="shared" si="47"/>
        <v>24642</v>
      </c>
      <c r="AP28" s="29">
        <f t="shared" si="47"/>
        <v>24642</v>
      </c>
      <c r="AQ28" s="29">
        <f t="shared" si="47"/>
        <v>24642</v>
      </c>
      <c r="AR28" s="29">
        <f t="shared" si="47"/>
        <v>24642</v>
      </c>
      <c r="AS28" s="29">
        <f t="shared" si="47"/>
        <v>24642</v>
      </c>
      <c r="AT28" s="29">
        <f t="shared" si="47"/>
        <v>24642</v>
      </c>
      <c r="AU28" s="29">
        <f t="shared" si="47"/>
        <v>24642</v>
      </c>
      <c r="AV28" s="29">
        <f t="shared" si="47"/>
        <v>24642</v>
      </c>
      <c r="AW28" s="29">
        <f t="shared" si="47"/>
        <v>24642</v>
      </c>
      <c r="AX28" s="29">
        <f t="shared" si="47"/>
        <v>24642</v>
      </c>
      <c r="AY28" s="29">
        <f t="shared" si="47"/>
        <v>24642</v>
      </c>
      <c r="AZ28" s="29">
        <f t="shared" si="47"/>
        <v>24642</v>
      </c>
      <c r="BA28" s="29">
        <f t="shared" si="47"/>
        <v>24642</v>
      </c>
      <c r="BB28" s="29">
        <f t="shared" si="47"/>
        <v>24642</v>
      </c>
      <c r="BC28" s="29">
        <f t="shared" si="47"/>
        <v>24642</v>
      </c>
      <c r="BD28" s="29">
        <f t="shared" si="47"/>
        <v>24642</v>
      </c>
      <c r="BE28" s="29">
        <f t="shared" si="47"/>
        <v>24642</v>
      </c>
      <c r="BF28" s="29">
        <f t="shared" si="47"/>
        <v>24642</v>
      </c>
      <c r="BG28" s="29">
        <f t="shared" si="47"/>
        <v>24642</v>
      </c>
      <c r="BH28" s="29">
        <f t="shared" si="47"/>
        <v>24642</v>
      </c>
      <c r="BI28" s="29">
        <f t="shared" si="47"/>
        <v>24642</v>
      </c>
      <c r="BJ28" s="29">
        <f t="shared" si="47"/>
        <v>24642</v>
      </c>
      <c r="BK28" s="29">
        <f t="shared" si="47"/>
        <v>24642</v>
      </c>
      <c r="BL28" s="29">
        <f t="shared" si="47"/>
        <v>24642</v>
      </c>
      <c r="BM28" s="29">
        <f t="shared" si="47"/>
        <v>24642</v>
      </c>
      <c r="BN28" s="29">
        <f t="shared" si="47"/>
        <v>24642</v>
      </c>
      <c r="BO28" s="29">
        <f t="shared" ref="BO28:CR28" si="48">BN28+BO27</f>
        <v>24642</v>
      </c>
      <c r="BP28" s="29">
        <f t="shared" si="48"/>
        <v>24642</v>
      </c>
      <c r="BQ28" s="29">
        <f t="shared" si="48"/>
        <v>24642</v>
      </c>
      <c r="BR28" s="29">
        <f t="shared" si="48"/>
        <v>24642</v>
      </c>
      <c r="BS28" s="29">
        <f t="shared" si="48"/>
        <v>24642</v>
      </c>
      <c r="BT28" s="29">
        <f t="shared" si="48"/>
        <v>24642</v>
      </c>
      <c r="BU28" s="29">
        <f t="shared" si="48"/>
        <v>24642</v>
      </c>
      <c r="BV28" s="29">
        <f t="shared" si="48"/>
        <v>24642</v>
      </c>
      <c r="BW28" s="29">
        <f t="shared" si="48"/>
        <v>24642</v>
      </c>
      <c r="BX28" s="29">
        <f t="shared" si="48"/>
        <v>24642</v>
      </c>
      <c r="BY28" s="29">
        <f t="shared" si="48"/>
        <v>24642</v>
      </c>
      <c r="BZ28" s="29">
        <f t="shared" si="48"/>
        <v>24642</v>
      </c>
      <c r="CA28" s="29">
        <f t="shared" si="48"/>
        <v>24642</v>
      </c>
      <c r="CB28" s="29">
        <f t="shared" si="48"/>
        <v>24642</v>
      </c>
      <c r="CC28" s="29">
        <f t="shared" si="48"/>
        <v>24642</v>
      </c>
      <c r="CD28" s="29">
        <f t="shared" si="48"/>
        <v>24642</v>
      </c>
      <c r="CE28" s="29">
        <f t="shared" si="48"/>
        <v>24642</v>
      </c>
      <c r="CF28" s="29">
        <f t="shared" si="48"/>
        <v>24642</v>
      </c>
      <c r="CG28" s="29">
        <f t="shared" si="48"/>
        <v>24642</v>
      </c>
      <c r="CH28" s="29">
        <f t="shared" si="48"/>
        <v>24642</v>
      </c>
      <c r="CI28" s="29">
        <f t="shared" si="48"/>
        <v>24642</v>
      </c>
      <c r="CJ28" s="29">
        <f t="shared" si="48"/>
        <v>24642</v>
      </c>
      <c r="CK28" s="29">
        <f t="shared" si="48"/>
        <v>24642</v>
      </c>
      <c r="CL28" s="29">
        <f t="shared" si="48"/>
        <v>24642</v>
      </c>
      <c r="CM28" s="29">
        <f t="shared" si="48"/>
        <v>24642</v>
      </c>
      <c r="CN28" s="29">
        <f t="shared" si="48"/>
        <v>24642</v>
      </c>
      <c r="CO28" s="29">
        <f t="shared" si="48"/>
        <v>24642</v>
      </c>
      <c r="CP28" s="29">
        <f t="shared" si="48"/>
        <v>24642</v>
      </c>
      <c r="CQ28" s="29">
        <f t="shared" si="48"/>
        <v>24642</v>
      </c>
      <c r="CR28" s="29">
        <f t="shared" si="48"/>
        <v>24642</v>
      </c>
      <c r="CS28" s="29">
        <f t="shared" ref="CS28" si="49">CR28+CS27</f>
        <v>24642</v>
      </c>
      <c r="CT28" s="29">
        <f t="shared" ref="CT28" si="50">CS28+CT27</f>
        <v>24642</v>
      </c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118"/>
      <c r="DG28" s="118"/>
      <c r="DH28" s="118"/>
      <c r="DI28" s="118"/>
      <c r="DJ28" s="118"/>
      <c r="DK28" s="118"/>
      <c r="DL28" s="118"/>
      <c r="DM28" s="118"/>
      <c r="DN28" s="118"/>
      <c r="DO28" s="118"/>
      <c r="DP28" s="118"/>
      <c r="DQ28" s="118"/>
      <c r="DR28" s="118"/>
      <c r="DS28" s="118"/>
      <c r="DT28" s="118"/>
      <c r="DU28" s="118"/>
      <c r="DV28" s="118"/>
      <c r="DW28" s="118"/>
      <c r="DX28" s="118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  <c r="ES28" s="118"/>
      <c r="ET28" s="118"/>
      <c r="EU28" s="118"/>
      <c r="EV28" s="118"/>
      <c r="EW28" s="118"/>
      <c r="EX28" s="118"/>
      <c r="EY28" s="118"/>
      <c r="EZ28" s="118"/>
      <c r="FA28" s="118"/>
      <c r="FB28" s="118"/>
      <c r="FC28" s="118"/>
      <c r="FD28" s="118"/>
      <c r="FE28" s="118"/>
      <c r="FF28" s="118"/>
      <c r="FG28" s="118"/>
      <c r="FH28" s="118"/>
      <c r="FI28" s="118"/>
      <c r="FJ28" s="118"/>
      <c r="FK28" s="118"/>
      <c r="FL28" s="118"/>
      <c r="FM28" s="118"/>
      <c r="FN28" s="118"/>
      <c r="FO28" s="118"/>
    </row>
    <row r="29" spans="1:171" x14ac:dyDescent="0.25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</row>
    <row r="30" spans="1:171" s="108" customFormat="1" ht="15" x14ac:dyDescent="0.3">
      <c r="A30" s="74" t="s">
        <v>54</v>
      </c>
      <c r="B30" s="110"/>
      <c r="C30" s="110"/>
      <c r="D30" s="110"/>
      <c r="E30" s="126">
        <v>45033</v>
      </c>
      <c r="F30" s="110"/>
      <c r="G30" s="110"/>
      <c r="H30" s="151">
        <v>45172</v>
      </c>
      <c r="I30" s="152"/>
      <c r="J30" s="126">
        <v>45211</v>
      </c>
      <c r="K30" s="126">
        <v>45320</v>
      </c>
      <c r="L30" s="148">
        <v>45404</v>
      </c>
      <c r="M30" s="149"/>
      <c r="N30" s="150"/>
      <c r="O30" s="110"/>
      <c r="P30" s="110"/>
      <c r="Q30" s="110"/>
      <c r="R30" s="110"/>
      <c r="S30" s="148">
        <v>45470</v>
      </c>
      <c r="T30" s="150"/>
      <c r="U30" s="144">
        <v>45582</v>
      </c>
      <c r="V30" s="146">
        <v>45582</v>
      </c>
      <c r="W30" s="148">
        <v>45585</v>
      </c>
      <c r="X30" s="150"/>
      <c r="Y30" s="144">
        <v>45585</v>
      </c>
      <c r="Z30" s="144">
        <v>45585</v>
      </c>
      <c r="AA30" s="144">
        <v>45585</v>
      </c>
      <c r="AB30" s="148">
        <v>45622</v>
      </c>
      <c r="AC30" s="150"/>
      <c r="AD30" s="126">
        <v>45652</v>
      </c>
      <c r="AE30" s="148">
        <v>45889</v>
      </c>
      <c r="AF30" s="149"/>
      <c r="AG30" s="149"/>
      <c r="AH30" s="150"/>
      <c r="AI30" s="126">
        <v>45984</v>
      </c>
      <c r="AJ30" s="126">
        <v>45984</v>
      </c>
      <c r="AK30" s="126">
        <v>45986</v>
      </c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BY30" s="110"/>
      <c r="BZ30" s="110"/>
      <c r="CA30" s="110"/>
      <c r="CB30" s="110"/>
      <c r="CC30" s="110"/>
      <c r="CD30" s="110"/>
      <c r="CE30" s="110"/>
      <c r="CF30" s="110"/>
      <c r="CG30" s="110"/>
      <c r="CH30" s="110"/>
      <c r="CI30" s="110"/>
      <c r="CJ30" s="110"/>
      <c r="CK30" s="110"/>
      <c r="CL30" s="110"/>
      <c r="CM30" s="110"/>
      <c r="CN30" s="110"/>
      <c r="CO30" s="110"/>
      <c r="CP30" s="110"/>
      <c r="CQ30" s="110"/>
      <c r="CR30" s="110"/>
      <c r="CS30" s="110"/>
      <c r="CT30" s="110"/>
    </row>
    <row r="31" spans="1:171" ht="15" x14ac:dyDescent="0.3">
      <c r="A31" s="74" t="s">
        <v>55</v>
      </c>
      <c r="B31" s="109"/>
      <c r="C31" s="109"/>
      <c r="D31" s="109"/>
      <c r="E31" s="127"/>
      <c r="F31" s="109"/>
      <c r="G31" s="109"/>
      <c r="H31" s="138"/>
      <c r="I31" s="139">
        <v>5700000</v>
      </c>
      <c r="J31" s="127"/>
      <c r="K31" s="127"/>
      <c r="L31" s="135"/>
      <c r="M31" s="109"/>
      <c r="N31" s="141">
        <v>8524233</v>
      </c>
      <c r="O31" s="109"/>
      <c r="P31" s="109"/>
      <c r="Q31" s="109"/>
      <c r="R31" s="109"/>
      <c r="S31" s="135"/>
      <c r="T31" s="141">
        <v>10000000</v>
      </c>
      <c r="U31" s="143">
        <v>3000000</v>
      </c>
      <c r="V31" s="135"/>
      <c r="W31" s="145"/>
      <c r="X31" s="141">
        <v>6500000</v>
      </c>
      <c r="Y31" s="143">
        <v>8500000</v>
      </c>
      <c r="Z31" s="127"/>
      <c r="AA31" s="127"/>
      <c r="AB31" s="135"/>
      <c r="AC31" s="141">
        <v>15000000</v>
      </c>
      <c r="AD31" s="143">
        <v>20000000</v>
      </c>
      <c r="AE31" s="147"/>
      <c r="AF31" s="109"/>
      <c r="AG31" s="109"/>
      <c r="AH31" s="141">
        <v>63100000</v>
      </c>
      <c r="AI31" s="127"/>
      <c r="AJ31" s="127"/>
      <c r="AK31" s="143">
        <v>5000000</v>
      </c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</row>
    <row r="32" spans="1:171" x14ac:dyDescent="0.25">
      <c r="A32" s="75" t="s">
        <v>29</v>
      </c>
      <c r="B32" s="109"/>
      <c r="C32" s="109"/>
      <c r="D32" s="109"/>
      <c r="E32" s="127">
        <v>3840278</v>
      </c>
      <c r="F32" s="109"/>
      <c r="G32" s="109"/>
      <c r="H32" s="135">
        <v>5665109</v>
      </c>
      <c r="I32" s="134">
        <v>10249</v>
      </c>
      <c r="J32" s="127">
        <v>2500000</v>
      </c>
      <c r="K32" s="127">
        <v>5000000</v>
      </c>
      <c r="L32" s="135">
        <v>415061</v>
      </c>
      <c r="M32" s="109">
        <v>7925310</v>
      </c>
      <c r="N32" s="134">
        <v>183862</v>
      </c>
      <c r="O32" s="109"/>
      <c r="P32" s="109"/>
      <c r="Q32" s="109"/>
      <c r="R32" s="109"/>
      <c r="S32" s="135">
        <v>7741448</v>
      </c>
      <c r="T32" s="142">
        <v>2258552</v>
      </c>
      <c r="U32" s="127">
        <v>3000000</v>
      </c>
      <c r="V32" s="135">
        <v>100000</v>
      </c>
      <c r="W32" s="135">
        <v>2328613</v>
      </c>
      <c r="X32" s="134">
        <v>4171387</v>
      </c>
      <c r="Y32" s="127">
        <v>3520131</v>
      </c>
      <c r="Z32" s="127"/>
      <c r="AA32" s="127"/>
      <c r="AB32" s="135"/>
      <c r="AC32" s="134"/>
      <c r="AD32" s="127">
        <v>7201908</v>
      </c>
      <c r="AE32" s="135">
        <v>6725444</v>
      </c>
      <c r="AF32" s="109">
        <v>6925470</v>
      </c>
      <c r="AG32" s="109"/>
      <c r="AH32" s="134"/>
      <c r="AI32" s="127">
        <v>2500000</v>
      </c>
      <c r="AJ32" s="127">
        <v>2500000</v>
      </c>
      <c r="AK32" s="127">
        <v>1521929</v>
      </c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</row>
    <row r="33" spans="1:171" x14ac:dyDescent="0.25">
      <c r="A33" s="75" t="s">
        <v>23</v>
      </c>
      <c r="B33" s="109"/>
      <c r="C33" s="109"/>
      <c r="D33" s="109"/>
      <c r="E33" s="127"/>
      <c r="F33" s="109"/>
      <c r="G33" s="109"/>
      <c r="H33" s="135"/>
      <c r="I33" s="134"/>
      <c r="J33" s="127"/>
      <c r="K33" s="127"/>
      <c r="L33" s="135"/>
      <c r="M33" s="109"/>
      <c r="N33" s="134"/>
      <c r="O33" s="109"/>
      <c r="P33" s="109"/>
      <c r="Q33" s="109"/>
      <c r="R33" s="109"/>
      <c r="S33" s="135"/>
      <c r="T33" s="134"/>
      <c r="U33" s="127"/>
      <c r="V33" s="135"/>
      <c r="W33" s="135"/>
      <c r="X33" s="134"/>
      <c r="Y33" s="127">
        <v>4979869</v>
      </c>
      <c r="Z33" s="127">
        <v>500000</v>
      </c>
      <c r="AA33" s="127">
        <v>1400000</v>
      </c>
      <c r="AB33" s="135">
        <v>11962351</v>
      </c>
      <c r="AC33" s="134">
        <v>3037649</v>
      </c>
      <c r="AD33" s="127">
        <v>12798092</v>
      </c>
      <c r="AE33" s="135">
        <v>3242007</v>
      </c>
      <c r="AF33" s="109">
        <v>19316220</v>
      </c>
      <c r="AG33" s="109">
        <v>19557673</v>
      </c>
      <c r="AH33" s="134">
        <v>7333186</v>
      </c>
      <c r="AI33" s="127"/>
      <c r="AJ33" s="127"/>
      <c r="AK33" s="127">
        <v>3478071</v>
      </c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</row>
    <row r="34" spans="1:171" x14ac:dyDescent="0.25">
      <c r="A34" s="75" t="s">
        <v>56</v>
      </c>
      <c r="B34" s="109"/>
      <c r="C34" s="109"/>
      <c r="D34" s="109"/>
      <c r="E34" s="127"/>
      <c r="F34" s="109"/>
      <c r="G34" s="109"/>
      <c r="H34" s="135">
        <v>24642</v>
      </c>
      <c r="I34" s="134"/>
      <c r="J34" s="127"/>
      <c r="K34" s="127"/>
      <c r="L34" s="135"/>
      <c r="M34" s="109"/>
      <c r="N34" s="134"/>
      <c r="O34" s="109"/>
      <c r="P34" s="109"/>
      <c r="Q34" s="109"/>
      <c r="R34" s="109"/>
      <c r="S34" s="135"/>
      <c r="T34" s="134"/>
      <c r="U34" s="127"/>
      <c r="V34" s="135"/>
      <c r="W34" s="135"/>
      <c r="X34" s="134"/>
      <c r="Y34" s="127"/>
      <c r="Z34" s="127"/>
      <c r="AA34" s="127"/>
      <c r="AB34" s="135"/>
      <c r="AC34" s="134"/>
      <c r="AD34" s="127"/>
      <c r="AE34" s="135"/>
      <c r="AF34" s="109"/>
      <c r="AG34" s="109"/>
      <c r="AH34" s="134"/>
      <c r="AI34" s="127"/>
      <c r="AJ34" s="127"/>
      <c r="AK34" s="127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</row>
    <row r="35" spans="1:171" ht="15" x14ac:dyDescent="0.3">
      <c r="A35" s="38" t="s">
        <v>57</v>
      </c>
      <c r="B35" s="109">
        <f>+SUM(B32:B34)</f>
        <v>0</v>
      </c>
      <c r="C35" s="109">
        <f t="shared" ref="C35:BN35" si="51">+SUM(C32:C34)</f>
        <v>0</v>
      </c>
      <c r="D35" s="109">
        <f t="shared" si="51"/>
        <v>0</v>
      </c>
      <c r="E35" s="128">
        <f t="shared" si="51"/>
        <v>3840278</v>
      </c>
      <c r="F35" s="109">
        <f t="shared" si="51"/>
        <v>0</v>
      </c>
      <c r="G35" s="109">
        <f>+SUM(G32:G34)</f>
        <v>0</v>
      </c>
      <c r="H35" s="136">
        <f t="shared" si="51"/>
        <v>5689751</v>
      </c>
      <c r="I35" s="137">
        <f t="shared" si="51"/>
        <v>10249</v>
      </c>
      <c r="J35" s="128">
        <f t="shared" si="51"/>
        <v>2500000</v>
      </c>
      <c r="K35" s="128">
        <f t="shared" si="51"/>
        <v>5000000</v>
      </c>
      <c r="L35" s="136">
        <f t="shared" si="51"/>
        <v>415061</v>
      </c>
      <c r="M35" s="140">
        <f t="shared" si="51"/>
        <v>7925310</v>
      </c>
      <c r="N35" s="137">
        <f t="shared" si="51"/>
        <v>183862</v>
      </c>
      <c r="O35" s="109">
        <f t="shared" si="51"/>
        <v>0</v>
      </c>
      <c r="P35" s="109">
        <f t="shared" si="51"/>
        <v>0</v>
      </c>
      <c r="Q35" s="109">
        <f t="shared" si="51"/>
        <v>0</v>
      </c>
      <c r="R35" s="109">
        <f t="shared" si="51"/>
        <v>0</v>
      </c>
      <c r="S35" s="136">
        <f>+SUM(S32:S34)</f>
        <v>7741448</v>
      </c>
      <c r="T35" s="137">
        <f t="shared" si="51"/>
        <v>2258552</v>
      </c>
      <c r="U35" s="128">
        <f t="shared" si="51"/>
        <v>3000000</v>
      </c>
      <c r="V35" s="136">
        <f t="shared" si="51"/>
        <v>100000</v>
      </c>
      <c r="W35" s="136">
        <f t="shared" si="51"/>
        <v>2328613</v>
      </c>
      <c r="X35" s="137">
        <f t="shared" si="51"/>
        <v>4171387</v>
      </c>
      <c r="Y35" s="128">
        <f t="shared" si="51"/>
        <v>8500000</v>
      </c>
      <c r="Z35" s="128">
        <f t="shared" si="51"/>
        <v>500000</v>
      </c>
      <c r="AA35" s="128">
        <f t="shared" si="51"/>
        <v>1400000</v>
      </c>
      <c r="AB35" s="136">
        <f t="shared" si="51"/>
        <v>11962351</v>
      </c>
      <c r="AC35" s="137">
        <f t="shared" si="51"/>
        <v>3037649</v>
      </c>
      <c r="AD35" s="128">
        <f t="shared" si="51"/>
        <v>20000000</v>
      </c>
      <c r="AE35" s="136">
        <f t="shared" si="51"/>
        <v>9967451</v>
      </c>
      <c r="AF35" s="140">
        <f t="shared" si="51"/>
        <v>26241690</v>
      </c>
      <c r="AG35" s="140">
        <f t="shared" si="51"/>
        <v>19557673</v>
      </c>
      <c r="AH35" s="137">
        <f t="shared" si="51"/>
        <v>7333186</v>
      </c>
      <c r="AI35" s="128">
        <f t="shared" si="51"/>
        <v>2500000</v>
      </c>
      <c r="AJ35" s="128">
        <f t="shared" si="51"/>
        <v>2500000</v>
      </c>
      <c r="AK35" s="128">
        <f t="shared" si="51"/>
        <v>5000000</v>
      </c>
      <c r="AL35" s="109">
        <f t="shared" si="51"/>
        <v>0</v>
      </c>
      <c r="AM35" s="109">
        <f t="shared" si="51"/>
        <v>0</v>
      </c>
      <c r="AN35" s="109">
        <f t="shared" si="51"/>
        <v>0</v>
      </c>
      <c r="AO35" s="109">
        <f t="shared" si="51"/>
        <v>0</v>
      </c>
      <c r="AP35" s="109">
        <f t="shared" si="51"/>
        <v>0</v>
      </c>
      <c r="AQ35" s="109">
        <f t="shared" si="51"/>
        <v>0</v>
      </c>
      <c r="AR35" s="109">
        <f t="shared" si="51"/>
        <v>0</v>
      </c>
      <c r="AS35" s="109">
        <f t="shared" si="51"/>
        <v>0</v>
      </c>
      <c r="AT35" s="109">
        <f t="shared" si="51"/>
        <v>0</v>
      </c>
      <c r="AU35" s="109">
        <f t="shared" si="51"/>
        <v>0</v>
      </c>
      <c r="AV35" s="109">
        <f t="shared" si="51"/>
        <v>0</v>
      </c>
      <c r="AW35" s="109">
        <f t="shared" si="51"/>
        <v>0</v>
      </c>
      <c r="AX35" s="109">
        <f t="shared" si="51"/>
        <v>0</v>
      </c>
      <c r="AY35" s="109">
        <f t="shared" si="51"/>
        <v>0</v>
      </c>
      <c r="AZ35" s="109">
        <f t="shared" si="51"/>
        <v>0</v>
      </c>
      <c r="BA35" s="109">
        <f t="shared" si="51"/>
        <v>0</v>
      </c>
      <c r="BB35" s="109">
        <f t="shared" si="51"/>
        <v>0</v>
      </c>
      <c r="BC35" s="109">
        <f t="shared" si="51"/>
        <v>0</v>
      </c>
      <c r="BD35" s="109">
        <f t="shared" si="51"/>
        <v>0</v>
      </c>
      <c r="BE35" s="109">
        <f t="shared" si="51"/>
        <v>0</v>
      </c>
      <c r="BF35" s="109">
        <f t="shared" si="51"/>
        <v>0</v>
      </c>
      <c r="BG35" s="109">
        <f t="shared" si="51"/>
        <v>0</v>
      </c>
      <c r="BH35" s="109">
        <f t="shared" si="51"/>
        <v>0</v>
      </c>
      <c r="BI35" s="109">
        <f t="shared" si="51"/>
        <v>0</v>
      </c>
      <c r="BJ35" s="109">
        <f t="shared" si="51"/>
        <v>0</v>
      </c>
      <c r="BK35" s="109">
        <f t="shared" si="51"/>
        <v>0</v>
      </c>
      <c r="BL35" s="109">
        <f t="shared" si="51"/>
        <v>0</v>
      </c>
      <c r="BM35" s="109">
        <f t="shared" si="51"/>
        <v>0</v>
      </c>
      <c r="BN35" s="109">
        <f t="shared" si="51"/>
        <v>0</v>
      </c>
      <c r="BO35" s="109">
        <f t="shared" ref="BO35:CR35" si="52">+SUM(BO32:BO34)</f>
        <v>0</v>
      </c>
      <c r="BP35" s="109">
        <f t="shared" si="52"/>
        <v>0</v>
      </c>
      <c r="BQ35" s="109">
        <f t="shared" si="52"/>
        <v>0</v>
      </c>
      <c r="BR35" s="109">
        <f t="shared" si="52"/>
        <v>0</v>
      </c>
      <c r="BS35" s="109">
        <f t="shared" si="52"/>
        <v>0</v>
      </c>
      <c r="BT35" s="109">
        <f t="shared" si="52"/>
        <v>0</v>
      </c>
      <c r="BU35" s="109">
        <f t="shared" si="52"/>
        <v>0</v>
      </c>
      <c r="BV35" s="109">
        <f t="shared" si="52"/>
        <v>0</v>
      </c>
      <c r="BW35" s="109">
        <f t="shared" si="52"/>
        <v>0</v>
      </c>
      <c r="BX35" s="109">
        <f t="shared" si="52"/>
        <v>0</v>
      </c>
      <c r="BY35" s="109">
        <f t="shared" si="52"/>
        <v>0</v>
      </c>
      <c r="BZ35" s="109">
        <f t="shared" si="52"/>
        <v>0</v>
      </c>
      <c r="CA35" s="109">
        <f t="shared" si="52"/>
        <v>0</v>
      </c>
      <c r="CB35" s="109">
        <f t="shared" si="52"/>
        <v>0</v>
      </c>
      <c r="CC35" s="109">
        <f t="shared" si="52"/>
        <v>0</v>
      </c>
      <c r="CD35" s="109">
        <f t="shared" si="52"/>
        <v>0</v>
      </c>
      <c r="CE35" s="109">
        <f t="shared" si="52"/>
        <v>0</v>
      </c>
      <c r="CF35" s="109">
        <f t="shared" si="52"/>
        <v>0</v>
      </c>
      <c r="CG35" s="109">
        <f t="shared" si="52"/>
        <v>0</v>
      </c>
      <c r="CH35" s="109">
        <f t="shared" si="52"/>
        <v>0</v>
      </c>
      <c r="CI35" s="109">
        <f t="shared" si="52"/>
        <v>0</v>
      </c>
      <c r="CJ35" s="109">
        <f t="shared" si="52"/>
        <v>0</v>
      </c>
      <c r="CK35" s="109">
        <f t="shared" si="52"/>
        <v>0</v>
      </c>
      <c r="CL35" s="109">
        <f t="shared" si="52"/>
        <v>0</v>
      </c>
      <c r="CM35" s="109">
        <f t="shared" si="52"/>
        <v>0</v>
      </c>
      <c r="CN35" s="109">
        <f t="shared" si="52"/>
        <v>0</v>
      </c>
      <c r="CO35" s="109">
        <f t="shared" si="52"/>
        <v>0</v>
      </c>
      <c r="CP35" s="109">
        <f t="shared" si="52"/>
        <v>0</v>
      </c>
      <c r="CQ35" s="109">
        <f t="shared" si="52"/>
        <v>0</v>
      </c>
      <c r="CR35" s="109">
        <f t="shared" si="52"/>
        <v>0</v>
      </c>
      <c r="CS35" s="109">
        <f t="shared" ref="CS35:CT35" si="53">+SUM(CS32:CS34)</f>
        <v>0</v>
      </c>
      <c r="CT35" s="109">
        <f t="shared" si="53"/>
        <v>0</v>
      </c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09"/>
      <c r="EC35" s="109"/>
      <c r="ED35" s="109"/>
      <c r="EE35" s="109"/>
      <c r="EF35" s="109"/>
      <c r="EG35" s="109"/>
      <c r="EH35" s="109"/>
      <c r="EI35" s="109"/>
      <c r="EJ35" s="109"/>
      <c r="EK35" s="109"/>
      <c r="EL35" s="109"/>
      <c r="EM35" s="109"/>
      <c r="EN35" s="109"/>
      <c r="EO35" s="109"/>
      <c r="EP35" s="109"/>
      <c r="EQ35" s="109"/>
      <c r="ER35" s="109"/>
      <c r="ES35" s="109"/>
      <c r="ET35" s="109"/>
      <c r="EU35" s="109"/>
      <c r="EV35" s="109"/>
      <c r="EW35" s="109"/>
      <c r="EX35" s="109"/>
      <c r="EY35" s="109"/>
      <c r="EZ35" s="109"/>
      <c r="FA35" s="109"/>
      <c r="FB35" s="109"/>
      <c r="FC35" s="109"/>
      <c r="FD35" s="109"/>
      <c r="FE35" s="109"/>
      <c r="FF35" s="109"/>
      <c r="FG35" s="109"/>
      <c r="FH35" s="109"/>
      <c r="FI35" s="109"/>
      <c r="FJ35" s="109"/>
      <c r="FK35" s="109"/>
      <c r="FL35" s="109"/>
      <c r="FM35" s="109"/>
      <c r="FN35" s="109"/>
      <c r="FO35" s="109"/>
    </row>
    <row r="37" spans="1:171" x14ac:dyDescent="0.25">
      <c r="AE37" s="42"/>
    </row>
    <row r="38" spans="1:171" x14ac:dyDescent="0.25">
      <c r="H38" s="55"/>
      <c r="L38" s="29"/>
      <c r="M38" s="29"/>
      <c r="N38" s="29"/>
      <c r="AE38" s="55"/>
      <c r="AK38" s="55"/>
    </row>
    <row r="41" spans="1:171" x14ac:dyDescent="0.25">
      <c r="N41" s="29"/>
    </row>
  </sheetData>
  <mergeCells count="6">
    <mergeCell ref="AE30:AH30"/>
    <mergeCell ref="H30:I30"/>
    <mergeCell ref="L30:N30"/>
    <mergeCell ref="S30:T30"/>
    <mergeCell ref="W30:X30"/>
    <mergeCell ref="AB30:AC30"/>
  </mergeCells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K53"/>
  <sheetViews>
    <sheetView showGridLines="0" topLeftCell="A8" workbookViewId="0">
      <selection activeCell="K33" sqref="K33"/>
    </sheetView>
  </sheetViews>
  <sheetFormatPr defaultColWidth="8" defaultRowHeight="12.75" x14ac:dyDescent="0.2"/>
  <cols>
    <col min="1" max="1" width="19.5703125" style="3" bestFit="1" customWidth="1"/>
    <col min="2" max="2" width="12" style="3" customWidth="1"/>
    <col min="3" max="3" width="19.42578125" style="3" customWidth="1"/>
    <col min="4" max="5" width="11.28515625" style="3" bestFit="1" customWidth="1"/>
    <col min="6" max="6" width="13.85546875" style="3" customWidth="1"/>
    <col min="7" max="63" width="11.28515625" style="3" bestFit="1" customWidth="1"/>
    <col min="64" max="16384" width="8" style="3"/>
  </cols>
  <sheetData>
    <row r="1" spans="1:8" s="10" customFormat="1" ht="15" x14ac:dyDescent="0.25">
      <c r="A1" s="9" t="s">
        <v>0</v>
      </c>
      <c r="C1" s="9" t="str">
        <f>Disbursement!B1</f>
        <v>Esquire Knit Composite Limited (EKCL)</v>
      </c>
    </row>
    <row r="2" spans="1:8" s="10" customFormat="1" ht="15" x14ac:dyDescent="0.25">
      <c r="A2" s="9"/>
    </row>
    <row r="3" spans="1:8" s="11" customFormat="1" x14ac:dyDescent="0.2">
      <c r="A3" s="11" t="s">
        <v>67</v>
      </c>
      <c r="B3" s="3"/>
      <c r="C3" s="64">
        <v>44857</v>
      </c>
    </row>
    <row r="5" spans="1:8" x14ac:dyDescent="0.2">
      <c r="A5" s="11" t="s">
        <v>74</v>
      </c>
      <c r="C5" s="91">
        <v>750000000</v>
      </c>
      <c r="D5" s="11"/>
      <c r="F5" s="11" t="s">
        <v>61</v>
      </c>
      <c r="H5" s="64" t="s">
        <v>68</v>
      </c>
    </row>
    <row r="6" spans="1:8" ht="15" x14ac:dyDescent="0.25">
      <c r="A6" s="11"/>
      <c r="C6" s="90"/>
      <c r="F6" s="11" t="s">
        <v>62</v>
      </c>
      <c r="H6" s="64" t="s">
        <v>71</v>
      </c>
    </row>
    <row r="7" spans="1:8" x14ac:dyDescent="0.2">
      <c r="A7" s="11" t="s">
        <v>60</v>
      </c>
      <c r="C7" s="64">
        <f>Disbursement!B8</f>
        <v>44921</v>
      </c>
      <c r="E7" s="48"/>
    </row>
    <row r="8" spans="1:8" x14ac:dyDescent="0.2">
      <c r="A8" s="11"/>
      <c r="C8" s="48"/>
      <c r="E8" s="48"/>
      <c r="F8" s="11" t="s">
        <v>63</v>
      </c>
      <c r="H8" s="64">
        <f>EDATE(C22,0)</f>
        <v>44921</v>
      </c>
    </row>
    <row r="9" spans="1:8" x14ac:dyDescent="0.2">
      <c r="A9" s="11" t="s">
        <v>59</v>
      </c>
      <c r="C9" s="64">
        <v>44868</v>
      </c>
      <c r="E9" s="48"/>
      <c r="F9" s="11" t="s">
        <v>64</v>
      </c>
      <c r="H9" s="64">
        <f>EDATE(C22,12)</f>
        <v>45286</v>
      </c>
    </row>
    <row r="10" spans="1:8" x14ac:dyDescent="0.2">
      <c r="A10" s="11"/>
      <c r="C10" s="48"/>
    </row>
    <row r="11" spans="1:8" x14ac:dyDescent="0.2">
      <c r="A11" s="11" t="s">
        <v>3</v>
      </c>
      <c r="C11" s="92">
        <v>0.05</v>
      </c>
    </row>
    <row r="12" spans="1:8" x14ac:dyDescent="0.2">
      <c r="A12" s="11"/>
      <c r="C12" s="83"/>
      <c r="F12" s="86" t="s">
        <v>69</v>
      </c>
    </row>
    <row r="13" spans="1:8" x14ac:dyDescent="0.2">
      <c r="A13" s="11" t="s">
        <v>75</v>
      </c>
      <c r="C13" s="64" t="s">
        <v>70</v>
      </c>
    </row>
    <row r="14" spans="1:8" x14ac:dyDescent="0.2">
      <c r="A14" s="11"/>
      <c r="C14" s="48"/>
    </row>
    <row r="15" spans="1:8" x14ac:dyDescent="0.2">
      <c r="A15" s="11" t="s">
        <v>23</v>
      </c>
      <c r="C15" s="64" t="s">
        <v>77</v>
      </c>
    </row>
    <row r="16" spans="1:8" x14ac:dyDescent="0.2">
      <c r="A16" s="11"/>
      <c r="C16" s="48"/>
    </row>
    <row r="17" spans="1:34" x14ac:dyDescent="0.2">
      <c r="A17" s="54" t="s">
        <v>49</v>
      </c>
      <c r="C17" s="65">
        <v>360</v>
      </c>
      <c r="D17" s="48" t="s">
        <v>50</v>
      </c>
    </row>
    <row r="18" spans="1:34" x14ac:dyDescent="0.2">
      <c r="A18" s="54"/>
      <c r="C18" s="5"/>
      <c r="D18" s="48"/>
    </row>
    <row r="19" spans="1:34" x14ac:dyDescent="0.2">
      <c r="A19" s="54" t="s">
        <v>51</v>
      </c>
      <c r="B19" s="48"/>
      <c r="C19" s="65">
        <v>28</v>
      </c>
    </row>
    <row r="20" spans="1:34" x14ac:dyDescent="0.2">
      <c r="A20" s="54"/>
      <c r="B20" s="51"/>
      <c r="C20" s="53"/>
    </row>
    <row r="21" spans="1:34" x14ac:dyDescent="0.2">
      <c r="A21" s="54" t="s">
        <v>52</v>
      </c>
      <c r="B21" s="51"/>
      <c r="C21" s="53"/>
    </row>
    <row r="22" spans="1:34" x14ac:dyDescent="0.2">
      <c r="A22" s="56"/>
      <c r="B22" s="57"/>
      <c r="C22" s="57">
        <f>Disbursement!B8</f>
        <v>44921</v>
      </c>
      <c r="D22" s="57">
        <f>Disbursement!B9</f>
        <v>45061</v>
      </c>
      <c r="E22" s="57">
        <f>Disbursement!B10</f>
        <v>0</v>
      </c>
      <c r="F22" s="51"/>
    </row>
    <row r="23" spans="1:34" x14ac:dyDescent="0.2">
      <c r="A23" s="58"/>
      <c r="B23" s="59"/>
      <c r="C23" s="62">
        <f>Disbursement!C8</f>
        <v>350000000</v>
      </c>
      <c r="D23" s="62">
        <f>Disbursement!C9</f>
        <v>277057493</v>
      </c>
      <c r="E23" s="62">
        <f>Disbursement!C10</f>
        <v>0</v>
      </c>
      <c r="F23" s="4"/>
    </row>
    <row r="24" spans="1:34" x14ac:dyDescent="0.2">
      <c r="A24" s="60"/>
      <c r="B24" s="61"/>
      <c r="C24" s="63">
        <f>C23</f>
        <v>350000000</v>
      </c>
      <c r="D24" s="63">
        <f>D23+C24</f>
        <v>627057493</v>
      </c>
      <c r="E24" s="63">
        <f>E23+D24</f>
        <v>627057493</v>
      </c>
      <c r="F24" s="4"/>
    </row>
    <row r="25" spans="1:34" x14ac:dyDescent="0.2">
      <c r="A25" s="52"/>
      <c r="B25" s="51"/>
      <c r="C25" s="53"/>
    </row>
    <row r="26" spans="1:34" x14ac:dyDescent="0.2">
      <c r="A26" s="100" t="s">
        <v>72</v>
      </c>
      <c r="B26" s="88"/>
      <c r="C26" s="88">
        <f>+C32</f>
        <v>45000</v>
      </c>
      <c r="D26" s="88">
        <f t="shared" ref="D26:AH26" si="0">+D32</f>
        <v>45092</v>
      </c>
      <c r="E26" s="88">
        <f t="shared" si="0"/>
        <v>45183</v>
      </c>
      <c r="F26" s="88">
        <f t="shared" si="0"/>
        <v>45274</v>
      </c>
      <c r="G26" s="88">
        <f t="shared" si="0"/>
        <v>45365</v>
      </c>
      <c r="H26" s="88">
        <f t="shared" si="0"/>
        <v>45456</v>
      </c>
      <c r="I26" s="88">
        <f t="shared" si="0"/>
        <v>45550</v>
      </c>
      <c r="J26" s="88">
        <f t="shared" si="0"/>
        <v>45641</v>
      </c>
      <c r="K26" s="88">
        <f t="shared" si="0"/>
        <v>45729</v>
      </c>
      <c r="L26" s="88">
        <f t="shared" si="0"/>
        <v>45823</v>
      </c>
      <c r="M26" s="88">
        <f t="shared" si="0"/>
        <v>45915</v>
      </c>
      <c r="N26" s="88">
        <f t="shared" si="0"/>
        <v>46006</v>
      </c>
      <c r="O26" s="88">
        <f t="shared" si="0"/>
        <v>46096</v>
      </c>
      <c r="P26" s="88">
        <f t="shared" si="0"/>
        <v>46188</v>
      </c>
      <c r="Q26" s="88">
        <f t="shared" si="0"/>
        <v>46280</v>
      </c>
      <c r="R26" s="88">
        <f t="shared" si="0"/>
        <v>46371</v>
      </c>
      <c r="S26" s="88">
        <f t="shared" si="0"/>
        <v>46461</v>
      </c>
      <c r="T26" s="88">
        <f t="shared" si="0"/>
        <v>46553</v>
      </c>
      <c r="U26" s="88">
        <f t="shared" si="0"/>
        <v>46645</v>
      </c>
      <c r="V26" s="88">
        <f t="shared" si="0"/>
        <v>46736</v>
      </c>
      <c r="W26" s="88">
        <f t="shared" si="0"/>
        <v>46827</v>
      </c>
      <c r="X26" s="88">
        <f t="shared" si="0"/>
        <v>46919</v>
      </c>
      <c r="Y26" s="88">
        <f t="shared" si="0"/>
        <v>47011</v>
      </c>
      <c r="Z26" s="88">
        <f t="shared" si="0"/>
        <v>47102</v>
      </c>
      <c r="AA26" s="88">
        <f t="shared" si="0"/>
        <v>47192</v>
      </c>
      <c r="AB26" s="88">
        <f t="shared" si="0"/>
        <v>47284</v>
      </c>
      <c r="AC26" s="88">
        <f t="shared" si="0"/>
        <v>47376</v>
      </c>
      <c r="AD26" s="88">
        <f t="shared" si="0"/>
        <v>47467</v>
      </c>
      <c r="AE26" s="88">
        <f t="shared" si="0"/>
        <v>47557</v>
      </c>
      <c r="AF26" s="88">
        <f t="shared" si="0"/>
        <v>47649</v>
      </c>
      <c r="AG26" s="88">
        <f t="shared" si="0"/>
        <v>47741</v>
      </c>
      <c r="AH26" s="88">
        <f t="shared" si="0"/>
        <v>47832</v>
      </c>
    </row>
    <row r="27" spans="1:34" ht="13.5" customHeight="1" thickBot="1" x14ac:dyDescent="0.25">
      <c r="A27" s="104" t="s">
        <v>73</v>
      </c>
      <c r="B27" s="105"/>
      <c r="C27" s="105">
        <v>0.05</v>
      </c>
      <c r="D27" s="105">
        <v>0.05</v>
      </c>
      <c r="E27" s="105">
        <v>0.05</v>
      </c>
      <c r="F27" s="105">
        <v>0.05</v>
      </c>
      <c r="G27" s="105">
        <v>0.05</v>
      </c>
      <c r="H27" s="105">
        <v>0.05</v>
      </c>
      <c r="I27" s="105">
        <v>0.05</v>
      </c>
      <c r="J27" s="105">
        <v>0.05</v>
      </c>
      <c r="K27" s="105">
        <v>0.05</v>
      </c>
      <c r="L27" s="105">
        <v>0.05</v>
      </c>
      <c r="M27" s="105">
        <v>0.05</v>
      </c>
      <c r="N27" s="105">
        <v>0.05</v>
      </c>
      <c r="O27" s="105">
        <v>0.05</v>
      </c>
      <c r="P27" s="105">
        <v>0.05</v>
      </c>
      <c r="Q27" s="105">
        <v>0.05</v>
      </c>
      <c r="R27" s="105">
        <v>0.05</v>
      </c>
      <c r="S27" s="105">
        <v>0.05</v>
      </c>
      <c r="T27" s="105">
        <v>0.05</v>
      </c>
      <c r="U27" s="105">
        <v>0.05</v>
      </c>
      <c r="V27" s="105">
        <v>0.05</v>
      </c>
      <c r="W27" s="105">
        <v>0.05</v>
      </c>
      <c r="X27" s="105">
        <v>0.05</v>
      </c>
      <c r="Y27" s="105">
        <v>0.05</v>
      </c>
      <c r="Z27" s="105">
        <v>0.05</v>
      </c>
      <c r="AA27" s="105">
        <v>0.05</v>
      </c>
      <c r="AB27" s="105">
        <v>0.05</v>
      </c>
      <c r="AC27" s="105">
        <v>0.05</v>
      </c>
      <c r="AD27" s="105">
        <v>0.05</v>
      </c>
      <c r="AE27" s="105">
        <v>0.05</v>
      </c>
      <c r="AF27" s="105">
        <v>0.05</v>
      </c>
      <c r="AG27" s="105">
        <v>0.05</v>
      </c>
      <c r="AH27" s="105">
        <v>0.05</v>
      </c>
    </row>
    <row r="28" spans="1:34" x14ac:dyDescent="0.2">
      <c r="D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34" x14ac:dyDescent="0.2">
      <c r="B29" s="48"/>
      <c r="C29" s="4"/>
      <c r="D29" s="4"/>
      <c r="E29" s="4"/>
      <c r="F29" s="1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34" x14ac:dyDescent="0.2">
      <c r="A30" s="11" t="s">
        <v>46</v>
      </c>
      <c r="C30" s="1"/>
      <c r="D30" s="1"/>
      <c r="E30" s="6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34" x14ac:dyDescent="0.2">
      <c r="A31" s="153" t="s">
        <v>10</v>
      </c>
      <c r="B31" s="153"/>
      <c r="C31" s="13"/>
      <c r="D31" s="13"/>
      <c r="E31" s="13"/>
      <c r="F31" s="13"/>
      <c r="G31" s="13">
        <v>1</v>
      </c>
      <c r="H31" s="13">
        <v>2</v>
      </c>
      <c r="I31" s="13">
        <v>3</v>
      </c>
      <c r="J31" s="13">
        <v>4</v>
      </c>
      <c r="K31" s="13">
        <v>5</v>
      </c>
      <c r="L31" s="13">
        <v>6</v>
      </c>
      <c r="M31" s="13">
        <v>7</v>
      </c>
      <c r="N31" s="13">
        <v>8</v>
      </c>
      <c r="O31" s="13">
        <v>9</v>
      </c>
      <c r="P31" s="13">
        <v>10</v>
      </c>
      <c r="Q31" s="13">
        <v>11</v>
      </c>
      <c r="R31" s="13">
        <v>12</v>
      </c>
      <c r="S31" s="13">
        <v>13</v>
      </c>
      <c r="T31" s="13">
        <v>14</v>
      </c>
      <c r="U31" s="13">
        <v>15</v>
      </c>
      <c r="V31" s="13">
        <v>16</v>
      </c>
      <c r="W31" s="13">
        <v>17</v>
      </c>
      <c r="X31" s="13">
        <v>18</v>
      </c>
      <c r="Y31" s="13">
        <v>19</v>
      </c>
      <c r="Z31" s="13">
        <v>20</v>
      </c>
      <c r="AA31" s="13">
        <v>21</v>
      </c>
      <c r="AB31" s="13">
        <v>22</v>
      </c>
      <c r="AC31" s="13">
        <v>23</v>
      </c>
      <c r="AD31" s="13">
        <v>24</v>
      </c>
      <c r="AE31" s="13">
        <v>25</v>
      </c>
      <c r="AF31" s="13">
        <v>26</v>
      </c>
      <c r="AG31" s="13">
        <v>27</v>
      </c>
      <c r="AH31" s="13">
        <v>28</v>
      </c>
    </row>
    <row r="32" spans="1:34" x14ac:dyDescent="0.2">
      <c r="A32" s="155" t="s">
        <v>11</v>
      </c>
      <c r="B32" s="155"/>
      <c r="C32" s="88">
        <v>45000</v>
      </c>
      <c r="D32" s="88">
        <v>45092</v>
      </c>
      <c r="E32" s="88">
        <v>45183</v>
      </c>
      <c r="F32" s="88">
        <v>45274</v>
      </c>
      <c r="G32" s="88">
        <v>45365</v>
      </c>
      <c r="H32" s="88">
        <v>45456</v>
      </c>
      <c r="I32" s="88">
        <v>45550</v>
      </c>
      <c r="J32" s="88">
        <v>45641</v>
      </c>
      <c r="K32" s="88">
        <v>45729</v>
      </c>
      <c r="L32" s="88">
        <v>45823</v>
      </c>
      <c r="M32" s="88">
        <v>45915</v>
      </c>
      <c r="N32" s="88">
        <v>46006</v>
      </c>
      <c r="O32" s="88">
        <v>46096</v>
      </c>
      <c r="P32" s="88">
        <v>46188</v>
      </c>
      <c r="Q32" s="88">
        <v>46280</v>
      </c>
      <c r="R32" s="88">
        <v>46371</v>
      </c>
      <c r="S32" s="88">
        <v>46461</v>
      </c>
      <c r="T32" s="88">
        <v>46553</v>
      </c>
      <c r="U32" s="88">
        <v>46645</v>
      </c>
      <c r="V32" s="88">
        <v>46736</v>
      </c>
      <c r="W32" s="88">
        <v>46827</v>
      </c>
      <c r="X32" s="88">
        <v>46919</v>
      </c>
      <c r="Y32" s="88">
        <v>47011</v>
      </c>
      <c r="Z32" s="88">
        <v>47102</v>
      </c>
      <c r="AA32" s="88">
        <v>47192</v>
      </c>
      <c r="AB32" s="88">
        <v>47284</v>
      </c>
      <c r="AC32" s="88">
        <v>47376</v>
      </c>
      <c r="AD32" s="88">
        <v>47467</v>
      </c>
      <c r="AE32" s="88">
        <v>47557</v>
      </c>
      <c r="AF32" s="88">
        <v>47649</v>
      </c>
      <c r="AG32" s="88">
        <v>47741</v>
      </c>
      <c r="AH32" s="88">
        <v>47832</v>
      </c>
    </row>
    <row r="33" spans="1:193" x14ac:dyDescent="0.2">
      <c r="A33" s="160" t="s">
        <v>5</v>
      </c>
      <c r="B33" s="160"/>
      <c r="C33" s="4">
        <f>C24</f>
        <v>350000000</v>
      </c>
      <c r="D33" s="4">
        <f>C39</f>
        <v>350000000</v>
      </c>
      <c r="E33" s="4">
        <f t="shared" ref="E33:AH33" si="1">D39</f>
        <v>627057493</v>
      </c>
      <c r="F33" s="4">
        <f t="shared" si="1"/>
        <v>627057493</v>
      </c>
      <c r="G33" s="4">
        <f t="shared" si="1"/>
        <v>627057493</v>
      </c>
      <c r="H33" s="4">
        <f t="shared" si="1"/>
        <v>608215272.61682045</v>
      </c>
      <c r="I33" s="4">
        <f t="shared" si="1"/>
        <v>589137524.4788512</v>
      </c>
      <c r="J33" s="4">
        <f t="shared" si="1"/>
        <v>569821304.48915732</v>
      </c>
      <c r="K33" s="4">
        <f t="shared" si="1"/>
        <v>550263631.7495923</v>
      </c>
      <c r="L33" s="4">
        <f t="shared" si="1"/>
        <v>530461488.10078269</v>
      </c>
      <c r="M33" s="4">
        <f t="shared" si="1"/>
        <v>510411817.65636295</v>
      </c>
      <c r="N33" s="4">
        <f t="shared" si="1"/>
        <v>490111526.33138794</v>
      </c>
      <c r="O33" s="4">
        <f t="shared" si="1"/>
        <v>469557481.36485076</v>
      </c>
      <c r="P33" s="4">
        <f t="shared" si="1"/>
        <v>448746510.83623183</v>
      </c>
      <c r="Q33" s="4">
        <f t="shared" si="1"/>
        <v>427675403.17600518</v>
      </c>
      <c r="R33" s="4">
        <f t="shared" si="1"/>
        <v>406340906.67002571</v>
      </c>
      <c r="S33" s="4">
        <f t="shared" si="1"/>
        <v>384739728.95772147</v>
      </c>
      <c r="T33" s="4">
        <f t="shared" si="1"/>
        <v>362868536.52401346</v>
      </c>
      <c r="U33" s="4">
        <f t="shared" si="1"/>
        <v>340723954.18488407</v>
      </c>
      <c r="V33" s="4">
        <f t="shared" si="1"/>
        <v>318302564.56651556</v>
      </c>
      <c r="W33" s="4">
        <f t="shared" si="1"/>
        <v>295600907.57791746</v>
      </c>
      <c r="X33" s="4">
        <f t="shared" si="1"/>
        <v>272615479.87696189</v>
      </c>
      <c r="Y33" s="4">
        <f t="shared" si="1"/>
        <v>249342734.32974437</v>
      </c>
      <c r="Z33" s="4">
        <f t="shared" si="1"/>
        <v>225779079.46318662</v>
      </c>
      <c r="AA33" s="4">
        <f t="shared" si="1"/>
        <v>201920878.91079691</v>
      </c>
      <c r="AB33" s="4">
        <f t="shared" si="1"/>
        <v>177764450.85150233</v>
      </c>
      <c r="AC33" s="4">
        <f t="shared" si="1"/>
        <v>153306067.44146657</v>
      </c>
      <c r="AD33" s="4">
        <f t="shared" si="1"/>
        <v>128541954.23880535</v>
      </c>
      <c r="AE33" s="4">
        <f t="shared" si="1"/>
        <v>103468289.62111089</v>
      </c>
      <c r="AF33" s="4">
        <f t="shared" si="1"/>
        <v>78081204.195695236</v>
      </c>
      <c r="AG33" s="4">
        <f t="shared" si="1"/>
        <v>52376780.202461883</v>
      </c>
      <c r="AH33" s="4">
        <f t="shared" si="1"/>
        <v>26351050.909313112</v>
      </c>
    </row>
    <row r="34" spans="1:193" s="7" customFormat="1" x14ac:dyDescent="0.2">
      <c r="A34" s="161" t="s">
        <v>6</v>
      </c>
      <c r="B34" s="161"/>
      <c r="C34" s="4">
        <f>C33*(C32-C22)*C27/360</f>
        <v>3840277.777777778</v>
      </c>
      <c r="D34" s="4">
        <f>(D33*(D22-C32)*D27/360)+(D39*(D32-D22)*D27/360)</f>
        <v>5665108.6504166666</v>
      </c>
      <c r="E34" s="4">
        <f>E33*(E32-D32)*E27/360</f>
        <v>7925309.9809722221</v>
      </c>
      <c r="F34" s="4">
        <f>F33*(F32-E32)*F27/360</f>
        <v>7925309.9809722221</v>
      </c>
      <c r="G34" s="4">
        <f>G33*(G32-F32)*G27/360</f>
        <v>7925309.9809722221</v>
      </c>
      <c r="H34" s="4">
        <f t="shared" ref="H34:AG34" si="2">H33*(H32-G32)*H27/360</f>
        <v>7687165.2511292594</v>
      </c>
      <c r="I34" s="4">
        <f t="shared" si="2"/>
        <v>7691517.680696114</v>
      </c>
      <c r="J34" s="4">
        <f t="shared" si="2"/>
        <v>7201908.1539601833</v>
      </c>
      <c r="K34" s="4">
        <f t="shared" si="2"/>
        <v>6725444.3880505729</v>
      </c>
      <c r="L34" s="4">
        <f t="shared" si="2"/>
        <v>6925469.4279824402</v>
      </c>
      <c r="M34" s="4">
        <f t="shared" si="2"/>
        <v>6521928.7811646378</v>
      </c>
      <c r="N34" s="4">
        <f t="shared" si="2"/>
        <v>6194465.1244661529</v>
      </c>
      <c r="O34" s="4">
        <f t="shared" si="2"/>
        <v>5869468.5170606347</v>
      </c>
      <c r="P34" s="4">
        <f t="shared" si="2"/>
        <v>5733983.1940185176</v>
      </c>
      <c r="Q34" s="4">
        <f t="shared" si="2"/>
        <v>5464741.262804511</v>
      </c>
      <c r="R34" s="4">
        <f t="shared" si="2"/>
        <v>5135697.5704128249</v>
      </c>
      <c r="S34" s="4">
        <f t="shared" si="2"/>
        <v>4809246.611971519</v>
      </c>
      <c r="T34" s="4">
        <f t="shared" si="2"/>
        <v>4636653.5222512837</v>
      </c>
      <c r="U34" s="4">
        <f t="shared" si="2"/>
        <v>4353694.9701401852</v>
      </c>
      <c r="V34" s="4">
        <f t="shared" si="2"/>
        <v>4022990.7466045725</v>
      </c>
      <c r="W34" s="4">
        <f t="shared" si="2"/>
        <v>3736067.0263320128</v>
      </c>
      <c r="X34" s="4">
        <f t="shared" si="2"/>
        <v>3483420.0206500683</v>
      </c>
      <c r="Y34" s="4">
        <f t="shared" si="2"/>
        <v>3186046.0497689559</v>
      </c>
      <c r="Z34" s="4">
        <f t="shared" si="2"/>
        <v>2853596.6987708309</v>
      </c>
      <c r="AA34" s="4">
        <f t="shared" si="2"/>
        <v>2524010.9863849613</v>
      </c>
      <c r="AB34" s="4">
        <f t="shared" si="2"/>
        <v>2271434.6497691968</v>
      </c>
      <c r="AC34" s="4">
        <f t="shared" si="2"/>
        <v>1958910.861752073</v>
      </c>
      <c r="AD34" s="4">
        <f t="shared" si="2"/>
        <v>1624627.477184901</v>
      </c>
      <c r="AE34" s="4">
        <f t="shared" si="2"/>
        <v>1293353.6202638862</v>
      </c>
      <c r="AF34" s="4">
        <f t="shared" si="2"/>
        <v>997704.27583388356</v>
      </c>
      <c r="AG34" s="4">
        <f t="shared" si="2"/>
        <v>669258.85814256861</v>
      </c>
      <c r="AH34" s="4">
        <f>AH33*(AH32-AG32)*AH27/360</f>
        <v>333048.00454826298</v>
      </c>
    </row>
    <row r="35" spans="1:193" x14ac:dyDescent="0.2">
      <c r="A35" s="158" t="s">
        <v>12</v>
      </c>
      <c r="B35" s="158"/>
      <c r="C35" s="4">
        <f>C34</f>
        <v>3840277.777777778</v>
      </c>
      <c r="D35" s="4">
        <f>D34+C35</f>
        <v>9505386.4281944446</v>
      </c>
      <c r="E35" s="4">
        <f t="shared" ref="E35:P35" si="3">E34+D35</f>
        <v>17430696.409166668</v>
      </c>
      <c r="F35" s="4">
        <f t="shared" si="3"/>
        <v>25356006.390138891</v>
      </c>
      <c r="G35" s="4">
        <f t="shared" si="3"/>
        <v>33281316.371111114</v>
      </c>
      <c r="H35" s="4">
        <f t="shared" si="3"/>
        <v>40968481.622240372</v>
      </c>
      <c r="I35" s="4">
        <f t="shared" si="3"/>
        <v>48659999.302936487</v>
      </c>
      <c r="J35" s="4">
        <f t="shared" si="3"/>
        <v>55861907.45689667</v>
      </c>
      <c r="K35" s="4">
        <f t="shared" si="3"/>
        <v>62587351.844947241</v>
      </c>
      <c r="L35" s="4">
        <f t="shared" si="3"/>
        <v>69512821.272929683</v>
      </c>
      <c r="M35" s="4">
        <f t="shared" si="3"/>
        <v>76034750.054094315</v>
      </c>
      <c r="N35" s="4">
        <f t="shared" si="3"/>
        <v>82229215.178560466</v>
      </c>
      <c r="O35" s="4">
        <f t="shared" si="3"/>
        <v>88098683.695621103</v>
      </c>
      <c r="P35" s="4">
        <f t="shared" si="3"/>
        <v>93832666.889639616</v>
      </c>
      <c r="Q35" s="4">
        <f t="shared" ref="Q35:Z35" si="4">Q34+P35</f>
        <v>99297408.152444124</v>
      </c>
      <c r="R35" s="4">
        <f t="shared" si="4"/>
        <v>104433105.72285695</v>
      </c>
      <c r="S35" s="4">
        <f t="shared" si="4"/>
        <v>109242352.33482847</v>
      </c>
      <c r="T35" s="4">
        <f t="shared" si="4"/>
        <v>113879005.85707974</v>
      </c>
      <c r="U35" s="4">
        <f t="shared" si="4"/>
        <v>118232700.82721993</v>
      </c>
      <c r="V35" s="4">
        <f t="shared" si="4"/>
        <v>122255691.57382451</v>
      </c>
      <c r="W35" s="4">
        <f t="shared" si="4"/>
        <v>125991758.60015652</v>
      </c>
      <c r="X35" s="4">
        <f t="shared" si="4"/>
        <v>129475178.62080659</v>
      </c>
      <c r="Y35" s="4">
        <f t="shared" si="4"/>
        <v>132661224.67057554</v>
      </c>
      <c r="Z35" s="4">
        <f t="shared" si="4"/>
        <v>135514821.36934638</v>
      </c>
      <c r="AA35" s="4">
        <f>AA34+Z35</f>
        <v>138038832.35573134</v>
      </c>
      <c r="AB35" s="4">
        <f>AB34+AA35</f>
        <v>140310267.00550053</v>
      </c>
      <c r="AC35" s="4">
        <f>AC34+AB35</f>
        <v>142269177.86725259</v>
      </c>
      <c r="AD35" s="4">
        <f>AD34+AC35</f>
        <v>143893805.34443748</v>
      </c>
      <c r="AE35" s="4">
        <f>AE34+AD35</f>
        <v>145187158.96470135</v>
      </c>
      <c r="AF35" s="4">
        <f t="shared" ref="AF35:AG35" si="5">AF34+AE35</f>
        <v>146184863.24053523</v>
      </c>
      <c r="AG35" s="4">
        <f t="shared" si="5"/>
        <v>146854122.09867778</v>
      </c>
      <c r="AH35" s="4">
        <f>AH34+AG35</f>
        <v>147187170.10322604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</row>
    <row r="36" spans="1:193" x14ac:dyDescent="0.2">
      <c r="A36" s="158" t="s">
        <v>7</v>
      </c>
      <c r="B36" s="158"/>
      <c r="C36" s="4">
        <v>0</v>
      </c>
      <c r="D36" s="4">
        <v>0</v>
      </c>
      <c r="E36" s="4">
        <v>0</v>
      </c>
      <c r="F36" s="4">
        <v>0</v>
      </c>
      <c r="G36" s="4">
        <f>+-PPMT(G27/4,G31,$C$19,$G$33)</f>
        <v>18842220.383179542</v>
      </c>
      <c r="H36" s="4">
        <f t="shared" ref="H36:AH36" si="6">+-PPMT(H27/4,H31,$C$19,$G$33)</f>
        <v>19077748.137969282</v>
      </c>
      <c r="I36" s="4">
        <f t="shared" si="6"/>
        <v>19316219.989693902</v>
      </c>
      <c r="J36" s="4">
        <f t="shared" si="6"/>
        <v>19557672.739565074</v>
      </c>
      <c r="K36" s="4">
        <f t="shared" si="6"/>
        <v>19802143.648809638</v>
      </c>
      <c r="L36" s="4">
        <f t="shared" si="6"/>
        <v>20049670.444419757</v>
      </c>
      <c r="M36" s="4">
        <f t="shared" si="6"/>
        <v>20300291.324975006</v>
      </c>
      <c r="N36" s="4">
        <f t="shared" si="6"/>
        <v>20554044.966537192</v>
      </c>
      <c r="O36" s="4">
        <f t="shared" si="6"/>
        <v>20810970.528618909</v>
      </c>
      <c r="P36" s="4">
        <f t="shared" si="6"/>
        <v>21071107.660226643</v>
      </c>
      <c r="Q36" s="4">
        <f t="shared" si="6"/>
        <v>21334496.505979478</v>
      </c>
      <c r="R36" s="4">
        <f t="shared" si="6"/>
        <v>21601177.71230422</v>
      </c>
      <c r="S36" s="4">
        <f t="shared" si="6"/>
        <v>21871192.433708027</v>
      </c>
      <c r="T36" s="4">
        <f t="shared" si="6"/>
        <v>22144582.339129373</v>
      </c>
      <c r="U36" s="4">
        <f t="shared" si="6"/>
        <v>22421389.618368492</v>
      </c>
      <c r="V36" s="4">
        <f t="shared" si="6"/>
        <v>22701656.988598093</v>
      </c>
      <c r="W36" s="4">
        <f t="shared" si="6"/>
        <v>22985427.70095557</v>
      </c>
      <c r="X36" s="4">
        <f t="shared" si="6"/>
        <v>23272745.547217518</v>
      </c>
      <c r="Y36" s="4">
        <f t="shared" si="6"/>
        <v>23563654.866557736</v>
      </c>
      <c r="Z36" s="4">
        <f t="shared" si="6"/>
        <v>23858200.552389711</v>
      </c>
      <c r="AA36" s="4">
        <f t="shared" si="6"/>
        <v>24156428.059294581</v>
      </c>
      <c r="AB36" s="4">
        <f t="shared" si="6"/>
        <v>24458383.410035759</v>
      </c>
      <c r="AC36" s="4">
        <f t="shared" si="6"/>
        <v>24764113.202661209</v>
      </c>
      <c r="AD36" s="4">
        <f t="shared" si="6"/>
        <v>25073664.617694471</v>
      </c>
      <c r="AE36" s="4">
        <f t="shared" si="6"/>
        <v>25387085.425415654</v>
      </c>
      <c r="AF36" s="4">
        <f t="shared" si="6"/>
        <v>25704423.993233353</v>
      </c>
      <c r="AG36" s="4">
        <f t="shared" si="6"/>
        <v>26025729.293148771</v>
      </c>
      <c r="AH36" s="4">
        <f t="shared" si="6"/>
        <v>26351050.909313127</v>
      </c>
    </row>
    <row r="37" spans="1:193" x14ac:dyDescent="0.2">
      <c r="A37" s="158" t="s">
        <v>13</v>
      </c>
      <c r="B37" s="158"/>
      <c r="C37" s="4">
        <f>C36</f>
        <v>0</v>
      </c>
      <c r="D37" s="4">
        <f>D36+C37</f>
        <v>0</v>
      </c>
      <c r="E37" s="4">
        <f>E36+D37</f>
        <v>0</v>
      </c>
      <c r="F37" s="4">
        <f t="shared" ref="F37:Z37" si="7">F36+E37</f>
        <v>0</v>
      </c>
      <c r="G37" s="4">
        <f t="shared" si="7"/>
        <v>18842220.383179542</v>
      </c>
      <c r="H37" s="4">
        <f t="shared" si="7"/>
        <v>37919968.521148823</v>
      </c>
      <c r="I37" s="4">
        <f t="shared" si="7"/>
        <v>57236188.510842726</v>
      </c>
      <c r="J37" s="4">
        <f t="shared" si="7"/>
        <v>76793861.2504078</v>
      </c>
      <c r="K37" s="4">
        <f t="shared" si="7"/>
        <v>96596004.899217442</v>
      </c>
      <c r="L37" s="4">
        <f t="shared" si="7"/>
        <v>116645675.3436372</v>
      </c>
      <c r="M37" s="4">
        <f t="shared" si="7"/>
        <v>136945966.66861221</v>
      </c>
      <c r="N37" s="4">
        <f t="shared" si="7"/>
        <v>157500011.63514942</v>
      </c>
      <c r="O37" s="4">
        <f t="shared" si="7"/>
        <v>178310982.16376832</v>
      </c>
      <c r="P37" s="4">
        <f t="shared" si="7"/>
        <v>199382089.82399496</v>
      </c>
      <c r="Q37" s="4">
        <f t="shared" si="7"/>
        <v>220716586.32997444</v>
      </c>
      <c r="R37" s="4">
        <f t="shared" si="7"/>
        <v>242317764.04227865</v>
      </c>
      <c r="S37" s="4">
        <f t="shared" si="7"/>
        <v>264188956.47598666</v>
      </c>
      <c r="T37" s="4">
        <f t="shared" si="7"/>
        <v>286333538.81511605</v>
      </c>
      <c r="U37" s="4">
        <f t="shared" si="7"/>
        <v>308754928.43348455</v>
      </c>
      <c r="V37" s="4">
        <f t="shared" si="7"/>
        <v>331456585.42208266</v>
      </c>
      <c r="W37" s="4">
        <f t="shared" si="7"/>
        <v>354442013.12303823</v>
      </c>
      <c r="X37" s="4">
        <f t="shared" si="7"/>
        <v>377714758.67025578</v>
      </c>
      <c r="Y37" s="4">
        <f t="shared" si="7"/>
        <v>401278413.5368135</v>
      </c>
      <c r="Z37" s="4">
        <f t="shared" si="7"/>
        <v>425136614.08920324</v>
      </c>
      <c r="AA37" s="4">
        <f>AA36+Z37</f>
        <v>449293042.14849782</v>
      </c>
      <c r="AB37" s="4">
        <f>AB36+AA37</f>
        <v>473751425.55853355</v>
      </c>
      <c r="AC37" s="4">
        <f>AC36+AB37</f>
        <v>498515538.76119477</v>
      </c>
      <c r="AD37" s="4">
        <f>AD36+AC37</f>
        <v>523589203.37888926</v>
      </c>
      <c r="AE37" s="4">
        <f>AE36+AD37</f>
        <v>548976288.80430496</v>
      </c>
      <c r="AF37" s="4">
        <f t="shared" ref="AF37:AG37" si="8">AF36+AE37</f>
        <v>574680712.79753828</v>
      </c>
      <c r="AG37" s="4">
        <f t="shared" si="8"/>
        <v>600706442.09068704</v>
      </c>
      <c r="AH37" s="4">
        <f>AH36+AG37</f>
        <v>627057493.00000012</v>
      </c>
    </row>
    <row r="38" spans="1:193" x14ac:dyDescent="0.2">
      <c r="A38" s="158" t="s">
        <v>8</v>
      </c>
      <c r="B38" s="158"/>
      <c r="C38" s="8">
        <f t="shared" ref="C38:O38" si="9">C36+C34</f>
        <v>3840277.777777778</v>
      </c>
      <c r="D38" s="8">
        <f t="shared" si="9"/>
        <v>5665108.6504166666</v>
      </c>
      <c r="E38" s="8">
        <f t="shared" si="9"/>
        <v>7925309.9809722221</v>
      </c>
      <c r="F38" s="8">
        <f t="shared" si="9"/>
        <v>7925309.9809722221</v>
      </c>
      <c r="G38" s="8">
        <f>G36+G34</f>
        <v>26767530.364151765</v>
      </c>
      <c r="H38" s="8">
        <f>H36+H34</f>
        <v>26764913.38909854</v>
      </c>
      <c r="I38" s="8">
        <f t="shared" si="9"/>
        <v>27007737.670390017</v>
      </c>
      <c r="J38" s="8">
        <f t="shared" si="9"/>
        <v>26759580.893525258</v>
      </c>
      <c r="K38" s="8">
        <f t="shared" si="9"/>
        <v>26527588.036860213</v>
      </c>
      <c r="L38" s="8">
        <f t="shared" si="9"/>
        <v>26975139.872402199</v>
      </c>
      <c r="M38" s="8">
        <f t="shared" si="9"/>
        <v>26822220.106139645</v>
      </c>
      <c r="N38" s="8">
        <f t="shared" si="9"/>
        <v>26748510.091003343</v>
      </c>
      <c r="O38" s="8">
        <f t="shared" si="9"/>
        <v>26680439.045679543</v>
      </c>
      <c r="P38" s="8">
        <f>P36+P34</f>
        <v>26805090.85424516</v>
      </c>
      <c r="Q38" s="8">
        <f t="shared" ref="Q38:Z38" si="10">Q36+Q34</f>
        <v>26799237.76878399</v>
      </c>
      <c r="R38" s="8">
        <f t="shared" si="10"/>
        <v>26736875.282717045</v>
      </c>
      <c r="S38" s="8">
        <f t="shared" si="10"/>
        <v>26680439.045679547</v>
      </c>
      <c r="T38" s="8">
        <f t="shared" si="10"/>
        <v>26781235.861380659</v>
      </c>
      <c r="U38" s="8">
        <f t="shared" si="10"/>
        <v>26775084.588508677</v>
      </c>
      <c r="V38" s="8">
        <f t="shared" si="10"/>
        <v>26724647.735202666</v>
      </c>
      <c r="W38" s="8">
        <f t="shared" si="10"/>
        <v>26721494.727287583</v>
      </c>
      <c r="X38" s="8">
        <f t="shared" si="10"/>
        <v>26756165.567867585</v>
      </c>
      <c r="Y38" s="8">
        <f t="shared" si="10"/>
        <v>26749700.91632669</v>
      </c>
      <c r="Z38" s="8">
        <f t="shared" si="10"/>
        <v>26711797.251160543</v>
      </c>
      <c r="AA38" s="8">
        <f>AA36+AA34</f>
        <v>26680439.045679543</v>
      </c>
      <c r="AB38" s="8">
        <f>AB36+AB34</f>
        <v>26729818.059804957</v>
      </c>
      <c r="AC38" s="8">
        <f>AC36+AC34</f>
        <v>26723024.064413283</v>
      </c>
      <c r="AD38" s="8">
        <f>AD36+AD34</f>
        <v>26698292.094879374</v>
      </c>
      <c r="AE38" s="8">
        <f>AE36+AE34</f>
        <v>26680439.045679539</v>
      </c>
      <c r="AF38" s="8">
        <f t="shared" ref="AF38:AG38" si="11">AF36+AF34</f>
        <v>26702128.269067235</v>
      </c>
      <c r="AG38" s="8">
        <f t="shared" si="11"/>
        <v>26694988.151291341</v>
      </c>
      <c r="AH38" s="8">
        <f>AH36+AH34</f>
        <v>26684098.91386139</v>
      </c>
    </row>
    <row r="39" spans="1:193" ht="13.5" thickBot="1" x14ac:dyDescent="0.25">
      <c r="A39" s="159" t="s">
        <v>9</v>
      </c>
      <c r="B39" s="159"/>
      <c r="C39" s="14">
        <f t="shared" ref="C39:O39" si="12">C33-C36</f>
        <v>350000000</v>
      </c>
      <c r="D39" s="14">
        <f>D33-D36+D23</f>
        <v>627057493</v>
      </c>
      <c r="E39" s="14">
        <f t="shared" si="12"/>
        <v>627057493</v>
      </c>
      <c r="F39" s="14">
        <f t="shared" si="12"/>
        <v>627057493</v>
      </c>
      <c r="G39" s="14">
        <f t="shared" si="12"/>
        <v>608215272.61682045</v>
      </c>
      <c r="H39" s="14">
        <f t="shared" si="12"/>
        <v>589137524.4788512</v>
      </c>
      <c r="I39" s="14">
        <f t="shared" si="12"/>
        <v>569821304.48915732</v>
      </c>
      <c r="J39" s="14">
        <f t="shared" si="12"/>
        <v>550263631.7495923</v>
      </c>
      <c r="K39" s="14">
        <f t="shared" si="12"/>
        <v>530461488.10078269</v>
      </c>
      <c r="L39" s="14">
        <f t="shared" si="12"/>
        <v>510411817.65636295</v>
      </c>
      <c r="M39" s="14">
        <f t="shared" si="12"/>
        <v>490111526.33138794</v>
      </c>
      <c r="N39" s="14">
        <f t="shared" si="12"/>
        <v>469557481.36485076</v>
      </c>
      <c r="O39" s="14">
        <f t="shared" si="12"/>
        <v>448746510.83623183</v>
      </c>
      <c r="P39" s="14">
        <f>P33-P36</f>
        <v>427675403.17600518</v>
      </c>
      <c r="Q39" s="14">
        <f t="shared" ref="Q39:Z39" si="13">Q33-Q36</f>
        <v>406340906.67002571</v>
      </c>
      <c r="R39" s="14">
        <f t="shared" si="13"/>
        <v>384739728.95772147</v>
      </c>
      <c r="S39" s="14">
        <f t="shared" si="13"/>
        <v>362868536.52401346</v>
      </c>
      <c r="T39" s="14">
        <f t="shared" si="13"/>
        <v>340723954.18488407</v>
      </c>
      <c r="U39" s="14">
        <f t="shared" si="13"/>
        <v>318302564.56651556</v>
      </c>
      <c r="V39" s="14">
        <f t="shared" si="13"/>
        <v>295600907.57791746</v>
      </c>
      <c r="W39" s="14">
        <f t="shared" si="13"/>
        <v>272615479.87696189</v>
      </c>
      <c r="X39" s="14">
        <f t="shared" si="13"/>
        <v>249342734.32974437</v>
      </c>
      <c r="Y39" s="14">
        <f t="shared" si="13"/>
        <v>225779079.46318662</v>
      </c>
      <c r="Z39" s="14">
        <f t="shared" si="13"/>
        <v>201920878.91079691</v>
      </c>
      <c r="AA39" s="14">
        <f>AA33-AA36</f>
        <v>177764450.85150233</v>
      </c>
      <c r="AB39" s="14">
        <f>AB33-AB36</f>
        <v>153306067.44146657</v>
      </c>
      <c r="AC39" s="14">
        <f>AC33-AC36</f>
        <v>128541954.23880535</v>
      </c>
      <c r="AD39" s="14">
        <f>AD33-AD36</f>
        <v>103468289.62111089</v>
      </c>
      <c r="AE39" s="14">
        <f>AE33-AE36</f>
        <v>78081204.195695236</v>
      </c>
      <c r="AF39" s="14">
        <f t="shared" ref="AF39:AH39" si="14">AF33-AF36</f>
        <v>52376780.202461883</v>
      </c>
      <c r="AG39" s="14">
        <f t="shared" si="14"/>
        <v>26351050.909313112</v>
      </c>
      <c r="AH39" s="14">
        <f t="shared" si="14"/>
        <v>0</v>
      </c>
    </row>
    <row r="40" spans="1:193" x14ac:dyDescent="0.2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93" x14ac:dyDescent="0.2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93" x14ac:dyDescent="0.2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93" x14ac:dyDescent="0.2">
      <c r="A43" s="157" t="s">
        <v>65</v>
      </c>
      <c r="B43" s="157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93" x14ac:dyDescent="0.2">
      <c r="A44" s="154" t="s">
        <v>66</v>
      </c>
      <c r="B44" s="155"/>
      <c r="C44" s="88">
        <f t="shared" ref="C44:AH44" si="15">C32</f>
        <v>45000</v>
      </c>
      <c r="D44" s="88">
        <f t="shared" si="15"/>
        <v>45092</v>
      </c>
      <c r="E44" s="88">
        <f t="shared" si="15"/>
        <v>45183</v>
      </c>
      <c r="F44" s="88">
        <f t="shared" si="15"/>
        <v>45274</v>
      </c>
      <c r="G44" s="88">
        <f t="shared" si="15"/>
        <v>45365</v>
      </c>
      <c r="H44" s="88">
        <f t="shared" si="15"/>
        <v>45456</v>
      </c>
      <c r="I44" s="88">
        <f t="shared" si="15"/>
        <v>45550</v>
      </c>
      <c r="J44" s="88">
        <f t="shared" si="15"/>
        <v>45641</v>
      </c>
      <c r="K44" s="88">
        <f t="shared" si="15"/>
        <v>45729</v>
      </c>
      <c r="L44" s="88">
        <f t="shared" si="15"/>
        <v>45823</v>
      </c>
      <c r="M44" s="88">
        <f t="shared" si="15"/>
        <v>45915</v>
      </c>
      <c r="N44" s="88">
        <f t="shared" si="15"/>
        <v>46006</v>
      </c>
      <c r="O44" s="88">
        <f t="shared" si="15"/>
        <v>46096</v>
      </c>
      <c r="P44" s="88">
        <f t="shared" si="15"/>
        <v>46188</v>
      </c>
      <c r="Q44" s="88">
        <f t="shared" si="15"/>
        <v>46280</v>
      </c>
      <c r="R44" s="88">
        <f t="shared" si="15"/>
        <v>46371</v>
      </c>
      <c r="S44" s="88">
        <f t="shared" si="15"/>
        <v>46461</v>
      </c>
      <c r="T44" s="88">
        <f t="shared" si="15"/>
        <v>46553</v>
      </c>
      <c r="U44" s="88">
        <f t="shared" si="15"/>
        <v>46645</v>
      </c>
      <c r="V44" s="88">
        <f t="shared" si="15"/>
        <v>46736</v>
      </c>
      <c r="W44" s="88">
        <f t="shared" si="15"/>
        <v>46827</v>
      </c>
      <c r="X44" s="88">
        <f t="shared" si="15"/>
        <v>46919</v>
      </c>
      <c r="Y44" s="88">
        <f t="shared" si="15"/>
        <v>47011</v>
      </c>
      <c r="Z44" s="88">
        <f t="shared" si="15"/>
        <v>47102</v>
      </c>
      <c r="AA44" s="88">
        <f t="shared" si="15"/>
        <v>47192</v>
      </c>
      <c r="AB44" s="88">
        <f t="shared" si="15"/>
        <v>47284</v>
      </c>
      <c r="AC44" s="88">
        <f t="shared" si="15"/>
        <v>47376</v>
      </c>
      <c r="AD44" s="88">
        <f t="shared" si="15"/>
        <v>47467</v>
      </c>
      <c r="AE44" s="88">
        <f t="shared" si="15"/>
        <v>47557</v>
      </c>
      <c r="AF44" s="88">
        <f t="shared" si="15"/>
        <v>47649</v>
      </c>
      <c r="AG44" s="88">
        <f t="shared" si="15"/>
        <v>47741</v>
      </c>
      <c r="AH44" s="88">
        <f t="shared" si="15"/>
        <v>47832</v>
      </c>
    </row>
    <row r="45" spans="1:193" x14ac:dyDescent="0.2">
      <c r="A45" s="156" t="s">
        <v>58</v>
      </c>
      <c r="B45" s="156"/>
      <c r="C45" s="87">
        <f>AVERAGE($C$38:C38)</f>
        <v>3840277.777777778</v>
      </c>
      <c r="D45" s="87">
        <f>AVERAGE($C$38:D38)</f>
        <v>4752693.2140972223</v>
      </c>
      <c r="E45" s="87">
        <f>AVERAGE($C$38:E38)</f>
        <v>5810232.1363888895</v>
      </c>
      <c r="F45" s="87">
        <f>AVERAGE($C$38:F38)</f>
        <v>6339001.5975347226</v>
      </c>
      <c r="G45" s="87">
        <f>AVERAGE($C$38:G38)</f>
        <v>10424707.350858131</v>
      </c>
      <c r="H45" s="87">
        <f>AVERAGE($C$38:H38)</f>
        <v>13148075.023898199</v>
      </c>
      <c r="I45" s="87">
        <f>AVERAGE($C$38:I38)</f>
        <v>15128026.830539886</v>
      </c>
      <c r="J45" s="87">
        <f>AVERAGE($C$38:J38)</f>
        <v>16581971.088413058</v>
      </c>
      <c r="K45" s="87">
        <f>AVERAGE($C$38:K38)</f>
        <v>17687039.63824052</v>
      </c>
      <c r="L45" s="87">
        <f>AVERAGE($C$38:L38)</f>
        <v>18615849.661656685</v>
      </c>
      <c r="M45" s="87">
        <f>AVERAGE($C$38:M38)</f>
        <v>19361883.338427864</v>
      </c>
      <c r="N45" s="87">
        <f>AVERAGE($C$38:N38)</f>
        <v>19977435.567809153</v>
      </c>
      <c r="O45" s="87">
        <f>AVERAGE($C$38:O38)</f>
        <v>20493051.21995303</v>
      </c>
      <c r="P45" s="87">
        <f>AVERAGE($C$38:P38)</f>
        <v>20943911.193831038</v>
      </c>
      <c r="Q45" s="87">
        <f>AVERAGE($C$38:Q38)</f>
        <v>21334266.298827901</v>
      </c>
      <c r="R45" s="87">
        <f>AVERAGE($C$38:R38)</f>
        <v>21671929.360320974</v>
      </c>
      <c r="S45" s="87">
        <f>AVERAGE($C$38:S38)</f>
        <v>21966547.577106774</v>
      </c>
      <c r="T45" s="87">
        <f>AVERAGE($C$38:T38)</f>
        <v>22234030.259566434</v>
      </c>
      <c r="U45" s="87">
        <f>AVERAGE($C$38:U38)</f>
        <v>22473033.118984446</v>
      </c>
      <c r="V45" s="87">
        <f>AVERAGE($C$38:V38)</f>
        <v>22685613.849795356</v>
      </c>
      <c r="W45" s="87">
        <f>AVERAGE($C$38:W38)</f>
        <v>22877798.653485462</v>
      </c>
      <c r="X45" s="87">
        <f>AVERAGE($C$38:X38)</f>
        <v>23054088.058684651</v>
      </c>
      <c r="Y45" s="87">
        <f>AVERAGE($C$38:Y38)</f>
        <v>23214766.878582131</v>
      </c>
      <c r="Z45" s="87">
        <f>AVERAGE($C$38:Z38)</f>
        <v>23360476.477439564</v>
      </c>
      <c r="AA45" s="87">
        <f>AVERAGE($C$38:AA38)</f>
        <v>23493274.980169162</v>
      </c>
      <c r="AB45" s="87">
        <f>AVERAGE($C$38:AB38)</f>
        <v>23617757.406309001</v>
      </c>
      <c r="AC45" s="87">
        <f>AVERAGE($C$38:AC38)</f>
        <v>23732767.282535084</v>
      </c>
      <c r="AD45" s="87">
        <f>AVERAGE($C$38:AD38)</f>
        <v>23838678.882975955</v>
      </c>
      <c r="AE45" s="87">
        <f>AVERAGE($C$38:AE38)</f>
        <v>23936670.612724353</v>
      </c>
      <c r="AF45" s="87">
        <f>AVERAGE($C$38:AF38)</f>
        <v>24028852.534602452</v>
      </c>
      <c r="AG45" s="87">
        <f>AVERAGE($C$38:AG38)</f>
        <v>24114856.90933435</v>
      </c>
      <c r="AH45" s="87">
        <f>AVERAGE($C$38:AH38)</f>
        <v>24195145.721975822</v>
      </c>
    </row>
    <row r="46" spans="1:193" x14ac:dyDescent="0.2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93" x14ac:dyDescent="0.2">
      <c r="F47" s="7"/>
    </row>
    <row r="48" spans="1:193" x14ac:dyDescent="0.2">
      <c r="AH48" s="8"/>
    </row>
    <row r="51" spans="5:6" x14ac:dyDescent="0.2">
      <c r="E51" s="8"/>
      <c r="F51" s="129"/>
    </row>
    <row r="52" spans="5:6" x14ac:dyDescent="0.2">
      <c r="E52" s="8"/>
      <c r="F52" s="129"/>
    </row>
    <row r="53" spans="5:6" x14ac:dyDescent="0.2">
      <c r="F53" s="130"/>
    </row>
  </sheetData>
  <mergeCells count="12">
    <mergeCell ref="A31:B31"/>
    <mergeCell ref="A44:B44"/>
    <mergeCell ref="A45:B45"/>
    <mergeCell ref="A43:B43"/>
    <mergeCell ref="A38:B38"/>
    <mergeCell ref="A39:B39"/>
    <mergeCell ref="A32:B32"/>
    <mergeCell ref="A33:B33"/>
    <mergeCell ref="A34:B34"/>
    <mergeCell ref="A35:B35"/>
    <mergeCell ref="A36:B36"/>
    <mergeCell ref="A37:B37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40 B40 D40:T40 C38:C39 C24 D38 E39:J39 E35:J35 F37:J37 K35:P35 K38:P39 Q38:U39 K37:U37 Q35:U35 V35 V37:V39 Z35:AA35 W37:X37 W38:AC39 Y37:AC37 W35:Y35 AB35:AC35 AD37:AE39 AD35:AE35 E38:F38 I38:J3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B43"/>
  <sheetViews>
    <sheetView showGridLines="0" topLeftCell="A6" workbookViewId="0">
      <selection activeCell="A30" sqref="A30"/>
    </sheetView>
  </sheetViews>
  <sheetFormatPr defaultColWidth="9.5703125" defaultRowHeight="13.5" x14ac:dyDescent="0.25"/>
  <cols>
    <col min="1" max="1" width="29" style="20" bestFit="1" customWidth="1"/>
    <col min="2" max="2" width="17.28515625" style="20" customWidth="1"/>
    <col min="3" max="3" width="12" style="20" customWidth="1"/>
    <col min="4" max="41" width="12.28515625" style="20" bestFit="1" customWidth="1"/>
    <col min="42" max="79" width="10.85546875" style="20" bestFit="1" customWidth="1"/>
    <col min="80" max="95" width="12.28515625" style="20" bestFit="1" customWidth="1"/>
    <col min="96" max="99" width="10.85546875" style="20" bestFit="1" customWidth="1"/>
    <col min="100" max="100" width="12.42578125" style="20" bestFit="1" customWidth="1"/>
    <col min="101" max="183" width="10.85546875" style="20" bestFit="1" customWidth="1"/>
    <col min="184" max="184" width="11.42578125" style="20" bestFit="1" customWidth="1"/>
    <col min="185" max="209" width="9.5703125" style="20" bestFit="1" customWidth="1"/>
    <col min="210" max="16384" width="9.5703125" style="20"/>
  </cols>
  <sheetData>
    <row r="1" spans="1:56" s="16" customFormat="1" ht="16.5" x14ac:dyDescent="0.3">
      <c r="A1" s="15" t="s">
        <v>0</v>
      </c>
      <c r="B1" s="79" t="str">
        <f>EKCL_BDT_Loan!C1</f>
        <v>Esquire Knit Composite Limited (EKCL)</v>
      </c>
    </row>
    <row r="3" spans="1:56" s="18" customFormat="1" ht="18.75" x14ac:dyDescent="0.3">
      <c r="A3" s="17" t="s">
        <v>1</v>
      </c>
    </row>
    <row r="4" spans="1:56" s="16" customFormat="1" ht="16.5" x14ac:dyDescent="0.3">
      <c r="A4" s="15"/>
    </row>
    <row r="5" spans="1:56" s="19" customFormat="1" ht="15" x14ac:dyDescent="0.3">
      <c r="A5" s="19" t="s">
        <v>67</v>
      </c>
      <c r="B5" s="77">
        <f>+EKCL_BDT_Loan!C3</f>
        <v>44857</v>
      </c>
    </row>
    <row r="6" spans="1:56" x14ac:dyDescent="0.25">
      <c r="B6" s="48"/>
    </row>
    <row r="7" spans="1:56" ht="15" x14ac:dyDescent="0.3">
      <c r="A7" s="19" t="s">
        <v>2</v>
      </c>
      <c r="B7" s="78">
        <f>EKCL_BDT_Loan!C5</f>
        <v>750000000</v>
      </c>
      <c r="C7" s="19" t="s">
        <v>47</v>
      </c>
    </row>
    <row r="8" spans="1:56" ht="15" x14ac:dyDescent="0.3">
      <c r="A8" s="19"/>
      <c r="B8" s="48"/>
    </row>
    <row r="9" spans="1:56" ht="15" x14ac:dyDescent="0.3">
      <c r="A9" s="19" t="s">
        <v>4</v>
      </c>
      <c r="B9" s="77">
        <f>EKCL_BDT_Loan!C7</f>
        <v>44921</v>
      </c>
    </row>
    <row r="10" spans="1:56" ht="15" x14ac:dyDescent="0.3">
      <c r="A10" s="19"/>
      <c r="B10" s="48"/>
    </row>
    <row r="11" spans="1:56" ht="15" x14ac:dyDescent="0.3">
      <c r="A11" s="19" t="s">
        <v>3</v>
      </c>
      <c r="B11" s="93">
        <f>+EKCL_BDT_Loan!C11</f>
        <v>0.05</v>
      </c>
    </row>
    <row r="12" spans="1:56" ht="15" x14ac:dyDescent="0.3">
      <c r="A12" s="19" t="s">
        <v>75</v>
      </c>
      <c r="B12" s="48" t="str">
        <f>+EKCL_BDT_Loan!C13</f>
        <v>96 months</v>
      </c>
    </row>
    <row r="13" spans="1:56" ht="15" x14ac:dyDescent="0.3">
      <c r="A13" s="19" t="s">
        <v>49</v>
      </c>
      <c r="B13" s="124">
        <v>360</v>
      </c>
      <c r="C13" s="20" t="s">
        <v>53</v>
      </c>
    </row>
    <row r="14" spans="1:56" ht="15" x14ac:dyDescent="0.3">
      <c r="A14" s="19" t="s">
        <v>23</v>
      </c>
      <c r="B14" s="115" t="str">
        <f>EKCL_BDT_Loan!C15</f>
        <v>Quarterly Installment</v>
      </c>
    </row>
    <row r="15" spans="1:56" ht="15" x14ac:dyDescent="0.3">
      <c r="A15" s="19"/>
      <c r="B15" s="12"/>
    </row>
    <row r="16" spans="1:56" s="21" customFormat="1" x14ac:dyDescent="0.25">
      <c r="A16" s="54" t="s">
        <v>52</v>
      </c>
      <c r="B16" s="51"/>
      <c r="C16" s="53"/>
      <c r="D16" s="3"/>
      <c r="E16" s="3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</row>
    <row r="17" spans="1:100" x14ac:dyDescent="0.25">
      <c r="A17" s="56"/>
      <c r="B17" s="57"/>
      <c r="C17" s="57">
        <f>EKCL_BDT_Loan!C22</f>
        <v>44921</v>
      </c>
      <c r="D17" s="57">
        <f>EKCL_BDT_Loan!D22</f>
        <v>45061</v>
      </c>
      <c r="E17" s="57">
        <f>EKCL_BDT_Loan!E22</f>
        <v>0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</row>
    <row r="18" spans="1:100" x14ac:dyDescent="0.25">
      <c r="A18" s="58"/>
      <c r="B18" s="59"/>
      <c r="C18" s="80">
        <f>EKCL_BDT_Loan!C23</f>
        <v>350000000</v>
      </c>
      <c r="D18" s="80">
        <f>EKCL_BDT_Loan!D23</f>
        <v>277057493</v>
      </c>
      <c r="E18" s="80">
        <f>EKCL_BDT_Loan!E23</f>
        <v>0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28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28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</row>
    <row r="19" spans="1:100" s="21" customFormat="1" ht="13.5" customHeight="1" x14ac:dyDescent="0.25">
      <c r="A19" s="60"/>
      <c r="B19" s="61"/>
      <c r="C19" s="81">
        <f>C18</f>
        <v>350000000</v>
      </c>
      <c r="D19" s="81">
        <f>D18+C19</f>
        <v>627057493</v>
      </c>
      <c r="E19" s="81">
        <f>E18+D19</f>
        <v>627057493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</row>
    <row r="20" spans="1:100" s="21" customFormat="1" ht="13.5" customHeight="1" x14ac:dyDescent="0.3">
      <c r="A20" s="19"/>
      <c r="B20" s="2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8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G20" s="28"/>
    </row>
    <row r="21" spans="1:100" s="21" customFormat="1" ht="13.5" customHeight="1" x14ac:dyDescent="0.3">
      <c r="A21" s="19"/>
      <c r="B21" s="2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8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G21" s="28"/>
    </row>
    <row r="22" spans="1:100" s="3" customFormat="1" ht="13.5" customHeight="1" thickBot="1" x14ac:dyDescent="0.25">
      <c r="A22" s="107" t="s">
        <v>3</v>
      </c>
      <c r="B22" s="106"/>
      <c r="C22" s="106"/>
      <c r="D22" s="106">
        <v>0.05</v>
      </c>
      <c r="E22" s="106">
        <v>0.05</v>
      </c>
      <c r="F22" s="106">
        <v>0.05</v>
      </c>
      <c r="G22" s="106">
        <v>0.05</v>
      </c>
      <c r="H22" s="106">
        <v>0.05</v>
      </c>
      <c r="I22" s="106">
        <v>0.05</v>
      </c>
      <c r="J22" s="106">
        <v>0.05</v>
      </c>
      <c r="K22" s="106">
        <v>0.05</v>
      </c>
      <c r="L22" s="106">
        <v>0.05</v>
      </c>
      <c r="M22" s="106">
        <v>0.05</v>
      </c>
      <c r="N22" s="106">
        <v>0.05</v>
      </c>
      <c r="O22" s="106">
        <v>0.05</v>
      </c>
      <c r="P22" s="106">
        <v>0.05</v>
      </c>
      <c r="Q22" s="106">
        <v>0.05</v>
      </c>
      <c r="R22" s="106">
        <v>0.05</v>
      </c>
      <c r="S22" s="106">
        <v>0.05</v>
      </c>
      <c r="T22" s="106">
        <v>0.05</v>
      </c>
      <c r="U22" s="106">
        <v>0.05</v>
      </c>
      <c r="V22" s="106">
        <v>0.05</v>
      </c>
      <c r="W22" s="106">
        <v>0.05</v>
      </c>
      <c r="X22" s="106">
        <v>0.05</v>
      </c>
      <c r="Y22" s="106">
        <v>0.05</v>
      </c>
      <c r="Z22" s="106">
        <v>0.05</v>
      </c>
      <c r="AA22" s="106">
        <v>0.05</v>
      </c>
      <c r="AB22" s="106">
        <v>0.05</v>
      </c>
      <c r="AC22" s="106">
        <v>0.05</v>
      </c>
      <c r="AD22" s="106">
        <v>0.05</v>
      </c>
      <c r="AE22" s="106">
        <v>0.05</v>
      </c>
      <c r="AF22" s="106">
        <v>0.05</v>
      </c>
      <c r="AG22" s="106">
        <v>0.05</v>
      </c>
      <c r="AH22" s="106">
        <v>0.05</v>
      </c>
      <c r="AI22" s="106">
        <v>0.05</v>
      </c>
      <c r="AJ22" s="106">
        <v>0.05</v>
      </c>
      <c r="AK22" s="106">
        <v>0.05</v>
      </c>
      <c r="AL22" s="106">
        <v>0.05</v>
      </c>
      <c r="AM22" s="106">
        <v>0.05</v>
      </c>
      <c r="AN22" s="106">
        <v>0.05</v>
      </c>
      <c r="AO22" s="106">
        <v>0.05</v>
      </c>
      <c r="AP22" s="106">
        <v>0.05</v>
      </c>
      <c r="AQ22" s="106">
        <v>0.05</v>
      </c>
      <c r="AR22" s="106">
        <v>0.05</v>
      </c>
      <c r="AS22" s="106">
        <v>0.05</v>
      </c>
      <c r="AT22" s="106">
        <v>0.05</v>
      </c>
      <c r="AU22" s="106">
        <v>0.05</v>
      </c>
      <c r="AV22" s="106">
        <v>0.05</v>
      </c>
      <c r="AW22" s="106">
        <v>0.05</v>
      </c>
      <c r="AX22" s="106">
        <v>0.05</v>
      </c>
      <c r="AY22" s="106">
        <v>0.05</v>
      </c>
      <c r="AZ22" s="106">
        <v>0.05</v>
      </c>
      <c r="BA22" s="106">
        <v>0.05</v>
      </c>
      <c r="BB22" s="106">
        <v>0.05</v>
      </c>
      <c r="BC22" s="106">
        <v>0.05</v>
      </c>
      <c r="BD22" s="106">
        <v>0.05</v>
      </c>
      <c r="BE22" s="106">
        <v>0.05</v>
      </c>
      <c r="BF22" s="106">
        <v>0.05</v>
      </c>
      <c r="BG22" s="106">
        <v>0.05</v>
      </c>
      <c r="BH22" s="106">
        <v>0.05</v>
      </c>
      <c r="BI22" s="106">
        <v>0.05</v>
      </c>
      <c r="BJ22" s="106">
        <v>0.05</v>
      </c>
      <c r="BK22" s="106">
        <v>0.05</v>
      </c>
      <c r="BL22" s="106">
        <v>0.05</v>
      </c>
      <c r="BM22" s="106">
        <v>0.05</v>
      </c>
      <c r="BN22" s="106">
        <v>0.05</v>
      </c>
      <c r="BO22" s="106">
        <v>0.05</v>
      </c>
      <c r="BP22" s="106">
        <v>0.05</v>
      </c>
      <c r="BQ22" s="106">
        <v>0.05</v>
      </c>
      <c r="BR22" s="106">
        <v>0.05</v>
      </c>
      <c r="BS22" s="106">
        <v>0.05</v>
      </c>
      <c r="BT22" s="106">
        <v>0.05</v>
      </c>
      <c r="BU22" s="106">
        <v>0.05</v>
      </c>
      <c r="BV22" s="106">
        <v>0.05</v>
      </c>
      <c r="BW22" s="106">
        <v>0.05</v>
      </c>
      <c r="BX22" s="106">
        <v>0.05</v>
      </c>
      <c r="BY22" s="106">
        <v>0.05</v>
      </c>
      <c r="BZ22" s="106">
        <v>0.05</v>
      </c>
      <c r="CA22" s="106">
        <v>0.05</v>
      </c>
      <c r="CB22" s="106">
        <v>0.05</v>
      </c>
      <c r="CC22" s="106">
        <v>0.05</v>
      </c>
      <c r="CD22" s="106">
        <v>0.05</v>
      </c>
      <c r="CE22" s="106">
        <v>0.05</v>
      </c>
      <c r="CF22" s="106">
        <v>0.05</v>
      </c>
      <c r="CG22" s="106">
        <v>0.05</v>
      </c>
      <c r="CH22" s="106">
        <v>0.05</v>
      </c>
      <c r="CI22" s="106">
        <v>0.05</v>
      </c>
      <c r="CJ22" s="106">
        <v>0.05</v>
      </c>
      <c r="CK22" s="106">
        <v>0.05</v>
      </c>
      <c r="CL22" s="106">
        <v>0.05</v>
      </c>
      <c r="CM22" s="106">
        <v>0.05</v>
      </c>
      <c r="CN22" s="106">
        <v>0.05</v>
      </c>
      <c r="CO22" s="106">
        <v>0.05</v>
      </c>
      <c r="CP22" s="106">
        <v>0.05</v>
      </c>
      <c r="CQ22" s="106">
        <v>0.05</v>
      </c>
      <c r="CR22" s="106">
        <v>0.05</v>
      </c>
      <c r="CS22" s="106">
        <v>0.05</v>
      </c>
      <c r="CT22" s="106">
        <v>0.05</v>
      </c>
      <c r="CU22" s="106">
        <v>0.05</v>
      </c>
      <c r="CV22" s="106">
        <v>0.05</v>
      </c>
    </row>
    <row r="23" spans="1:100" s="21" customFormat="1" ht="13.5" customHeight="1" x14ac:dyDescent="0.3">
      <c r="A23" s="19"/>
      <c r="B23" s="22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8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G23" s="28"/>
    </row>
    <row r="24" spans="1:100" s="21" customFormat="1" ht="13.5" customHeight="1" x14ac:dyDescent="0.3">
      <c r="A24" s="19"/>
      <c r="B24" s="2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8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G24" s="28"/>
    </row>
    <row r="25" spans="1:100" s="21" customFormat="1" x14ac:dyDescent="0.25">
      <c r="A25" s="20"/>
      <c r="B25" s="23"/>
      <c r="C25" s="23"/>
      <c r="D25" s="25"/>
      <c r="E25" s="25"/>
      <c r="F25" s="25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</row>
    <row r="26" spans="1:100" s="21" customFormat="1" ht="15" x14ac:dyDescent="0.3">
      <c r="A26" s="19" t="s">
        <v>14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113"/>
      <c r="R26" s="24"/>
      <c r="S26" s="24"/>
      <c r="T26" s="24"/>
      <c r="U26" s="24"/>
      <c r="V26" s="24"/>
      <c r="W26" s="24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</row>
    <row r="27" spans="1:100" s="21" customFormat="1" ht="15" x14ac:dyDescent="0.3">
      <c r="A27" s="26" t="s">
        <v>15</v>
      </c>
      <c r="B27" s="27"/>
      <c r="C27" s="27"/>
      <c r="D27" s="76">
        <v>44927</v>
      </c>
      <c r="E27" s="76">
        <f t="shared" ref="E27:BB27" si="0">EDATE(D27,1)</f>
        <v>44958</v>
      </c>
      <c r="F27" s="76">
        <f t="shared" si="0"/>
        <v>44986</v>
      </c>
      <c r="G27" s="76">
        <f t="shared" si="0"/>
        <v>45017</v>
      </c>
      <c r="H27" s="76">
        <f t="shared" si="0"/>
        <v>45047</v>
      </c>
      <c r="I27" s="76">
        <f t="shared" si="0"/>
        <v>45078</v>
      </c>
      <c r="J27" s="76">
        <f t="shared" si="0"/>
        <v>45108</v>
      </c>
      <c r="K27" s="76">
        <f t="shared" si="0"/>
        <v>45139</v>
      </c>
      <c r="L27" s="76">
        <f t="shared" si="0"/>
        <v>45170</v>
      </c>
      <c r="M27" s="76">
        <f t="shared" si="0"/>
        <v>45200</v>
      </c>
      <c r="N27" s="76">
        <f t="shared" si="0"/>
        <v>45231</v>
      </c>
      <c r="O27" s="76">
        <f t="shared" si="0"/>
        <v>45261</v>
      </c>
      <c r="P27" s="76">
        <f t="shared" si="0"/>
        <v>45292</v>
      </c>
      <c r="Q27" s="76">
        <f>EDATE(P27,1)</f>
        <v>45323</v>
      </c>
      <c r="R27" s="76">
        <f t="shared" si="0"/>
        <v>45352</v>
      </c>
      <c r="S27" s="76">
        <f t="shared" si="0"/>
        <v>45383</v>
      </c>
      <c r="T27" s="76">
        <f t="shared" si="0"/>
        <v>45413</v>
      </c>
      <c r="U27" s="76">
        <f t="shared" si="0"/>
        <v>45444</v>
      </c>
      <c r="V27" s="76">
        <f t="shared" si="0"/>
        <v>45474</v>
      </c>
      <c r="W27" s="76">
        <f t="shared" si="0"/>
        <v>45505</v>
      </c>
      <c r="X27" s="76">
        <f t="shared" si="0"/>
        <v>45536</v>
      </c>
      <c r="Y27" s="76">
        <f t="shared" si="0"/>
        <v>45566</v>
      </c>
      <c r="Z27" s="76">
        <f t="shared" si="0"/>
        <v>45597</v>
      </c>
      <c r="AA27" s="76">
        <f t="shared" si="0"/>
        <v>45627</v>
      </c>
      <c r="AB27" s="76">
        <f t="shared" si="0"/>
        <v>45658</v>
      </c>
      <c r="AC27" s="76">
        <f t="shared" si="0"/>
        <v>45689</v>
      </c>
      <c r="AD27" s="76">
        <f t="shared" si="0"/>
        <v>45717</v>
      </c>
      <c r="AE27" s="76">
        <f t="shared" si="0"/>
        <v>45748</v>
      </c>
      <c r="AF27" s="76">
        <f t="shared" si="0"/>
        <v>45778</v>
      </c>
      <c r="AG27" s="76">
        <f t="shared" si="0"/>
        <v>45809</v>
      </c>
      <c r="AH27" s="76">
        <f t="shared" si="0"/>
        <v>45839</v>
      </c>
      <c r="AI27" s="76">
        <f t="shared" si="0"/>
        <v>45870</v>
      </c>
      <c r="AJ27" s="76">
        <f t="shared" si="0"/>
        <v>45901</v>
      </c>
      <c r="AK27" s="76">
        <f t="shared" si="0"/>
        <v>45931</v>
      </c>
      <c r="AL27" s="76">
        <f t="shared" si="0"/>
        <v>45962</v>
      </c>
      <c r="AM27" s="76">
        <f t="shared" si="0"/>
        <v>45992</v>
      </c>
      <c r="AN27" s="76">
        <f t="shared" si="0"/>
        <v>46023</v>
      </c>
      <c r="AO27" s="76">
        <f t="shared" si="0"/>
        <v>46054</v>
      </c>
      <c r="AP27" s="76">
        <f t="shared" si="0"/>
        <v>46082</v>
      </c>
      <c r="AQ27" s="76">
        <f t="shared" si="0"/>
        <v>46113</v>
      </c>
      <c r="AR27" s="76">
        <f t="shared" si="0"/>
        <v>46143</v>
      </c>
      <c r="AS27" s="76">
        <f t="shared" si="0"/>
        <v>46174</v>
      </c>
      <c r="AT27" s="76">
        <f t="shared" si="0"/>
        <v>46204</v>
      </c>
      <c r="AU27" s="76">
        <f t="shared" si="0"/>
        <v>46235</v>
      </c>
      <c r="AV27" s="76">
        <f t="shared" si="0"/>
        <v>46266</v>
      </c>
      <c r="AW27" s="76">
        <f t="shared" si="0"/>
        <v>46296</v>
      </c>
      <c r="AX27" s="76">
        <f t="shared" si="0"/>
        <v>46327</v>
      </c>
      <c r="AY27" s="76">
        <f t="shared" si="0"/>
        <v>46357</v>
      </c>
      <c r="AZ27" s="76">
        <f t="shared" si="0"/>
        <v>46388</v>
      </c>
      <c r="BA27" s="76">
        <f t="shared" si="0"/>
        <v>46419</v>
      </c>
      <c r="BB27" s="76">
        <f t="shared" si="0"/>
        <v>46447</v>
      </c>
      <c r="BC27" s="76">
        <f t="shared" ref="BC27:CG27" si="1">EDATE(BB27,1)</f>
        <v>46478</v>
      </c>
      <c r="BD27" s="76">
        <f t="shared" si="1"/>
        <v>46508</v>
      </c>
      <c r="BE27" s="76">
        <f t="shared" si="1"/>
        <v>46539</v>
      </c>
      <c r="BF27" s="76">
        <f t="shared" si="1"/>
        <v>46569</v>
      </c>
      <c r="BG27" s="76">
        <f t="shared" si="1"/>
        <v>46600</v>
      </c>
      <c r="BH27" s="76">
        <f t="shared" si="1"/>
        <v>46631</v>
      </c>
      <c r="BI27" s="76">
        <f t="shared" si="1"/>
        <v>46661</v>
      </c>
      <c r="BJ27" s="76">
        <f t="shared" si="1"/>
        <v>46692</v>
      </c>
      <c r="BK27" s="76">
        <f t="shared" si="1"/>
        <v>46722</v>
      </c>
      <c r="BL27" s="76">
        <f t="shared" si="1"/>
        <v>46753</v>
      </c>
      <c r="BM27" s="76">
        <f t="shared" si="1"/>
        <v>46784</v>
      </c>
      <c r="BN27" s="76">
        <f t="shared" si="1"/>
        <v>46813</v>
      </c>
      <c r="BO27" s="76">
        <f t="shared" si="1"/>
        <v>46844</v>
      </c>
      <c r="BP27" s="76">
        <f t="shared" si="1"/>
        <v>46874</v>
      </c>
      <c r="BQ27" s="76">
        <f t="shared" si="1"/>
        <v>46905</v>
      </c>
      <c r="BR27" s="76">
        <f t="shared" si="1"/>
        <v>46935</v>
      </c>
      <c r="BS27" s="76">
        <f t="shared" si="1"/>
        <v>46966</v>
      </c>
      <c r="BT27" s="76">
        <f t="shared" si="1"/>
        <v>46997</v>
      </c>
      <c r="BU27" s="76">
        <f t="shared" si="1"/>
        <v>47027</v>
      </c>
      <c r="BV27" s="76">
        <f t="shared" si="1"/>
        <v>47058</v>
      </c>
      <c r="BW27" s="76">
        <f t="shared" si="1"/>
        <v>47088</v>
      </c>
      <c r="BX27" s="76">
        <f t="shared" si="1"/>
        <v>47119</v>
      </c>
      <c r="BY27" s="76">
        <f t="shared" si="1"/>
        <v>47150</v>
      </c>
      <c r="BZ27" s="76">
        <f t="shared" si="1"/>
        <v>47178</v>
      </c>
      <c r="CA27" s="76">
        <f t="shared" si="1"/>
        <v>47209</v>
      </c>
      <c r="CB27" s="76">
        <f t="shared" si="1"/>
        <v>47239</v>
      </c>
      <c r="CC27" s="76">
        <f t="shared" si="1"/>
        <v>47270</v>
      </c>
      <c r="CD27" s="76">
        <f t="shared" si="1"/>
        <v>47300</v>
      </c>
      <c r="CE27" s="76">
        <f t="shared" si="1"/>
        <v>47331</v>
      </c>
      <c r="CF27" s="76">
        <f t="shared" si="1"/>
        <v>47362</v>
      </c>
      <c r="CG27" s="76">
        <f t="shared" si="1"/>
        <v>47392</v>
      </c>
      <c r="CH27" s="76">
        <f t="shared" ref="CH27" si="2">EDATE(CG27,1)</f>
        <v>47423</v>
      </c>
      <c r="CI27" s="76">
        <f t="shared" ref="CI27" si="3">EDATE(CH27,1)</f>
        <v>47453</v>
      </c>
      <c r="CJ27" s="76">
        <f t="shared" ref="CJ27" si="4">EDATE(CI27,1)</f>
        <v>47484</v>
      </c>
      <c r="CK27" s="76">
        <f t="shared" ref="CK27" si="5">EDATE(CJ27,1)</f>
        <v>47515</v>
      </c>
      <c r="CL27" s="76">
        <f t="shared" ref="CL27" si="6">EDATE(CK27,1)</f>
        <v>47543</v>
      </c>
      <c r="CM27" s="76">
        <f t="shared" ref="CM27" si="7">EDATE(CL27,1)</f>
        <v>47574</v>
      </c>
      <c r="CN27" s="76">
        <f t="shared" ref="CN27" si="8">EDATE(CM27,1)</f>
        <v>47604</v>
      </c>
      <c r="CO27" s="76">
        <f t="shared" ref="CO27" si="9">EDATE(CN27,1)</f>
        <v>47635</v>
      </c>
      <c r="CP27" s="76">
        <f t="shared" ref="CP27" si="10">EDATE(CO27,1)</f>
        <v>47665</v>
      </c>
      <c r="CQ27" s="76">
        <f t="shared" ref="CQ27" si="11">EDATE(CP27,1)</f>
        <v>47696</v>
      </c>
      <c r="CR27" s="76">
        <f t="shared" ref="CR27" si="12">EDATE(CQ27,1)</f>
        <v>47727</v>
      </c>
      <c r="CS27" s="76">
        <f t="shared" ref="CS27" si="13">EDATE(CR27,1)</f>
        <v>47757</v>
      </c>
      <c r="CT27" s="76">
        <f t="shared" ref="CT27:CV27" si="14">EDATE(CS27,1)</f>
        <v>47788</v>
      </c>
      <c r="CU27" s="76">
        <f t="shared" si="14"/>
        <v>47818</v>
      </c>
      <c r="CV27" s="76">
        <f t="shared" si="14"/>
        <v>47849</v>
      </c>
    </row>
    <row r="28" spans="1:100" s="21" customFormat="1" x14ac:dyDescent="0.25">
      <c r="A28" s="20" t="s">
        <v>5</v>
      </c>
      <c r="B28" s="28"/>
      <c r="C28" s="28"/>
      <c r="D28" s="82">
        <f>C19</f>
        <v>350000000</v>
      </c>
      <c r="E28" s="82">
        <f t="shared" ref="E28:BC28" si="15">D34</f>
        <v>350000000</v>
      </c>
      <c r="F28" s="82">
        <f t="shared" si="15"/>
        <v>350000000</v>
      </c>
      <c r="G28" s="82">
        <f t="shared" si="15"/>
        <v>350000000</v>
      </c>
      <c r="H28" s="82">
        <f t="shared" si="15"/>
        <v>350000000</v>
      </c>
      <c r="I28" s="82">
        <f t="shared" si="15"/>
        <v>350000000</v>
      </c>
      <c r="J28" s="82">
        <f t="shared" si="15"/>
        <v>627057493</v>
      </c>
      <c r="K28" s="82">
        <f t="shared" si="15"/>
        <v>627057493</v>
      </c>
      <c r="L28" s="82">
        <f t="shared" si="15"/>
        <v>627057493</v>
      </c>
      <c r="M28" s="82">
        <f t="shared" si="15"/>
        <v>627057493</v>
      </c>
      <c r="N28" s="82">
        <f t="shared" si="15"/>
        <v>627057493</v>
      </c>
      <c r="O28" s="82">
        <f t="shared" si="15"/>
        <v>627057493</v>
      </c>
      <c r="P28" s="82">
        <f t="shared" si="15"/>
        <v>627057493</v>
      </c>
      <c r="Q28" s="82">
        <f t="shared" si="15"/>
        <v>627057493</v>
      </c>
      <c r="R28" s="82">
        <f t="shared" si="15"/>
        <v>627057493</v>
      </c>
      <c r="S28" s="82">
        <f t="shared" si="15"/>
        <v>627057493</v>
      </c>
      <c r="T28" s="82">
        <f t="shared" si="15"/>
        <v>608215272.61682045</v>
      </c>
      <c r="U28" s="82">
        <f t="shared" si="15"/>
        <v>608215272.61682045</v>
      </c>
      <c r="V28" s="82">
        <f t="shared" si="15"/>
        <v>608215272.61682045</v>
      </c>
      <c r="W28" s="82">
        <f t="shared" si="15"/>
        <v>589137524.4788512</v>
      </c>
      <c r="X28" s="82">
        <f t="shared" si="15"/>
        <v>589137524.4788512</v>
      </c>
      <c r="Y28" s="82">
        <f t="shared" si="15"/>
        <v>589137524.4788512</v>
      </c>
      <c r="Z28" s="82">
        <f t="shared" si="15"/>
        <v>569821304.48915732</v>
      </c>
      <c r="AA28" s="82">
        <f t="shared" si="15"/>
        <v>569821304.48915732</v>
      </c>
      <c r="AB28" s="82">
        <f t="shared" si="15"/>
        <v>569821304.48915732</v>
      </c>
      <c r="AC28" s="82">
        <f t="shared" si="15"/>
        <v>550263631.7495923</v>
      </c>
      <c r="AD28" s="82">
        <f t="shared" si="15"/>
        <v>550263631.7495923</v>
      </c>
      <c r="AE28" s="82">
        <f t="shared" si="15"/>
        <v>550263631.7495923</v>
      </c>
      <c r="AF28" s="82">
        <f t="shared" si="15"/>
        <v>530461488.10078269</v>
      </c>
      <c r="AG28" s="82">
        <f t="shared" si="15"/>
        <v>530461488.10078269</v>
      </c>
      <c r="AH28" s="82">
        <f t="shared" si="15"/>
        <v>530461488.10078269</v>
      </c>
      <c r="AI28" s="82">
        <f t="shared" si="15"/>
        <v>510411817.65636295</v>
      </c>
      <c r="AJ28" s="82">
        <f t="shared" si="15"/>
        <v>510411817.65636295</v>
      </c>
      <c r="AK28" s="82">
        <f t="shared" si="15"/>
        <v>510411817.65636295</v>
      </c>
      <c r="AL28" s="82">
        <f t="shared" si="15"/>
        <v>490111526.33138794</v>
      </c>
      <c r="AM28" s="82">
        <f t="shared" si="15"/>
        <v>490111526.33138794</v>
      </c>
      <c r="AN28" s="82">
        <f t="shared" si="15"/>
        <v>490111526.33138794</v>
      </c>
      <c r="AO28" s="82">
        <f t="shared" si="15"/>
        <v>469557481.36485076</v>
      </c>
      <c r="AP28" s="82">
        <f t="shared" si="15"/>
        <v>469557481.36485076</v>
      </c>
      <c r="AQ28" s="82">
        <f t="shared" si="15"/>
        <v>469557481.36485076</v>
      </c>
      <c r="AR28" s="82">
        <f t="shared" si="15"/>
        <v>448746510.83623183</v>
      </c>
      <c r="AS28" s="82">
        <f t="shared" si="15"/>
        <v>448746510.83623183</v>
      </c>
      <c r="AT28" s="82">
        <f t="shared" si="15"/>
        <v>448746510.83623183</v>
      </c>
      <c r="AU28" s="82">
        <f t="shared" si="15"/>
        <v>427675403.17600518</v>
      </c>
      <c r="AV28" s="82">
        <f t="shared" si="15"/>
        <v>427675403.17600518</v>
      </c>
      <c r="AW28" s="82">
        <f t="shared" si="15"/>
        <v>427675403.17600518</v>
      </c>
      <c r="AX28" s="82">
        <f t="shared" si="15"/>
        <v>406340906.67002571</v>
      </c>
      <c r="AY28" s="82">
        <f t="shared" si="15"/>
        <v>406340906.67002571</v>
      </c>
      <c r="AZ28" s="82">
        <f t="shared" si="15"/>
        <v>406340906.67002571</v>
      </c>
      <c r="BA28" s="82">
        <f t="shared" si="15"/>
        <v>384739728.95772147</v>
      </c>
      <c r="BB28" s="82">
        <f t="shared" si="15"/>
        <v>384739728.95772147</v>
      </c>
      <c r="BC28" s="82">
        <f t="shared" si="15"/>
        <v>384739728.95772147</v>
      </c>
      <c r="BD28" s="82">
        <f t="shared" ref="BD28:CQ28" si="16">BC34</f>
        <v>362868536.52401346</v>
      </c>
      <c r="BE28" s="82">
        <f t="shared" si="16"/>
        <v>362868536.52401346</v>
      </c>
      <c r="BF28" s="82">
        <f t="shared" si="16"/>
        <v>362868536.52401346</v>
      </c>
      <c r="BG28" s="82">
        <f t="shared" si="16"/>
        <v>340723954.18488407</v>
      </c>
      <c r="BH28" s="82">
        <f t="shared" si="16"/>
        <v>340723954.18488407</v>
      </c>
      <c r="BI28" s="82">
        <f t="shared" si="16"/>
        <v>340723954.18488407</v>
      </c>
      <c r="BJ28" s="82">
        <f t="shared" si="16"/>
        <v>318302564.56651556</v>
      </c>
      <c r="BK28" s="82">
        <f t="shared" si="16"/>
        <v>318302564.56651556</v>
      </c>
      <c r="BL28" s="82">
        <f t="shared" si="16"/>
        <v>318302564.56651556</v>
      </c>
      <c r="BM28" s="82">
        <f t="shared" si="16"/>
        <v>295600907.57791746</v>
      </c>
      <c r="BN28" s="82">
        <f t="shared" si="16"/>
        <v>295600907.57791746</v>
      </c>
      <c r="BO28" s="82">
        <f t="shared" si="16"/>
        <v>295600907.57791746</v>
      </c>
      <c r="BP28" s="82">
        <f t="shared" si="16"/>
        <v>272615479.87696189</v>
      </c>
      <c r="BQ28" s="82">
        <f t="shared" si="16"/>
        <v>272615479.87696189</v>
      </c>
      <c r="BR28" s="82">
        <f t="shared" si="16"/>
        <v>272615479.87696189</v>
      </c>
      <c r="BS28" s="82">
        <f t="shared" si="16"/>
        <v>249342734.32974437</v>
      </c>
      <c r="BT28" s="82">
        <f t="shared" si="16"/>
        <v>249342734.32974437</v>
      </c>
      <c r="BU28" s="82">
        <f t="shared" si="16"/>
        <v>249342734.32974437</v>
      </c>
      <c r="BV28" s="82">
        <f t="shared" si="16"/>
        <v>225779079.46318662</v>
      </c>
      <c r="BW28" s="82">
        <f t="shared" si="16"/>
        <v>225779079.46318662</v>
      </c>
      <c r="BX28" s="82">
        <f t="shared" si="16"/>
        <v>225779079.46318662</v>
      </c>
      <c r="BY28" s="82">
        <f t="shared" si="16"/>
        <v>201920878.91079691</v>
      </c>
      <c r="BZ28" s="82">
        <f t="shared" si="16"/>
        <v>201920878.91079691</v>
      </c>
      <c r="CA28" s="82">
        <f t="shared" si="16"/>
        <v>201920878.91079691</v>
      </c>
      <c r="CB28" s="82">
        <f t="shared" si="16"/>
        <v>177764450.85150233</v>
      </c>
      <c r="CC28" s="82">
        <f t="shared" si="16"/>
        <v>177764450.85150233</v>
      </c>
      <c r="CD28" s="82">
        <f t="shared" si="16"/>
        <v>177764450.85150233</v>
      </c>
      <c r="CE28" s="82">
        <f t="shared" si="16"/>
        <v>153306067.44146657</v>
      </c>
      <c r="CF28" s="82">
        <f t="shared" si="16"/>
        <v>153306067.44146657</v>
      </c>
      <c r="CG28" s="82">
        <f t="shared" si="16"/>
        <v>153306067.44146657</v>
      </c>
      <c r="CH28" s="82">
        <f t="shared" si="16"/>
        <v>128541954.23880535</v>
      </c>
      <c r="CI28" s="82">
        <f t="shared" si="16"/>
        <v>128541954.23880535</v>
      </c>
      <c r="CJ28" s="82">
        <f t="shared" si="16"/>
        <v>128541954.23880535</v>
      </c>
      <c r="CK28" s="82">
        <f t="shared" si="16"/>
        <v>103468289.62111089</v>
      </c>
      <c r="CL28" s="82">
        <f t="shared" si="16"/>
        <v>103468289.62111089</v>
      </c>
      <c r="CM28" s="82">
        <f t="shared" si="16"/>
        <v>103468289.62111089</v>
      </c>
      <c r="CN28" s="82">
        <f t="shared" si="16"/>
        <v>78081204.195695236</v>
      </c>
      <c r="CO28" s="82">
        <f t="shared" si="16"/>
        <v>78081204.195695236</v>
      </c>
      <c r="CP28" s="82">
        <f t="shared" si="16"/>
        <v>78081204.195695236</v>
      </c>
      <c r="CQ28" s="82">
        <f t="shared" si="16"/>
        <v>52376780.202461883</v>
      </c>
      <c r="CR28" s="82">
        <f t="shared" ref="CR28" si="17">CQ34</f>
        <v>52376780.202461883</v>
      </c>
      <c r="CS28" s="82">
        <f t="shared" ref="CS28" si="18">CR34</f>
        <v>52376780.202461883</v>
      </c>
      <c r="CT28" s="82">
        <f t="shared" ref="CT28" si="19">CS34</f>
        <v>26351050.909313112</v>
      </c>
      <c r="CU28" s="82">
        <f t="shared" ref="CU28" si="20">CT34</f>
        <v>26351050.909313112</v>
      </c>
      <c r="CV28" s="82">
        <f t="shared" ref="CV28" si="21">CU34</f>
        <v>26351050.909313112</v>
      </c>
    </row>
    <row r="29" spans="1:100" s="21" customFormat="1" x14ac:dyDescent="0.25">
      <c r="A29" s="20" t="s">
        <v>6</v>
      </c>
      <c r="B29" s="23"/>
      <c r="C29" s="23"/>
      <c r="D29" s="82">
        <f>D28*(D27-C17)*D22/360</f>
        <v>291666.66666666669</v>
      </c>
      <c r="E29" s="23">
        <f>E28*(E27-D27)*E22/360</f>
        <v>1506944.4444444445</v>
      </c>
      <c r="F29" s="23">
        <f t="shared" ref="F29:BQ29" si="22">F28*(F27-E27)*F22/360</f>
        <v>1361111.111111111</v>
      </c>
      <c r="G29" s="23">
        <f t="shared" si="22"/>
        <v>1506944.4444444445</v>
      </c>
      <c r="H29" s="23">
        <f t="shared" si="22"/>
        <v>1458333.3333333333</v>
      </c>
      <c r="I29" s="23">
        <f>(I28*(D17-H27)*I22/360)+(I34*(I27-D17)*I22/360)</f>
        <v>2161107.9695833335</v>
      </c>
      <c r="J29" s="23">
        <f>J28*(J27-I27)*J22/360</f>
        <v>2612739.5541666667</v>
      </c>
      <c r="K29" s="23">
        <f t="shared" si="22"/>
        <v>2699830.8726388891</v>
      </c>
      <c r="L29" s="23">
        <f t="shared" si="22"/>
        <v>2699830.8726388891</v>
      </c>
      <c r="M29" s="23">
        <f t="shared" si="22"/>
        <v>2612739.5541666667</v>
      </c>
      <c r="N29" s="23">
        <f t="shared" si="22"/>
        <v>2699830.8726388891</v>
      </c>
      <c r="O29" s="23">
        <f t="shared" si="22"/>
        <v>2612739.5541666667</v>
      </c>
      <c r="P29" s="23">
        <f t="shared" si="22"/>
        <v>2699830.8726388891</v>
      </c>
      <c r="Q29" s="23">
        <f t="shared" si="22"/>
        <v>2699830.8726388891</v>
      </c>
      <c r="R29" s="23">
        <f t="shared" si="22"/>
        <v>2525648.2356944447</v>
      </c>
      <c r="S29" s="23">
        <f>(S28*(EKCL_BDT_Loan!G32-Accrual_EKCL!R27)*(Accrual_EKCL!S22/360))+(Accrual_EKCL!S34*(Accrual_EKCL!S27-EKCL_BDT_Loan!G32)*(Accrual_EKCL!S22/360))</f>
        <v>2652725.3216809398</v>
      </c>
      <c r="T29" s="23">
        <f t="shared" si="22"/>
        <v>2534230.302570085</v>
      </c>
      <c r="U29" s="23">
        <f t="shared" si="22"/>
        <v>2618704.6459890883</v>
      </c>
      <c r="V29" s="23">
        <f>(V28*(EKCL_BDT_Loan!H32-Accrual_EKCL!U27)*(Accrual_EKCL!V22/360))+(Accrual_EKCL!V34*(Accrual_EKCL!V27-EKCL_BDT_Loan!H32)*(Accrual_EKCL!V22/360))</f>
        <v>2486535.9322251622</v>
      </c>
      <c r="W29" s="23">
        <f t="shared" si="22"/>
        <v>2536564.341506165</v>
      </c>
      <c r="X29" s="23">
        <f t="shared" si="22"/>
        <v>2536564.341506165</v>
      </c>
      <c r="Y29" s="23">
        <f>(Y28*(EKCL_BDT_Loan!I32-Accrual_EKCL!X27)*(Accrual_EKCL!Y22/360))+(Accrual_EKCL!Y34*(Accrual_EKCL!Y27-EKCL_BDT_Loan!I32)*(Accrual_EKCL!Y22/360))</f>
        <v>2411814.7520181159</v>
      </c>
      <c r="Z29" s="23">
        <f t="shared" si="22"/>
        <v>2453397.2832172047</v>
      </c>
      <c r="AA29" s="23">
        <f t="shared" si="22"/>
        <v>2374255.4353714888</v>
      </c>
      <c r="AB29" s="23">
        <f>(AB28*(EKCL_BDT_Loan!J32-Accrual_EKCL!AA27)*(Accrual_EKCL!AB22/360))+(Accrual_EKCL!AB34*(Accrual_EKCL!AB27-EKCL_BDT_Loan!J32)*(Accrual_EKCL!AB22/360))</f>
        <v>2407219.4448043434</v>
      </c>
      <c r="AC29" s="23">
        <f t="shared" si="22"/>
        <v>2369190.6366996337</v>
      </c>
      <c r="AD29" s="23">
        <f t="shared" si="22"/>
        <v>2139914.123470637</v>
      </c>
      <c r="AE29" s="23">
        <f>(AE28*(EKCL_BDT_Loan!K32-Accrual_EKCL!AD27)*(Accrual_EKCL!AE22/360))+(Accrual_EKCL!AE34*(Accrual_EKCL!AE27-EKCL_BDT_Loan!K32)*(Accrual_EKCL!AE22/360))</f>
        <v>2316934.9798486084</v>
      </c>
      <c r="AF29" s="23">
        <f t="shared" si="22"/>
        <v>2210256.2004199279</v>
      </c>
      <c r="AG29" s="23">
        <f t="shared" si="22"/>
        <v>2283931.4071005923</v>
      </c>
      <c r="AH29" s="23">
        <f>(AH28*(EKCL_BDT_Loan!L32-Accrual_EKCL!AG27)*(Accrual_EKCL!AH22/360))+(Accrual_EKCL!AH34*(Accrual_EKCL!AH27-EKCL_BDT_Loan!L32)*(Accrual_EKCL!AH22/360))</f>
        <v>2165701.3772101062</v>
      </c>
      <c r="AI29" s="23">
        <f t="shared" si="22"/>
        <v>2197606.4371315627</v>
      </c>
      <c r="AJ29" s="23">
        <f t="shared" si="22"/>
        <v>2197606.4371315627</v>
      </c>
      <c r="AK29" s="23">
        <f>(AK28*(EKCL_BDT_Loan!M32-Accrual_EKCL!AJ27)*(Accrual_EKCL!AK22/360))+(Accrual_EKCL!AK34*(Accrual_EKCL!AK27-EKCL_BDT_Loan!M32)*(Accrual_EKCL!AK22/360))</f>
        <v>2081604.1484015677</v>
      </c>
      <c r="AL29" s="23">
        <f t="shared" si="22"/>
        <v>2110202.4050379205</v>
      </c>
      <c r="AM29" s="23">
        <f t="shared" si="22"/>
        <v>2042131.3597141167</v>
      </c>
      <c r="AN29" s="23">
        <f>(AN28*(EKCL_BDT_Loan!N32-Accrual_EKCL!AM27)*(Accrual_EKCL!AN22/360))+(Accrual_EKCL!AN34*(Accrual_EKCL!AN27-EKCL_BDT_Loan!N32)*(Accrual_EKCL!AN22/360))</f>
        <v>2061672.021089152</v>
      </c>
      <c r="AO29" s="23">
        <f t="shared" si="22"/>
        <v>2021705.8225431074</v>
      </c>
      <c r="AP29" s="23">
        <f t="shared" si="22"/>
        <v>1826056.8719744196</v>
      </c>
      <c r="AQ29" s="23">
        <f>(AQ28*(EKCL_BDT_Loan!O32-Accrual_EKCL!AP27)*(Accrual_EKCL!AQ22/360))+(Accrual_EKCL!AQ34*(Accrual_EKCL!AQ27-EKCL_BDT_Loan!O32)*(Accrual_EKCL!AQ22/360))</f>
        <v>1972568.8087949795</v>
      </c>
      <c r="AR29" s="23">
        <f t="shared" si="22"/>
        <v>1869777.1284842994</v>
      </c>
      <c r="AS29" s="23">
        <f t="shared" si="22"/>
        <v>1932103.0327671093</v>
      </c>
      <c r="AT29" s="23">
        <f>(AT28*(EKCL_BDT_Loan!P32-Accrual_EKCL!AS27)*(Accrual_EKCL!AT22/360))+(Accrual_EKCL!AT34*(Accrual_EKCL!AT27-EKCL_BDT_Loan!P32)*(Accrual_EKCL!AT22/360))</f>
        <v>1822952.4447949068</v>
      </c>
      <c r="AU29" s="23">
        <f t="shared" si="22"/>
        <v>1841380.2081189116</v>
      </c>
      <c r="AV29" s="23">
        <f t="shared" si="22"/>
        <v>1841380.2081189116</v>
      </c>
      <c r="AW29" s="23">
        <f>(AW28*(EKCL_BDT_Loan!Q32-Accrual_EKCL!AV27)*(Accrual_EKCL!AW22/360))+(Accrual_EKCL!AW34*(Accrual_EKCL!AW27-EKCL_BDT_Loan!Q32)*(Accrual_EKCL!AW22/360))</f>
        <v>1734570.8543311781</v>
      </c>
      <c r="AX29" s="23">
        <f t="shared" si="22"/>
        <v>1749523.348162611</v>
      </c>
      <c r="AY29" s="23">
        <f t="shared" si="22"/>
        <v>1693087.1111251074</v>
      </c>
      <c r="AZ29" s="23">
        <f>(AZ28*(EKCL_BDT_Loan!R32-Accrual_EKCL!AY27)*(Accrual_EKCL!AZ22/360))+(Accrual_EKCL!AZ34*(Accrual_EKCL!AZ27-EKCL_BDT_Loan!R32)*(Accrual_EKCL!AZ22/360))</f>
        <v>1698520.5674530035</v>
      </c>
      <c r="BA29" s="23">
        <f t="shared" si="22"/>
        <v>1656518.2774568563</v>
      </c>
      <c r="BB29" s="23">
        <f t="shared" si="22"/>
        <v>1496210.0570578056</v>
      </c>
      <c r="BC29" s="23">
        <f>(BC28*(EKCL_BDT_Loan!S32-Accrual_EKCL!BB27)*(Accrual_EKCL!BC22/360))+(Accrual_EKCL!BC34*(Accrual_EKCL!BC27-EKCL_BDT_Loan!S32)*(Accrual_EKCL!BC22/360))</f>
        <v>1604877.961988379</v>
      </c>
      <c r="BD29" s="23">
        <f t="shared" si="22"/>
        <v>1511952.2355167228</v>
      </c>
      <c r="BE29" s="23">
        <f t="shared" si="22"/>
        <v>1562350.6433672803</v>
      </c>
      <c r="BF29" s="23">
        <f>(BF28*(EKCL_BDT_Loan!T32-Accrual_EKCL!BE27)*(Accrual_EKCL!BF22/360))+(Accrual_EKCL!BF34*(Accrual_EKCL!BF27-EKCL_BDT_Loan!T32)*(Accrual_EKCL!BF22/360))</f>
        <v>1462742.0525408797</v>
      </c>
      <c r="BG29" s="23">
        <f t="shared" si="22"/>
        <v>1467005.9138515843</v>
      </c>
      <c r="BH29" s="23">
        <f t="shared" si="22"/>
        <v>1467005.9138515843</v>
      </c>
      <c r="BI29" s="23">
        <f>(BI28*(EKCL_BDT_Loan!U32-Accrual_EKCL!BH27)*(Accrual_EKCL!BI22/360))+(Accrual_EKCL!BI34*(Accrual_EKCL!BI27-EKCL_BDT_Loan!U32)*(Accrual_EKCL!BI22/360))</f>
        <v>1369857.8321739759</v>
      </c>
      <c r="BJ29" s="23">
        <f t="shared" si="22"/>
        <v>1370469.3752169423</v>
      </c>
      <c r="BK29" s="23">
        <f t="shared" si="22"/>
        <v>1326260.6856938149</v>
      </c>
      <c r="BL29" s="23">
        <f>(BL28*(EKCL_BDT_Loan!V32-Accrual_EKCL!BK27)*(Accrual_EKCL!BL22/360))+(Accrual_EKCL!BL34*(Accrual_EKCL!BL27-EKCL_BDT_Loan!V32)*(Accrual_EKCL!BL22/360))</f>
        <v>1316868.2406605298</v>
      </c>
      <c r="BM29" s="23">
        <f t="shared" si="22"/>
        <v>1272726.1298493671</v>
      </c>
      <c r="BN29" s="23">
        <f t="shared" si="22"/>
        <v>1190614.7666332787</v>
      </c>
      <c r="BO29" s="23">
        <f>(BO28*(EKCL_BDT_Loan!W32-Accrual_EKCL!BN27)*(Accrual_EKCL!BO22/360))+(Accrual_EKCL!BO34*(Accrual_EKCL!BO27-EKCL_BDT_Loan!W32)*(Accrual_EKCL!BO22/360))</f>
        <v>1218454.9811109994</v>
      </c>
      <c r="BP29" s="23">
        <f t="shared" si="22"/>
        <v>1135897.8328206746</v>
      </c>
      <c r="BQ29" s="23">
        <f t="shared" si="22"/>
        <v>1173761.0939146972</v>
      </c>
      <c r="BR29" s="23">
        <f>(BR28*(EKCL_BDT_Loan!X32-Accrual_EKCL!BQ27)*(Accrual_EKCL!BR22/360))+(Accrual_EKCL!BR34*(Accrual_EKCL!BR27-EKCL_BDT_Loan!X32)*(Accrual_EKCL!BR22/360))</f>
        <v>1084180.6204935245</v>
      </c>
      <c r="BS29" s="23">
        <f t="shared" ref="BS29:CT29" si="23">BS28*(BS27-BR27)*BS22/360</f>
        <v>1073558.9950308439</v>
      </c>
      <c r="BT29" s="23">
        <f t="shared" si="23"/>
        <v>1073558.9950308439</v>
      </c>
      <c r="BU29" s="23">
        <f>(BU28*(EKCL_BDT_Loan!Y32-Accrual_EKCL!BT27)*(Accrual_EKCL!BU22/360))+(Accrual_EKCL!BU34*(Accrual_EKCL!BU27-EKCL_BDT_Loan!Y32)*(Accrual_EKCL!BU22/360))</f>
        <v>986564.38222602871</v>
      </c>
      <c r="BV29" s="23">
        <f t="shared" si="23"/>
        <v>972104.36991094251</v>
      </c>
      <c r="BW29" s="23">
        <f t="shared" si="23"/>
        <v>940746.16442994424</v>
      </c>
      <c r="BX29" s="23">
        <f>(BX28*(EKCL_BDT_Loan!Z32-Accrual_EKCL!BW27)*(Accrual_EKCL!BX22/360))+(Accrual_EKCL!BX34*(Accrual_EKCL!BX27-EKCL_BDT_Loan!Z32)*(Accrual_EKCL!BX22/360))</f>
        <v>915772.5074955778</v>
      </c>
      <c r="BY29" s="23">
        <f t="shared" si="23"/>
        <v>869381.56197704223</v>
      </c>
      <c r="BZ29" s="23">
        <f t="shared" si="23"/>
        <v>785247.86243087694</v>
      </c>
      <c r="CA29" s="23">
        <f>(CA28*(EKCL_BDT_Loan!AA32-Accrual_EKCL!BZ27)*(Accrual_EKCL!CA22/360))+(Accrual_EKCL!CA34*(Accrual_EKCL!CA27-EKCL_BDT_Loan!AA32)*(Accrual_EKCL!CA22/360))</f>
        <v>812345.55128148571</v>
      </c>
      <c r="CB29" s="23">
        <f t="shared" si="23"/>
        <v>740685.21188125969</v>
      </c>
      <c r="CC29" s="23">
        <f t="shared" si="23"/>
        <v>765374.71894396842</v>
      </c>
      <c r="CD29" s="23">
        <f>(CD28*(EKCL_BDT_Loan!AB32-Accrual_EKCL!CC27)*(Accrual_EKCL!CD22/360))+(Accrual_EKCL!CD34*(Accrual_EKCL!CD27-EKCL_BDT_Loan!AB32)*(Accrual_EKCL!CD22/360))</f>
        <v>686333.24874784681</v>
      </c>
      <c r="CE29" s="23">
        <f t="shared" si="23"/>
        <v>660067.79037298111</v>
      </c>
      <c r="CF29" s="23">
        <f t="shared" si="23"/>
        <v>660067.79037298111</v>
      </c>
      <c r="CG29" s="23">
        <f>(CG28*(EKCL_BDT_Loan!AC32-Accrual_EKCL!CF27)*(Accrual_EKCL!CG22/360))+(Accrual_EKCL!CG34*(Accrual_EKCL!CG27-EKCL_BDT_Loan!AC32)*(Accrual_EKCL!CG22/360))</f>
        <v>583743.91833353019</v>
      </c>
      <c r="CH29" s="23">
        <f t="shared" si="23"/>
        <v>553444.52519485645</v>
      </c>
      <c r="CI29" s="23">
        <f t="shared" si="23"/>
        <v>535591.47599502234</v>
      </c>
      <c r="CJ29" s="23">
        <f>(CJ28*(EKCL_BDT_Loan!AD32-Accrual_EKCL!CI27)*(Accrual_EKCL!CJ22/360))+(Accrual_EKCL!CJ34*(Accrual_EKCL!CJ27-EKCL_BDT_Loan!AD32)*(Accrual_EKCL!CJ22/360))</f>
        <v>494242.81706974446</v>
      </c>
      <c r="CK29" s="23">
        <f t="shared" si="23"/>
        <v>445488.46920200519</v>
      </c>
      <c r="CL29" s="23">
        <f t="shared" si="23"/>
        <v>402376.68185987562</v>
      </c>
      <c r="CM29" s="23">
        <f>(CM28*(EKCL_BDT_Loan!AE32-Accrual_EKCL!CL27)*(Accrual_EKCL!CM22/360))+(Accrual_EKCL!CM34*(Accrual_EKCL!CM27-EKCL_BDT_Loan!AE32)*(Accrual_EKCL!CM22/360))</f>
        <v>385546.73972532933</v>
      </c>
      <c r="CN29" s="23">
        <f t="shared" si="23"/>
        <v>325338.35081539681</v>
      </c>
      <c r="CO29" s="23">
        <f t="shared" si="23"/>
        <v>336182.96250924334</v>
      </c>
      <c r="CP29" s="23">
        <f>(CP28*(EKCL_BDT_Loan!AF32-Accrual_EKCL!CO27)*(Accrual_EKCL!CP22/360))+(Accrual_EKCL!CP34*(Accrual_EKCL!CP27-EKCL_BDT_Loan!AF32)*(Accrual_EKCL!CP22/360))</f>
        <v>268217.40860821155</v>
      </c>
      <c r="CQ29" s="23">
        <f t="shared" si="23"/>
        <v>225511.136982822</v>
      </c>
      <c r="CR29" s="23">
        <f t="shared" si="23"/>
        <v>225511.136982822</v>
      </c>
      <c r="CS29" s="23">
        <f>(CS28*(EKCL_BDT_Loan!AG32-Accrual_EKCL!CR27)*(Accrual_EKCL!CS22/360))+(Accrual_EKCL!CS34*(Accrual_EKCL!CS27-EKCL_BDT_Loan!AG32)*(Accrual_EKCL!CS22/360))</f>
        <v>160401.63019214946</v>
      </c>
      <c r="CT29" s="23">
        <f t="shared" si="23"/>
        <v>113455.91363732037</v>
      </c>
      <c r="CU29" s="23">
        <f t="shared" ref="CU29" si="24">CU28*(CU27-CT27)*CU22/360</f>
        <v>109796.04545547132</v>
      </c>
      <c r="CV29" s="23">
        <f>(CV28*(EKCL_BDT_Loan!AH32-Accrual_EKCL!CU27)*(Accrual_EKCL!CV22/360))+(Accrual_EKCL!CV34*(Accrual_EKCL!CV27-EKCL_BDT_Loan!AH32)*(Accrual_EKCL!CV22/360))</f>
        <v>51238.154545886609</v>
      </c>
    </row>
    <row r="30" spans="1:100" s="49" customFormat="1" x14ac:dyDescent="0.25">
      <c r="A30" s="43" t="s">
        <v>12</v>
      </c>
      <c r="B30" s="44"/>
      <c r="C30" s="44"/>
      <c r="D30" s="44">
        <f>D29</f>
        <v>291666.66666666669</v>
      </c>
      <c r="E30" s="44">
        <f t="shared" ref="E30:U30" si="25">D30+E29</f>
        <v>1798611.1111111112</v>
      </c>
      <c r="F30" s="44">
        <f t="shared" si="25"/>
        <v>3159722.222222222</v>
      </c>
      <c r="G30" s="44">
        <f t="shared" si="25"/>
        <v>4666666.666666666</v>
      </c>
      <c r="H30" s="44">
        <f t="shared" si="25"/>
        <v>6124999.9999999991</v>
      </c>
      <c r="I30" s="44">
        <f t="shared" si="25"/>
        <v>8286107.9695833325</v>
      </c>
      <c r="J30" s="44">
        <f t="shared" si="25"/>
        <v>10898847.52375</v>
      </c>
      <c r="K30" s="44">
        <f t="shared" si="25"/>
        <v>13598678.396388888</v>
      </c>
      <c r="L30" s="44">
        <f t="shared" si="25"/>
        <v>16298509.269027777</v>
      </c>
      <c r="M30" s="44">
        <f t="shared" si="25"/>
        <v>18911248.823194444</v>
      </c>
      <c r="N30" s="44">
        <f t="shared" si="25"/>
        <v>21611079.695833333</v>
      </c>
      <c r="O30" s="44">
        <f t="shared" si="25"/>
        <v>24223819.25</v>
      </c>
      <c r="P30" s="44">
        <f t="shared" si="25"/>
        <v>26923650.122638889</v>
      </c>
      <c r="Q30" s="44">
        <f t="shared" si="25"/>
        <v>29623480.995277777</v>
      </c>
      <c r="R30" s="44">
        <f t="shared" si="25"/>
        <v>32149129.230972223</v>
      </c>
      <c r="S30" s="44">
        <f t="shared" si="25"/>
        <v>34801854.552653164</v>
      </c>
      <c r="T30" s="44">
        <f t="shared" si="25"/>
        <v>37336084.855223246</v>
      </c>
      <c r="U30" s="44">
        <f t="shared" si="25"/>
        <v>39954789.501212336</v>
      </c>
      <c r="V30" s="44">
        <f t="shared" ref="V30:BA30" si="26">U30+V29</f>
        <v>42441325.433437496</v>
      </c>
      <c r="W30" s="44">
        <f t="shared" si="26"/>
        <v>44977889.774943665</v>
      </c>
      <c r="X30" s="44">
        <f t="shared" si="26"/>
        <v>47514454.116449833</v>
      </c>
      <c r="Y30" s="44">
        <f t="shared" si="26"/>
        <v>49926268.868467949</v>
      </c>
      <c r="Z30" s="44">
        <f t="shared" si="26"/>
        <v>52379666.151685156</v>
      </c>
      <c r="AA30" s="44">
        <f t="shared" si="26"/>
        <v>54753921.587056644</v>
      </c>
      <c r="AB30" s="44">
        <f t="shared" si="26"/>
        <v>57161141.031860985</v>
      </c>
      <c r="AC30" s="44">
        <f t="shared" si="26"/>
        <v>59530331.668560617</v>
      </c>
      <c r="AD30" s="44">
        <f t="shared" si="26"/>
        <v>61670245.792031251</v>
      </c>
      <c r="AE30" s="44">
        <f t="shared" si="26"/>
        <v>63987180.771879859</v>
      </c>
      <c r="AF30" s="44">
        <f t="shared" si="26"/>
        <v>66197436.972299784</v>
      </c>
      <c r="AG30" s="44">
        <f t="shared" si="26"/>
        <v>68481368.379400373</v>
      </c>
      <c r="AH30" s="44">
        <f t="shared" si="26"/>
        <v>70647069.756610483</v>
      </c>
      <c r="AI30" s="44">
        <f t="shared" si="26"/>
        <v>72844676.193742052</v>
      </c>
      <c r="AJ30" s="44">
        <f t="shared" si="26"/>
        <v>75042282.630873621</v>
      </c>
      <c r="AK30" s="44">
        <f t="shared" si="26"/>
        <v>77123886.779275194</v>
      </c>
      <c r="AL30" s="44">
        <f t="shared" si="26"/>
        <v>79234089.184313118</v>
      </c>
      <c r="AM30" s="44">
        <f t="shared" si="26"/>
        <v>81276220.544027239</v>
      </c>
      <c r="AN30" s="44">
        <f t="shared" si="26"/>
        <v>83337892.565116391</v>
      </c>
      <c r="AO30" s="44">
        <f t="shared" si="26"/>
        <v>85359598.387659505</v>
      </c>
      <c r="AP30" s="44">
        <f t="shared" si="26"/>
        <v>87185655.259633929</v>
      </c>
      <c r="AQ30" s="44">
        <f t="shared" si="26"/>
        <v>89158224.068428904</v>
      </c>
      <c r="AR30" s="44">
        <f t="shared" si="26"/>
        <v>91028001.196913198</v>
      </c>
      <c r="AS30" s="44">
        <f t="shared" si="26"/>
        <v>92960104.2296803</v>
      </c>
      <c r="AT30" s="44">
        <f t="shared" si="26"/>
        <v>94783056.674475208</v>
      </c>
      <c r="AU30" s="44">
        <f t="shared" si="26"/>
        <v>96624436.882594123</v>
      </c>
      <c r="AV30" s="44">
        <f t="shared" si="26"/>
        <v>98465817.090713039</v>
      </c>
      <c r="AW30" s="44">
        <f t="shared" si="26"/>
        <v>100200387.94504422</v>
      </c>
      <c r="AX30" s="44">
        <f t="shared" si="26"/>
        <v>101949911.29320683</v>
      </c>
      <c r="AY30" s="44">
        <f t="shared" si="26"/>
        <v>103642998.40433194</v>
      </c>
      <c r="AZ30" s="44">
        <f t="shared" si="26"/>
        <v>105341518.97178493</v>
      </c>
      <c r="BA30" s="44">
        <f t="shared" si="26"/>
        <v>106998037.24924178</v>
      </c>
      <c r="BB30" s="44">
        <f t="shared" ref="BB30:CG30" si="27">BA30+BB29</f>
        <v>108494247.3062996</v>
      </c>
      <c r="BC30" s="44">
        <f t="shared" si="27"/>
        <v>110099125.26828797</v>
      </c>
      <c r="BD30" s="44">
        <f t="shared" si="27"/>
        <v>111611077.5038047</v>
      </c>
      <c r="BE30" s="44">
        <f t="shared" si="27"/>
        <v>113173428.14717197</v>
      </c>
      <c r="BF30" s="44">
        <f t="shared" si="27"/>
        <v>114636170.19971286</v>
      </c>
      <c r="BG30" s="44">
        <f t="shared" si="27"/>
        <v>116103176.11356445</v>
      </c>
      <c r="BH30" s="44">
        <f t="shared" si="27"/>
        <v>117570182.02741604</v>
      </c>
      <c r="BI30" s="44">
        <f t="shared" si="27"/>
        <v>118940039.85959001</v>
      </c>
      <c r="BJ30" s="44">
        <f t="shared" si="27"/>
        <v>120310509.23480695</v>
      </c>
      <c r="BK30" s="44">
        <f t="shared" si="27"/>
        <v>121636769.92050077</v>
      </c>
      <c r="BL30" s="44">
        <f t="shared" si="27"/>
        <v>122953638.1611613</v>
      </c>
      <c r="BM30" s="44">
        <f t="shared" si="27"/>
        <v>124226364.29101068</v>
      </c>
      <c r="BN30" s="44">
        <f t="shared" si="27"/>
        <v>125416979.05764395</v>
      </c>
      <c r="BO30" s="44">
        <f t="shared" si="27"/>
        <v>126635434.03875495</v>
      </c>
      <c r="BP30" s="44">
        <f t="shared" si="27"/>
        <v>127771331.87157562</v>
      </c>
      <c r="BQ30" s="44">
        <f t="shared" si="27"/>
        <v>128945092.96549033</v>
      </c>
      <c r="BR30" s="44">
        <f t="shared" si="27"/>
        <v>130029273.58598386</v>
      </c>
      <c r="BS30" s="44">
        <f t="shared" si="27"/>
        <v>131102832.58101471</v>
      </c>
      <c r="BT30" s="44">
        <f t="shared" si="27"/>
        <v>132176391.57604556</v>
      </c>
      <c r="BU30" s="44">
        <f t="shared" si="27"/>
        <v>133162955.95827159</v>
      </c>
      <c r="BV30" s="44">
        <f t="shared" si="27"/>
        <v>134135060.32818253</v>
      </c>
      <c r="BW30" s="44">
        <f t="shared" si="27"/>
        <v>135075806.49261248</v>
      </c>
      <c r="BX30" s="44">
        <f t="shared" si="27"/>
        <v>135991579.00010806</v>
      </c>
      <c r="BY30" s="44">
        <f t="shared" si="27"/>
        <v>136860960.56208509</v>
      </c>
      <c r="BZ30" s="44">
        <f t="shared" si="27"/>
        <v>137646208.42451596</v>
      </c>
      <c r="CA30" s="44">
        <f t="shared" si="27"/>
        <v>138458553.97579744</v>
      </c>
      <c r="CB30" s="44">
        <f t="shared" si="27"/>
        <v>139199239.18767869</v>
      </c>
      <c r="CC30" s="44">
        <f t="shared" si="27"/>
        <v>139964613.90662265</v>
      </c>
      <c r="CD30" s="44">
        <f t="shared" si="27"/>
        <v>140650947.1553705</v>
      </c>
      <c r="CE30" s="44">
        <f t="shared" si="27"/>
        <v>141311014.94574347</v>
      </c>
      <c r="CF30" s="44">
        <f t="shared" si="27"/>
        <v>141971082.73611644</v>
      </c>
      <c r="CG30" s="44">
        <f t="shared" si="27"/>
        <v>142554826.65444997</v>
      </c>
      <c r="CH30" s="44">
        <f t="shared" ref="CH30" si="28">CG30+CH29</f>
        <v>143108271.17964482</v>
      </c>
      <c r="CI30" s="44">
        <f t="shared" ref="CI30" si="29">CH30+CI29</f>
        <v>143643862.65563986</v>
      </c>
      <c r="CJ30" s="44">
        <f t="shared" ref="CJ30" si="30">CI30+CJ29</f>
        <v>144138105.4727096</v>
      </c>
      <c r="CK30" s="44">
        <f t="shared" ref="CK30" si="31">CJ30+CK29</f>
        <v>144583593.94191161</v>
      </c>
      <c r="CL30" s="44">
        <f t="shared" ref="CL30" si="32">CK30+CL29</f>
        <v>144985970.62377149</v>
      </c>
      <c r="CM30" s="44">
        <f t="shared" ref="CM30" si="33">CL30+CM29</f>
        <v>145371517.36349681</v>
      </c>
      <c r="CN30" s="44">
        <f t="shared" ref="CN30" si="34">CM30+CN29</f>
        <v>145696855.7143122</v>
      </c>
      <c r="CO30" s="44">
        <f t="shared" ref="CO30" si="35">CN30+CO29</f>
        <v>146033038.67682144</v>
      </c>
      <c r="CP30" s="44">
        <f t="shared" ref="CP30" si="36">CO30+CP29</f>
        <v>146301256.08542964</v>
      </c>
      <c r="CQ30" s="44">
        <f t="shared" ref="CQ30" si="37">CP30+CQ29</f>
        <v>146526767.22241247</v>
      </c>
      <c r="CR30" s="44">
        <f t="shared" ref="CR30" si="38">CQ30+CR29</f>
        <v>146752278.3593953</v>
      </c>
      <c r="CS30" s="44">
        <f t="shared" ref="CS30" si="39">CR30+CS29</f>
        <v>146912679.98958746</v>
      </c>
      <c r="CT30" s="44">
        <f t="shared" ref="CT30" si="40">CS30+CT29</f>
        <v>147026135.90322477</v>
      </c>
      <c r="CU30" s="44">
        <f t="shared" ref="CU30" si="41">CT30+CU29</f>
        <v>147135931.94868025</v>
      </c>
      <c r="CV30" s="44">
        <f t="shared" ref="CV30" si="42">CU30+CV29</f>
        <v>147187170.10322613</v>
      </c>
    </row>
    <row r="31" spans="1:100" s="21" customFormat="1" x14ac:dyDescent="0.25">
      <c r="A31" s="20" t="s">
        <v>7</v>
      </c>
      <c r="C31" s="23"/>
      <c r="D31" s="23">
        <v>0</v>
      </c>
      <c r="E31" s="23">
        <f>EKCL_BDT_Loan!$C$36</f>
        <v>0</v>
      </c>
      <c r="F31" s="23">
        <v>0</v>
      </c>
      <c r="G31" s="23">
        <v>0</v>
      </c>
      <c r="H31" s="23">
        <f>EKCL_BDT_Loan!$D$36</f>
        <v>0</v>
      </c>
      <c r="I31" s="23">
        <v>0</v>
      </c>
      <c r="J31" s="23">
        <v>0</v>
      </c>
      <c r="K31" s="23">
        <f>EKCL_BDT_Loan!$E$36</f>
        <v>0</v>
      </c>
      <c r="L31" s="23">
        <v>0</v>
      </c>
      <c r="M31" s="23">
        <v>0</v>
      </c>
      <c r="N31" s="23">
        <f>EKCL_BDT_Loan!$F$36</f>
        <v>0</v>
      </c>
      <c r="O31" s="23">
        <f>EKCL_BDT_Loan!$F$36</f>
        <v>0</v>
      </c>
      <c r="P31" s="23">
        <f>EKCL_BDT_Loan!$F$36</f>
        <v>0</v>
      </c>
      <c r="Q31" s="23">
        <f>EKCL_BDT_Loan!$F$36</f>
        <v>0</v>
      </c>
      <c r="R31" s="23">
        <f>EKCL_BDT_Loan!$F$36</f>
        <v>0</v>
      </c>
      <c r="S31" s="23">
        <f>EKCL_BDT_Loan!G36</f>
        <v>18842220.383179542</v>
      </c>
      <c r="T31" s="23">
        <v>0</v>
      </c>
      <c r="U31" s="23">
        <v>0</v>
      </c>
      <c r="V31" s="23">
        <f>+EKCL_BDT_Loan!$H$36</f>
        <v>19077748.137969282</v>
      </c>
      <c r="W31" s="23">
        <v>0</v>
      </c>
      <c r="X31" s="23">
        <v>0</v>
      </c>
      <c r="Y31" s="23">
        <f>EKCL_BDT_Loan!$I$36</f>
        <v>19316219.989693902</v>
      </c>
      <c r="Z31" s="23">
        <v>0</v>
      </c>
      <c r="AA31" s="23">
        <v>0</v>
      </c>
      <c r="AB31" s="23">
        <f>EKCL_BDT_Loan!$J$36</f>
        <v>19557672.739565074</v>
      </c>
      <c r="AC31" s="23">
        <v>0</v>
      </c>
      <c r="AD31" s="23">
        <v>0</v>
      </c>
      <c r="AE31" s="23">
        <f>EKCL_BDT_Loan!$K$36</f>
        <v>19802143.648809638</v>
      </c>
      <c r="AF31" s="23">
        <v>0</v>
      </c>
      <c r="AG31" s="23">
        <v>0</v>
      </c>
      <c r="AH31" s="23">
        <f>EKCL_BDT_Loan!$L$36</f>
        <v>20049670.444419757</v>
      </c>
      <c r="AI31" s="23">
        <v>0</v>
      </c>
      <c r="AJ31" s="23">
        <v>0</v>
      </c>
      <c r="AK31" s="23">
        <f>EKCL_BDT_Loan!$M$36</f>
        <v>20300291.324975006</v>
      </c>
      <c r="AL31" s="23">
        <v>0</v>
      </c>
      <c r="AM31" s="23">
        <v>0</v>
      </c>
      <c r="AN31" s="23">
        <f>EKCL_BDT_Loan!$N$36</f>
        <v>20554044.966537192</v>
      </c>
      <c r="AO31" s="23">
        <v>0</v>
      </c>
      <c r="AP31" s="23">
        <v>0</v>
      </c>
      <c r="AQ31" s="23">
        <f>EKCL_BDT_Loan!$O$36</f>
        <v>20810970.528618909</v>
      </c>
      <c r="AR31" s="23">
        <v>0</v>
      </c>
      <c r="AS31" s="23">
        <v>0</v>
      </c>
      <c r="AT31" s="23">
        <f>EKCL_BDT_Loan!$P$36</f>
        <v>21071107.660226643</v>
      </c>
      <c r="AU31" s="23">
        <v>0</v>
      </c>
      <c r="AV31" s="23">
        <v>0</v>
      </c>
      <c r="AW31" s="23">
        <f>EKCL_BDT_Loan!$Q$36</f>
        <v>21334496.505979478</v>
      </c>
      <c r="AX31" s="23">
        <v>0</v>
      </c>
      <c r="AY31" s="23">
        <v>0</v>
      </c>
      <c r="AZ31" s="23">
        <f>EKCL_BDT_Loan!$R$36</f>
        <v>21601177.71230422</v>
      </c>
      <c r="BA31" s="23">
        <v>0</v>
      </c>
      <c r="BB31" s="23">
        <v>0</v>
      </c>
      <c r="BC31" s="23">
        <f>EKCL_BDT_Loan!$S$36</f>
        <v>21871192.433708027</v>
      </c>
      <c r="BD31" s="23">
        <v>0</v>
      </c>
      <c r="BE31" s="23">
        <v>0</v>
      </c>
      <c r="BF31" s="23">
        <f>EKCL_BDT_Loan!$T$36</f>
        <v>22144582.339129373</v>
      </c>
      <c r="BG31" s="23">
        <v>0</v>
      </c>
      <c r="BH31" s="23">
        <v>0</v>
      </c>
      <c r="BI31" s="23">
        <f>EKCL_BDT_Loan!$U$36</f>
        <v>22421389.618368492</v>
      </c>
      <c r="BJ31" s="23">
        <v>0</v>
      </c>
      <c r="BK31" s="23">
        <v>0</v>
      </c>
      <c r="BL31" s="23">
        <f>EKCL_BDT_Loan!$V$36</f>
        <v>22701656.988598093</v>
      </c>
      <c r="BM31" s="23">
        <v>0</v>
      </c>
      <c r="BN31" s="23">
        <v>0</v>
      </c>
      <c r="BO31" s="23">
        <f>EKCL_BDT_Loan!$W$36</f>
        <v>22985427.70095557</v>
      </c>
      <c r="BP31" s="23">
        <v>0</v>
      </c>
      <c r="BQ31" s="23">
        <v>0</v>
      </c>
      <c r="BR31" s="23">
        <f>EKCL_BDT_Loan!$X$36</f>
        <v>23272745.547217518</v>
      </c>
      <c r="BS31" s="23">
        <v>0</v>
      </c>
      <c r="BT31" s="23">
        <v>0</v>
      </c>
      <c r="BU31" s="23">
        <f>EKCL_BDT_Loan!$Y$36</f>
        <v>23563654.866557736</v>
      </c>
      <c r="BV31" s="23">
        <v>0</v>
      </c>
      <c r="BW31" s="23">
        <v>0</v>
      </c>
      <c r="BX31" s="23">
        <f>EKCL_BDT_Loan!$Z$36</f>
        <v>23858200.552389711</v>
      </c>
      <c r="BY31" s="23">
        <v>0</v>
      </c>
      <c r="BZ31" s="23">
        <v>0</v>
      </c>
      <c r="CA31" s="23">
        <f>EKCL_BDT_Loan!$AA$36</f>
        <v>24156428.059294581</v>
      </c>
      <c r="CB31" s="23">
        <v>0</v>
      </c>
      <c r="CC31" s="23">
        <v>0</v>
      </c>
      <c r="CD31" s="23">
        <f>EKCL_BDT_Loan!$AB$36</f>
        <v>24458383.410035759</v>
      </c>
      <c r="CE31" s="23">
        <v>0</v>
      </c>
      <c r="CF31" s="23">
        <v>0</v>
      </c>
      <c r="CG31" s="23">
        <f>EKCL_BDT_Loan!$AC$36</f>
        <v>24764113.202661209</v>
      </c>
      <c r="CH31" s="23">
        <v>0</v>
      </c>
      <c r="CI31" s="23">
        <v>0</v>
      </c>
      <c r="CJ31" s="23">
        <f>EKCL_BDT_Loan!$AD$36</f>
        <v>25073664.617694471</v>
      </c>
      <c r="CK31" s="23">
        <v>0</v>
      </c>
      <c r="CL31" s="23">
        <v>0</v>
      </c>
      <c r="CM31" s="23">
        <f>EKCL_BDT_Loan!$AE$36</f>
        <v>25387085.425415654</v>
      </c>
      <c r="CN31" s="23">
        <v>0</v>
      </c>
      <c r="CO31" s="23">
        <v>0</v>
      </c>
      <c r="CP31" s="23">
        <f>EKCL_BDT_Loan!$AF$36</f>
        <v>25704423.993233353</v>
      </c>
      <c r="CQ31" s="23">
        <v>0</v>
      </c>
      <c r="CR31" s="23">
        <v>0</v>
      </c>
      <c r="CS31" s="23">
        <f>EKCL_BDT_Loan!$AG$36</f>
        <v>26025729.293148771</v>
      </c>
      <c r="CT31" s="23">
        <v>0</v>
      </c>
      <c r="CU31" s="23">
        <v>0</v>
      </c>
      <c r="CV31" s="23">
        <f>EKCL_BDT_Loan!$AH$36</f>
        <v>26351050.909313127</v>
      </c>
    </row>
    <row r="32" spans="1:100" s="21" customFormat="1" x14ac:dyDescent="0.25">
      <c r="A32" s="20" t="s">
        <v>13</v>
      </c>
      <c r="B32" s="23"/>
      <c r="C32" s="23"/>
      <c r="D32" s="23">
        <f>D31</f>
        <v>0</v>
      </c>
      <c r="E32" s="23">
        <f t="shared" ref="E32:O32" si="43">D32+E31</f>
        <v>0</v>
      </c>
      <c r="F32" s="23">
        <f t="shared" si="43"/>
        <v>0</v>
      </c>
      <c r="G32" s="23">
        <f t="shared" si="43"/>
        <v>0</v>
      </c>
      <c r="H32" s="23">
        <f t="shared" si="43"/>
        <v>0</v>
      </c>
      <c r="I32" s="23">
        <f t="shared" si="43"/>
        <v>0</v>
      </c>
      <c r="J32" s="23">
        <f t="shared" si="43"/>
        <v>0</v>
      </c>
      <c r="K32" s="23">
        <f t="shared" si="43"/>
        <v>0</v>
      </c>
      <c r="L32" s="23">
        <f t="shared" si="43"/>
        <v>0</v>
      </c>
      <c r="M32" s="23">
        <f t="shared" si="43"/>
        <v>0</v>
      </c>
      <c r="N32" s="23">
        <f t="shared" si="43"/>
        <v>0</v>
      </c>
      <c r="O32" s="23">
        <f t="shared" si="43"/>
        <v>0</v>
      </c>
      <c r="P32" s="23">
        <f>O32+P31</f>
        <v>0</v>
      </c>
      <c r="Q32" s="23">
        <f>P32+Q31</f>
        <v>0</v>
      </c>
      <c r="R32" s="23">
        <f t="shared" ref="R32:T32" si="44">Q32+R31</f>
        <v>0</v>
      </c>
      <c r="S32" s="23">
        <f t="shared" si="44"/>
        <v>18842220.383179542</v>
      </c>
      <c r="T32" s="23">
        <f t="shared" si="44"/>
        <v>18842220.383179542</v>
      </c>
      <c r="U32" s="23">
        <f>T32+U31</f>
        <v>18842220.383179542</v>
      </c>
      <c r="V32" s="23">
        <f t="shared" ref="V32:CG32" si="45">U32+V31</f>
        <v>37919968.521148823</v>
      </c>
      <c r="W32" s="23">
        <f t="shared" si="45"/>
        <v>37919968.521148823</v>
      </c>
      <c r="X32" s="23">
        <f t="shared" si="45"/>
        <v>37919968.521148823</v>
      </c>
      <c r="Y32" s="23">
        <f t="shared" si="45"/>
        <v>57236188.510842726</v>
      </c>
      <c r="Z32" s="23">
        <f t="shared" si="45"/>
        <v>57236188.510842726</v>
      </c>
      <c r="AA32" s="23">
        <f t="shared" si="45"/>
        <v>57236188.510842726</v>
      </c>
      <c r="AB32" s="23">
        <f t="shared" si="45"/>
        <v>76793861.2504078</v>
      </c>
      <c r="AC32" s="23">
        <f t="shared" si="45"/>
        <v>76793861.2504078</v>
      </c>
      <c r="AD32" s="23">
        <f t="shared" si="45"/>
        <v>76793861.2504078</v>
      </c>
      <c r="AE32" s="23">
        <f t="shared" si="45"/>
        <v>96596004.899217442</v>
      </c>
      <c r="AF32" s="23">
        <f t="shared" si="45"/>
        <v>96596004.899217442</v>
      </c>
      <c r="AG32" s="23">
        <f t="shared" si="45"/>
        <v>96596004.899217442</v>
      </c>
      <c r="AH32" s="23">
        <f t="shared" si="45"/>
        <v>116645675.3436372</v>
      </c>
      <c r="AI32" s="23">
        <f t="shared" si="45"/>
        <v>116645675.3436372</v>
      </c>
      <c r="AJ32" s="23">
        <f t="shared" si="45"/>
        <v>116645675.3436372</v>
      </c>
      <c r="AK32" s="23">
        <f t="shared" si="45"/>
        <v>136945966.66861221</v>
      </c>
      <c r="AL32" s="23">
        <f t="shared" si="45"/>
        <v>136945966.66861221</v>
      </c>
      <c r="AM32" s="23">
        <f t="shared" si="45"/>
        <v>136945966.66861221</v>
      </c>
      <c r="AN32" s="23">
        <f t="shared" si="45"/>
        <v>157500011.63514942</v>
      </c>
      <c r="AO32" s="23">
        <f t="shared" si="45"/>
        <v>157500011.63514942</v>
      </c>
      <c r="AP32" s="23">
        <f t="shared" si="45"/>
        <v>157500011.63514942</v>
      </c>
      <c r="AQ32" s="23">
        <f t="shared" si="45"/>
        <v>178310982.16376832</v>
      </c>
      <c r="AR32" s="23">
        <f t="shared" si="45"/>
        <v>178310982.16376832</v>
      </c>
      <c r="AS32" s="23">
        <f t="shared" si="45"/>
        <v>178310982.16376832</v>
      </c>
      <c r="AT32" s="23">
        <f t="shared" si="45"/>
        <v>199382089.82399496</v>
      </c>
      <c r="AU32" s="23">
        <f t="shared" si="45"/>
        <v>199382089.82399496</v>
      </c>
      <c r="AV32" s="23">
        <f t="shared" si="45"/>
        <v>199382089.82399496</v>
      </c>
      <c r="AW32" s="23">
        <f t="shared" si="45"/>
        <v>220716586.32997444</v>
      </c>
      <c r="AX32" s="23">
        <f t="shared" si="45"/>
        <v>220716586.32997444</v>
      </c>
      <c r="AY32" s="23">
        <f t="shared" si="45"/>
        <v>220716586.32997444</v>
      </c>
      <c r="AZ32" s="23">
        <f t="shared" si="45"/>
        <v>242317764.04227865</v>
      </c>
      <c r="BA32" s="23">
        <f t="shared" si="45"/>
        <v>242317764.04227865</v>
      </c>
      <c r="BB32" s="23">
        <f t="shared" si="45"/>
        <v>242317764.04227865</v>
      </c>
      <c r="BC32" s="23">
        <f t="shared" si="45"/>
        <v>264188956.47598666</v>
      </c>
      <c r="BD32" s="23">
        <f t="shared" si="45"/>
        <v>264188956.47598666</v>
      </c>
      <c r="BE32" s="23">
        <f t="shared" si="45"/>
        <v>264188956.47598666</v>
      </c>
      <c r="BF32" s="23">
        <f t="shared" si="45"/>
        <v>286333538.81511605</v>
      </c>
      <c r="BG32" s="23">
        <f t="shared" si="45"/>
        <v>286333538.81511605</v>
      </c>
      <c r="BH32" s="23">
        <f t="shared" si="45"/>
        <v>286333538.81511605</v>
      </c>
      <c r="BI32" s="23">
        <f t="shared" si="45"/>
        <v>308754928.43348455</v>
      </c>
      <c r="BJ32" s="23">
        <f t="shared" si="45"/>
        <v>308754928.43348455</v>
      </c>
      <c r="BK32" s="23">
        <f t="shared" si="45"/>
        <v>308754928.43348455</v>
      </c>
      <c r="BL32" s="23">
        <f t="shared" si="45"/>
        <v>331456585.42208266</v>
      </c>
      <c r="BM32" s="23">
        <f t="shared" si="45"/>
        <v>331456585.42208266</v>
      </c>
      <c r="BN32" s="23">
        <f t="shared" si="45"/>
        <v>331456585.42208266</v>
      </c>
      <c r="BO32" s="23">
        <f t="shared" si="45"/>
        <v>354442013.12303823</v>
      </c>
      <c r="BP32" s="23">
        <f t="shared" si="45"/>
        <v>354442013.12303823</v>
      </c>
      <c r="BQ32" s="23">
        <f t="shared" si="45"/>
        <v>354442013.12303823</v>
      </c>
      <c r="BR32" s="23">
        <f t="shared" si="45"/>
        <v>377714758.67025578</v>
      </c>
      <c r="BS32" s="23">
        <f t="shared" si="45"/>
        <v>377714758.67025578</v>
      </c>
      <c r="BT32" s="23">
        <f t="shared" si="45"/>
        <v>377714758.67025578</v>
      </c>
      <c r="BU32" s="23">
        <f t="shared" si="45"/>
        <v>401278413.5368135</v>
      </c>
      <c r="BV32" s="23">
        <f t="shared" si="45"/>
        <v>401278413.5368135</v>
      </c>
      <c r="BW32" s="23">
        <f t="shared" si="45"/>
        <v>401278413.5368135</v>
      </c>
      <c r="BX32" s="23">
        <f t="shared" si="45"/>
        <v>425136614.08920324</v>
      </c>
      <c r="BY32" s="23">
        <f t="shared" si="45"/>
        <v>425136614.08920324</v>
      </c>
      <c r="BZ32" s="23">
        <f t="shared" si="45"/>
        <v>425136614.08920324</v>
      </c>
      <c r="CA32" s="23">
        <f t="shared" si="45"/>
        <v>449293042.14849782</v>
      </c>
      <c r="CB32" s="23">
        <f t="shared" si="45"/>
        <v>449293042.14849782</v>
      </c>
      <c r="CC32" s="23">
        <f t="shared" si="45"/>
        <v>449293042.14849782</v>
      </c>
      <c r="CD32" s="23">
        <f t="shared" si="45"/>
        <v>473751425.55853355</v>
      </c>
      <c r="CE32" s="23">
        <f t="shared" si="45"/>
        <v>473751425.55853355</v>
      </c>
      <c r="CF32" s="23">
        <f t="shared" si="45"/>
        <v>473751425.55853355</v>
      </c>
      <c r="CG32" s="23">
        <f t="shared" si="45"/>
        <v>498515538.76119477</v>
      </c>
      <c r="CH32" s="23">
        <f t="shared" ref="CH32:CQ32" si="46">CG32+CH31</f>
        <v>498515538.76119477</v>
      </c>
      <c r="CI32" s="23">
        <f t="shared" si="46"/>
        <v>498515538.76119477</v>
      </c>
      <c r="CJ32" s="23">
        <f t="shared" si="46"/>
        <v>523589203.37888926</v>
      </c>
      <c r="CK32" s="23">
        <f t="shared" si="46"/>
        <v>523589203.37888926</v>
      </c>
      <c r="CL32" s="23">
        <f t="shared" si="46"/>
        <v>523589203.37888926</v>
      </c>
      <c r="CM32" s="23">
        <f t="shared" si="46"/>
        <v>548976288.80430496</v>
      </c>
      <c r="CN32" s="23">
        <f t="shared" si="46"/>
        <v>548976288.80430496</v>
      </c>
      <c r="CO32" s="23">
        <f t="shared" si="46"/>
        <v>548976288.80430496</v>
      </c>
      <c r="CP32" s="23">
        <f t="shared" si="46"/>
        <v>574680712.79753828</v>
      </c>
      <c r="CQ32" s="23">
        <f t="shared" si="46"/>
        <v>574680712.79753828</v>
      </c>
      <c r="CR32" s="23">
        <f t="shared" ref="CR32" si="47">CQ32+CR31</f>
        <v>574680712.79753828</v>
      </c>
      <c r="CS32" s="23">
        <f t="shared" ref="CS32" si="48">CR32+CS31</f>
        <v>600706442.09068704</v>
      </c>
      <c r="CT32" s="23">
        <f t="shared" ref="CT32" si="49">CS32+CT31</f>
        <v>600706442.09068704</v>
      </c>
      <c r="CU32" s="23">
        <f t="shared" ref="CU32" si="50">CT32+CU31</f>
        <v>600706442.09068704</v>
      </c>
      <c r="CV32" s="23">
        <f t="shared" ref="CV32" si="51">CU32+CV31</f>
        <v>627057493.00000012</v>
      </c>
    </row>
    <row r="33" spans="1:184" s="21" customFormat="1" x14ac:dyDescent="0.25">
      <c r="A33" s="20" t="s">
        <v>8</v>
      </c>
      <c r="B33" s="28"/>
      <c r="C33" s="28"/>
      <c r="D33" s="28">
        <f t="shared" ref="D33:T33" si="52">D31+D29</f>
        <v>291666.66666666669</v>
      </c>
      <c r="E33" s="28">
        <f t="shared" si="52"/>
        <v>1506944.4444444445</v>
      </c>
      <c r="F33" s="28">
        <f t="shared" si="52"/>
        <v>1361111.111111111</v>
      </c>
      <c r="G33" s="28">
        <f t="shared" si="52"/>
        <v>1506944.4444444445</v>
      </c>
      <c r="H33" s="28">
        <f t="shared" si="52"/>
        <v>1458333.3333333333</v>
      </c>
      <c r="I33" s="28">
        <f t="shared" si="52"/>
        <v>2161107.9695833335</v>
      </c>
      <c r="J33" s="28">
        <f t="shared" si="52"/>
        <v>2612739.5541666667</v>
      </c>
      <c r="K33" s="28">
        <f t="shared" si="52"/>
        <v>2699830.8726388891</v>
      </c>
      <c r="L33" s="28">
        <f t="shared" si="52"/>
        <v>2699830.8726388891</v>
      </c>
      <c r="M33" s="28">
        <f t="shared" si="52"/>
        <v>2612739.5541666667</v>
      </c>
      <c r="N33" s="28">
        <f t="shared" si="52"/>
        <v>2699830.8726388891</v>
      </c>
      <c r="O33" s="28">
        <f t="shared" si="52"/>
        <v>2612739.5541666667</v>
      </c>
      <c r="P33" s="28">
        <f>P31+P29</f>
        <v>2699830.8726388891</v>
      </c>
      <c r="Q33" s="28">
        <f>Q31+Q29</f>
        <v>2699830.8726388891</v>
      </c>
      <c r="R33" s="28">
        <f t="shared" si="52"/>
        <v>2525648.2356944447</v>
      </c>
      <c r="S33" s="28">
        <f t="shared" si="52"/>
        <v>21494945.704860482</v>
      </c>
      <c r="T33" s="28">
        <f t="shared" si="52"/>
        <v>2534230.302570085</v>
      </c>
      <c r="U33" s="28">
        <f>U31+U29</f>
        <v>2618704.6459890883</v>
      </c>
      <c r="V33" s="28">
        <f t="shared" ref="V33:CG33" si="53">V31+V29</f>
        <v>21564284.070194446</v>
      </c>
      <c r="W33" s="28">
        <f t="shared" si="53"/>
        <v>2536564.341506165</v>
      </c>
      <c r="X33" s="28">
        <f t="shared" si="53"/>
        <v>2536564.341506165</v>
      </c>
      <c r="Y33" s="28">
        <f t="shared" si="53"/>
        <v>21728034.741712019</v>
      </c>
      <c r="Z33" s="28">
        <f t="shared" si="53"/>
        <v>2453397.2832172047</v>
      </c>
      <c r="AA33" s="28">
        <f t="shared" si="53"/>
        <v>2374255.4353714888</v>
      </c>
      <c r="AB33" s="28">
        <f t="shared" si="53"/>
        <v>21964892.184369419</v>
      </c>
      <c r="AC33" s="28">
        <f t="shared" si="53"/>
        <v>2369190.6366996337</v>
      </c>
      <c r="AD33" s="28">
        <f t="shared" si="53"/>
        <v>2139914.123470637</v>
      </c>
      <c r="AE33" s="28">
        <f t="shared" si="53"/>
        <v>22119078.628658246</v>
      </c>
      <c r="AF33" s="28">
        <f t="shared" si="53"/>
        <v>2210256.2004199279</v>
      </c>
      <c r="AG33" s="28">
        <f t="shared" si="53"/>
        <v>2283931.4071005923</v>
      </c>
      <c r="AH33" s="28">
        <f t="shared" si="53"/>
        <v>22215371.821629863</v>
      </c>
      <c r="AI33" s="28">
        <f t="shared" si="53"/>
        <v>2197606.4371315627</v>
      </c>
      <c r="AJ33" s="28">
        <f t="shared" si="53"/>
        <v>2197606.4371315627</v>
      </c>
      <c r="AK33" s="28">
        <f t="shared" si="53"/>
        <v>22381895.473376572</v>
      </c>
      <c r="AL33" s="28">
        <f t="shared" si="53"/>
        <v>2110202.4050379205</v>
      </c>
      <c r="AM33" s="28">
        <f t="shared" si="53"/>
        <v>2042131.3597141167</v>
      </c>
      <c r="AN33" s="28">
        <f t="shared" si="53"/>
        <v>22615716.987626344</v>
      </c>
      <c r="AO33" s="28">
        <f t="shared" si="53"/>
        <v>2021705.8225431074</v>
      </c>
      <c r="AP33" s="28">
        <f t="shared" si="53"/>
        <v>1826056.8719744196</v>
      </c>
      <c r="AQ33" s="28">
        <f t="shared" si="53"/>
        <v>22783539.337413888</v>
      </c>
      <c r="AR33" s="28">
        <f t="shared" si="53"/>
        <v>1869777.1284842994</v>
      </c>
      <c r="AS33" s="28">
        <f t="shared" si="53"/>
        <v>1932103.0327671093</v>
      </c>
      <c r="AT33" s="28">
        <f t="shared" si="53"/>
        <v>22894060.105021551</v>
      </c>
      <c r="AU33" s="28">
        <f t="shared" si="53"/>
        <v>1841380.2081189116</v>
      </c>
      <c r="AV33" s="28">
        <f t="shared" si="53"/>
        <v>1841380.2081189116</v>
      </c>
      <c r="AW33" s="28">
        <f t="shared" si="53"/>
        <v>23069067.360310655</v>
      </c>
      <c r="AX33" s="28">
        <f t="shared" si="53"/>
        <v>1749523.348162611</v>
      </c>
      <c r="AY33" s="28">
        <f t="shared" si="53"/>
        <v>1693087.1111251074</v>
      </c>
      <c r="AZ33" s="28">
        <f t="shared" si="53"/>
        <v>23299698.279757224</v>
      </c>
      <c r="BA33" s="28">
        <f t="shared" si="53"/>
        <v>1656518.2774568563</v>
      </c>
      <c r="BB33" s="28">
        <f t="shared" si="53"/>
        <v>1496210.0570578056</v>
      </c>
      <c r="BC33" s="28">
        <f t="shared" si="53"/>
        <v>23476070.395696405</v>
      </c>
      <c r="BD33" s="28">
        <f t="shared" si="53"/>
        <v>1511952.2355167228</v>
      </c>
      <c r="BE33" s="28">
        <f t="shared" si="53"/>
        <v>1562350.6433672803</v>
      </c>
      <c r="BF33" s="28">
        <f t="shared" si="53"/>
        <v>23607324.391670253</v>
      </c>
      <c r="BG33" s="28">
        <f t="shared" si="53"/>
        <v>1467005.9138515843</v>
      </c>
      <c r="BH33" s="28">
        <f t="shared" si="53"/>
        <v>1467005.9138515843</v>
      </c>
      <c r="BI33" s="28">
        <f t="shared" si="53"/>
        <v>23791247.450542469</v>
      </c>
      <c r="BJ33" s="28">
        <f t="shared" si="53"/>
        <v>1370469.3752169423</v>
      </c>
      <c r="BK33" s="28">
        <f t="shared" si="53"/>
        <v>1326260.6856938149</v>
      </c>
      <c r="BL33" s="28">
        <f t="shared" si="53"/>
        <v>24018525.229258623</v>
      </c>
      <c r="BM33" s="28">
        <f t="shared" si="53"/>
        <v>1272726.1298493671</v>
      </c>
      <c r="BN33" s="28">
        <f t="shared" si="53"/>
        <v>1190614.7666332787</v>
      </c>
      <c r="BO33" s="28">
        <f t="shared" si="53"/>
        <v>24203882.682066567</v>
      </c>
      <c r="BP33" s="28">
        <f t="shared" si="53"/>
        <v>1135897.8328206746</v>
      </c>
      <c r="BQ33" s="28">
        <f t="shared" si="53"/>
        <v>1173761.0939146972</v>
      </c>
      <c r="BR33" s="28">
        <f t="shared" si="53"/>
        <v>24356926.167711042</v>
      </c>
      <c r="BS33" s="28">
        <f t="shared" si="53"/>
        <v>1073558.9950308439</v>
      </c>
      <c r="BT33" s="28">
        <f t="shared" si="53"/>
        <v>1073558.9950308439</v>
      </c>
      <c r="BU33" s="28">
        <f t="shared" si="53"/>
        <v>24550219.248783763</v>
      </c>
      <c r="BV33" s="28">
        <f t="shared" si="53"/>
        <v>972104.36991094251</v>
      </c>
      <c r="BW33" s="28">
        <f t="shared" si="53"/>
        <v>940746.16442994424</v>
      </c>
      <c r="BX33" s="28">
        <f t="shared" si="53"/>
        <v>24773973.05988529</v>
      </c>
      <c r="BY33" s="28">
        <f t="shared" si="53"/>
        <v>869381.56197704223</v>
      </c>
      <c r="BZ33" s="28">
        <f t="shared" si="53"/>
        <v>785247.86243087694</v>
      </c>
      <c r="CA33" s="28">
        <f t="shared" si="53"/>
        <v>24968773.610576067</v>
      </c>
      <c r="CB33" s="28">
        <f t="shared" si="53"/>
        <v>740685.21188125969</v>
      </c>
      <c r="CC33" s="28">
        <f t="shared" si="53"/>
        <v>765374.71894396842</v>
      </c>
      <c r="CD33" s="28">
        <f t="shared" si="53"/>
        <v>25144716.658783607</v>
      </c>
      <c r="CE33" s="28">
        <f t="shared" si="53"/>
        <v>660067.79037298111</v>
      </c>
      <c r="CF33" s="28">
        <f t="shared" si="53"/>
        <v>660067.79037298111</v>
      </c>
      <c r="CG33" s="28">
        <f t="shared" si="53"/>
        <v>25347857.120994739</v>
      </c>
      <c r="CH33" s="28">
        <f t="shared" ref="CH33:CQ33" si="54">CH31+CH29</f>
        <v>553444.52519485645</v>
      </c>
      <c r="CI33" s="28">
        <f t="shared" si="54"/>
        <v>535591.47599502234</v>
      </c>
      <c r="CJ33" s="28">
        <f t="shared" si="54"/>
        <v>25567907.434764214</v>
      </c>
      <c r="CK33" s="28">
        <f t="shared" si="54"/>
        <v>445488.46920200519</v>
      </c>
      <c r="CL33" s="28">
        <f t="shared" si="54"/>
        <v>402376.68185987562</v>
      </c>
      <c r="CM33" s="28">
        <f t="shared" si="54"/>
        <v>25772632.165140983</v>
      </c>
      <c r="CN33" s="28">
        <f t="shared" si="54"/>
        <v>325338.35081539681</v>
      </c>
      <c r="CO33" s="28">
        <f t="shared" si="54"/>
        <v>336182.96250924334</v>
      </c>
      <c r="CP33" s="28">
        <f t="shared" si="54"/>
        <v>25972641.401841566</v>
      </c>
      <c r="CQ33" s="28">
        <f t="shared" si="54"/>
        <v>225511.136982822</v>
      </c>
      <c r="CR33" s="28">
        <f t="shared" ref="CR33:CT33" si="55">CR31+CR29</f>
        <v>225511.136982822</v>
      </c>
      <c r="CS33" s="28">
        <f t="shared" si="55"/>
        <v>26186130.92334092</v>
      </c>
      <c r="CT33" s="28">
        <f t="shared" si="55"/>
        <v>113455.91363732037</v>
      </c>
      <c r="CU33" s="28">
        <f t="shared" ref="CU33:CV33" si="56">CU31+CU29</f>
        <v>109796.04545547132</v>
      </c>
      <c r="CV33" s="28">
        <f t="shared" si="56"/>
        <v>26402289.063859016</v>
      </c>
    </row>
    <row r="34" spans="1:184" s="21" customFormat="1" ht="14.25" thickBot="1" x14ac:dyDescent="0.3">
      <c r="A34" s="30" t="s">
        <v>9</v>
      </c>
      <c r="B34" s="31"/>
      <c r="C34" s="31"/>
      <c r="D34" s="31">
        <f t="shared" ref="D34:BC34" si="57">D28-D31</f>
        <v>350000000</v>
      </c>
      <c r="E34" s="31">
        <f t="shared" si="57"/>
        <v>350000000</v>
      </c>
      <c r="F34" s="31">
        <f t="shared" si="57"/>
        <v>350000000</v>
      </c>
      <c r="G34" s="31">
        <f t="shared" si="57"/>
        <v>350000000</v>
      </c>
      <c r="H34" s="31">
        <f t="shared" si="57"/>
        <v>350000000</v>
      </c>
      <c r="I34" s="31">
        <f>I28-I31+D18</f>
        <v>627057493</v>
      </c>
      <c r="J34" s="31">
        <f t="shared" si="57"/>
        <v>627057493</v>
      </c>
      <c r="K34" s="31">
        <f t="shared" si="57"/>
        <v>627057493</v>
      </c>
      <c r="L34" s="31">
        <f t="shared" si="57"/>
        <v>627057493</v>
      </c>
      <c r="M34" s="31">
        <f t="shared" si="57"/>
        <v>627057493</v>
      </c>
      <c r="N34" s="31">
        <f t="shared" si="57"/>
        <v>627057493</v>
      </c>
      <c r="O34" s="31">
        <f t="shared" si="57"/>
        <v>627057493</v>
      </c>
      <c r="P34" s="31">
        <f>P28-P31</f>
        <v>627057493</v>
      </c>
      <c r="Q34" s="31">
        <f>Q28-Q31</f>
        <v>627057493</v>
      </c>
      <c r="R34" s="31">
        <f t="shared" si="57"/>
        <v>627057493</v>
      </c>
      <c r="S34" s="31">
        <f t="shared" si="57"/>
        <v>608215272.61682045</v>
      </c>
      <c r="T34" s="31">
        <f t="shared" si="57"/>
        <v>608215272.61682045</v>
      </c>
      <c r="U34" s="31">
        <f t="shared" si="57"/>
        <v>608215272.61682045</v>
      </c>
      <c r="V34" s="31">
        <f t="shared" si="57"/>
        <v>589137524.4788512</v>
      </c>
      <c r="W34" s="31">
        <f t="shared" si="57"/>
        <v>589137524.4788512</v>
      </c>
      <c r="X34" s="31">
        <f t="shared" si="57"/>
        <v>589137524.4788512</v>
      </c>
      <c r="Y34" s="31">
        <f t="shared" si="57"/>
        <v>569821304.48915732</v>
      </c>
      <c r="Z34" s="31">
        <f t="shared" si="57"/>
        <v>569821304.48915732</v>
      </c>
      <c r="AA34" s="31">
        <f t="shared" si="57"/>
        <v>569821304.48915732</v>
      </c>
      <c r="AB34" s="31">
        <f t="shared" si="57"/>
        <v>550263631.7495923</v>
      </c>
      <c r="AC34" s="31">
        <f t="shared" si="57"/>
        <v>550263631.7495923</v>
      </c>
      <c r="AD34" s="31">
        <f t="shared" si="57"/>
        <v>550263631.7495923</v>
      </c>
      <c r="AE34" s="31">
        <f t="shared" si="57"/>
        <v>530461488.10078269</v>
      </c>
      <c r="AF34" s="31">
        <f t="shared" si="57"/>
        <v>530461488.10078269</v>
      </c>
      <c r="AG34" s="31">
        <f t="shared" si="57"/>
        <v>530461488.10078269</v>
      </c>
      <c r="AH34" s="31">
        <f t="shared" si="57"/>
        <v>510411817.65636295</v>
      </c>
      <c r="AI34" s="31">
        <f t="shared" si="57"/>
        <v>510411817.65636295</v>
      </c>
      <c r="AJ34" s="31">
        <f t="shared" si="57"/>
        <v>510411817.65636295</v>
      </c>
      <c r="AK34" s="31">
        <f t="shared" si="57"/>
        <v>490111526.33138794</v>
      </c>
      <c r="AL34" s="31">
        <f t="shared" si="57"/>
        <v>490111526.33138794</v>
      </c>
      <c r="AM34" s="31">
        <f t="shared" si="57"/>
        <v>490111526.33138794</v>
      </c>
      <c r="AN34" s="31">
        <f t="shared" si="57"/>
        <v>469557481.36485076</v>
      </c>
      <c r="AO34" s="31">
        <f t="shared" si="57"/>
        <v>469557481.36485076</v>
      </c>
      <c r="AP34" s="31">
        <f t="shared" si="57"/>
        <v>469557481.36485076</v>
      </c>
      <c r="AQ34" s="31">
        <f t="shared" si="57"/>
        <v>448746510.83623183</v>
      </c>
      <c r="AR34" s="31">
        <f t="shared" si="57"/>
        <v>448746510.83623183</v>
      </c>
      <c r="AS34" s="31">
        <f t="shared" si="57"/>
        <v>448746510.83623183</v>
      </c>
      <c r="AT34" s="31">
        <f t="shared" si="57"/>
        <v>427675403.17600518</v>
      </c>
      <c r="AU34" s="31">
        <f t="shared" si="57"/>
        <v>427675403.17600518</v>
      </c>
      <c r="AV34" s="31">
        <f t="shared" si="57"/>
        <v>427675403.17600518</v>
      </c>
      <c r="AW34" s="31">
        <f t="shared" si="57"/>
        <v>406340906.67002571</v>
      </c>
      <c r="AX34" s="31">
        <f t="shared" si="57"/>
        <v>406340906.67002571</v>
      </c>
      <c r="AY34" s="31">
        <f t="shared" si="57"/>
        <v>406340906.67002571</v>
      </c>
      <c r="AZ34" s="31">
        <f t="shared" si="57"/>
        <v>384739728.95772147</v>
      </c>
      <c r="BA34" s="31">
        <f t="shared" si="57"/>
        <v>384739728.95772147</v>
      </c>
      <c r="BB34" s="31">
        <f t="shared" si="57"/>
        <v>384739728.95772147</v>
      </c>
      <c r="BC34" s="31">
        <f t="shared" si="57"/>
        <v>362868536.52401346</v>
      </c>
      <c r="BD34" s="31">
        <f t="shared" ref="BD34:CQ34" si="58">BD28-BD31</f>
        <v>362868536.52401346</v>
      </c>
      <c r="BE34" s="31">
        <f t="shared" si="58"/>
        <v>362868536.52401346</v>
      </c>
      <c r="BF34" s="31">
        <f t="shared" si="58"/>
        <v>340723954.18488407</v>
      </c>
      <c r="BG34" s="31">
        <f t="shared" si="58"/>
        <v>340723954.18488407</v>
      </c>
      <c r="BH34" s="31">
        <f t="shared" si="58"/>
        <v>340723954.18488407</v>
      </c>
      <c r="BI34" s="31">
        <f t="shared" si="58"/>
        <v>318302564.56651556</v>
      </c>
      <c r="BJ34" s="31">
        <f t="shared" si="58"/>
        <v>318302564.56651556</v>
      </c>
      <c r="BK34" s="31">
        <f t="shared" si="58"/>
        <v>318302564.56651556</v>
      </c>
      <c r="BL34" s="31">
        <f t="shared" si="58"/>
        <v>295600907.57791746</v>
      </c>
      <c r="BM34" s="31">
        <f t="shared" si="58"/>
        <v>295600907.57791746</v>
      </c>
      <c r="BN34" s="31">
        <f t="shared" si="58"/>
        <v>295600907.57791746</v>
      </c>
      <c r="BO34" s="31">
        <f t="shared" si="58"/>
        <v>272615479.87696189</v>
      </c>
      <c r="BP34" s="31">
        <f t="shared" si="58"/>
        <v>272615479.87696189</v>
      </c>
      <c r="BQ34" s="31">
        <f t="shared" si="58"/>
        <v>272615479.87696189</v>
      </c>
      <c r="BR34" s="31">
        <f t="shared" si="58"/>
        <v>249342734.32974437</v>
      </c>
      <c r="BS34" s="31">
        <f t="shared" si="58"/>
        <v>249342734.32974437</v>
      </c>
      <c r="BT34" s="31">
        <f t="shared" si="58"/>
        <v>249342734.32974437</v>
      </c>
      <c r="BU34" s="31">
        <f t="shared" si="58"/>
        <v>225779079.46318662</v>
      </c>
      <c r="BV34" s="31">
        <f t="shared" si="58"/>
        <v>225779079.46318662</v>
      </c>
      <c r="BW34" s="31">
        <f t="shared" si="58"/>
        <v>225779079.46318662</v>
      </c>
      <c r="BX34" s="31">
        <f t="shared" si="58"/>
        <v>201920878.91079691</v>
      </c>
      <c r="BY34" s="31">
        <f t="shared" si="58"/>
        <v>201920878.91079691</v>
      </c>
      <c r="BZ34" s="31">
        <f t="shared" si="58"/>
        <v>201920878.91079691</v>
      </c>
      <c r="CA34" s="31">
        <f t="shared" si="58"/>
        <v>177764450.85150233</v>
      </c>
      <c r="CB34" s="31">
        <f t="shared" si="58"/>
        <v>177764450.85150233</v>
      </c>
      <c r="CC34" s="31">
        <f t="shared" si="58"/>
        <v>177764450.85150233</v>
      </c>
      <c r="CD34" s="31">
        <f t="shared" si="58"/>
        <v>153306067.44146657</v>
      </c>
      <c r="CE34" s="31">
        <f t="shared" si="58"/>
        <v>153306067.44146657</v>
      </c>
      <c r="CF34" s="31">
        <f t="shared" si="58"/>
        <v>153306067.44146657</v>
      </c>
      <c r="CG34" s="31">
        <f t="shared" si="58"/>
        <v>128541954.23880535</v>
      </c>
      <c r="CH34" s="31">
        <f t="shared" si="58"/>
        <v>128541954.23880535</v>
      </c>
      <c r="CI34" s="31">
        <f t="shared" si="58"/>
        <v>128541954.23880535</v>
      </c>
      <c r="CJ34" s="31">
        <f t="shared" si="58"/>
        <v>103468289.62111089</v>
      </c>
      <c r="CK34" s="31">
        <f t="shared" si="58"/>
        <v>103468289.62111089</v>
      </c>
      <c r="CL34" s="31">
        <f t="shared" si="58"/>
        <v>103468289.62111089</v>
      </c>
      <c r="CM34" s="31">
        <f t="shared" si="58"/>
        <v>78081204.195695236</v>
      </c>
      <c r="CN34" s="31">
        <f t="shared" si="58"/>
        <v>78081204.195695236</v>
      </c>
      <c r="CO34" s="31">
        <f t="shared" si="58"/>
        <v>78081204.195695236</v>
      </c>
      <c r="CP34" s="31">
        <f t="shared" si="58"/>
        <v>52376780.202461883</v>
      </c>
      <c r="CQ34" s="31">
        <f t="shared" si="58"/>
        <v>52376780.202461883</v>
      </c>
      <c r="CR34" s="31">
        <f t="shared" ref="CR34:CT34" si="59">CR28-CR31</f>
        <v>52376780.202461883</v>
      </c>
      <c r="CS34" s="31">
        <f t="shared" si="59"/>
        <v>26351050.909313112</v>
      </c>
      <c r="CT34" s="31">
        <f t="shared" si="59"/>
        <v>26351050.909313112</v>
      </c>
      <c r="CU34" s="31">
        <f t="shared" ref="CU34:CV34" si="60">CU28-CU31</f>
        <v>26351050.909313112</v>
      </c>
      <c r="CV34" s="31">
        <f t="shared" si="60"/>
        <v>0</v>
      </c>
    </row>
    <row r="35" spans="1:184" s="21" customFormat="1" x14ac:dyDescent="0.25">
      <c r="A35" s="20"/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CT35" s="98"/>
      <c r="DP35" s="20"/>
    </row>
    <row r="36" spans="1:184" s="47" customFormat="1" x14ac:dyDescent="0.25">
      <c r="A36" s="45"/>
      <c r="B36" s="46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CU36" s="131" t="s">
        <v>80</v>
      </c>
      <c r="CV36" s="132">
        <f>SUM(D29:CV29)-SUM(EKCL_BDT_Loan!C34:AH34)</f>
        <v>0</v>
      </c>
      <c r="DP36" s="20"/>
    </row>
    <row r="37" spans="1:184" x14ac:dyDescent="0.25"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DO37" s="28"/>
      <c r="GB37" s="28">
        <f>SUM(D29:CV29)-SUM(EKCL_BDT_Loan!C34:AH34)</f>
        <v>0</v>
      </c>
    </row>
    <row r="38" spans="1:184" ht="15" x14ac:dyDescent="0.3">
      <c r="B38" s="32"/>
      <c r="C38" s="33"/>
      <c r="D38" s="33"/>
      <c r="E38" s="114"/>
      <c r="F38" s="33"/>
      <c r="G38" s="33"/>
      <c r="H38" s="33"/>
      <c r="I38" s="33"/>
      <c r="J38" s="33"/>
      <c r="K38" s="33"/>
      <c r="L38" s="33"/>
      <c r="M38" s="33"/>
    </row>
    <row r="39" spans="1:184" x14ac:dyDescent="0.25"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</row>
    <row r="40" spans="1:184" x14ac:dyDescent="0.25"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84" x14ac:dyDescent="0.2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184" x14ac:dyDescent="0.25"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 spans="1:184" x14ac:dyDescent="0.25"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AZ35:BI35 AN30:BI30 J30:K30 M30:N30 R30:AF30 E30:H30 C35 D33:H34 J32:K34 M32:N34 R32:T32 BK30:CF30 R34:T34 R33:T33 CM35 E32:H32" unlockedFormula="1"/>
    <ignoredError sqref="AI30:AM30 AG30:AH30 I30 O30 L30 P30:Q30 I32:I33 O32:O34 L32:L34 P32:Q34" formula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0"/>
  <sheetViews>
    <sheetView topLeftCell="A18" workbookViewId="0">
      <selection activeCell="G23" sqref="G23"/>
    </sheetView>
  </sheetViews>
  <sheetFormatPr defaultRowHeight="12.75" x14ac:dyDescent="0.2"/>
  <cols>
    <col min="1" max="1" width="13.7109375" bestFit="1" customWidth="1"/>
    <col min="2" max="2" width="14.140625" bestFit="1" customWidth="1"/>
    <col min="3" max="3" width="14" bestFit="1" customWidth="1"/>
    <col min="4" max="4" width="15.85546875" bestFit="1" customWidth="1"/>
    <col min="5" max="5" width="14.7109375" bestFit="1" customWidth="1"/>
    <col min="6" max="6" width="18.28515625" bestFit="1" customWidth="1"/>
    <col min="7" max="7" width="15.28515625" bestFit="1" customWidth="1"/>
    <col min="8" max="8" width="13.42578125" bestFit="1" customWidth="1"/>
    <col min="12" max="12" width="11.85546875" bestFit="1" customWidth="1"/>
  </cols>
  <sheetData>
    <row r="1" spans="1:5" ht="15" x14ac:dyDescent="0.25">
      <c r="A1" s="9" t="s">
        <v>0</v>
      </c>
      <c r="B1" s="9" t="str">
        <f>Disbursement!B1</f>
        <v>Esquire Knit Composite Limited (EKCL)</v>
      </c>
      <c r="D1" s="10"/>
      <c r="E1" s="10"/>
    </row>
    <row r="2" spans="1:5" ht="15" x14ac:dyDescent="0.25">
      <c r="A2" s="9"/>
      <c r="B2" s="10"/>
      <c r="C2" s="10"/>
      <c r="D2" s="10"/>
      <c r="E2" s="10"/>
    </row>
    <row r="3" spans="1:5" x14ac:dyDescent="0.2">
      <c r="A3" s="11" t="s">
        <v>67</v>
      </c>
      <c r="B3" s="64">
        <f>+EKCL_BDT_Loan!C3</f>
        <v>44857</v>
      </c>
      <c r="D3" s="11"/>
      <c r="E3" s="11"/>
    </row>
    <row r="4" spans="1:5" x14ac:dyDescent="0.2">
      <c r="A4" s="3"/>
      <c r="B4" s="3"/>
      <c r="D4" s="3"/>
      <c r="E4" s="3"/>
    </row>
    <row r="5" spans="1:5" x14ac:dyDescent="0.2">
      <c r="A5" s="11" t="s">
        <v>2</v>
      </c>
      <c r="B5" s="91">
        <f>+EKCL_BDT_Loan!C5</f>
        <v>750000000</v>
      </c>
      <c r="D5" s="11"/>
      <c r="E5" s="3"/>
    </row>
    <row r="6" spans="1:5" ht="15" x14ac:dyDescent="0.25">
      <c r="A6" s="11"/>
      <c r="B6" s="90"/>
      <c r="D6" s="3"/>
      <c r="E6" s="3"/>
    </row>
    <row r="7" spans="1:5" x14ac:dyDescent="0.2">
      <c r="A7" s="11" t="s">
        <v>60</v>
      </c>
      <c r="B7" s="64">
        <f>Disbursement!B8</f>
        <v>44921</v>
      </c>
      <c r="D7" s="3"/>
      <c r="E7" s="48"/>
    </row>
    <row r="8" spans="1:5" x14ac:dyDescent="0.2">
      <c r="A8" s="11"/>
      <c r="B8" s="48"/>
      <c r="D8" s="3"/>
      <c r="E8" s="48"/>
    </row>
    <row r="9" spans="1:5" x14ac:dyDescent="0.2">
      <c r="A9" s="11" t="s">
        <v>59</v>
      </c>
      <c r="B9" s="64">
        <f>+EKCL_BDT_Loan!C9</f>
        <v>44868</v>
      </c>
      <c r="D9" s="3"/>
      <c r="E9" s="48"/>
    </row>
    <row r="10" spans="1:5" x14ac:dyDescent="0.2">
      <c r="A10" s="11"/>
      <c r="B10" s="48"/>
      <c r="D10" s="3"/>
      <c r="E10" s="3"/>
    </row>
    <row r="11" spans="1:5" x14ac:dyDescent="0.2">
      <c r="A11" s="11" t="s">
        <v>3</v>
      </c>
      <c r="B11" s="92">
        <f>+EKCL_BDT_Loan!C11</f>
        <v>0.05</v>
      </c>
      <c r="D11" s="3"/>
      <c r="E11" s="3"/>
    </row>
    <row r="12" spans="1:5" x14ac:dyDescent="0.2">
      <c r="A12" s="11"/>
      <c r="B12" s="83"/>
      <c r="D12" s="3"/>
      <c r="E12" s="3"/>
    </row>
    <row r="13" spans="1:5" x14ac:dyDescent="0.2">
      <c r="A13" s="11" t="s">
        <v>48</v>
      </c>
      <c r="B13" s="64" t="str">
        <f>+EKCL_BDT_Loan!C13</f>
        <v>96 months</v>
      </c>
      <c r="D13" s="3"/>
      <c r="E13" s="3"/>
    </row>
    <row r="14" spans="1:5" x14ac:dyDescent="0.2">
      <c r="A14" s="11"/>
      <c r="B14" s="48"/>
      <c r="D14" s="3"/>
      <c r="E14" s="3"/>
    </row>
    <row r="15" spans="1:5" x14ac:dyDescent="0.2">
      <c r="A15" s="11" t="s">
        <v>23</v>
      </c>
      <c r="B15" s="64" t="str">
        <f>+EKCL_BDT_Loan!C15</f>
        <v>Quarterly Installment</v>
      </c>
      <c r="D15" s="3"/>
      <c r="E15" s="3"/>
    </row>
    <row r="16" spans="1:5" x14ac:dyDescent="0.2">
      <c r="A16" s="11"/>
      <c r="B16" s="48"/>
      <c r="D16" s="3"/>
      <c r="E16" s="3"/>
    </row>
    <row r="17" spans="1:13" x14ac:dyDescent="0.2">
      <c r="A17" s="54" t="s">
        <v>49</v>
      </c>
      <c r="B17" s="65">
        <f>+EKCL_BDT_Loan!C17</f>
        <v>360</v>
      </c>
      <c r="C17" s="48" t="s">
        <v>50</v>
      </c>
      <c r="E17" s="3"/>
    </row>
    <row r="18" spans="1:13" x14ac:dyDescent="0.2">
      <c r="A18" s="54"/>
      <c r="B18" s="5"/>
      <c r="D18" s="48"/>
      <c r="E18" s="3"/>
    </row>
    <row r="19" spans="1:13" x14ac:dyDescent="0.2">
      <c r="A19" s="54" t="s">
        <v>51</v>
      </c>
      <c r="B19" s="65">
        <v>28</v>
      </c>
      <c r="D19" s="3"/>
      <c r="E19" s="3"/>
    </row>
    <row r="20" spans="1:13" x14ac:dyDescent="0.2">
      <c r="A20" s="54"/>
      <c r="B20" s="51"/>
      <c r="C20" s="53"/>
      <c r="D20" s="3"/>
      <c r="E20" s="3"/>
    </row>
    <row r="21" spans="1:13" x14ac:dyDescent="0.2">
      <c r="A21" s="54" t="s">
        <v>52</v>
      </c>
      <c r="B21" s="51"/>
      <c r="C21" s="53"/>
      <c r="D21" s="3"/>
      <c r="E21" s="3"/>
    </row>
    <row r="22" spans="1:13" x14ac:dyDescent="0.2">
      <c r="A22" s="56"/>
      <c r="B22" s="57"/>
      <c r="C22" s="57">
        <f>Disbursement!B8</f>
        <v>44921</v>
      </c>
      <c r="D22" s="57"/>
      <c r="E22" s="57"/>
    </row>
    <row r="23" spans="1:13" x14ac:dyDescent="0.2">
      <c r="A23" s="58"/>
      <c r="B23" s="59"/>
      <c r="C23" s="62">
        <f>Disbursement!D9</f>
        <v>627057493</v>
      </c>
      <c r="D23" s="62"/>
      <c r="E23" s="62"/>
    </row>
    <row r="24" spans="1:13" x14ac:dyDescent="0.2">
      <c r="A24" s="60"/>
      <c r="B24" s="61"/>
      <c r="C24" s="63">
        <f>C23</f>
        <v>627057493</v>
      </c>
      <c r="D24" s="63"/>
      <c r="E24" s="63"/>
    </row>
    <row r="25" spans="1:13" x14ac:dyDescent="0.2">
      <c r="A25" s="60"/>
      <c r="B25" s="61"/>
      <c r="C25" s="63"/>
      <c r="D25" s="63"/>
      <c r="E25" s="63"/>
    </row>
    <row r="26" spans="1:13" x14ac:dyDescent="0.2">
      <c r="A26" s="60"/>
      <c r="B26" s="61"/>
      <c r="C26" s="63"/>
      <c r="D26" s="63"/>
      <c r="E26" s="63"/>
    </row>
    <row r="27" spans="1:13" x14ac:dyDescent="0.2">
      <c r="A27" s="99" t="s">
        <v>11</v>
      </c>
      <c r="B27" s="99" t="s">
        <v>5</v>
      </c>
      <c r="C27" s="99" t="s">
        <v>6</v>
      </c>
      <c r="D27" s="99" t="s">
        <v>12</v>
      </c>
      <c r="E27" s="99" t="s">
        <v>7</v>
      </c>
      <c r="F27" s="99" t="s">
        <v>13</v>
      </c>
      <c r="G27" s="99" t="s">
        <v>8</v>
      </c>
      <c r="H27" s="99" t="s">
        <v>9</v>
      </c>
    </row>
    <row r="28" spans="1:13" x14ac:dyDescent="0.2">
      <c r="A28" s="94">
        <f t="array" ref="A28:H59">+TRANSPOSE(EKCL_BDT_Loan!C32:AH39)</f>
        <v>45000</v>
      </c>
      <c r="B28" s="122">
        <v>350000000</v>
      </c>
      <c r="C28" s="122">
        <v>3840277.777777778</v>
      </c>
      <c r="D28" s="122">
        <v>3840277.777777778</v>
      </c>
      <c r="E28" s="122">
        <v>0</v>
      </c>
      <c r="F28" s="122">
        <v>0</v>
      </c>
      <c r="G28" s="122">
        <v>3840277.777777778</v>
      </c>
      <c r="H28" s="122">
        <v>350000000</v>
      </c>
      <c r="J28" s="111"/>
      <c r="K28" s="95"/>
      <c r="L28" s="96"/>
      <c r="M28" s="97"/>
    </row>
    <row r="29" spans="1:13" x14ac:dyDescent="0.2">
      <c r="A29" s="94">
        <v>45092</v>
      </c>
      <c r="B29" s="122">
        <v>350000000</v>
      </c>
      <c r="C29" s="122">
        <v>5665108.6504166666</v>
      </c>
      <c r="D29" s="122">
        <v>9505386.4281944446</v>
      </c>
      <c r="E29" s="122">
        <v>0</v>
      </c>
      <c r="F29" s="122">
        <v>0</v>
      </c>
      <c r="G29" s="122">
        <v>5665108.6504166666</v>
      </c>
      <c r="H29" s="122">
        <v>627057493</v>
      </c>
      <c r="J29" s="111"/>
      <c r="K29" s="95"/>
      <c r="L29" s="96"/>
      <c r="M29" s="97"/>
    </row>
    <row r="30" spans="1:13" x14ac:dyDescent="0.2">
      <c r="A30" s="94">
        <v>45183</v>
      </c>
      <c r="B30" s="122">
        <v>627057493</v>
      </c>
      <c r="C30" s="122">
        <v>7925309.9809722221</v>
      </c>
      <c r="D30" s="122">
        <v>17430696.409166668</v>
      </c>
      <c r="E30" s="122">
        <v>0</v>
      </c>
      <c r="F30" s="122">
        <v>0</v>
      </c>
      <c r="G30" s="122">
        <v>7925309.9809722221</v>
      </c>
      <c r="H30" s="122">
        <v>627057493</v>
      </c>
      <c r="J30" s="111"/>
      <c r="K30" s="95"/>
      <c r="L30" s="96"/>
      <c r="M30" s="97"/>
    </row>
    <row r="31" spans="1:13" x14ac:dyDescent="0.2">
      <c r="A31" s="94">
        <v>45274</v>
      </c>
      <c r="B31" s="122">
        <v>627057493</v>
      </c>
      <c r="C31" s="122">
        <v>7925309.9809722221</v>
      </c>
      <c r="D31" s="122">
        <v>25356006.390138891</v>
      </c>
      <c r="E31" s="122">
        <v>0</v>
      </c>
      <c r="F31" s="122">
        <v>0</v>
      </c>
      <c r="G31" s="122">
        <v>7925309.9809722221</v>
      </c>
      <c r="H31" s="122">
        <v>627057493</v>
      </c>
      <c r="J31" s="111"/>
      <c r="K31" s="95"/>
      <c r="L31" s="96"/>
      <c r="M31" s="97"/>
    </row>
    <row r="32" spans="1:13" x14ac:dyDescent="0.2">
      <c r="A32" s="94">
        <v>45365</v>
      </c>
      <c r="B32" s="122">
        <v>627057493</v>
      </c>
      <c r="C32" s="122">
        <v>7925309.9809722221</v>
      </c>
      <c r="D32" s="122">
        <v>33281316.371111114</v>
      </c>
      <c r="E32" s="122">
        <v>18842220.383179542</v>
      </c>
      <c r="F32" s="122">
        <v>18842220.383179542</v>
      </c>
      <c r="G32" s="122">
        <v>26767530.364151765</v>
      </c>
      <c r="H32" s="122">
        <v>608215272.61682045</v>
      </c>
      <c r="J32" s="111"/>
      <c r="K32" s="95"/>
      <c r="L32" s="96"/>
      <c r="M32" s="97"/>
    </row>
    <row r="33" spans="1:13" x14ac:dyDescent="0.2">
      <c r="A33" s="94">
        <v>45456</v>
      </c>
      <c r="B33" s="122">
        <v>608215272.61682045</v>
      </c>
      <c r="C33" s="122">
        <v>7687165.2511292594</v>
      </c>
      <c r="D33" s="122">
        <v>40968481.622240372</v>
      </c>
      <c r="E33" s="122">
        <v>19077748.137969282</v>
      </c>
      <c r="F33" s="122">
        <v>37919968.521148823</v>
      </c>
      <c r="G33" s="122">
        <v>26764913.38909854</v>
      </c>
      <c r="H33" s="122">
        <v>589137524.4788512</v>
      </c>
      <c r="J33" s="111"/>
      <c r="K33" s="95"/>
      <c r="L33" s="96"/>
      <c r="M33" s="97"/>
    </row>
    <row r="34" spans="1:13" x14ac:dyDescent="0.2">
      <c r="A34" s="94">
        <v>45550</v>
      </c>
      <c r="B34" s="122">
        <v>589137524.4788512</v>
      </c>
      <c r="C34" s="122">
        <v>7691517.680696114</v>
      </c>
      <c r="D34" s="122">
        <v>48659999.302936487</v>
      </c>
      <c r="E34" s="122">
        <v>19316219.989693902</v>
      </c>
      <c r="F34" s="122">
        <v>57236188.510842726</v>
      </c>
      <c r="G34" s="122">
        <v>27007737.670390017</v>
      </c>
      <c r="H34" s="122">
        <v>569821304.48915732</v>
      </c>
      <c r="J34" s="111"/>
      <c r="K34" s="95"/>
      <c r="L34" s="96"/>
      <c r="M34" s="97"/>
    </row>
    <row r="35" spans="1:13" x14ac:dyDescent="0.2">
      <c r="A35" s="94">
        <v>45641</v>
      </c>
      <c r="B35" s="122">
        <v>569821304.48915732</v>
      </c>
      <c r="C35" s="122">
        <v>7201908.1539601833</v>
      </c>
      <c r="D35" s="122">
        <v>55861907.45689667</v>
      </c>
      <c r="E35" s="122">
        <v>19557672.739565074</v>
      </c>
      <c r="F35" s="122">
        <v>76793861.2504078</v>
      </c>
      <c r="G35" s="122">
        <v>26759580.893525258</v>
      </c>
      <c r="H35" s="122">
        <v>550263631.7495923</v>
      </c>
      <c r="J35" s="111"/>
      <c r="K35" s="95"/>
      <c r="L35" s="96"/>
      <c r="M35" s="97"/>
    </row>
    <row r="36" spans="1:13" x14ac:dyDescent="0.2">
      <c r="A36" s="94">
        <v>45729</v>
      </c>
      <c r="B36" s="122">
        <v>550263631.7495923</v>
      </c>
      <c r="C36" s="122">
        <v>6725444.3880505729</v>
      </c>
      <c r="D36" s="122">
        <v>62587351.844947241</v>
      </c>
      <c r="E36" s="122">
        <v>19802143.648809638</v>
      </c>
      <c r="F36" s="122">
        <v>96596004.899217442</v>
      </c>
      <c r="G36" s="122">
        <v>26527588.036860213</v>
      </c>
      <c r="H36" s="122">
        <v>530461488.10078269</v>
      </c>
      <c r="J36" s="111"/>
      <c r="K36" s="95"/>
      <c r="L36" s="96"/>
      <c r="M36" s="97"/>
    </row>
    <row r="37" spans="1:13" x14ac:dyDescent="0.2">
      <c r="A37" s="94">
        <v>45823</v>
      </c>
      <c r="B37" s="122">
        <v>530461488.10078269</v>
      </c>
      <c r="C37" s="122">
        <v>6925469.4279824402</v>
      </c>
      <c r="D37" s="122">
        <v>69512821.272929683</v>
      </c>
      <c r="E37" s="122">
        <v>20049670.444419757</v>
      </c>
      <c r="F37" s="122">
        <v>116645675.3436372</v>
      </c>
      <c r="G37" s="122">
        <v>26975139.872402199</v>
      </c>
      <c r="H37" s="122">
        <v>510411817.65636295</v>
      </c>
      <c r="J37" s="111"/>
      <c r="K37" s="95"/>
      <c r="L37" s="96"/>
      <c r="M37" s="97"/>
    </row>
    <row r="38" spans="1:13" x14ac:dyDescent="0.2">
      <c r="A38" s="94">
        <v>45915</v>
      </c>
      <c r="B38" s="122">
        <v>510411817.65636295</v>
      </c>
      <c r="C38" s="122">
        <v>6521928.7811646378</v>
      </c>
      <c r="D38" s="122">
        <v>76034750.054094315</v>
      </c>
      <c r="E38" s="122">
        <v>20300291.324975006</v>
      </c>
      <c r="F38" s="122">
        <v>136945966.66861221</v>
      </c>
      <c r="G38" s="122">
        <v>26822220.106139645</v>
      </c>
      <c r="H38" s="122">
        <v>490111526.33138794</v>
      </c>
      <c r="J38" s="111"/>
      <c r="K38" s="95"/>
      <c r="L38" s="112"/>
      <c r="M38" s="97"/>
    </row>
    <row r="39" spans="1:13" x14ac:dyDescent="0.2">
      <c r="A39" s="94">
        <v>46006</v>
      </c>
      <c r="B39" s="122">
        <v>490111526.33138794</v>
      </c>
      <c r="C39" s="122">
        <v>6194465.1244661529</v>
      </c>
      <c r="D39" s="122">
        <v>82229215.178560466</v>
      </c>
      <c r="E39" s="122">
        <v>20554044.966537192</v>
      </c>
      <c r="F39" s="122">
        <v>157500011.63514942</v>
      </c>
      <c r="G39" s="122">
        <v>26748510.091003343</v>
      </c>
      <c r="H39" s="122">
        <v>469557481.36485076</v>
      </c>
      <c r="J39" s="111"/>
      <c r="K39" s="95"/>
      <c r="L39" s="112"/>
      <c r="M39" s="97"/>
    </row>
    <row r="40" spans="1:13" x14ac:dyDescent="0.2">
      <c r="A40" s="94">
        <v>46096</v>
      </c>
      <c r="B40" s="122">
        <v>469557481.36485076</v>
      </c>
      <c r="C40" s="122">
        <v>5869468.5170606347</v>
      </c>
      <c r="D40" s="122">
        <v>88098683.695621103</v>
      </c>
      <c r="E40" s="122">
        <v>20810970.528618909</v>
      </c>
      <c r="F40" s="122">
        <v>178310982.16376832</v>
      </c>
      <c r="G40" s="122">
        <v>26680439.045679543</v>
      </c>
      <c r="H40" s="122">
        <v>448746510.83623183</v>
      </c>
      <c r="J40" s="111"/>
      <c r="K40" s="95"/>
      <c r="L40" s="112"/>
      <c r="M40" s="97"/>
    </row>
    <row r="41" spans="1:13" x14ac:dyDescent="0.2">
      <c r="A41" s="94">
        <v>46188</v>
      </c>
      <c r="B41" s="122">
        <v>448746510.83623183</v>
      </c>
      <c r="C41" s="122">
        <v>5733983.1940185176</v>
      </c>
      <c r="D41" s="122">
        <v>93832666.889639616</v>
      </c>
      <c r="E41" s="122">
        <v>21071107.660226643</v>
      </c>
      <c r="F41" s="122">
        <v>199382089.82399496</v>
      </c>
      <c r="G41" s="122">
        <v>26805090.85424516</v>
      </c>
      <c r="H41" s="122">
        <v>427675403.17600518</v>
      </c>
      <c r="J41" s="111"/>
      <c r="K41" s="95"/>
      <c r="L41" s="112"/>
      <c r="M41" s="97"/>
    </row>
    <row r="42" spans="1:13" x14ac:dyDescent="0.2">
      <c r="A42" s="94">
        <v>46280</v>
      </c>
      <c r="B42" s="122">
        <v>427675403.17600518</v>
      </c>
      <c r="C42" s="122">
        <v>5464741.262804511</v>
      </c>
      <c r="D42" s="122">
        <v>99297408.152444124</v>
      </c>
      <c r="E42" s="122">
        <v>21334496.505979478</v>
      </c>
      <c r="F42" s="122">
        <v>220716586.32997444</v>
      </c>
      <c r="G42" s="122">
        <v>26799237.76878399</v>
      </c>
      <c r="H42" s="122">
        <v>406340906.67002571</v>
      </c>
      <c r="J42" s="111"/>
      <c r="K42" s="95"/>
      <c r="L42" s="112"/>
      <c r="M42" s="97"/>
    </row>
    <row r="43" spans="1:13" x14ac:dyDescent="0.2">
      <c r="A43" s="94">
        <v>46371</v>
      </c>
      <c r="B43" s="122">
        <v>406340906.67002571</v>
      </c>
      <c r="C43" s="122">
        <v>5135697.5704128249</v>
      </c>
      <c r="D43" s="122">
        <v>104433105.72285695</v>
      </c>
      <c r="E43" s="122">
        <v>21601177.71230422</v>
      </c>
      <c r="F43" s="122">
        <v>242317764.04227865</v>
      </c>
      <c r="G43" s="122">
        <v>26736875.282717045</v>
      </c>
      <c r="H43" s="122">
        <v>384739728.95772147</v>
      </c>
      <c r="J43" s="111"/>
      <c r="K43" s="95"/>
      <c r="L43" s="112"/>
      <c r="M43" s="97"/>
    </row>
    <row r="44" spans="1:13" x14ac:dyDescent="0.2">
      <c r="A44" s="94">
        <v>46461</v>
      </c>
      <c r="B44" s="122">
        <v>384739728.95772147</v>
      </c>
      <c r="C44" s="122">
        <v>4809246.611971519</v>
      </c>
      <c r="D44" s="122">
        <v>109242352.33482847</v>
      </c>
      <c r="E44" s="122">
        <v>21871192.433708027</v>
      </c>
      <c r="F44" s="122">
        <v>264188956.47598666</v>
      </c>
      <c r="G44" s="122">
        <v>26680439.045679547</v>
      </c>
      <c r="H44" s="122">
        <v>362868536.52401346</v>
      </c>
      <c r="J44" s="111"/>
      <c r="K44" s="95"/>
      <c r="L44" s="112"/>
      <c r="M44" s="97"/>
    </row>
    <row r="45" spans="1:13" x14ac:dyDescent="0.2">
      <c r="A45" s="94">
        <v>46553</v>
      </c>
      <c r="B45" s="122">
        <v>362868536.52401346</v>
      </c>
      <c r="C45" s="122">
        <v>4636653.5222512837</v>
      </c>
      <c r="D45" s="122">
        <v>113879005.85707974</v>
      </c>
      <c r="E45" s="122">
        <v>22144582.339129373</v>
      </c>
      <c r="F45" s="122">
        <v>286333538.81511605</v>
      </c>
      <c r="G45" s="122">
        <v>26781235.861380659</v>
      </c>
      <c r="H45" s="122">
        <v>340723954.18488407</v>
      </c>
      <c r="J45" s="111"/>
      <c r="K45" s="95"/>
      <c r="L45" s="112"/>
      <c r="M45" s="97"/>
    </row>
    <row r="46" spans="1:13" x14ac:dyDescent="0.2">
      <c r="A46" s="94">
        <v>46645</v>
      </c>
      <c r="B46" s="122">
        <v>340723954.18488407</v>
      </c>
      <c r="C46" s="122">
        <v>4353694.9701401852</v>
      </c>
      <c r="D46" s="122">
        <v>118232700.82721993</v>
      </c>
      <c r="E46" s="122">
        <v>22421389.618368492</v>
      </c>
      <c r="F46" s="122">
        <v>308754928.43348455</v>
      </c>
      <c r="G46" s="122">
        <v>26775084.588508677</v>
      </c>
      <c r="H46" s="122">
        <v>318302564.56651556</v>
      </c>
      <c r="J46" s="111"/>
      <c r="K46" s="95"/>
      <c r="L46" s="112"/>
      <c r="M46" s="97"/>
    </row>
    <row r="47" spans="1:13" x14ac:dyDescent="0.2">
      <c r="A47" s="94">
        <v>46736</v>
      </c>
      <c r="B47" s="122">
        <v>318302564.56651556</v>
      </c>
      <c r="C47" s="122">
        <v>4022990.7466045725</v>
      </c>
      <c r="D47" s="122">
        <v>122255691.57382451</v>
      </c>
      <c r="E47" s="122">
        <v>22701656.988598093</v>
      </c>
      <c r="F47" s="122">
        <v>331456585.42208266</v>
      </c>
      <c r="G47" s="122">
        <v>26724647.735202666</v>
      </c>
      <c r="H47" s="122">
        <v>295600907.57791746</v>
      </c>
      <c r="J47" s="111"/>
      <c r="K47" s="95"/>
      <c r="L47" s="112"/>
      <c r="M47" s="97"/>
    </row>
    <row r="48" spans="1:13" x14ac:dyDescent="0.2">
      <c r="A48" s="94">
        <v>46827</v>
      </c>
      <c r="B48" s="122">
        <v>295600907.57791746</v>
      </c>
      <c r="C48" s="122">
        <v>3736067.0263320128</v>
      </c>
      <c r="D48" s="122">
        <v>125991758.60015652</v>
      </c>
      <c r="E48" s="122">
        <v>22985427.70095557</v>
      </c>
      <c r="F48" s="122">
        <v>354442013.12303823</v>
      </c>
      <c r="G48" s="122">
        <v>26721494.727287583</v>
      </c>
      <c r="H48" s="122">
        <v>272615479.87696189</v>
      </c>
      <c r="J48" s="111"/>
      <c r="K48" s="95"/>
      <c r="L48" s="112"/>
      <c r="M48" s="97"/>
    </row>
    <row r="49" spans="1:13" x14ac:dyDescent="0.2">
      <c r="A49" s="94">
        <v>46919</v>
      </c>
      <c r="B49" s="122">
        <v>272615479.87696189</v>
      </c>
      <c r="C49" s="122">
        <v>3483420.0206500683</v>
      </c>
      <c r="D49" s="122">
        <v>129475178.62080659</v>
      </c>
      <c r="E49" s="122">
        <v>23272745.547217518</v>
      </c>
      <c r="F49" s="122">
        <v>377714758.67025578</v>
      </c>
      <c r="G49" s="122">
        <v>26756165.567867585</v>
      </c>
      <c r="H49" s="122">
        <v>249342734.32974437</v>
      </c>
      <c r="J49" s="111"/>
      <c r="K49" s="95"/>
      <c r="L49" s="112"/>
      <c r="M49" s="97"/>
    </row>
    <row r="50" spans="1:13" x14ac:dyDescent="0.2">
      <c r="A50" s="94">
        <v>47011</v>
      </c>
      <c r="B50" s="122">
        <v>249342734.32974437</v>
      </c>
      <c r="C50" s="122">
        <v>3186046.0497689559</v>
      </c>
      <c r="D50" s="122">
        <v>132661224.67057554</v>
      </c>
      <c r="E50" s="122">
        <v>23563654.866557736</v>
      </c>
      <c r="F50" s="122">
        <v>401278413.5368135</v>
      </c>
      <c r="G50" s="122">
        <v>26749700.91632669</v>
      </c>
      <c r="H50" s="122">
        <v>225779079.46318662</v>
      </c>
      <c r="J50" s="111"/>
      <c r="K50" s="95"/>
      <c r="L50" s="112"/>
      <c r="M50" s="97"/>
    </row>
    <row r="51" spans="1:13" x14ac:dyDescent="0.2">
      <c r="A51" s="94">
        <v>47102</v>
      </c>
      <c r="B51" s="122">
        <v>225779079.46318662</v>
      </c>
      <c r="C51" s="122">
        <v>2853596.6987708309</v>
      </c>
      <c r="D51" s="122">
        <v>135514821.36934638</v>
      </c>
      <c r="E51" s="122">
        <v>23858200.552389711</v>
      </c>
      <c r="F51" s="122">
        <v>425136614.08920324</v>
      </c>
      <c r="G51" s="122">
        <v>26711797.251160543</v>
      </c>
      <c r="H51" s="122">
        <v>201920878.91079691</v>
      </c>
      <c r="J51" s="111"/>
      <c r="K51" s="95"/>
      <c r="L51" s="112"/>
      <c r="M51" s="97"/>
    </row>
    <row r="52" spans="1:13" x14ac:dyDescent="0.2">
      <c r="A52" s="94">
        <v>47192</v>
      </c>
      <c r="B52" s="122">
        <v>201920878.91079691</v>
      </c>
      <c r="C52" s="122">
        <v>2524010.9863849613</v>
      </c>
      <c r="D52" s="122">
        <v>138038832.35573134</v>
      </c>
      <c r="E52" s="122">
        <v>24156428.059294581</v>
      </c>
      <c r="F52" s="122">
        <v>449293042.14849782</v>
      </c>
      <c r="G52" s="122">
        <v>26680439.045679543</v>
      </c>
      <c r="H52" s="122">
        <v>177764450.85150233</v>
      </c>
      <c r="J52" s="111"/>
      <c r="K52" s="95"/>
      <c r="L52" s="112"/>
      <c r="M52" s="97"/>
    </row>
    <row r="53" spans="1:13" x14ac:dyDescent="0.2">
      <c r="A53" s="94">
        <v>47284</v>
      </c>
      <c r="B53" s="122">
        <v>177764450.85150233</v>
      </c>
      <c r="C53" s="122">
        <v>2271434.6497691968</v>
      </c>
      <c r="D53" s="122">
        <v>140310267.00550053</v>
      </c>
      <c r="E53" s="122">
        <v>24458383.410035759</v>
      </c>
      <c r="F53" s="122">
        <v>473751425.55853355</v>
      </c>
      <c r="G53" s="122">
        <v>26729818.059804957</v>
      </c>
      <c r="H53" s="122">
        <v>153306067.44146657</v>
      </c>
      <c r="J53" s="111"/>
      <c r="K53" s="95"/>
      <c r="L53" s="112"/>
      <c r="M53" s="97"/>
    </row>
    <row r="54" spans="1:13" x14ac:dyDescent="0.2">
      <c r="A54" s="94">
        <v>47376</v>
      </c>
      <c r="B54" s="122">
        <v>153306067.44146657</v>
      </c>
      <c r="C54" s="122">
        <v>1958910.861752073</v>
      </c>
      <c r="D54" s="122">
        <v>142269177.86725259</v>
      </c>
      <c r="E54" s="122">
        <v>24764113.202661209</v>
      </c>
      <c r="F54" s="122">
        <v>498515538.76119477</v>
      </c>
      <c r="G54" s="122">
        <v>26723024.064413283</v>
      </c>
      <c r="H54" s="122">
        <v>128541954.23880535</v>
      </c>
      <c r="J54" s="111"/>
      <c r="K54" s="95"/>
      <c r="L54" s="112"/>
      <c r="M54" s="97"/>
    </row>
    <row r="55" spans="1:13" x14ac:dyDescent="0.2">
      <c r="A55" s="94">
        <v>47467</v>
      </c>
      <c r="B55" s="122">
        <v>128541954.23880535</v>
      </c>
      <c r="C55" s="122">
        <v>1624627.477184901</v>
      </c>
      <c r="D55" s="122">
        <v>143893805.34443748</v>
      </c>
      <c r="E55" s="122">
        <v>25073664.617694471</v>
      </c>
      <c r="F55" s="122">
        <v>523589203.37888926</v>
      </c>
      <c r="G55" s="122">
        <v>26698292.094879374</v>
      </c>
      <c r="H55" s="122">
        <v>103468289.62111089</v>
      </c>
      <c r="J55" s="111"/>
      <c r="K55" s="95"/>
      <c r="L55" s="112"/>
      <c r="M55" s="97"/>
    </row>
    <row r="56" spans="1:13" x14ac:dyDescent="0.2">
      <c r="A56" s="94">
        <v>47557</v>
      </c>
      <c r="B56" s="122">
        <v>103468289.62111089</v>
      </c>
      <c r="C56" s="122">
        <v>1293353.6202638862</v>
      </c>
      <c r="D56" s="122">
        <v>145187158.96470135</v>
      </c>
      <c r="E56" s="122">
        <v>25387085.425415654</v>
      </c>
      <c r="F56" s="122">
        <v>548976288.80430496</v>
      </c>
      <c r="G56" s="122">
        <v>26680439.045679539</v>
      </c>
      <c r="H56" s="122">
        <v>78081204.195695236</v>
      </c>
      <c r="J56" s="111"/>
      <c r="K56" s="95"/>
      <c r="L56" s="112"/>
      <c r="M56" s="97"/>
    </row>
    <row r="57" spans="1:13" x14ac:dyDescent="0.2">
      <c r="A57" s="94">
        <v>47649</v>
      </c>
      <c r="B57" s="122">
        <v>78081204.195695236</v>
      </c>
      <c r="C57" s="122">
        <v>997704.27583388356</v>
      </c>
      <c r="D57" s="122">
        <v>146184863.24053523</v>
      </c>
      <c r="E57" s="122">
        <v>25704423.993233353</v>
      </c>
      <c r="F57" s="122">
        <v>574680712.79753828</v>
      </c>
      <c r="G57" s="122">
        <v>26702128.269067235</v>
      </c>
      <c r="H57" s="122">
        <v>52376780.202461883</v>
      </c>
      <c r="J57" s="111"/>
      <c r="K57" s="95"/>
      <c r="L57" s="112"/>
      <c r="M57" s="97"/>
    </row>
    <row r="58" spans="1:13" x14ac:dyDescent="0.2">
      <c r="A58" s="94">
        <v>47741</v>
      </c>
      <c r="B58" s="122">
        <v>52376780.202461883</v>
      </c>
      <c r="C58" s="122">
        <v>669258.85814256861</v>
      </c>
      <c r="D58" s="122">
        <v>146854122.09867778</v>
      </c>
      <c r="E58" s="122">
        <v>26025729.293148771</v>
      </c>
      <c r="F58" s="122">
        <v>600706442.09068704</v>
      </c>
      <c r="G58" s="122">
        <v>26694988.151291341</v>
      </c>
      <c r="H58" s="122">
        <v>26351050.909313112</v>
      </c>
      <c r="J58" s="111"/>
      <c r="K58" s="95"/>
      <c r="L58" s="112"/>
      <c r="M58" s="97"/>
    </row>
    <row r="59" spans="1:13" x14ac:dyDescent="0.2">
      <c r="A59" s="94">
        <v>47832</v>
      </c>
      <c r="B59" s="122">
        <v>26351050.909313112</v>
      </c>
      <c r="C59" s="122">
        <v>333048.00454826298</v>
      </c>
      <c r="D59" s="122">
        <v>147187170.10322604</v>
      </c>
      <c r="E59" s="122">
        <v>26351050.909313127</v>
      </c>
      <c r="F59" s="122">
        <v>627057493.00000012</v>
      </c>
      <c r="G59" s="122">
        <v>26684098.91386139</v>
      </c>
      <c r="H59" s="122">
        <v>0</v>
      </c>
      <c r="J59" s="111"/>
      <c r="K59" s="95"/>
      <c r="L59" s="112"/>
      <c r="M59" s="97"/>
    </row>
    <row r="60" spans="1:13" x14ac:dyDescent="0.2">
      <c r="A60" s="123"/>
      <c r="B60" s="123"/>
      <c r="C60" s="123"/>
      <c r="D60" s="123"/>
      <c r="E60" s="123"/>
      <c r="F60" s="123"/>
      <c r="G60" s="123"/>
      <c r="H60" s="12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Disbursement</vt:lpstr>
      <vt:lpstr>Summary</vt:lpstr>
      <vt:lpstr>EKCL_BDT_Loan</vt:lpstr>
      <vt:lpstr>Accrual_EKCL</vt:lpstr>
      <vt:lpstr>Repayment Schedule</vt:lpstr>
      <vt:lpstr>EKCL_BDT_Loan!Print_Area</vt:lpstr>
    </vt:vector>
  </TitlesOfParts>
  <Company>IDCOL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Hossain Bhuiyan</dc:creator>
  <cp:lastModifiedBy>Shafiul Azam Shuvo</cp:lastModifiedBy>
  <cp:lastPrinted>2006-10-19T06:35:57Z</cp:lastPrinted>
  <dcterms:created xsi:type="dcterms:W3CDTF">2004-09-21T04:29:34Z</dcterms:created>
  <dcterms:modified xsi:type="dcterms:W3CDTF">2025-11-30T06:19:12Z</dcterms:modified>
</cp:coreProperties>
</file>