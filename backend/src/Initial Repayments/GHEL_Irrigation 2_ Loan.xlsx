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OTHER RE LOANS\Irrigation\"/>
    </mc:Choice>
  </mc:AlternateContent>
  <bookViews>
    <workbookView xWindow="240" yWindow="75" windowWidth="8460" windowHeight="6030" tabRatio="745" activeTab="1"/>
  </bookViews>
  <sheets>
    <sheet name="Disbursement" sheetId="4" r:id="rId1"/>
    <sheet name="Summary" sheetId="5" r:id="rId2"/>
    <sheet name="GHEL_Loan" sheetId="2" r:id="rId3"/>
    <sheet name="Accrual_GHEL" sheetId="3" r:id="rId4"/>
    <sheet name="Repayment Schedule" sheetId="6" r:id="rId5"/>
  </sheets>
  <definedNames>
    <definedName name="_xlnm.Print_Area" localSheetId="2">GHEL_Loan!$A$1:$K$34</definedName>
  </definedNames>
  <calcPr calcId="152511"/>
</workbook>
</file>

<file path=xl/calcChain.xml><?xml version="1.0" encoding="utf-8"?>
<calcChain xmlns="http://schemas.openxmlformats.org/spreadsheetml/2006/main">
  <c r="BB44" i="5" l="1"/>
  <c r="BC44" i="5" s="1"/>
  <c r="BE44" i="5" s="1"/>
  <c r="BC43" i="5"/>
  <c r="BE43" i="5" s="1"/>
  <c r="BB43" i="5"/>
  <c r="BB42" i="5"/>
  <c r="BC42" i="5" s="1"/>
  <c r="BE42" i="5" s="1"/>
  <c r="BB41" i="5"/>
  <c r="BC41" i="5" s="1"/>
  <c r="BE41" i="5" s="1"/>
  <c r="BB40" i="5"/>
  <c r="BC40" i="5" s="1"/>
  <c r="BE40" i="5" s="1"/>
  <c r="BC39" i="5"/>
  <c r="BB39" i="5"/>
  <c r="BE39" i="5" l="1"/>
  <c r="BE45" i="5" s="1"/>
  <c r="M37" i="2" l="1"/>
  <c r="N37" i="2"/>
  <c r="L37" i="2"/>
  <c r="K37" i="2"/>
  <c r="J37" i="2"/>
  <c r="I37" i="2"/>
  <c r="H37" i="2"/>
  <c r="G37" i="2"/>
  <c r="F37" i="2"/>
  <c r="E37" i="2"/>
  <c r="X21" i="5" l="1"/>
  <c r="R21" i="5" l="1"/>
  <c r="C36" i="2" l="1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B36" i="2"/>
  <c r="D19" i="3" l="1"/>
  <c r="D18" i="3"/>
  <c r="D17" i="3"/>
  <c r="G30" i="2" l="1"/>
  <c r="E21" i="2"/>
  <c r="E20" i="2"/>
  <c r="E19" i="2"/>
  <c r="D10" i="4"/>
  <c r="O25" i="5" l="1"/>
  <c r="J9" i="4" l="1"/>
  <c r="J8" i="4"/>
  <c r="D20" i="6" l="1"/>
  <c r="D19" i="6"/>
  <c r="D18" i="6"/>
  <c r="B25" i="3"/>
  <c r="B24" i="3"/>
  <c r="C19" i="3"/>
  <c r="C18" i="3"/>
  <c r="C17" i="3"/>
  <c r="C28" i="2"/>
  <c r="E30" i="2"/>
  <c r="C16" i="2"/>
  <c r="F14" i="2"/>
  <c r="B27" i="2"/>
  <c r="D21" i="2"/>
  <c r="D20" i="2"/>
  <c r="D19" i="2"/>
  <c r="D9" i="4"/>
  <c r="C21" i="5" l="1"/>
  <c r="D21" i="5"/>
  <c r="E21" i="5"/>
  <c r="F21" i="5"/>
  <c r="I21" i="5"/>
  <c r="B21" i="5"/>
  <c r="A3" i="6" l="1"/>
  <c r="B31" i="2" l="1"/>
  <c r="C31" i="2" s="1"/>
  <c r="C19" i="2" l="1"/>
  <c r="C8" i="2"/>
  <c r="C18" i="6" l="1"/>
  <c r="B12" i="3"/>
  <c r="C20" i="2" l="1"/>
  <c r="C23" i="3"/>
  <c r="D23" i="3" s="1"/>
  <c r="E23" i="3" s="1"/>
  <c r="F23" i="3" s="1"/>
  <c r="C19" i="6" l="1"/>
  <c r="B33" i="2"/>
  <c r="G23" i="3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l="1"/>
  <c r="R1" i="5"/>
  <c r="R19" i="5" s="1"/>
  <c r="B22" i="5"/>
  <c r="C22" i="5" s="1"/>
  <c r="B28" i="5"/>
  <c r="T23" i="3" l="1"/>
  <c r="S1" i="5"/>
  <c r="S19" i="5" s="1"/>
  <c r="C1" i="2"/>
  <c r="B28" i="3"/>
  <c r="B4" i="5" s="1"/>
  <c r="U23" i="3" l="1"/>
  <c r="T1" i="5"/>
  <c r="T19" i="5" s="1"/>
  <c r="B11" i="3"/>
  <c r="V23" i="3" l="1"/>
  <c r="U1" i="5"/>
  <c r="U19" i="5" s="1"/>
  <c r="DM35" i="5"/>
  <c r="DN35" i="5"/>
  <c r="DO35" i="5"/>
  <c r="W23" i="3" l="1"/>
  <c r="V1" i="5"/>
  <c r="V19" i="5" s="1"/>
  <c r="X23" i="3" l="1"/>
  <c r="W1" i="5"/>
  <c r="W19" i="5" s="1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C15" i="6"/>
  <c r="C14" i="6"/>
  <c r="C13" i="6"/>
  <c r="C12" i="6"/>
  <c r="C11" i="6"/>
  <c r="C7" i="6"/>
  <c r="C1" i="6"/>
  <c r="C5" i="6"/>
  <c r="C20" i="6"/>
  <c r="Y23" i="3" l="1"/>
  <c r="X1" i="5"/>
  <c r="X19" i="5" s="1"/>
  <c r="B1" i="5"/>
  <c r="B19" i="5" s="1"/>
  <c r="C1" i="5"/>
  <c r="C19" i="5" s="1"/>
  <c r="D1" i="5"/>
  <c r="D19" i="5" s="1"/>
  <c r="E1" i="5"/>
  <c r="E19" i="5" s="1"/>
  <c r="F1" i="5"/>
  <c r="F19" i="5" s="1"/>
  <c r="G1" i="5"/>
  <c r="G19" i="5" s="1"/>
  <c r="H1" i="5"/>
  <c r="H19" i="5" s="1"/>
  <c r="I1" i="5"/>
  <c r="I19" i="5" s="1"/>
  <c r="J1" i="5"/>
  <c r="J19" i="5" s="1"/>
  <c r="K1" i="5"/>
  <c r="K19" i="5" s="1"/>
  <c r="L1" i="5"/>
  <c r="L19" i="5" s="1"/>
  <c r="M1" i="5"/>
  <c r="M19" i="5" s="1"/>
  <c r="N1" i="5"/>
  <c r="N19" i="5" s="1"/>
  <c r="O1" i="5"/>
  <c r="O19" i="5" s="1"/>
  <c r="P1" i="5"/>
  <c r="P19" i="5" s="1"/>
  <c r="Q1" i="5"/>
  <c r="Q19" i="5" s="1"/>
  <c r="D35" i="5"/>
  <c r="B17" i="3"/>
  <c r="B18" i="3"/>
  <c r="B30" i="3" l="1"/>
  <c r="C25" i="3" s="1"/>
  <c r="Z23" i="3"/>
  <c r="Y1" i="5"/>
  <c r="Y19" i="5" s="1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C35" i="5"/>
  <c r="B35" i="5"/>
  <c r="B19" i="3"/>
  <c r="B1" i="3"/>
  <c r="B7" i="3"/>
  <c r="B9" i="3"/>
  <c r="C9" i="6" s="1"/>
  <c r="D31" i="2"/>
  <c r="C21" i="2"/>
  <c r="B14" i="3"/>
  <c r="B5" i="3"/>
  <c r="D8" i="4"/>
  <c r="B29" i="2" l="1"/>
  <c r="AA23" i="3"/>
  <c r="Z1" i="5"/>
  <c r="Z19" i="5" s="1"/>
  <c r="D10" i="5" l="1"/>
  <c r="E10" i="5" s="1"/>
  <c r="B32" i="2"/>
  <c r="AB23" i="3"/>
  <c r="AA1" i="5"/>
  <c r="AA19" i="5" s="1"/>
  <c r="C27" i="2"/>
  <c r="B14" i="5"/>
  <c r="C28" i="5"/>
  <c r="B5" i="5"/>
  <c r="C28" i="3"/>
  <c r="C29" i="2" l="1"/>
  <c r="C33" i="2"/>
  <c r="D28" i="2" s="1"/>
  <c r="AC23" i="3"/>
  <c r="AB1" i="5"/>
  <c r="AB19" i="5" s="1"/>
  <c r="B26" i="3"/>
  <c r="B26" i="5"/>
  <c r="B11" i="5" s="1"/>
  <c r="C25" i="5" s="1"/>
  <c r="B6" i="5"/>
  <c r="C14" i="5"/>
  <c r="D28" i="5"/>
  <c r="D28" i="3"/>
  <c r="C4" i="5"/>
  <c r="F10" i="5" l="1"/>
  <c r="G10" i="5" s="1"/>
  <c r="H10" i="5" s="1"/>
  <c r="AD23" i="3"/>
  <c r="AC1" i="5"/>
  <c r="AC19" i="5" s="1"/>
  <c r="D27" i="2"/>
  <c r="C32" i="2"/>
  <c r="E28" i="5"/>
  <c r="D14" i="5"/>
  <c r="B12" i="5"/>
  <c r="B3" i="5"/>
  <c r="B7" i="5" s="1"/>
  <c r="B29" i="3"/>
  <c r="C24" i="3"/>
  <c r="C30" i="3" s="1"/>
  <c r="D4" i="5"/>
  <c r="E28" i="3"/>
  <c r="C5" i="5"/>
  <c r="D22" i="5"/>
  <c r="C37" i="2" l="1"/>
  <c r="D37" i="2"/>
  <c r="C3" i="5"/>
  <c r="C7" i="5" s="1"/>
  <c r="D32" i="2"/>
  <c r="D33" i="2"/>
  <c r="E28" i="2" s="1"/>
  <c r="AE23" i="3"/>
  <c r="AD1" i="5"/>
  <c r="AD19" i="5" s="1"/>
  <c r="C29" i="3"/>
  <c r="E14" i="5"/>
  <c r="F28" i="5"/>
  <c r="C26" i="5"/>
  <c r="C11" i="5" s="1"/>
  <c r="D25" i="5" s="1"/>
  <c r="B9" i="5"/>
  <c r="B13" i="5" s="1"/>
  <c r="D25" i="3"/>
  <c r="D29" i="3" s="1"/>
  <c r="C6" i="5"/>
  <c r="D5" i="5"/>
  <c r="E22" i="5"/>
  <c r="F28" i="3"/>
  <c r="E4" i="5"/>
  <c r="D29" i="2" l="1"/>
  <c r="I10" i="5" s="1"/>
  <c r="J10" i="5" s="1"/>
  <c r="K10" i="5" s="1"/>
  <c r="AF23" i="3"/>
  <c r="AE1" i="5"/>
  <c r="AE19" i="5" s="1"/>
  <c r="E27" i="2"/>
  <c r="L27" i="3" s="1"/>
  <c r="G28" i="5"/>
  <c r="F14" i="5"/>
  <c r="C12" i="5"/>
  <c r="D26" i="5"/>
  <c r="D24" i="3"/>
  <c r="D30" i="3" s="1"/>
  <c r="C26" i="3"/>
  <c r="C9" i="5" s="1"/>
  <c r="C13" i="5" s="1"/>
  <c r="G28" i="3"/>
  <c r="F4" i="5"/>
  <c r="F22" i="5"/>
  <c r="E5" i="5"/>
  <c r="D6" i="5"/>
  <c r="E29" i="2" l="1"/>
  <c r="L10" i="5" s="1"/>
  <c r="M10" i="5" s="1"/>
  <c r="N10" i="5" s="1"/>
  <c r="F30" i="2"/>
  <c r="O27" i="3" s="1"/>
  <c r="R27" i="3"/>
  <c r="E25" i="3"/>
  <c r="D3" i="5"/>
  <c r="D7" i="5" s="1"/>
  <c r="AG23" i="3"/>
  <c r="AF1" i="5"/>
  <c r="AF19" i="5" s="1"/>
  <c r="E31" i="2"/>
  <c r="H28" i="5"/>
  <c r="G14" i="5"/>
  <c r="D11" i="5"/>
  <c r="E25" i="5" s="1"/>
  <c r="E6" i="5"/>
  <c r="G22" i="5"/>
  <c r="F5" i="5"/>
  <c r="G4" i="5"/>
  <c r="E33" i="2" l="1"/>
  <c r="F28" i="2" s="1"/>
  <c r="E32" i="2"/>
  <c r="F31" i="2"/>
  <c r="E24" i="3"/>
  <c r="F27" i="2"/>
  <c r="AH23" i="3"/>
  <c r="AG1" i="5"/>
  <c r="AG19" i="5" s="1"/>
  <c r="H28" i="3"/>
  <c r="I28" i="3" s="1"/>
  <c r="E29" i="3"/>
  <c r="I28" i="5"/>
  <c r="H14" i="5"/>
  <c r="D12" i="5"/>
  <c r="E26" i="5"/>
  <c r="D26" i="3"/>
  <c r="F6" i="5"/>
  <c r="H22" i="5"/>
  <c r="G5" i="5"/>
  <c r="F29" i="2" l="1"/>
  <c r="O10" i="5" s="1"/>
  <c r="P10" i="5" s="1"/>
  <c r="Q10" i="5" s="1"/>
  <c r="E3" i="5"/>
  <c r="E7" i="5" s="1"/>
  <c r="E30" i="3"/>
  <c r="AI23" i="3"/>
  <c r="AH1" i="5"/>
  <c r="AH19" i="5" s="1"/>
  <c r="H4" i="5"/>
  <c r="I14" i="5"/>
  <c r="J28" i="5"/>
  <c r="E11" i="5"/>
  <c r="E26" i="3"/>
  <c r="D9" i="5"/>
  <c r="D13" i="5" s="1"/>
  <c r="I4" i="5"/>
  <c r="J28" i="3"/>
  <c r="H5" i="5"/>
  <c r="I22" i="5"/>
  <c r="G6" i="5"/>
  <c r="F25" i="3" l="1"/>
  <c r="F29" i="3" s="1"/>
  <c r="F24" i="3"/>
  <c r="E12" i="5"/>
  <c r="F26" i="5"/>
  <c r="F11" i="5" s="1"/>
  <c r="AJ23" i="3"/>
  <c r="AI1" i="5"/>
  <c r="AI19" i="5" s="1"/>
  <c r="K28" i="5"/>
  <c r="J14" i="5"/>
  <c r="F26" i="3"/>
  <c r="E9" i="5"/>
  <c r="E13" i="5" s="1"/>
  <c r="H6" i="5"/>
  <c r="I5" i="5"/>
  <c r="J22" i="5"/>
  <c r="J4" i="5"/>
  <c r="F30" i="3" l="1"/>
  <c r="F3" i="5"/>
  <c r="F7" i="5" s="1"/>
  <c r="AK23" i="3"/>
  <c r="AJ1" i="5"/>
  <c r="AJ19" i="5" s="1"/>
  <c r="L28" i="5"/>
  <c r="K14" i="5"/>
  <c r="G26" i="5"/>
  <c r="G11" i="5" s="1"/>
  <c r="F12" i="5"/>
  <c r="F9" i="5"/>
  <c r="F13" i="5" s="1"/>
  <c r="I6" i="5"/>
  <c r="J5" i="5"/>
  <c r="G25" i="3" l="1"/>
  <c r="G29" i="3" s="1"/>
  <c r="G24" i="3"/>
  <c r="AL23" i="3"/>
  <c r="AK1" i="5"/>
  <c r="AK19" i="5" s="1"/>
  <c r="M28" i="5"/>
  <c r="L14" i="5"/>
  <c r="H26" i="5"/>
  <c r="G12" i="5"/>
  <c r="J6" i="5"/>
  <c r="G26" i="3" l="1"/>
  <c r="G9" i="5" s="1"/>
  <c r="G13" i="5" s="1"/>
  <c r="G30" i="3"/>
  <c r="H24" i="3" s="1"/>
  <c r="G3" i="5"/>
  <c r="G7" i="5" s="1"/>
  <c r="AM23" i="3"/>
  <c r="AL1" i="5"/>
  <c r="AL19" i="5" s="1"/>
  <c r="M14" i="5"/>
  <c r="N28" i="5"/>
  <c r="H11" i="5"/>
  <c r="H30" i="3" l="1"/>
  <c r="H3" i="5"/>
  <c r="H7" i="5" s="1"/>
  <c r="H25" i="3"/>
  <c r="H12" i="5"/>
  <c r="I26" i="5"/>
  <c r="I11" i="5" s="1"/>
  <c r="AN23" i="3"/>
  <c r="AM1" i="5"/>
  <c r="AM19" i="5" s="1"/>
  <c r="N14" i="5"/>
  <c r="O28" i="5"/>
  <c r="I12" i="5" l="1"/>
  <c r="J26" i="5"/>
  <c r="J11" i="5" s="1"/>
  <c r="H29" i="3"/>
  <c r="H26" i="3"/>
  <c r="I25" i="3"/>
  <c r="I29" i="3" s="1"/>
  <c r="I24" i="3"/>
  <c r="AO23" i="3"/>
  <c r="AN1" i="5"/>
  <c r="AN19" i="5" s="1"/>
  <c r="K22" i="5"/>
  <c r="K28" i="3"/>
  <c r="O14" i="5"/>
  <c r="P28" i="5"/>
  <c r="I26" i="3" l="1"/>
  <c r="H9" i="5"/>
  <c r="H13" i="5" s="1"/>
  <c r="I3" i="5"/>
  <c r="I7" i="5" s="1"/>
  <c r="I30" i="3"/>
  <c r="AP23" i="3"/>
  <c r="AO1" i="5"/>
  <c r="AO19" i="5" s="1"/>
  <c r="L22" i="5"/>
  <c r="K5" i="5"/>
  <c r="L28" i="3"/>
  <c r="K4" i="5"/>
  <c r="Q28" i="5"/>
  <c r="R28" i="5" s="1"/>
  <c r="P14" i="5"/>
  <c r="J12" i="5"/>
  <c r="K26" i="5"/>
  <c r="K11" i="5" s="1"/>
  <c r="J24" i="3" l="1"/>
  <c r="J25" i="3"/>
  <c r="J29" i="3" s="1"/>
  <c r="I9" i="5"/>
  <c r="I13" i="5" s="1"/>
  <c r="K12" i="5"/>
  <c r="L26" i="5"/>
  <c r="L11" i="5" s="1"/>
  <c r="S28" i="5"/>
  <c r="R14" i="5"/>
  <c r="AQ23" i="3"/>
  <c r="AP1" i="5"/>
  <c r="AP19" i="5" s="1"/>
  <c r="K6" i="5"/>
  <c r="L5" i="5"/>
  <c r="M22" i="5"/>
  <c r="L4" i="5"/>
  <c r="M28" i="3"/>
  <c r="Q14" i="5"/>
  <c r="J26" i="3" l="1"/>
  <c r="J9" i="5" s="1"/>
  <c r="J13" i="5" s="1"/>
  <c r="J30" i="3"/>
  <c r="J3" i="5"/>
  <c r="J7" i="5" s="1"/>
  <c r="AR23" i="3"/>
  <c r="AQ1" i="5"/>
  <c r="AQ19" i="5" s="1"/>
  <c r="T28" i="5"/>
  <c r="S14" i="5"/>
  <c r="M4" i="5"/>
  <c r="N28" i="3"/>
  <c r="L6" i="5"/>
  <c r="N22" i="5"/>
  <c r="M5" i="5"/>
  <c r="M26" i="5"/>
  <c r="L12" i="5"/>
  <c r="K25" i="3" l="1"/>
  <c r="K24" i="3"/>
  <c r="U28" i="5"/>
  <c r="T14" i="5"/>
  <c r="AS23" i="3"/>
  <c r="AR1" i="5"/>
  <c r="AR19" i="5" s="1"/>
  <c r="M6" i="5"/>
  <c r="N5" i="5"/>
  <c r="N4" i="5"/>
  <c r="M11" i="5"/>
  <c r="K30" i="3" l="1"/>
  <c r="K3" i="5"/>
  <c r="K7" i="5" s="1"/>
  <c r="K29" i="3"/>
  <c r="K26" i="3"/>
  <c r="K9" i="5" s="1"/>
  <c r="K13" i="5" s="1"/>
  <c r="AT23" i="3"/>
  <c r="AS1" i="5"/>
  <c r="AS19" i="5" s="1"/>
  <c r="V28" i="5"/>
  <c r="U14" i="5"/>
  <c r="N6" i="5"/>
  <c r="M12" i="5"/>
  <c r="N26" i="5"/>
  <c r="L24" i="3" l="1"/>
  <c r="V14" i="5"/>
  <c r="W28" i="5"/>
  <c r="AU23" i="3"/>
  <c r="AT1" i="5"/>
  <c r="AT19" i="5" s="1"/>
  <c r="N11" i="5"/>
  <c r="L3" i="5" l="1"/>
  <c r="M3" i="5" s="1"/>
  <c r="N3" i="5" s="1"/>
  <c r="L30" i="3"/>
  <c r="L25" i="3" s="1"/>
  <c r="N12" i="5"/>
  <c r="O26" i="5"/>
  <c r="AV23" i="3"/>
  <c r="AU1" i="5"/>
  <c r="AU19" i="5" s="1"/>
  <c r="X28" i="5"/>
  <c r="W14" i="5"/>
  <c r="L7" i="5" l="1"/>
  <c r="L26" i="3"/>
  <c r="L9" i="5" s="1"/>
  <c r="L13" i="5" s="1"/>
  <c r="L29" i="3"/>
  <c r="M24" i="3"/>
  <c r="M30" i="3" s="1"/>
  <c r="M25" i="3"/>
  <c r="M7" i="5"/>
  <c r="O11" i="5"/>
  <c r="Y28" i="5"/>
  <c r="X14" i="5"/>
  <c r="AW23" i="3"/>
  <c r="AV1" i="5"/>
  <c r="AV19" i="5" s="1"/>
  <c r="P26" i="5" l="1"/>
  <c r="N24" i="3"/>
  <c r="N30" i="3" s="1"/>
  <c r="N25" i="3"/>
  <c r="M29" i="3"/>
  <c r="O3" i="5"/>
  <c r="P3" i="5" s="1"/>
  <c r="Q3" i="5" s="1"/>
  <c r="N7" i="5"/>
  <c r="O12" i="5"/>
  <c r="AX23" i="3"/>
  <c r="AW1" i="5"/>
  <c r="AW19" i="5" s="1"/>
  <c r="Y14" i="5"/>
  <c r="Z28" i="5"/>
  <c r="R3" i="5" l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P11" i="5"/>
  <c r="N29" i="3"/>
  <c r="O24" i="3"/>
  <c r="M26" i="3"/>
  <c r="N26" i="3" s="1"/>
  <c r="N9" i="5" s="1"/>
  <c r="N13" i="5" s="1"/>
  <c r="Z14" i="5"/>
  <c r="AA28" i="5"/>
  <c r="AY23" i="3"/>
  <c r="AX1" i="5"/>
  <c r="AX19" i="5" s="1"/>
  <c r="Q26" i="5" l="1"/>
  <c r="Q11" i="5" s="1"/>
  <c r="P12" i="5"/>
  <c r="O30" i="3"/>
  <c r="P25" i="3" s="1"/>
  <c r="M9" i="5"/>
  <c r="M13" i="5" s="1"/>
  <c r="CL3" i="5"/>
  <c r="CM3" i="5" s="1"/>
  <c r="AZ23" i="3"/>
  <c r="AY1" i="5"/>
  <c r="AY19" i="5" s="1"/>
  <c r="AB28" i="5"/>
  <c r="AA14" i="5"/>
  <c r="O25" i="3" l="1"/>
  <c r="Q12" i="5"/>
  <c r="CN3" i="5"/>
  <c r="AC28" i="5"/>
  <c r="AB14" i="5"/>
  <c r="BA23" i="3"/>
  <c r="AZ1" i="5"/>
  <c r="AZ19" i="5" s="1"/>
  <c r="CO3" i="5" l="1"/>
  <c r="BB23" i="3"/>
  <c r="BA1" i="5"/>
  <c r="BA19" i="5" s="1"/>
  <c r="AD28" i="5"/>
  <c r="AC14" i="5"/>
  <c r="CP3" i="5" l="1"/>
  <c r="AD14" i="5"/>
  <c r="AE28" i="5"/>
  <c r="BC23" i="3"/>
  <c r="BB1" i="5"/>
  <c r="BB19" i="5" s="1"/>
  <c r="CQ3" i="5" l="1"/>
  <c r="BD23" i="3"/>
  <c r="BC1" i="5"/>
  <c r="BC19" i="5" s="1"/>
  <c r="AF28" i="5"/>
  <c r="AE14" i="5"/>
  <c r="CR3" i="5" l="1"/>
  <c r="AG28" i="5"/>
  <c r="AF14" i="5"/>
  <c r="BE23" i="3"/>
  <c r="BD1" i="5"/>
  <c r="BD19" i="5" s="1"/>
  <c r="AG14" i="5" l="1"/>
  <c r="AH28" i="5"/>
  <c r="BF23" i="3"/>
  <c r="BE1" i="5"/>
  <c r="BE19" i="5" s="1"/>
  <c r="AI28" i="5" l="1"/>
  <c r="AH14" i="5"/>
  <c r="BG23" i="3"/>
  <c r="BF1" i="5"/>
  <c r="BF19" i="5" s="1"/>
  <c r="AJ28" i="5" l="1"/>
  <c r="AI14" i="5"/>
  <c r="BH23" i="3"/>
  <c r="BG1" i="5"/>
  <c r="BG19" i="5" s="1"/>
  <c r="AK28" i="5" l="1"/>
  <c r="AJ14" i="5"/>
  <c r="BI23" i="3"/>
  <c r="BH1" i="5"/>
  <c r="BH19" i="5" s="1"/>
  <c r="AL28" i="5" l="1"/>
  <c r="AK14" i="5"/>
  <c r="BJ23" i="3"/>
  <c r="BI1" i="5"/>
  <c r="BI19" i="5" s="1"/>
  <c r="AL14" i="5" l="1"/>
  <c r="AM28" i="5"/>
  <c r="BK23" i="3"/>
  <c r="BJ1" i="5"/>
  <c r="BJ19" i="5" s="1"/>
  <c r="AN28" i="5" l="1"/>
  <c r="AM14" i="5"/>
  <c r="BL23" i="3"/>
  <c r="BK1" i="5"/>
  <c r="BK19" i="5" s="1"/>
  <c r="AO28" i="5" l="1"/>
  <c r="AN14" i="5"/>
  <c r="BM23" i="3"/>
  <c r="BL1" i="5"/>
  <c r="BL19" i="5" s="1"/>
  <c r="AP28" i="5" l="1"/>
  <c r="AO14" i="5"/>
  <c r="BN23" i="3"/>
  <c r="BM1" i="5"/>
  <c r="BM19" i="5" s="1"/>
  <c r="AP14" i="5" l="1"/>
  <c r="AQ28" i="5"/>
  <c r="BO23" i="3"/>
  <c r="BN1" i="5"/>
  <c r="BN19" i="5" s="1"/>
  <c r="BP23" i="3" l="1"/>
  <c r="BO1" i="5"/>
  <c r="BO19" i="5" s="1"/>
  <c r="AQ14" i="5"/>
  <c r="AR28" i="5"/>
  <c r="AR14" i="5" l="1"/>
  <c r="AS28" i="5"/>
  <c r="BQ23" i="3"/>
  <c r="BP1" i="5"/>
  <c r="BP19" i="5" s="1"/>
  <c r="BR23" i="3" l="1"/>
  <c r="BQ1" i="5"/>
  <c r="BQ19" i="5" s="1"/>
  <c r="AS14" i="5"/>
  <c r="AT28" i="5"/>
  <c r="AT14" i="5" l="1"/>
  <c r="AU28" i="5"/>
  <c r="BS23" i="3"/>
  <c r="BR1" i="5"/>
  <c r="BR19" i="5" s="1"/>
  <c r="BT23" i="3" l="1"/>
  <c r="BS1" i="5"/>
  <c r="BS19" i="5" s="1"/>
  <c r="AV28" i="5"/>
  <c r="AU14" i="5"/>
  <c r="AW28" i="5" l="1"/>
  <c r="AV14" i="5"/>
  <c r="BU23" i="3"/>
  <c r="BT1" i="5"/>
  <c r="BT19" i="5" s="1"/>
  <c r="BV23" i="3" l="1"/>
  <c r="BU1" i="5"/>
  <c r="BU19" i="5" s="1"/>
  <c r="AX28" i="5"/>
  <c r="AW14" i="5"/>
  <c r="AX14" i="5" l="1"/>
  <c r="AY28" i="5"/>
  <c r="BW23" i="3"/>
  <c r="BV1" i="5"/>
  <c r="BV19" i="5" s="1"/>
  <c r="BX23" i="3" l="1"/>
  <c r="BW1" i="5"/>
  <c r="BW19" i="5" s="1"/>
  <c r="AZ28" i="5"/>
  <c r="AY14" i="5"/>
  <c r="AZ14" i="5" l="1"/>
  <c r="BA28" i="5"/>
  <c r="BY23" i="3"/>
  <c r="BX1" i="5"/>
  <c r="BX19" i="5" s="1"/>
  <c r="BZ23" i="3" l="1"/>
  <c r="BY1" i="5"/>
  <c r="BY19" i="5" s="1"/>
  <c r="BA14" i="5"/>
  <c r="BB28" i="5"/>
  <c r="BB14" i="5" l="1"/>
  <c r="BC28" i="5"/>
  <c r="CA23" i="3"/>
  <c r="BZ1" i="5"/>
  <c r="BZ19" i="5" s="1"/>
  <c r="CB23" i="3" l="1"/>
  <c r="CA1" i="5"/>
  <c r="CA19" i="5" s="1"/>
  <c r="BC14" i="5"/>
  <c r="BD28" i="5"/>
  <c r="BE28" i="5" l="1"/>
  <c r="BD14" i="5"/>
  <c r="CC23" i="3"/>
  <c r="CB1" i="5"/>
  <c r="CB19" i="5" s="1"/>
  <c r="CD23" i="3" l="1"/>
  <c r="CC1" i="5"/>
  <c r="CC19" i="5" s="1"/>
  <c r="BF28" i="5"/>
  <c r="BE14" i="5"/>
  <c r="BG28" i="5" l="1"/>
  <c r="BF14" i="5"/>
  <c r="CE23" i="3"/>
  <c r="CD1" i="5"/>
  <c r="CD19" i="5" s="1"/>
  <c r="CF23" i="3" l="1"/>
  <c r="CE1" i="5"/>
  <c r="CE19" i="5" s="1"/>
  <c r="BH28" i="5"/>
  <c r="BG14" i="5"/>
  <c r="CG23" i="3" l="1"/>
  <c r="CF1" i="5"/>
  <c r="CF19" i="5" s="1"/>
  <c r="BH14" i="5"/>
  <c r="BI28" i="5"/>
  <c r="CH23" i="3" l="1"/>
  <c r="CG1" i="5"/>
  <c r="CG19" i="5" s="1"/>
  <c r="BI14" i="5"/>
  <c r="BJ28" i="5"/>
  <c r="CI23" i="3" l="1"/>
  <c r="CH1" i="5"/>
  <c r="CH19" i="5" s="1"/>
  <c r="BJ14" i="5"/>
  <c r="BK28" i="5"/>
  <c r="CJ23" i="3" l="1"/>
  <c r="CI1" i="5"/>
  <c r="CI19" i="5" s="1"/>
  <c r="BK14" i="5"/>
  <c r="BL28" i="5"/>
  <c r="CK23" i="3" l="1"/>
  <c r="CJ1" i="5"/>
  <c r="CJ19" i="5" s="1"/>
  <c r="BM28" i="5"/>
  <c r="BL14" i="5"/>
  <c r="CL23" i="3" l="1"/>
  <c r="CK1" i="5"/>
  <c r="CK19" i="5" s="1"/>
  <c r="BM14" i="5"/>
  <c r="BN28" i="5"/>
  <c r="CM23" i="3" l="1"/>
  <c r="CL1" i="5"/>
  <c r="CL19" i="5" s="1"/>
  <c r="BO28" i="5"/>
  <c r="BN14" i="5"/>
  <c r="CN23" i="3" l="1"/>
  <c r="CM1" i="5"/>
  <c r="CM19" i="5" s="1"/>
  <c r="BP28" i="5"/>
  <c r="BO14" i="5"/>
  <c r="CO23" i="3" l="1"/>
  <c r="CN1" i="5"/>
  <c r="CN19" i="5" s="1"/>
  <c r="BP14" i="5"/>
  <c r="BQ28" i="5"/>
  <c r="CP23" i="3" l="1"/>
  <c r="CO1" i="5"/>
  <c r="CO19" i="5" s="1"/>
  <c r="BR28" i="5"/>
  <c r="BQ14" i="5"/>
  <c r="CQ23" i="3" l="1"/>
  <c r="CP1" i="5"/>
  <c r="CP19" i="5" s="1"/>
  <c r="BS28" i="5"/>
  <c r="BR14" i="5"/>
  <c r="CR23" i="3" l="1"/>
  <c r="CQ1" i="5"/>
  <c r="CQ19" i="5" s="1"/>
  <c r="BT28" i="5"/>
  <c r="BS14" i="5"/>
  <c r="CS23" i="3" l="1"/>
  <c r="CR1" i="5"/>
  <c r="CR19" i="5" s="1"/>
  <c r="BU28" i="5"/>
  <c r="BT14" i="5"/>
  <c r="CT23" i="3" l="1"/>
  <c r="CS1" i="5"/>
  <c r="CS19" i="5" s="1"/>
  <c r="BV28" i="5"/>
  <c r="BU14" i="5"/>
  <c r="CU23" i="3" l="1"/>
  <c r="CT1" i="5"/>
  <c r="CT19" i="5" s="1"/>
  <c r="BW28" i="5"/>
  <c r="BV14" i="5"/>
  <c r="CV23" i="3" l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EF23" i="3" s="1"/>
  <c r="EG23" i="3" s="1"/>
  <c r="EH23" i="3" s="1"/>
  <c r="EI23" i="3" s="1"/>
  <c r="EJ23" i="3" s="1"/>
  <c r="EK23" i="3" s="1"/>
  <c r="EL23" i="3" s="1"/>
  <c r="EM23" i="3" s="1"/>
  <c r="EN23" i="3" s="1"/>
  <c r="EO23" i="3" s="1"/>
  <c r="EP23" i="3" s="1"/>
  <c r="EQ23" i="3" s="1"/>
  <c r="ER23" i="3" s="1"/>
  <c r="ES23" i="3" s="1"/>
  <c r="ET23" i="3" s="1"/>
  <c r="EU23" i="3" s="1"/>
  <c r="EV23" i="3" s="1"/>
  <c r="EW23" i="3" s="1"/>
  <c r="EX23" i="3" s="1"/>
  <c r="EY23" i="3" s="1"/>
  <c r="EZ23" i="3" s="1"/>
  <c r="FA23" i="3" s="1"/>
  <c r="FB23" i="3" s="1"/>
  <c r="FC23" i="3" s="1"/>
  <c r="FD23" i="3" s="1"/>
  <c r="FE23" i="3" s="1"/>
  <c r="FF23" i="3" s="1"/>
  <c r="FG23" i="3" s="1"/>
  <c r="FH23" i="3" s="1"/>
  <c r="FI23" i="3" s="1"/>
  <c r="FJ23" i="3" s="1"/>
  <c r="FK23" i="3" s="1"/>
  <c r="FL23" i="3" s="1"/>
  <c r="FM23" i="3" s="1"/>
  <c r="FN23" i="3" s="1"/>
  <c r="FO23" i="3" s="1"/>
  <c r="FP23" i="3" s="1"/>
  <c r="FQ23" i="3" s="1"/>
  <c r="FR23" i="3" s="1"/>
  <c r="FS23" i="3" s="1"/>
  <c r="FT23" i="3" s="1"/>
  <c r="FU23" i="3" s="1"/>
  <c r="FV23" i="3" s="1"/>
  <c r="FW23" i="3" s="1"/>
  <c r="FX23" i="3" s="1"/>
  <c r="FY23" i="3" s="1"/>
  <c r="FZ23" i="3" s="1"/>
  <c r="GA23" i="3" s="1"/>
  <c r="GB23" i="3" s="1"/>
  <c r="GC23" i="3" s="1"/>
  <c r="GD23" i="3" s="1"/>
  <c r="GE23" i="3" s="1"/>
  <c r="GF23" i="3" s="1"/>
  <c r="GG23" i="3" s="1"/>
  <c r="GH23" i="3" s="1"/>
  <c r="GI23" i="3" s="1"/>
  <c r="GJ23" i="3" s="1"/>
  <c r="GK23" i="3" s="1"/>
  <c r="GL23" i="3" s="1"/>
  <c r="GM23" i="3" s="1"/>
  <c r="GN23" i="3" s="1"/>
  <c r="GO23" i="3" s="1"/>
  <c r="GP23" i="3" s="1"/>
  <c r="GQ23" i="3" s="1"/>
  <c r="GR23" i="3" s="1"/>
  <c r="GS23" i="3" s="1"/>
  <c r="GT23" i="3" s="1"/>
  <c r="GU23" i="3" s="1"/>
  <c r="GV23" i="3" s="1"/>
  <c r="GW23" i="3" s="1"/>
  <c r="GX23" i="3" s="1"/>
  <c r="GY23" i="3" s="1"/>
  <c r="GZ23" i="3" s="1"/>
  <c r="HA23" i="3" s="1"/>
  <c r="HB23" i="3" s="1"/>
  <c r="HC23" i="3" s="1"/>
  <c r="HD23" i="3" s="1"/>
  <c r="HE23" i="3" s="1"/>
  <c r="HF23" i="3" s="1"/>
  <c r="HG23" i="3" s="1"/>
  <c r="HH23" i="3" s="1"/>
  <c r="HI23" i="3" s="1"/>
  <c r="HJ23" i="3" s="1"/>
  <c r="HK23" i="3" s="1"/>
  <c r="HL23" i="3" s="1"/>
  <c r="HM23" i="3" s="1"/>
  <c r="HN23" i="3" s="1"/>
  <c r="HO23" i="3" s="1"/>
  <c r="HP23" i="3" s="1"/>
  <c r="HQ23" i="3" s="1"/>
  <c r="HR23" i="3" s="1"/>
  <c r="HS23" i="3" s="1"/>
  <c r="HT23" i="3" s="1"/>
  <c r="HU23" i="3" s="1"/>
  <c r="HV23" i="3" s="1"/>
  <c r="HW23" i="3" s="1"/>
  <c r="HX23" i="3" s="1"/>
  <c r="HY23" i="3" s="1"/>
  <c r="HZ23" i="3" s="1"/>
  <c r="IA23" i="3" s="1"/>
  <c r="IB23" i="3" s="1"/>
  <c r="IC23" i="3" s="1"/>
  <c r="ID23" i="3" s="1"/>
  <c r="IE23" i="3" s="1"/>
  <c r="IF23" i="3" s="1"/>
  <c r="IG23" i="3" s="1"/>
  <c r="IH23" i="3" s="1"/>
  <c r="II23" i="3" s="1"/>
  <c r="IJ23" i="3" s="1"/>
  <c r="IK23" i="3" s="1"/>
  <c r="IL23" i="3" s="1"/>
  <c r="IM23" i="3" s="1"/>
  <c r="IN23" i="3" s="1"/>
  <c r="IO23" i="3" s="1"/>
  <c r="IP23" i="3" s="1"/>
  <c r="IQ23" i="3" s="1"/>
  <c r="IR23" i="3" s="1"/>
  <c r="IS23" i="3" s="1"/>
  <c r="IT23" i="3" s="1"/>
  <c r="IU23" i="3" s="1"/>
  <c r="IV23" i="3" s="1"/>
  <c r="IW23" i="3" s="1"/>
  <c r="IX23" i="3" s="1"/>
  <c r="IY23" i="3" s="1"/>
  <c r="IZ23" i="3" s="1"/>
  <c r="JA23" i="3" s="1"/>
  <c r="JB23" i="3" s="1"/>
  <c r="JC23" i="3" s="1"/>
  <c r="JD23" i="3" s="1"/>
  <c r="JE23" i="3" s="1"/>
  <c r="JF23" i="3" s="1"/>
  <c r="JG23" i="3" s="1"/>
  <c r="JH23" i="3" s="1"/>
  <c r="JI23" i="3" s="1"/>
  <c r="JJ23" i="3" s="1"/>
  <c r="JK23" i="3" s="1"/>
  <c r="JL23" i="3" s="1"/>
  <c r="JM23" i="3" s="1"/>
  <c r="JN23" i="3" s="1"/>
  <c r="JO23" i="3" s="1"/>
  <c r="JP23" i="3" s="1"/>
  <c r="JQ23" i="3" s="1"/>
  <c r="JR23" i="3" s="1"/>
  <c r="JS23" i="3" s="1"/>
  <c r="JT23" i="3" s="1"/>
  <c r="JU23" i="3" s="1"/>
  <c r="JV23" i="3" s="1"/>
  <c r="JW23" i="3" s="1"/>
  <c r="JX23" i="3" s="1"/>
  <c r="JY23" i="3" s="1"/>
  <c r="JZ23" i="3" s="1"/>
  <c r="KA23" i="3" s="1"/>
  <c r="KB23" i="3" s="1"/>
  <c r="KC23" i="3" s="1"/>
  <c r="KD23" i="3" s="1"/>
  <c r="KE23" i="3" s="1"/>
  <c r="KF23" i="3" s="1"/>
  <c r="KG23" i="3" s="1"/>
  <c r="KH23" i="3" s="1"/>
  <c r="KI23" i="3" s="1"/>
  <c r="KJ23" i="3" s="1"/>
  <c r="KK23" i="3" s="1"/>
  <c r="KL23" i="3" s="1"/>
  <c r="KM23" i="3" s="1"/>
  <c r="KN23" i="3" s="1"/>
  <c r="KO23" i="3" s="1"/>
  <c r="KP23" i="3" s="1"/>
  <c r="KQ23" i="3" s="1"/>
  <c r="KR23" i="3" s="1"/>
  <c r="KS23" i="3" s="1"/>
  <c r="KT23" i="3" s="1"/>
  <c r="KU23" i="3" s="1"/>
  <c r="KV23" i="3" s="1"/>
  <c r="KW23" i="3" s="1"/>
  <c r="KX23" i="3" s="1"/>
  <c r="KY23" i="3" s="1"/>
  <c r="KZ23" i="3" s="1"/>
  <c r="LA23" i="3" s="1"/>
  <c r="LB23" i="3" s="1"/>
  <c r="LC23" i="3" s="1"/>
  <c r="LD23" i="3" s="1"/>
  <c r="LE23" i="3" s="1"/>
  <c r="LF23" i="3" s="1"/>
  <c r="LG23" i="3" s="1"/>
  <c r="LH23" i="3" s="1"/>
  <c r="LI23" i="3" s="1"/>
  <c r="LJ23" i="3" s="1"/>
  <c r="LK23" i="3" s="1"/>
  <c r="LL23" i="3" s="1"/>
  <c r="LM23" i="3" s="1"/>
  <c r="LN23" i="3" s="1"/>
  <c r="LO23" i="3" s="1"/>
  <c r="LP23" i="3" s="1"/>
  <c r="LQ23" i="3" s="1"/>
  <c r="LR23" i="3" s="1"/>
  <c r="LS23" i="3" s="1"/>
  <c r="LT23" i="3" s="1"/>
  <c r="LU23" i="3" s="1"/>
  <c r="LV23" i="3" s="1"/>
  <c r="LW23" i="3" s="1"/>
  <c r="LX23" i="3" s="1"/>
  <c r="LY23" i="3" s="1"/>
  <c r="LZ23" i="3" s="1"/>
  <c r="MA23" i="3" s="1"/>
  <c r="MB23" i="3" s="1"/>
  <c r="MC23" i="3" s="1"/>
  <c r="MD23" i="3" s="1"/>
  <c r="ME23" i="3" s="1"/>
  <c r="MF23" i="3" s="1"/>
  <c r="MG23" i="3" s="1"/>
  <c r="MH23" i="3" s="1"/>
  <c r="MI23" i="3" s="1"/>
  <c r="MJ23" i="3" s="1"/>
  <c r="MK23" i="3" s="1"/>
  <c r="ML23" i="3" s="1"/>
  <c r="MM23" i="3" s="1"/>
  <c r="MN23" i="3" s="1"/>
  <c r="MO23" i="3" s="1"/>
  <c r="MP23" i="3" s="1"/>
  <c r="MQ23" i="3" s="1"/>
  <c r="MR23" i="3" s="1"/>
  <c r="MS23" i="3" s="1"/>
  <c r="MT23" i="3" s="1"/>
  <c r="MU23" i="3" s="1"/>
  <c r="MV23" i="3" s="1"/>
  <c r="MW23" i="3" s="1"/>
  <c r="MX23" i="3" s="1"/>
  <c r="MY23" i="3" s="1"/>
  <c r="MZ23" i="3" s="1"/>
  <c r="NA23" i="3" s="1"/>
  <c r="NB23" i="3" s="1"/>
  <c r="NC23" i="3" s="1"/>
  <c r="ND23" i="3" s="1"/>
  <c r="NE23" i="3" s="1"/>
  <c r="NF23" i="3" s="1"/>
  <c r="NG23" i="3" s="1"/>
  <c r="NH23" i="3" s="1"/>
  <c r="NI23" i="3" s="1"/>
  <c r="NJ23" i="3" s="1"/>
  <c r="NK23" i="3" s="1"/>
  <c r="NL23" i="3" s="1"/>
  <c r="NM23" i="3" s="1"/>
  <c r="NN23" i="3" s="1"/>
  <c r="NO23" i="3" s="1"/>
  <c r="NP23" i="3" s="1"/>
  <c r="NQ23" i="3" s="1"/>
  <c r="NR23" i="3" s="1"/>
  <c r="NS23" i="3" s="1"/>
  <c r="NT23" i="3" s="1"/>
  <c r="NU23" i="3" s="1"/>
  <c r="NV23" i="3" s="1"/>
  <c r="NW23" i="3" s="1"/>
  <c r="NX23" i="3" s="1"/>
  <c r="NY23" i="3" s="1"/>
  <c r="NZ23" i="3" s="1"/>
  <c r="OA23" i="3" s="1"/>
  <c r="OB23" i="3" s="1"/>
  <c r="OC23" i="3" s="1"/>
  <c r="OD23" i="3" s="1"/>
  <c r="OE23" i="3" s="1"/>
  <c r="OF23" i="3" s="1"/>
  <c r="OG23" i="3" s="1"/>
  <c r="OH23" i="3" s="1"/>
  <c r="OI23" i="3" s="1"/>
  <c r="OJ23" i="3" s="1"/>
  <c r="OK23" i="3" s="1"/>
  <c r="OL23" i="3" s="1"/>
  <c r="OM23" i="3" s="1"/>
  <c r="ON23" i="3" s="1"/>
  <c r="OO23" i="3" s="1"/>
  <c r="OP23" i="3" s="1"/>
  <c r="OQ23" i="3" s="1"/>
  <c r="OR23" i="3" s="1"/>
  <c r="OS23" i="3" s="1"/>
  <c r="OT23" i="3" s="1"/>
  <c r="OU23" i="3" s="1"/>
  <c r="OV23" i="3" s="1"/>
  <c r="OW23" i="3" s="1"/>
  <c r="OX23" i="3" s="1"/>
  <c r="OY23" i="3" s="1"/>
  <c r="OZ23" i="3" s="1"/>
  <c r="PA23" i="3" s="1"/>
  <c r="PB23" i="3" s="1"/>
  <c r="PC23" i="3" s="1"/>
  <c r="PD23" i="3" s="1"/>
  <c r="PE23" i="3" s="1"/>
  <c r="PF23" i="3" s="1"/>
  <c r="PG23" i="3" s="1"/>
  <c r="PH23" i="3" s="1"/>
  <c r="PI23" i="3" s="1"/>
  <c r="PJ23" i="3" s="1"/>
  <c r="PK23" i="3" s="1"/>
  <c r="PL23" i="3" s="1"/>
  <c r="PM23" i="3" s="1"/>
  <c r="PN23" i="3" s="1"/>
  <c r="PO23" i="3" s="1"/>
  <c r="PP23" i="3" s="1"/>
  <c r="PQ23" i="3" s="1"/>
  <c r="PR23" i="3" s="1"/>
  <c r="PS23" i="3" s="1"/>
  <c r="PT23" i="3" s="1"/>
  <c r="PU23" i="3" s="1"/>
  <c r="PV23" i="3" s="1"/>
  <c r="PW23" i="3" s="1"/>
  <c r="PX23" i="3" s="1"/>
  <c r="PY23" i="3" s="1"/>
  <c r="PZ23" i="3" s="1"/>
  <c r="QA23" i="3" s="1"/>
  <c r="QB23" i="3" s="1"/>
  <c r="QC23" i="3" s="1"/>
  <c r="QD23" i="3" s="1"/>
  <c r="QE23" i="3" s="1"/>
  <c r="QF23" i="3" s="1"/>
  <c r="QG23" i="3" s="1"/>
  <c r="QH23" i="3" s="1"/>
  <c r="QI23" i="3" s="1"/>
  <c r="QJ23" i="3" s="1"/>
  <c r="QK23" i="3" s="1"/>
  <c r="QL23" i="3" s="1"/>
  <c r="QM23" i="3" s="1"/>
  <c r="QN23" i="3" s="1"/>
  <c r="QO23" i="3" s="1"/>
  <c r="QP23" i="3" s="1"/>
  <c r="QQ23" i="3" s="1"/>
  <c r="QR23" i="3" s="1"/>
  <c r="QS23" i="3" s="1"/>
  <c r="QT23" i="3" s="1"/>
  <c r="QU23" i="3" s="1"/>
  <c r="QV23" i="3" s="1"/>
  <c r="QW23" i="3" s="1"/>
  <c r="QX23" i="3" s="1"/>
  <c r="QY23" i="3" s="1"/>
  <c r="QZ23" i="3" s="1"/>
  <c r="RA23" i="3" s="1"/>
  <c r="RB23" i="3" s="1"/>
  <c r="RC23" i="3" s="1"/>
  <c r="RD23" i="3" s="1"/>
  <c r="RE23" i="3" s="1"/>
  <c r="RF23" i="3" s="1"/>
  <c r="RG23" i="3" s="1"/>
  <c r="RH23" i="3" s="1"/>
  <c r="RI23" i="3" s="1"/>
  <c r="RJ23" i="3" s="1"/>
  <c r="RK23" i="3" s="1"/>
  <c r="RL23" i="3" s="1"/>
  <c r="RM23" i="3" s="1"/>
  <c r="RN23" i="3" s="1"/>
  <c r="RO23" i="3" s="1"/>
  <c r="RP23" i="3" s="1"/>
  <c r="RQ23" i="3" s="1"/>
  <c r="RR23" i="3" s="1"/>
  <c r="RS23" i="3" s="1"/>
  <c r="RT23" i="3" s="1"/>
  <c r="RU23" i="3" s="1"/>
  <c r="RV23" i="3" s="1"/>
  <c r="RW23" i="3" s="1"/>
  <c r="RX23" i="3" s="1"/>
  <c r="RY23" i="3" s="1"/>
  <c r="RZ23" i="3" s="1"/>
  <c r="SA23" i="3" s="1"/>
  <c r="SB23" i="3" s="1"/>
  <c r="SC23" i="3" s="1"/>
  <c r="SD23" i="3" s="1"/>
  <c r="SE23" i="3" s="1"/>
  <c r="SF23" i="3" s="1"/>
  <c r="SG23" i="3" s="1"/>
  <c r="SH23" i="3" s="1"/>
  <c r="SI23" i="3" s="1"/>
  <c r="SJ23" i="3" s="1"/>
  <c r="SK23" i="3" s="1"/>
  <c r="SL23" i="3" s="1"/>
  <c r="SM23" i="3" s="1"/>
  <c r="SN23" i="3" s="1"/>
  <c r="SO23" i="3" s="1"/>
  <c r="SP23" i="3" s="1"/>
  <c r="SQ23" i="3" s="1"/>
  <c r="SR23" i="3" s="1"/>
  <c r="SS23" i="3" s="1"/>
  <c r="ST23" i="3" s="1"/>
  <c r="SU23" i="3" s="1"/>
  <c r="SV23" i="3" s="1"/>
  <c r="SW23" i="3" s="1"/>
  <c r="SX23" i="3" s="1"/>
  <c r="SY23" i="3" s="1"/>
  <c r="SZ23" i="3" s="1"/>
  <c r="TA23" i="3" s="1"/>
  <c r="TB23" i="3" s="1"/>
  <c r="TC23" i="3" s="1"/>
  <c r="TD23" i="3" s="1"/>
  <c r="TE23" i="3" s="1"/>
  <c r="TF23" i="3" s="1"/>
  <c r="TG23" i="3" s="1"/>
  <c r="TH23" i="3" s="1"/>
  <c r="TI23" i="3" s="1"/>
  <c r="TJ23" i="3" s="1"/>
  <c r="TK23" i="3" s="1"/>
  <c r="TL23" i="3" s="1"/>
  <c r="TM23" i="3" s="1"/>
  <c r="TN23" i="3" s="1"/>
  <c r="TO23" i="3" s="1"/>
  <c r="TP23" i="3" s="1"/>
  <c r="TQ23" i="3" s="1"/>
  <c r="TR23" i="3" s="1"/>
  <c r="TS23" i="3" s="1"/>
  <c r="TT23" i="3" s="1"/>
  <c r="TU23" i="3" s="1"/>
  <c r="TV23" i="3" s="1"/>
  <c r="TW23" i="3" s="1"/>
  <c r="TX23" i="3" s="1"/>
  <c r="TY23" i="3" s="1"/>
  <c r="TZ23" i="3" s="1"/>
  <c r="UA23" i="3" s="1"/>
  <c r="UB23" i="3" s="1"/>
  <c r="UC23" i="3" s="1"/>
  <c r="UD23" i="3" s="1"/>
  <c r="UE23" i="3" s="1"/>
  <c r="UF23" i="3" s="1"/>
  <c r="UG23" i="3" s="1"/>
  <c r="UH23" i="3" s="1"/>
  <c r="UI23" i="3" s="1"/>
  <c r="UJ23" i="3" s="1"/>
  <c r="UK23" i="3" s="1"/>
  <c r="UL23" i="3" s="1"/>
  <c r="UM23" i="3" s="1"/>
  <c r="UN23" i="3" s="1"/>
  <c r="UO23" i="3" s="1"/>
  <c r="UP23" i="3" s="1"/>
  <c r="UQ23" i="3" s="1"/>
  <c r="UR23" i="3" s="1"/>
  <c r="US23" i="3" s="1"/>
  <c r="UT23" i="3" s="1"/>
  <c r="UU23" i="3" s="1"/>
  <c r="UV23" i="3" s="1"/>
  <c r="UW23" i="3" s="1"/>
  <c r="UX23" i="3" s="1"/>
  <c r="UY23" i="3" s="1"/>
  <c r="UZ23" i="3" s="1"/>
  <c r="VA23" i="3" s="1"/>
  <c r="VB23" i="3" s="1"/>
  <c r="VC23" i="3" s="1"/>
  <c r="VD23" i="3" s="1"/>
  <c r="VE23" i="3" s="1"/>
  <c r="VF23" i="3" s="1"/>
  <c r="VG23" i="3" s="1"/>
  <c r="VH23" i="3" s="1"/>
  <c r="VI23" i="3" s="1"/>
  <c r="VJ23" i="3" s="1"/>
  <c r="VK23" i="3" s="1"/>
  <c r="VL23" i="3" s="1"/>
  <c r="VM23" i="3" s="1"/>
  <c r="VN23" i="3" s="1"/>
  <c r="VO23" i="3" s="1"/>
  <c r="VP23" i="3" s="1"/>
  <c r="VQ23" i="3" s="1"/>
  <c r="VR23" i="3" s="1"/>
  <c r="VS23" i="3" s="1"/>
  <c r="VT23" i="3" s="1"/>
  <c r="VU23" i="3" s="1"/>
  <c r="VV23" i="3" s="1"/>
  <c r="VW23" i="3" s="1"/>
  <c r="VX23" i="3" s="1"/>
  <c r="VY23" i="3" s="1"/>
  <c r="VZ23" i="3" s="1"/>
  <c r="WA23" i="3" s="1"/>
  <c r="WB23" i="3" s="1"/>
  <c r="WC23" i="3" s="1"/>
  <c r="WD23" i="3" s="1"/>
  <c r="WE23" i="3" s="1"/>
  <c r="WF23" i="3" s="1"/>
  <c r="WG23" i="3" s="1"/>
  <c r="WH23" i="3" s="1"/>
  <c r="WI23" i="3" s="1"/>
  <c r="WJ23" i="3" s="1"/>
  <c r="WK23" i="3" s="1"/>
  <c r="WL23" i="3" s="1"/>
  <c r="WM23" i="3" s="1"/>
  <c r="WN23" i="3" s="1"/>
  <c r="WO23" i="3" s="1"/>
  <c r="WP23" i="3" s="1"/>
  <c r="WQ23" i="3" s="1"/>
  <c r="WR23" i="3" s="1"/>
  <c r="WS23" i="3" s="1"/>
  <c r="WT23" i="3" s="1"/>
  <c r="WU23" i="3" s="1"/>
  <c r="WV23" i="3" s="1"/>
  <c r="WW23" i="3" s="1"/>
  <c r="WX23" i="3" s="1"/>
  <c r="WY23" i="3" s="1"/>
  <c r="WZ23" i="3" s="1"/>
  <c r="XA23" i="3" s="1"/>
  <c r="XB23" i="3" s="1"/>
  <c r="XC23" i="3" s="1"/>
  <c r="XD23" i="3" s="1"/>
  <c r="XE23" i="3" s="1"/>
  <c r="XF23" i="3" s="1"/>
  <c r="XG23" i="3" s="1"/>
  <c r="XH23" i="3" s="1"/>
  <c r="XI23" i="3" s="1"/>
  <c r="XJ23" i="3" s="1"/>
  <c r="XK23" i="3" s="1"/>
  <c r="XL23" i="3" s="1"/>
  <c r="XM23" i="3" s="1"/>
  <c r="XN23" i="3" s="1"/>
  <c r="XO23" i="3" s="1"/>
  <c r="XP23" i="3" s="1"/>
  <c r="XQ23" i="3" s="1"/>
  <c r="XR23" i="3" s="1"/>
  <c r="XS23" i="3" s="1"/>
  <c r="XT23" i="3" s="1"/>
  <c r="XU23" i="3" s="1"/>
  <c r="XV23" i="3" s="1"/>
  <c r="XW23" i="3" s="1"/>
  <c r="XX23" i="3" s="1"/>
  <c r="XY23" i="3" s="1"/>
  <c r="XZ23" i="3" s="1"/>
  <c r="YA23" i="3" s="1"/>
  <c r="YB23" i="3" s="1"/>
  <c r="YC23" i="3" s="1"/>
  <c r="YD23" i="3" s="1"/>
  <c r="YE23" i="3" s="1"/>
  <c r="YF23" i="3" s="1"/>
  <c r="YG23" i="3" s="1"/>
  <c r="YH23" i="3" s="1"/>
  <c r="YI23" i="3" s="1"/>
  <c r="YJ23" i="3" s="1"/>
  <c r="YK23" i="3" s="1"/>
  <c r="YL23" i="3" s="1"/>
  <c r="YM23" i="3" s="1"/>
  <c r="YN23" i="3" s="1"/>
  <c r="YO23" i="3" s="1"/>
  <c r="YP23" i="3" s="1"/>
  <c r="YQ23" i="3" s="1"/>
  <c r="YR23" i="3" s="1"/>
  <c r="YS23" i="3" s="1"/>
  <c r="YT23" i="3" s="1"/>
  <c r="YU23" i="3" s="1"/>
  <c r="YV23" i="3" s="1"/>
  <c r="YW23" i="3" s="1"/>
  <c r="YX23" i="3" s="1"/>
  <c r="YY23" i="3" s="1"/>
  <c r="YZ23" i="3" s="1"/>
  <c r="ZA23" i="3" s="1"/>
  <c r="ZB23" i="3" s="1"/>
  <c r="ZC23" i="3" s="1"/>
  <c r="ZD23" i="3" s="1"/>
  <c r="ZE23" i="3" s="1"/>
  <c r="ZF23" i="3" s="1"/>
  <c r="ZG23" i="3" s="1"/>
  <c r="ZH23" i="3" s="1"/>
  <c r="ZI23" i="3" s="1"/>
  <c r="ZJ23" i="3" s="1"/>
  <c r="ZK23" i="3" s="1"/>
  <c r="ZL23" i="3" s="1"/>
  <c r="ZM23" i="3" s="1"/>
  <c r="ZN23" i="3" s="1"/>
  <c r="ZO23" i="3" s="1"/>
  <c r="ZP23" i="3" s="1"/>
  <c r="ZQ23" i="3" s="1"/>
  <c r="ZR23" i="3" s="1"/>
  <c r="ZS23" i="3" s="1"/>
  <c r="ZT23" i="3" s="1"/>
  <c r="ZU23" i="3" s="1"/>
  <c r="ZV23" i="3" s="1"/>
  <c r="ZW23" i="3" s="1"/>
  <c r="ZX23" i="3" s="1"/>
  <c r="ZY23" i="3" s="1"/>
  <c r="ZZ23" i="3" s="1"/>
  <c r="AAA23" i="3" s="1"/>
  <c r="AAB23" i="3" s="1"/>
  <c r="AAC23" i="3" s="1"/>
  <c r="AAD23" i="3" s="1"/>
  <c r="AAE23" i="3" s="1"/>
  <c r="AAF23" i="3" s="1"/>
  <c r="AAG23" i="3" s="1"/>
  <c r="AAH23" i="3" s="1"/>
  <c r="AAI23" i="3" s="1"/>
  <c r="AAJ23" i="3" s="1"/>
  <c r="AAK23" i="3" s="1"/>
  <c r="AAL23" i="3" s="1"/>
  <c r="AAM23" i="3" s="1"/>
  <c r="AAN23" i="3" s="1"/>
  <c r="AAO23" i="3" s="1"/>
  <c r="AAP23" i="3" s="1"/>
  <c r="AAQ23" i="3" s="1"/>
  <c r="AAR23" i="3" s="1"/>
  <c r="AAS23" i="3" s="1"/>
  <c r="AAT23" i="3" s="1"/>
  <c r="AAU23" i="3" s="1"/>
  <c r="AAV23" i="3" s="1"/>
  <c r="AAW23" i="3" s="1"/>
  <c r="AAX23" i="3" s="1"/>
  <c r="AAY23" i="3" s="1"/>
  <c r="AAZ23" i="3" s="1"/>
  <c r="ABA23" i="3" s="1"/>
  <c r="ABB23" i="3" s="1"/>
  <c r="ABC23" i="3" s="1"/>
  <c r="ABD23" i="3" s="1"/>
  <c r="ABE23" i="3" s="1"/>
  <c r="ABF23" i="3" s="1"/>
  <c r="ABG23" i="3" s="1"/>
  <c r="ABH23" i="3" s="1"/>
  <c r="ABI23" i="3" s="1"/>
  <c r="ABJ23" i="3" s="1"/>
  <c r="ABK23" i="3" s="1"/>
  <c r="ABL23" i="3" s="1"/>
  <c r="ABM23" i="3" s="1"/>
  <c r="ABN23" i="3" s="1"/>
  <c r="ABO23" i="3" s="1"/>
  <c r="ABP23" i="3" s="1"/>
  <c r="ABQ23" i="3" s="1"/>
  <c r="ABR23" i="3" s="1"/>
  <c r="ABS23" i="3" s="1"/>
  <c r="ABT23" i="3" s="1"/>
  <c r="ABU23" i="3" s="1"/>
  <c r="ABV23" i="3" s="1"/>
  <c r="ABW23" i="3" s="1"/>
  <c r="ABX23" i="3" s="1"/>
  <c r="ABY23" i="3" s="1"/>
  <c r="ABZ23" i="3" s="1"/>
  <c r="ACA23" i="3" s="1"/>
  <c r="ACB23" i="3" s="1"/>
  <c r="ACC23" i="3" s="1"/>
  <c r="ACD23" i="3" s="1"/>
  <c r="ACE23" i="3" s="1"/>
  <c r="ACF23" i="3" s="1"/>
  <c r="ACG23" i="3" s="1"/>
  <c r="ACH23" i="3" s="1"/>
  <c r="ACI23" i="3" s="1"/>
  <c r="ACJ23" i="3" s="1"/>
  <c r="ACK23" i="3" s="1"/>
  <c r="ACL23" i="3" s="1"/>
  <c r="ACM23" i="3" s="1"/>
  <c r="ACN23" i="3" s="1"/>
  <c r="ACO23" i="3" s="1"/>
  <c r="ACP23" i="3" s="1"/>
  <c r="ACQ23" i="3" s="1"/>
  <c r="ACR23" i="3" s="1"/>
  <c r="ACS23" i="3" s="1"/>
  <c r="ACT23" i="3" s="1"/>
  <c r="ACU23" i="3" s="1"/>
  <c r="ACV23" i="3" s="1"/>
  <c r="ACW23" i="3" s="1"/>
  <c r="ACX23" i="3" s="1"/>
  <c r="ACY23" i="3" s="1"/>
  <c r="ACZ23" i="3" s="1"/>
  <c r="ADA23" i="3" s="1"/>
  <c r="ADB23" i="3" s="1"/>
  <c r="ADC23" i="3" s="1"/>
  <c r="ADD23" i="3" s="1"/>
  <c r="ADE23" i="3" s="1"/>
  <c r="ADF23" i="3" s="1"/>
  <c r="ADG23" i="3" s="1"/>
  <c r="ADH23" i="3" s="1"/>
  <c r="ADI23" i="3" s="1"/>
  <c r="ADJ23" i="3" s="1"/>
  <c r="ADK23" i="3" s="1"/>
  <c r="ADL23" i="3" s="1"/>
  <c r="ADM23" i="3" s="1"/>
  <c r="ADN23" i="3" s="1"/>
  <c r="ADO23" i="3" s="1"/>
  <c r="ADP23" i="3" s="1"/>
  <c r="ADQ23" i="3" s="1"/>
  <c r="ADR23" i="3" s="1"/>
  <c r="ADS23" i="3" s="1"/>
  <c r="ADT23" i="3" s="1"/>
  <c r="ADU23" i="3" s="1"/>
  <c r="ADV23" i="3" s="1"/>
  <c r="ADW23" i="3" s="1"/>
  <c r="ADX23" i="3" s="1"/>
  <c r="ADY23" i="3" s="1"/>
  <c r="ADZ23" i="3" s="1"/>
  <c r="AEA23" i="3" s="1"/>
  <c r="AEB23" i="3" s="1"/>
  <c r="AEC23" i="3" s="1"/>
  <c r="AED23" i="3" s="1"/>
  <c r="AEE23" i="3" s="1"/>
  <c r="AEF23" i="3" s="1"/>
  <c r="AEG23" i="3" s="1"/>
  <c r="AEH23" i="3" s="1"/>
  <c r="AEI23" i="3" s="1"/>
  <c r="AEJ23" i="3" s="1"/>
  <c r="AEK23" i="3" s="1"/>
  <c r="AEL23" i="3" s="1"/>
  <c r="AEM23" i="3" s="1"/>
  <c r="AEN23" i="3" s="1"/>
  <c r="AEO23" i="3" s="1"/>
  <c r="AEP23" i="3" s="1"/>
  <c r="AEQ23" i="3" s="1"/>
  <c r="AER23" i="3" s="1"/>
  <c r="AES23" i="3" s="1"/>
  <c r="AET23" i="3" s="1"/>
  <c r="AEU23" i="3" s="1"/>
  <c r="AEV23" i="3" s="1"/>
  <c r="AEW23" i="3" s="1"/>
  <c r="AEX23" i="3" s="1"/>
  <c r="AEY23" i="3" s="1"/>
  <c r="AEZ23" i="3" s="1"/>
  <c r="AFA23" i="3" s="1"/>
  <c r="AFB23" i="3" s="1"/>
  <c r="AFC23" i="3" s="1"/>
  <c r="AFD23" i="3" s="1"/>
  <c r="AFE23" i="3" s="1"/>
  <c r="AFF23" i="3" s="1"/>
  <c r="AFG23" i="3" s="1"/>
  <c r="AFH23" i="3" s="1"/>
  <c r="AFI23" i="3" s="1"/>
  <c r="AFJ23" i="3" s="1"/>
  <c r="AFK23" i="3" s="1"/>
  <c r="AFL23" i="3" s="1"/>
  <c r="AFM23" i="3" s="1"/>
  <c r="AFN23" i="3" s="1"/>
  <c r="AFO23" i="3" s="1"/>
  <c r="AFP23" i="3" s="1"/>
  <c r="AFQ23" i="3" s="1"/>
  <c r="AFR23" i="3" s="1"/>
  <c r="AFS23" i="3" s="1"/>
  <c r="AFT23" i="3" s="1"/>
  <c r="AFU23" i="3" s="1"/>
  <c r="AFV23" i="3" s="1"/>
  <c r="AFW23" i="3" s="1"/>
  <c r="AFX23" i="3" s="1"/>
  <c r="AFY23" i="3" s="1"/>
  <c r="AFZ23" i="3" s="1"/>
  <c r="AGA23" i="3" s="1"/>
  <c r="AGB23" i="3" s="1"/>
  <c r="AGC23" i="3" s="1"/>
  <c r="AGD23" i="3" s="1"/>
  <c r="AGE23" i="3" s="1"/>
  <c r="AGF23" i="3" s="1"/>
  <c r="AGG23" i="3" s="1"/>
  <c r="AGH23" i="3" s="1"/>
  <c r="AGI23" i="3" s="1"/>
  <c r="AGJ23" i="3" s="1"/>
  <c r="AGK23" i="3" s="1"/>
  <c r="AGL23" i="3" s="1"/>
  <c r="AGM23" i="3" s="1"/>
  <c r="AGN23" i="3" s="1"/>
  <c r="AGO23" i="3" s="1"/>
  <c r="AGP23" i="3" s="1"/>
  <c r="AGQ23" i="3" s="1"/>
  <c r="AGR23" i="3" s="1"/>
  <c r="AGS23" i="3" s="1"/>
  <c r="AGT23" i="3" s="1"/>
  <c r="AGU23" i="3" s="1"/>
  <c r="AGV23" i="3" s="1"/>
  <c r="AGW23" i="3" s="1"/>
  <c r="AGX23" i="3" s="1"/>
  <c r="AGY23" i="3" s="1"/>
  <c r="AGZ23" i="3" s="1"/>
  <c r="AHA23" i="3" s="1"/>
  <c r="AHB23" i="3" s="1"/>
  <c r="AHC23" i="3" s="1"/>
  <c r="AHD23" i="3" s="1"/>
  <c r="AHE23" i="3" s="1"/>
  <c r="AHF23" i="3" s="1"/>
  <c r="AHG23" i="3" s="1"/>
  <c r="AHH23" i="3" s="1"/>
  <c r="AHI23" i="3" s="1"/>
  <c r="AHJ23" i="3" s="1"/>
  <c r="AHK23" i="3" s="1"/>
  <c r="AHL23" i="3" s="1"/>
  <c r="AHM23" i="3" s="1"/>
  <c r="AHN23" i="3" s="1"/>
  <c r="AHO23" i="3" s="1"/>
  <c r="AHP23" i="3" s="1"/>
  <c r="AHQ23" i="3" s="1"/>
  <c r="AHR23" i="3" s="1"/>
  <c r="AHS23" i="3" s="1"/>
  <c r="AHT23" i="3" s="1"/>
  <c r="AHU23" i="3" s="1"/>
  <c r="AHV23" i="3" s="1"/>
  <c r="AHW23" i="3" s="1"/>
  <c r="AHX23" i="3" s="1"/>
  <c r="AHY23" i="3" s="1"/>
  <c r="AHZ23" i="3" s="1"/>
  <c r="AIA23" i="3" s="1"/>
  <c r="AIB23" i="3" s="1"/>
  <c r="AIC23" i="3" s="1"/>
  <c r="AID23" i="3" s="1"/>
  <c r="AIE23" i="3" s="1"/>
  <c r="AIF23" i="3" s="1"/>
  <c r="AIG23" i="3" s="1"/>
  <c r="AIH23" i="3" s="1"/>
  <c r="AII23" i="3" s="1"/>
  <c r="AIJ23" i="3" s="1"/>
  <c r="AIK23" i="3" s="1"/>
  <c r="AIL23" i="3" s="1"/>
  <c r="AIM23" i="3" s="1"/>
  <c r="AIN23" i="3" s="1"/>
  <c r="AIO23" i="3" s="1"/>
  <c r="AIP23" i="3" s="1"/>
  <c r="AIQ23" i="3" s="1"/>
  <c r="AIR23" i="3" s="1"/>
  <c r="AIS23" i="3" s="1"/>
  <c r="AIT23" i="3" s="1"/>
  <c r="AIU23" i="3" s="1"/>
  <c r="AIV23" i="3" s="1"/>
  <c r="AIW23" i="3" s="1"/>
  <c r="AIX23" i="3" s="1"/>
  <c r="AIY23" i="3" s="1"/>
  <c r="AIZ23" i="3" s="1"/>
  <c r="AJA23" i="3" s="1"/>
  <c r="AJB23" i="3" s="1"/>
  <c r="AJC23" i="3" s="1"/>
  <c r="AJD23" i="3" s="1"/>
  <c r="AJE23" i="3" s="1"/>
  <c r="AJF23" i="3" s="1"/>
  <c r="AJG23" i="3" s="1"/>
  <c r="AJH23" i="3" s="1"/>
  <c r="AJI23" i="3" s="1"/>
  <c r="AJJ23" i="3" s="1"/>
  <c r="AJK23" i="3" s="1"/>
  <c r="AJL23" i="3" s="1"/>
  <c r="AJM23" i="3" s="1"/>
  <c r="AJN23" i="3" s="1"/>
  <c r="AJO23" i="3" s="1"/>
  <c r="AJP23" i="3" s="1"/>
  <c r="AJQ23" i="3" s="1"/>
  <c r="AJR23" i="3" s="1"/>
  <c r="AJS23" i="3" s="1"/>
  <c r="AJT23" i="3" s="1"/>
  <c r="AJU23" i="3" s="1"/>
  <c r="AJV23" i="3" s="1"/>
  <c r="AJW23" i="3" s="1"/>
  <c r="AJX23" i="3" s="1"/>
  <c r="AJY23" i="3" s="1"/>
  <c r="AJZ23" i="3" s="1"/>
  <c r="AKA23" i="3" s="1"/>
  <c r="AKB23" i="3" s="1"/>
  <c r="AKC23" i="3" s="1"/>
  <c r="AKD23" i="3" s="1"/>
  <c r="AKE23" i="3" s="1"/>
  <c r="AKF23" i="3" s="1"/>
  <c r="AKG23" i="3" s="1"/>
  <c r="AKH23" i="3" s="1"/>
  <c r="AKI23" i="3" s="1"/>
  <c r="AKJ23" i="3" s="1"/>
  <c r="AKK23" i="3" s="1"/>
  <c r="AKL23" i="3" s="1"/>
  <c r="AKM23" i="3" s="1"/>
  <c r="AKN23" i="3" s="1"/>
  <c r="AKO23" i="3" s="1"/>
  <c r="AKP23" i="3" s="1"/>
  <c r="AKQ23" i="3" s="1"/>
  <c r="AKR23" i="3" s="1"/>
  <c r="AKS23" i="3" s="1"/>
  <c r="AKT23" i="3" s="1"/>
  <c r="AKU23" i="3" s="1"/>
  <c r="AKV23" i="3" s="1"/>
  <c r="AKW23" i="3" s="1"/>
  <c r="AKX23" i="3" s="1"/>
  <c r="AKY23" i="3" s="1"/>
  <c r="AKZ23" i="3" s="1"/>
  <c r="ALA23" i="3" s="1"/>
  <c r="ALB23" i="3" s="1"/>
  <c r="ALC23" i="3" s="1"/>
  <c r="ALD23" i="3" s="1"/>
  <c r="ALE23" i="3" s="1"/>
  <c r="ALF23" i="3" s="1"/>
  <c r="ALG23" i="3" s="1"/>
  <c r="ALH23" i="3" s="1"/>
  <c r="ALI23" i="3" s="1"/>
  <c r="ALJ23" i="3" s="1"/>
  <c r="ALK23" i="3" s="1"/>
  <c r="ALL23" i="3" s="1"/>
  <c r="ALM23" i="3" s="1"/>
  <c r="ALN23" i="3" s="1"/>
  <c r="ALO23" i="3" s="1"/>
  <c r="ALP23" i="3" s="1"/>
  <c r="ALQ23" i="3" s="1"/>
  <c r="ALR23" i="3" s="1"/>
  <c r="ALS23" i="3" s="1"/>
  <c r="ALT23" i="3" s="1"/>
  <c r="ALU23" i="3" s="1"/>
  <c r="ALV23" i="3" s="1"/>
  <c r="ALW23" i="3" s="1"/>
  <c r="ALX23" i="3" s="1"/>
  <c r="ALY23" i="3" s="1"/>
  <c r="ALZ23" i="3" s="1"/>
  <c r="AMA23" i="3" s="1"/>
  <c r="AMB23" i="3" s="1"/>
  <c r="AMC23" i="3" s="1"/>
  <c r="AMD23" i="3" s="1"/>
  <c r="AME23" i="3" s="1"/>
  <c r="AMF23" i="3" s="1"/>
  <c r="AMG23" i="3" s="1"/>
  <c r="AMH23" i="3" s="1"/>
  <c r="AMI23" i="3" s="1"/>
  <c r="AMJ23" i="3" s="1"/>
  <c r="AMK23" i="3" s="1"/>
  <c r="AML23" i="3" s="1"/>
  <c r="AMM23" i="3" s="1"/>
  <c r="AMN23" i="3" s="1"/>
  <c r="AMO23" i="3" s="1"/>
  <c r="AMP23" i="3" s="1"/>
  <c r="AMQ23" i="3" s="1"/>
  <c r="AMR23" i="3" s="1"/>
  <c r="AMS23" i="3" s="1"/>
  <c r="AMT23" i="3" s="1"/>
  <c r="AMU23" i="3" s="1"/>
  <c r="AMV23" i="3" s="1"/>
  <c r="AMW23" i="3" s="1"/>
  <c r="AMX23" i="3" s="1"/>
  <c r="AMY23" i="3" s="1"/>
  <c r="AMZ23" i="3" s="1"/>
  <c r="ANA23" i="3" s="1"/>
  <c r="ANB23" i="3" s="1"/>
  <c r="ANC23" i="3" s="1"/>
  <c r="AND23" i="3" s="1"/>
  <c r="ANE23" i="3" s="1"/>
  <c r="ANF23" i="3" s="1"/>
  <c r="ANG23" i="3" s="1"/>
  <c r="ANH23" i="3" s="1"/>
  <c r="ANI23" i="3" s="1"/>
  <c r="ANJ23" i="3" s="1"/>
  <c r="ANK23" i="3" s="1"/>
  <c r="ANL23" i="3" s="1"/>
  <c r="ANM23" i="3" s="1"/>
  <c r="ANN23" i="3" s="1"/>
  <c r="ANO23" i="3" s="1"/>
  <c r="ANP23" i="3" s="1"/>
  <c r="ANQ23" i="3" s="1"/>
  <c r="ANR23" i="3" s="1"/>
  <c r="ANS23" i="3" s="1"/>
  <c r="ANT23" i="3" s="1"/>
  <c r="ANU23" i="3" s="1"/>
  <c r="ANV23" i="3" s="1"/>
  <c r="ANW23" i="3" s="1"/>
  <c r="ANX23" i="3" s="1"/>
  <c r="ANY23" i="3" s="1"/>
  <c r="ANZ23" i="3" s="1"/>
  <c r="AOA23" i="3" s="1"/>
  <c r="AOB23" i="3" s="1"/>
  <c r="AOC23" i="3" s="1"/>
  <c r="AOD23" i="3" s="1"/>
  <c r="AOE23" i="3" s="1"/>
  <c r="AOF23" i="3" s="1"/>
  <c r="AOG23" i="3" s="1"/>
  <c r="AOH23" i="3" s="1"/>
  <c r="AOI23" i="3" s="1"/>
  <c r="AOJ23" i="3" s="1"/>
  <c r="AOK23" i="3" s="1"/>
  <c r="AOL23" i="3" s="1"/>
  <c r="AOM23" i="3" s="1"/>
  <c r="AON23" i="3" s="1"/>
  <c r="AOO23" i="3" s="1"/>
  <c r="AOP23" i="3" s="1"/>
  <c r="AOQ23" i="3" s="1"/>
  <c r="AOR23" i="3" s="1"/>
  <c r="AOS23" i="3" s="1"/>
  <c r="AOT23" i="3" s="1"/>
  <c r="AOU23" i="3" s="1"/>
  <c r="AOV23" i="3" s="1"/>
  <c r="AOW23" i="3" s="1"/>
  <c r="AOX23" i="3" s="1"/>
  <c r="AOY23" i="3" s="1"/>
  <c r="AOZ23" i="3" s="1"/>
  <c r="APA23" i="3" s="1"/>
  <c r="APB23" i="3" s="1"/>
  <c r="APC23" i="3" s="1"/>
  <c r="APD23" i="3" s="1"/>
  <c r="APE23" i="3" s="1"/>
  <c r="APF23" i="3" s="1"/>
  <c r="APG23" i="3" s="1"/>
  <c r="APH23" i="3" s="1"/>
  <c r="API23" i="3" s="1"/>
  <c r="APJ23" i="3" s="1"/>
  <c r="APK23" i="3" s="1"/>
  <c r="APL23" i="3" s="1"/>
  <c r="APM23" i="3" s="1"/>
  <c r="APN23" i="3" s="1"/>
  <c r="APO23" i="3" s="1"/>
  <c r="APP23" i="3" s="1"/>
  <c r="APQ23" i="3" s="1"/>
  <c r="APR23" i="3" s="1"/>
  <c r="APS23" i="3" s="1"/>
  <c r="APT23" i="3" s="1"/>
  <c r="APU23" i="3" s="1"/>
  <c r="APV23" i="3" s="1"/>
  <c r="APW23" i="3" s="1"/>
  <c r="APX23" i="3" s="1"/>
  <c r="APY23" i="3" s="1"/>
  <c r="APZ23" i="3" s="1"/>
  <c r="AQA23" i="3" s="1"/>
  <c r="AQB23" i="3" s="1"/>
  <c r="AQC23" i="3" s="1"/>
  <c r="AQD23" i="3" s="1"/>
  <c r="AQE23" i="3" s="1"/>
  <c r="AQF23" i="3" s="1"/>
  <c r="AQG23" i="3" s="1"/>
  <c r="AQH23" i="3" s="1"/>
  <c r="AQI23" i="3" s="1"/>
  <c r="AQJ23" i="3" s="1"/>
  <c r="AQK23" i="3" s="1"/>
  <c r="AQL23" i="3" s="1"/>
  <c r="AQM23" i="3" s="1"/>
  <c r="AQN23" i="3" s="1"/>
  <c r="AQO23" i="3" s="1"/>
  <c r="AQP23" i="3" s="1"/>
  <c r="AQQ23" i="3" s="1"/>
  <c r="AQR23" i="3" s="1"/>
  <c r="AQS23" i="3" s="1"/>
  <c r="AQT23" i="3" s="1"/>
  <c r="AQU23" i="3" s="1"/>
  <c r="AQV23" i="3" s="1"/>
  <c r="AQW23" i="3" s="1"/>
  <c r="AQX23" i="3" s="1"/>
  <c r="AQY23" i="3" s="1"/>
  <c r="AQZ23" i="3" s="1"/>
  <c r="ARA23" i="3" s="1"/>
  <c r="ARB23" i="3" s="1"/>
  <c r="ARC23" i="3" s="1"/>
  <c r="ARD23" i="3" s="1"/>
  <c r="ARE23" i="3" s="1"/>
  <c r="ARF23" i="3" s="1"/>
  <c r="ARG23" i="3" s="1"/>
  <c r="ARH23" i="3" s="1"/>
  <c r="ARI23" i="3" s="1"/>
  <c r="ARJ23" i="3" s="1"/>
  <c r="ARK23" i="3" s="1"/>
  <c r="ARL23" i="3" s="1"/>
  <c r="ARM23" i="3" s="1"/>
  <c r="ARN23" i="3" s="1"/>
  <c r="ARO23" i="3" s="1"/>
  <c r="ARP23" i="3" s="1"/>
  <c r="ARQ23" i="3" s="1"/>
  <c r="ARR23" i="3" s="1"/>
  <c r="ARS23" i="3" s="1"/>
  <c r="ART23" i="3" s="1"/>
  <c r="ARU23" i="3" s="1"/>
  <c r="ARV23" i="3" s="1"/>
  <c r="ARW23" i="3" s="1"/>
  <c r="ARX23" i="3" s="1"/>
  <c r="ARY23" i="3" s="1"/>
  <c r="ARZ23" i="3" s="1"/>
  <c r="ASA23" i="3" s="1"/>
  <c r="ASB23" i="3" s="1"/>
  <c r="ASC23" i="3" s="1"/>
  <c r="ASD23" i="3" s="1"/>
  <c r="ASE23" i="3" s="1"/>
  <c r="ASF23" i="3" s="1"/>
  <c r="ASG23" i="3" s="1"/>
  <c r="ASH23" i="3" s="1"/>
  <c r="ASI23" i="3" s="1"/>
  <c r="ASJ23" i="3" s="1"/>
  <c r="ASK23" i="3" s="1"/>
  <c r="ASL23" i="3" s="1"/>
  <c r="ASM23" i="3" s="1"/>
  <c r="ASN23" i="3" s="1"/>
  <c r="ASO23" i="3" s="1"/>
  <c r="ASP23" i="3" s="1"/>
  <c r="ASQ23" i="3" s="1"/>
  <c r="ASR23" i="3" s="1"/>
  <c r="ASS23" i="3" s="1"/>
  <c r="AST23" i="3" s="1"/>
  <c r="ASU23" i="3" s="1"/>
  <c r="ASV23" i="3" s="1"/>
  <c r="ASW23" i="3" s="1"/>
  <c r="ASX23" i="3" s="1"/>
  <c r="ASY23" i="3" s="1"/>
  <c r="ASZ23" i="3" s="1"/>
  <c r="ATA23" i="3" s="1"/>
  <c r="ATB23" i="3" s="1"/>
  <c r="ATC23" i="3" s="1"/>
  <c r="ATD23" i="3" s="1"/>
  <c r="ATE23" i="3" s="1"/>
  <c r="ATF23" i="3" s="1"/>
  <c r="ATG23" i="3" s="1"/>
  <c r="ATH23" i="3" s="1"/>
  <c r="ATI23" i="3" s="1"/>
  <c r="ATJ23" i="3" s="1"/>
  <c r="ATK23" i="3" s="1"/>
  <c r="ATL23" i="3" s="1"/>
  <c r="ATM23" i="3" s="1"/>
  <c r="ATN23" i="3" s="1"/>
  <c r="ATO23" i="3" s="1"/>
  <c r="ATP23" i="3" s="1"/>
  <c r="ATQ23" i="3" s="1"/>
  <c r="ATR23" i="3" s="1"/>
  <c r="ATS23" i="3" s="1"/>
  <c r="ATT23" i="3" s="1"/>
  <c r="ATU23" i="3" s="1"/>
  <c r="ATV23" i="3" s="1"/>
  <c r="ATW23" i="3" s="1"/>
  <c r="ATX23" i="3" s="1"/>
  <c r="ATY23" i="3" s="1"/>
  <c r="ATZ23" i="3" s="1"/>
  <c r="AUA23" i="3" s="1"/>
  <c r="AUB23" i="3" s="1"/>
  <c r="AUC23" i="3" s="1"/>
  <c r="AUD23" i="3" s="1"/>
  <c r="AUE23" i="3" s="1"/>
  <c r="AUF23" i="3" s="1"/>
  <c r="AUG23" i="3" s="1"/>
  <c r="AUH23" i="3" s="1"/>
  <c r="AUI23" i="3" s="1"/>
  <c r="AUJ23" i="3" s="1"/>
  <c r="AUK23" i="3" s="1"/>
  <c r="AUL23" i="3" s="1"/>
  <c r="AUM23" i="3" s="1"/>
  <c r="AUN23" i="3" s="1"/>
  <c r="AUO23" i="3" s="1"/>
  <c r="AUP23" i="3" s="1"/>
  <c r="AUQ23" i="3" s="1"/>
  <c r="AUR23" i="3" s="1"/>
  <c r="AUS23" i="3" s="1"/>
  <c r="AUT23" i="3" s="1"/>
  <c r="AUU23" i="3" s="1"/>
  <c r="AUV23" i="3" s="1"/>
  <c r="AUW23" i="3" s="1"/>
  <c r="AUX23" i="3" s="1"/>
  <c r="AUY23" i="3" s="1"/>
  <c r="AUZ23" i="3" s="1"/>
  <c r="AVA23" i="3" s="1"/>
  <c r="AVB23" i="3" s="1"/>
  <c r="AVC23" i="3" s="1"/>
  <c r="AVD23" i="3" s="1"/>
  <c r="AVE23" i="3" s="1"/>
  <c r="AVF23" i="3" s="1"/>
  <c r="AVG23" i="3" s="1"/>
  <c r="AVH23" i="3" s="1"/>
  <c r="AVI23" i="3" s="1"/>
  <c r="AVJ23" i="3" s="1"/>
  <c r="AVK23" i="3" s="1"/>
  <c r="AVL23" i="3" s="1"/>
  <c r="AVM23" i="3" s="1"/>
  <c r="AVN23" i="3" s="1"/>
  <c r="AVO23" i="3" s="1"/>
  <c r="AVP23" i="3" s="1"/>
  <c r="AVQ23" i="3" s="1"/>
  <c r="AVR23" i="3" s="1"/>
  <c r="AVS23" i="3" s="1"/>
  <c r="AVT23" i="3" s="1"/>
  <c r="AVU23" i="3" s="1"/>
  <c r="AVV23" i="3" s="1"/>
  <c r="AVW23" i="3" s="1"/>
  <c r="AVX23" i="3" s="1"/>
  <c r="AVY23" i="3" s="1"/>
  <c r="AVZ23" i="3" s="1"/>
  <c r="AWA23" i="3" s="1"/>
  <c r="AWB23" i="3" s="1"/>
  <c r="AWC23" i="3" s="1"/>
  <c r="AWD23" i="3" s="1"/>
  <c r="AWE23" i="3" s="1"/>
  <c r="AWF23" i="3" s="1"/>
  <c r="AWG23" i="3" s="1"/>
  <c r="AWH23" i="3" s="1"/>
  <c r="AWI23" i="3" s="1"/>
  <c r="AWJ23" i="3" s="1"/>
  <c r="AWK23" i="3" s="1"/>
  <c r="AWL23" i="3" s="1"/>
  <c r="AWM23" i="3" s="1"/>
  <c r="AWN23" i="3" s="1"/>
  <c r="AWO23" i="3" s="1"/>
  <c r="AWP23" i="3" s="1"/>
  <c r="AWQ23" i="3" s="1"/>
  <c r="AWR23" i="3" s="1"/>
  <c r="AWS23" i="3" s="1"/>
  <c r="AWT23" i="3" s="1"/>
  <c r="AWU23" i="3" s="1"/>
  <c r="AWV23" i="3" s="1"/>
  <c r="AWW23" i="3" s="1"/>
  <c r="AWX23" i="3" s="1"/>
  <c r="AWY23" i="3" s="1"/>
  <c r="AWZ23" i="3" s="1"/>
  <c r="AXA23" i="3" s="1"/>
  <c r="AXB23" i="3" s="1"/>
  <c r="AXC23" i="3" s="1"/>
  <c r="AXD23" i="3" s="1"/>
  <c r="AXE23" i="3" s="1"/>
  <c r="AXF23" i="3" s="1"/>
  <c r="AXG23" i="3" s="1"/>
  <c r="AXH23" i="3" s="1"/>
  <c r="AXI23" i="3" s="1"/>
  <c r="AXJ23" i="3" s="1"/>
  <c r="AXK23" i="3" s="1"/>
  <c r="AXL23" i="3" s="1"/>
  <c r="AXM23" i="3" s="1"/>
  <c r="AXN23" i="3" s="1"/>
  <c r="AXO23" i="3" s="1"/>
  <c r="AXP23" i="3" s="1"/>
  <c r="AXQ23" i="3" s="1"/>
  <c r="AXR23" i="3" s="1"/>
  <c r="AXS23" i="3" s="1"/>
  <c r="AXT23" i="3" s="1"/>
  <c r="AXU23" i="3" s="1"/>
  <c r="AXV23" i="3" s="1"/>
  <c r="AXW23" i="3" s="1"/>
  <c r="AXX23" i="3" s="1"/>
  <c r="AXY23" i="3" s="1"/>
  <c r="AXZ23" i="3" s="1"/>
  <c r="AYA23" i="3" s="1"/>
  <c r="AYB23" i="3" s="1"/>
  <c r="AYC23" i="3" s="1"/>
  <c r="AYD23" i="3" s="1"/>
  <c r="AYE23" i="3" s="1"/>
  <c r="AYF23" i="3" s="1"/>
  <c r="AYG23" i="3" s="1"/>
  <c r="AYH23" i="3" s="1"/>
  <c r="AYI23" i="3" s="1"/>
  <c r="AYJ23" i="3" s="1"/>
  <c r="AYK23" i="3" s="1"/>
  <c r="AYL23" i="3" s="1"/>
  <c r="AYM23" i="3" s="1"/>
  <c r="AYN23" i="3" s="1"/>
  <c r="AYO23" i="3" s="1"/>
  <c r="AYP23" i="3" s="1"/>
  <c r="AYQ23" i="3" s="1"/>
  <c r="AYR23" i="3" s="1"/>
  <c r="AYS23" i="3" s="1"/>
  <c r="AYT23" i="3" s="1"/>
  <c r="AYU23" i="3" s="1"/>
  <c r="AYV23" i="3" s="1"/>
  <c r="AYW23" i="3" s="1"/>
  <c r="AYX23" i="3" s="1"/>
  <c r="AYY23" i="3" s="1"/>
  <c r="AYZ23" i="3" s="1"/>
  <c r="AZA23" i="3" s="1"/>
  <c r="AZB23" i="3" s="1"/>
  <c r="AZC23" i="3" s="1"/>
  <c r="AZD23" i="3" s="1"/>
  <c r="AZE23" i="3" s="1"/>
  <c r="AZF23" i="3" s="1"/>
  <c r="AZG23" i="3" s="1"/>
  <c r="AZH23" i="3" s="1"/>
  <c r="AZI23" i="3" s="1"/>
  <c r="AZJ23" i="3" s="1"/>
  <c r="AZK23" i="3" s="1"/>
  <c r="AZL23" i="3" s="1"/>
  <c r="AZM23" i="3" s="1"/>
  <c r="AZN23" i="3" s="1"/>
  <c r="AZO23" i="3" s="1"/>
  <c r="AZP23" i="3" s="1"/>
  <c r="AZQ23" i="3" s="1"/>
  <c r="AZR23" i="3" s="1"/>
  <c r="AZS23" i="3" s="1"/>
  <c r="AZT23" i="3" s="1"/>
  <c r="AZU23" i="3" s="1"/>
  <c r="AZV23" i="3" s="1"/>
  <c r="AZW23" i="3" s="1"/>
  <c r="AZX23" i="3" s="1"/>
  <c r="AZY23" i="3" s="1"/>
  <c r="AZZ23" i="3" s="1"/>
  <c r="BAA23" i="3" s="1"/>
  <c r="BAB23" i="3" s="1"/>
  <c r="BAC23" i="3" s="1"/>
  <c r="BAD23" i="3" s="1"/>
  <c r="BAE23" i="3" s="1"/>
  <c r="BAF23" i="3" s="1"/>
  <c r="BAG23" i="3" s="1"/>
  <c r="BAH23" i="3" s="1"/>
  <c r="BAI23" i="3" s="1"/>
  <c r="BAJ23" i="3" s="1"/>
  <c r="BAK23" i="3" s="1"/>
  <c r="BAL23" i="3" s="1"/>
  <c r="BAM23" i="3" s="1"/>
  <c r="BAN23" i="3" s="1"/>
  <c r="BAO23" i="3" s="1"/>
  <c r="BAP23" i="3" s="1"/>
  <c r="BAQ23" i="3" s="1"/>
  <c r="BAR23" i="3" s="1"/>
  <c r="BAS23" i="3" s="1"/>
  <c r="BAT23" i="3" s="1"/>
  <c r="BAU23" i="3" s="1"/>
  <c r="BAV23" i="3" s="1"/>
  <c r="BAW23" i="3" s="1"/>
  <c r="BAX23" i="3" s="1"/>
  <c r="BAY23" i="3" s="1"/>
  <c r="BAZ23" i="3" s="1"/>
  <c r="BBA23" i="3" s="1"/>
  <c r="BBB23" i="3" s="1"/>
  <c r="BBC23" i="3" s="1"/>
  <c r="BBD23" i="3" s="1"/>
  <c r="BBE23" i="3" s="1"/>
  <c r="BBF23" i="3" s="1"/>
  <c r="BBG23" i="3" s="1"/>
  <c r="BBH23" i="3" s="1"/>
  <c r="BBI23" i="3" s="1"/>
  <c r="BBJ23" i="3" s="1"/>
  <c r="BBK23" i="3" s="1"/>
  <c r="BBL23" i="3" s="1"/>
  <c r="BBM23" i="3" s="1"/>
  <c r="BBN23" i="3" s="1"/>
  <c r="BBO23" i="3" s="1"/>
  <c r="BBP23" i="3" s="1"/>
  <c r="BBQ23" i="3" s="1"/>
  <c r="BBR23" i="3" s="1"/>
  <c r="BBS23" i="3" s="1"/>
  <c r="BBT23" i="3" s="1"/>
  <c r="BBU23" i="3" s="1"/>
  <c r="BBV23" i="3" s="1"/>
  <c r="BBW23" i="3" s="1"/>
  <c r="BBX23" i="3" s="1"/>
  <c r="BBY23" i="3" s="1"/>
  <c r="BBZ23" i="3" s="1"/>
  <c r="BCA23" i="3" s="1"/>
  <c r="BCB23" i="3" s="1"/>
  <c r="BCC23" i="3" s="1"/>
  <c r="BCD23" i="3" s="1"/>
  <c r="BCE23" i="3" s="1"/>
  <c r="BCF23" i="3" s="1"/>
  <c r="BCG23" i="3" s="1"/>
  <c r="BCH23" i="3" s="1"/>
  <c r="BCI23" i="3" s="1"/>
  <c r="BCJ23" i="3" s="1"/>
  <c r="BCK23" i="3" s="1"/>
  <c r="BCL23" i="3" s="1"/>
  <c r="BCM23" i="3" s="1"/>
  <c r="BCN23" i="3" s="1"/>
  <c r="BCO23" i="3" s="1"/>
  <c r="BCP23" i="3" s="1"/>
  <c r="BCQ23" i="3" s="1"/>
  <c r="BCR23" i="3" s="1"/>
  <c r="BCS23" i="3" s="1"/>
  <c r="BCT23" i="3" s="1"/>
  <c r="BCU23" i="3" s="1"/>
  <c r="BCV23" i="3" s="1"/>
  <c r="BCW23" i="3" s="1"/>
  <c r="BCX23" i="3" s="1"/>
  <c r="BCY23" i="3" s="1"/>
  <c r="BCZ23" i="3" s="1"/>
  <c r="BDA23" i="3" s="1"/>
  <c r="BDB23" i="3" s="1"/>
  <c r="BDC23" i="3" s="1"/>
  <c r="BDD23" i="3" s="1"/>
  <c r="BDE23" i="3" s="1"/>
  <c r="BDF23" i="3" s="1"/>
  <c r="BDG23" i="3" s="1"/>
  <c r="BDH23" i="3" s="1"/>
  <c r="BDI23" i="3" s="1"/>
  <c r="BDJ23" i="3" s="1"/>
  <c r="BDK23" i="3" s="1"/>
  <c r="BDL23" i="3" s="1"/>
  <c r="BDM23" i="3" s="1"/>
  <c r="BDN23" i="3" s="1"/>
  <c r="BDO23" i="3" s="1"/>
  <c r="BDP23" i="3" s="1"/>
  <c r="BDQ23" i="3" s="1"/>
  <c r="BDR23" i="3" s="1"/>
  <c r="BDS23" i="3" s="1"/>
  <c r="BDT23" i="3" s="1"/>
  <c r="BDU23" i="3" s="1"/>
  <c r="BDV23" i="3" s="1"/>
  <c r="BDW23" i="3" s="1"/>
  <c r="BDX23" i="3" s="1"/>
  <c r="BDY23" i="3" s="1"/>
  <c r="BDZ23" i="3" s="1"/>
  <c r="BEA23" i="3" s="1"/>
  <c r="BEB23" i="3" s="1"/>
  <c r="BEC23" i="3" s="1"/>
  <c r="BED23" i="3" s="1"/>
  <c r="BEE23" i="3" s="1"/>
  <c r="BEF23" i="3" s="1"/>
  <c r="BEG23" i="3" s="1"/>
  <c r="BEH23" i="3" s="1"/>
  <c r="BEI23" i="3" s="1"/>
  <c r="BEJ23" i="3" s="1"/>
  <c r="BEK23" i="3" s="1"/>
  <c r="BEL23" i="3" s="1"/>
  <c r="BEM23" i="3" s="1"/>
  <c r="BEN23" i="3" s="1"/>
  <c r="BEO23" i="3" s="1"/>
  <c r="BEP23" i="3" s="1"/>
  <c r="BEQ23" i="3" s="1"/>
  <c r="BER23" i="3" s="1"/>
  <c r="BES23" i="3" s="1"/>
  <c r="BET23" i="3" s="1"/>
  <c r="BEU23" i="3" s="1"/>
  <c r="BEV23" i="3" s="1"/>
  <c r="BEW23" i="3" s="1"/>
  <c r="BEX23" i="3" s="1"/>
  <c r="BEY23" i="3" s="1"/>
  <c r="BEZ23" i="3" s="1"/>
  <c r="BFA23" i="3" s="1"/>
  <c r="BFB23" i="3" s="1"/>
  <c r="BFC23" i="3" s="1"/>
  <c r="BFD23" i="3" s="1"/>
  <c r="BFE23" i="3" s="1"/>
  <c r="BFF23" i="3" s="1"/>
  <c r="BFG23" i="3" s="1"/>
  <c r="BFH23" i="3" s="1"/>
  <c r="BFI23" i="3" s="1"/>
  <c r="BFJ23" i="3" s="1"/>
  <c r="BFK23" i="3" s="1"/>
  <c r="BFL23" i="3" s="1"/>
  <c r="BFM23" i="3" s="1"/>
  <c r="BFN23" i="3" s="1"/>
  <c r="BFO23" i="3" s="1"/>
  <c r="BFP23" i="3" s="1"/>
  <c r="BFQ23" i="3" s="1"/>
  <c r="BFR23" i="3" s="1"/>
  <c r="BFS23" i="3" s="1"/>
  <c r="BFT23" i="3" s="1"/>
  <c r="BFU23" i="3" s="1"/>
  <c r="BFV23" i="3" s="1"/>
  <c r="BFW23" i="3" s="1"/>
  <c r="BFX23" i="3" s="1"/>
  <c r="BFY23" i="3" s="1"/>
  <c r="BFZ23" i="3" s="1"/>
  <c r="BGA23" i="3" s="1"/>
  <c r="BGB23" i="3" s="1"/>
  <c r="BGC23" i="3" s="1"/>
  <c r="BGD23" i="3" s="1"/>
  <c r="BGE23" i="3" s="1"/>
  <c r="BGF23" i="3" s="1"/>
  <c r="BGG23" i="3" s="1"/>
  <c r="BGH23" i="3" s="1"/>
  <c r="BGI23" i="3" s="1"/>
  <c r="BGJ23" i="3" s="1"/>
  <c r="BGK23" i="3" s="1"/>
  <c r="BGL23" i="3" s="1"/>
  <c r="BGM23" i="3" s="1"/>
  <c r="BGN23" i="3" s="1"/>
  <c r="BGO23" i="3" s="1"/>
  <c r="BGP23" i="3" s="1"/>
  <c r="BGQ23" i="3" s="1"/>
  <c r="BGR23" i="3" s="1"/>
  <c r="BGS23" i="3" s="1"/>
  <c r="BGT23" i="3" s="1"/>
  <c r="BGU23" i="3" s="1"/>
  <c r="BGV23" i="3" s="1"/>
  <c r="BGW23" i="3" s="1"/>
  <c r="BGX23" i="3" s="1"/>
  <c r="BGY23" i="3" s="1"/>
  <c r="BGZ23" i="3" s="1"/>
  <c r="BHA23" i="3" s="1"/>
  <c r="BHB23" i="3" s="1"/>
  <c r="BHC23" i="3" s="1"/>
  <c r="BHD23" i="3" s="1"/>
  <c r="BHE23" i="3" s="1"/>
  <c r="BHF23" i="3" s="1"/>
  <c r="BHG23" i="3" s="1"/>
  <c r="BHH23" i="3" s="1"/>
  <c r="BHI23" i="3" s="1"/>
  <c r="BHJ23" i="3" s="1"/>
  <c r="BHK23" i="3" s="1"/>
  <c r="BHL23" i="3" s="1"/>
  <c r="BHM23" i="3" s="1"/>
  <c r="BHN23" i="3" s="1"/>
  <c r="BHO23" i="3" s="1"/>
  <c r="BHP23" i="3" s="1"/>
  <c r="BHQ23" i="3" s="1"/>
  <c r="BHR23" i="3" s="1"/>
  <c r="BHS23" i="3" s="1"/>
  <c r="BHT23" i="3" s="1"/>
  <c r="BHU23" i="3" s="1"/>
  <c r="BHV23" i="3" s="1"/>
  <c r="BHW23" i="3" s="1"/>
  <c r="BHX23" i="3" s="1"/>
  <c r="BHY23" i="3" s="1"/>
  <c r="BHZ23" i="3" s="1"/>
  <c r="BIA23" i="3" s="1"/>
  <c r="BIB23" i="3" s="1"/>
  <c r="BIC23" i="3" s="1"/>
  <c r="BID23" i="3" s="1"/>
  <c r="BIE23" i="3" s="1"/>
  <c r="BIF23" i="3" s="1"/>
  <c r="BIG23" i="3" s="1"/>
  <c r="BIH23" i="3" s="1"/>
  <c r="BII23" i="3" s="1"/>
  <c r="BIJ23" i="3" s="1"/>
  <c r="BIK23" i="3" s="1"/>
  <c r="BIL23" i="3" s="1"/>
  <c r="BIM23" i="3" s="1"/>
  <c r="BIN23" i="3" s="1"/>
  <c r="BIO23" i="3" s="1"/>
  <c r="BIP23" i="3" s="1"/>
  <c r="BIQ23" i="3" s="1"/>
  <c r="BIR23" i="3" s="1"/>
  <c r="BIS23" i="3" s="1"/>
  <c r="BIT23" i="3" s="1"/>
  <c r="BIU23" i="3" s="1"/>
  <c r="BIV23" i="3" s="1"/>
  <c r="BIW23" i="3" s="1"/>
  <c r="BIX23" i="3" s="1"/>
  <c r="BIY23" i="3" s="1"/>
  <c r="BIZ23" i="3" s="1"/>
  <c r="BJA23" i="3" s="1"/>
  <c r="BJB23" i="3" s="1"/>
  <c r="BJC23" i="3" s="1"/>
  <c r="BJD23" i="3" s="1"/>
  <c r="BJE23" i="3" s="1"/>
  <c r="BJF23" i="3" s="1"/>
  <c r="BJG23" i="3" s="1"/>
  <c r="BJH23" i="3" s="1"/>
  <c r="BJI23" i="3" s="1"/>
  <c r="BJJ23" i="3" s="1"/>
  <c r="BJK23" i="3" s="1"/>
  <c r="BJL23" i="3" s="1"/>
  <c r="BJM23" i="3" s="1"/>
  <c r="BJN23" i="3" s="1"/>
  <c r="BJO23" i="3" s="1"/>
  <c r="BJP23" i="3" s="1"/>
  <c r="BJQ23" i="3" s="1"/>
  <c r="BJR23" i="3" s="1"/>
  <c r="BJS23" i="3" s="1"/>
  <c r="BJT23" i="3" s="1"/>
  <c r="BJU23" i="3" s="1"/>
  <c r="BJV23" i="3" s="1"/>
  <c r="BJW23" i="3" s="1"/>
  <c r="BJX23" i="3" s="1"/>
  <c r="BJY23" i="3" s="1"/>
  <c r="BJZ23" i="3" s="1"/>
  <c r="BKA23" i="3" s="1"/>
  <c r="BKB23" i="3" s="1"/>
  <c r="BKC23" i="3" s="1"/>
  <c r="BKD23" i="3" s="1"/>
  <c r="BKE23" i="3" s="1"/>
  <c r="BKF23" i="3" s="1"/>
  <c r="BKG23" i="3" s="1"/>
  <c r="BKH23" i="3" s="1"/>
  <c r="BKI23" i="3" s="1"/>
  <c r="BKJ23" i="3" s="1"/>
  <c r="BKK23" i="3" s="1"/>
  <c r="BKL23" i="3" s="1"/>
  <c r="BKM23" i="3" s="1"/>
  <c r="BKN23" i="3" s="1"/>
  <c r="BKO23" i="3" s="1"/>
  <c r="BKP23" i="3" s="1"/>
  <c r="BKQ23" i="3" s="1"/>
  <c r="BKR23" i="3" s="1"/>
  <c r="BKS23" i="3" s="1"/>
  <c r="BKT23" i="3" s="1"/>
  <c r="BKU23" i="3" s="1"/>
  <c r="BKV23" i="3" s="1"/>
  <c r="BKW23" i="3" s="1"/>
  <c r="BKX23" i="3" s="1"/>
  <c r="BKY23" i="3" s="1"/>
  <c r="BKZ23" i="3" s="1"/>
  <c r="BLA23" i="3" s="1"/>
  <c r="BLB23" i="3" s="1"/>
  <c r="BLC23" i="3" s="1"/>
  <c r="BLD23" i="3" s="1"/>
  <c r="BLE23" i="3" s="1"/>
  <c r="BLF23" i="3" s="1"/>
  <c r="BLG23" i="3" s="1"/>
  <c r="BLH23" i="3" s="1"/>
  <c r="BLI23" i="3" s="1"/>
  <c r="BLJ23" i="3" s="1"/>
  <c r="BLK23" i="3" s="1"/>
  <c r="BLL23" i="3" s="1"/>
  <c r="BLM23" i="3" s="1"/>
  <c r="BLN23" i="3" s="1"/>
  <c r="BLO23" i="3" s="1"/>
  <c r="BLP23" i="3" s="1"/>
  <c r="BLQ23" i="3" s="1"/>
  <c r="BLR23" i="3" s="1"/>
  <c r="BLS23" i="3" s="1"/>
  <c r="BLT23" i="3" s="1"/>
  <c r="BLU23" i="3" s="1"/>
  <c r="BLV23" i="3" s="1"/>
  <c r="BLW23" i="3" s="1"/>
  <c r="BLX23" i="3" s="1"/>
  <c r="BLY23" i="3" s="1"/>
  <c r="BLZ23" i="3" s="1"/>
  <c r="BMA23" i="3" s="1"/>
  <c r="BMB23" i="3" s="1"/>
  <c r="BMC23" i="3" s="1"/>
  <c r="BMD23" i="3" s="1"/>
  <c r="BME23" i="3" s="1"/>
  <c r="BMF23" i="3" s="1"/>
  <c r="BMG23" i="3" s="1"/>
  <c r="BMH23" i="3" s="1"/>
  <c r="BMI23" i="3" s="1"/>
  <c r="BMJ23" i="3" s="1"/>
  <c r="BMK23" i="3" s="1"/>
  <c r="BML23" i="3" s="1"/>
  <c r="BMM23" i="3" s="1"/>
  <c r="BMN23" i="3" s="1"/>
  <c r="BMO23" i="3" s="1"/>
  <c r="BMP23" i="3" s="1"/>
  <c r="BMQ23" i="3" s="1"/>
  <c r="BMR23" i="3" s="1"/>
  <c r="BMS23" i="3" s="1"/>
  <c r="BMT23" i="3" s="1"/>
  <c r="BMU23" i="3" s="1"/>
  <c r="BMV23" i="3" s="1"/>
  <c r="BMW23" i="3" s="1"/>
  <c r="BMX23" i="3" s="1"/>
  <c r="BMY23" i="3" s="1"/>
  <c r="BMZ23" i="3" s="1"/>
  <c r="BNA23" i="3" s="1"/>
  <c r="BNB23" i="3" s="1"/>
  <c r="BNC23" i="3" s="1"/>
  <c r="BND23" i="3" s="1"/>
  <c r="BNE23" i="3" s="1"/>
  <c r="BNF23" i="3" s="1"/>
  <c r="BNG23" i="3" s="1"/>
  <c r="BNH23" i="3" s="1"/>
  <c r="BNI23" i="3" s="1"/>
  <c r="BNJ23" i="3" s="1"/>
  <c r="BNK23" i="3" s="1"/>
  <c r="BNL23" i="3" s="1"/>
  <c r="BNM23" i="3" s="1"/>
  <c r="BNN23" i="3" s="1"/>
  <c r="BNO23" i="3" s="1"/>
  <c r="BNP23" i="3" s="1"/>
  <c r="BNQ23" i="3" s="1"/>
  <c r="BNR23" i="3" s="1"/>
  <c r="BNS23" i="3" s="1"/>
  <c r="BNT23" i="3" s="1"/>
  <c r="BNU23" i="3" s="1"/>
  <c r="BNV23" i="3" s="1"/>
  <c r="BNW23" i="3" s="1"/>
  <c r="BNX23" i="3" s="1"/>
  <c r="BNY23" i="3" s="1"/>
  <c r="BNZ23" i="3" s="1"/>
  <c r="BOA23" i="3" s="1"/>
  <c r="BOB23" i="3" s="1"/>
  <c r="BOC23" i="3" s="1"/>
  <c r="BOD23" i="3" s="1"/>
  <c r="BOE23" i="3" s="1"/>
  <c r="BOF23" i="3" s="1"/>
  <c r="BOG23" i="3" s="1"/>
  <c r="BOH23" i="3" s="1"/>
  <c r="BOI23" i="3" s="1"/>
  <c r="BOJ23" i="3" s="1"/>
  <c r="BOK23" i="3" s="1"/>
  <c r="BOL23" i="3" s="1"/>
  <c r="BOM23" i="3" s="1"/>
  <c r="BON23" i="3" s="1"/>
  <c r="BOO23" i="3" s="1"/>
  <c r="BOP23" i="3" s="1"/>
  <c r="BOQ23" i="3" s="1"/>
  <c r="BOR23" i="3" s="1"/>
  <c r="BOS23" i="3" s="1"/>
  <c r="BOT23" i="3" s="1"/>
  <c r="BOU23" i="3" s="1"/>
  <c r="BOV23" i="3" s="1"/>
  <c r="BOW23" i="3" s="1"/>
  <c r="BOX23" i="3" s="1"/>
  <c r="BOY23" i="3" s="1"/>
  <c r="BOZ23" i="3" s="1"/>
  <c r="BPA23" i="3" s="1"/>
  <c r="BPB23" i="3" s="1"/>
  <c r="BPC23" i="3" s="1"/>
  <c r="BPD23" i="3" s="1"/>
  <c r="BPE23" i="3" s="1"/>
  <c r="BPF23" i="3" s="1"/>
  <c r="BPG23" i="3" s="1"/>
  <c r="BPH23" i="3" s="1"/>
  <c r="BPI23" i="3" s="1"/>
  <c r="BPJ23" i="3" s="1"/>
  <c r="BPK23" i="3" s="1"/>
  <c r="BPL23" i="3" s="1"/>
  <c r="BPM23" i="3" s="1"/>
  <c r="BPN23" i="3" s="1"/>
  <c r="BPO23" i="3" s="1"/>
  <c r="BPP23" i="3" s="1"/>
  <c r="BPQ23" i="3" s="1"/>
  <c r="BPR23" i="3" s="1"/>
  <c r="BPS23" i="3" s="1"/>
  <c r="BPT23" i="3" s="1"/>
  <c r="BPU23" i="3" s="1"/>
  <c r="BPV23" i="3" s="1"/>
  <c r="BPW23" i="3" s="1"/>
  <c r="BPX23" i="3" s="1"/>
  <c r="BPY23" i="3" s="1"/>
  <c r="BPZ23" i="3" s="1"/>
  <c r="BQA23" i="3" s="1"/>
  <c r="BQB23" i="3" s="1"/>
  <c r="BQC23" i="3" s="1"/>
  <c r="BQD23" i="3" s="1"/>
  <c r="BQE23" i="3" s="1"/>
  <c r="BQF23" i="3" s="1"/>
  <c r="BQG23" i="3" s="1"/>
  <c r="BQH23" i="3" s="1"/>
  <c r="BQI23" i="3" s="1"/>
  <c r="BQJ23" i="3" s="1"/>
  <c r="BQK23" i="3" s="1"/>
  <c r="BQL23" i="3" s="1"/>
  <c r="BQM23" i="3" s="1"/>
  <c r="BQN23" i="3" s="1"/>
  <c r="BQO23" i="3" s="1"/>
  <c r="BQP23" i="3" s="1"/>
  <c r="BQQ23" i="3" s="1"/>
  <c r="BQR23" i="3" s="1"/>
  <c r="BQS23" i="3" s="1"/>
  <c r="BQT23" i="3" s="1"/>
  <c r="BQU23" i="3" s="1"/>
  <c r="BQV23" i="3" s="1"/>
  <c r="BQW23" i="3" s="1"/>
  <c r="BQX23" i="3" s="1"/>
  <c r="BQY23" i="3" s="1"/>
  <c r="BQZ23" i="3" s="1"/>
  <c r="BRA23" i="3" s="1"/>
  <c r="BRB23" i="3" s="1"/>
  <c r="BRC23" i="3" s="1"/>
  <c r="BRD23" i="3" s="1"/>
  <c r="BRE23" i="3" s="1"/>
  <c r="BRF23" i="3" s="1"/>
  <c r="BRG23" i="3" s="1"/>
  <c r="BRH23" i="3" s="1"/>
  <c r="BRI23" i="3" s="1"/>
  <c r="BRJ23" i="3" s="1"/>
  <c r="BRK23" i="3" s="1"/>
  <c r="BRL23" i="3" s="1"/>
  <c r="BRM23" i="3" s="1"/>
  <c r="BRN23" i="3" s="1"/>
  <c r="BRO23" i="3" s="1"/>
  <c r="BRP23" i="3" s="1"/>
  <c r="BRQ23" i="3" s="1"/>
  <c r="BRR23" i="3" s="1"/>
  <c r="BRS23" i="3" s="1"/>
  <c r="BRT23" i="3" s="1"/>
  <c r="BRU23" i="3" s="1"/>
  <c r="BRV23" i="3" s="1"/>
  <c r="BRW23" i="3" s="1"/>
  <c r="BRX23" i="3" s="1"/>
  <c r="BRY23" i="3" s="1"/>
  <c r="BRZ23" i="3" s="1"/>
  <c r="BSA23" i="3" s="1"/>
  <c r="BSB23" i="3" s="1"/>
  <c r="BSC23" i="3" s="1"/>
  <c r="BSD23" i="3" s="1"/>
  <c r="BSE23" i="3" s="1"/>
  <c r="BSF23" i="3" s="1"/>
  <c r="BSG23" i="3" s="1"/>
  <c r="BSH23" i="3" s="1"/>
  <c r="BSI23" i="3" s="1"/>
  <c r="BSJ23" i="3" s="1"/>
  <c r="BSK23" i="3" s="1"/>
  <c r="BSL23" i="3" s="1"/>
  <c r="BSM23" i="3" s="1"/>
  <c r="BSN23" i="3" s="1"/>
  <c r="BSO23" i="3" s="1"/>
  <c r="BSP23" i="3" s="1"/>
  <c r="BSQ23" i="3" s="1"/>
  <c r="BSR23" i="3" s="1"/>
  <c r="BSS23" i="3" s="1"/>
  <c r="BST23" i="3" s="1"/>
  <c r="BSU23" i="3" s="1"/>
  <c r="BSV23" i="3" s="1"/>
  <c r="BSW23" i="3" s="1"/>
  <c r="BSX23" i="3" s="1"/>
  <c r="BSY23" i="3" s="1"/>
  <c r="BSZ23" i="3" s="1"/>
  <c r="BTA23" i="3" s="1"/>
  <c r="BTB23" i="3" s="1"/>
  <c r="BTC23" i="3" s="1"/>
  <c r="BTD23" i="3" s="1"/>
  <c r="BTE23" i="3" s="1"/>
  <c r="BTF23" i="3" s="1"/>
  <c r="BTG23" i="3" s="1"/>
  <c r="BTH23" i="3" s="1"/>
  <c r="BTI23" i="3" s="1"/>
  <c r="BTJ23" i="3" s="1"/>
  <c r="BTK23" i="3" s="1"/>
  <c r="BTL23" i="3" s="1"/>
  <c r="BTM23" i="3" s="1"/>
  <c r="BTN23" i="3" s="1"/>
  <c r="BTO23" i="3" s="1"/>
  <c r="BTP23" i="3" s="1"/>
  <c r="BTQ23" i="3" s="1"/>
  <c r="BTR23" i="3" s="1"/>
  <c r="BTS23" i="3" s="1"/>
  <c r="BTT23" i="3" s="1"/>
  <c r="BTU23" i="3" s="1"/>
  <c r="BTV23" i="3" s="1"/>
  <c r="BTW23" i="3" s="1"/>
  <c r="BTX23" i="3" s="1"/>
  <c r="BTY23" i="3" s="1"/>
  <c r="BTZ23" i="3" s="1"/>
  <c r="BUA23" i="3" s="1"/>
  <c r="BUB23" i="3" s="1"/>
  <c r="BUC23" i="3" s="1"/>
  <c r="BUD23" i="3" s="1"/>
  <c r="BUE23" i="3" s="1"/>
  <c r="BUF23" i="3" s="1"/>
  <c r="BUG23" i="3" s="1"/>
  <c r="BUH23" i="3" s="1"/>
  <c r="BUI23" i="3" s="1"/>
  <c r="BUJ23" i="3" s="1"/>
  <c r="BUK23" i="3" s="1"/>
  <c r="BUL23" i="3" s="1"/>
  <c r="BUM23" i="3" s="1"/>
  <c r="BUN23" i="3" s="1"/>
  <c r="BUO23" i="3" s="1"/>
  <c r="BUP23" i="3" s="1"/>
  <c r="BUQ23" i="3" s="1"/>
  <c r="BUR23" i="3" s="1"/>
  <c r="BUS23" i="3" s="1"/>
  <c r="BUT23" i="3" s="1"/>
  <c r="BUU23" i="3" s="1"/>
  <c r="BUV23" i="3" s="1"/>
  <c r="BUW23" i="3" s="1"/>
  <c r="BUX23" i="3" s="1"/>
  <c r="BUY23" i="3" s="1"/>
  <c r="BUZ23" i="3" s="1"/>
  <c r="BVA23" i="3" s="1"/>
  <c r="BVB23" i="3" s="1"/>
  <c r="BVC23" i="3" s="1"/>
  <c r="BVD23" i="3" s="1"/>
  <c r="BVE23" i="3" s="1"/>
  <c r="BVF23" i="3" s="1"/>
  <c r="BVG23" i="3" s="1"/>
  <c r="BVH23" i="3" s="1"/>
  <c r="BVI23" i="3" s="1"/>
  <c r="BVJ23" i="3" s="1"/>
  <c r="BVK23" i="3" s="1"/>
  <c r="BVL23" i="3" s="1"/>
  <c r="BVM23" i="3" s="1"/>
  <c r="BVN23" i="3" s="1"/>
  <c r="BVO23" i="3" s="1"/>
  <c r="BVP23" i="3" s="1"/>
  <c r="BVQ23" i="3" s="1"/>
  <c r="BVR23" i="3" s="1"/>
  <c r="BVS23" i="3" s="1"/>
  <c r="BVT23" i="3" s="1"/>
  <c r="BVU23" i="3" s="1"/>
  <c r="BVV23" i="3" s="1"/>
  <c r="BVW23" i="3" s="1"/>
  <c r="BVX23" i="3" s="1"/>
  <c r="BVY23" i="3" s="1"/>
  <c r="BVZ23" i="3" s="1"/>
  <c r="BWA23" i="3" s="1"/>
  <c r="BWB23" i="3" s="1"/>
  <c r="BWC23" i="3" s="1"/>
  <c r="BWD23" i="3" s="1"/>
  <c r="BWE23" i="3" s="1"/>
  <c r="BWF23" i="3" s="1"/>
  <c r="BWG23" i="3" s="1"/>
  <c r="BWH23" i="3" s="1"/>
  <c r="BWI23" i="3" s="1"/>
  <c r="BWJ23" i="3" s="1"/>
  <c r="BWK23" i="3" s="1"/>
  <c r="BWL23" i="3" s="1"/>
  <c r="BWM23" i="3" s="1"/>
  <c r="BWN23" i="3" s="1"/>
  <c r="BWO23" i="3" s="1"/>
  <c r="BWP23" i="3" s="1"/>
  <c r="BWQ23" i="3" s="1"/>
  <c r="BWR23" i="3" s="1"/>
  <c r="BWS23" i="3" s="1"/>
  <c r="BWT23" i="3" s="1"/>
  <c r="BWU23" i="3" s="1"/>
  <c r="BWV23" i="3" s="1"/>
  <c r="BWW23" i="3" s="1"/>
  <c r="BWX23" i="3" s="1"/>
  <c r="BWY23" i="3" s="1"/>
  <c r="BWZ23" i="3" s="1"/>
  <c r="BXA23" i="3" s="1"/>
  <c r="BXB23" i="3" s="1"/>
  <c r="BXC23" i="3" s="1"/>
  <c r="BXD23" i="3" s="1"/>
  <c r="BXE23" i="3" s="1"/>
  <c r="BXF23" i="3" s="1"/>
  <c r="BXG23" i="3" s="1"/>
  <c r="BXH23" i="3" s="1"/>
  <c r="BXI23" i="3" s="1"/>
  <c r="BXJ23" i="3" s="1"/>
  <c r="BXK23" i="3" s="1"/>
  <c r="BXL23" i="3" s="1"/>
  <c r="BXM23" i="3" s="1"/>
  <c r="BXN23" i="3" s="1"/>
  <c r="BXO23" i="3" s="1"/>
  <c r="BXP23" i="3" s="1"/>
  <c r="BXQ23" i="3" s="1"/>
  <c r="BXR23" i="3" s="1"/>
  <c r="BXS23" i="3" s="1"/>
  <c r="BXT23" i="3" s="1"/>
  <c r="BXU23" i="3" s="1"/>
  <c r="BXV23" i="3" s="1"/>
  <c r="BXW23" i="3" s="1"/>
  <c r="BXX23" i="3" s="1"/>
  <c r="BXY23" i="3" s="1"/>
  <c r="BXZ23" i="3" s="1"/>
  <c r="BYA23" i="3" s="1"/>
  <c r="BYB23" i="3" s="1"/>
  <c r="BYC23" i="3" s="1"/>
  <c r="BYD23" i="3" s="1"/>
  <c r="BYE23" i="3" s="1"/>
  <c r="BYF23" i="3" s="1"/>
  <c r="BYG23" i="3" s="1"/>
  <c r="BYH23" i="3" s="1"/>
  <c r="BYI23" i="3" s="1"/>
  <c r="BYJ23" i="3" s="1"/>
  <c r="BYK23" i="3" s="1"/>
  <c r="BYL23" i="3" s="1"/>
  <c r="BYM23" i="3" s="1"/>
  <c r="BYN23" i="3" s="1"/>
  <c r="BYO23" i="3" s="1"/>
  <c r="BYP23" i="3" s="1"/>
  <c r="BYQ23" i="3" s="1"/>
  <c r="BYR23" i="3" s="1"/>
  <c r="BYS23" i="3" s="1"/>
  <c r="BYT23" i="3" s="1"/>
  <c r="BYU23" i="3" s="1"/>
  <c r="BYV23" i="3" s="1"/>
  <c r="BYW23" i="3" s="1"/>
  <c r="BYX23" i="3" s="1"/>
  <c r="BYY23" i="3" s="1"/>
  <c r="BYZ23" i="3" s="1"/>
  <c r="BZA23" i="3" s="1"/>
  <c r="BZB23" i="3" s="1"/>
  <c r="BZC23" i="3" s="1"/>
  <c r="BZD23" i="3" s="1"/>
  <c r="BZE23" i="3" s="1"/>
  <c r="BZF23" i="3" s="1"/>
  <c r="BZG23" i="3" s="1"/>
  <c r="BZH23" i="3" s="1"/>
  <c r="BZI23" i="3" s="1"/>
  <c r="BZJ23" i="3" s="1"/>
  <c r="BZK23" i="3" s="1"/>
  <c r="BZL23" i="3" s="1"/>
  <c r="BZM23" i="3" s="1"/>
  <c r="BZN23" i="3" s="1"/>
  <c r="BZO23" i="3" s="1"/>
  <c r="BZP23" i="3" s="1"/>
  <c r="BZQ23" i="3" s="1"/>
  <c r="BZR23" i="3" s="1"/>
  <c r="BZS23" i="3" s="1"/>
  <c r="BZT23" i="3" s="1"/>
  <c r="BZU23" i="3" s="1"/>
  <c r="BZV23" i="3" s="1"/>
  <c r="BZW23" i="3" s="1"/>
  <c r="BZX23" i="3" s="1"/>
  <c r="BZY23" i="3" s="1"/>
  <c r="BZZ23" i="3" s="1"/>
  <c r="CAA23" i="3" s="1"/>
  <c r="CAB23" i="3" s="1"/>
  <c r="CAC23" i="3" s="1"/>
  <c r="CAD23" i="3" s="1"/>
  <c r="CAE23" i="3" s="1"/>
  <c r="CAF23" i="3" s="1"/>
  <c r="CAG23" i="3" s="1"/>
  <c r="CAH23" i="3" s="1"/>
  <c r="CAI23" i="3" s="1"/>
  <c r="CAJ23" i="3" s="1"/>
  <c r="CAK23" i="3" s="1"/>
  <c r="CAL23" i="3" s="1"/>
  <c r="CAM23" i="3" s="1"/>
  <c r="CAN23" i="3" s="1"/>
  <c r="CAO23" i="3" s="1"/>
  <c r="CAP23" i="3" s="1"/>
  <c r="CAQ23" i="3" s="1"/>
  <c r="CAR23" i="3" s="1"/>
  <c r="CAS23" i="3" s="1"/>
  <c r="CAT23" i="3" s="1"/>
  <c r="CAU23" i="3" s="1"/>
  <c r="CAV23" i="3" s="1"/>
  <c r="CAW23" i="3" s="1"/>
  <c r="CAX23" i="3" s="1"/>
  <c r="CAY23" i="3" s="1"/>
  <c r="CAZ23" i="3" s="1"/>
  <c r="CBA23" i="3" s="1"/>
  <c r="CBB23" i="3" s="1"/>
  <c r="CBC23" i="3" s="1"/>
  <c r="CBD23" i="3" s="1"/>
  <c r="CBE23" i="3" s="1"/>
  <c r="CBF23" i="3" s="1"/>
  <c r="CBG23" i="3" s="1"/>
  <c r="CBH23" i="3" s="1"/>
  <c r="CBI23" i="3" s="1"/>
  <c r="CBJ23" i="3" s="1"/>
  <c r="CBK23" i="3" s="1"/>
  <c r="CBL23" i="3" s="1"/>
  <c r="CBM23" i="3" s="1"/>
  <c r="CBN23" i="3" s="1"/>
  <c r="CBO23" i="3" s="1"/>
  <c r="CBP23" i="3" s="1"/>
  <c r="CBQ23" i="3" s="1"/>
  <c r="CBR23" i="3" s="1"/>
  <c r="CBS23" i="3" s="1"/>
  <c r="CBT23" i="3" s="1"/>
  <c r="CBU23" i="3" s="1"/>
  <c r="CBV23" i="3" s="1"/>
  <c r="CBW23" i="3" s="1"/>
  <c r="CBX23" i="3" s="1"/>
  <c r="CBY23" i="3" s="1"/>
  <c r="CBZ23" i="3" s="1"/>
  <c r="CCA23" i="3" s="1"/>
  <c r="CCB23" i="3" s="1"/>
  <c r="CCC23" i="3" s="1"/>
  <c r="CCD23" i="3" s="1"/>
  <c r="CCE23" i="3" s="1"/>
  <c r="CCF23" i="3" s="1"/>
  <c r="CCG23" i="3" s="1"/>
  <c r="CCH23" i="3" s="1"/>
  <c r="CCI23" i="3" s="1"/>
  <c r="CCJ23" i="3" s="1"/>
  <c r="CCK23" i="3" s="1"/>
  <c r="CCL23" i="3" s="1"/>
  <c r="CCM23" i="3" s="1"/>
  <c r="CCN23" i="3" s="1"/>
  <c r="CCO23" i="3" s="1"/>
  <c r="CCP23" i="3" s="1"/>
  <c r="CCQ23" i="3" s="1"/>
  <c r="CCR23" i="3" s="1"/>
  <c r="CCS23" i="3" s="1"/>
  <c r="CCT23" i="3" s="1"/>
  <c r="CCU23" i="3" s="1"/>
  <c r="CCV23" i="3" s="1"/>
  <c r="CCW23" i="3" s="1"/>
  <c r="CCX23" i="3" s="1"/>
  <c r="CCY23" i="3" s="1"/>
  <c r="CCZ23" i="3" s="1"/>
  <c r="CDA23" i="3" s="1"/>
  <c r="CDB23" i="3" s="1"/>
  <c r="CDC23" i="3" s="1"/>
  <c r="CDD23" i="3" s="1"/>
  <c r="CDE23" i="3" s="1"/>
  <c r="CDF23" i="3" s="1"/>
  <c r="CDG23" i="3" s="1"/>
  <c r="CDH23" i="3" s="1"/>
  <c r="CDI23" i="3" s="1"/>
  <c r="CDJ23" i="3" s="1"/>
  <c r="CDK23" i="3" s="1"/>
  <c r="CDL23" i="3" s="1"/>
  <c r="CDM23" i="3" s="1"/>
  <c r="CDN23" i="3" s="1"/>
  <c r="CDO23" i="3" s="1"/>
  <c r="CDP23" i="3" s="1"/>
  <c r="CDQ23" i="3" s="1"/>
  <c r="CDR23" i="3" s="1"/>
  <c r="CDS23" i="3" s="1"/>
  <c r="CDT23" i="3" s="1"/>
  <c r="CDU23" i="3" s="1"/>
  <c r="CDV23" i="3" s="1"/>
  <c r="CDW23" i="3" s="1"/>
  <c r="CDX23" i="3" s="1"/>
  <c r="CDY23" i="3" s="1"/>
  <c r="CDZ23" i="3" s="1"/>
  <c r="CEA23" i="3" s="1"/>
  <c r="CEB23" i="3" s="1"/>
  <c r="CEC23" i="3" s="1"/>
  <c r="CED23" i="3" s="1"/>
  <c r="CEE23" i="3" s="1"/>
  <c r="CEF23" i="3" s="1"/>
  <c r="CEG23" i="3" s="1"/>
  <c r="CEH23" i="3" s="1"/>
  <c r="CEI23" i="3" s="1"/>
  <c r="CEJ23" i="3" s="1"/>
  <c r="CEK23" i="3" s="1"/>
  <c r="CEL23" i="3" s="1"/>
  <c r="CEM23" i="3" s="1"/>
  <c r="CEN23" i="3" s="1"/>
  <c r="CEO23" i="3" s="1"/>
  <c r="CEP23" i="3" s="1"/>
  <c r="CEQ23" i="3" s="1"/>
  <c r="CER23" i="3" s="1"/>
  <c r="CES23" i="3" s="1"/>
  <c r="CET23" i="3" s="1"/>
  <c r="CEU23" i="3" s="1"/>
  <c r="CEV23" i="3" s="1"/>
  <c r="CEW23" i="3" s="1"/>
  <c r="CEX23" i="3" s="1"/>
  <c r="CEY23" i="3" s="1"/>
  <c r="CEZ23" i="3" s="1"/>
  <c r="CFA23" i="3" s="1"/>
  <c r="CFB23" i="3" s="1"/>
  <c r="CFC23" i="3" s="1"/>
  <c r="CFD23" i="3" s="1"/>
  <c r="CFE23" i="3" s="1"/>
  <c r="CFF23" i="3" s="1"/>
  <c r="CFG23" i="3" s="1"/>
  <c r="CFH23" i="3" s="1"/>
  <c r="CFI23" i="3" s="1"/>
  <c r="CFJ23" i="3" s="1"/>
  <c r="CFK23" i="3" s="1"/>
  <c r="CFL23" i="3" s="1"/>
  <c r="CFM23" i="3" s="1"/>
  <c r="CFN23" i="3" s="1"/>
  <c r="CFO23" i="3" s="1"/>
  <c r="CFP23" i="3" s="1"/>
  <c r="CFQ23" i="3" s="1"/>
  <c r="CFR23" i="3" s="1"/>
  <c r="CFS23" i="3" s="1"/>
  <c r="CFT23" i="3" s="1"/>
  <c r="CFU23" i="3" s="1"/>
  <c r="CFV23" i="3" s="1"/>
  <c r="CFW23" i="3" s="1"/>
  <c r="CFX23" i="3" s="1"/>
  <c r="CFY23" i="3" s="1"/>
  <c r="CFZ23" i="3" s="1"/>
  <c r="CGA23" i="3" s="1"/>
  <c r="CGB23" i="3" s="1"/>
  <c r="CGC23" i="3" s="1"/>
  <c r="CGD23" i="3" s="1"/>
  <c r="CGE23" i="3" s="1"/>
  <c r="CGF23" i="3" s="1"/>
  <c r="CGG23" i="3" s="1"/>
  <c r="CGH23" i="3" s="1"/>
  <c r="CGI23" i="3" s="1"/>
  <c r="CGJ23" i="3" s="1"/>
  <c r="CGK23" i="3" s="1"/>
  <c r="CGL23" i="3" s="1"/>
  <c r="CGM23" i="3" s="1"/>
  <c r="CGN23" i="3" s="1"/>
  <c r="CGO23" i="3" s="1"/>
  <c r="CGP23" i="3" s="1"/>
  <c r="CGQ23" i="3" s="1"/>
  <c r="CGR23" i="3" s="1"/>
  <c r="CGS23" i="3" s="1"/>
  <c r="CGT23" i="3" s="1"/>
  <c r="CGU23" i="3" s="1"/>
  <c r="CGV23" i="3" s="1"/>
  <c r="CGW23" i="3" s="1"/>
  <c r="CGX23" i="3" s="1"/>
  <c r="CGY23" i="3" s="1"/>
  <c r="CGZ23" i="3" s="1"/>
  <c r="CHA23" i="3" s="1"/>
  <c r="CHB23" i="3" s="1"/>
  <c r="CHC23" i="3" s="1"/>
  <c r="CHD23" i="3" s="1"/>
  <c r="CHE23" i="3" s="1"/>
  <c r="CHF23" i="3" s="1"/>
  <c r="CHG23" i="3" s="1"/>
  <c r="CHH23" i="3" s="1"/>
  <c r="CHI23" i="3" s="1"/>
  <c r="CHJ23" i="3" s="1"/>
  <c r="CHK23" i="3" s="1"/>
  <c r="CHL23" i="3" s="1"/>
  <c r="CHM23" i="3" s="1"/>
  <c r="CHN23" i="3" s="1"/>
  <c r="CHO23" i="3" s="1"/>
  <c r="CHP23" i="3" s="1"/>
  <c r="CHQ23" i="3" s="1"/>
  <c r="CHR23" i="3" s="1"/>
  <c r="CHS23" i="3" s="1"/>
  <c r="CHT23" i="3" s="1"/>
  <c r="CHU23" i="3" s="1"/>
  <c r="CHV23" i="3" s="1"/>
  <c r="CHW23" i="3" s="1"/>
  <c r="CHX23" i="3" s="1"/>
  <c r="CHY23" i="3" s="1"/>
  <c r="CHZ23" i="3" s="1"/>
  <c r="CIA23" i="3" s="1"/>
  <c r="CIB23" i="3" s="1"/>
  <c r="CIC23" i="3" s="1"/>
  <c r="CID23" i="3" s="1"/>
  <c r="CIE23" i="3" s="1"/>
  <c r="CIF23" i="3" s="1"/>
  <c r="CIG23" i="3" s="1"/>
  <c r="CIH23" i="3" s="1"/>
  <c r="CII23" i="3" s="1"/>
  <c r="CIJ23" i="3" s="1"/>
  <c r="CIK23" i="3" s="1"/>
  <c r="CIL23" i="3" s="1"/>
  <c r="CIM23" i="3" s="1"/>
  <c r="CIN23" i="3" s="1"/>
  <c r="CIO23" i="3" s="1"/>
  <c r="CIP23" i="3" s="1"/>
  <c r="CIQ23" i="3" s="1"/>
  <c r="CIR23" i="3" s="1"/>
  <c r="CIS23" i="3" s="1"/>
  <c r="CIT23" i="3" s="1"/>
  <c r="CIU23" i="3" s="1"/>
  <c r="CIV23" i="3" s="1"/>
  <c r="CIW23" i="3" s="1"/>
  <c r="CIX23" i="3" s="1"/>
  <c r="CIY23" i="3" s="1"/>
  <c r="CIZ23" i="3" s="1"/>
  <c r="CJA23" i="3" s="1"/>
  <c r="CJB23" i="3" s="1"/>
  <c r="CJC23" i="3" s="1"/>
  <c r="CJD23" i="3" s="1"/>
  <c r="CJE23" i="3" s="1"/>
  <c r="CJF23" i="3" s="1"/>
  <c r="CJG23" i="3" s="1"/>
  <c r="CJH23" i="3" s="1"/>
  <c r="CJI23" i="3" s="1"/>
  <c r="CJJ23" i="3" s="1"/>
  <c r="CJK23" i="3" s="1"/>
  <c r="CJL23" i="3" s="1"/>
  <c r="CJM23" i="3" s="1"/>
  <c r="CJN23" i="3" s="1"/>
  <c r="CJO23" i="3" s="1"/>
  <c r="CJP23" i="3" s="1"/>
  <c r="CJQ23" i="3" s="1"/>
  <c r="CJR23" i="3" s="1"/>
  <c r="CJS23" i="3" s="1"/>
  <c r="CJT23" i="3" s="1"/>
  <c r="CJU23" i="3" s="1"/>
  <c r="CJV23" i="3" s="1"/>
  <c r="CJW23" i="3" s="1"/>
  <c r="CJX23" i="3" s="1"/>
  <c r="CJY23" i="3" s="1"/>
  <c r="CJZ23" i="3" s="1"/>
  <c r="CKA23" i="3" s="1"/>
  <c r="CKB23" i="3" s="1"/>
  <c r="CKC23" i="3" s="1"/>
  <c r="CKD23" i="3" s="1"/>
  <c r="CKE23" i="3" s="1"/>
  <c r="CKF23" i="3" s="1"/>
  <c r="CKG23" i="3" s="1"/>
  <c r="CKH23" i="3" s="1"/>
  <c r="CKI23" i="3" s="1"/>
  <c r="CKJ23" i="3" s="1"/>
  <c r="CKK23" i="3" s="1"/>
  <c r="CKL23" i="3" s="1"/>
  <c r="CKM23" i="3" s="1"/>
  <c r="CKN23" i="3" s="1"/>
  <c r="CKO23" i="3" s="1"/>
  <c r="CKP23" i="3" s="1"/>
  <c r="CKQ23" i="3" s="1"/>
  <c r="CKR23" i="3" s="1"/>
  <c r="CKS23" i="3" s="1"/>
  <c r="CKT23" i="3" s="1"/>
  <c r="CKU23" i="3" s="1"/>
  <c r="CKV23" i="3" s="1"/>
  <c r="CKW23" i="3" s="1"/>
  <c r="CKX23" i="3" s="1"/>
  <c r="CKY23" i="3" s="1"/>
  <c r="CKZ23" i="3" s="1"/>
  <c r="CLA23" i="3" s="1"/>
  <c r="CLB23" i="3" s="1"/>
  <c r="CLC23" i="3" s="1"/>
  <c r="CLD23" i="3" s="1"/>
  <c r="CLE23" i="3" s="1"/>
  <c r="CLF23" i="3" s="1"/>
  <c r="CLG23" i="3" s="1"/>
  <c r="CLH23" i="3" s="1"/>
  <c r="CLI23" i="3" s="1"/>
  <c r="CLJ23" i="3" s="1"/>
  <c r="CLK23" i="3" s="1"/>
  <c r="CLL23" i="3" s="1"/>
  <c r="CLM23" i="3" s="1"/>
  <c r="CLN23" i="3" s="1"/>
  <c r="CLO23" i="3" s="1"/>
  <c r="CLP23" i="3" s="1"/>
  <c r="CLQ23" i="3" s="1"/>
  <c r="CLR23" i="3" s="1"/>
  <c r="CLS23" i="3" s="1"/>
  <c r="CLT23" i="3" s="1"/>
  <c r="CLU23" i="3" s="1"/>
  <c r="CLV23" i="3" s="1"/>
  <c r="CLW23" i="3" s="1"/>
  <c r="CLX23" i="3" s="1"/>
  <c r="CLY23" i="3" s="1"/>
  <c r="CLZ23" i="3" s="1"/>
  <c r="CMA23" i="3" s="1"/>
  <c r="CMB23" i="3" s="1"/>
  <c r="CMC23" i="3" s="1"/>
  <c r="CMD23" i="3" s="1"/>
  <c r="CME23" i="3" s="1"/>
  <c r="CMF23" i="3" s="1"/>
  <c r="CMG23" i="3" s="1"/>
  <c r="CMH23" i="3" s="1"/>
  <c r="CMI23" i="3" s="1"/>
  <c r="CMJ23" i="3" s="1"/>
  <c r="CMK23" i="3" s="1"/>
  <c r="CML23" i="3" s="1"/>
  <c r="CMM23" i="3" s="1"/>
  <c r="CMN23" i="3" s="1"/>
  <c r="CMO23" i="3" s="1"/>
  <c r="CMP23" i="3" s="1"/>
  <c r="CMQ23" i="3" s="1"/>
  <c r="CMR23" i="3" s="1"/>
  <c r="CMS23" i="3" s="1"/>
  <c r="CMT23" i="3" s="1"/>
  <c r="CMU23" i="3" s="1"/>
  <c r="CMV23" i="3" s="1"/>
  <c r="CMW23" i="3" s="1"/>
  <c r="CMX23" i="3" s="1"/>
  <c r="CMY23" i="3" s="1"/>
  <c r="CMZ23" i="3" s="1"/>
  <c r="CNA23" i="3" s="1"/>
  <c r="CNB23" i="3" s="1"/>
  <c r="CNC23" i="3" s="1"/>
  <c r="CND23" i="3" s="1"/>
  <c r="CNE23" i="3" s="1"/>
  <c r="CNF23" i="3" s="1"/>
  <c r="CNG23" i="3" s="1"/>
  <c r="CNH23" i="3" s="1"/>
  <c r="CNI23" i="3" s="1"/>
  <c r="CNJ23" i="3" s="1"/>
  <c r="CNK23" i="3" s="1"/>
  <c r="CNL23" i="3" s="1"/>
  <c r="CNM23" i="3" s="1"/>
  <c r="CNN23" i="3" s="1"/>
  <c r="CNO23" i="3" s="1"/>
  <c r="CNP23" i="3" s="1"/>
  <c r="CNQ23" i="3" s="1"/>
  <c r="CNR23" i="3" s="1"/>
  <c r="CNS23" i="3" s="1"/>
  <c r="CNT23" i="3" s="1"/>
  <c r="CNU23" i="3" s="1"/>
  <c r="CNV23" i="3" s="1"/>
  <c r="CNW23" i="3" s="1"/>
  <c r="CNX23" i="3" s="1"/>
  <c r="CNY23" i="3" s="1"/>
  <c r="CNZ23" i="3" s="1"/>
  <c r="COA23" i="3" s="1"/>
  <c r="COB23" i="3" s="1"/>
  <c r="COC23" i="3" s="1"/>
  <c r="COD23" i="3" s="1"/>
  <c r="COE23" i="3" s="1"/>
  <c r="COF23" i="3" s="1"/>
  <c r="COG23" i="3" s="1"/>
  <c r="COH23" i="3" s="1"/>
  <c r="COI23" i="3" s="1"/>
  <c r="COJ23" i="3" s="1"/>
  <c r="COK23" i="3" s="1"/>
  <c r="COL23" i="3" s="1"/>
  <c r="COM23" i="3" s="1"/>
  <c r="CON23" i="3" s="1"/>
  <c r="COO23" i="3" s="1"/>
  <c r="COP23" i="3" s="1"/>
  <c r="COQ23" i="3" s="1"/>
  <c r="COR23" i="3" s="1"/>
  <c r="COS23" i="3" s="1"/>
  <c r="COT23" i="3" s="1"/>
  <c r="COU23" i="3" s="1"/>
  <c r="COV23" i="3" s="1"/>
  <c r="COW23" i="3" s="1"/>
  <c r="COX23" i="3" s="1"/>
  <c r="COY23" i="3" s="1"/>
  <c r="COZ23" i="3" s="1"/>
  <c r="CPA23" i="3" s="1"/>
  <c r="CPB23" i="3" s="1"/>
  <c r="CPC23" i="3" s="1"/>
  <c r="CPD23" i="3" s="1"/>
  <c r="CPE23" i="3" s="1"/>
  <c r="CPF23" i="3" s="1"/>
  <c r="CPG23" i="3" s="1"/>
  <c r="CPH23" i="3" s="1"/>
  <c r="CPI23" i="3" s="1"/>
  <c r="CPJ23" i="3" s="1"/>
  <c r="CPK23" i="3" s="1"/>
  <c r="CPL23" i="3" s="1"/>
  <c r="CPM23" i="3" s="1"/>
  <c r="CPN23" i="3" s="1"/>
  <c r="CPO23" i="3" s="1"/>
  <c r="CPP23" i="3" s="1"/>
  <c r="CPQ23" i="3" s="1"/>
  <c r="CPR23" i="3" s="1"/>
  <c r="CPS23" i="3" s="1"/>
  <c r="CPT23" i="3" s="1"/>
  <c r="CPU23" i="3" s="1"/>
  <c r="CPV23" i="3" s="1"/>
  <c r="CPW23" i="3" s="1"/>
  <c r="CPX23" i="3" s="1"/>
  <c r="CPY23" i="3" s="1"/>
  <c r="CPZ23" i="3" s="1"/>
  <c r="CQA23" i="3" s="1"/>
  <c r="CQB23" i="3" s="1"/>
  <c r="CQC23" i="3" s="1"/>
  <c r="CQD23" i="3" s="1"/>
  <c r="CQE23" i="3" s="1"/>
  <c r="CQF23" i="3" s="1"/>
  <c r="CQG23" i="3" s="1"/>
  <c r="CQH23" i="3" s="1"/>
  <c r="CQI23" i="3" s="1"/>
  <c r="CQJ23" i="3" s="1"/>
  <c r="CQK23" i="3" s="1"/>
  <c r="CQL23" i="3" s="1"/>
  <c r="CQM23" i="3" s="1"/>
  <c r="CQN23" i="3" s="1"/>
  <c r="CQO23" i="3" s="1"/>
  <c r="CQP23" i="3" s="1"/>
  <c r="CQQ23" i="3" s="1"/>
  <c r="CQR23" i="3" s="1"/>
  <c r="CQS23" i="3" s="1"/>
  <c r="CQT23" i="3" s="1"/>
  <c r="CQU23" i="3" s="1"/>
  <c r="CQV23" i="3" s="1"/>
  <c r="CQW23" i="3" s="1"/>
  <c r="CQX23" i="3" s="1"/>
  <c r="CQY23" i="3" s="1"/>
  <c r="CQZ23" i="3" s="1"/>
  <c r="CRA23" i="3" s="1"/>
  <c r="CRB23" i="3" s="1"/>
  <c r="CRC23" i="3" s="1"/>
  <c r="CRD23" i="3" s="1"/>
  <c r="CRE23" i="3" s="1"/>
  <c r="CRF23" i="3" s="1"/>
  <c r="CRG23" i="3" s="1"/>
  <c r="CRH23" i="3" s="1"/>
  <c r="CRI23" i="3" s="1"/>
  <c r="CRJ23" i="3" s="1"/>
  <c r="CRK23" i="3" s="1"/>
  <c r="CRL23" i="3" s="1"/>
  <c r="CRM23" i="3" s="1"/>
  <c r="CRN23" i="3" s="1"/>
  <c r="CRO23" i="3" s="1"/>
  <c r="CRP23" i="3" s="1"/>
  <c r="CRQ23" i="3" s="1"/>
  <c r="CRR23" i="3" s="1"/>
  <c r="CRS23" i="3" s="1"/>
  <c r="CRT23" i="3" s="1"/>
  <c r="CRU23" i="3" s="1"/>
  <c r="CRV23" i="3" s="1"/>
  <c r="CRW23" i="3" s="1"/>
  <c r="CRX23" i="3" s="1"/>
  <c r="CRY23" i="3" s="1"/>
  <c r="CRZ23" i="3" s="1"/>
  <c r="CSA23" i="3" s="1"/>
  <c r="CSB23" i="3" s="1"/>
  <c r="CSC23" i="3" s="1"/>
  <c r="CSD23" i="3" s="1"/>
  <c r="CSE23" i="3" s="1"/>
  <c r="CSF23" i="3" s="1"/>
  <c r="CSG23" i="3" s="1"/>
  <c r="CSH23" i="3" s="1"/>
  <c r="CSI23" i="3" s="1"/>
  <c r="CSJ23" i="3" s="1"/>
  <c r="CSK23" i="3" s="1"/>
  <c r="CSL23" i="3" s="1"/>
  <c r="CSM23" i="3" s="1"/>
  <c r="CSN23" i="3" s="1"/>
  <c r="CSO23" i="3" s="1"/>
  <c r="CSP23" i="3" s="1"/>
  <c r="CSQ23" i="3" s="1"/>
  <c r="CSR23" i="3" s="1"/>
  <c r="CSS23" i="3" s="1"/>
  <c r="CST23" i="3" s="1"/>
  <c r="CSU23" i="3" s="1"/>
  <c r="CSV23" i="3" s="1"/>
  <c r="CSW23" i="3" s="1"/>
  <c r="CSX23" i="3" s="1"/>
  <c r="CSY23" i="3" s="1"/>
  <c r="CSZ23" i="3" s="1"/>
  <c r="CTA23" i="3" s="1"/>
  <c r="CTB23" i="3" s="1"/>
  <c r="CTC23" i="3" s="1"/>
  <c r="CTD23" i="3" s="1"/>
  <c r="CTE23" i="3" s="1"/>
  <c r="CTF23" i="3" s="1"/>
  <c r="CTG23" i="3" s="1"/>
  <c r="CTH23" i="3" s="1"/>
  <c r="CTI23" i="3" s="1"/>
  <c r="CTJ23" i="3" s="1"/>
  <c r="CTK23" i="3" s="1"/>
  <c r="CTL23" i="3" s="1"/>
  <c r="CTM23" i="3" s="1"/>
  <c r="CTN23" i="3" s="1"/>
  <c r="CTO23" i="3" s="1"/>
  <c r="CTP23" i="3" s="1"/>
  <c r="CTQ23" i="3" s="1"/>
  <c r="CTR23" i="3" s="1"/>
  <c r="CTS23" i="3" s="1"/>
  <c r="CTT23" i="3" s="1"/>
  <c r="CTU23" i="3" s="1"/>
  <c r="CTV23" i="3" s="1"/>
  <c r="CTW23" i="3" s="1"/>
  <c r="CTX23" i="3" s="1"/>
  <c r="CTY23" i="3" s="1"/>
  <c r="CTZ23" i="3" s="1"/>
  <c r="CUA23" i="3" s="1"/>
  <c r="CUB23" i="3" s="1"/>
  <c r="CUC23" i="3" s="1"/>
  <c r="CUD23" i="3" s="1"/>
  <c r="CUE23" i="3" s="1"/>
  <c r="CUF23" i="3" s="1"/>
  <c r="CUG23" i="3" s="1"/>
  <c r="CUH23" i="3" s="1"/>
  <c r="CUI23" i="3" s="1"/>
  <c r="CUJ23" i="3" s="1"/>
  <c r="CUK23" i="3" s="1"/>
  <c r="CUL23" i="3" s="1"/>
  <c r="CUM23" i="3" s="1"/>
  <c r="CUN23" i="3" s="1"/>
  <c r="CUO23" i="3" s="1"/>
  <c r="CUP23" i="3" s="1"/>
  <c r="CUQ23" i="3" s="1"/>
  <c r="CUR23" i="3" s="1"/>
  <c r="CUS23" i="3" s="1"/>
  <c r="CUT23" i="3" s="1"/>
  <c r="CUU23" i="3" s="1"/>
  <c r="CUV23" i="3" s="1"/>
  <c r="CUW23" i="3" s="1"/>
  <c r="CUX23" i="3" s="1"/>
  <c r="CUY23" i="3" s="1"/>
  <c r="CUZ23" i="3" s="1"/>
  <c r="CVA23" i="3" s="1"/>
  <c r="CVB23" i="3" s="1"/>
  <c r="CVC23" i="3" s="1"/>
  <c r="CVD23" i="3" s="1"/>
  <c r="CVE23" i="3" s="1"/>
  <c r="CVF23" i="3" s="1"/>
  <c r="CVG23" i="3" s="1"/>
  <c r="CVH23" i="3" s="1"/>
  <c r="CVI23" i="3" s="1"/>
  <c r="CVJ23" i="3" s="1"/>
  <c r="CVK23" i="3" s="1"/>
  <c r="CVL23" i="3" s="1"/>
  <c r="CVM23" i="3" s="1"/>
  <c r="CVN23" i="3" s="1"/>
  <c r="CVO23" i="3" s="1"/>
  <c r="CVP23" i="3" s="1"/>
  <c r="CVQ23" i="3" s="1"/>
  <c r="CVR23" i="3" s="1"/>
  <c r="CVS23" i="3" s="1"/>
  <c r="CVT23" i="3" s="1"/>
  <c r="CVU23" i="3" s="1"/>
  <c r="CVV23" i="3" s="1"/>
  <c r="CVW23" i="3" s="1"/>
  <c r="CVX23" i="3" s="1"/>
  <c r="CVY23" i="3" s="1"/>
  <c r="CVZ23" i="3" s="1"/>
  <c r="CWA23" i="3" s="1"/>
  <c r="CWB23" i="3" s="1"/>
  <c r="CWC23" i="3" s="1"/>
  <c r="CWD23" i="3" s="1"/>
  <c r="CWE23" i="3" s="1"/>
  <c r="CWF23" i="3" s="1"/>
  <c r="CWG23" i="3" s="1"/>
  <c r="CWH23" i="3" s="1"/>
  <c r="CWI23" i="3" s="1"/>
  <c r="CWJ23" i="3" s="1"/>
  <c r="CWK23" i="3" s="1"/>
  <c r="CWL23" i="3" s="1"/>
  <c r="CWM23" i="3" s="1"/>
  <c r="CWN23" i="3" s="1"/>
  <c r="CWO23" i="3" s="1"/>
  <c r="CWP23" i="3" s="1"/>
  <c r="CWQ23" i="3" s="1"/>
  <c r="CWR23" i="3" s="1"/>
  <c r="CWS23" i="3" s="1"/>
  <c r="CWT23" i="3" s="1"/>
  <c r="CWU23" i="3" s="1"/>
  <c r="CWV23" i="3" s="1"/>
  <c r="CWW23" i="3" s="1"/>
  <c r="CWX23" i="3" s="1"/>
  <c r="CWY23" i="3" s="1"/>
  <c r="CWZ23" i="3" s="1"/>
  <c r="CXA23" i="3" s="1"/>
  <c r="CXB23" i="3" s="1"/>
  <c r="CXC23" i="3" s="1"/>
  <c r="CXD23" i="3" s="1"/>
  <c r="CXE23" i="3" s="1"/>
  <c r="CXF23" i="3" s="1"/>
  <c r="CXG23" i="3" s="1"/>
  <c r="CXH23" i="3" s="1"/>
  <c r="CXI23" i="3" s="1"/>
  <c r="CXJ23" i="3" s="1"/>
  <c r="CXK23" i="3" s="1"/>
  <c r="CXL23" i="3" s="1"/>
  <c r="CXM23" i="3" s="1"/>
  <c r="CXN23" i="3" s="1"/>
  <c r="CXO23" i="3" s="1"/>
  <c r="CXP23" i="3" s="1"/>
  <c r="CXQ23" i="3" s="1"/>
  <c r="CXR23" i="3" s="1"/>
  <c r="CXS23" i="3" s="1"/>
  <c r="CXT23" i="3" s="1"/>
  <c r="CXU23" i="3" s="1"/>
  <c r="CXV23" i="3" s="1"/>
  <c r="CXW23" i="3" s="1"/>
  <c r="CXX23" i="3" s="1"/>
  <c r="CXY23" i="3" s="1"/>
  <c r="CXZ23" i="3" s="1"/>
  <c r="CYA23" i="3" s="1"/>
  <c r="CYB23" i="3" s="1"/>
  <c r="CYC23" i="3" s="1"/>
  <c r="CYD23" i="3" s="1"/>
  <c r="CYE23" i="3" s="1"/>
  <c r="CYF23" i="3" s="1"/>
  <c r="CYG23" i="3" s="1"/>
  <c r="CYH23" i="3" s="1"/>
  <c r="CYI23" i="3" s="1"/>
  <c r="CYJ23" i="3" s="1"/>
  <c r="CYK23" i="3" s="1"/>
  <c r="CYL23" i="3" s="1"/>
  <c r="CYM23" i="3" s="1"/>
  <c r="CYN23" i="3" s="1"/>
  <c r="CYO23" i="3" s="1"/>
  <c r="CYP23" i="3" s="1"/>
  <c r="CYQ23" i="3" s="1"/>
  <c r="CYR23" i="3" s="1"/>
  <c r="CYS23" i="3" s="1"/>
  <c r="CYT23" i="3" s="1"/>
  <c r="CYU23" i="3" s="1"/>
  <c r="CYV23" i="3" s="1"/>
  <c r="CYW23" i="3" s="1"/>
  <c r="CYX23" i="3" s="1"/>
  <c r="CYY23" i="3" s="1"/>
  <c r="CYZ23" i="3" s="1"/>
  <c r="CZA23" i="3" s="1"/>
  <c r="CZB23" i="3" s="1"/>
  <c r="CZC23" i="3" s="1"/>
  <c r="CZD23" i="3" s="1"/>
  <c r="CZE23" i="3" s="1"/>
  <c r="CZF23" i="3" s="1"/>
  <c r="CZG23" i="3" s="1"/>
  <c r="CZH23" i="3" s="1"/>
  <c r="CZI23" i="3" s="1"/>
  <c r="CZJ23" i="3" s="1"/>
  <c r="CZK23" i="3" s="1"/>
  <c r="CZL23" i="3" s="1"/>
  <c r="CZM23" i="3" s="1"/>
  <c r="CZN23" i="3" s="1"/>
  <c r="CZO23" i="3" s="1"/>
  <c r="CZP23" i="3" s="1"/>
  <c r="CZQ23" i="3" s="1"/>
  <c r="CZR23" i="3" s="1"/>
  <c r="CZS23" i="3" s="1"/>
  <c r="CZT23" i="3" s="1"/>
  <c r="CZU23" i="3" s="1"/>
  <c r="CZV23" i="3" s="1"/>
  <c r="CZW23" i="3" s="1"/>
  <c r="CZX23" i="3" s="1"/>
  <c r="CZY23" i="3" s="1"/>
  <c r="CZZ23" i="3" s="1"/>
  <c r="DAA23" i="3" s="1"/>
  <c r="DAB23" i="3" s="1"/>
  <c r="DAC23" i="3" s="1"/>
  <c r="DAD23" i="3" s="1"/>
  <c r="DAE23" i="3" s="1"/>
  <c r="DAF23" i="3" s="1"/>
  <c r="DAG23" i="3" s="1"/>
  <c r="DAH23" i="3" s="1"/>
  <c r="DAI23" i="3" s="1"/>
  <c r="DAJ23" i="3" s="1"/>
  <c r="DAK23" i="3" s="1"/>
  <c r="DAL23" i="3" s="1"/>
  <c r="DAM23" i="3" s="1"/>
  <c r="DAN23" i="3" s="1"/>
  <c r="DAO23" i="3" s="1"/>
  <c r="DAP23" i="3" s="1"/>
  <c r="DAQ23" i="3" s="1"/>
  <c r="DAR23" i="3" s="1"/>
  <c r="DAS23" i="3" s="1"/>
  <c r="DAT23" i="3" s="1"/>
  <c r="DAU23" i="3" s="1"/>
  <c r="DAV23" i="3" s="1"/>
  <c r="DAW23" i="3" s="1"/>
  <c r="DAX23" i="3" s="1"/>
  <c r="DAY23" i="3" s="1"/>
  <c r="DAZ23" i="3" s="1"/>
  <c r="DBA23" i="3" s="1"/>
  <c r="DBB23" i="3" s="1"/>
  <c r="DBC23" i="3" s="1"/>
  <c r="DBD23" i="3" s="1"/>
  <c r="DBE23" i="3" s="1"/>
  <c r="DBF23" i="3" s="1"/>
  <c r="DBG23" i="3" s="1"/>
  <c r="DBH23" i="3" s="1"/>
  <c r="DBI23" i="3" s="1"/>
  <c r="DBJ23" i="3" s="1"/>
  <c r="DBK23" i="3" s="1"/>
  <c r="DBL23" i="3" s="1"/>
  <c r="DBM23" i="3" s="1"/>
  <c r="DBN23" i="3" s="1"/>
  <c r="DBO23" i="3" s="1"/>
  <c r="DBP23" i="3" s="1"/>
  <c r="DBQ23" i="3" s="1"/>
  <c r="DBR23" i="3" s="1"/>
  <c r="DBS23" i="3" s="1"/>
  <c r="DBT23" i="3" s="1"/>
  <c r="DBU23" i="3" s="1"/>
  <c r="DBV23" i="3" s="1"/>
  <c r="DBW23" i="3" s="1"/>
  <c r="DBX23" i="3" s="1"/>
  <c r="DBY23" i="3" s="1"/>
  <c r="DBZ23" i="3" s="1"/>
  <c r="DCA23" i="3" s="1"/>
  <c r="DCB23" i="3" s="1"/>
  <c r="DCC23" i="3" s="1"/>
  <c r="DCD23" i="3" s="1"/>
  <c r="DCE23" i="3" s="1"/>
  <c r="DCF23" i="3" s="1"/>
  <c r="DCG23" i="3" s="1"/>
  <c r="DCH23" i="3" s="1"/>
  <c r="DCI23" i="3" s="1"/>
  <c r="DCJ23" i="3" s="1"/>
  <c r="DCK23" i="3" s="1"/>
  <c r="DCL23" i="3" s="1"/>
  <c r="DCM23" i="3" s="1"/>
  <c r="DCN23" i="3" s="1"/>
  <c r="DCO23" i="3" s="1"/>
  <c r="DCP23" i="3" s="1"/>
  <c r="DCQ23" i="3" s="1"/>
  <c r="DCR23" i="3" s="1"/>
  <c r="DCS23" i="3" s="1"/>
  <c r="DCT23" i="3" s="1"/>
  <c r="DCU23" i="3" s="1"/>
  <c r="DCV23" i="3" s="1"/>
  <c r="DCW23" i="3" s="1"/>
  <c r="DCX23" i="3" s="1"/>
  <c r="DCY23" i="3" s="1"/>
  <c r="DCZ23" i="3" s="1"/>
  <c r="DDA23" i="3" s="1"/>
  <c r="DDB23" i="3" s="1"/>
  <c r="DDC23" i="3" s="1"/>
  <c r="DDD23" i="3" s="1"/>
  <c r="DDE23" i="3" s="1"/>
  <c r="DDF23" i="3" s="1"/>
  <c r="DDG23" i="3" s="1"/>
  <c r="DDH23" i="3" s="1"/>
  <c r="DDI23" i="3" s="1"/>
  <c r="DDJ23" i="3" s="1"/>
  <c r="DDK23" i="3" s="1"/>
  <c r="DDL23" i="3" s="1"/>
  <c r="DDM23" i="3" s="1"/>
  <c r="DDN23" i="3" s="1"/>
  <c r="DDO23" i="3" s="1"/>
  <c r="DDP23" i="3" s="1"/>
  <c r="DDQ23" i="3" s="1"/>
  <c r="DDR23" i="3" s="1"/>
  <c r="DDS23" i="3" s="1"/>
  <c r="DDT23" i="3" s="1"/>
  <c r="DDU23" i="3" s="1"/>
  <c r="DDV23" i="3" s="1"/>
  <c r="DDW23" i="3" s="1"/>
  <c r="DDX23" i="3" s="1"/>
  <c r="DDY23" i="3" s="1"/>
  <c r="DDZ23" i="3" s="1"/>
  <c r="DEA23" i="3" s="1"/>
  <c r="DEB23" i="3" s="1"/>
  <c r="DEC23" i="3" s="1"/>
  <c r="DED23" i="3" s="1"/>
  <c r="DEE23" i="3" s="1"/>
  <c r="DEF23" i="3" s="1"/>
  <c r="DEG23" i="3" s="1"/>
  <c r="DEH23" i="3" s="1"/>
  <c r="DEI23" i="3" s="1"/>
  <c r="DEJ23" i="3" s="1"/>
  <c r="DEK23" i="3" s="1"/>
  <c r="DEL23" i="3" s="1"/>
  <c r="DEM23" i="3" s="1"/>
  <c r="DEN23" i="3" s="1"/>
  <c r="DEO23" i="3" s="1"/>
  <c r="DEP23" i="3" s="1"/>
  <c r="DEQ23" i="3" s="1"/>
  <c r="DER23" i="3" s="1"/>
  <c r="DES23" i="3" s="1"/>
  <c r="DET23" i="3" s="1"/>
  <c r="DEU23" i="3" s="1"/>
  <c r="DEV23" i="3" s="1"/>
  <c r="DEW23" i="3" s="1"/>
  <c r="DEX23" i="3" s="1"/>
  <c r="DEY23" i="3" s="1"/>
  <c r="DEZ23" i="3" s="1"/>
  <c r="DFA23" i="3" s="1"/>
  <c r="DFB23" i="3" s="1"/>
  <c r="DFC23" i="3" s="1"/>
  <c r="DFD23" i="3" s="1"/>
  <c r="DFE23" i="3" s="1"/>
  <c r="DFF23" i="3" s="1"/>
  <c r="DFG23" i="3" s="1"/>
  <c r="DFH23" i="3" s="1"/>
  <c r="DFI23" i="3" s="1"/>
  <c r="DFJ23" i="3" s="1"/>
  <c r="DFK23" i="3" s="1"/>
  <c r="DFL23" i="3" s="1"/>
  <c r="DFM23" i="3" s="1"/>
  <c r="DFN23" i="3" s="1"/>
  <c r="DFO23" i="3" s="1"/>
  <c r="DFP23" i="3" s="1"/>
  <c r="DFQ23" i="3" s="1"/>
  <c r="DFR23" i="3" s="1"/>
  <c r="DFS23" i="3" s="1"/>
  <c r="DFT23" i="3" s="1"/>
  <c r="DFU23" i="3" s="1"/>
  <c r="DFV23" i="3" s="1"/>
  <c r="DFW23" i="3" s="1"/>
  <c r="DFX23" i="3" s="1"/>
  <c r="DFY23" i="3" s="1"/>
  <c r="DFZ23" i="3" s="1"/>
  <c r="DGA23" i="3" s="1"/>
  <c r="DGB23" i="3" s="1"/>
  <c r="DGC23" i="3" s="1"/>
  <c r="DGD23" i="3" s="1"/>
  <c r="DGE23" i="3" s="1"/>
  <c r="DGF23" i="3" s="1"/>
  <c r="DGG23" i="3" s="1"/>
  <c r="DGH23" i="3" s="1"/>
  <c r="DGI23" i="3" s="1"/>
  <c r="DGJ23" i="3" s="1"/>
  <c r="DGK23" i="3" s="1"/>
  <c r="DGL23" i="3" s="1"/>
  <c r="DGM23" i="3" s="1"/>
  <c r="DGN23" i="3" s="1"/>
  <c r="DGO23" i="3" s="1"/>
  <c r="DGP23" i="3" s="1"/>
  <c r="DGQ23" i="3" s="1"/>
  <c r="DGR23" i="3" s="1"/>
  <c r="DGS23" i="3" s="1"/>
  <c r="DGT23" i="3" s="1"/>
  <c r="DGU23" i="3" s="1"/>
  <c r="DGV23" i="3" s="1"/>
  <c r="DGW23" i="3" s="1"/>
  <c r="DGX23" i="3" s="1"/>
  <c r="DGY23" i="3" s="1"/>
  <c r="DGZ23" i="3" s="1"/>
  <c r="DHA23" i="3" s="1"/>
  <c r="DHB23" i="3" s="1"/>
  <c r="DHC23" i="3" s="1"/>
  <c r="DHD23" i="3" s="1"/>
  <c r="DHE23" i="3" s="1"/>
  <c r="DHF23" i="3" s="1"/>
  <c r="DHG23" i="3" s="1"/>
  <c r="DHH23" i="3" s="1"/>
  <c r="DHI23" i="3" s="1"/>
  <c r="DHJ23" i="3" s="1"/>
  <c r="DHK23" i="3" s="1"/>
  <c r="DHL23" i="3" s="1"/>
  <c r="DHM23" i="3" s="1"/>
  <c r="DHN23" i="3" s="1"/>
  <c r="DHO23" i="3" s="1"/>
  <c r="DHP23" i="3" s="1"/>
  <c r="DHQ23" i="3" s="1"/>
  <c r="DHR23" i="3" s="1"/>
  <c r="DHS23" i="3" s="1"/>
  <c r="DHT23" i="3" s="1"/>
  <c r="DHU23" i="3" s="1"/>
  <c r="DHV23" i="3" s="1"/>
  <c r="DHW23" i="3" s="1"/>
  <c r="DHX23" i="3" s="1"/>
  <c r="DHY23" i="3" s="1"/>
  <c r="DHZ23" i="3" s="1"/>
  <c r="DIA23" i="3" s="1"/>
  <c r="DIB23" i="3" s="1"/>
  <c r="DIC23" i="3" s="1"/>
  <c r="DID23" i="3" s="1"/>
  <c r="DIE23" i="3" s="1"/>
  <c r="DIF23" i="3" s="1"/>
  <c r="DIG23" i="3" s="1"/>
  <c r="DIH23" i="3" s="1"/>
  <c r="DII23" i="3" s="1"/>
  <c r="DIJ23" i="3" s="1"/>
  <c r="DIK23" i="3" s="1"/>
  <c r="DIL23" i="3" s="1"/>
  <c r="DIM23" i="3" s="1"/>
  <c r="DIN23" i="3" s="1"/>
  <c r="DIO23" i="3" s="1"/>
  <c r="DIP23" i="3" s="1"/>
  <c r="DIQ23" i="3" s="1"/>
  <c r="DIR23" i="3" s="1"/>
  <c r="DIS23" i="3" s="1"/>
  <c r="DIT23" i="3" s="1"/>
  <c r="DIU23" i="3" s="1"/>
  <c r="DIV23" i="3" s="1"/>
  <c r="DIW23" i="3" s="1"/>
  <c r="DIX23" i="3" s="1"/>
  <c r="DIY23" i="3" s="1"/>
  <c r="DIZ23" i="3" s="1"/>
  <c r="DJA23" i="3" s="1"/>
  <c r="DJB23" i="3" s="1"/>
  <c r="DJC23" i="3" s="1"/>
  <c r="DJD23" i="3" s="1"/>
  <c r="DJE23" i="3" s="1"/>
  <c r="DJF23" i="3" s="1"/>
  <c r="DJG23" i="3" s="1"/>
  <c r="DJH23" i="3" s="1"/>
  <c r="DJI23" i="3" s="1"/>
  <c r="DJJ23" i="3" s="1"/>
  <c r="DJK23" i="3" s="1"/>
  <c r="DJL23" i="3" s="1"/>
  <c r="DJM23" i="3" s="1"/>
  <c r="DJN23" i="3" s="1"/>
  <c r="DJO23" i="3" s="1"/>
  <c r="DJP23" i="3" s="1"/>
  <c r="DJQ23" i="3" s="1"/>
  <c r="DJR23" i="3" s="1"/>
  <c r="DJS23" i="3" s="1"/>
  <c r="DJT23" i="3" s="1"/>
  <c r="DJU23" i="3" s="1"/>
  <c r="DJV23" i="3" s="1"/>
  <c r="DJW23" i="3" s="1"/>
  <c r="DJX23" i="3" s="1"/>
  <c r="DJY23" i="3" s="1"/>
  <c r="DJZ23" i="3" s="1"/>
  <c r="DKA23" i="3" s="1"/>
  <c r="DKB23" i="3" s="1"/>
  <c r="DKC23" i="3" s="1"/>
  <c r="DKD23" i="3" s="1"/>
  <c r="DKE23" i="3" s="1"/>
  <c r="DKF23" i="3" s="1"/>
  <c r="DKG23" i="3" s="1"/>
  <c r="DKH23" i="3" s="1"/>
  <c r="DKI23" i="3" s="1"/>
  <c r="DKJ23" i="3" s="1"/>
  <c r="DKK23" i="3" s="1"/>
  <c r="DKL23" i="3" s="1"/>
  <c r="DKM23" i="3" s="1"/>
  <c r="DKN23" i="3" s="1"/>
  <c r="DKO23" i="3" s="1"/>
  <c r="DKP23" i="3" s="1"/>
  <c r="DKQ23" i="3" s="1"/>
  <c r="DKR23" i="3" s="1"/>
  <c r="DKS23" i="3" s="1"/>
  <c r="DKT23" i="3" s="1"/>
  <c r="DKU23" i="3" s="1"/>
  <c r="DKV23" i="3" s="1"/>
  <c r="DKW23" i="3" s="1"/>
  <c r="DKX23" i="3" s="1"/>
  <c r="DKY23" i="3" s="1"/>
  <c r="DKZ23" i="3" s="1"/>
  <c r="DLA23" i="3" s="1"/>
  <c r="DLB23" i="3" s="1"/>
  <c r="DLC23" i="3" s="1"/>
  <c r="DLD23" i="3" s="1"/>
  <c r="DLE23" i="3" s="1"/>
  <c r="DLF23" i="3" s="1"/>
  <c r="DLG23" i="3" s="1"/>
  <c r="DLH23" i="3" s="1"/>
  <c r="DLI23" i="3" s="1"/>
  <c r="DLJ23" i="3" s="1"/>
  <c r="DLK23" i="3" s="1"/>
  <c r="DLL23" i="3" s="1"/>
  <c r="DLM23" i="3" s="1"/>
  <c r="DLN23" i="3" s="1"/>
  <c r="DLO23" i="3" s="1"/>
  <c r="DLP23" i="3" s="1"/>
  <c r="DLQ23" i="3" s="1"/>
  <c r="DLR23" i="3" s="1"/>
  <c r="DLS23" i="3" s="1"/>
  <c r="DLT23" i="3" s="1"/>
  <c r="DLU23" i="3" s="1"/>
  <c r="DLV23" i="3" s="1"/>
  <c r="DLW23" i="3" s="1"/>
  <c r="DLX23" i="3" s="1"/>
  <c r="DLY23" i="3" s="1"/>
  <c r="DLZ23" i="3" s="1"/>
  <c r="DMA23" i="3" s="1"/>
  <c r="DMB23" i="3" s="1"/>
  <c r="DMC23" i="3" s="1"/>
  <c r="DMD23" i="3" s="1"/>
  <c r="DME23" i="3" s="1"/>
  <c r="DMF23" i="3" s="1"/>
  <c r="DMG23" i="3" s="1"/>
  <c r="DMH23" i="3" s="1"/>
  <c r="DMI23" i="3" s="1"/>
  <c r="DMJ23" i="3" s="1"/>
  <c r="DMK23" i="3" s="1"/>
  <c r="DML23" i="3" s="1"/>
  <c r="DMM23" i="3" s="1"/>
  <c r="DMN23" i="3" s="1"/>
  <c r="DMO23" i="3" s="1"/>
  <c r="DMP23" i="3" s="1"/>
  <c r="DMQ23" i="3" s="1"/>
  <c r="DMR23" i="3" s="1"/>
  <c r="DMS23" i="3" s="1"/>
  <c r="DMT23" i="3" s="1"/>
  <c r="DMU23" i="3" s="1"/>
  <c r="DMV23" i="3" s="1"/>
  <c r="DMW23" i="3" s="1"/>
  <c r="DMX23" i="3" s="1"/>
  <c r="DMY23" i="3" s="1"/>
  <c r="DMZ23" i="3" s="1"/>
  <c r="DNA23" i="3" s="1"/>
  <c r="DNB23" i="3" s="1"/>
  <c r="DNC23" i="3" s="1"/>
  <c r="DND23" i="3" s="1"/>
  <c r="DNE23" i="3" s="1"/>
  <c r="DNF23" i="3" s="1"/>
  <c r="DNG23" i="3" s="1"/>
  <c r="DNH23" i="3" s="1"/>
  <c r="DNI23" i="3" s="1"/>
  <c r="DNJ23" i="3" s="1"/>
  <c r="DNK23" i="3" s="1"/>
  <c r="DNL23" i="3" s="1"/>
  <c r="DNM23" i="3" s="1"/>
  <c r="DNN23" i="3" s="1"/>
  <c r="DNO23" i="3" s="1"/>
  <c r="DNP23" i="3" s="1"/>
  <c r="DNQ23" i="3" s="1"/>
  <c r="DNR23" i="3" s="1"/>
  <c r="DNS23" i="3" s="1"/>
  <c r="DNT23" i="3" s="1"/>
  <c r="DNU23" i="3" s="1"/>
  <c r="DNV23" i="3" s="1"/>
  <c r="DNW23" i="3" s="1"/>
  <c r="DNX23" i="3" s="1"/>
  <c r="DNY23" i="3" s="1"/>
  <c r="DNZ23" i="3" s="1"/>
  <c r="DOA23" i="3" s="1"/>
  <c r="DOB23" i="3" s="1"/>
  <c r="DOC23" i="3" s="1"/>
  <c r="DOD23" i="3" s="1"/>
  <c r="DOE23" i="3" s="1"/>
  <c r="DOF23" i="3" s="1"/>
  <c r="DOG23" i="3" s="1"/>
  <c r="DOH23" i="3" s="1"/>
  <c r="DOI23" i="3" s="1"/>
  <c r="DOJ23" i="3" s="1"/>
  <c r="DOK23" i="3" s="1"/>
  <c r="DOL23" i="3" s="1"/>
  <c r="DOM23" i="3" s="1"/>
  <c r="DON23" i="3" s="1"/>
  <c r="DOO23" i="3" s="1"/>
  <c r="DOP23" i="3" s="1"/>
  <c r="DOQ23" i="3" s="1"/>
  <c r="DOR23" i="3" s="1"/>
  <c r="DOS23" i="3" s="1"/>
  <c r="DOT23" i="3" s="1"/>
  <c r="DOU23" i="3" s="1"/>
  <c r="DOV23" i="3" s="1"/>
  <c r="DOW23" i="3" s="1"/>
  <c r="DOX23" i="3" s="1"/>
  <c r="DOY23" i="3" s="1"/>
  <c r="DOZ23" i="3" s="1"/>
  <c r="DPA23" i="3" s="1"/>
  <c r="DPB23" i="3" s="1"/>
  <c r="DPC23" i="3" s="1"/>
  <c r="DPD23" i="3" s="1"/>
  <c r="DPE23" i="3" s="1"/>
  <c r="DPF23" i="3" s="1"/>
  <c r="DPG23" i="3" s="1"/>
  <c r="DPH23" i="3" s="1"/>
  <c r="DPI23" i="3" s="1"/>
  <c r="DPJ23" i="3" s="1"/>
  <c r="DPK23" i="3" s="1"/>
  <c r="DPL23" i="3" s="1"/>
  <c r="DPM23" i="3" s="1"/>
  <c r="DPN23" i="3" s="1"/>
  <c r="DPO23" i="3" s="1"/>
  <c r="DPP23" i="3" s="1"/>
  <c r="DPQ23" i="3" s="1"/>
  <c r="DPR23" i="3" s="1"/>
  <c r="DPS23" i="3" s="1"/>
  <c r="DPT23" i="3" s="1"/>
  <c r="DPU23" i="3" s="1"/>
  <c r="DPV23" i="3" s="1"/>
  <c r="DPW23" i="3" s="1"/>
  <c r="DPX23" i="3" s="1"/>
  <c r="DPY23" i="3" s="1"/>
  <c r="DPZ23" i="3" s="1"/>
  <c r="DQA23" i="3" s="1"/>
  <c r="DQB23" i="3" s="1"/>
  <c r="DQC23" i="3" s="1"/>
  <c r="DQD23" i="3" s="1"/>
  <c r="DQE23" i="3" s="1"/>
  <c r="DQF23" i="3" s="1"/>
  <c r="DQG23" i="3" s="1"/>
  <c r="DQH23" i="3" s="1"/>
  <c r="DQI23" i="3" s="1"/>
  <c r="DQJ23" i="3" s="1"/>
  <c r="DQK23" i="3" s="1"/>
  <c r="DQL23" i="3" s="1"/>
  <c r="DQM23" i="3" s="1"/>
  <c r="DQN23" i="3" s="1"/>
  <c r="DQO23" i="3" s="1"/>
  <c r="DQP23" i="3" s="1"/>
  <c r="DQQ23" i="3" s="1"/>
  <c r="DQR23" i="3" s="1"/>
  <c r="DQS23" i="3" s="1"/>
  <c r="DQT23" i="3" s="1"/>
  <c r="DQU23" i="3" s="1"/>
  <c r="DQV23" i="3" s="1"/>
  <c r="DQW23" i="3" s="1"/>
  <c r="DQX23" i="3" s="1"/>
  <c r="DQY23" i="3" s="1"/>
  <c r="DQZ23" i="3" s="1"/>
  <c r="DRA23" i="3" s="1"/>
  <c r="DRB23" i="3" s="1"/>
  <c r="DRC23" i="3" s="1"/>
  <c r="DRD23" i="3" s="1"/>
  <c r="DRE23" i="3" s="1"/>
  <c r="DRF23" i="3" s="1"/>
  <c r="DRG23" i="3" s="1"/>
  <c r="DRH23" i="3" s="1"/>
  <c r="DRI23" i="3" s="1"/>
  <c r="DRJ23" i="3" s="1"/>
  <c r="DRK23" i="3" s="1"/>
  <c r="DRL23" i="3" s="1"/>
  <c r="DRM23" i="3" s="1"/>
  <c r="DRN23" i="3" s="1"/>
  <c r="DRO23" i="3" s="1"/>
  <c r="DRP23" i="3" s="1"/>
  <c r="DRQ23" i="3" s="1"/>
  <c r="DRR23" i="3" s="1"/>
  <c r="DRS23" i="3" s="1"/>
  <c r="DRT23" i="3" s="1"/>
  <c r="DRU23" i="3" s="1"/>
  <c r="DRV23" i="3" s="1"/>
  <c r="DRW23" i="3" s="1"/>
  <c r="DRX23" i="3" s="1"/>
  <c r="DRY23" i="3" s="1"/>
  <c r="DRZ23" i="3" s="1"/>
  <c r="DSA23" i="3" s="1"/>
  <c r="DSB23" i="3" s="1"/>
  <c r="DSC23" i="3" s="1"/>
  <c r="DSD23" i="3" s="1"/>
  <c r="DSE23" i="3" s="1"/>
  <c r="DSF23" i="3" s="1"/>
  <c r="DSG23" i="3" s="1"/>
  <c r="DSH23" i="3" s="1"/>
  <c r="DSI23" i="3" s="1"/>
  <c r="DSJ23" i="3" s="1"/>
  <c r="DSK23" i="3" s="1"/>
  <c r="DSL23" i="3" s="1"/>
  <c r="DSM23" i="3" s="1"/>
  <c r="DSN23" i="3" s="1"/>
  <c r="DSO23" i="3" s="1"/>
  <c r="DSP23" i="3" s="1"/>
  <c r="DSQ23" i="3" s="1"/>
  <c r="DSR23" i="3" s="1"/>
  <c r="DSS23" i="3" s="1"/>
  <c r="DST23" i="3" s="1"/>
  <c r="DSU23" i="3" s="1"/>
  <c r="DSV23" i="3" s="1"/>
  <c r="DSW23" i="3" s="1"/>
  <c r="DSX23" i="3" s="1"/>
  <c r="DSY23" i="3" s="1"/>
  <c r="DSZ23" i="3" s="1"/>
  <c r="DTA23" i="3" s="1"/>
  <c r="DTB23" i="3" s="1"/>
  <c r="DTC23" i="3" s="1"/>
  <c r="DTD23" i="3" s="1"/>
  <c r="DTE23" i="3" s="1"/>
  <c r="DTF23" i="3" s="1"/>
  <c r="DTG23" i="3" s="1"/>
  <c r="DTH23" i="3" s="1"/>
  <c r="DTI23" i="3" s="1"/>
  <c r="DTJ23" i="3" s="1"/>
  <c r="DTK23" i="3" s="1"/>
  <c r="DTL23" i="3" s="1"/>
  <c r="DTM23" i="3" s="1"/>
  <c r="DTN23" i="3" s="1"/>
  <c r="DTO23" i="3" s="1"/>
  <c r="DTP23" i="3" s="1"/>
  <c r="DTQ23" i="3" s="1"/>
  <c r="DTR23" i="3" s="1"/>
  <c r="DTS23" i="3" s="1"/>
  <c r="DTT23" i="3" s="1"/>
  <c r="DTU23" i="3" s="1"/>
  <c r="DTV23" i="3" s="1"/>
  <c r="DTW23" i="3" s="1"/>
  <c r="DTX23" i="3" s="1"/>
  <c r="DTY23" i="3" s="1"/>
  <c r="DTZ23" i="3" s="1"/>
  <c r="DUA23" i="3" s="1"/>
  <c r="DUB23" i="3" s="1"/>
  <c r="DUC23" i="3" s="1"/>
  <c r="DUD23" i="3" s="1"/>
  <c r="DUE23" i="3" s="1"/>
  <c r="DUF23" i="3" s="1"/>
  <c r="DUG23" i="3" s="1"/>
  <c r="DUH23" i="3" s="1"/>
  <c r="DUI23" i="3" s="1"/>
  <c r="DUJ23" i="3" s="1"/>
  <c r="DUK23" i="3" s="1"/>
  <c r="DUL23" i="3" s="1"/>
  <c r="DUM23" i="3" s="1"/>
  <c r="DUN23" i="3" s="1"/>
  <c r="DUO23" i="3" s="1"/>
  <c r="DUP23" i="3" s="1"/>
  <c r="DUQ23" i="3" s="1"/>
  <c r="DUR23" i="3" s="1"/>
  <c r="DUS23" i="3" s="1"/>
  <c r="DUT23" i="3" s="1"/>
  <c r="DUU23" i="3" s="1"/>
  <c r="DUV23" i="3" s="1"/>
  <c r="DUW23" i="3" s="1"/>
  <c r="DUX23" i="3" s="1"/>
  <c r="DUY23" i="3" s="1"/>
  <c r="DUZ23" i="3" s="1"/>
  <c r="DVA23" i="3" s="1"/>
  <c r="DVB23" i="3" s="1"/>
  <c r="DVC23" i="3" s="1"/>
  <c r="DVD23" i="3" s="1"/>
  <c r="DVE23" i="3" s="1"/>
  <c r="DVF23" i="3" s="1"/>
  <c r="DVG23" i="3" s="1"/>
  <c r="DVH23" i="3" s="1"/>
  <c r="DVI23" i="3" s="1"/>
  <c r="DVJ23" i="3" s="1"/>
  <c r="DVK23" i="3" s="1"/>
  <c r="DVL23" i="3" s="1"/>
  <c r="DVM23" i="3" s="1"/>
  <c r="DVN23" i="3" s="1"/>
  <c r="DVO23" i="3" s="1"/>
  <c r="DVP23" i="3" s="1"/>
  <c r="DVQ23" i="3" s="1"/>
  <c r="DVR23" i="3" s="1"/>
  <c r="DVS23" i="3" s="1"/>
  <c r="DVT23" i="3" s="1"/>
  <c r="DVU23" i="3" s="1"/>
  <c r="DVV23" i="3" s="1"/>
  <c r="DVW23" i="3" s="1"/>
  <c r="DVX23" i="3" s="1"/>
  <c r="DVY23" i="3" s="1"/>
  <c r="DVZ23" i="3" s="1"/>
  <c r="DWA23" i="3" s="1"/>
  <c r="DWB23" i="3" s="1"/>
  <c r="DWC23" i="3" s="1"/>
  <c r="DWD23" i="3" s="1"/>
  <c r="DWE23" i="3" s="1"/>
  <c r="DWF23" i="3" s="1"/>
  <c r="DWG23" i="3" s="1"/>
  <c r="DWH23" i="3" s="1"/>
  <c r="DWI23" i="3" s="1"/>
  <c r="DWJ23" i="3" s="1"/>
  <c r="DWK23" i="3" s="1"/>
  <c r="DWL23" i="3" s="1"/>
  <c r="DWM23" i="3" s="1"/>
  <c r="DWN23" i="3" s="1"/>
  <c r="DWO23" i="3" s="1"/>
  <c r="DWP23" i="3" s="1"/>
  <c r="DWQ23" i="3" s="1"/>
  <c r="DWR23" i="3" s="1"/>
  <c r="DWS23" i="3" s="1"/>
  <c r="DWT23" i="3" s="1"/>
  <c r="DWU23" i="3" s="1"/>
  <c r="DWV23" i="3" s="1"/>
  <c r="DWW23" i="3" s="1"/>
  <c r="DWX23" i="3" s="1"/>
  <c r="DWY23" i="3" s="1"/>
  <c r="DWZ23" i="3" s="1"/>
  <c r="DXA23" i="3" s="1"/>
  <c r="DXB23" i="3" s="1"/>
  <c r="DXC23" i="3" s="1"/>
  <c r="DXD23" i="3" s="1"/>
  <c r="DXE23" i="3" s="1"/>
  <c r="DXF23" i="3" s="1"/>
  <c r="DXG23" i="3" s="1"/>
  <c r="DXH23" i="3" s="1"/>
  <c r="DXI23" i="3" s="1"/>
  <c r="DXJ23" i="3" s="1"/>
  <c r="DXK23" i="3" s="1"/>
  <c r="DXL23" i="3" s="1"/>
  <c r="DXM23" i="3" s="1"/>
  <c r="DXN23" i="3" s="1"/>
  <c r="DXO23" i="3" s="1"/>
  <c r="DXP23" i="3" s="1"/>
  <c r="DXQ23" i="3" s="1"/>
  <c r="DXR23" i="3" s="1"/>
  <c r="DXS23" i="3" s="1"/>
  <c r="DXT23" i="3" s="1"/>
  <c r="DXU23" i="3" s="1"/>
  <c r="DXV23" i="3" s="1"/>
  <c r="DXW23" i="3" s="1"/>
  <c r="DXX23" i="3" s="1"/>
  <c r="DXY23" i="3" s="1"/>
  <c r="DXZ23" i="3" s="1"/>
  <c r="DYA23" i="3" s="1"/>
  <c r="DYB23" i="3" s="1"/>
  <c r="DYC23" i="3" s="1"/>
  <c r="DYD23" i="3" s="1"/>
  <c r="DYE23" i="3" s="1"/>
  <c r="DYF23" i="3" s="1"/>
  <c r="DYG23" i="3" s="1"/>
  <c r="DYH23" i="3" s="1"/>
  <c r="DYI23" i="3" s="1"/>
  <c r="DYJ23" i="3" s="1"/>
  <c r="DYK23" i="3" s="1"/>
  <c r="DYL23" i="3" s="1"/>
  <c r="DYM23" i="3" s="1"/>
  <c r="DYN23" i="3" s="1"/>
  <c r="DYO23" i="3" s="1"/>
  <c r="DYP23" i="3" s="1"/>
  <c r="DYQ23" i="3" s="1"/>
  <c r="DYR23" i="3" s="1"/>
  <c r="DYS23" i="3" s="1"/>
  <c r="DYT23" i="3" s="1"/>
  <c r="DYU23" i="3" s="1"/>
  <c r="DYV23" i="3" s="1"/>
  <c r="DYW23" i="3" s="1"/>
  <c r="DYX23" i="3" s="1"/>
  <c r="DYY23" i="3" s="1"/>
  <c r="DYZ23" i="3" s="1"/>
  <c r="DZA23" i="3" s="1"/>
  <c r="DZB23" i="3" s="1"/>
  <c r="DZC23" i="3" s="1"/>
  <c r="DZD23" i="3" s="1"/>
  <c r="DZE23" i="3" s="1"/>
  <c r="DZF23" i="3" s="1"/>
  <c r="DZG23" i="3" s="1"/>
  <c r="DZH23" i="3" s="1"/>
  <c r="DZI23" i="3" s="1"/>
  <c r="DZJ23" i="3" s="1"/>
  <c r="DZK23" i="3" s="1"/>
  <c r="DZL23" i="3" s="1"/>
  <c r="DZM23" i="3" s="1"/>
  <c r="DZN23" i="3" s="1"/>
  <c r="DZO23" i="3" s="1"/>
  <c r="DZP23" i="3" s="1"/>
  <c r="DZQ23" i="3" s="1"/>
  <c r="DZR23" i="3" s="1"/>
  <c r="DZS23" i="3" s="1"/>
  <c r="DZT23" i="3" s="1"/>
  <c r="DZU23" i="3" s="1"/>
  <c r="DZV23" i="3" s="1"/>
  <c r="DZW23" i="3" s="1"/>
  <c r="DZX23" i="3" s="1"/>
  <c r="DZY23" i="3" s="1"/>
  <c r="DZZ23" i="3" s="1"/>
  <c r="EAA23" i="3" s="1"/>
  <c r="EAB23" i="3" s="1"/>
  <c r="EAC23" i="3" s="1"/>
  <c r="EAD23" i="3" s="1"/>
  <c r="EAE23" i="3" s="1"/>
  <c r="EAF23" i="3" s="1"/>
  <c r="EAG23" i="3" s="1"/>
  <c r="EAH23" i="3" s="1"/>
  <c r="EAI23" i="3" s="1"/>
  <c r="EAJ23" i="3" s="1"/>
  <c r="EAK23" i="3" s="1"/>
  <c r="EAL23" i="3" s="1"/>
  <c r="EAM23" i="3" s="1"/>
  <c r="EAN23" i="3" s="1"/>
  <c r="EAO23" i="3" s="1"/>
  <c r="EAP23" i="3" s="1"/>
  <c r="EAQ23" i="3" s="1"/>
  <c r="EAR23" i="3" s="1"/>
  <c r="EAS23" i="3" s="1"/>
  <c r="EAT23" i="3" s="1"/>
  <c r="EAU23" i="3" s="1"/>
  <c r="EAV23" i="3" s="1"/>
  <c r="EAW23" i="3" s="1"/>
  <c r="EAX23" i="3" s="1"/>
  <c r="EAY23" i="3" s="1"/>
  <c r="EAZ23" i="3" s="1"/>
  <c r="EBA23" i="3" s="1"/>
  <c r="EBB23" i="3" s="1"/>
  <c r="EBC23" i="3" s="1"/>
  <c r="EBD23" i="3" s="1"/>
  <c r="EBE23" i="3" s="1"/>
  <c r="EBF23" i="3" s="1"/>
  <c r="EBG23" i="3" s="1"/>
  <c r="EBH23" i="3" s="1"/>
  <c r="EBI23" i="3" s="1"/>
  <c r="EBJ23" i="3" s="1"/>
  <c r="EBK23" i="3" s="1"/>
  <c r="EBL23" i="3" s="1"/>
  <c r="EBM23" i="3" s="1"/>
  <c r="EBN23" i="3" s="1"/>
  <c r="EBO23" i="3" s="1"/>
  <c r="EBP23" i="3" s="1"/>
  <c r="EBQ23" i="3" s="1"/>
  <c r="EBR23" i="3" s="1"/>
  <c r="EBS23" i="3" s="1"/>
  <c r="EBT23" i="3" s="1"/>
  <c r="EBU23" i="3" s="1"/>
  <c r="EBV23" i="3" s="1"/>
  <c r="EBW23" i="3" s="1"/>
  <c r="EBX23" i="3" s="1"/>
  <c r="EBY23" i="3" s="1"/>
  <c r="EBZ23" i="3" s="1"/>
  <c r="ECA23" i="3" s="1"/>
  <c r="ECB23" i="3" s="1"/>
  <c r="ECC23" i="3" s="1"/>
  <c r="ECD23" i="3" s="1"/>
  <c r="ECE23" i="3" s="1"/>
  <c r="ECF23" i="3" s="1"/>
  <c r="ECG23" i="3" s="1"/>
  <c r="ECH23" i="3" s="1"/>
  <c r="ECI23" i="3" s="1"/>
  <c r="ECJ23" i="3" s="1"/>
  <c r="ECK23" i="3" s="1"/>
  <c r="ECL23" i="3" s="1"/>
  <c r="ECM23" i="3" s="1"/>
  <c r="ECN23" i="3" s="1"/>
  <c r="ECO23" i="3" s="1"/>
  <c r="ECP23" i="3" s="1"/>
  <c r="ECQ23" i="3" s="1"/>
  <c r="ECR23" i="3" s="1"/>
  <c r="ECS23" i="3" s="1"/>
  <c r="ECT23" i="3" s="1"/>
  <c r="ECU23" i="3" s="1"/>
  <c r="ECV23" i="3" s="1"/>
  <c r="ECW23" i="3" s="1"/>
  <c r="ECX23" i="3" s="1"/>
  <c r="ECY23" i="3" s="1"/>
  <c r="ECZ23" i="3" s="1"/>
  <c r="EDA23" i="3" s="1"/>
  <c r="EDB23" i="3" s="1"/>
  <c r="EDC23" i="3" s="1"/>
  <c r="EDD23" i="3" s="1"/>
  <c r="EDE23" i="3" s="1"/>
  <c r="EDF23" i="3" s="1"/>
  <c r="EDG23" i="3" s="1"/>
  <c r="EDH23" i="3" s="1"/>
  <c r="EDI23" i="3" s="1"/>
  <c r="EDJ23" i="3" s="1"/>
  <c r="EDK23" i="3" s="1"/>
  <c r="EDL23" i="3" s="1"/>
  <c r="EDM23" i="3" s="1"/>
  <c r="EDN23" i="3" s="1"/>
  <c r="EDO23" i="3" s="1"/>
  <c r="EDP23" i="3" s="1"/>
  <c r="EDQ23" i="3" s="1"/>
  <c r="EDR23" i="3" s="1"/>
  <c r="EDS23" i="3" s="1"/>
  <c r="EDT23" i="3" s="1"/>
  <c r="EDU23" i="3" s="1"/>
  <c r="EDV23" i="3" s="1"/>
  <c r="EDW23" i="3" s="1"/>
  <c r="EDX23" i="3" s="1"/>
  <c r="EDY23" i="3" s="1"/>
  <c r="EDZ23" i="3" s="1"/>
  <c r="EEA23" i="3" s="1"/>
  <c r="EEB23" i="3" s="1"/>
  <c r="EEC23" i="3" s="1"/>
  <c r="EED23" i="3" s="1"/>
  <c r="EEE23" i="3" s="1"/>
  <c r="EEF23" i="3" s="1"/>
  <c r="EEG23" i="3" s="1"/>
  <c r="EEH23" i="3" s="1"/>
  <c r="EEI23" i="3" s="1"/>
  <c r="EEJ23" i="3" s="1"/>
  <c r="EEK23" i="3" s="1"/>
  <c r="EEL23" i="3" s="1"/>
  <c r="EEM23" i="3" s="1"/>
  <c r="EEN23" i="3" s="1"/>
  <c r="EEO23" i="3" s="1"/>
  <c r="EEP23" i="3" s="1"/>
  <c r="EEQ23" i="3" s="1"/>
  <c r="EER23" i="3" s="1"/>
  <c r="EES23" i="3" s="1"/>
  <c r="EET23" i="3" s="1"/>
  <c r="EEU23" i="3" s="1"/>
  <c r="EEV23" i="3" s="1"/>
  <c r="EEW23" i="3" s="1"/>
  <c r="EEX23" i="3" s="1"/>
  <c r="EEY23" i="3" s="1"/>
  <c r="EEZ23" i="3" s="1"/>
  <c r="EFA23" i="3" s="1"/>
  <c r="EFB23" i="3" s="1"/>
  <c r="EFC23" i="3" s="1"/>
  <c r="EFD23" i="3" s="1"/>
  <c r="EFE23" i="3" s="1"/>
  <c r="EFF23" i="3" s="1"/>
  <c r="EFG23" i="3" s="1"/>
  <c r="EFH23" i="3" s="1"/>
  <c r="EFI23" i="3" s="1"/>
  <c r="EFJ23" i="3" s="1"/>
  <c r="EFK23" i="3" s="1"/>
  <c r="EFL23" i="3" s="1"/>
  <c r="EFM23" i="3" s="1"/>
  <c r="EFN23" i="3" s="1"/>
  <c r="EFO23" i="3" s="1"/>
  <c r="EFP23" i="3" s="1"/>
  <c r="EFQ23" i="3" s="1"/>
  <c r="EFR23" i="3" s="1"/>
  <c r="EFS23" i="3" s="1"/>
  <c r="EFT23" i="3" s="1"/>
  <c r="EFU23" i="3" s="1"/>
  <c r="EFV23" i="3" s="1"/>
  <c r="EFW23" i="3" s="1"/>
  <c r="EFX23" i="3" s="1"/>
  <c r="EFY23" i="3" s="1"/>
  <c r="EFZ23" i="3" s="1"/>
  <c r="EGA23" i="3" s="1"/>
  <c r="EGB23" i="3" s="1"/>
  <c r="EGC23" i="3" s="1"/>
  <c r="EGD23" i="3" s="1"/>
  <c r="EGE23" i="3" s="1"/>
  <c r="EGF23" i="3" s="1"/>
  <c r="EGG23" i="3" s="1"/>
  <c r="EGH23" i="3" s="1"/>
  <c r="EGI23" i="3" s="1"/>
  <c r="EGJ23" i="3" s="1"/>
  <c r="EGK23" i="3" s="1"/>
  <c r="EGL23" i="3" s="1"/>
  <c r="EGM23" i="3" s="1"/>
  <c r="EGN23" i="3" s="1"/>
  <c r="EGO23" i="3" s="1"/>
  <c r="EGP23" i="3" s="1"/>
  <c r="EGQ23" i="3" s="1"/>
  <c r="EGR23" i="3" s="1"/>
  <c r="EGS23" i="3" s="1"/>
  <c r="EGT23" i="3" s="1"/>
  <c r="EGU23" i="3" s="1"/>
  <c r="EGV23" i="3" s="1"/>
  <c r="EGW23" i="3" s="1"/>
  <c r="EGX23" i="3" s="1"/>
  <c r="EGY23" i="3" s="1"/>
  <c r="EGZ23" i="3" s="1"/>
  <c r="EHA23" i="3" s="1"/>
  <c r="EHB23" i="3" s="1"/>
  <c r="EHC23" i="3" s="1"/>
  <c r="EHD23" i="3" s="1"/>
  <c r="EHE23" i="3" s="1"/>
  <c r="EHF23" i="3" s="1"/>
  <c r="EHG23" i="3" s="1"/>
  <c r="EHH23" i="3" s="1"/>
  <c r="EHI23" i="3" s="1"/>
  <c r="EHJ23" i="3" s="1"/>
  <c r="EHK23" i="3" s="1"/>
  <c r="EHL23" i="3" s="1"/>
  <c r="EHM23" i="3" s="1"/>
  <c r="EHN23" i="3" s="1"/>
  <c r="EHO23" i="3" s="1"/>
  <c r="EHP23" i="3" s="1"/>
  <c r="EHQ23" i="3" s="1"/>
  <c r="EHR23" i="3" s="1"/>
  <c r="EHS23" i="3" s="1"/>
  <c r="EHT23" i="3" s="1"/>
  <c r="EHU23" i="3" s="1"/>
  <c r="EHV23" i="3" s="1"/>
  <c r="EHW23" i="3" s="1"/>
  <c r="EHX23" i="3" s="1"/>
  <c r="EHY23" i="3" s="1"/>
  <c r="EHZ23" i="3" s="1"/>
  <c r="EIA23" i="3" s="1"/>
  <c r="EIB23" i="3" s="1"/>
  <c r="EIC23" i="3" s="1"/>
  <c r="EID23" i="3" s="1"/>
  <c r="EIE23" i="3" s="1"/>
  <c r="EIF23" i="3" s="1"/>
  <c r="EIG23" i="3" s="1"/>
  <c r="EIH23" i="3" s="1"/>
  <c r="EII23" i="3" s="1"/>
  <c r="EIJ23" i="3" s="1"/>
  <c r="EIK23" i="3" s="1"/>
  <c r="EIL23" i="3" s="1"/>
  <c r="EIM23" i="3" s="1"/>
  <c r="EIN23" i="3" s="1"/>
  <c r="EIO23" i="3" s="1"/>
  <c r="EIP23" i="3" s="1"/>
  <c r="EIQ23" i="3" s="1"/>
  <c r="EIR23" i="3" s="1"/>
  <c r="EIS23" i="3" s="1"/>
  <c r="EIT23" i="3" s="1"/>
  <c r="EIU23" i="3" s="1"/>
  <c r="EIV23" i="3" s="1"/>
  <c r="EIW23" i="3" s="1"/>
  <c r="EIX23" i="3" s="1"/>
  <c r="EIY23" i="3" s="1"/>
  <c r="EIZ23" i="3" s="1"/>
  <c r="EJA23" i="3" s="1"/>
  <c r="EJB23" i="3" s="1"/>
  <c r="EJC23" i="3" s="1"/>
  <c r="EJD23" i="3" s="1"/>
  <c r="EJE23" i="3" s="1"/>
  <c r="EJF23" i="3" s="1"/>
  <c r="EJG23" i="3" s="1"/>
  <c r="EJH23" i="3" s="1"/>
  <c r="EJI23" i="3" s="1"/>
  <c r="EJJ23" i="3" s="1"/>
  <c r="EJK23" i="3" s="1"/>
  <c r="EJL23" i="3" s="1"/>
  <c r="EJM23" i="3" s="1"/>
  <c r="EJN23" i="3" s="1"/>
  <c r="EJO23" i="3" s="1"/>
  <c r="EJP23" i="3" s="1"/>
  <c r="EJQ23" i="3" s="1"/>
  <c r="EJR23" i="3" s="1"/>
  <c r="EJS23" i="3" s="1"/>
  <c r="EJT23" i="3" s="1"/>
  <c r="EJU23" i="3" s="1"/>
  <c r="EJV23" i="3" s="1"/>
  <c r="EJW23" i="3" s="1"/>
  <c r="EJX23" i="3" s="1"/>
  <c r="EJY23" i="3" s="1"/>
  <c r="EJZ23" i="3" s="1"/>
  <c r="EKA23" i="3" s="1"/>
  <c r="EKB23" i="3" s="1"/>
  <c r="EKC23" i="3" s="1"/>
  <c r="EKD23" i="3" s="1"/>
  <c r="EKE23" i="3" s="1"/>
  <c r="EKF23" i="3" s="1"/>
  <c r="EKG23" i="3" s="1"/>
  <c r="EKH23" i="3" s="1"/>
  <c r="EKI23" i="3" s="1"/>
  <c r="EKJ23" i="3" s="1"/>
  <c r="EKK23" i="3" s="1"/>
  <c r="EKL23" i="3" s="1"/>
  <c r="EKM23" i="3" s="1"/>
  <c r="EKN23" i="3" s="1"/>
  <c r="EKO23" i="3" s="1"/>
  <c r="EKP23" i="3" s="1"/>
  <c r="EKQ23" i="3" s="1"/>
  <c r="EKR23" i="3" s="1"/>
  <c r="EKS23" i="3" s="1"/>
  <c r="EKT23" i="3" s="1"/>
  <c r="EKU23" i="3" s="1"/>
  <c r="EKV23" i="3" s="1"/>
  <c r="EKW23" i="3" s="1"/>
  <c r="EKX23" i="3" s="1"/>
  <c r="EKY23" i="3" s="1"/>
  <c r="EKZ23" i="3" s="1"/>
  <c r="ELA23" i="3" s="1"/>
  <c r="ELB23" i="3" s="1"/>
  <c r="ELC23" i="3" s="1"/>
  <c r="ELD23" i="3" s="1"/>
  <c r="ELE23" i="3" s="1"/>
  <c r="ELF23" i="3" s="1"/>
  <c r="ELG23" i="3" s="1"/>
  <c r="ELH23" i="3" s="1"/>
  <c r="ELI23" i="3" s="1"/>
  <c r="ELJ23" i="3" s="1"/>
  <c r="ELK23" i="3" s="1"/>
  <c r="ELL23" i="3" s="1"/>
  <c r="ELM23" i="3" s="1"/>
  <c r="ELN23" i="3" s="1"/>
  <c r="ELO23" i="3" s="1"/>
  <c r="ELP23" i="3" s="1"/>
  <c r="ELQ23" i="3" s="1"/>
  <c r="ELR23" i="3" s="1"/>
  <c r="ELS23" i="3" s="1"/>
  <c r="ELT23" i="3" s="1"/>
  <c r="ELU23" i="3" s="1"/>
  <c r="ELV23" i="3" s="1"/>
  <c r="ELW23" i="3" s="1"/>
  <c r="ELX23" i="3" s="1"/>
  <c r="ELY23" i="3" s="1"/>
  <c r="ELZ23" i="3" s="1"/>
  <c r="EMA23" i="3" s="1"/>
  <c r="EMB23" i="3" s="1"/>
  <c r="EMC23" i="3" s="1"/>
  <c r="EMD23" i="3" s="1"/>
  <c r="EME23" i="3" s="1"/>
  <c r="EMF23" i="3" s="1"/>
  <c r="EMG23" i="3" s="1"/>
  <c r="EMH23" i="3" s="1"/>
  <c r="EMI23" i="3" s="1"/>
  <c r="EMJ23" i="3" s="1"/>
  <c r="EMK23" i="3" s="1"/>
  <c r="EML23" i="3" s="1"/>
  <c r="EMM23" i="3" s="1"/>
  <c r="EMN23" i="3" s="1"/>
  <c r="EMO23" i="3" s="1"/>
  <c r="EMP23" i="3" s="1"/>
  <c r="EMQ23" i="3" s="1"/>
  <c r="EMR23" i="3" s="1"/>
  <c r="EMS23" i="3" s="1"/>
  <c r="EMT23" i="3" s="1"/>
  <c r="EMU23" i="3" s="1"/>
  <c r="EMV23" i="3" s="1"/>
  <c r="EMW23" i="3" s="1"/>
  <c r="EMX23" i="3" s="1"/>
  <c r="EMY23" i="3" s="1"/>
  <c r="EMZ23" i="3" s="1"/>
  <c r="ENA23" i="3" s="1"/>
  <c r="ENB23" i="3" s="1"/>
  <c r="ENC23" i="3" s="1"/>
  <c r="END23" i="3" s="1"/>
  <c r="ENE23" i="3" s="1"/>
  <c r="ENF23" i="3" s="1"/>
  <c r="ENG23" i="3" s="1"/>
  <c r="ENH23" i="3" s="1"/>
  <c r="ENI23" i="3" s="1"/>
  <c r="ENJ23" i="3" s="1"/>
  <c r="ENK23" i="3" s="1"/>
  <c r="ENL23" i="3" s="1"/>
  <c r="ENM23" i="3" s="1"/>
  <c r="ENN23" i="3" s="1"/>
  <c r="ENO23" i="3" s="1"/>
  <c r="ENP23" i="3" s="1"/>
  <c r="ENQ23" i="3" s="1"/>
  <c r="ENR23" i="3" s="1"/>
  <c r="ENS23" i="3" s="1"/>
  <c r="ENT23" i="3" s="1"/>
  <c r="ENU23" i="3" s="1"/>
  <c r="ENV23" i="3" s="1"/>
  <c r="ENW23" i="3" s="1"/>
  <c r="ENX23" i="3" s="1"/>
  <c r="ENY23" i="3" s="1"/>
  <c r="ENZ23" i="3" s="1"/>
  <c r="EOA23" i="3" s="1"/>
  <c r="EOB23" i="3" s="1"/>
  <c r="EOC23" i="3" s="1"/>
  <c r="EOD23" i="3" s="1"/>
  <c r="EOE23" i="3" s="1"/>
  <c r="EOF23" i="3" s="1"/>
  <c r="EOG23" i="3" s="1"/>
  <c r="EOH23" i="3" s="1"/>
  <c r="EOI23" i="3" s="1"/>
  <c r="EOJ23" i="3" s="1"/>
  <c r="EOK23" i="3" s="1"/>
  <c r="EOL23" i="3" s="1"/>
  <c r="EOM23" i="3" s="1"/>
  <c r="EON23" i="3" s="1"/>
  <c r="EOO23" i="3" s="1"/>
  <c r="EOP23" i="3" s="1"/>
  <c r="EOQ23" i="3" s="1"/>
  <c r="EOR23" i="3" s="1"/>
  <c r="EOS23" i="3" s="1"/>
  <c r="EOT23" i="3" s="1"/>
  <c r="EOU23" i="3" s="1"/>
  <c r="EOV23" i="3" s="1"/>
  <c r="EOW23" i="3" s="1"/>
  <c r="EOX23" i="3" s="1"/>
  <c r="EOY23" i="3" s="1"/>
  <c r="EOZ23" i="3" s="1"/>
  <c r="EPA23" i="3" s="1"/>
  <c r="EPB23" i="3" s="1"/>
  <c r="EPC23" i="3" s="1"/>
  <c r="EPD23" i="3" s="1"/>
  <c r="EPE23" i="3" s="1"/>
  <c r="EPF23" i="3" s="1"/>
  <c r="EPG23" i="3" s="1"/>
  <c r="EPH23" i="3" s="1"/>
  <c r="EPI23" i="3" s="1"/>
  <c r="EPJ23" i="3" s="1"/>
  <c r="EPK23" i="3" s="1"/>
  <c r="EPL23" i="3" s="1"/>
  <c r="EPM23" i="3" s="1"/>
  <c r="EPN23" i="3" s="1"/>
  <c r="EPO23" i="3" s="1"/>
  <c r="EPP23" i="3" s="1"/>
  <c r="EPQ23" i="3" s="1"/>
  <c r="EPR23" i="3" s="1"/>
  <c r="EPS23" i="3" s="1"/>
  <c r="EPT23" i="3" s="1"/>
  <c r="EPU23" i="3" s="1"/>
  <c r="EPV23" i="3" s="1"/>
  <c r="EPW23" i="3" s="1"/>
  <c r="EPX23" i="3" s="1"/>
  <c r="EPY23" i="3" s="1"/>
  <c r="EPZ23" i="3" s="1"/>
  <c r="EQA23" i="3" s="1"/>
  <c r="EQB23" i="3" s="1"/>
  <c r="EQC23" i="3" s="1"/>
  <c r="EQD23" i="3" s="1"/>
  <c r="EQE23" i="3" s="1"/>
  <c r="EQF23" i="3" s="1"/>
  <c r="EQG23" i="3" s="1"/>
  <c r="EQH23" i="3" s="1"/>
  <c r="EQI23" i="3" s="1"/>
  <c r="EQJ23" i="3" s="1"/>
  <c r="EQK23" i="3" s="1"/>
  <c r="EQL23" i="3" s="1"/>
  <c r="EQM23" i="3" s="1"/>
  <c r="EQN23" i="3" s="1"/>
  <c r="EQO23" i="3" s="1"/>
  <c r="EQP23" i="3" s="1"/>
  <c r="EQQ23" i="3" s="1"/>
  <c r="EQR23" i="3" s="1"/>
  <c r="EQS23" i="3" s="1"/>
  <c r="EQT23" i="3" s="1"/>
  <c r="EQU23" i="3" s="1"/>
  <c r="EQV23" i="3" s="1"/>
  <c r="EQW23" i="3" s="1"/>
  <c r="EQX23" i="3" s="1"/>
  <c r="EQY23" i="3" s="1"/>
  <c r="EQZ23" i="3" s="1"/>
  <c r="ERA23" i="3" s="1"/>
  <c r="ERB23" i="3" s="1"/>
  <c r="ERC23" i="3" s="1"/>
  <c r="ERD23" i="3" s="1"/>
  <c r="ERE23" i="3" s="1"/>
  <c r="ERF23" i="3" s="1"/>
  <c r="ERG23" i="3" s="1"/>
  <c r="ERH23" i="3" s="1"/>
  <c r="ERI23" i="3" s="1"/>
  <c r="ERJ23" i="3" s="1"/>
  <c r="ERK23" i="3" s="1"/>
  <c r="ERL23" i="3" s="1"/>
  <c r="ERM23" i="3" s="1"/>
  <c r="ERN23" i="3" s="1"/>
  <c r="ERO23" i="3" s="1"/>
  <c r="ERP23" i="3" s="1"/>
  <c r="ERQ23" i="3" s="1"/>
  <c r="ERR23" i="3" s="1"/>
  <c r="ERS23" i="3" s="1"/>
  <c r="ERT23" i="3" s="1"/>
  <c r="ERU23" i="3" s="1"/>
  <c r="ERV23" i="3" s="1"/>
  <c r="ERW23" i="3" s="1"/>
  <c r="ERX23" i="3" s="1"/>
  <c r="ERY23" i="3" s="1"/>
  <c r="ERZ23" i="3" s="1"/>
  <c r="ESA23" i="3" s="1"/>
  <c r="ESB23" i="3" s="1"/>
  <c r="ESC23" i="3" s="1"/>
  <c r="ESD23" i="3" s="1"/>
  <c r="ESE23" i="3" s="1"/>
  <c r="ESF23" i="3" s="1"/>
  <c r="ESG23" i="3" s="1"/>
  <c r="ESH23" i="3" s="1"/>
  <c r="ESI23" i="3" s="1"/>
  <c r="ESJ23" i="3" s="1"/>
  <c r="ESK23" i="3" s="1"/>
  <c r="ESL23" i="3" s="1"/>
  <c r="ESM23" i="3" s="1"/>
  <c r="ESN23" i="3" s="1"/>
  <c r="ESO23" i="3" s="1"/>
  <c r="ESP23" i="3" s="1"/>
  <c r="ESQ23" i="3" s="1"/>
  <c r="ESR23" i="3" s="1"/>
  <c r="ESS23" i="3" s="1"/>
  <c r="EST23" i="3" s="1"/>
  <c r="ESU23" i="3" s="1"/>
  <c r="ESV23" i="3" s="1"/>
  <c r="ESW23" i="3" s="1"/>
  <c r="ESX23" i="3" s="1"/>
  <c r="ESY23" i="3" s="1"/>
  <c r="ESZ23" i="3" s="1"/>
  <c r="ETA23" i="3" s="1"/>
  <c r="ETB23" i="3" s="1"/>
  <c r="ETC23" i="3" s="1"/>
  <c r="ETD23" i="3" s="1"/>
  <c r="ETE23" i="3" s="1"/>
  <c r="ETF23" i="3" s="1"/>
  <c r="ETG23" i="3" s="1"/>
  <c r="ETH23" i="3" s="1"/>
  <c r="ETI23" i="3" s="1"/>
  <c r="ETJ23" i="3" s="1"/>
  <c r="ETK23" i="3" s="1"/>
  <c r="ETL23" i="3" s="1"/>
  <c r="ETM23" i="3" s="1"/>
  <c r="ETN23" i="3" s="1"/>
  <c r="ETO23" i="3" s="1"/>
  <c r="ETP23" i="3" s="1"/>
  <c r="ETQ23" i="3" s="1"/>
  <c r="ETR23" i="3" s="1"/>
  <c r="ETS23" i="3" s="1"/>
  <c r="ETT23" i="3" s="1"/>
  <c r="ETU23" i="3" s="1"/>
  <c r="ETV23" i="3" s="1"/>
  <c r="ETW23" i="3" s="1"/>
  <c r="ETX23" i="3" s="1"/>
  <c r="ETY23" i="3" s="1"/>
  <c r="ETZ23" i="3" s="1"/>
  <c r="EUA23" i="3" s="1"/>
  <c r="EUB23" i="3" s="1"/>
  <c r="EUC23" i="3" s="1"/>
  <c r="EUD23" i="3" s="1"/>
  <c r="EUE23" i="3" s="1"/>
  <c r="EUF23" i="3" s="1"/>
  <c r="EUG23" i="3" s="1"/>
  <c r="EUH23" i="3" s="1"/>
  <c r="EUI23" i="3" s="1"/>
  <c r="EUJ23" i="3" s="1"/>
  <c r="EUK23" i="3" s="1"/>
  <c r="EUL23" i="3" s="1"/>
  <c r="EUM23" i="3" s="1"/>
  <c r="EUN23" i="3" s="1"/>
  <c r="EUO23" i="3" s="1"/>
  <c r="EUP23" i="3" s="1"/>
  <c r="EUQ23" i="3" s="1"/>
  <c r="EUR23" i="3" s="1"/>
  <c r="EUS23" i="3" s="1"/>
  <c r="EUT23" i="3" s="1"/>
  <c r="EUU23" i="3" s="1"/>
  <c r="EUV23" i="3" s="1"/>
  <c r="EUW23" i="3" s="1"/>
  <c r="EUX23" i="3" s="1"/>
  <c r="EUY23" i="3" s="1"/>
  <c r="EUZ23" i="3" s="1"/>
  <c r="EVA23" i="3" s="1"/>
  <c r="EVB23" i="3" s="1"/>
  <c r="EVC23" i="3" s="1"/>
  <c r="EVD23" i="3" s="1"/>
  <c r="EVE23" i="3" s="1"/>
  <c r="EVF23" i="3" s="1"/>
  <c r="EVG23" i="3" s="1"/>
  <c r="EVH23" i="3" s="1"/>
  <c r="EVI23" i="3" s="1"/>
  <c r="EVJ23" i="3" s="1"/>
  <c r="EVK23" i="3" s="1"/>
  <c r="EVL23" i="3" s="1"/>
  <c r="EVM23" i="3" s="1"/>
  <c r="EVN23" i="3" s="1"/>
  <c r="EVO23" i="3" s="1"/>
  <c r="EVP23" i="3" s="1"/>
  <c r="EVQ23" i="3" s="1"/>
  <c r="EVR23" i="3" s="1"/>
  <c r="EVS23" i="3" s="1"/>
  <c r="EVT23" i="3" s="1"/>
  <c r="EVU23" i="3" s="1"/>
  <c r="EVV23" i="3" s="1"/>
  <c r="EVW23" i="3" s="1"/>
  <c r="EVX23" i="3" s="1"/>
  <c r="EVY23" i="3" s="1"/>
  <c r="EVZ23" i="3" s="1"/>
  <c r="EWA23" i="3" s="1"/>
  <c r="EWB23" i="3" s="1"/>
  <c r="EWC23" i="3" s="1"/>
  <c r="EWD23" i="3" s="1"/>
  <c r="EWE23" i="3" s="1"/>
  <c r="EWF23" i="3" s="1"/>
  <c r="EWG23" i="3" s="1"/>
  <c r="EWH23" i="3" s="1"/>
  <c r="EWI23" i="3" s="1"/>
  <c r="EWJ23" i="3" s="1"/>
  <c r="EWK23" i="3" s="1"/>
  <c r="EWL23" i="3" s="1"/>
  <c r="EWM23" i="3" s="1"/>
  <c r="EWN23" i="3" s="1"/>
  <c r="EWO23" i="3" s="1"/>
  <c r="EWP23" i="3" s="1"/>
  <c r="EWQ23" i="3" s="1"/>
  <c r="EWR23" i="3" s="1"/>
  <c r="EWS23" i="3" s="1"/>
  <c r="EWT23" i="3" s="1"/>
  <c r="EWU23" i="3" s="1"/>
  <c r="EWV23" i="3" s="1"/>
  <c r="EWW23" i="3" s="1"/>
  <c r="EWX23" i="3" s="1"/>
  <c r="EWY23" i="3" s="1"/>
  <c r="EWZ23" i="3" s="1"/>
  <c r="EXA23" i="3" s="1"/>
  <c r="EXB23" i="3" s="1"/>
  <c r="EXC23" i="3" s="1"/>
  <c r="EXD23" i="3" s="1"/>
  <c r="EXE23" i="3" s="1"/>
  <c r="EXF23" i="3" s="1"/>
  <c r="EXG23" i="3" s="1"/>
  <c r="EXH23" i="3" s="1"/>
  <c r="EXI23" i="3" s="1"/>
  <c r="EXJ23" i="3" s="1"/>
  <c r="EXK23" i="3" s="1"/>
  <c r="EXL23" i="3" s="1"/>
  <c r="EXM23" i="3" s="1"/>
  <c r="EXN23" i="3" s="1"/>
  <c r="EXO23" i="3" s="1"/>
  <c r="EXP23" i="3" s="1"/>
  <c r="EXQ23" i="3" s="1"/>
  <c r="EXR23" i="3" s="1"/>
  <c r="EXS23" i="3" s="1"/>
  <c r="EXT23" i="3" s="1"/>
  <c r="EXU23" i="3" s="1"/>
  <c r="EXV23" i="3" s="1"/>
  <c r="EXW23" i="3" s="1"/>
  <c r="EXX23" i="3" s="1"/>
  <c r="EXY23" i="3" s="1"/>
  <c r="EXZ23" i="3" s="1"/>
  <c r="EYA23" i="3" s="1"/>
  <c r="EYB23" i="3" s="1"/>
  <c r="EYC23" i="3" s="1"/>
  <c r="EYD23" i="3" s="1"/>
  <c r="EYE23" i="3" s="1"/>
  <c r="EYF23" i="3" s="1"/>
  <c r="EYG23" i="3" s="1"/>
  <c r="EYH23" i="3" s="1"/>
  <c r="EYI23" i="3" s="1"/>
  <c r="EYJ23" i="3" s="1"/>
  <c r="EYK23" i="3" s="1"/>
  <c r="EYL23" i="3" s="1"/>
  <c r="EYM23" i="3" s="1"/>
  <c r="EYN23" i="3" s="1"/>
  <c r="EYO23" i="3" s="1"/>
  <c r="EYP23" i="3" s="1"/>
  <c r="EYQ23" i="3" s="1"/>
  <c r="EYR23" i="3" s="1"/>
  <c r="EYS23" i="3" s="1"/>
  <c r="EYT23" i="3" s="1"/>
  <c r="EYU23" i="3" s="1"/>
  <c r="EYV23" i="3" s="1"/>
  <c r="EYW23" i="3" s="1"/>
  <c r="EYX23" i="3" s="1"/>
  <c r="EYY23" i="3" s="1"/>
  <c r="EYZ23" i="3" s="1"/>
  <c r="EZA23" i="3" s="1"/>
  <c r="EZB23" i="3" s="1"/>
  <c r="EZC23" i="3" s="1"/>
  <c r="EZD23" i="3" s="1"/>
  <c r="EZE23" i="3" s="1"/>
  <c r="EZF23" i="3" s="1"/>
  <c r="EZG23" i="3" s="1"/>
  <c r="EZH23" i="3" s="1"/>
  <c r="EZI23" i="3" s="1"/>
  <c r="EZJ23" i="3" s="1"/>
  <c r="EZK23" i="3" s="1"/>
  <c r="EZL23" i="3" s="1"/>
  <c r="EZM23" i="3" s="1"/>
  <c r="EZN23" i="3" s="1"/>
  <c r="EZO23" i="3" s="1"/>
  <c r="EZP23" i="3" s="1"/>
  <c r="EZQ23" i="3" s="1"/>
  <c r="EZR23" i="3" s="1"/>
  <c r="EZS23" i="3" s="1"/>
  <c r="EZT23" i="3" s="1"/>
  <c r="EZU23" i="3" s="1"/>
  <c r="EZV23" i="3" s="1"/>
  <c r="EZW23" i="3" s="1"/>
  <c r="EZX23" i="3" s="1"/>
  <c r="EZY23" i="3" s="1"/>
  <c r="EZZ23" i="3" s="1"/>
  <c r="FAA23" i="3" s="1"/>
  <c r="FAB23" i="3" s="1"/>
  <c r="FAC23" i="3" s="1"/>
  <c r="FAD23" i="3" s="1"/>
  <c r="FAE23" i="3" s="1"/>
  <c r="FAF23" i="3" s="1"/>
  <c r="FAG23" i="3" s="1"/>
  <c r="FAH23" i="3" s="1"/>
  <c r="FAI23" i="3" s="1"/>
  <c r="FAJ23" i="3" s="1"/>
  <c r="FAK23" i="3" s="1"/>
  <c r="FAL23" i="3" s="1"/>
  <c r="FAM23" i="3" s="1"/>
  <c r="FAN23" i="3" s="1"/>
  <c r="FAO23" i="3" s="1"/>
  <c r="FAP23" i="3" s="1"/>
  <c r="FAQ23" i="3" s="1"/>
  <c r="FAR23" i="3" s="1"/>
  <c r="FAS23" i="3" s="1"/>
  <c r="FAT23" i="3" s="1"/>
  <c r="FAU23" i="3" s="1"/>
  <c r="FAV23" i="3" s="1"/>
  <c r="FAW23" i="3" s="1"/>
  <c r="FAX23" i="3" s="1"/>
  <c r="FAY23" i="3" s="1"/>
  <c r="FAZ23" i="3" s="1"/>
  <c r="FBA23" i="3" s="1"/>
  <c r="FBB23" i="3" s="1"/>
  <c r="FBC23" i="3" s="1"/>
  <c r="FBD23" i="3" s="1"/>
  <c r="FBE23" i="3" s="1"/>
  <c r="FBF23" i="3" s="1"/>
  <c r="FBG23" i="3" s="1"/>
  <c r="FBH23" i="3" s="1"/>
  <c r="FBI23" i="3" s="1"/>
  <c r="FBJ23" i="3" s="1"/>
  <c r="FBK23" i="3" s="1"/>
  <c r="FBL23" i="3" s="1"/>
  <c r="FBM23" i="3" s="1"/>
  <c r="FBN23" i="3" s="1"/>
  <c r="FBO23" i="3" s="1"/>
  <c r="FBP23" i="3" s="1"/>
  <c r="FBQ23" i="3" s="1"/>
  <c r="FBR23" i="3" s="1"/>
  <c r="FBS23" i="3" s="1"/>
  <c r="FBT23" i="3" s="1"/>
  <c r="FBU23" i="3" s="1"/>
  <c r="FBV23" i="3" s="1"/>
  <c r="FBW23" i="3" s="1"/>
  <c r="FBX23" i="3" s="1"/>
  <c r="FBY23" i="3" s="1"/>
  <c r="FBZ23" i="3" s="1"/>
  <c r="FCA23" i="3" s="1"/>
  <c r="FCB23" i="3" s="1"/>
  <c r="FCC23" i="3" s="1"/>
  <c r="FCD23" i="3" s="1"/>
  <c r="FCE23" i="3" s="1"/>
  <c r="FCF23" i="3" s="1"/>
  <c r="FCG23" i="3" s="1"/>
  <c r="FCH23" i="3" s="1"/>
  <c r="FCI23" i="3" s="1"/>
  <c r="FCJ23" i="3" s="1"/>
  <c r="FCK23" i="3" s="1"/>
  <c r="FCL23" i="3" s="1"/>
  <c r="FCM23" i="3" s="1"/>
  <c r="FCN23" i="3" s="1"/>
  <c r="FCO23" i="3" s="1"/>
  <c r="FCP23" i="3" s="1"/>
  <c r="FCQ23" i="3" s="1"/>
  <c r="FCR23" i="3" s="1"/>
  <c r="FCS23" i="3" s="1"/>
  <c r="FCT23" i="3" s="1"/>
  <c r="FCU23" i="3" s="1"/>
  <c r="FCV23" i="3" s="1"/>
  <c r="FCW23" i="3" s="1"/>
  <c r="FCX23" i="3" s="1"/>
  <c r="FCY23" i="3" s="1"/>
  <c r="FCZ23" i="3" s="1"/>
  <c r="FDA23" i="3" s="1"/>
  <c r="FDB23" i="3" s="1"/>
  <c r="FDC23" i="3" s="1"/>
  <c r="FDD23" i="3" s="1"/>
  <c r="FDE23" i="3" s="1"/>
  <c r="FDF23" i="3" s="1"/>
  <c r="FDG23" i="3" s="1"/>
  <c r="FDH23" i="3" s="1"/>
  <c r="FDI23" i="3" s="1"/>
  <c r="FDJ23" i="3" s="1"/>
  <c r="FDK23" i="3" s="1"/>
  <c r="FDL23" i="3" s="1"/>
  <c r="FDM23" i="3" s="1"/>
  <c r="FDN23" i="3" s="1"/>
  <c r="FDO23" i="3" s="1"/>
  <c r="FDP23" i="3" s="1"/>
  <c r="FDQ23" i="3" s="1"/>
  <c r="FDR23" i="3" s="1"/>
  <c r="FDS23" i="3" s="1"/>
  <c r="FDT23" i="3" s="1"/>
  <c r="FDU23" i="3" s="1"/>
  <c r="FDV23" i="3" s="1"/>
  <c r="FDW23" i="3" s="1"/>
  <c r="FDX23" i="3" s="1"/>
  <c r="FDY23" i="3" s="1"/>
  <c r="FDZ23" i="3" s="1"/>
  <c r="FEA23" i="3" s="1"/>
  <c r="FEB23" i="3" s="1"/>
  <c r="FEC23" i="3" s="1"/>
  <c r="FED23" i="3" s="1"/>
  <c r="FEE23" i="3" s="1"/>
  <c r="FEF23" i="3" s="1"/>
  <c r="FEG23" i="3" s="1"/>
  <c r="FEH23" i="3" s="1"/>
  <c r="FEI23" i="3" s="1"/>
  <c r="FEJ23" i="3" s="1"/>
  <c r="FEK23" i="3" s="1"/>
  <c r="FEL23" i="3" s="1"/>
  <c r="FEM23" i="3" s="1"/>
  <c r="FEN23" i="3" s="1"/>
  <c r="FEO23" i="3" s="1"/>
  <c r="FEP23" i="3" s="1"/>
  <c r="FEQ23" i="3" s="1"/>
  <c r="FER23" i="3" s="1"/>
  <c r="FES23" i="3" s="1"/>
  <c r="FET23" i="3" s="1"/>
  <c r="FEU23" i="3" s="1"/>
  <c r="FEV23" i="3" s="1"/>
  <c r="FEW23" i="3" s="1"/>
  <c r="FEX23" i="3" s="1"/>
  <c r="FEY23" i="3" s="1"/>
  <c r="FEZ23" i="3" s="1"/>
  <c r="FFA23" i="3" s="1"/>
  <c r="FFB23" i="3" s="1"/>
  <c r="FFC23" i="3" s="1"/>
  <c r="FFD23" i="3" s="1"/>
  <c r="FFE23" i="3" s="1"/>
  <c r="FFF23" i="3" s="1"/>
  <c r="FFG23" i="3" s="1"/>
  <c r="FFH23" i="3" s="1"/>
  <c r="FFI23" i="3" s="1"/>
  <c r="FFJ23" i="3" s="1"/>
  <c r="FFK23" i="3" s="1"/>
  <c r="FFL23" i="3" s="1"/>
  <c r="FFM23" i="3" s="1"/>
  <c r="FFN23" i="3" s="1"/>
  <c r="FFO23" i="3" s="1"/>
  <c r="FFP23" i="3" s="1"/>
  <c r="FFQ23" i="3" s="1"/>
  <c r="FFR23" i="3" s="1"/>
  <c r="FFS23" i="3" s="1"/>
  <c r="FFT23" i="3" s="1"/>
  <c r="FFU23" i="3" s="1"/>
  <c r="FFV23" i="3" s="1"/>
  <c r="FFW23" i="3" s="1"/>
  <c r="FFX23" i="3" s="1"/>
  <c r="FFY23" i="3" s="1"/>
  <c r="FFZ23" i="3" s="1"/>
  <c r="FGA23" i="3" s="1"/>
  <c r="FGB23" i="3" s="1"/>
  <c r="FGC23" i="3" s="1"/>
  <c r="FGD23" i="3" s="1"/>
  <c r="FGE23" i="3" s="1"/>
  <c r="FGF23" i="3" s="1"/>
  <c r="FGG23" i="3" s="1"/>
  <c r="FGH23" i="3" s="1"/>
  <c r="FGI23" i="3" s="1"/>
  <c r="FGJ23" i="3" s="1"/>
  <c r="FGK23" i="3" s="1"/>
  <c r="FGL23" i="3" s="1"/>
  <c r="FGM23" i="3" s="1"/>
  <c r="FGN23" i="3" s="1"/>
  <c r="FGO23" i="3" s="1"/>
  <c r="FGP23" i="3" s="1"/>
  <c r="FGQ23" i="3" s="1"/>
  <c r="FGR23" i="3" s="1"/>
  <c r="FGS23" i="3" s="1"/>
  <c r="FGT23" i="3" s="1"/>
  <c r="FGU23" i="3" s="1"/>
  <c r="FGV23" i="3" s="1"/>
  <c r="FGW23" i="3" s="1"/>
  <c r="FGX23" i="3" s="1"/>
  <c r="FGY23" i="3" s="1"/>
  <c r="FGZ23" i="3" s="1"/>
  <c r="FHA23" i="3" s="1"/>
  <c r="FHB23" i="3" s="1"/>
  <c r="FHC23" i="3" s="1"/>
  <c r="FHD23" i="3" s="1"/>
  <c r="FHE23" i="3" s="1"/>
  <c r="FHF23" i="3" s="1"/>
  <c r="FHG23" i="3" s="1"/>
  <c r="FHH23" i="3" s="1"/>
  <c r="FHI23" i="3" s="1"/>
  <c r="FHJ23" i="3" s="1"/>
  <c r="FHK23" i="3" s="1"/>
  <c r="FHL23" i="3" s="1"/>
  <c r="FHM23" i="3" s="1"/>
  <c r="FHN23" i="3" s="1"/>
  <c r="FHO23" i="3" s="1"/>
  <c r="FHP23" i="3" s="1"/>
  <c r="FHQ23" i="3" s="1"/>
  <c r="FHR23" i="3" s="1"/>
  <c r="FHS23" i="3" s="1"/>
  <c r="FHT23" i="3" s="1"/>
  <c r="FHU23" i="3" s="1"/>
  <c r="FHV23" i="3" s="1"/>
  <c r="FHW23" i="3" s="1"/>
  <c r="FHX23" i="3" s="1"/>
  <c r="FHY23" i="3" s="1"/>
  <c r="FHZ23" i="3" s="1"/>
  <c r="FIA23" i="3" s="1"/>
  <c r="FIB23" i="3" s="1"/>
  <c r="FIC23" i="3" s="1"/>
  <c r="FID23" i="3" s="1"/>
  <c r="FIE23" i="3" s="1"/>
  <c r="FIF23" i="3" s="1"/>
  <c r="FIG23" i="3" s="1"/>
  <c r="FIH23" i="3" s="1"/>
  <c r="FII23" i="3" s="1"/>
  <c r="FIJ23" i="3" s="1"/>
  <c r="FIK23" i="3" s="1"/>
  <c r="FIL23" i="3" s="1"/>
  <c r="FIM23" i="3" s="1"/>
  <c r="FIN23" i="3" s="1"/>
  <c r="FIO23" i="3" s="1"/>
  <c r="FIP23" i="3" s="1"/>
  <c r="FIQ23" i="3" s="1"/>
  <c r="FIR23" i="3" s="1"/>
  <c r="FIS23" i="3" s="1"/>
  <c r="FIT23" i="3" s="1"/>
  <c r="FIU23" i="3" s="1"/>
  <c r="FIV23" i="3" s="1"/>
  <c r="FIW23" i="3" s="1"/>
  <c r="FIX23" i="3" s="1"/>
  <c r="FIY23" i="3" s="1"/>
  <c r="FIZ23" i="3" s="1"/>
  <c r="FJA23" i="3" s="1"/>
  <c r="FJB23" i="3" s="1"/>
  <c r="FJC23" i="3" s="1"/>
  <c r="FJD23" i="3" s="1"/>
  <c r="FJE23" i="3" s="1"/>
  <c r="FJF23" i="3" s="1"/>
  <c r="FJG23" i="3" s="1"/>
  <c r="FJH23" i="3" s="1"/>
  <c r="FJI23" i="3" s="1"/>
  <c r="FJJ23" i="3" s="1"/>
  <c r="FJK23" i="3" s="1"/>
  <c r="FJL23" i="3" s="1"/>
  <c r="FJM23" i="3" s="1"/>
  <c r="FJN23" i="3" s="1"/>
  <c r="FJO23" i="3" s="1"/>
  <c r="FJP23" i="3" s="1"/>
  <c r="FJQ23" i="3" s="1"/>
  <c r="FJR23" i="3" s="1"/>
  <c r="FJS23" i="3" s="1"/>
  <c r="FJT23" i="3" s="1"/>
  <c r="FJU23" i="3" s="1"/>
  <c r="FJV23" i="3" s="1"/>
  <c r="FJW23" i="3" s="1"/>
  <c r="FJX23" i="3" s="1"/>
  <c r="FJY23" i="3" s="1"/>
  <c r="FJZ23" i="3" s="1"/>
  <c r="FKA23" i="3" s="1"/>
  <c r="FKB23" i="3" s="1"/>
  <c r="FKC23" i="3" s="1"/>
  <c r="FKD23" i="3" s="1"/>
  <c r="FKE23" i="3" s="1"/>
  <c r="FKF23" i="3" s="1"/>
  <c r="FKG23" i="3" s="1"/>
  <c r="FKH23" i="3" s="1"/>
  <c r="FKI23" i="3" s="1"/>
  <c r="FKJ23" i="3" s="1"/>
  <c r="FKK23" i="3" s="1"/>
  <c r="FKL23" i="3" s="1"/>
  <c r="FKM23" i="3" s="1"/>
  <c r="FKN23" i="3" s="1"/>
  <c r="FKO23" i="3" s="1"/>
  <c r="FKP23" i="3" s="1"/>
  <c r="FKQ23" i="3" s="1"/>
  <c r="FKR23" i="3" s="1"/>
  <c r="FKS23" i="3" s="1"/>
  <c r="FKT23" i="3" s="1"/>
  <c r="FKU23" i="3" s="1"/>
  <c r="FKV23" i="3" s="1"/>
  <c r="FKW23" i="3" s="1"/>
  <c r="FKX23" i="3" s="1"/>
  <c r="FKY23" i="3" s="1"/>
  <c r="FKZ23" i="3" s="1"/>
  <c r="FLA23" i="3" s="1"/>
  <c r="FLB23" i="3" s="1"/>
  <c r="FLC23" i="3" s="1"/>
  <c r="FLD23" i="3" s="1"/>
  <c r="FLE23" i="3" s="1"/>
  <c r="FLF23" i="3" s="1"/>
  <c r="FLG23" i="3" s="1"/>
  <c r="FLH23" i="3" s="1"/>
  <c r="FLI23" i="3" s="1"/>
  <c r="FLJ23" i="3" s="1"/>
  <c r="FLK23" i="3" s="1"/>
  <c r="FLL23" i="3" s="1"/>
  <c r="FLM23" i="3" s="1"/>
  <c r="FLN23" i="3" s="1"/>
  <c r="FLO23" i="3" s="1"/>
  <c r="FLP23" i="3" s="1"/>
  <c r="FLQ23" i="3" s="1"/>
  <c r="FLR23" i="3" s="1"/>
  <c r="FLS23" i="3" s="1"/>
  <c r="FLT23" i="3" s="1"/>
  <c r="FLU23" i="3" s="1"/>
  <c r="FLV23" i="3" s="1"/>
  <c r="FLW23" i="3" s="1"/>
  <c r="FLX23" i="3" s="1"/>
  <c r="FLY23" i="3" s="1"/>
  <c r="FLZ23" i="3" s="1"/>
  <c r="FMA23" i="3" s="1"/>
  <c r="FMB23" i="3" s="1"/>
  <c r="FMC23" i="3" s="1"/>
  <c r="FMD23" i="3" s="1"/>
  <c r="FME23" i="3" s="1"/>
  <c r="FMF23" i="3" s="1"/>
  <c r="FMG23" i="3" s="1"/>
  <c r="FMH23" i="3" s="1"/>
  <c r="FMI23" i="3" s="1"/>
  <c r="FMJ23" i="3" s="1"/>
  <c r="FMK23" i="3" s="1"/>
  <c r="FML23" i="3" s="1"/>
  <c r="FMM23" i="3" s="1"/>
  <c r="FMN23" i="3" s="1"/>
  <c r="FMO23" i="3" s="1"/>
  <c r="FMP23" i="3" s="1"/>
  <c r="FMQ23" i="3" s="1"/>
  <c r="FMR23" i="3" s="1"/>
  <c r="FMS23" i="3" s="1"/>
  <c r="FMT23" i="3" s="1"/>
  <c r="FMU23" i="3" s="1"/>
  <c r="FMV23" i="3" s="1"/>
  <c r="FMW23" i="3" s="1"/>
  <c r="FMX23" i="3" s="1"/>
  <c r="FMY23" i="3" s="1"/>
  <c r="FMZ23" i="3" s="1"/>
  <c r="FNA23" i="3" s="1"/>
  <c r="FNB23" i="3" s="1"/>
  <c r="FNC23" i="3" s="1"/>
  <c r="FND23" i="3" s="1"/>
  <c r="FNE23" i="3" s="1"/>
  <c r="FNF23" i="3" s="1"/>
  <c r="FNG23" i="3" s="1"/>
  <c r="FNH23" i="3" s="1"/>
  <c r="FNI23" i="3" s="1"/>
  <c r="FNJ23" i="3" s="1"/>
  <c r="FNK23" i="3" s="1"/>
  <c r="FNL23" i="3" s="1"/>
  <c r="FNM23" i="3" s="1"/>
  <c r="FNN23" i="3" s="1"/>
  <c r="FNO23" i="3" s="1"/>
  <c r="FNP23" i="3" s="1"/>
  <c r="FNQ23" i="3" s="1"/>
  <c r="FNR23" i="3" s="1"/>
  <c r="FNS23" i="3" s="1"/>
  <c r="FNT23" i="3" s="1"/>
  <c r="FNU23" i="3" s="1"/>
  <c r="FNV23" i="3" s="1"/>
  <c r="FNW23" i="3" s="1"/>
  <c r="FNX23" i="3" s="1"/>
  <c r="FNY23" i="3" s="1"/>
  <c r="FNZ23" i="3" s="1"/>
  <c r="FOA23" i="3" s="1"/>
  <c r="FOB23" i="3" s="1"/>
  <c r="FOC23" i="3" s="1"/>
  <c r="FOD23" i="3" s="1"/>
  <c r="FOE23" i="3" s="1"/>
  <c r="FOF23" i="3" s="1"/>
  <c r="FOG23" i="3" s="1"/>
  <c r="FOH23" i="3" s="1"/>
  <c r="FOI23" i="3" s="1"/>
  <c r="FOJ23" i="3" s="1"/>
  <c r="FOK23" i="3" s="1"/>
  <c r="FOL23" i="3" s="1"/>
  <c r="FOM23" i="3" s="1"/>
  <c r="FON23" i="3" s="1"/>
  <c r="FOO23" i="3" s="1"/>
  <c r="FOP23" i="3" s="1"/>
  <c r="FOQ23" i="3" s="1"/>
  <c r="FOR23" i="3" s="1"/>
  <c r="FOS23" i="3" s="1"/>
  <c r="FOT23" i="3" s="1"/>
  <c r="FOU23" i="3" s="1"/>
  <c r="FOV23" i="3" s="1"/>
  <c r="FOW23" i="3" s="1"/>
  <c r="FOX23" i="3" s="1"/>
  <c r="FOY23" i="3" s="1"/>
  <c r="FOZ23" i="3" s="1"/>
  <c r="FPA23" i="3" s="1"/>
  <c r="FPB23" i="3" s="1"/>
  <c r="FPC23" i="3" s="1"/>
  <c r="FPD23" i="3" s="1"/>
  <c r="FPE23" i="3" s="1"/>
  <c r="FPF23" i="3" s="1"/>
  <c r="FPG23" i="3" s="1"/>
  <c r="FPH23" i="3" s="1"/>
  <c r="FPI23" i="3" s="1"/>
  <c r="FPJ23" i="3" s="1"/>
  <c r="FPK23" i="3" s="1"/>
  <c r="FPL23" i="3" s="1"/>
  <c r="FPM23" i="3" s="1"/>
  <c r="FPN23" i="3" s="1"/>
  <c r="FPO23" i="3" s="1"/>
  <c r="FPP23" i="3" s="1"/>
  <c r="FPQ23" i="3" s="1"/>
  <c r="FPR23" i="3" s="1"/>
  <c r="FPS23" i="3" s="1"/>
  <c r="FPT23" i="3" s="1"/>
  <c r="FPU23" i="3" s="1"/>
  <c r="FPV23" i="3" s="1"/>
  <c r="FPW23" i="3" s="1"/>
  <c r="FPX23" i="3" s="1"/>
  <c r="FPY23" i="3" s="1"/>
  <c r="FPZ23" i="3" s="1"/>
  <c r="FQA23" i="3" s="1"/>
  <c r="FQB23" i="3" s="1"/>
  <c r="FQC23" i="3" s="1"/>
  <c r="FQD23" i="3" s="1"/>
  <c r="FQE23" i="3" s="1"/>
  <c r="FQF23" i="3" s="1"/>
  <c r="FQG23" i="3" s="1"/>
  <c r="FQH23" i="3" s="1"/>
  <c r="FQI23" i="3" s="1"/>
  <c r="FQJ23" i="3" s="1"/>
  <c r="FQK23" i="3" s="1"/>
  <c r="FQL23" i="3" s="1"/>
  <c r="FQM23" i="3" s="1"/>
  <c r="FQN23" i="3" s="1"/>
  <c r="FQO23" i="3" s="1"/>
  <c r="FQP23" i="3" s="1"/>
  <c r="FQQ23" i="3" s="1"/>
  <c r="FQR23" i="3" s="1"/>
  <c r="FQS23" i="3" s="1"/>
  <c r="FQT23" i="3" s="1"/>
  <c r="FQU23" i="3" s="1"/>
  <c r="FQV23" i="3" s="1"/>
  <c r="FQW23" i="3" s="1"/>
  <c r="FQX23" i="3" s="1"/>
  <c r="FQY23" i="3" s="1"/>
  <c r="FQZ23" i="3" s="1"/>
  <c r="FRA23" i="3" s="1"/>
  <c r="FRB23" i="3" s="1"/>
  <c r="FRC23" i="3" s="1"/>
  <c r="FRD23" i="3" s="1"/>
  <c r="FRE23" i="3" s="1"/>
  <c r="FRF23" i="3" s="1"/>
  <c r="FRG23" i="3" s="1"/>
  <c r="FRH23" i="3" s="1"/>
  <c r="FRI23" i="3" s="1"/>
  <c r="FRJ23" i="3" s="1"/>
  <c r="FRK23" i="3" s="1"/>
  <c r="FRL23" i="3" s="1"/>
  <c r="FRM23" i="3" s="1"/>
  <c r="FRN23" i="3" s="1"/>
  <c r="FRO23" i="3" s="1"/>
  <c r="FRP23" i="3" s="1"/>
  <c r="FRQ23" i="3" s="1"/>
  <c r="FRR23" i="3" s="1"/>
  <c r="FRS23" i="3" s="1"/>
  <c r="FRT23" i="3" s="1"/>
  <c r="FRU23" i="3" s="1"/>
  <c r="FRV23" i="3" s="1"/>
  <c r="FRW23" i="3" s="1"/>
  <c r="FRX23" i="3" s="1"/>
  <c r="FRY23" i="3" s="1"/>
  <c r="FRZ23" i="3" s="1"/>
  <c r="FSA23" i="3" s="1"/>
  <c r="FSB23" i="3" s="1"/>
  <c r="FSC23" i="3" s="1"/>
  <c r="FSD23" i="3" s="1"/>
  <c r="FSE23" i="3" s="1"/>
  <c r="FSF23" i="3" s="1"/>
  <c r="FSG23" i="3" s="1"/>
  <c r="FSH23" i="3" s="1"/>
  <c r="FSI23" i="3" s="1"/>
  <c r="FSJ23" i="3" s="1"/>
  <c r="FSK23" i="3" s="1"/>
  <c r="FSL23" i="3" s="1"/>
  <c r="FSM23" i="3" s="1"/>
  <c r="FSN23" i="3" s="1"/>
  <c r="FSO23" i="3" s="1"/>
  <c r="FSP23" i="3" s="1"/>
  <c r="FSQ23" i="3" s="1"/>
  <c r="FSR23" i="3" s="1"/>
  <c r="FSS23" i="3" s="1"/>
  <c r="FST23" i="3" s="1"/>
  <c r="FSU23" i="3" s="1"/>
  <c r="FSV23" i="3" s="1"/>
  <c r="FSW23" i="3" s="1"/>
  <c r="FSX23" i="3" s="1"/>
  <c r="FSY23" i="3" s="1"/>
  <c r="FSZ23" i="3" s="1"/>
  <c r="FTA23" i="3" s="1"/>
  <c r="FTB23" i="3" s="1"/>
  <c r="FTC23" i="3" s="1"/>
  <c r="FTD23" i="3" s="1"/>
  <c r="FTE23" i="3" s="1"/>
  <c r="FTF23" i="3" s="1"/>
  <c r="FTG23" i="3" s="1"/>
  <c r="FTH23" i="3" s="1"/>
  <c r="FTI23" i="3" s="1"/>
  <c r="FTJ23" i="3" s="1"/>
  <c r="FTK23" i="3" s="1"/>
  <c r="FTL23" i="3" s="1"/>
  <c r="FTM23" i="3" s="1"/>
  <c r="FTN23" i="3" s="1"/>
  <c r="FTO23" i="3" s="1"/>
  <c r="FTP23" i="3" s="1"/>
  <c r="FTQ23" i="3" s="1"/>
  <c r="FTR23" i="3" s="1"/>
  <c r="FTS23" i="3" s="1"/>
  <c r="FTT23" i="3" s="1"/>
  <c r="FTU23" i="3" s="1"/>
  <c r="FTV23" i="3" s="1"/>
  <c r="FTW23" i="3" s="1"/>
  <c r="FTX23" i="3" s="1"/>
  <c r="FTY23" i="3" s="1"/>
  <c r="FTZ23" i="3" s="1"/>
  <c r="FUA23" i="3" s="1"/>
  <c r="FUB23" i="3" s="1"/>
  <c r="FUC23" i="3" s="1"/>
  <c r="FUD23" i="3" s="1"/>
  <c r="FUE23" i="3" s="1"/>
  <c r="FUF23" i="3" s="1"/>
  <c r="FUG23" i="3" s="1"/>
  <c r="FUH23" i="3" s="1"/>
  <c r="FUI23" i="3" s="1"/>
  <c r="FUJ23" i="3" s="1"/>
  <c r="FUK23" i="3" s="1"/>
  <c r="FUL23" i="3" s="1"/>
  <c r="FUM23" i="3" s="1"/>
  <c r="FUN23" i="3" s="1"/>
  <c r="FUO23" i="3" s="1"/>
  <c r="FUP23" i="3" s="1"/>
  <c r="FUQ23" i="3" s="1"/>
  <c r="FUR23" i="3" s="1"/>
  <c r="FUS23" i="3" s="1"/>
  <c r="FUT23" i="3" s="1"/>
  <c r="FUU23" i="3" s="1"/>
  <c r="FUV23" i="3" s="1"/>
  <c r="FUW23" i="3" s="1"/>
  <c r="FUX23" i="3" s="1"/>
  <c r="FUY23" i="3" s="1"/>
  <c r="FUZ23" i="3" s="1"/>
  <c r="FVA23" i="3" s="1"/>
  <c r="FVB23" i="3" s="1"/>
  <c r="FVC23" i="3" s="1"/>
  <c r="FVD23" i="3" s="1"/>
  <c r="FVE23" i="3" s="1"/>
  <c r="FVF23" i="3" s="1"/>
  <c r="FVG23" i="3" s="1"/>
  <c r="FVH23" i="3" s="1"/>
  <c r="FVI23" i="3" s="1"/>
  <c r="FVJ23" i="3" s="1"/>
  <c r="FVK23" i="3" s="1"/>
  <c r="FVL23" i="3" s="1"/>
  <c r="FVM23" i="3" s="1"/>
  <c r="FVN23" i="3" s="1"/>
  <c r="FVO23" i="3" s="1"/>
  <c r="FVP23" i="3" s="1"/>
  <c r="FVQ23" i="3" s="1"/>
  <c r="FVR23" i="3" s="1"/>
  <c r="FVS23" i="3" s="1"/>
  <c r="FVT23" i="3" s="1"/>
  <c r="FVU23" i="3" s="1"/>
  <c r="FVV23" i="3" s="1"/>
  <c r="FVW23" i="3" s="1"/>
  <c r="FVX23" i="3" s="1"/>
  <c r="FVY23" i="3" s="1"/>
  <c r="FVZ23" i="3" s="1"/>
  <c r="FWA23" i="3" s="1"/>
  <c r="FWB23" i="3" s="1"/>
  <c r="FWC23" i="3" s="1"/>
  <c r="FWD23" i="3" s="1"/>
  <c r="FWE23" i="3" s="1"/>
  <c r="FWF23" i="3" s="1"/>
  <c r="FWG23" i="3" s="1"/>
  <c r="FWH23" i="3" s="1"/>
  <c r="FWI23" i="3" s="1"/>
  <c r="FWJ23" i="3" s="1"/>
  <c r="FWK23" i="3" s="1"/>
  <c r="FWL23" i="3" s="1"/>
  <c r="FWM23" i="3" s="1"/>
  <c r="FWN23" i="3" s="1"/>
  <c r="FWO23" i="3" s="1"/>
  <c r="FWP23" i="3" s="1"/>
  <c r="FWQ23" i="3" s="1"/>
  <c r="FWR23" i="3" s="1"/>
  <c r="FWS23" i="3" s="1"/>
  <c r="FWT23" i="3" s="1"/>
  <c r="FWU23" i="3" s="1"/>
  <c r="FWV23" i="3" s="1"/>
  <c r="FWW23" i="3" s="1"/>
  <c r="FWX23" i="3" s="1"/>
  <c r="FWY23" i="3" s="1"/>
  <c r="FWZ23" i="3" s="1"/>
  <c r="FXA23" i="3" s="1"/>
  <c r="FXB23" i="3" s="1"/>
  <c r="FXC23" i="3" s="1"/>
  <c r="FXD23" i="3" s="1"/>
  <c r="FXE23" i="3" s="1"/>
  <c r="FXF23" i="3" s="1"/>
  <c r="FXG23" i="3" s="1"/>
  <c r="FXH23" i="3" s="1"/>
  <c r="FXI23" i="3" s="1"/>
  <c r="FXJ23" i="3" s="1"/>
  <c r="FXK23" i="3" s="1"/>
  <c r="FXL23" i="3" s="1"/>
  <c r="FXM23" i="3" s="1"/>
  <c r="FXN23" i="3" s="1"/>
  <c r="FXO23" i="3" s="1"/>
  <c r="FXP23" i="3" s="1"/>
  <c r="FXQ23" i="3" s="1"/>
  <c r="FXR23" i="3" s="1"/>
  <c r="FXS23" i="3" s="1"/>
  <c r="FXT23" i="3" s="1"/>
  <c r="FXU23" i="3" s="1"/>
  <c r="FXV23" i="3" s="1"/>
  <c r="FXW23" i="3" s="1"/>
  <c r="FXX23" i="3" s="1"/>
  <c r="FXY23" i="3" s="1"/>
  <c r="FXZ23" i="3" s="1"/>
  <c r="FYA23" i="3" s="1"/>
  <c r="FYB23" i="3" s="1"/>
  <c r="FYC23" i="3" s="1"/>
  <c r="FYD23" i="3" s="1"/>
  <c r="FYE23" i="3" s="1"/>
  <c r="FYF23" i="3" s="1"/>
  <c r="FYG23" i="3" s="1"/>
  <c r="FYH23" i="3" s="1"/>
  <c r="FYI23" i="3" s="1"/>
  <c r="FYJ23" i="3" s="1"/>
  <c r="FYK23" i="3" s="1"/>
  <c r="FYL23" i="3" s="1"/>
  <c r="FYM23" i="3" s="1"/>
  <c r="FYN23" i="3" s="1"/>
  <c r="FYO23" i="3" s="1"/>
  <c r="FYP23" i="3" s="1"/>
  <c r="FYQ23" i="3" s="1"/>
  <c r="FYR23" i="3" s="1"/>
  <c r="FYS23" i="3" s="1"/>
  <c r="FYT23" i="3" s="1"/>
  <c r="FYU23" i="3" s="1"/>
  <c r="FYV23" i="3" s="1"/>
  <c r="FYW23" i="3" s="1"/>
  <c r="FYX23" i="3" s="1"/>
  <c r="FYY23" i="3" s="1"/>
  <c r="FYZ23" i="3" s="1"/>
  <c r="FZA23" i="3" s="1"/>
  <c r="FZB23" i="3" s="1"/>
  <c r="FZC23" i="3" s="1"/>
  <c r="FZD23" i="3" s="1"/>
  <c r="FZE23" i="3" s="1"/>
  <c r="FZF23" i="3" s="1"/>
  <c r="FZG23" i="3" s="1"/>
  <c r="FZH23" i="3" s="1"/>
  <c r="FZI23" i="3" s="1"/>
  <c r="FZJ23" i="3" s="1"/>
  <c r="FZK23" i="3" s="1"/>
  <c r="FZL23" i="3" s="1"/>
  <c r="FZM23" i="3" s="1"/>
  <c r="FZN23" i="3" s="1"/>
  <c r="FZO23" i="3" s="1"/>
  <c r="FZP23" i="3" s="1"/>
  <c r="FZQ23" i="3" s="1"/>
  <c r="FZR23" i="3" s="1"/>
  <c r="FZS23" i="3" s="1"/>
  <c r="FZT23" i="3" s="1"/>
  <c r="FZU23" i="3" s="1"/>
  <c r="FZV23" i="3" s="1"/>
  <c r="FZW23" i="3" s="1"/>
  <c r="FZX23" i="3" s="1"/>
  <c r="FZY23" i="3" s="1"/>
  <c r="FZZ23" i="3" s="1"/>
  <c r="GAA23" i="3" s="1"/>
  <c r="GAB23" i="3" s="1"/>
  <c r="GAC23" i="3" s="1"/>
  <c r="GAD23" i="3" s="1"/>
  <c r="GAE23" i="3" s="1"/>
  <c r="GAF23" i="3" s="1"/>
  <c r="GAG23" i="3" s="1"/>
  <c r="GAH23" i="3" s="1"/>
  <c r="GAI23" i="3" s="1"/>
  <c r="GAJ23" i="3" s="1"/>
  <c r="GAK23" i="3" s="1"/>
  <c r="GAL23" i="3" s="1"/>
  <c r="GAM23" i="3" s="1"/>
  <c r="GAN23" i="3" s="1"/>
  <c r="GAO23" i="3" s="1"/>
  <c r="GAP23" i="3" s="1"/>
  <c r="GAQ23" i="3" s="1"/>
  <c r="GAR23" i="3" s="1"/>
  <c r="GAS23" i="3" s="1"/>
  <c r="GAT23" i="3" s="1"/>
  <c r="GAU23" i="3" s="1"/>
  <c r="GAV23" i="3" s="1"/>
  <c r="GAW23" i="3" s="1"/>
  <c r="GAX23" i="3" s="1"/>
  <c r="GAY23" i="3" s="1"/>
  <c r="GAZ23" i="3" s="1"/>
  <c r="GBA23" i="3" s="1"/>
  <c r="GBB23" i="3" s="1"/>
  <c r="GBC23" i="3" s="1"/>
  <c r="GBD23" i="3" s="1"/>
  <c r="GBE23" i="3" s="1"/>
  <c r="GBF23" i="3" s="1"/>
  <c r="GBG23" i="3" s="1"/>
  <c r="GBH23" i="3" s="1"/>
  <c r="GBI23" i="3" s="1"/>
  <c r="GBJ23" i="3" s="1"/>
  <c r="GBK23" i="3" s="1"/>
  <c r="GBL23" i="3" s="1"/>
  <c r="GBM23" i="3" s="1"/>
  <c r="GBN23" i="3" s="1"/>
  <c r="GBO23" i="3" s="1"/>
  <c r="GBP23" i="3" s="1"/>
  <c r="GBQ23" i="3" s="1"/>
  <c r="GBR23" i="3" s="1"/>
  <c r="GBS23" i="3" s="1"/>
  <c r="GBT23" i="3" s="1"/>
  <c r="GBU23" i="3" s="1"/>
  <c r="GBV23" i="3" s="1"/>
  <c r="GBW23" i="3" s="1"/>
  <c r="GBX23" i="3" s="1"/>
  <c r="GBY23" i="3" s="1"/>
  <c r="GBZ23" i="3" s="1"/>
  <c r="GCA23" i="3" s="1"/>
  <c r="GCB23" i="3" s="1"/>
  <c r="GCC23" i="3" s="1"/>
  <c r="GCD23" i="3" s="1"/>
  <c r="GCE23" i="3" s="1"/>
  <c r="GCF23" i="3" s="1"/>
  <c r="GCG23" i="3" s="1"/>
  <c r="GCH23" i="3" s="1"/>
  <c r="GCI23" i="3" s="1"/>
  <c r="GCJ23" i="3" s="1"/>
  <c r="GCK23" i="3" s="1"/>
  <c r="GCL23" i="3" s="1"/>
  <c r="GCM23" i="3" s="1"/>
  <c r="GCN23" i="3" s="1"/>
  <c r="GCO23" i="3" s="1"/>
  <c r="GCP23" i="3" s="1"/>
  <c r="GCQ23" i="3" s="1"/>
  <c r="GCR23" i="3" s="1"/>
  <c r="GCS23" i="3" s="1"/>
  <c r="GCT23" i="3" s="1"/>
  <c r="GCU23" i="3" s="1"/>
  <c r="GCV23" i="3" s="1"/>
  <c r="GCW23" i="3" s="1"/>
  <c r="GCX23" i="3" s="1"/>
  <c r="GCY23" i="3" s="1"/>
  <c r="GCZ23" i="3" s="1"/>
  <c r="GDA23" i="3" s="1"/>
  <c r="GDB23" i="3" s="1"/>
  <c r="GDC23" i="3" s="1"/>
  <c r="GDD23" i="3" s="1"/>
  <c r="GDE23" i="3" s="1"/>
  <c r="GDF23" i="3" s="1"/>
  <c r="GDG23" i="3" s="1"/>
  <c r="GDH23" i="3" s="1"/>
  <c r="GDI23" i="3" s="1"/>
  <c r="GDJ23" i="3" s="1"/>
  <c r="GDK23" i="3" s="1"/>
  <c r="GDL23" i="3" s="1"/>
  <c r="GDM23" i="3" s="1"/>
  <c r="GDN23" i="3" s="1"/>
  <c r="GDO23" i="3" s="1"/>
  <c r="GDP23" i="3" s="1"/>
  <c r="GDQ23" i="3" s="1"/>
  <c r="GDR23" i="3" s="1"/>
  <c r="GDS23" i="3" s="1"/>
  <c r="GDT23" i="3" s="1"/>
  <c r="GDU23" i="3" s="1"/>
  <c r="GDV23" i="3" s="1"/>
  <c r="GDW23" i="3" s="1"/>
  <c r="GDX23" i="3" s="1"/>
  <c r="GDY23" i="3" s="1"/>
  <c r="GDZ23" i="3" s="1"/>
  <c r="GEA23" i="3" s="1"/>
  <c r="GEB23" i="3" s="1"/>
  <c r="GEC23" i="3" s="1"/>
  <c r="GED23" i="3" s="1"/>
  <c r="GEE23" i="3" s="1"/>
  <c r="GEF23" i="3" s="1"/>
  <c r="GEG23" i="3" s="1"/>
  <c r="GEH23" i="3" s="1"/>
  <c r="GEI23" i="3" s="1"/>
  <c r="GEJ23" i="3" s="1"/>
  <c r="GEK23" i="3" s="1"/>
  <c r="GEL23" i="3" s="1"/>
  <c r="GEM23" i="3" s="1"/>
  <c r="GEN23" i="3" s="1"/>
  <c r="GEO23" i="3" s="1"/>
  <c r="GEP23" i="3" s="1"/>
  <c r="GEQ23" i="3" s="1"/>
  <c r="GER23" i="3" s="1"/>
  <c r="GES23" i="3" s="1"/>
  <c r="GET23" i="3" s="1"/>
  <c r="GEU23" i="3" s="1"/>
  <c r="GEV23" i="3" s="1"/>
  <c r="GEW23" i="3" s="1"/>
  <c r="GEX23" i="3" s="1"/>
  <c r="GEY23" i="3" s="1"/>
  <c r="GEZ23" i="3" s="1"/>
  <c r="GFA23" i="3" s="1"/>
  <c r="GFB23" i="3" s="1"/>
  <c r="GFC23" i="3" s="1"/>
  <c r="GFD23" i="3" s="1"/>
  <c r="GFE23" i="3" s="1"/>
  <c r="GFF23" i="3" s="1"/>
  <c r="GFG23" i="3" s="1"/>
  <c r="GFH23" i="3" s="1"/>
  <c r="GFI23" i="3" s="1"/>
  <c r="GFJ23" i="3" s="1"/>
  <c r="GFK23" i="3" s="1"/>
  <c r="GFL23" i="3" s="1"/>
  <c r="GFM23" i="3" s="1"/>
  <c r="GFN23" i="3" s="1"/>
  <c r="GFO23" i="3" s="1"/>
  <c r="GFP23" i="3" s="1"/>
  <c r="GFQ23" i="3" s="1"/>
  <c r="GFR23" i="3" s="1"/>
  <c r="GFS23" i="3" s="1"/>
  <c r="GFT23" i="3" s="1"/>
  <c r="GFU23" i="3" s="1"/>
  <c r="GFV23" i="3" s="1"/>
  <c r="GFW23" i="3" s="1"/>
  <c r="GFX23" i="3" s="1"/>
  <c r="GFY23" i="3" s="1"/>
  <c r="GFZ23" i="3" s="1"/>
  <c r="GGA23" i="3" s="1"/>
  <c r="GGB23" i="3" s="1"/>
  <c r="GGC23" i="3" s="1"/>
  <c r="GGD23" i="3" s="1"/>
  <c r="GGE23" i="3" s="1"/>
  <c r="GGF23" i="3" s="1"/>
  <c r="GGG23" i="3" s="1"/>
  <c r="GGH23" i="3" s="1"/>
  <c r="GGI23" i="3" s="1"/>
  <c r="GGJ23" i="3" s="1"/>
  <c r="GGK23" i="3" s="1"/>
  <c r="GGL23" i="3" s="1"/>
  <c r="GGM23" i="3" s="1"/>
  <c r="GGN23" i="3" s="1"/>
  <c r="GGO23" i="3" s="1"/>
  <c r="GGP23" i="3" s="1"/>
  <c r="GGQ23" i="3" s="1"/>
  <c r="GGR23" i="3" s="1"/>
  <c r="GGS23" i="3" s="1"/>
  <c r="GGT23" i="3" s="1"/>
  <c r="GGU23" i="3" s="1"/>
  <c r="GGV23" i="3" s="1"/>
  <c r="GGW23" i="3" s="1"/>
  <c r="GGX23" i="3" s="1"/>
  <c r="GGY23" i="3" s="1"/>
  <c r="GGZ23" i="3" s="1"/>
  <c r="GHA23" i="3" s="1"/>
  <c r="GHB23" i="3" s="1"/>
  <c r="GHC23" i="3" s="1"/>
  <c r="GHD23" i="3" s="1"/>
  <c r="GHE23" i="3" s="1"/>
  <c r="GHF23" i="3" s="1"/>
  <c r="GHG23" i="3" s="1"/>
  <c r="GHH23" i="3" s="1"/>
  <c r="GHI23" i="3" s="1"/>
  <c r="GHJ23" i="3" s="1"/>
  <c r="GHK23" i="3" s="1"/>
  <c r="GHL23" i="3" s="1"/>
  <c r="GHM23" i="3" s="1"/>
  <c r="GHN23" i="3" s="1"/>
  <c r="GHO23" i="3" s="1"/>
  <c r="GHP23" i="3" s="1"/>
  <c r="GHQ23" i="3" s="1"/>
  <c r="GHR23" i="3" s="1"/>
  <c r="GHS23" i="3" s="1"/>
  <c r="GHT23" i="3" s="1"/>
  <c r="GHU23" i="3" s="1"/>
  <c r="GHV23" i="3" s="1"/>
  <c r="GHW23" i="3" s="1"/>
  <c r="GHX23" i="3" s="1"/>
  <c r="GHY23" i="3" s="1"/>
  <c r="GHZ23" i="3" s="1"/>
  <c r="GIA23" i="3" s="1"/>
  <c r="GIB23" i="3" s="1"/>
  <c r="GIC23" i="3" s="1"/>
  <c r="GID23" i="3" s="1"/>
  <c r="GIE23" i="3" s="1"/>
  <c r="GIF23" i="3" s="1"/>
  <c r="GIG23" i="3" s="1"/>
  <c r="GIH23" i="3" s="1"/>
  <c r="GII23" i="3" s="1"/>
  <c r="GIJ23" i="3" s="1"/>
  <c r="GIK23" i="3" s="1"/>
  <c r="GIL23" i="3" s="1"/>
  <c r="GIM23" i="3" s="1"/>
  <c r="GIN23" i="3" s="1"/>
  <c r="GIO23" i="3" s="1"/>
  <c r="GIP23" i="3" s="1"/>
  <c r="GIQ23" i="3" s="1"/>
  <c r="GIR23" i="3" s="1"/>
  <c r="GIS23" i="3" s="1"/>
  <c r="GIT23" i="3" s="1"/>
  <c r="GIU23" i="3" s="1"/>
  <c r="GIV23" i="3" s="1"/>
  <c r="GIW23" i="3" s="1"/>
  <c r="GIX23" i="3" s="1"/>
  <c r="GIY23" i="3" s="1"/>
  <c r="GIZ23" i="3" s="1"/>
  <c r="GJA23" i="3" s="1"/>
  <c r="GJB23" i="3" s="1"/>
  <c r="GJC23" i="3" s="1"/>
  <c r="GJD23" i="3" s="1"/>
  <c r="GJE23" i="3" s="1"/>
  <c r="GJF23" i="3" s="1"/>
  <c r="GJG23" i="3" s="1"/>
  <c r="GJH23" i="3" s="1"/>
  <c r="GJI23" i="3" s="1"/>
  <c r="GJJ23" i="3" s="1"/>
  <c r="GJK23" i="3" s="1"/>
  <c r="GJL23" i="3" s="1"/>
  <c r="GJM23" i="3" s="1"/>
  <c r="GJN23" i="3" s="1"/>
  <c r="GJO23" i="3" s="1"/>
  <c r="GJP23" i="3" s="1"/>
  <c r="GJQ23" i="3" s="1"/>
  <c r="GJR23" i="3" s="1"/>
  <c r="GJS23" i="3" s="1"/>
  <c r="GJT23" i="3" s="1"/>
  <c r="GJU23" i="3" s="1"/>
  <c r="GJV23" i="3" s="1"/>
  <c r="GJW23" i="3" s="1"/>
  <c r="GJX23" i="3" s="1"/>
  <c r="GJY23" i="3" s="1"/>
  <c r="GJZ23" i="3" s="1"/>
  <c r="GKA23" i="3" s="1"/>
  <c r="GKB23" i="3" s="1"/>
  <c r="GKC23" i="3" s="1"/>
  <c r="GKD23" i="3" s="1"/>
  <c r="GKE23" i="3" s="1"/>
  <c r="GKF23" i="3" s="1"/>
  <c r="GKG23" i="3" s="1"/>
  <c r="GKH23" i="3" s="1"/>
  <c r="GKI23" i="3" s="1"/>
  <c r="GKJ23" i="3" s="1"/>
  <c r="GKK23" i="3" s="1"/>
  <c r="GKL23" i="3" s="1"/>
  <c r="GKM23" i="3" s="1"/>
  <c r="GKN23" i="3" s="1"/>
  <c r="GKO23" i="3" s="1"/>
  <c r="GKP23" i="3" s="1"/>
  <c r="GKQ23" i="3" s="1"/>
  <c r="GKR23" i="3" s="1"/>
  <c r="GKS23" i="3" s="1"/>
  <c r="GKT23" i="3" s="1"/>
  <c r="GKU23" i="3" s="1"/>
  <c r="GKV23" i="3" s="1"/>
  <c r="GKW23" i="3" s="1"/>
  <c r="GKX23" i="3" s="1"/>
  <c r="GKY23" i="3" s="1"/>
  <c r="GKZ23" i="3" s="1"/>
  <c r="GLA23" i="3" s="1"/>
  <c r="GLB23" i="3" s="1"/>
  <c r="GLC23" i="3" s="1"/>
  <c r="GLD23" i="3" s="1"/>
  <c r="GLE23" i="3" s="1"/>
  <c r="GLF23" i="3" s="1"/>
  <c r="GLG23" i="3" s="1"/>
  <c r="GLH23" i="3" s="1"/>
  <c r="GLI23" i="3" s="1"/>
  <c r="GLJ23" i="3" s="1"/>
  <c r="GLK23" i="3" s="1"/>
  <c r="GLL23" i="3" s="1"/>
  <c r="GLM23" i="3" s="1"/>
  <c r="GLN23" i="3" s="1"/>
  <c r="GLO23" i="3" s="1"/>
  <c r="GLP23" i="3" s="1"/>
  <c r="GLQ23" i="3" s="1"/>
  <c r="GLR23" i="3" s="1"/>
  <c r="GLS23" i="3" s="1"/>
  <c r="GLT23" i="3" s="1"/>
  <c r="GLU23" i="3" s="1"/>
  <c r="GLV23" i="3" s="1"/>
  <c r="GLW23" i="3" s="1"/>
  <c r="GLX23" i="3" s="1"/>
  <c r="GLY23" i="3" s="1"/>
  <c r="GLZ23" i="3" s="1"/>
  <c r="GMA23" i="3" s="1"/>
  <c r="GMB23" i="3" s="1"/>
  <c r="GMC23" i="3" s="1"/>
  <c r="GMD23" i="3" s="1"/>
  <c r="GME23" i="3" s="1"/>
  <c r="GMF23" i="3" s="1"/>
  <c r="GMG23" i="3" s="1"/>
  <c r="GMH23" i="3" s="1"/>
  <c r="GMI23" i="3" s="1"/>
  <c r="GMJ23" i="3" s="1"/>
  <c r="GMK23" i="3" s="1"/>
  <c r="GML23" i="3" s="1"/>
  <c r="GMM23" i="3" s="1"/>
  <c r="GMN23" i="3" s="1"/>
  <c r="GMO23" i="3" s="1"/>
  <c r="GMP23" i="3" s="1"/>
  <c r="GMQ23" i="3" s="1"/>
  <c r="GMR23" i="3" s="1"/>
  <c r="GMS23" i="3" s="1"/>
  <c r="GMT23" i="3" s="1"/>
  <c r="GMU23" i="3" s="1"/>
  <c r="GMV23" i="3" s="1"/>
  <c r="GMW23" i="3" s="1"/>
  <c r="GMX23" i="3" s="1"/>
  <c r="GMY23" i="3" s="1"/>
  <c r="GMZ23" i="3" s="1"/>
  <c r="GNA23" i="3" s="1"/>
  <c r="GNB23" i="3" s="1"/>
  <c r="GNC23" i="3" s="1"/>
  <c r="GND23" i="3" s="1"/>
  <c r="GNE23" i="3" s="1"/>
  <c r="GNF23" i="3" s="1"/>
  <c r="GNG23" i="3" s="1"/>
  <c r="GNH23" i="3" s="1"/>
  <c r="GNI23" i="3" s="1"/>
  <c r="GNJ23" i="3" s="1"/>
  <c r="GNK23" i="3" s="1"/>
  <c r="GNL23" i="3" s="1"/>
  <c r="GNM23" i="3" s="1"/>
  <c r="GNN23" i="3" s="1"/>
  <c r="GNO23" i="3" s="1"/>
  <c r="GNP23" i="3" s="1"/>
  <c r="GNQ23" i="3" s="1"/>
  <c r="GNR23" i="3" s="1"/>
  <c r="GNS23" i="3" s="1"/>
  <c r="GNT23" i="3" s="1"/>
  <c r="GNU23" i="3" s="1"/>
  <c r="GNV23" i="3" s="1"/>
  <c r="GNW23" i="3" s="1"/>
  <c r="GNX23" i="3" s="1"/>
  <c r="GNY23" i="3" s="1"/>
  <c r="GNZ23" i="3" s="1"/>
  <c r="GOA23" i="3" s="1"/>
  <c r="GOB23" i="3" s="1"/>
  <c r="GOC23" i="3" s="1"/>
  <c r="GOD23" i="3" s="1"/>
  <c r="GOE23" i="3" s="1"/>
  <c r="GOF23" i="3" s="1"/>
  <c r="GOG23" i="3" s="1"/>
  <c r="GOH23" i="3" s="1"/>
  <c r="GOI23" i="3" s="1"/>
  <c r="GOJ23" i="3" s="1"/>
  <c r="GOK23" i="3" s="1"/>
  <c r="GOL23" i="3" s="1"/>
  <c r="GOM23" i="3" s="1"/>
  <c r="GON23" i="3" s="1"/>
  <c r="GOO23" i="3" s="1"/>
  <c r="GOP23" i="3" s="1"/>
  <c r="GOQ23" i="3" s="1"/>
  <c r="GOR23" i="3" s="1"/>
  <c r="GOS23" i="3" s="1"/>
  <c r="GOT23" i="3" s="1"/>
  <c r="GOU23" i="3" s="1"/>
  <c r="GOV23" i="3" s="1"/>
  <c r="GOW23" i="3" s="1"/>
  <c r="GOX23" i="3" s="1"/>
  <c r="GOY23" i="3" s="1"/>
  <c r="GOZ23" i="3" s="1"/>
  <c r="GPA23" i="3" s="1"/>
  <c r="GPB23" i="3" s="1"/>
  <c r="GPC23" i="3" s="1"/>
  <c r="GPD23" i="3" s="1"/>
  <c r="GPE23" i="3" s="1"/>
  <c r="GPF23" i="3" s="1"/>
  <c r="GPG23" i="3" s="1"/>
  <c r="GPH23" i="3" s="1"/>
  <c r="GPI23" i="3" s="1"/>
  <c r="GPJ23" i="3" s="1"/>
  <c r="GPK23" i="3" s="1"/>
  <c r="GPL23" i="3" s="1"/>
  <c r="GPM23" i="3" s="1"/>
  <c r="GPN23" i="3" s="1"/>
  <c r="GPO23" i="3" s="1"/>
  <c r="GPP23" i="3" s="1"/>
  <c r="GPQ23" i="3" s="1"/>
  <c r="GPR23" i="3" s="1"/>
  <c r="GPS23" i="3" s="1"/>
  <c r="GPT23" i="3" s="1"/>
  <c r="GPU23" i="3" s="1"/>
  <c r="GPV23" i="3" s="1"/>
  <c r="GPW23" i="3" s="1"/>
  <c r="GPX23" i="3" s="1"/>
  <c r="GPY23" i="3" s="1"/>
  <c r="GPZ23" i="3" s="1"/>
  <c r="GQA23" i="3" s="1"/>
  <c r="GQB23" i="3" s="1"/>
  <c r="GQC23" i="3" s="1"/>
  <c r="GQD23" i="3" s="1"/>
  <c r="GQE23" i="3" s="1"/>
  <c r="GQF23" i="3" s="1"/>
  <c r="GQG23" i="3" s="1"/>
  <c r="GQH23" i="3" s="1"/>
  <c r="GQI23" i="3" s="1"/>
  <c r="GQJ23" i="3" s="1"/>
  <c r="GQK23" i="3" s="1"/>
  <c r="GQL23" i="3" s="1"/>
  <c r="GQM23" i="3" s="1"/>
  <c r="GQN23" i="3" s="1"/>
  <c r="GQO23" i="3" s="1"/>
  <c r="GQP23" i="3" s="1"/>
  <c r="GQQ23" i="3" s="1"/>
  <c r="GQR23" i="3" s="1"/>
  <c r="GQS23" i="3" s="1"/>
  <c r="GQT23" i="3" s="1"/>
  <c r="GQU23" i="3" s="1"/>
  <c r="GQV23" i="3" s="1"/>
  <c r="GQW23" i="3" s="1"/>
  <c r="GQX23" i="3" s="1"/>
  <c r="GQY23" i="3" s="1"/>
  <c r="GQZ23" i="3" s="1"/>
  <c r="GRA23" i="3" s="1"/>
  <c r="GRB23" i="3" s="1"/>
  <c r="GRC23" i="3" s="1"/>
  <c r="GRD23" i="3" s="1"/>
  <c r="GRE23" i="3" s="1"/>
  <c r="GRF23" i="3" s="1"/>
  <c r="GRG23" i="3" s="1"/>
  <c r="GRH23" i="3" s="1"/>
  <c r="GRI23" i="3" s="1"/>
  <c r="GRJ23" i="3" s="1"/>
  <c r="GRK23" i="3" s="1"/>
  <c r="GRL23" i="3" s="1"/>
  <c r="GRM23" i="3" s="1"/>
  <c r="GRN23" i="3" s="1"/>
  <c r="GRO23" i="3" s="1"/>
  <c r="GRP23" i="3" s="1"/>
  <c r="GRQ23" i="3" s="1"/>
  <c r="GRR23" i="3" s="1"/>
  <c r="GRS23" i="3" s="1"/>
  <c r="GRT23" i="3" s="1"/>
  <c r="GRU23" i="3" s="1"/>
  <c r="GRV23" i="3" s="1"/>
  <c r="GRW23" i="3" s="1"/>
  <c r="GRX23" i="3" s="1"/>
  <c r="GRY23" i="3" s="1"/>
  <c r="GRZ23" i="3" s="1"/>
  <c r="GSA23" i="3" s="1"/>
  <c r="GSB23" i="3" s="1"/>
  <c r="GSC23" i="3" s="1"/>
  <c r="GSD23" i="3" s="1"/>
  <c r="GSE23" i="3" s="1"/>
  <c r="GSF23" i="3" s="1"/>
  <c r="GSG23" i="3" s="1"/>
  <c r="GSH23" i="3" s="1"/>
  <c r="GSI23" i="3" s="1"/>
  <c r="GSJ23" i="3" s="1"/>
  <c r="GSK23" i="3" s="1"/>
  <c r="GSL23" i="3" s="1"/>
  <c r="GSM23" i="3" s="1"/>
  <c r="GSN23" i="3" s="1"/>
  <c r="GSO23" i="3" s="1"/>
  <c r="GSP23" i="3" s="1"/>
  <c r="GSQ23" i="3" s="1"/>
  <c r="GSR23" i="3" s="1"/>
  <c r="GSS23" i="3" s="1"/>
  <c r="GST23" i="3" s="1"/>
  <c r="GSU23" i="3" s="1"/>
  <c r="GSV23" i="3" s="1"/>
  <c r="GSW23" i="3" s="1"/>
  <c r="GSX23" i="3" s="1"/>
  <c r="GSY23" i="3" s="1"/>
  <c r="GSZ23" i="3" s="1"/>
  <c r="GTA23" i="3" s="1"/>
  <c r="GTB23" i="3" s="1"/>
  <c r="GTC23" i="3" s="1"/>
  <c r="GTD23" i="3" s="1"/>
  <c r="GTE23" i="3" s="1"/>
  <c r="GTF23" i="3" s="1"/>
  <c r="GTG23" i="3" s="1"/>
  <c r="GTH23" i="3" s="1"/>
  <c r="GTI23" i="3" s="1"/>
  <c r="GTJ23" i="3" s="1"/>
  <c r="GTK23" i="3" s="1"/>
  <c r="GTL23" i="3" s="1"/>
  <c r="GTM23" i="3" s="1"/>
  <c r="GTN23" i="3" s="1"/>
  <c r="GTO23" i="3" s="1"/>
  <c r="GTP23" i="3" s="1"/>
  <c r="GTQ23" i="3" s="1"/>
  <c r="GTR23" i="3" s="1"/>
  <c r="GTS23" i="3" s="1"/>
  <c r="GTT23" i="3" s="1"/>
  <c r="GTU23" i="3" s="1"/>
  <c r="GTV23" i="3" s="1"/>
  <c r="GTW23" i="3" s="1"/>
  <c r="GTX23" i="3" s="1"/>
  <c r="GTY23" i="3" s="1"/>
  <c r="GTZ23" i="3" s="1"/>
  <c r="GUA23" i="3" s="1"/>
  <c r="GUB23" i="3" s="1"/>
  <c r="GUC23" i="3" s="1"/>
  <c r="GUD23" i="3" s="1"/>
  <c r="GUE23" i="3" s="1"/>
  <c r="GUF23" i="3" s="1"/>
  <c r="GUG23" i="3" s="1"/>
  <c r="GUH23" i="3" s="1"/>
  <c r="GUI23" i="3" s="1"/>
  <c r="GUJ23" i="3" s="1"/>
  <c r="GUK23" i="3" s="1"/>
  <c r="GUL23" i="3" s="1"/>
  <c r="GUM23" i="3" s="1"/>
  <c r="GUN23" i="3" s="1"/>
  <c r="GUO23" i="3" s="1"/>
  <c r="GUP23" i="3" s="1"/>
  <c r="GUQ23" i="3" s="1"/>
  <c r="GUR23" i="3" s="1"/>
  <c r="GUS23" i="3" s="1"/>
  <c r="GUT23" i="3" s="1"/>
  <c r="GUU23" i="3" s="1"/>
  <c r="GUV23" i="3" s="1"/>
  <c r="GUW23" i="3" s="1"/>
  <c r="GUX23" i="3" s="1"/>
  <c r="GUY23" i="3" s="1"/>
  <c r="GUZ23" i="3" s="1"/>
  <c r="GVA23" i="3" s="1"/>
  <c r="GVB23" i="3" s="1"/>
  <c r="GVC23" i="3" s="1"/>
  <c r="GVD23" i="3" s="1"/>
  <c r="GVE23" i="3" s="1"/>
  <c r="GVF23" i="3" s="1"/>
  <c r="GVG23" i="3" s="1"/>
  <c r="GVH23" i="3" s="1"/>
  <c r="GVI23" i="3" s="1"/>
  <c r="GVJ23" i="3" s="1"/>
  <c r="GVK23" i="3" s="1"/>
  <c r="GVL23" i="3" s="1"/>
  <c r="GVM23" i="3" s="1"/>
  <c r="GVN23" i="3" s="1"/>
  <c r="GVO23" i="3" s="1"/>
  <c r="GVP23" i="3" s="1"/>
  <c r="GVQ23" i="3" s="1"/>
  <c r="GVR23" i="3" s="1"/>
  <c r="GVS23" i="3" s="1"/>
  <c r="GVT23" i="3" s="1"/>
  <c r="GVU23" i="3" s="1"/>
  <c r="GVV23" i="3" s="1"/>
  <c r="GVW23" i="3" s="1"/>
  <c r="GVX23" i="3" s="1"/>
  <c r="GVY23" i="3" s="1"/>
  <c r="GVZ23" i="3" s="1"/>
  <c r="GWA23" i="3" s="1"/>
  <c r="GWB23" i="3" s="1"/>
  <c r="GWC23" i="3" s="1"/>
  <c r="GWD23" i="3" s="1"/>
  <c r="GWE23" i="3" s="1"/>
  <c r="GWF23" i="3" s="1"/>
  <c r="GWG23" i="3" s="1"/>
  <c r="GWH23" i="3" s="1"/>
  <c r="GWI23" i="3" s="1"/>
  <c r="GWJ23" i="3" s="1"/>
  <c r="GWK23" i="3" s="1"/>
  <c r="GWL23" i="3" s="1"/>
  <c r="GWM23" i="3" s="1"/>
  <c r="GWN23" i="3" s="1"/>
  <c r="GWO23" i="3" s="1"/>
  <c r="GWP23" i="3" s="1"/>
  <c r="GWQ23" i="3" s="1"/>
  <c r="GWR23" i="3" s="1"/>
  <c r="GWS23" i="3" s="1"/>
  <c r="GWT23" i="3" s="1"/>
  <c r="GWU23" i="3" s="1"/>
  <c r="GWV23" i="3" s="1"/>
  <c r="GWW23" i="3" s="1"/>
  <c r="GWX23" i="3" s="1"/>
  <c r="GWY23" i="3" s="1"/>
  <c r="GWZ23" i="3" s="1"/>
  <c r="GXA23" i="3" s="1"/>
  <c r="GXB23" i="3" s="1"/>
  <c r="GXC23" i="3" s="1"/>
  <c r="GXD23" i="3" s="1"/>
  <c r="GXE23" i="3" s="1"/>
  <c r="GXF23" i="3" s="1"/>
  <c r="GXG23" i="3" s="1"/>
  <c r="GXH23" i="3" s="1"/>
  <c r="GXI23" i="3" s="1"/>
  <c r="GXJ23" i="3" s="1"/>
  <c r="GXK23" i="3" s="1"/>
  <c r="GXL23" i="3" s="1"/>
  <c r="GXM23" i="3" s="1"/>
  <c r="GXN23" i="3" s="1"/>
  <c r="GXO23" i="3" s="1"/>
  <c r="GXP23" i="3" s="1"/>
  <c r="GXQ23" i="3" s="1"/>
  <c r="GXR23" i="3" s="1"/>
  <c r="GXS23" i="3" s="1"/>
  <c r="GXT23" i="3" s="1"/>
  <c r="GXU23" i="3" s="1"/>
  <c r="GXV23" i="3" s="1"/>
  <c r="GXW23" i="3" s="1"/>
  <c r="GXX23" i="3" s="1"/>
  <c r="GXY23" i="3" s="1"/>
  <c r="GXZ23" i="3" s="1"/>
  <c r="GYA23" i="3" s="1"/>
  <c r="GYB23" i="3" s="1"/>
  <c r="GYC23" i="3" s="1"/>
  <c r="GYD23" i="3" s="1"/>
  <c r="GYE23" i="3" s="1"/>
  <c r="GYF23" i="3" s="1"/>
  <c r="GYG23" i="3" s="1"/>
  <c r="GYH23" i="3" s="1"/>
  <c r="GYI23" i="3" s="1"/>
  <c r="GYJ23" i="3" s="1"/>
  <c r="GYK23" i="3" s="1"/>
  <c r="GYL23" i="3" s="1"/>
  <c r="GYM23" i="3" s="1"/>
  <c r="GYN23" i="3" s="1"/>
  <c r="GYO23" i="3" s="1"/>
  <c r="GYP23" i="3" s="1"/>
  <c r="GYQ23" i="3" s="1"/>
  <c r="GYR23" i="3" s="1"/>
  <c r="GYS23" i="3" s="1"/>
  <c r="GYT23" i="3" s="1"/>
  <c r="GYU23" i="3" s="1"/>
  <c r="GYV23" i="3" s="1"/>
  <c r="GYW23" i="3" s="1"/>
  <c r="GYX23" i="3" s="1"/>
  <c r="GYY23" i="3" s="1"/>
  <c r="GYZ23" i="3" s="1"/>
  <c r="GZA23" i="3" s="1"/>
  <c r="GZB23" i="3" s="1"/>
  <c r="GZC23" i="3" s="1"/>
  <c r="GZD23" i="3" s="1"/>
  <c r="GZE23" i="3" s="1"/>
  <c r="GZF23" i="3" s="1"/>
  <c r="GZG23" i="3" s="1"/>
  <c r="GZH23" i="3" s="1"/>
  <c r="GZI23" i="3" s="1"/>
  <c r="GZJ23" i="3" s="1"/>
  <c r="GZK23" i="3" s="1"/>
  <c r="GZL23" i="3" s="1"/>
  <c r="GZM23" i="3" s="1"/>
  <c r="GZN23" i="3" s="1"/>
  <c r="GZO23" i="3" s="1"/>
  <c r="GZP23" i="3" s="1"/>
  <c r="GZQ23" i="3" s="1"/>
  <c r="GZR23" i="3" s="1"/>
  <c r="GZS23" i="3" s="1"/>
  <c r="GZT23" i="3" s="1"/>
  <c r="GZU23" i="3" s="1"/>
  <c r="GZV23" i="3" s="1"/>
  <c r="GZW23" i="3" s="1"/>
  <c r="GZX23" i="3" s="1"/>
  <c r="GZY23" i="3" s="1"/>
  <c r="GZZ23" i="3" s="1"/>
  <c r="HAA23" i="3" s="1"/>
  <c r="HAB23" i="3" s="1"/>
  <c r="HAC23" i="3" s="1"/>
  <c r="HAD23" i="3" s="1"/>
  <c r="HAE23" i="3" s="1"/>
  <c r="HAF23" i="3" s="1"/>
  <c r="HAG23" i="3" s="1"/>
  <c r="HAH23" i="3" s="1"/>
  <c r="HAI23" i="3" s="1"/>
  <c r="HAJ23" i="3" s="1"/>
  <c r="HAK23" i="3" s="1"/>
  <c r="HAL23" i="3" s="1"/>
  <c r="HAM23" i="3" s="1"/>
  <c r="HAN23" i="3" s="1"/>
  <c r="HAO23" i="3" s="1"/>
  <c r="HAP23" i="3" s="1"/>
  <c r="HAQ23" i="3" s="1"/>
  <c r="HAR23" i="3" s="1"/>
  <c r="HAS23" i="3" s="1"/>
  <c r="HAT23" i="3" s="1"/>
  <c r="HAU23" i="3" s="1"/>
  <c r="HAV23" i="3" s="1"/>
  <c r="HAW23" i="3" s="1"/>
  <c r="HAX23" i="3" s="1"/>
  <c r="HAY23" i="3" s="1"/>
  <c r="HAZ23" i="3" s="1"/>
  <c r="HBA23" i="3" s="1"/>
  <c r="HBB23" i="3" s="1"/>
  <c r="HBC23" i="3" s="1"/>
  <c r="HBD23" i="3" s="1"/>
  <c r="HBE23" i="3" s="1"/>
  <c r="HBF23" i="3" s="1"/>
  <c r="HBG23" i="3" s="1"/>
  <c r="HBH23" i="3" s="1"/>
  <c r="HBI23" i="3" s="1"/>
  <c r="HBJ23" i="3" s="1"/>
  <c r="HBK23" i="3" s="1"/>
  <c r="HBL23" i="3" s="1"/>
  <c r="HBM23" i="3" s="1"/>
  <c r="HBN23" i="3" s="1"/>
  <c r="HBO23" i="3" s="1"/>
  <c r="HBP23" i="3" s="1"/>
  <c r="HBQ23" i="3" s="1"/>
  <c r="HBR23" i="3" s="1"/>
  <c r="HBS23" i="3" s="1"/>
  <c r="HBT23" i="3" s="1"/>
  <c r="HBU23" i="3" s="1"/>
  <c r="HBV23" i="3" s="1"/>
  <c r="HBW23" i="3" s="1"/>
  <c r="HBX23" i="3" s="1"/>
  <c r="HBY23" i="3" s="1"/>
  <c r="HBZ23" i="3" s="1"/>
  <c r="HCA23" i="3" s="1"/>
  <c r="HCB23" i="3" s="1"/>
  <c r="HCC23" i="3" s="1"/>
  <c r="HCD23" i="3" s="1"/>
  <c r="HCE23" i="3" s="1"/>
  <c r="HCF23" i="3" s="1"/>
  <c r="HCG23" i="3" s="1"/>
  <c r="HCH23" i="3" s="1"/>
  <c r="HCI23" i="3" s="1"/>
  <c r="HCJ23" i="3" s="1"/>
  <c r="HCK23" i="3" s="1"/>
  <c r="HCL23" i="3" s="1"/>
  <c r="HCM23" i="3" s="1"/>
  <c r="HCN23" i="3" s="1"/>
  <c r="HCO23" i="3" s="1"/>
  <c r="HCP23" i="3" s="1"/>
  <c r="HCQ23" i="3" s="1"/>
  <c r="HCR23" i="3" s="1"/>
  <c r="HCS23" i="3" s="1"/>
  <c r="HCT23" i="3" s="1"/>
  <c r="HCU23" i="3" s="1"/>
  <c r="HCV23" i="3" s="1"/>
  <c r="HCW23" i="3" s="1"/>
  <c r="HCX23" i="3" s="1"/>
  <c r="HCY23" i="3" s="1"/>
  <c r="HCZ23" i="3" s="1"/>
  <c r="HDA23" i="3" s="1"/>
  <c r="HDB23" i="3" s="1"/>
  <c r="HDC23" i="3" s="1"/>
  <c r="HDD23" i="3" s="1"/>
  <c r="HDE23" i="3" s="1"/>
  <c r="HDF23" i="3" s="1"/>
  <c r="HDG23" i="3" s="1"/>
  <c r="HDH23" i="3" s="1"/>
  <c r="HDI23" i="3" s="1"/>
  <c r="HDJ23" i="3" s="1"/>
  <c r="HDK23" i="3" s="1"/>
  <c r="HDL23" i="3" s="1"/>
  <c r="HDM23" i="3" s="1"/>
  <c r="HDN23" i="3" s="1"/>
  <c r="HDO23" i="3" s="1"/>
  <c r="HDP23" i="3" s="1"/>
  <c r="HDQ23" i="3" s="1"/>
  <c r="HDR23" i="3" s="1"/>
  <c r="HDS23" i="3" s="1"/>
  <c r="HDT23" i="3" s="1"/>
  <c r="HDU23" i="3" s="1"/>
  <c r="HDV23" i="3" s="1"/>
  <c r="HDW23" i="3" s="1"/>
  <c r="HDX23" i="3" s="1"/>
  <c r="HDY23" i="3" s="1"/>
  <c r="HDZ23" i="3" s="1"/>
  <c r="HEA23" i="3" s="1"/>
  <c r="HEB23" i="3" s="1"/>
  <c r="HEC23" i="3" s="1"/>
  <c r="HED23" i="3" s="1"/>
  <c r="HEE23" i="3" s="1"/>
  <c r="HEF23" i="3" s="1"/>
  <c r="HEG23" i="3" s="1"/>
  <c r="HEH23" i="3" s="1"/>
  <c r="HEI23" i="3" s="1"/>
  <c r="HEJ23" i="3" s="1"/>
  <c r="HEK23" i="3" s="1"/>
  <c r="HEL23" i="3" s="1"/>
  <c r="HEM23" i="3" s="1"/>
  <c r="HEN23" i="3" s="1"/>
  <c r="HEO23" i="3" s="1"/>
  <c r="HEP23" i="3" s="1"/>
  <c r="HEQ23" i="3" s="1"/>
  <c r="HER23" i="3" s="1"/>
  <c r="HES23" i="3" s="1"/>
  <c r="HET23" i="3" s="1"/>
  <c r="HEU23" i="3" s="1"/>
  <c r="HEV23" i="3" s="1"/>
  <c r="HEW23" i="3" s="1"/>
  <c r="HEX23" i="3" s="1"/>
  <c r="HEY23" i="3" s="1"/>
  <c r="HEZ23" i="3" s="1"/>
  <c r="HFA23" i="3" s="1"/>
  <c r="HFB23" i="3" s="1"/>
  <c r="HFC23" i="3" s="1"/>
  <c r="HFD23" i="3" s="1"/>
  <c r="HFE23" i="3" s="1"/>
  <c r="HFF23" i="3" s="1"/>
  <c r="HFG23" i="3" s="1"/>
  <c r="HFH23" i="3" s="1"/>
  <c r="HFI23" i="3" s="1"/>
  <c r="HFJ23" i="3" s="1"/>
  <c r="HFK23" i="3" s="1"/>
  <c r="HFL23" i="3" s="1"/>
  <c r="HFM23" i="3" s="1"/>
  <c r="HFN23" i="3" s="1"/>
  <c r="HFO23" i="3" s="1"/>
  <c r="HFP23" i="3" s="1"/>
  <c r="HFQ23" i="3" s="1"/>
  <c r="HFR23" i="3" s="1"/>
  <c r="HFS23" i="3" s="1"/>
  <c r="HFT23" i="3" s="1"/>
  <c r="HFU23" i="3" s="1"/>
  <c r="HFV23" i="3" s="1"/>
  <c r="HFW23" i="3" s="1"/>
  <c r="HFX23" i="3" s="1"/>
  <c r="HFY23" i="3" s="1"/>
  <c r="HFZ23" i="3" s="1"/>
  <c r="HGA23" i="3" s="1"/>
  <c r="HGB23" i="3" s="1"/>
  <c r="HGC23" i="3" s="1"/>
  <c r="HGD23" i="3" s="1"/>
  <c r="HGE23" i="3" s="1"/>
  <c r="HGF23" i="3" s="1"/>
  <c r="HGG23" i="3" s="1"/>
  <c r="HGH23" i="3" s="1"/>
  <c r="HGI23" i="3" s="1"/>
  <c r="HGJ23" i="3" s="1"/>
  <c r="HGK23" i="3" s="1"/>
  <c r="HGL23" i="3" s="1"/>
  <c r="HGM23" i="3" s="1"/>
  <c r="HGN23" i="3" s="1"/>
  <c r="HGO23" i="3" s="1"/>
  <c r="HGP23" i="3" s="1"/>
  <c r="HGQ23" i="3" s="1"/>
  <c r="HGR23" i="3" s="1"/>
  <c r="HGS23" i="3" s="1"/>
  <c r="HGT23" i="3" s="1"/>
  <c r="HGU23" i="3" s="1"/>
  <c r="HGV23" i="3" s="1"/>
  <c r="HGW23" i="3" s="1"/>
  <c r="HGX23" i="3" s="1"/>
  <c r="HGY23" i="3" s="1"/>
  <c r="HGZ23" i="3" s="1"/>
  <c r="HHA23" i="3" s="1"/>
  <c r="HHB23" i="3" s="1"/>
  <c r="HHC23" i="3" s="1"/>
  <c r="HHD23" i="3" s="1"/>
  <c r="HHE23" i="3" s="1"/>
  <c r="HHF23" i="3" s="1"/>
  <c r="HHG23" i="3" s="1"/>
  <c r="HHH23" i="3" s="1"/>
  <c r="HHI23" i="3" s="1"/>
  <c r="HHJ23" i="3" s="1"/>
  <c r="HHK23" i="3" s="1"/>
  <c r="HHL23" i="3" s="1"/>
  <c r="HHM23" i="3" s="1"/>
  <c r="HHN23" i="3" s="1"/>
  <c r="HHO23" i="3" s="1"/>
  <c r="HHP23" i="3" s="1"/>
  <c r="HHQ23" i="3" s="1"/>
  <c r="HHR23" i="3" s="1"/>
  <c r="HHS23" i="3" s="1"/>
  <c r="HHT23" i="3" s="1"/>
  <c r="HHU23" i="3" s="1"/>
  <c r="HHV23" i="3" s="1"/>
  <c r="HHW23" i="3" s="1"/>
  <c r="HHX23" i="3" s="1"/>
  <c r="HHY23" i="3" s="1"/>
  <c r="HHZ23" i="3" s="1"/>
  <c r="HIA23" i="3" s="1"/>
  <c r="HIB23" i="3" s="1"/>
  <c r="HIC23" i="3" s="1"/>
  <c r="HID23" i="3" s="1"/>
  <c r="HIE23" i="3" s="1"/>
  <c r="HIF23" i="3" s="1"/>
  <c r="HIG23" i="3" s="1"/>
  <c r="HIH23" i="3" s="1"/>
  <c r="HII23" i="3" s="1"/>
  <c r="HIJ23" i="3" s="1"/>
  <c r="HIK23" i="3" s="1"/>
  <c r="HIL23" i="3" s="1"/>
  <c r="HIM23" i="3" s="1"/>
  <c r="HIN23" i="3" s="1"/>
  <c r="HIO23" i="3" s="1"/>
  <c r="HIP23" i="3" s="1"/>
  <c r="HIQ23" i="3" s="1"/>
  <c r="HIR23" i="3" s="1"/>
  <c r="HIS23" i="3" s="1"/>
  <c r="HIT23" i="3" s="1"/>
  <c r="HIU23" i="3" s="1"/>
  <c r="HIV23" i="3" s="1"/>
  <c r="HIW23" i="3" s="1"/>
  <c r="HIX23" i="3" s="1"/>
  <c r="HIY23" i="3" s="1"/>
  <c r="HIZ23" i="3" s="1"/>
  <c r="HJA23" i="3" s="1"/>
  <c r="HJB23" i="3" s="1"/>
  <c r="HJC23" i="3" s="1"/>
  <c r="HJD23" i="3" s="1"/>
  <c r="HJE23" i="3" s="1"/>
  <c r="HJF23" i="3" s="1"/>
  <c r="HJG23" i="3" s="1"/>
  <c r="HJH23" i="3" s="1"/>
  <c r="HJI23" i="3" s="1"/>
  <c r="HJJ23" i="3" s="1"/>
  <c r="HJK23" i="3" s="1"/>
  <c r="HJL23" i="3" s="1"/>
  <c r="HJM23" i="3" s="1"/>
  <c r="HJN23" i="3" s="1"/>
  <c r="HJO23" i="3" s="1"/>
  <c r="HJP23" i="3" s="1"/>
  <c r="HJQ23" i="3" s="1"/>
  <c r="HJR23" i="3" s="1"/>
  <c r="HJS23" i="3" s="1"/>
  <c r="HJT23" i="3" s="1"/>
  <c r="HJU23" i="3" s="1"/>
  <c r="HJV23" i="3" s="1"/>
  <c r="HJW23" i="3" s="1"/>
  <c r="HJX23" i="3" s="1"/>
  <c r="HJY23" i="3" s="1"/>
  <c r="HJZ23" i="3" s="1"/>
  <c r="HKA23" i="3" s="1"/>
  <c r="HKB23" i="3" s="1"/>
  <c r="HKC23" i="3" s="1"/>
  <c r="HKD23" i="3" s="1"/>
  <c r="HKE23" i="3" s="1"/>
  <c r="HKF23" i="3" s="1"/>
  <c r="HKG23" i="3" s="1"/>
  <c r="HKH23" i="3" s="1"/>
  <c r="HKI23" i="3" s="1"/>
  <c r="HKJ23" i="3" s="1"/>
  <c r="HKK23" i="3" s="1"/>
  <c r="HKL23" i="3" s="1"/>
  <c r="HKM23" i="3" s="1"/>
  <c r="HKN23" i="3" s="1"/>
  <c r="HKO23" i="3" s="1"/>
  <c r="HKP23" i="3" s="1"/>
  <c r="HKQ23" i="3" s="1"/>
  <c r="HKR23" i="3" s="1"/>
  <c r="HKS23" i="3" s="1"/>
  <c r="HKT23" i="3" s="1"/>
  <c r="HKU23" i="3" s="1"/>
  <c r="HKV23" i="3" s="1"/>
  <c r="HKW23" i="3" s="1"/>
  <c r="HKX23" i="3" s="1"/>
  <c r="HKY23" i="3" s="1"/>
  <c r="HKZ23" i="3" s="1"/>
  <c r="HLA23" i="3" s="1"/>
  <c r="HLB23" i="3" s="1"/>
  <c r="HLC23" i="3" s="1"/>
  <c r="HLD23" i="3" s="1"/>
  <c r="HLE23" i="3" s="1"/>
  <c r="HLF23" i="3" s="1"/>
  <c r="HLG23" i="3" s="1"/>
  <c r="HLH23" i="3" s="1"/>
  <c r="HLI23" i="3" s="1"/>
  <c r="HLJ23" i="3" s="1"/>
  <c r="HLK23" i="3" s="1"/>
  <c r="HLL23" i="3" s="1"/>
  <c r="HLM23" i="3" s="1"/>
  <c r="HLN23" i="3" s="1"/>
  <c r="HLO23" i="3" s="1"/>
  <c r="HLP23" i="3" s="1"/>
  <c r="HLQ23" i="3" s="1"/>
  <c r="HLR23" i="3" s="1"/>
  <c r="HLS23" i="3" s="1"/>
  <c r="HLT23" i="3" s="1"/>
  <c r="HLU23" i="3" s="1"/>
  <c r="HLV23" i="3" s="1"/>
  <c r="HLW23" i="3" s="1"/>
  <c r="HLX23" i="3" s="1"/>
  <c r="HLY23" i="3" s="1"/>
  <c r="HLZ23" i="3" s="1"/>
  <c r="HMA23" i="3" s="1"/>
  <c r="HMB23" i="3" s="1"/>
  <c r="HMC23" i="3" s="1"/>
  <c r="HMD23" i="3" s="1"/>
  <c r="HME23" i="3" s="1"/>
  <c r="HMF23" i="3" s="1"/>
  <c r="HMG23" i="3" s="1"/>
  <c r="HMH23" i="3" s="1"/>
  <c r="HMI23" i="3" s="1"/>
  <c r="HMJ23" i="3" s="1"/>
  <c r="HMK23" i="3" s="1"/>
  <c r="HML23" i="3" s="1"/>
  <c r="HMM23" i="3" s="1"/>
  <c r="HMN23" i="3" s="1"/>
  <c r="HMO23" i="3" s="1"/>
  <c r="HMP23" i="3" s="1"/>
  <c r="HMQ23" i="3" s="1"/>
  <c r="HMR23" i="3" s="1"/>
  <c r="HMS23" i="3" s="1"/>
  <c r="HMT23" i="3" s="1"/>
  <c r="HMU23" i="3" s="1"/>
  <c r="HMV23" i="3" s="1"/>
  <c r="HMW23" i="3" s="1"/>
  <c r="HMX23" i="3" s="1"/>
  <c r="HMY23" i="3" s="1"/>
  <c r="HMZ23" i="3" s="1"/>
  <c r="HNA23" i="3" s="1"/>
  <c r="HNB23" i="3" s="1"/>
  <c r="HNC23" i="3" s="1"/>
  <c r="HND23" i="3" s="1"/>
  <c r="HNE23" i="3" s="1"/>
  <c r="HNF23" i="3" s="1"/>
  <c r="HNG23" i="3" s="1"/>
  <c r="HNH23" i="3" s="1"/>
  <c r="HNI23" i="3" s="1"/>
  <c r="HNJ23" i="3" s="1"/>
  <c r="HNK23" i="3" s="1"/>
  <c r="HNL23" i="3" s="1"/>
  <c r="HNM23" i="3" s="1"/>
  <c r="HNN23" i="3" s="1"/>
  <c r="HNO23" i="3" s="1"/>
  <c r="HNP23" i="3" s="1"/>
  <c r="HNQ23" i="3" s="1"/>
  <c r="HNR23" i="3" s="1"/>
  <c r="HNS23" i="3" s="1"/>
  <c r="HNT23" i="3" s="1"/>
  <c r="HNU23" i="3" s="1"/>
  <c r="HNV23" i="3" s="1"/>
  <c r="HNW23" i="3" s="1"/>
  <c r="HNX23" i="3" s="1"/>
  <c r="HNY23" i="3" s="1"/>
  <c r="HNZ23" i="3" s="1"/>
  <c r="HOA23" i="3" s="1"/>
  <c r="HOB23" i="3" s="1"/>
  <c r="HOC23" i="3" s="1"/>
  <c r="HOD23" i="3" s="1"/>
  <c r="HOE23" i="3" s="1"/>
  <c r="HOF23" i="3" s="1"/>
  <c r="HOG23" i="3" s="1"/>
  <c r="HOH23" i="3" s="1"/>
  <c r="HOI23" i="3" s="1"/>
  <c r="HOJ23" i="3" s="1"/>
  <c r="HOK23" i="3" s="1"/>
  <c r="HOL23" i="3" s="1"/>
  <c r="HOM23" i="3" s="1"/>
  <c r="HON23" i="3" s="1"/>
  <c r="HOO23" i="3" s="1"/>
  <c r="HOP23" i="3" s="1"/>
  <c r="HOQ23" i="3" s="1"/>
  <c r="HOR23" i="3" s="1"/>
  <c r="HOS23" i="3" s="1"/>
  <c r="HOT23" i="3" s="1"/>
  <c r="HOU23" i="3" s="1"/>
  <c r="HOV23" i="3" s="1"/>
  <c r="HOW23" i="3" s="1"/>
  <c r="HOX23" i="3" s="1"/>
  <c r="HOY23" i="3" s="1"/>
  <c r="HOZ23" i="3" s="1"/>
  <c r="HPA23" i="3" s="1"/>
  <c r="HPB23" i="3" s="1"/>
  <c r="HPC23" i="3" s="1"/>
  <c r="HPD23" i="3" s="1"/>
  <c r="HPE23" i="3" s="1"/>
  <c r="HPF23" i="3" s="1"/>
  <c r="HPG23" i="3" s="1"/>
  <c r="HPH23" i="3" s="1"/>
  <c r="HPI23" i="3" s="1"/>
  <c r="HPJ23" i="3" s="1"/>
  <c r="HPK23" i="3" s="1"/>
  <c r="HPL23" i="3" s="1"/>
  <c r="HPM23" i="3" s="1"/>
  <c r="HPN23" i="3" s="1"/>
  <c r="HPO23" i="3" s="1"/>
  <c r="HPP23" i="3" s="1"/>
  <c r="HPQ23" i="3" s="1"/>
  <c r="HPR23" i="3" s="1"/>
  <c r="HPS23" i="3" s="1"/>
  <c r="HPT23" i="3" s="1"/>
  <c r="HPU23" i="3" s="1"/>
  <c r="HPV23" i="3" s="1"/>
  <c r="HPW23" i="3" s="1"/>
  <c r="HPX23" i="3" s="1"/>
  <c r="HPY23" i="3" s="1"/>
  <c r="HPZ23" i="3" s="1"/>
  <c r="HQA23" i="3" s="1"/>
  <c r="HQB23" i="3" s="1"/>
  <c r="HQC23" i="3" s="1"/>
  <c r="HQD23" i="3" s="1"/>
  <c r="HQE23" i="3" s="1"/>
  <c r="HQF23" i="3" s="1"/>
  <c r="HQG23" i="3" s="1"/>
  <c r="HQH23" i="3" s="1"/>
  <c r="HQI23" i="3" s="1"/>
  <c r="HQJ23" i="3" s="1"/>
  <c r="HQK23" i="3" s="1"/>
  <c r="HQL23" i="3" s="1"/>
  <c r="HQM23" i="3" s="1"/>
  <c r="HQN23" i="3" s="1"/>
  <c r="HQO23" i="3" s="1"/>
  <c r="HQP23" i="3" s="1"/>
  <c r="HQQ23" i="3" s="1"/>
  <c r="HQR23" i="3" s="1"/>
  <c r="HQS23" i="3" s="1"/>
  <c r="HQT23" i="3" s="1"/>
  <c r="HQU23" i="3" s="1"/>
  <c r="HQV23" i="3" s="1"/>
  <c r="HQW23" i="3" s="1"/>
  <c r="HQX23" i="3" s="1"/>
  <c r="HQY23" i="3" s="1"/>
  <c r="HQZ23" i="3" s="1"/>
  <c r="HRA23" i="3" s="1"/>
  <c r="HRB23" i="3" s="1"/>
  <c r="HRC23" i="3" s="1"/>
  <c r="HRD23" i="3" s="1"/>
  <c r="HRE23" i="3" s="1"/>
  <c r="HRF23" i="3" s="1"/>
  <c r="HRG23" i="3" s="1"/>
  <c r="HRH23" i="3" s="1"/>
  <c r="HRI23" i="3" s="1"/>
  <c r="HRJ23" i="3" s="1"/>
  <c r="HRK23" i="3" s="1"/>
  <c r="HRL23" i="3" s="1"/>
  <c r="HRM23" i="3" s="1"/>
  <c r="HRN23" i="3" s="1"/>
  <c r="HRO23" i="3" s="1"/>
  <c r="HRP23" i="3" s="1"/>
  <c r="HRQ23" i="3" s="1"/>
  <c r="HRR23" i="3" s="1"/>
  <c r="HRS23" i="3" s="1"/>
  <c r="HRT23" i="3" s="1"/>
  <c r="HRU23" i="3" s="1"/>
  <c r="HRV23" i="3" s="1"/>
  <c r="HRW23" i="3" s="1"/>
  <c r="HRX23" i="3" s="1"/>
  <c r="HRY23" i="3" s="1"/>
  <c r="HRZ23" i="3" s="1"/>
  <c r="HSA23" i="3" s="1"/>
  <c r="HSB23" i="3" s="1"/>
  <c r="HSC23" i="3" s="1"/>
  <c r="HSD23" i="3" s="1"/>
  <c r="HSE23" i="3" s="1"/>
  <c r="HSF23" i="3" s="1"/>
  <c r="HSG23" i="3" s="1"/>
  <c r="HSH23" i="3" s="1"/>
  <c r="HSI23" i="3" s="1"/>
  <c r="HSJ23" i="3" s="1"/>
  <c r="HSK23" i="3" s="1"/>
  <c r="HSL23" i="3" s="1"/>
  <c r="HSM23" i="3" s="1"/>
  <c r="HSN23" i="3" s="1"/>
  <c r="HSO23" i="3" s="1"/>
  <c r="HSP23" i="3" s="1"/>
  <c r="HSQ23" i="3" s="1"/>
  <c r="HSR23" i="3" s="1"/>
  <c r="HSS23" i="3" s="1"/>
  <c r="HST23" i="3" s="1"/>
  <c r="HSU23" i="3" s="1"/>
  <c r="HSV23" i="3" s="1"/>
  <c r="HSW23" i="3" s="1"/>
  <c r="HSX23" i="3" s="1"/>
  <c r="HSY23" i="3" s="1"/>
  <c r="HSZ23" i="3" s="1"/>
  <c r="HTA23" i="3" s="1"/>
  <c r="HTB23" i="3" s="1"/>
  <c r="HTC23" i="3" s="1"/>
  <c r="HTD23" i="3" s="1"/>
  <c r="HTE23" i="3" s="1"/>
  <c r="HTF23" i="3" s="1"/>
  <c r="HTG23" i="3" s="1"/>
  <c r="HTH23" i="3" s="1"/>
  <c r="HTI23" i="3" s="1"/>
  <c r="HTJ23" i="3" s="1"/>
  <c r="HTK23" i="3" s="1"/>
  <c r="HTL23" i="3" s="1"/>
  <c r="HTM23" i="3" s="1"/>
  <c r="HTN23" i="3" s="1"/>
  <c r="HTO23" i="3" s="1"/>
  <c r="HTP23" i="3" s="1"/>
  <c r="HTQ23" i="3" s="1"/>
  <c r="HTR23" i="3" s="1"/>
  <c r="HTS23" i="3" s="1"/>
  <c r="HTT23" i="3" s="1"/>
  <c r="HTU23" i="3" s="1"/>
  <c r="HTV23" i="3" s="1"/>
  <c r="HTW23" i="3" s="1"/>
  <c r="HTX23" i="3" s="1"/>
  <c r="HTY23" i="3" s="1"/>
  <c r="HTZ23" i="3" s="1"/>
  <c r="HUA23" i="3" s="1"/>
  <c r="HUB23" i="3" s="1"/>
  <c r="HUC23" i="3" s="1"/>
  <c r="HUD23" i="3" s="1"/>
  <c r="HUE23" i="3" s="1"/>
  <c r="HUF23" i="3" s="1"/>
  <c r="HUG23" i="3" s="1"/>
  <c r="HUH23" i="3" s="1"/>
  <c r="HUI23" i="3" s="1"/>
  <c r="HUJ23" i="3" s="1"/>
  <c r="HUK23" i="3" s="1"/>
  <c r="HUL23" i="3" s="1"/>
  <c r="HUM23" i="3" s="1"/>
  <c r="HUN23" i="3" s="1"/>
  <c r="HUO23" i="3" s="1"/>
  <c r="HUP23" i="3" s="1"/>
  <c r="HUQ23" i="3" s="1"/>
  <c r="HUR23" i="3" s="1"/>
  <c r="HUS23" i="3" s="1"/>
  <c r="HUT23" i="3" s="1"/>
  <c r="HUU23" i="3" s="1"/>
  <c r="HUV23" i="3" s="1"/>
  <c r="HUW23" i="3" s="1"/>
  <c r="HUX23" i="3" s="1"/>
  <c r="HUY23" i="3" s="1"/>
  <c r="HUZ23" i="3" s="1"/>
  <c r="HVA23" i="3" s="1"/>
  <c r="HVB23" i="3" s="1"/>
  <c r="HVC23" i="3" s="1"/>
  <c r="HVD23" i="3" s="1"/>
  <c r="HVE23" i="3" s="1"/>
  <c r="HVF23" i="3" s="1"/>
  <c r="HVG23" i="3" s="1"/>
  <c r="HVH23" i="3" s="1"/>
  <c r="HVI23" i="3" s="1"/>
  <c r="HVJ23" i="3" s="1"/>
  <c r="HVK23" i="3" s="1"/>
  <c r="HVL23" i="3" s="1"/>
  <c r="HVM23" i="3" s="1"/>
  <c r="HVN23" i="3" s="1"/>
  <c r="HVO23" i="3" s="1"/>
  <c r="HVP23" i="3" s="1"/>
  <c r="HVQ23" i="3" s="1"/>
  <c r="HVR23" i="3" s="1"/>
  <c r="HVS23" i="3" s="1"/>
  <c r="HVT23" i="3" s="1"/>
  <c r="HVU23" i="3" s="1"/>
  <c r="HVV23" i="3" s="1"/>
  <c r="HVW23" i="3" s="1"/>
  <c r="HVX23" i="3" s="1"/>
  <c r="HVY23" i="3" s="1"/>
  <c r="HVZ23" i="3" s="1"/>
  <c r="HWA23" i="3" s="1"/>
  <c r="HWB23" i="3" s="1"/>
  <c r="HWC23" i="3" s="1"/>
  <c r="HWD23" i="3" s="1"/>
  <c r="HWE23" i="3" s="1"/>
  <c r="HWF23" i="3" s="1"/>
  <c r="HWG23" i="3" s="1"/>
  <c r="HWH23" i="3" s="1"/>
  <c r="HWI23" i="3" s="1"/>
  <c r="HWJ23" i="3" s="1"/>
  <c r="HWK23" i="3" s="1"/>
  <c r="HWL23" i="3" s="1"/>
  <c r="HWM23" i="3" s="1"/>
  <c r="HWN23" i="3" s="1"/>
  <c r="HWO23" i="3" s="1"/>
  <c r="HWP23" i="3" s="1"/>
  <c r="HWQ23" i="3" s="1"/>
  <c r="HWR23" i="3" s="1"/>
  <c r="HWS23" i="3" s="1"/>
  <c r="HWT23" i="3" s="1"/>
  <c r="HWU23" i="3" s="1"/>
  <c r="HWV23" i="3" s="1"/>
  <c r="HWW23" i="3" s="1"/>
  <c r="HWX23" i="3" s="1"/>
  <c r="HWY23" i="3" s="1"/>
  <c r="HWZ23" i="3" s="1"/>
  <c r="HXA23" i="3" s="1"/>
  <c r="HXB23" i="3" s="1"/>
  <c r="HXC23" i="3" s="1"/>
  <c r="HXD23" i="3" s="1"/>
  <c r="HXE23" i="3" s="1"/>
  <c r="HXF23" i="3" s="1"/>
  <c r="HXG23" i="3" s="1"/>
  <c r="HXH23" i="3" s="1"/>
  <c r="HXI23" i="3" s="1"/>
  <c r="HXJ23" i="3" s="1"/>
  <c r="HXK23" i="3" s="1"/>
  <c r="HXL23" i="3" s="1"/>
  <c r="HXM23" i="3" s="1"/>
  <c r="HXN23" i="3" s="1"/>
  <c r="HXO23" i="3" s="1"/>
  <c r="HXP23" i="3" s="1"/>
  <c r="HXQ23" i="3" s="1"/>
  <c r="HXR23" i="3" s="1"/>
  <c r="HXS23" i="3" s="1"/>
  <c r="HXT23" i="3" s="1"/>
  <c r="HXU23" i="3" s="1"/>
  <c r="HXV23" i="3" s="1"/>
  <c r="HXW23" i="3" s="1"/>
  <c r="HXX23" i="3" s="1"/>
  <c r="HXY23" i="3" s="1"/>
  <c r="HXZ23" i="3" s="1"/>
  <c r="HYA23" i="3" s="1"/>
  <c r="HYB23" i="3" s="1"/>
  <c r="HYC23" i="3" s="1"/>
  <c r="HYD23" i="3" s="1"/>
  <c r="HYE23" i="3" s="1"/>
  <c r="HYF23" i="3" s="1"/>
  <c r="HYG23" i="3" s="1"/>
  <c r="HYH23" i="3" s="1"/>
  <c r="HYI23" i="3" s="1"/>
  <c r="HYJ23" i="3" s="1"/>
  <c r="HYK23" i="3" s="1"/>
  <c r="HYL23" i="3" s="1"/>
  <c r="HYM23" i="3" s="1"/>
  <c r="HYN23" i="3" s="1"/>
  <c r="HYO23" i="3" s="1"/>
  <c r="HYP23" i="3" s="1"/>
  <c r="HYQ23" i="3" s="1"/>
  <c r="HYR23" i="3" s="1"/>
  <c r="HYS23" i="3" s="1"/>
  <c r="HYT23" i="3" s="1"/>
  <c r="HYU23" i="3" s="1"/>
  <c r="HYV23" i="3" s="1"/>
  <c r="HYW23" i="3" s="1"/>
  <c r="HYX23" i="3" s="1"/>
  <c r="HYY23" i="3" s="1"/>
  <c r="HYZ23" i="3" s="1"/>
  <c r="HZA23" i="3" s="1"/>
  <c r="HZB23" i="3" s="1"/>
  <c r="HZC23" i="3" s="1"/>
  <c r="HZD23" i="3" s="1"/>
  <c r="HZE23" i="3" s="1"/>
  <c r="HZF23" i="3" s="1"/>
  <c r="HZG23" i="3" s="1"/>
  <c r="HZH23" i="3" s="1"/>
  <c r="HZI23" i="3" s="1"/>
  <c r="HZJ23" i="3" s="1"/>
  <c r="HZK23" i="3" s="1"/>
  <c r="HZL23" i="3" s="1"/>
  <c r="HZM23" i="3" s="1"/>
  <c r="HZN23" i="3" s="1"/>
  <c r="HZO23" i="3" s="1"/>
  <c r="HZP23" i="3" s="1"/>
  <c r="HZQ23" i="3" s="1"/>
  <c r="HZR23" i="3" s="1"/>
  <c r="HZS23" i="3" s="1"/>
  <c r="HZT23" i="3" s="1"/>
  <c r="HZU23" i="3" s="1"/>
  <c r="HZV23" i="3" s="1"/>
  <c r="HZW23" i="3" s="1"/>
  <c r="HZX23" i="3" s="1"/>
  <c r="HZY23" i="3" s="1"/>
  <c r="HZZ23" i="3" s="1"/>
  <c r="IAA23" i="3" s="1"/>
  <c r="IAB23" i="3" s="1"/>
  <c r="IAC23" i="3" s="1"/>
  <c r="IAD23" i="3" s="1"/>
  <c r="IAE23" i="3" s="1"/>
  <c r="IAF23" i="3" s="1"/>
  <c r="IAG23" i="3" s="1"/>
  <c r="IAH23" i="3" s="1"/>
  <c r="IAI23" i="3" s="1"/>
  <c r="IAJ23" i="3" s="1"/>
  <c r="IAK23" i="3" s="1"/>
  <c r="IAL23" i="3" s="1"/>
  <c r="IAM23" i="3" s="1"/>
  <c r="IAN23" i="3" s="1"/>
  <c r="IAO23" i="3" s="1"/>
  <c r="IAP23" i="3" s="1"/>
  <c r="IAQ23" i="3" s="1"/>
  <c r="IAR23" i="3" s="1"/>
  <c r="IAS23" i="3" s="1"/>
  <c r="IAT23" i="3" s="1"/>
  <c r="IAU23" i="3" s="1"/>
  <c r="IAV23" i="3" s="1"/>
  <c r="IAW23" i="3" s="1"/>
  <c r="IAX23" i="3" s="1"/>
  <c r="IAY23" i="3" s="1"/>
  <c r="IAZ23" i="3" s="1"/>
  <c r="IBA23" i="3" s="1"/>
  <c r="IBB23" i="3" s="1"/>
  <c r="IBC23" i="3" s="1"/>
  <c r="IBD23" i="3" s="1"/>
  <c r="IBE23" i="3" s="1"/>
  <c r="IBF23" i="3" s="1"/>
  <c r="IBG23" i="3" s="1"/>
  <c r="IBH23" i="3" s="1"/>
  <c r="IBI23" i="3" s="1"/>
  <c r="IBJ23" i="3" s="1"/>
  <c r="IBK23" i="3" s="1"/>
  <c r="IBL23" i="3" s="1"/>
  <c r="IBM23" i="3" s="1"/>
  <c r="IBN23" i="3" s="1"/>
  <c r="IBO23" i="3" s="1"/>
  <c r="IBP23" i="3" s="1"/>
  <c r="IBQ23" i="3" s="1"/>
  <c r="IBR23" i="3" s="1"/>
  <c r="IBS23" i="3" s="1"/>
  <c r="IBT23" i="3" s="1"/>
  <c r="IBU23" i="3" s="1"/>
  <c r="IBV23" i="3" s="1"/>
  <c r="IBW23" i="3" s="1"/>
  <c r="IBX23" i="3" s="1"/>
  <c r="IBY23" i="3" s="1"/>
  <c r="IBZ23" i="3" s="1"/>
  <c r="ICA23" i="3" s="1"/>
  <c r="ICB23" i="3" s="1"/>
  <c r="ICC23" i="3" s="1"/>
  <c r="ICD23" i="3" s="1"/>
  <c r="ICE23" i="3" s="1"/>
  <c r="ICF23" i="3" s="1"/>
  <c r="ICG23" i="3" s="1"/>
  <c r="ICH23" i="3" s="1"/>
  <c r="ICI23" i="3" s="1"/>
  <c r="ICJ23" i="3" s="1"/>
  <c r="ICK23" i="3" s="1"/>
  <c r="ICL23" i="3" s="1"/>
  <c r="ICM23" i="3" s="1"/>
  <c r="ICN23" i="3" s="1"/>
  <c r="ICO23" i="3" s="1"/>
  <c r="ICP23" i="3" s="1"/>
  <c r="ICQ23" i="3" s="1"/>
  <c r="ICR23" i="3" s="1"/>
  <c r="ICS23" i="3" s="1"/>
  <c r="ICT23" i="3" s="1"/>
  <c r="ICU23" i="3" s="1"/>
  <c r="ICV23" i="3" s="1"/>
  <c r="ICW23" i="3" s="1"/>
  <c r="ICX23" i="3" s="1"/>
  <c r="ICY23" i="3" s="1"/>
  <c r="ICZ23" i="3" s="1"/>
  <c r="IDA23" i="3" s="1"/>
  <c r="IDB23" i="3" s="1"/>
  <c r="IDC23" i="3" s="1"/>
  <c r="IDD23" i="3" s="1"/>
  <c r="IDE23" i="3" s="1"/>
  <c r="IDF23" i="3" s="1"/>
  <c r="IDG23" i="3" s="1"/>
  <c r="IDH23" i="3" s="1"/>
  <c r="IDI23" i="3" s="1"/>
  <c r="IDJ23" i="3" s="1"/>
  <c r="IDK23" i="3" s="1"/>
  <c r="IDL23" i="3" s="1"/>
  <c r="IDM23" i="3" s="1"/>
  <c r="IDN23" i="3" s="1"/>
  <c r="IDO23" i="3" s="1"/>
  <c r="IDP23" i="3" s="1"/>
  <c r="IDQ23" i="3" s="1"/>
  <c r="IDR23" i="3" s="1"/>
  <c r="IDS23" i="3" s="1"/>
  <c r="IDT23" i="3" s="1"/>
  <c r="IDU23" i="3" s="1"/>
  <c r="IDV23" i="3" s="1"/>
  <c r="IDW23" i="3" s="1"/>
  <c r="IDX23" i="3" s="1"/>
  <c r="IDY23" i="3" s="1"/>
  <c r="IDZ23" i="3" s="1"/>
  <c r="IEA23" i="3" s="1"/>
  <c r="IEB23" i="3" s="1"/>
  <c r="IEC23" i="3" s="1"/>
  <c r="IED23" i="3" s="1"/>
  <c r="IEE23" i="3" s="1"/>
  <c r="IEF23" i="3" s="1"/>
  <c r="IEG23" i="3" s="1"/>
  <c r="IEH23" i="3" s="1"/>
  <c r="IEI23" i="3" s="1"/>
  <c r="IEJ23" i="3" s="1"/>
  <c r="IEK23" i="3" s="1"/>
  <c r="IEL23" i="3" s="1"/>
  <c r="IEM23" i="3" s="1"/>
  <c r="IEN23" i="3" s="1"/>
  <c r="IEO23" i="3" s="1"/>
  <c r="IEP23" i="3" s="1"/>
  <c r="IEQ23" i="3" s="1"/>
  <c r="IER23" i="3" s="1"/>
  <c r="IES23" i="3" s="1"/>
  <c r="IET23" i="3" s="1"/>
  <c r="IEU23" i="3" s="1"/>
  <c r="IEV23" i="3" s="1"/>
  <c r="IEW23" i="3" s="1"/>
  <c r="IEX23" i="3" s="1"/>
  <c r="IEY23" i="3" s="1"/>
  <c r="IEZ23" i="3" s="1"/>
  <c r="IFA23" i="3" s="1"/>
  <c r="IFB23" i="3" s="1"/>
  <c r="IFC23" i="3" s="1"/>
  <c r="IFD23" i="3" s="1"/>
  <c r="IFE23" i="3" s="1"/>
  <c r="IFF23" i="3" s="1"/>
  <c r="IFG23" i="3" s="1"/>
  <c r="IFH23" i="3" s="1"/>
  <c r="IFI23" i="3" s="1"/>
  <c r="IFJ23" i="3" s="1"/>
  <c r="IFK23" i="3" s="1"/>
  <c r="IFL23" i="3" s="1"/>
  <c r="IFM23" i="3" s="1"/>
  <c r="IFN23" i="3" s="1"/>
  <c r="IFO23" i="3" s="1"/>
  <c r="IFP23" i="3" s="1"/>
  <c r="IFQ23" i="3" s="1"/>
  <c r="IFR23" i="3" s="1"/>
  <c r="IFS23" i="3" s="1"/>
  <c r="IFT23" i="3" s="1"/>
  <c r="IFU23" i="3" s="1"/>
  <c r="IFV23" i="3" s="1"/>
  <c r="IFW23" i="3" s="1"/>
  <c r="IFX23" i="3" s="1"/>
  <c r="IFY23" i="3" s="1"/>
  <c r="IFZ23" i="3" s="1"/>
  <c r="IGA23" i="3" s="1"/>
  <c r="IGB23" i="3" s="1"/>
  <c r="IGC23" i="3" s="1"/>
  <c r="IGD23" i="3" s="1"/>
  <c r="IGE23" i="3" s="1"/>
  <c r="IGF23" i="3" s="1"/>
  <c r="IGG23" i="3" s="1"/>
  <c r="IGH23" i="3" s="1"/>
  <c r="IGI23" i="3" s="1"/>
  <c r="IGJ23" i="3" s="1"/>
  <c r="IGK23" i="3" s="1"/>
  <c r="IGL23" i="3" s="1"/>
  <c r="IGM23" i="3" s="1"/>
  <c r="IGN23" i="3" s="1"/>
  <c r="IGO23" i="3" s="1"/>
  <c r="IGP23" i="3" s="1"/>
  <c r="IGQ23" i="3" s="1"/>
  <c r="IGR23" i="3" s="1"/>
  <c r="IGS23" i="3" s="1"/>
  <c r="IGT23" i="3" s="1"/>
  <c r="IGU23" i="3" s="1"/>
  <c r="IGV23" i="3" s="1"/>
  <c r="IGW23" i="3" s="1"/>
  <c r="IGX23" i="3" s="1"/>
  <c r="IGY23" i="3" s="1"/>
  <c r="IGZ23" i="3" s="1"/>
  <c r="IHA23" i="3" s="1"/>
  <c r="IHB23" i="3" s="1"/>
  <c r="IHC23" i="3" s="1"/>
  <c r="IHD23" i="3" s="1"/>
  <c r="IHE23" i="3" s="1"/>
  <c r="IHF23" i="3" s="1"/>
  <c r="IHG23" i="3" s="1"/>
  <c r="IHH23" i="3" s="1"/>
  <c r="IHI23" i="3" s="1"/>
  <c r="IHJ23" i="3" s="1"/>
  <c r="IHK23" i="3" s="1"/>
  <c r="IHL23" i="3" s="1"/>
  <c r="IHM23" i="3" s="1"/>
  <c r="IHN23" i="3" s="1"/>
  <c r="IHO23" i="3" s="1"/>
  <c r="IHP23" i="3" s="1"/>
  <c r="IHQ23" i="3" s="1"/>
  <c r="IHR23" i="3" s="1"/>
  <c r="IHS23" i="3" s="1"/>
  <c r="IHT23" i="3" s="1"/>
  <c r="IHU23" i="3" s="1"/>
  <c r="IHV23" i="3" s="1"/>
  <c r="IHW23" i="3" s="1"/>
  <c r="IHX23" i="3" s="1"/>
  <c r="IHY23" i="3" s="1"/>
  <c r="IHZ23" i="3" s="1"/>
  <c r="IIA23" i="3" s="1"/>
  <c r="IIB23" i="3" s="1"/>
  <c r="IIC23" i="3" s="1"/>
  <c r="IID23" i="3" s="1"/>
  <c r="IIE23" i="3" s="1"/>
  <c r="IIF23" i="3" s="1"/>
  <c r="IIG23" i="3" s="1"/>
  <c r="IIH23" i="3" s="1"/>
  <c r="III23" i="3" s="1"/>
  <c r="IIJ23" i="3" s="1"/>
  <c r="IIK23" i="3" s="1"/>
  <c r="IIL23" i="3" s="1"/>
  <c r="IIM23" i="3" s="1"/>
  <c r="IIN23" i="3" s="1"/>
  <c r="IIO23" i="3" s="1"/>
  <c r="IIP23" i="3" s="1"/>
  <c r="IIQ23" i="3" s="1"/>
  <c r="IIR23" i="3" s="1"/>
  <c r="IIS23" i="3" s="1"/>
  <c r="IIT23" i="3" s="1"/>
  <c r="IIU23" i="3" s="1"/>
  <c r="IIV23" i="3" s="1"/>
  <c r="IIW23" i="3" s="1"/>
  <c r="IIX23" i="3" s="1"/>
  <c r="IIY23" i="3" s="1"/>
  <c r="IIZ23" i="3" s="1"/>
  <c r="IJA23" i="3" s="1"/>
  <c r="IJB23" i="3" s="1"/>
  <c r="IJC23" i="3" s="1"/>
  <c r="IJD23" i="3" s="1"/>
  <c r="IJE23" i="3" s="1"/>
  <c r="IJF23" i="3" s="1"/>
  <c r="IJG23" i="3" s="1"/>
  <c r="IJH23" i="3" s="1"/>
  <c r="IJI23" i="3" s="1"/>
  <c r="IJJ23" i="3" s="1"/>
  <c r="IJK23" i="3" s="1"/>
  <c r="IJL23" i="3" s="1"/>
  <c r="IJM23" i="3" s="1"/>
  <c r="IJN23" i="3" s="1"/>
  <c r="IJO23" i="3" s="1"/>
  <c r="IJP23" i="3" s="1"/>
  <c r="IJQ23" i="3" s="1"/>
  <c r="IJR23" i="3" s="1"/>
  <c r="IJS23" i="3" s="1"/>
  <c r="IJT23" i="3" s="1"/>
  <c r="IJU23" i="3" s="1"/>
  <c r="IJV23" i="3" s="1"/>
  <c r="IJW23" i="3" s="1"/>
  <c r="IJX23" i="3" s="1"/>
  <c r="IJY23" i="3" s="1"/>
  <c r="IJZ23" i="3" s="1"/>
  <c r="IKA23" i="3" s="1"/>
  <c r="IKB23" i="3" s="1"/>
  <c r="IKC23" i="3" s="1"/>
  <c r="IKD23" i="3" s="1"/>
  <c r="IKE23" i="3" s="1"/>
  <c r="IKF23" i="3" s="1"/>
  <c r="IKG23" i="3" s="1"/>
  <c r="IKH23" i="3" s="1"/>
  <c r="IKI23" i="3" s="1"/>
  <c r="IKJ23" i="3" s="1"/>
  <c r="IKK23" i="3" s="1"/>
  <c r="IKL23" i="3" s="1"/>
  <c r="IKM23" i="3" s="1"/>
  <c r="IKN23" i="3" s="1"/>
  <c r="IKO23" i="3" s="1"/>
  <c r="IKP23" i="3" s="1"/>
  <c r="IKQ23" i="3" s="1"/>
  <c r="IKR23" i="3" s="1"/>
  <c r="IKS23" i="3" s="1"/>
  <c r="IKT23" i="3" s="1"/>
  <c r="IKU23" i="3" s="1"/>
  <c r="IKV23" i="3" s="1"/>
  <c r="IKW23" i="3" s="1"/>
  <c r="IKX23" i="3" s="1"/>
  <c r="IKY23" i="3" s="1"/>
  <c r="IKZ23" i="3" s="1"/>
  <c r="ILA23" i="3" s="1"/>
  <c r="ILB23" i="3" s="1"/>
  <c r="ILC23" i="3" s="1"/>
  <c r="ILD23" i="3" s="1"/>
  <c r="ILE23" i="3" s="1"/>
  <c r="ILF23" i="3" s="1"/>
  <c r="ILG23" i="3" s="1"/>
  <c r="ILH23" i="3" s="1"/>
  <c r="ILI23" i="3" s="1"/>
  <c r="ILJ23" i="3" s="1"/>
  <c r="ILK23" i="3" s="1"/>
  <c r="ILL23" i="3" s="1"/>
  <c r="ILM23" i="3" s="1"/>
  <c r="ILN23" i="3" s="1"/>
  <c r="ILO23" i="3" s="1"/>
  <c r="ILP23" i="3" s="1"/>
  <c r="ILQ23" i="3" s="1"/>
  <c r="ILR23" i="3" s="1"/>
  <c r="ILS23" i="3" s="1"/>
  <c r="ILT23" i="3" s="1"/>
  <c r="ILU23" i="3" s="1"/>
  <c r="ILV23" i="3" s="1"/>
  <c r="ILW23" i="3" s="1"/>
  <c r="ILX23" i="3" s="1"/>
  <c r="ILY23" i="3" s="1"/>
  <c r="ILZ23" i="3" s="1"/>
  <c r="IMA23" i="3" s="1"/>
  <c r="IMB23" i="3" s="1"/>
  <c r="IMC23" i="3" s="1"/>
  <c r="IMD23" i="3" s="1"/>
  <c r="IME23" i="3" s="1"/>
  <c r="IMF23" i="3" s="1"/>
  <c r="IMG23" i="3" s="1"/>
  <c r="IMH23" i="3" s="1"/>
  <c r="IMI23" i="3" s="1"/>
  <c r="IMJ23" i="3" s="1"/>
  <c r="IMK23" i="3" s="1"/>
  <c r="IML23" i="3" s="1"/>
  <c r="IMM23" i="3" s="1"/>
  <c r="IMN23" i="3" s="1"/>
  <c r="IMO23" i="3" s="1"/>
  <c r="IMP23" i="3" s="1"/>
  <c r="IMQ23" i="3" s="1"/>
  <c r="IMR23" i="3" s="1"/>
  <c r="IMS23" i="3" s="1"/>
  <c r="IMT23" i="3" s="1"/>
  <c r="IMU23" i="3" s="1"/>
  <c r="IMV23" i="3" s="1"/>
  <c r="IMW23" i="3" s="1"/>
  <c r="IMX23" i="3" s="1"/>
  <c r="IMY23" i="3" s="1"/>
  <c r="IMZ23" i="3" s="1"/>
  <c r="INA23" i="3" s="1"/>
  <c r="INB23" i="3" s="1"/>
  <c r="INC23" i="3" s="1"/>
  <c r="IND23" i="3" s="1"/>
  <c r="INE23" i="3" s="1"/>
  <c r="INF23" i="3" s="1"/>
  <c r="ING23" i="3" s="1"/>
  <c r="INH23" i="3" s="1"/>
  <c r="INI23" i="3" s="1"/>
  <c r="INJ23" i="3" s="1"/>
  <c r="INK23" i="3" s="1"/>
  <c r="INL23" i="3" s="1"/>
  <c r="INM23" i="3" s="1"/>
  <c r="INN23" i="3" s="1"/>
  <c r="INO23" i="3" s="1"/>
  <c r="INP23" i="3" s="1"/>
  <c r="INQ23" i="3" s="1"/>
  <c r="INR23" i="3" s="1"/>
  <c r="INS23" i="3" s="1"/>
  <c r="INT23" i="3" s="1"/>
  <c r="INU23" i="3" s="1"/>
  <c r="INV23" i="3" s="1"/>
  <c r="INW23" i="3" s="1"/>
  <c r="INX23" i="3" s="1"/>
  <c r="INY23" i="3" s="1"/>
  <c r="INZ23" i="3" s="1"/>
  <c r="IOA23" i="3" s="1"/>
  <c r="IOB23" i="3" s="1"/>
  <c r="IOC23" i="3" s="1"/>
  <c r="IOD23" i="3" s="1"/>
  <c r="IOE23" i="3" s="1"/>
  <c r="IOF23" i="3" s="1"/>
  <c r="IOG23" i="3" s="1"/>
  <c r="IOH23" i="3" s="1"/>
  <c r="IOI23" i="3" s="1"/>
  <c r="IOJ23" i="3" s="1"/>
  <c r="IOK23" i="3" s="1"/>
  <c r="IOL23" i="3" s="1"/>
  <c r="IOM23" i="3" s="1"/>
  <c r="ION23" i="3" s="1"/>
  <c r="IOO23" i="3" s="1"/>
  <c r="IOP23" i="3" s="1"/>
  <c r="IOQ23" i="3" s="1"/>
  <c r="IOR23" i="3" s="1"/>
  <c r="IOS23" i="3" s="1"/>
  <c r="IOT23" i="3" s="1"/>
  <c r="IOU23" i="3" s="1"/>
  <c r="IOV23" i="3" s="1"/>
  <c r="IOW23" i="3" s="1"/>
  <c r="IOX23" i="3" s="1"/>
  <c r="IOY23" i="3" s="1"/>
  <c r="IOZ23" i="3" s="1"/>
  <c r="IPA23" i="3" s="1"/>
  <c r="IPB23" i="3" s="1"/>
  <c r="IPC23" i="3" s="1"/>
  <c r="IPD23" i="3" s="1"/>
  <c r="IPE23" i="3" s="1"/>
  <c r="IPF23" i="3" s="1"/>
  <c r="IPG23" i="3" s="1"/>
  <c r="IPH23" i="3" s="1"/>
  <c r="IPI23" i="3" s="1"/>
  <c r="IPJ23" i="3" s="1"/>
  <c r="IPK23" i="3" s="1"/>
  <c r="IPL23" i="3" s="1"/>
  <c r="IPM23" i="3" s="1"/>
  <c r="IPN23" i="3" s="1"/>
  <c r="IPO23" i="3" s="1"/>
  <c r="IPP23" i="3" s="1"/>
  <c r="IPQ23" i="3" s="1"/>
  <c r="IPR23" i="3" s="1"/>
  <c r="IPS23" i="3" s="1"/>
  <c r="IPT23" i="3" s="1"/>
  <c r="IPU23" i="3" s="1"/>
  <c r="IPV23" i="3" s="1"/>
  <c r="IPW23" i="3" s="1"/>
  <c r="IPX23" i="3" s="1"/>
  <c r="IPY23" i="3" s="1"/>
  <c r="IPZ23" i="3" s="1"/>
  <c r="IQA23" i="3" s="1"/>
  <c r="IQB23" i="3" s="1"/>
  <c r="IQC23" i="3" s="1"/>
  <c r="IQD23" i="3" s="1"/>
  <c r="IQE23" i="3" s="1"/>
  <c r="IQF23" i="3" s="1"/>
  <c r="IQG23" i="3" s="1"/>
  <c r="IQH23" i="3" s="1"/>
  <c r="IQI23" i="3" s="1"/>
  <c r="IQJ23" i="3" s="1"/>
  <c r="IQK23" i="3" s="1"/>
  <c r="IQL23" i="3" s="1"/>
  <c r="IQM23" i="3" s="1"/>
  <c r="IQN23" i="3" s="1"/>
  <c r="IQO23" i="3" s="1"/>
  <c r="IQP23" i="3" s="1"/>
  <c r="IQQ23" i="3" s="1"/>
  <c r="IQR23" i="3" s="1"/>
  <c r="IQS23" i="3" s="1"/>
  <c r="IQT23" i="3" s="1"/>
  <c r="IQU23" i="3" s="1"/>
  <c r="IQV23" i="3" s="1"/>
  <c r="IQW23" i="3" s="1"/>
  <c r="IQX23" i="3" s="1"/>
  <c r="IQY23" i="3" s="1"/>
  <c r="IQZ23" i="3" s="1"/>
  <c r="IRA23" i="3" s="1"/>
  <c r="IRB23" i="3" s="1"/>
  <c r="IRC23" i="3" s="1"/>
  <c r="IRD23" i="3" s="1"/>
  <c r="IRE23" i="3" s="1"/>
  <c r="IRF23" i="3" s="1"/>
  <c r="IRG23" i="3" s="1"/>
  <c r="IRH23" i="3" s="1"/>
  <c r="IRI23" i="3" s="1"/>
  <c r="IRJ23" i="3" s="1"/>
  <c r="IRK23" i="3" s="1"/>
  <c r="IRL23" i="3" s="1"/>
  <c r="IRM23" i="3" s="1"/>
  <c r="IRN23" i="3" s="1"/>
  <c r="IRO23" i="3" s="1"/>
  <c r="IRP23" i="3" s="1"/>
  <c r="IRQ23" i="3" s="1"/>
  <c r="IRR23" i="3" s="1"/>
  <c r="IRS23" i="3" s="1"/>
  <c r="IRT23" i="3" s="1"/>
  <c r="IRU23" i="3" s="1"/>
  <c r="IRV23" i="3" s="1"/>
  <c r="IRW23" i="3" s="1"/>
  <c r="IRX23" i="3" s="1"/>
  <c r="IRY23" i="3" s="1"/>
  <c r="IRZ23" i="3" s="1"/>
  <c r="ISA23" i="3" s="1"/>
  <c r="ISB23" i="3" s="1"/>
  <c r="ISC23" i="3" s="1"/>
  <c r="ISD23" i="3" s="1"/>
  <c r="ISE23" i="3" s="1"/>
  <c r="ISF23" i="3" s="1"/>
  <c r="ISG23" i="3" s="1"/>
  <c r="ISH23" i="3" s="1"/>
  <c r="ISI23" i="3" s="1"/>
  <c r="ISJ23" i="3" s="1"/>
  <c r="ISK23" i="3" s="1"/>
  <c r="ISL23" i="3" s="1"/>
  <c r="ISM23" i="3" s="1"/>
  <c r="ISN23" i="3" s="1"/>
  <c r="ISO23" i="3" s="1"/>
  <c r="ISP23" i="3" s="1"/>
  <c r="ISQ23" i="3" s="1"/>
  <c r="ISR23" i="3" s="1"/>
  <c r="ISS23" i="3" s="1"/>
  <c r="IST23" i="3" s="1"/>
  <c r="ISU23" i="3" s="1"/>
  <c r="ISV23" i="3" s="1"/>
  <c r="ISW23" i="3" s="1"/>
  <c r="ISX23" i="3" s="1"/>
  <c r="ISY23" i="3" s="1"/>
  <c r="ISZ23" i="3" s="1"/>
  <c r="ITA23" i="3" s="1"/>
  <c r="ITB23" i="3" s="1"/>
  <c r="ITC23" i="3" s="1"/>
  <c r="ITD23" i="3" s="1"/>
  <c r="ITE23" i="3" s="1"/>
  <c r="ITF23" i="3" s="1"/>
  <c r="ITG23" i="3" s="1"/>
  <c r="ITH23" i="3" s="1"/>
  <c r="ITI23" i="3" s="1"/>
  <c r="ITJ23" i="3" s="1"/>
  <c r="ITK23" i="3" s="1"/>
  <c r="ITL23" i="3" s="1"/>
  <c r="ITM23" i="3" s="1"/>
  <c r="ITN23" i="3" s="1"/>
  <c r="ITO23" i="3" s="1"/>
  <c r="ITP23" i="3" s="1"/>
  <c r="ITQ23" i="3" s="1"/>
  <c r="ITR23" i="3" s="1"/>
  <c r="ITS23" i="3" s="1"/>
  <c r="ITT23" i="3" s="1"/>
  <c r="ITU23" i="3" s="1"/>
  <c r="ITV23" i="3" s="1"/>
  <c r="ITW23" i="3" s="1"/>
  <c r="ITX23" i="3" s="1"/>
  <c r="ITY23" i="3" s="1"/>
  <c r="ITZ23" i="3" s="1"/>
  <c r="IUA23" i="3" s="1"/>
  <c r="IUB23" i="3" s="1"/>
  <c r="IUC23" i="3" s="1"/>
  <c r="IUD23" i="3" s="1"/>
  <c r="IUE23" i="3" s="1"/>
  <c r="IUF23" i="3" s="1"/>
  <c r="IUG23" i="3" s="1"/>
  <c r="IUH23" i="3" s="1"/>
  <c r="IUI23" i="3" s="1"/>
  <c r="IUJ23" i="3" s="1"/>
  <c r="IUK23" i="3" s="1"/>
  <c r="IUL23" i="3" s="1"/>
  <c r="IUM23" i="3" s="1"/>
  <c r="IUN23" i="3" s="1"/>
  <c r="IUO23" i="3" s="1"/>
  <c r="IUP23" i="3" s="1"/>
  <c r="IUQ23" i="3" s="1"/>
  <c r="IUR23" i="3" s="1"/>
  <c r="IUS23" i="3" s="1"/>
  <c r="IUT23" i="3" s="1"/>
  <c r="IUU23" i="3" s="1"/>
  <c r="IUV23" i="3" s="1"/>
  <c r="IUW23" i="3" s="1"/>
  <c r="IUX23" i="3" s="1"/>
  <c r="IUY23" i="3" s="1"/>
  <c r="IUZ23" i="3" s="1"/>
  <c r="IVA23" i="3" s="1"/>
  <c r="IVB23" i="3" s="1"/>
  <c r="IVC23" i="3" s="1"/>
  <c r="IVD23" i="3" s="1"/>
  <c r="IVE23" i="3" s="1"/>
  <c r="IVF23" i="3" s="1"/>
  <c r="IVG23" i="3" s="1"/>
  <c r="IVH23" i="3" s="1"/>
  <c r="IVI23" i="3" s="1"/>
  <c r="IVJ23" i="3" s="1"/>
  <c r="IVK23" i="3" s="1"/>
  <c r="IVL23" i="3" s="1"/>
  <c r="IVM23" i="3" s="1"/>
  <c r="IVN23" i="3" s="1"/>
  <c r="IVO23" i="3" s="1"/>
  <c r="IVP23" i="3" s="1"/>
  <c r="IVQ23" i="3" s="1"/>
  <c r="IVR23" i="3" s="1"/>
  <c r="IVS23" i="3" s="1"/>
  <c r="IVT23" i="3" s="1"/>
  <c r="IVU23" i="3" s="1"/>
  <c r="IVV23" i="3" s="1"/>
  <c r="IVW23" i="3" s="1"/>
  <c r="IVX23" i="3" s="1"/>
  <c r="IVY23" i="3" s="1"/>
  <c r="IVZ23" i="3" s="1"/>
  <c r="IWA23" i="3" s="1"/>
  <c r="IWB23" i="3" s="1"/>
  <c r="IWC23" i="3" s="1"/>
  <c r="IWD23" i="3" s="1"/>
  <c r="IWE23" i="3" s="1"/>
  <c r="IWF23" i="3" s="1"/>
  <c r="IWG23" i="3" s="1"/>
  <c r="IWH23" i="3" s="1"/>
  <c r="IWI23" i="3" s="1"/>
  <c r="IWJ23" i="3" s="1"/>
  <c r="IWK23" i="3" s="1"/>
  <c r="IWL23" i="3" s="1"/>
  <c r="IWM23" i="3" s="1"/>
  <c r="IWN23" i="3" s="1"/>
  <c r="IWO23" i="3" s="1"/>
  <c r="IWP23" i="3" s="1"/>
  <c r="IWQ23" i="3" s="1"/>
  <c r="IWR23" i="3" s="1"/>
  <c r="IWS23" i="3" s="1"/>
  <c r="IWT23" i="3" s="1"/>
  <c r="IWU23" i="3" s="1"/>
  <c r="IWV23" i="3" s="1"/>
  <c r="IWW23" i="3" s="1"/>
  <c r="IWX23" i="3" s="1"/>
  <c r="IWY23" i="3" s="1"/>
  <c r="IWZ23" i="3" s="1"/>
  <c r="IXA23" i="3" s="1"/>
  <c r="IXB23" i="3" s="1"/>
  <c r="IXC23" i="3" s="1"/>
  <c r="IXD23" i="3" s="1"/>
  <c r="IXE23" i="3" s="1"/>
  <c r="IXF23" i="3" s="1"/>
  <c r="IXG23" i="3" s="1"/>
  <c r="IXH23" i="3" s="1"/>
  <c r="IXI23" i="3" s="1"/>
  <c r="IXJ23" i="3" s="1"/>
  <c r="IXK23" i="3" s="1"/>
  <c r="IXL23" i="3" s="1"/>
  <c r="IXM23" i="3" s="1"/>
  <c r="IXN23" i="3" s="1"/>
  <c r="IXO23" i="3" s="1"/>
  <c r="IXP23" i="3" s="1"/>
  <c r="IXQ23" i="3" s="1"/>
  <c r="IXR23" i="3" s="1"/>
  <c r="IXS23" i="3" s="1"/>
  <c r="IXT23" i="3" s="1"/>
  <c r="IXU23" i="3" s="1"/>
  <c r="IXV23" i="3" s="1"/>
  <c r="IXW23" i="3" s="1"/>
  <c r="IXX23" i="3" s="1"/>
  <c r="IXY23" i="3" s="1"/>
  <c r="IXZ23" i="3" s="1"/>
  <c r="IYA23" i="3" s="1"/>
  <c r="IYB23" i="3" s="1"/>
  <c r="IYC23" i="3" s="1"/>
  <c r="IYD23" i="3" s="1"/>
  <c r="IYE23" i="3" s="1"/>
  <c r="IYF23" i="3" s="1"/>
  <c r="IYG23" i="3" s="1"/>
  <c r="IYH23" i="3" s="1"/>
  <c r="IYI23" i="3" s="1"/>
  <c r="IYJ23" i="3" s="1"/>
  <c r="IYK23" i="3" s="1"/>
  <c r="IYL23" i="3" s="1"/>
  <c r="IYM23" i="3" s="1"/>
  <c r="IYN23" i="3" s="1"/>
  <c r="IYO23" i="3" s="1"/>
  <c r="IYP23" i="3" s="1"/>
  <c r="IYQ23" i="3" s="1"/>
  <c r="IYR23" i="3" s="1"/>
  <c r="IYS23" i="3" s="1"/>
  <c r="IYT23" i="3" s="1"/>
  <c r="IYU23" i="3" s="1"/>
  <c r="IYV23" i="3" s="1"/>
  <c r="IYW23" i="3" s="1"/>
  <c r="IYX23" i="3" s="1"/>
  <c r="IYY23" i="3" s="1"/>
  <c r="IYZ23" i="3" s="1"/>
  <c r="IZA23" i="3" s="1"/>
  <c r="IZB23" i="3" s="1"/>
  <c r="IZC23" i="3" s="1"/>
  <c r="IZD23" i="3" s="1"/>
  <c r="IZE23" i="3" s="1"/>
  <c r="IZF23" i="3" s="1"/>
  <c r="IZG23" i="3" s="1"/>
  <c r="IZH23" i="3" s="1"/>
  <c r="IZI23" i="3" s="1"/>
  <c r="IZJ23" i="3" s="1"/>
  <c r="IZK23" i="3" s="1"/>
  <c r="IZL23" i="3" s="1"/>
  <c r="IZM23" i="3" s="1"/>
  <c r="IZN23" i="3" s="1"/>
  <c r="IZO23" i="3" s="1"/>
  <c r="IZP23" i="3" s="1"/>
  <c r="IZQ23" i="3" s="1"/>
  <c r="IZR23" i="3" s="1"/>
  <c r="IZS23" i="3" s="1"/>
  <c r="IZT23" i="3" s="1"/>
  <c r="IZU23" i="3" s="1"/>
  <c r="IZV23" i="3" s="1"/>
  <c r="IZW23" i="3" s="1"/>
  <c r="IZX23" i="3" s="1"/>
  <c r="IZY23" i="3" s="1"/>
  <c r="IZZ23" i="3" s="1"/>
  <c r="JAA23" i="3" s="1"/>
  <c r="JAB23" i="3" s="1"/>
  <c r="JAC23" i="3" s="1"/>
  <c r="JAD23" i="3" s="1"/>
  <c r="JAE23" i="3" s="1"/>
  <c r="JAF23" i="3" s="1"/>
  <c r="JAG23" i="3" s="1"/>
  <c r="JAH23" i="3" s="1"/>
  <c r="JAI23" i="3" s="1"/>
  <c r="JAJ23" i="3" s="1"/>
  <c r="JAK23" i="3" s="1"/>
  <c r="JAL23" i="3" s="1"/>
  <c r="JAM23" i="3" s="1"/>
  <c r="JAN23" i="3" s="1"/>
  <c r="JAO23" i="3" s="1"/>
  <c r="JAP23" i="3" s="1"/>
  <c r="JAQ23" i="3" s="1"/>
  <c r="JAR23" i="3" s="1"/>
  <c r="JAS23" i="3" s="1"/>
  <c r="JAT23" i="3" s="1"/>
  <c r="JAU23" i="3" s="1"/>
  <c r="JAV23" i="3" s="1"/>
  <c r="JAW23" i="3" s="1"/>
  <c r="JAX23" i="3" s="1"/>
  <c r="JAY23" i="3" s="1"/>
  <c r="JAZ23" i="3" s="1"/>
  <c r="JBA23" i="3" s="1"/>
  <c r="JBB23" i="3" s="1"/>
  <c r="JBC23" i="3" s="1"/>
  <c r="JBD23" i="3" s="1"/>
  <c r="JBE23" i="3" s="1"/>
  <c r="JBF23" i="3" s="1"/>
  <c r="JBG23" i="3" s="1"/>
  <c r="JBH23" i="3" s="1"/>
  <c r="JBI23" i="3" s="1"/>
  <c r="JBJ23" i="3" s="1"/>
  <c r="JBK23" i="3" s="1"/>
  <c r="JBL23" i="3" s="1"/>
  <c r="JBM23" i="3" s="1"/>
  <c r="JBN23" i="3" s="1"/>
  <c r="JBO23" i="3" s="1"/>
  <c r="JBP23" i="3" s="1"/>
  <c r="JBQ23" i="3" s="1"/>
  <c r="JBR23" i="3" s="1"/>
  <c r="JBS23" i="3" s="1"/>
  <c r="JBT23" i="3" s="1"/>
  <c r="JBU23" i="3" s="1"/>
  <c r="JBV23" i="3" s="1"/>
  <c r="JBW23" i="3" s="1"/>
  <c r="JBX23" i="3" s="1"/>
  <c r="JBY23" i="3" s="1"/>
  <c r="JBZ23" i="3" s="1"/>
  <c r="JCA23" i="3" s="1"/>
  <c r="JCB23" i="3" s="1"/>
  <c r="JCC23" i="3" s="1"/>
  <c r="JCD23" i="3" s="1"/>
  <c r="JCE23" i="3" s="1"/>
  <c r="JCF23" i="3" s="1"/>
  <c r="JCG23" i="3" s="1"/>
  <c r="JCH23" i="3" s="1"/>
  <c r="JCI23" i="3" s="1"/>
  <c r="JCJ23" i="3" s="1"/>
  <c r="JCK23" i="3" s="1"/>
  <c r="JCL23" i="3" s="1"/>
  <c r="JCM23" i="3" s="1"/>
  <c r="JCN23" i="3" s="1"/>
  <c r="JCO23" i="3" s="1"/>
  <c r="JCP23" i="3" s="1"/>
  <c r="JCQ23" i="3" s="1"/>
  <c r="JCR23" i="3" s="1"/>
  <c r="JCS23" i="3" s="1"/>
  <c r="JCT23" i="3" s="1"/>
  <c r="JCU23" i="3" s="1"/>
  <c r="JCV23" i="3" s="1"/>
  <c r="JCW23" i="3" s="1"/>
  <c r="JCX23" i="3" s="1"/>
  <c r="JCY23" i="3" s="1"/>
  <c r="JCZ23" i="3" s="1"/>
  <c r="JDA23" i="3" s="1"/>
  <c r="JDB23" i="3" s="1"/>
  <c r="JDC23" i="3" s="1"/>
  <c r="JDD23" i="3" s="1"/>
  <c r="JDE23" i="3" s="1"/>
  <c r="JDF23" i="3" s="1"/>
  <c r="JDG23" i="3" s="1"/>
  <c r="JDH23" i="3" s="1"/>
  <c r="JDI23" i="3" s="1"/>
  <c r="JDJ23" i="3" s="1"/>
  <c r="JDK23" i="3" s="1"/>
  <c r="JDL23" i="3" s="1"/>
  <c r="JDM23" i="3" s="1"/>
  <c r="JDN23" i="3" s="1"/>
  <c r="JDO23" i="3" s="1"/>
  <c r="JDP23" i="3" s="1"/>
  <c r="JDQ23" i="3" s="1"/>
  <c r="JDR23" i="3" s="1"/>
  <c r="JDS23" i="3" s="1"/>
  <c r="JDT23" i="3" s="1"/>
  <c r="JDU23" i="3" s="1"/>
  <c r="JDV23" i="3" s="1"/>
  <c r="JDW23" i="3" s="1"/>
  <c r="JDX23" i="3" s="1"/>
  <c r="JDY23" i="3" s="1"/>
  <c r="JDZ23" i="3" s="1"/>
  <c r="JEA23" i="3" s="1"/>
  <c r="JEB23" i="3" s="1"/>
  <c r="JEC23" i="3" s="1"/>
  <c r="JED23" i="3" s="1"/>
  <c r="JEE23" i="3" s="1"/>
  <c r="JEF23" i="3" s="1"/>
  <c r="JEG23" i="3" s="1"/>
  <c r="JEH23" i="3" s="1"/>
  <c r="JEI23" i="3" s="1"/>
  <c r="JEJ23" i="3" s="1"/>
  <c r="JEK23" i="3" s="1"/>
  <c r="JEL23" i="3" s="1"/>
  <c r="JEM23" i="3" s="1"/>
  <c r="JEN23" i="3" s="1"/>
  <c r="JEO23" i="3" s="1"/>
  <c r="JEP23" i="3" s="1"/>
  <c r="JEQ23" i="3" s="1"/>
  <c r="JER23" i="3" s="1"/>
  <c r="JES23" i="3" s="1"/>
  <c r="JET23" i="3" s="1"/>
  <c r="JEU23" i="3" s="1"/>
  <c r="JEV23" i="3" s="1"/>
  <c r="JEW23" i="3" s="1"/>
  <c r="JEX23" i="3" s="1"/>
  <c r="JEY23" i="3" s="1"/>
  <c r="JEZ23" i="3" s="1"/>
  <c r="JFA23" i="3" s="1"/>
  <c r="JFB23" i="3" s="1"/>
  <c r="JFC23" i="3" s="1"/>
  <c r="JFD23" i="3" s="1"/>
  <c r="JFE23" i="3" s="1"/>
  <c r="JFF23" i="3" s="1"/>
  <c r="JFG23" i="3" s="1"/>
  <c r="JFH23" i="3" s="1"/>
  <c r="JFI23" i="3" s="1"/>
  <c r="JFJ23" i="3" s="1"/>
  <c r="JFK23" i="3" s="1"/>
  <c r="JFL23" i="3" s="1"/>
  <c r="JFM23" i="3" s="1"/>
  <c r="JFN23" i="3" s="1"/>
  <c r="JFO23" i="3" s="1"/>
  <c r="JFP23" i="3" s="1"/>
  <c r="JFQ23" i="3" s="1"/>
  <c r="JFR23" i="3" s="1"/>
  <c r="JFS23" i="3" s="1"/>
  <c r="JFT23" i="3" s="1"/>
  <c r="JFU23" i="3" s="1"/>
  <c r="JFV23" i="3" s="1"/>
  <c r="JFW23" i="3" s="1"/>
  <c r="JFX23" i="3" s="1"/>
  <c r="JFY23" i="3" s="1"/>
  <c r="JFZ23" i="3" s="1"/>
  <c r="JGA23" i="3" s="1"/>
  <c r="JGB23" i="3" s="1"/>
  <c r="JGC23" i="3" s="1"/>
  <c r="JGD23" i="3" s="1"/>
  <c r="JGE23" i="3" s="1"/>
  <c r="JGF23" i="3" s="1"/>
  <c r="JGG23" i="3" s="1"/>
  <c r="JGH23" i="3" s="1"/>
  <c r="JGI23" i="3" s="1"/>
  <c r="JGJ23" i="3" s="1"/>
  <c r="JGK23" i="3" s="1"/>
  <c r="JGL23" i="3" s="1"/>
  <c r="JGM23" i="3" s="1"/>
  <c r="JGN23" i="3" s="1"/>
  <c r="JGO23" i="3" s="1"/>
  <c r="JGP23" i="3" s="1"/>
  <c r="JGQ23" i="3" s="1"/>
  <c r="JGR23" i="3" s="1"/>
  <c r="JGS23" i="3" s="1"/>
  <c r="JGT23" i="3" s="1"/>
  <c r="JGU23" i="3" s="1"/>
  <c r="JGV23" i="3" s="1"/>
  <c r="JGW23" i="3" s="1"/>
  <c r="JGX23" i="3" s="1"/>
  <c r="JGY23" i="3" s="1"/>
  <c r="JGZ23" i="3" s="1"/>
  <c r="JHA23" i="3" s="1"/>
  <c r="JHB23" i="3" s="1"/>
  <c r="JHC23" i="3" s="1"/>
  <c r="JHD23" i="3" s="1"/>
  <c r="JHE23" i="3" s="1"/>
  <c r="JHF23" i="3" s="1"/>
  <c r="JHG23" i="3" s="1"/>
  <c r="JHH23" i="3" s="1"/>
  <c r="JHI23" i="3" s="1"/>
  <c r="JHJ23" i="3" s="1"/>
  <c r="JHK23" i="3" s="1"/>
  <c r="JHL23" i="3" s="1"/>
  <c r="JHM23" i="3" s="1"/>
  <c r="JHN23" i="3" s="1"/>
  <c r="JHO23" i="3" s="1"/>
  <c r="JHP23" i="3" s="1"/>
  <c r="JHQ23" i="3" s="1"/>
  <c r="JHR23" i="3" s="1"/>
  <c r="JHS23" i="3" s="1"/>
  <c r="JHT23" i="3" s="1"/>
  <c r="JHU23" i="3" s="1"/>
  <c r="JHV23" i="3" s="1"/>
  <c r="JHW23" i="3" s="1"/>
  <c r="JHX23" i="3" s="1"/>
  <c r="JHY23" i="3" s="1"/>
  <c r="JHZ23" i="3" s="1"/>
  <c r="JIA23" i="3" s="1"/>
  <c r="JIB23" i="3" s="1"/>
  <c r="JIC23" i="3" s="1"/>
  <c r="JID23" i="3" s="1"/>
  <c r="JIE23" i="3" s="1"/>
  <c r="JIF23" i="3" s="1"/>
  <c r="JIG23" i="3" s="1"/>
  <c r="JIH23" i="3" s="1"/>
  <c r="JII23" i="3" s="1"/>
  <c r="JIJ23" i="3" s="1"/>
  <c r="JIK23" i="3" s="1"/>
  <c r="JIL23" i="3" s="1"/>
  <c r="JIM23" i="3" s="1"/>
  <c r="JIN23" i="3" s="1"/>
  <c r="JIO23" i="3" s="1"/>
  <c r="JIP23" i="3" s="1"/>
  <c r="JIQ23" i="3" s="1"/>
  <c r="JIR23" i="3" s="1"/>
  <c r="JIS23" i="3" s="1"/>
  <c r="JIT23" i="3" s="1"/>
  <c r="JIU23" i="3" s="1"/>
  <c r="JIV23" i="3" s="1"/>
  <c r="JIW23" i="3" s="1"/>
  <c r="JIX23" i="3" s="1"/>
  <c r="JIY23" i="3" s="1"/>
  <c r="JIZ23" i="3" s="1"/>
  <c r="JJA23" i="3" s="1"/>
  <c r="JJB23" i="3" s="1"/>
  <c r="JJC23" i="3" s="1"/>
  <c r="JJD23" i="3" s="1"/>
  <c r="JJE23" i="3" s="1"/>
  <c r="JJF23" i="3" s="1"/>
  <c r="JJG23" i="3" s="1"/>
  <c r="JJH23" i="3" s="1"/>
  <c r="JJI23" i="3" s="1"/>
  <c r="JJJ23" i="3" s="1"/>
  <c r="JJK23" i="3" s="1"/>
  <c r="JJL23" i="3" s="1"/>
  <c r="JJM23" i="3" s="1"/>
  <c r="JJN23" i="3" s="1"/>
  <c r="JJO23" i="3" s="1"/>
  <c r="JJP23" i="3" s="1"/>
  <c r="JJQ23" i="3" s="1"/>
  <c r="JJR23" i="3" s="1"/>
  <c r="JJS23" i="3" s="1"/>
  <c r="JJT23" i="3" s="1"/>
  <c r="JJU23" i="3" s="1"/>
  <c r="JJV23" i="3" s="1"/>
  <c r="JJW23" i="3" s="1"/>
  <c r="JJX23" i="3" s="1"/>
  <c r="JJY23" i="3" s="1"/>
  <c r="JJZ23" i="3" s="1"/>
  <c r="JKA23" i="3" s="1"/>
  <c r="JKB23" i="3" s="1"/>
  <c r="JKC23" i="3" s="1"/>
  <c r="JKD23" i="3" s="1"/>
  <c r="JKE23" i="3" s="1"/>
  <c r="JKF23" i="3" s="1"/>
  <c r="JKG23" i="3" s="1"/>
  <c r="JKH23" i="3" s="1"/>
  <c r="JKI23" i="3" s="1"/>
  <c r="JKJ23" i="3" s="1"/>
  <c r="JKK23" i="3" s="1"/>
  <c r="JKL23" i="3" s="1"/>
  <c r="JKM23" i="3" s="1"/>
  <c r="JKN23" i="3" s="1"/>
  <c r="JKO23" i="3" s="1"/>
  <c r="JKP23" i="3" s="1"/>
  <c r="JKQ23" i="3" s="1"/>
  <c r="JKR23" i="3" s="1"/>
  <c r="JKS23" i="3" s="1"/>
  <c r="JKT23" i="3" s="1"/>
  <c r="JKU23" i="3" s="1"/>
  <c r="JKV23" i="3" s="1"/>
  <c r="JKW23" i="3" s="1"/>
  <c r="JKX23" i="3" s="1"/>
  <c r="JKY23" i="3" s="1"/>
  <c r="JKZ23" i="3" s="1"/>
  <c r="JLA23" i="3" s="1"/>
  <c r="JLB23" i="3" s="1"/>
  <c r="JLC23" i="3" s="1"/>
  <c r="JLD23" i="3" s="1"/>
  <c r="JLE23" i="3" s="1"/>
  <c r="JLF23" i="3" s="1"/>
  <c r="JLG23" i="3" s="1"/>
  <c r="JLH23" i="3" s="1"/>
  <c r="JLI23" i="3" s="1"/>
  <c r="JLJ23" i="3" s="1"/>
  <c r="JLK23" i="3" s="1"/>
  <c r="JLL23" i="3" s="1"/>
  <c r="JLM23" i="3" s="1"/>
  <c r="JLN23" i="3" s="1"/>
  <c r="JLO23" i="3" s="1"/>
  <c r="JLP23" i="3" s="1"/>
  <c r="JLQ23" i="3" s="1"/>
  <c r="JLR23" i="3" s="1"/>
  <c r="JLS23" i="3" s="1"/>
  <c r="JLT23" i="3" s="1"/>
  <c r="JLU23" i="3" s="1"/>
  <c r="JLV23" i="3" s="1"/>
  <c r="JLW23" i="3" s="1"/>
  <c r="JLX23" i="3" s="1"/>
  <c r="JLY23" i="3" s="1"/>
  <c r="JLZ23" i="3" s="1"/>
  <c r="JMA23" i="3" s="1"/>
  <c r="JMB23" i="3" s="1"/>
  <c r="JMC23" i="3" s="1"/>
  <c r="JMD23" i="3" s="1"/>
  <c r="JME23" i="3" s="1"/>
  <c r="JMF23" i="3" s="1"/>
  <c r="JMG23" i="3" s="1"/>
  <c r="JMH23" i="3" s="1"/>
  <c r="JMI23" i="3" s="1"/>
  <c r="JMJ23" i="3" s="1"/>
  <c r="JMK23" i="3" s="1"/>
  <c r="JML23" i="3" s="1"/>
  <c r="JMM23" i="3" s="1"/>
  <c r="JMN23" i="3" s="1"/>
  <c r="JMO23" i="3" s="1"/>
  <c r="JMP23" i="3" s="1"/>
  <c r="JMQ23" i="3" s="1"/>
  <c r="JMR23" i="3" s="1"/>
  <c r="JMS23" i="3" s="1"/>
  <c r="JMT23" i="3" s="1"/>
  <c r="JMU23" i="3" s="1"/>
  <c r="JMV23" i="3" s="1"/>
  <c r="JMW23" i="3" s="1"/>
  <c r="JMX23" i="3" s="1"/>
  <c r="JMY23" i="3" s="1"/>
  <c r="JMZ23" i="3" s="1"/>
  <c r="JNA23" i="3" s="1"/>
  <c r="JNB23" i="3" s="1"/>
  <c r="JNC23" i="3" s="1"/>
  <c r="JND23" i="3" s="1"/>
  <c r="JNE23" i="3" s="1"/>
  <c r="JNF23" i="3" s="1"/>
  <c r="JNG23" i="3" s="1"/>
  <c r="JNH23" i="3" s="1"/>
  <c r="JNI23" i="3" s="1"/>
  <c r="JNJ23" i="3" s="1"/>
  <c r="JNK23" i="3" s="1"/>
  <c r="JNL23" i="3" s="1"/>
  <c r="JNM23" i="3" s="1"/>
  <c r="JNN23" i="3" s="1"/>
  <c r="JNO23" i="3" s="1"/>
  <c r="JNP23" i="3" s="1"/>
  <c r="JNQ23" i="3" s="1"/>
  <c r="JNR23" i="3" s="1"/>
  <c r="JNS23" i="3" s="1"/>
  <c r="JNT23" i="3" s="1"/>
  <c r="JNU23" i="3" s="1"/>
  <c r="JNV23" i="3" s="1"/>
  <c r="JNW23" i="3" s="1"/>
  <c r="JNX23" i="3" s="1"/>
  <c r="JNY23" i="3" s="1"/>
  <c r="JNZ23" i="3" s="1"/>
  <c r="JOA23" i="3" s="1"/>
  <c r="JOB23" i="3" s="1"/>
  <c r="JOC23" i="3" s="1"/>
  <c r="JOD23" i="3" s="1"/>
  <c r="JOE23" i="3" s="1"/>
  <c r="JOF23" i="3" s="1"/>
  <c r="JOG23" i="3" s="1"/>
  <c r="JOH23" i="3" s="1"/>
  <c r="JOI23" i="3" s="1"/>
  <c r="JOJ23" i="3" s="1"/>
  <c r="JOK23" i="3" s="1"/>
  <c r="JOL23" i="3" s="1"/>
  <c r="JOM23" i="3" s="1"/>
  <c r="JON23" i="3" s="1"/>
  <c r="JOO23" i="3" s="1"/>
  <c r="JOP23" i="3" s="1"/>
  <c r="JOQ23" i="3" s="1"/>
  <c r="JOR23" i="3" s="1"/>
  <c r="JOS23" i="3" s="1"/>
  <c r="JOT23" i="3" s="1"/>
  <c r="JOU23" i="3" s="1"/>
  <c r="JOV23" i="3" s="1"/>
  <c r="JOW23" i="3" s="1"/>
  <c r="JOX23" i="3" s="1"/>
  <c r="JOY23" i="3" s="1"/>
  <c r="JOZ23" i="3" s="1"/>
  <c r="JPA23" i="3" s="1"/>
  <c r="JPB23" i="3" s="1"/>
  <c r="JPC23" i="3" s="1"/>
  <c r="JPD23" i="3" s="1"/>
  <c r="JPE23" i="3" s="1"/>
  <c r="JPF23" i="3" s="1"/>
  <c r="JPG23" i="3" s="1"/>
  <c r="JPH23" i="3" s="1"/>
  <c r="JPI23" i="3" s="1"/>
  <c r="JPJ23" i="3" s="1"/>
  <c r="JPK23" i="3" s="1"/>
  <c r="JPL23" i="3" s="1"/>
  <c r="JPM23" i="3" s="1"/>
  <c r="JPN23" i="3" s="1"/>
  <c r="JPO23" i="3" s="1"/>
  <c r="JPP23" i="3" s="1"/>
  <c r="JPQ23" i="3" s="1"/>
  <c r="JPR23" i="3" s="1"/>
  <c r="JPS23" i="3" s="1"/>
  <c r="JPT23" i="3" s="1"/>
  <c r="JPU23" i="3" s="1"/>
  <c r="JPV23" i="3" s="1"/>
  <c r="JPW23" i="3" s="1"/>
  <c r="JPX23" i="3" s="1"/>
  <c r="JPY23" i="3" s="1"/>
  <c r="JPZ23" i="3" s="1"/>
  <c r="JQA23" i="3" s="1"/>
  <c r="JQB23" i="3" s="1"/>
  <c r="JQC23" i="3" s="1"/>
  <c r="JQD23" i="3" s="1"/>
  <c r="JQE23" i="3" s="1"/>
  <c r="JQF23" i="3" s="1"/>
  <c r="JQG23" i="3" s="1"/>
  <c r="JQH23" i="3" s="1"/>
  <c r="JQI23" i="3" s="1"/>
  <c r="JQJ23" i="3" s="1"/>
  <c r="JQK23" i="3" s="1"/>
  <c r="JQL23" i="3" s="1"/>
  <c r="JQM23" i="3" s="1"/>
  <c r="JQN23" i="3" s="1"/>
  <c r="JQO23" i="3" s="1"/>
  <c r="JQP23" i="3" s="1"/>
  <c r="JQQ23" i="3" s="1"/>
  <c r="JQR23" i="3" s="1"/>
  <c r="JQS23" i="3" s="1"/>
  <c r="JQT23" i="3" s="1"/>
  <c r="JQU23" i="3" s="1"/>
  <c r="JQV23" i="3" s="1"/>
  <c r="JQW23" i="3" s="1"/>
  <c r="JQX23" i="3" s="1"/>
  <c r="JQY23" i="3" s="1"/>
  <c r="JQZ23" i="3" s="1"/>
  <c r="JRA23" i="3" s="1"/>
  <c r="JRB23" i="3" s="1"/>
  <c r="JRC23" i="3" s="1"/>
  <c r="JRD23" i="3" s="1"/>
  <c r="JRE23" i="3" s="1"/>
  <c r="JRF23" i="3" s="1"/>
  <c r="JRG23" i="3" s="1"/>
  <c r="JRH23" i="3" s="1"/>
  <c r="JRI23" i="3" s="1"/>
  <c r="JRJ23" i="3" s="1"/>
  <c r="JRK23" i="3" s="1"/>
  <c r="JRL23" i="3" s="1"/>
  <c r="JRM23" i="3" s="1"/>
  <c r="JRN23" i="3" s="1"/>
  <c r="JRO23" i="3" s="1"/>
  <c r="JRP23" i="3" s="1"/>
  <c r="JRQ23" i="3" s="1"/>
  <c r="JRR23" i="3" s="1"/>
  <c r="JRS23" i="3" s="1"/>
  <c r="JRT23" i="3" s="1"/>
  <c r="JRU23" i="3" s="1"/>
  <c r="JRV23" i="3" s="1"/>
  <c r="JRW23" i="3" s="1"/>
  <c r="JRX23" i="3" s="1"/>
  <c r="JRY23" i="3" s="1"/>
  <c r="JRZ23" i="3" s="1"/>
  <c r="JSA23" i="3" s="1"/>
  <c r="JSB23" i="3" s="1"/>
  <c r="JSC23" i="3" s="1"/>
  <c r="JSD23" i="3" s="1"/>
  <c r="JSE23" i="3" s="1"/>
  <c r="JSF23" i="3" s="1"/>
  <c r="JSG23" i="3" s="1"/>
  <c r="JSH23" i="3" s="1"/>
  <c r="JSI23" i="3" s="1"/>
  <c r="JSJ23" i="3" s="1"/>
  <c r="JSK23" i="3" s="1"/>
  <c r="JSL23" i="3" s="1"/>
  <c r="JSM23" i="3" s="1"/>
  <c r="JSN23" i="3" s="1"/>
  <c r="JSO23" i="3" s="1"/>
  <c r="JSP23" i="3" s="1"/>
  <c r="JSQ23" i="3" s="1"/>
  <c r="JSR23" i="3" s="1"/>
  <c r="JSS23" i="3" s="1"/>
  <c r="JST23" i="3" s="1"/>
  <c r="JSU23" i="3" s="1"/>
  <c r="JSV23" i="3" s="1"/>
  <c r="JSW23" i="3" s="1"/>
  <c r="JSX23" i="3" s="1"/>
  <c r="JSY23" i="3" s="1"/>
  <c r="JSZ23" i="3" s="1"/>
  <c r="JTA23" i="3" s="1"/>
  <c r="JTB23" i="3" s="1"/>
  <c r="JTC23" i="3" s="1"/>
  <c r="JTD23" i="3" s="1"/>
  <c r="JTE23" i="3" s="1"/>
  <c r="JTF23" i="3" s="1"/>
  <c r="JTG23" i="3" s="1"/>
  <c r="JTH23" i="3" s="1"/>
  <c r="JTI23" i="3" s="1"/>
  <c r="JTJ23" i="3" s="1"/>
  <c r="JTK23" i="3" s="1"/>
  <c r="JTL23" i="3" s="1"/>
  <c r="JTM23" i="3" s="1"/>
  <c r="JTN23" i="3" s="1"/>
  <c r="JTO23" i="3" s="1"/>
  <c r="JTP23" i="3" s="1"/>
  <c r="JTQ23" i="3" s="1"/>
  <c r="JTR23" i="3" s="1"/>
  <c r="JTS23" i="3" s="1"/>
  <c r="JTT23" i="3" s="1"/>
  <c r="JTU23" i="3" s="1"/>
  <c r="JTV23" i="3" s="1"/>
  <c r="JTW23" i="3" s="1"/>
  <c r="JTX23" i="3" s="1"/>
  <c r="JTY23" i="3" s="1"/>
  <c r="JTZ23" i="3" s="1"/>
  <c r="JUA23" i="3" s="1"/>
  <c r="JUB23" i="3" s="1"/>
  <c r="JUC23" i="3" s="1"/>
  <c r="JUD23" i="3" s="1"/>
  <c r="JUE23" i="3" s="1"/>
  <c r="JUF23" i="3" s="1"/>
  <c r="JUG23" i="3" s="1"/>
  <c r="JUH23" i="3" s="1"/>
  <c r="JUI23" i="3" s="1"/>
  <c r="JUJ23" i="3" s="1"/>
  <c r="JUK23" i="3" s="1"/>
  <c r="JUL23" i="3" s="1"/>
  <c r="JUM23" i="3" s="1"/>
  <c r="JUN23" i="3" s="1"/>
  <c r="JUO23" i="3" s="1"/>
  <c r="JUP23" i="3" s="1"/>
  <c r="JUQ23" i="3" s="1"/>
  <c r="JUR23" i="3" s="1"/>
  <c r="JUS23" i="3" s="1"/>
  <c r="JUT23" i="3" s="1"/>
  <c r="JUU23" i="3" s="1"/>
  <c r="JUV23" i="3" s="1"/>
  <c r="JUW23" i="3" s="1"/>
  <c r="JUX23" i="3" s="1"/>
  <c r="JUY23" i="3" s="1"/>
  <c r="JUZ23" i="3" s="1"/>
  <c r="JVA23" i="3" s="1"/>
  <c r="JVB23" i="3" s="1"/>
  <c r="JVC23" i="3" s="1"/>
  <c r="JVD23" i="3" s="1"/>
  <c r="JVE23" i="3" s="1"/>
  <c r="JVF23" i="3" s="1"/>
  <c r="JVG23" i="3" s="1"/>
  <c r="JVH23" i="3" s="1"/>
  <c r="JVI23" i="3" s="1"/>
  <c r="JVJ23" i="3" s="1"/>
  <c r="JVK23" i="3" s="1"/>
  <c r="JVL23" i="3" s="1"/>
  <c r="JVM23" i="3" s="1"/>
  <c r="JVN23" i="3" s="1"/>
  <c r="JVO23" i="3" s="1"/>
  <c r="JVP23" i="3" s="1"/>
  <c r="JVQ23" i="3" s="1"/>
  <c r="JVR23" i="3" s="1"/>
  <c r="JVS23" i="3" s="1"/>
  <c r="JVT23" i="3" s="1"/>
  <c r="JVU23" i="3" s="1"/>
  <c r="JVV23" i="3" s="1"/>
  <c r="JVW23" i="3" s="1"/>
  <c r="JVX23" i="3" s="1"/>
  <c r="JVY23" i="3" s="1"/>
  <c r="JVZ23" i="3" s="1"/>
  <c r="JWA23" i="3" s="1"/>
  <c r="JWB23" i="3" s="1"/>
  <c r="JWC23" i="3" s="1"/>
  <c r="JWD23" i="3" s="1"/>
  <c r="JWE23" i="3" s="1"/>
  <c r="JWF23" i="3" s="1"/>
  <c r="JWG23" i="3" s="1"/>
  <c r="JWH23" i="3" s="1"/>
  <c r="JWI23" i="3" s="1"/>
  <c r="JWJ23" i="3" s="1"/>
  <c r="JWK23" i="3" s="1"/>
  <c r="JWL23" i="3" s="1"/>
  <c r="JWM23" i="3" s="1"/>
  <c r="JWN23" i="3" s="1"/>
  <c r="JWO23" i="3" s="1"/>
  <c r="JWP23" i="3" s="1"/>
  <c r="JWQ23" i="3" s="1"/>
  <c r="JWR23" i="3" s="1"/>
  <c r="JWS23" i="3" s="1"/>
  <c r="JWT23" i="3" s="1"/>
  <c r="JWU23" i="3" s="1"/>
  <c r="JWV23" i="3" s="1"/>
  <c r="JWW23" i="3" s="1"/>
  <c r="JWX23" i="3" s="1"/>
  <c r="JWY23" i="3" s="1"/>
  <c r="JWZ23" i="3" s="1"/>
  <c r="JXA23" i="3" s="1"/>
  <c r="JXB23" i="3" s="1"/>
  <c r="JXC23" i="3" s="1"/>
  <c r="JXD23" i="3" s="1"/>
  <c r="JXE23" i="3" s="1"/>
  <c r="JXF23" i="3" s="1"/>
  <c r="JXG23" i="3" s="1"/>
  <c r="JXH23" i="3" s="1"/>
  <c r="JXI23" i="3" s="1"/>
  <c r="JXJ23" i="3" s="1"/>
  <c r="JXK23" i="3" s="1"/>
  <c r="JXL23" i="3" s="1"/>
  <c r="JXM23" i="3" s="1"/>
  <c r="JXN23" i="3" s="1"/>
  <c r="JXO23" i="3" s="1"/>
  <c r="JXP23" i="3" s="1"/>
  <c r="JXQ23" i="3" s="1"/>
  <c r="JXR23" i="3" s="1"/>
  <c r="JXS23" i="3" s="1"/>
  <c r="JXT23" i="3" s="1"/>
  <c r="JXU23" i="3" s="1"/>
  <c r="JXV23" i="3" s="1"/>
  <c r="JXW23" i="3" s="1"/>
  <c r="JXX23" i="3" s="1"/>
  <c r="JXY23" i="3" s="1"/>
  <c r="JXZ23" i="3" s="1"/>
  <c r="JYA23" i="3" s="1"/>
  <c r="JYB23" i="3" s="1"/>
  <c r="JYC23" i="3" s="1"/>
  <c r="JYD23" i="3" s="1"/>
  <c r="JYE23" i="3" s="1"/>
  <c r="JYF23" i="3" s="1"/>
  <c r="JYG23" i="3" s="1"/>
  <c r="JYH23" i="3" s="1"/>
  <c r="JYI23" i="3" s="1"/>
  <c r="JYJ23" i="3" s="1"/>
  <c r="JYK23" i="3" s="1"/>
  <c r="JYL23" i="3" s="1"/>
  <c r="JYM23" i="3" s="1"/>
  <c r="JYN23" i="3" s="1"/>
  <c r="JYO23" i="3" s="1"/>
  <c r="JYP23" i="3" s="1"/>
  <c r="JYQ23" i="3" s="1"/>
  <c r="JYR23" i="3" s="1"/>
  <c r="JYS23" i="3" s="1"/>
  <c r="JYT23" i="3" s="1"/>
  <c r="JYU23" i="3" s="1"/>
  <c r="JYV23" i="3" s="1"/>
  <c r="JYW23" i="3" s="1"/>
  <c r="JYX23" i="3" s="1"/>
  <c r="JYY23" i="3" s="1"/>
  <c r="JYZ23" i="3" s="1"/>
  <c r="JZA23" i="3" s="1"/>
  <c r="JZB23" i="3" s="1"/>
  <c r="JZC23" i="3" s="1"/>
  <c r="JZD23" i="3" s="1"/>
  <c r="JZE23" i="3" s="1"/>
  <c r="JZF23" i="3" s="1"/>
  <c r="JZG23" i="3" s="1"/>
  <c r="JZH23" i="3" s="1"/>
  <c r="JZI23" i="3" s="1"/>
  <c r="JZJ23" i="3" s="1"/>
  <c r="JZK23" i="3" s="1"/>
  <c r="JZL23" i="3" s="1"/>
  <c r="JZM23" i="3" s="1"/>
  <c r="JZN23" i="3" s="1"/>
  <c r="JZO23" i="3" s="1"/>
  <c r="JZP23" i="3" s="1"/>
  <c r="JZQ23" i="3" s="1"/>
  <c r="JZR23" i="3" s="1"/>
  <c r="JZS23" i="3" s="1"/>
  <c r="JZT23" i="3" s="1"/>
  <c r="JZU23" i="3" s="1"/>
  <c r="JZV23" i="3" s="1"/>
  <c r="JZW23" i="3" s="1"/>
  <c r="JZX23" i="3" s="1"/>
  <c r="JZY23" i="3" s="1"/>
  <c r="JZZ23" i="3" s="1"/>
  <c r="KAA23" i="3" s="1"/>
  <c r="KAB23" i="3" s="1"/>
  <c r="KAC23" i="3" s="1"/>
  <c r="KAD23" i="3" s="1"/>
  <c r="KAE23" i="3" s="1"/>
  <c r="KAF23" i="3" s="1"/>
  <c r="KAG23" i="3" s="1"/>
  <c r="KAH23" i="3" s="1"/>
  <c r="KAI23" i="3" s="1"/>
  <c r="KAJ23" i="3" s="1"/>
  <c r="KAK23" i="3" s="1"/>
  <c r="KAL23" i="3" s="1"/>
  <c r="KAM23" i="3" s="1"/>
  <c r="KAN23" i="3" s="1"/>
  <c r="KAO23" i="3" s="1"/>
  <c r="KAP23" i="3" s="1"/>
  <c r="KAQ23" i="3" s="1"/>
  <c r="KAR23" i="3" s="1"/>
  <c r="KAS23" i="3" s="1"/>
  <c r="KAT23" i="3" s="1"/>
  <c r="KAU23" i="3" s="1"/>
  <c r="KAV23" i="3" s="1"/>
  <c r="KAW23" i="3" s="1"/>
  <c r="KAX23" i="3" s="1"/>
  <c r="KAY23" i="3" s="1"/>
  <c r="KAZ23" i="3" s="1"/>
  <c r="KBA23" i="3" s="1"/>
  <c r="KBB23" i="3" s="1"/>
  <c r="KBC23" i="3" s="1"/>
  <c r="KBD23" i="3" s="1"/>
  <c r="KBE23" i="3" s="1"/>
  <c r="KBF23" i="3" s="1"/>
  <c r="KBG23" i="3" s="1"/>
  <c r="KBH23" i="3" s="1"/>
  <c r="KBI23" i="3" s="1"/>
  <c r="KBJ23" i="3" s="1"/>
  <c r="KBK23" i="3" s="1"/>
  <c r="KBL23" i="3" s="1"/>
  <c r="KBM23" i="3" s="1"/>
  <c r="KBN23" i="3" s="1"/>
  <c r="KBO23" i="3" s="1"/>
  <c r="KBP23" i="3" s="1"/>
  <c r="KBQ23" i="3" s="1"/>
  <c r="KBR23" i="3" s="1"/>
  <c r="KBS23" i="3" s="1"/>
  <c r="KBT23" i="3" s="1"/>
  <c r="KBU23" i="3" s="1"/>
  <c r="KBV23" i="3" s="1"/>
  <c r="KBW23" i="3" s="1"/>
  <c r="KBX23" i="3" s="1"/>
  <c r="KBY23" i="3" s="1"/>
  <c r="KBZ23" i="3" s="1"/>
  <c r="KCA23" i="3" s="1"/>
  <c r="KCB23" i="3" s="1"/>
  <c r="KCC23" i="3" s="1"/>
  <c r="KCD23" i="3" s="1"/>
  <c r="KCE23" i="3" s="1"/>
  <c r="KCF23" i="3" s="1"/>
  <c r="KCG23" i="3" s="1"/>
  <c r="KCH23" i="3" s="1"/>
  <c r="KCI23" i="3" s="1"/>
  <c r="KCJ23" i="3" s="1"/>
  <c r="KCK23" i="3" s="1"/>
  <c r="KCL23" i="3" s="1"/>
  <c r="KCM23" i="3" s="1"/>
  <c r="KCN23" i="3" s="1"/>
  <c r="KCO23" i="3" s="1"/>
  <c r="KCP23" i="3" s="1"/>
  <c r="KCQ23" i="3" s="1"/>
  <c r="KCR23" i="3" s="1"/>
  <c r="KCS23" i="3" s="1"/>
  <c r="KCT23" i="3" s="1"/>
  <c r="KCU23" i="3" s="1"/>
  <c r="KCV23" i="3" s="1"/>
  <c r="KCW23" i="3" s="1"/>
  <c r="KCX23" i="3" s="1"/>
  <c r="KCY23" i="3" s="1"/>
  <c r="KCZ23" i="3" s="1"/>
  <c r="KDA23" i="3" s="1"/>
  <c r="KDB23" i="3" s="1"/>
  <c r="KDC23" i="3" s="1"/>
  <c r="KDD23" i="3" s="1"/>
  <c r="KDE23" i="3" s="1"/>
  <c r="KDF23" i="3" s="1"/>
  <c r="KDG23" i="3" s="1"/>
  <c r="KDH23" i="3" s="1"/>
  <c r="KDI23" i="3" s="1"/>
  <c r="KDJ23" i="3" s="1"/>
  <c r="KDK23" i="3" s="1"/>
  <c r="KDL23" i="3" s="1"/>
  <c r="KDM23" i="3" s="1"/>
  <c r="KDN23" i="3" s="1"/>
  <c r="KDO23" i="3" s="1"/>
  <c r="KDP23" i="3" s="1"/>
  <c r="KDQ23" i="3" s="1"/>
  <c r="KDR23" i="3" s="1"/>
  <c r="KDS23" i="3" s="1"/>
  <c r="KDT23" i="3" s="1"/>
  <c r="KDU23" i="3" s="1"/>
  <c r="KDV23" i="3" s="1"/>
  <c r="KDW23" i="3" s="1"/>
  <c r="KDX23" i="3" s="1"/>
  <c r="KDY23" i="3" s="1"/>
  <c r="KDZ23" i="3" s="1"/>
  <c r="KEA23" i="3" s="1"/>
  <c r="KEB23" i="3" s="1"/>
  <c r="KEC23" i="3" s="1"/>
  <c r="KED23" i="3" s="1"/>
  <c r="KEE23" i="3" s="1"/>
  <c r="KEF23" i="3" s="1"/>
  <c r="KEG23" i="3" s="1"/>
  <c r="KEH23" i="3" s="1"/>
  <c r="KEI23" i="3" s="1"/>
  <c r="KEJ23" i="3" s="1"/>
  <c r="KEK23" i="3" s="1"/>
  <c r="KEL23" i="3" s="1"/>
  <c r="KEM23" i="3" s="1"/>
  <c r="KEN23" i="3" s="1"/>
  <c r="KEO23" i="3" s="1"/>
  <c r="KEP23" i="3" s="1"/>
  <c r="KEQ23" i="3" s="1"/>
  <c r="KER23" i="3" s="1"/>
  <c r="KES23" i="3" s="1"/>
  <c r="KET23" i="3" s="1"/>
  <c r="KEU23" i="3" s="1"/>
  <c r="KEV23" i="3" s="1"/>
  <c r="KEW23" i="3" s="1"/>
  <c r="KEX23" i="3" s="1"/>
  <c r="KEY23" i="3" s="1"/>
  <c r="KEZ23" i="3" s="1"/>
  <c r="KFA23" i="3" s="1"/>
  <c r="KFB23" i="3" s="1"/>
  <c r="KFC23" i="3" s="1"/>
  <c r="KFD23" i="3" s="1"/>
  <c r="KFE23" i="3" s="1"/>
  <c r="KFF23" i="3" s="1"/>
  <c r="KFG23" i="3" s="1"/>
  <c r="KFH23" i="3" s="1"/>
  <c r="KFI23" i="3" s="1"/>
  <c r="KFJ23" i="3" s="1"/>
  <c r="KFK23" i="3" s="1"/>
  <c r="KFL23" i="3" s="1"/>
  <c r="KFM23" i="3" s="1"/>
  <c r="KFN23" i="3" s="1"/>
  <c r="KFO23" i="3" s="1"/>
  <c r="KFP23" i="3" s="1"/>
  <c r="KFQ23" i="3" s="1"/>
  <c r="KFR23" i="3" s="1"/>
  <c r="KFS23" i="3" s="1"/>
  <c r="KFT23" i="3" s="1"/>
  <c r="KFU23" i="3" s="1"/>
  <c r="KFV23" i="3" s="1"/>
  <c r="KFW23" i="3" s="1"/>
  <c r="KFX23" i="3" s="1"/>
  <c r="KFY23" i="3" s="1"/>
  <c r="KFZ23" i="3" s="1"/>
  <c r="KGA23" i="3" s="1"/>
  <c r="KGB23" i="3" s="1"/>
  <c r="KGC23" i="3" s="1"/>
  <c r="KGD23" i="3" s="1"/>
  <c r="KGE23" i="3" s="1"/>
  <c r="KGF23" i="3" s="1"/>
  <c r="KGG23" i="3" s="1"/>
  <c r="KGH23" i="3" s="1"/>
  <c r="KGI23" i="3" s="1"/>
  <c r="KGJ23" i="3" s="1"/>
  <c r="KGK23" i="3" s="1"/>
  <c r="KGL23" i="3" s="1"/>
  <c r="KGM23" i="3" s="1"/>
  <c r="KGN23" i="3" s="1"/>
  <c r="KGO23" i="3" s="1"/>
  <c r="KGP23" i="3" s="1"/>
  <c r="KGQ23" i="3" s="1"/>
  <c r="KGR23" i="3" s="1"/>
  <c r="KGS23" i="3" s="1"/>
  <c r="KGT23" i="3" s="1"/>
  <c r="KGU23" i="3" s="1"/>
  <c r="KGV23" i="3" s="1"/>
  <c r="KGW23" i="3" s="1"/>
  <c r="KGX23" i="3" s="1"/>
  <c r="KGY23" i="3" s="1"/>
  <c r="KGZ23" i="3" s="1"/>
  <c r="KHA23" i="3" s="1"/>
  <c r="KHB23" i="3" s="1"/>
  <c r="KHC23" i="3" s="1"/>
  <c r="KHD23" i="3" s="1"/>
  <c r="KHE23" i="3" s="1"/>
  <c r="KHF23" i="3" s="1"/>
  <c r="KHG23" i="3" s="1"/>
  <c r="KHH23" i="3" s="1"/>
  <c r="KHI23" i="3" s="1"/>
  <c r="KHJ23" i="3" s="1"/>
  <c r="KHK23" i="3" s="1"/>
  <c r="KHL23" i="3" s="1"/>
  <c r="KHM23" i="3" s="1"/>
  <c r="KHN23" i="3" s="1"/>
  <c r="KHO23" i="3" s="1"/>
  <c r="KHP23" i="3" s="1"/>
  <c r="KHQ23" i="3" s="1"/>
  <c r="KHR23" i="3" s="1"/>
  <c r="KHS23" i="3" s="1"/>
  <c r="KHT23" i="3" s="1"/>
  <c r="KHU23" i="3" s="1"/>
  <c r="KHV23" i="3" s="1"/>
  <c r="KHW23" i="3" s="1"/>
  <c r="KHX23" i="3" s="1"/>
  <c r="KHY23" i="3" s="1"/>
  <c r="KHZ23" i="3" s="1"/>
  <c r="KIA23" i="3" s="1"/>
  <c r="KIB23" i="3" s="1"/>
  <c r="KIC23" i="3" s="1"/>
  <c r="KID23" i="3" s="1"/>
  <c r="KIE23" i="3" s="1"/>
  <c r="KIF23" i="3" s="1"/>
  <c r="KIG23" i="3" s="1"/>
  <c r="KIH23" i="3" s="1"/>
  <c r="KII23" i="3" s="1"/>
  <c r="KIJ23" i="3" s="1"/>
  <c r="KIK23" i="3" s="1"/>
  <c r="KIL23" i="3" s="1"/>
  <c r="KIM23" i="3" s="1"/>
  <c r="KIN23" i="3" s="1"/>
  <c r="KIO23" i="3" s="1"/>
  <c r="KIP23" i="3" s="1"/>
  <c r="KIQ23" i="3" s="1"/>
  <c r="KIR23" i="3" s="1"/>
  <c r="KIS23" i="3" s="1"/>
  <c r="KIT23" i="3" s="1"/>
  <c r="KIU23" i="3" s="1"/>
  <c r="KIV23" i="3" s="1"/>
  <c r="KIW23" i="3" s="1"/>
  <c r="KIX23" i="3" s="1"/>
  <c r="KIY23" i="3" s="1"/>
  <c r="KIZ23" i="3" s="1"/>
  <c r="KJA23" i="3" s="1"/>
  <c r="KJB23" i="3" s="1"/>
  <c r="KJC23" i="3" s="1"/>
  <c r="KJD23" i="3" s="1"/>
  <c r="KJE23" i="3" s="1"/>
  <c r="KJF23" i="3" s="1"/>
  <c r="KJG23" i="3" s="1"/>
  <c r="KJH23" i="3" s="1"/>
  <c r="KJI23" i="3" s="1"/>
  <c r="KJJ23" i="3" s="1"/>
  <c r="KJK23" i="3" s="1"/>
  <c r="KJL23" i="3" s="1"/>
  <c r="KJM23" i="3" s="1"/>
  <c r="KJN23" i="3" s="1"/>
  <c r="KJO23" i="3" s="1"/>
  <c r="KJP23" i="3" s="1"/>
  <c r="KJQ23" i="3" s="1"/>
  <c r="KJR23" i="3" s="1"/>
  <c r="KJS23" i="3" s="1"/>
  <c r="KJT23" i="3" s="1"/>
  <c r="KJU23" i="3" s="1"/>
  <c r="KJV23" i="3" s="1"/>
  <c r="KJW23" i="3" s="1"/>
  <c r="KJX23" i="3" s="1"/>
  <c r="KJY23" i="3" s="1"/>
  <c r="KJZ23" i="3" s="1"/>
  <c r="KKA23" i="3" s="1"/>
  <c r="KKB23" i="3" s="1"/>
  <c r="KKC23" i="3" s="1"/>
  <c r="KKD23" i="3" s="1"/>
  <c r="KKE23" i="3" s="1"/>
  <c r="KKF23" i="3" s="1"/>
  <c r="KKG23" i="3" s="1"/>
  <c r="KKH23" i="3" s="1"/>
  <c r="KKI23" i="3" s="1"/>
  <c r="KKJ23" i="3" s="1"/>
  <c r="KKK23" i="3" s="1"/>
  <c r="KKL23" i="3" s="1"/>
  <c r="KKM23" i="3" s="1"/>
  <c r="KKN23" i="3" s="1"/>
  <c r="KKO23" i="3" s="1"/>
  <c r="KKP23" i="3" s="1"/>
  <c r="KKQ23" i="3" s="1"/>
  <c r="KKR23" i="3" s="1"/>
  <c r="KKS23" i="3" s="1"/>
  <c r="KKT23" i="3" s="1"/>
  <c r="KKU23" i="3" s="1"/>
  <c r="KKV23" i="3" s="1"/>
  <c r="KKW23" i="3" s="1"/>
  <c r="KKX23" i="3" s="1"/>
  <c r="KKY23" i="3" s="1"/>
  <c r="KKZ23" i="3" s="1"/>
  <c r="KLA23" i="3" s="1"/>
  <c r="KLB23" i="3" s="1"/>
  <c r="KLC23" i="3" s="1"/>
  <c r="KLD23" i="3" s="1"/>
  <c r="KLE23" i="3" s="1"/>
  <c r="KLF23" i="3" s="1"/>
  <c r="KLG23" i="3" s="1"/>
  <c r="KLH23" i="3" s="1"/>
  <c r="KLI23" i="3" s="1"/>
  <c r="KLJ23" i="3" s="1"/>
  <c r="KLK23" i="3" s="1"/>
  <c r="KLL23" i="3" s="1"/>
  <c r="KLM23" i="3" s="1"/>
  <c r="KLN23" i="3" s="1"/>
  <c r="KLO23" i="3" s="1"/>
  <c r="KLP23" i="3" s="1"/>
  <c r="KLQ23" i="3" s="1"/>
  <c r="KLR23" i="3" s="1"/>
  <c r="KLS23" i="3" s="1"/>
  <c r="KLT23" i="3" s="1"/>
  <c r="KLU23" i="3" s="1"/>
  <c r="KLV23" i="3" s="1"/>
  <c r="KLW23" i="3" s="1"/>
  <c r="KLX23" i="3" s="1"/>
  <c r="KLY23" i="3" s="1"/>
  <c r="KLZ23" i="3" s="1"/>
  <c r="KMA23" i="3" s="1"/>
  <c r="KMB23" i="3" s="1"/>
  <c r="KMC23" i="3" s="1"/>
  <c r="KMD23" i="3" s="1"/>
  <c r="KME23" i="3" s="1"/>
  <c r="KMF23" i="3" s="1"/>
  <c r="KMG23" i="3" s="1"/>
  <c r="KMH23" i="3" s="1"/>
  <c r="KMI23" i="3" s="1"/>
  <c r="KMJ23" i="3" s="1"/>
  <c r="KMK23" i="3" s="1"/>
  <c r="KML23" i="3" s="1"/>
  <c r="KMM23" i="3" s="1"/>
  <c r="KMN23" i="3" s="1"/>
  <c r="KMO23" i="3" s="1"/>
  <c r="KMP23" i="3" s="1"/>
  <c r="KMQ23" i="3" s="1"/>
  <c r="KMR23" i="3" s="1"/>
  <c r="KMS23" i="3" s="1"/>
  <c r="KMT23" i="3" s="1"/>
  <c r="KMU23" i="3" s="1"/>
  <c r="KMV23" i="3" s="1"/>
  <c r="KMW23" i="3" s="1"/>
  <c r="KMX23" i="3" s="1"/>
  <c r="KMY23" i="3" s="1"/>
  <c r="KMZ23" i="3" s="1"/>
  <c r="KNA23" i="3" s="1"/>
  <c r="KNB23" i="3" s="1"/>
  <c r="KNC23" i="3" s="1"/>
  <c r="KND23" i="3" s="1"/>
  <c r="KNE23" i="3" s="1"/>
  <c r="KNF23" i="3" s="1"/>
  <c r="KNG23" i="3" s="1"/>
  <c r="KNH23" i="3" s="1"/>
  <c r="KNI23" i="3" s="1"/>
  <c r="KNJ23" i="3" s="1"/>
  <c r="KNK23" i="3" s="1"/>
  <c r="KNL23" i="3" s="1"/>
  <c r="KNM23" i="3" s="1"/>
  <c r="KNN23" i="3" s="1"/>
  <c r="KNO23" i="3" s="1"/>
  <c r="KNP23" i="3" s="1"/>
  <c r="KNQ23" i="3" s="1"/>
  <c r="KNR23" i="3" s="1"/>
  <c r="KNS23" i="3" s="1"/>
  <c r="KNT23" i="3" s="1"/>
  <c r="KNU23" i="3" s="1"/>
  <c r="KNV23" i="3" s="1"/>
  <c r="KNW23" i="3" s="1"/>
  <c r="KNX23" i="3" s="1"/>
  <c r="KNY23" i="3" s="1"/>
  <c r="KNZ23" i="3" s="1"/>
  <c r="KOA23" i="3" s="1"/>
  <c r="KOB23" i="3" s="1"/>
  <c r="KOC23" i="3" s="1"/>
  <c r="KOD23" i="3" s="1"/>
  <c r="KOE23" i="3" s="1"/>
  <c r="KOF23" i="3" s="1"/>
  <c r="KOG23" i="3" s="1"/>
  <c r="KOH23" i="3" s="1"/>
  <c r="KOI23" i="3" s="1"/>
  <c r="KOJ23" i="3" s="1"/>
  <c r="KOK23" i="3" s="1"/>
  <c r="KOL23" i="3" s="1"/>
  <c r="KOM23" i="3" s="1"/>
  <c r="KON23" i="3" s="1"/>
  <c r="KOO23" i="3" s="1"/>
  <c r="KOP23" i="3" s="1"/>
  <c r="KOQ23" i="3" s="1"/>
  <c r="KOR23" i="3" s="1"/>
  <c r="KOS23" i="3" s="1"/>
  <c r="KOT23" i="3" s="1"/>
  <c r="KOU23" i="3" s="1"/>
  <c r="KOV23" i="3" s="1"/>
  <c r="KOW23" i="3" s="1"/>
  <c r="KOX23" i="3" s="1"/>
  <c r="KOY23" i="3" s="1"/>
  <c r="KOZ23" i="3" s="1"/>
  <c r="KPA23" i="3" s="1"/>
  <c r="KPB23" i="3" s="1"/>
  <c r="KPC23" i="3" s="1"/>
  <c r="KPD23" i="3" s="1"/>
  <c r="KPE23" i="3" s="1"/>
  <c r="KPF23" i="3" s="1"/>
  <c r="KPG23" i="3" s="1"/>
  <c r="KPH23" i="3" s="1"/>
  <c r="KPI23" i="3" s="1"/>
  <c r="KPJ23" i="3" s="1"/>
  <c r="KPK23" i="3" s="1"/>
  <c r="KPL23" i="3" s="1"/>
  <c r="KPM23" i="3" s="1"/>
  <c r="KPN23" i="3" s="1"/>
  <c r="KPO23" i="3" s="1"/>
  <c r="KPP23" i="3" s="1"/>
  <c r="KPQ23" i="3" s="1"/>
  <c r="KPR23" i="3" s="1"/>
  <c r="KPS23" i="3" s="1"/>
  <c r="KPT23" i="3" s="1"/>
  <c r="KPU23" i="3" s="1"/>
  <c r="KPV23" i="3" s="1"/>
  <c r="KPW23" i="3" s="1"/>
  <c r="KPX23" i="3" s="1"/>
  <c r="KPY23" i="3" s="1"/>
  <c r="KPZ23" i="3" s="1"/>
  <c r="KQA23" i="3" s="1"/>
  <c r="KQB23" i="3" s="1"/>
  <c r="KQC23" i="3" s="1"/>
  <c r="KQD23" i="3" s="1"/>
  <c r="KQE23" i="3" s="1"/>
  <c r="KQF23" i="3" s="1"/>
  <c r="KQG23" i="3" s="1"/>
  <c r="KQH23" i="3" s="1"/>
  <c r="KQI23" i="3" s="1"/>
  <c r="KQJ23" i="3" s="1"/>
  <c r="KQK23" i="3" s="1"/>
  <c r="KQL23" i="3" s="1"/>
  <c r="KQM23" i="3" s="1"/>
  <c r="KQN23" i="3" s="1"/>
  <c r="KQO23" i="3" s="1"/>
  <c r="KQP23" i="3" s="1"/>
  <c r="KQQ23" i="3" s="1"/>
  <c r="KQR23" i="3" s="1"/>
  <c r="KQS23" i="3" s="1"/>
  <c r="KQT23" i="3" s="1"/>
  <c r="KQU23" i="3" s="1"/>
  <c r="KQV23" i="3" s="1"/>
  <c r="KQW23" i="3" s="1"/>
  <c r="KQX23" i="3" s="1"/>
  <c r="KQY23" i="3" s="1"/>
  <c r="KQZ23" i="3" s="1"/>
  <c r="KRA23" i="3" s="1"/>
  <c r="KRB23" i="3" s="1"/>
  <c r="KRC23" i="3" s="1"/>
  <c r="KRD23" i="3" s="1"/>
  <c r="KRE23" i="3" s="1"/>
  <c r="KRF23" i="3" s="1"/>
  <c r="KRG23" i="3" s="1"/>
  <c r="KRH23" i="3" s="1"/>
  <c r="KRI23" i="3" s="1"/>
  <c r="KRJ23" i="3" s="1"/>
  <c r="KRK23" i="3" s="1"/>
  <c r="KRL23" i="3" s="1"/>
  <c r="KRM23" i="3" s="1"/>
  <c r="KRN23" i="3" s="1"/>
  <c r="KRO23" i="3" s="1"/>
  <c r="KRP23" i="3" s="1"/>
  <c r="KRQ23" i="3" s="1"/>
  <c r="KRR23" i="3" s="1"/>
  <c r="KRS23" i="3" s="1"/>
  <c r="KRT23" i="3" s="1"/>
  <c r="KRU23" i="3" s="1"/>
  <c r="KRV23" i="3" s="1"/>
  <c r="KRW23" i="3" s="1"/>
  <c r="KRX23" i="3" s="1"/>
  <c r="KRY23" i="3" s="1"/>
  <c r="KRZ23" i="3" s="1"/>
  <c r="KSA23" i="3" s="1"/>
  <c r="KSB23" i="3" s="1"/>
  <c r="KSC23" i="3" s="1"/>
  <c r="KSD23" i="3" s="1"/>
  <c r="KSE23" i="3" s="1"/>
  <c r="KSF23" i="3" s="1"/>
  <c r="KSG23" i="3" s="1"/>
  <c r="KSH23" i="3" s="1"/>
  <c r="KSI23" i="3" s="1"/>
  <c r="KSJ23" i="3" s="1"/>
  <c r="KSK23" i="3" s="1"/>
  <c r="KSL23" i="3" s="1"/>
  <c r="KSM23" i="3" s="1"/>
  <c r="KSN23" i="3" s="1"/>
  <c r="KSO23" i="3" s="1"/>
  <c r="KSP23" i="3" s="1"/>
  <c r="KSQ23" i="3" s="1"/>
  <c r="KSR23" i="3" s="1"/>
  <c r="KSS23" i="3" s="1"/>
  <c r="KST23" i="3" s="1"/>
  <c r="KSU23" i="3" s="1"/>
  <c r="KSV23" i="3" s="1"/>
  <c r="KSW23" i="3" s="1"/>
  <c r="KSX23" i="3" s="1"/>
  <c r="KSY23" i="3" s="1"/>
  <c r="KSZ23" i="3" s="1"/>
  <c r="KTA23" i="3" s="1"/>
  <c r="KTB23" i="3" s="1"/>
  <c r="KTC23" i="3" s="1"/>
  <c r="KTD23" i="3" s="1"/>
  <c r="KTE23" i="3" s="1"/>
  <c r="KTF23" i="3" s="1"/>
  <c r="KTG23" i="3" s="1"/>
  <c r="KTH23" i="3" s="1"/>
  <c r="KTI23" i="3" s="1"/>
  <c r="KTJ23" i="3" s="1"/>
  <c r="KTK23" i="3" s="1"/>
  <c r="KTL23" i="3" s="1"/>
  <c r="KTM23" i="3" s="1"/>
  <c r="KTN23" i="3" s="1"/>
  <c r="KTO23" i="3" s="1"/>
  <c r="KTP23" i="3" s="1"/>
  <c r="KTQ23" i="3" s="1"/>
  <c r="KTR23" i="3" s="1"/>
  <c r="KTS23" i="3" s="1"/>
  <c r="KTT23" i="3" s="1"/>
  <c r="KTU23" i="3" s="1"/>
  <c r="KTV23" i="3" s="1"/>
  <c r="KTW23" i="3" s="1"/>
  <c r="KTX23" i="3" s="1"/>
  <c r="KTY23" i="3" s="1"/>
  <c r="KTZ23" i="3" s="1"/>
  <c r="KUA23" i="3" s="1"/>
  <c r="KUB23" i="3" s="1"/>
  <c r="KUC23" i="3" s="1"/>
  <c r="KUD23" i="3" s="1"/>
  <c r="KUE23" i="3" s="1"/>
  <c r="KUF23" i="3" s="1"/>
  <c r="KUG23" i="3" s="1"/>
  <c r="KUH23" i="3" s="1"/>
  <c r="KUI23" i="3" s="1"/>
  <c r="KUJ23" i="3" s="1"/>
  <c r="KUK23" i="3" s="1"/>
  <c r="KUL23" i="3" s="1"/>
  <c r="KUM23" i="3" s="1"/>
  <c r="KUN23" i="3" s="1"/>
  <c r="KUO23" i="3" s="1"/>
  <c r="KUP23" i="3" s="1"/>
  <c r="KUQ23" i="3" s="1"/>
  <c r="KUR23" i="3" s="1"/>
  <c r="KUS23" i="3" s="1"/>
  <c r="KUT23" i="3" s="1"/>
  <c r="KUU23" i="3" s="1"/>
  <c r="KUV23" i="3" s="1"/>
  <c r="KUW23" i="3" s="1"/>
  <c r="KUX23" i="3" s="1"/>
  <c r="KUY23" i="3" s="1"/>
  <c r="KUZ23" i="3" s="1"/>
  <c r="KVA23" i="3" s="1"/>
  <c r="KVB23" i="3" s="1"/>
  <c r="KVC23" i="3" s="1"/>
  <c r="KVD23" i="3" s="1"/>
  <c r="KVE23" i="3" s="1"/>
  <c r="KVF23" i="3" s="1"/>
  <c r="KVG23" i="3" s="1"/>
  <c r="KVH23" i="3" s="1"/>
  <c r="KVI23" i="3" s="1"/>
  <c r="KVJ23" i="3" s="1"/>
  <c r="KVK23" i="3" s="1"/>
  <c r="KVL23" i="3" s="1"/>
  <c r="KVM23" i="3" s="1"/>
  <c r="KVN23" i="3" s="1"/>
  <c r="KVO23" i="3" s="1"/>
  <c r="KVP23" i="3" s="1"/>
  <c r="KVQ23" i="3" s="1"/>
  <c r="KVR23" i="3" s="1"/>
  <c r="KVS23" i="3" s="1"/>
  <c r="KVT23" i="3" s="1"/>
  <c r="KVU23" i="3" s="1"/>
  <c r="KVV23" i="3" s="1"/>
  <c r="KVW23" i="3" s="1"/>
  <c r="KVX23" i="3" s="1"/>
  <c r="KVY23" i="3" s="1"/>
  <c r="KVZ23" i="3" s="1"/>
  <c r="KWA23" i="3" s="1"/>
  <c r="KWB23" i="3" s="1"/>
  <c r="KWC23" i="3" s="1"/>
  <c r="KWD23" i="3" s="1"/>
  <c r="KWE23" i="3" s="1"/>
  <c r="KWF23" i="3" s="1"/>
  <c r="KWG23" i="3" s="1"/>
  <c r="KWH23" i="3" s="1"/>
  <c r="KWI23" i="3" s="1"/>
  <c r="KWJ23" i="3" s="1"/>
  <c r="KWK23" i="3" s="1"/>
  <c r="KWL23" i="3" s="1"/>
  <c r="KWM23" i="3" s="1"/>
  <c r="KWN23" i="3" s="1"/>
  <c r="KWO23" i="3" s="1"/>
  <c r="KWP23" i="3" s="1"/>
  <c r="KWQ23" i="3" s="1"/>
  <c r="KWR23" i="3" s="1"/>
  <c r="KWS23" i="3" s="1"/>
  <c r="KWT23" i="3" s="1"/>
  <c r="KWU23" i="3" s="1"/>
  <c r="KWV23" i="3" s="1"/>
  <c r="KWW23" i="3" s="1"/>
  <c r="KWX23" i="3" s="1"/>
  <c r="KWY23" i="3" s="1"/>
  <c r="KWZ23" i="3" s="1"/>
  <c r="KXA23" i="3" s="1"/>
  <c r="KXB23" i="3" s="1"/>
  <c r="KXC23" i="3" s="1"/>
  <c r="KXD23" i="3" s="1"/>
  <c r="KXE23" i="3" s="1"/>
  <c r="KXF23" i="3" s="1"/>
  <c r="KXG23" i="3" s="1"/>
  <c r="KXH23" i="3" s="1"/>
  <c r="KXI23" i="3" s="1"/>
  <c r="KXJ23" i="3" s="1"/>
  <c r="KXK23" i="3" s="1"/>
  <c r="KXL23" i="3" s="1"/>
  <c r="KXM23" i="3" s="1"/>
  <c r="KXN23" i="3" s="1"/>
  <c r="KXO23" i="3" s="1"/>
  <c r="KXP23" i="3" s="1"/>
  <c r="KXQ23" i="3" s="1"/>
  <c r="KXR23" i="3" s="1"/>
  <c r="KXS23" i="3" s="1"/>
  <c r="KXT23" i="3" s="1"/>
  <c r="KXU23" i="3" s="1"/>
  <c r="KXV23" i="3" s="1"/>
  <c r="KXW23" i="3" s="1"/>
  <c r="KXX23" i="3" s="1"/>
  <c r="KXY23" i="3" s="1"/>
  <c r="KXZ23" i="3" s="1"/>
  <c r="KYA23" i="3" s="1"/>
  <c r="KYB23" i="3" s="1"/>
  <c r="KYC23" i="3" s="1"/>
  <c r="KYD23" i="3" s="1"/>
  <c r="KYE23" i="3" s="1"/>
  <c r="KYF23" i="3" s="1"/>
  <c r="KYG23" i="3" s="1"/>
  <c r="KYH23" i="3" s="1"/>
  <c r="KYI23" i="3" s="1"/>
  <c r="KYJ23" i="3" s="1"/>
  <c r="KYK23" i="3" s="1"/>
  <c r="KYL23" i="3" s="1"/>
  <c r="KYM23" i="3" s="1"/>
  <c r="KYN23" i="3" s="1"/>
  <c r="KYO23" i="3" s="1"/>
  <c r="KYP23" i="3" s="1"/>
  <c r="KYQ23" i="3" s="1"/>
  <c r="KYR23" i="3" s="1"/>
  <c r="KYS23" i="3" s="1"/>
  <c r="KYT23" i="3" s="1"/>
  <c r="KYU23" i="3" s="1"/>
  <c r="KYV23" i="3" s="1"/>
  <c r="KYW23" i="3" s="1"/>
  <c r="KYX23" i="3" s="1"/>
  <c r="KYY23" i="3" s="1"/>
  <c r="KYZ23" i="3" s="1"/>
  <c r="KZA23" i="3" s="1"/>
  <c r="KZB23" i="3" s="1"/>
  <c r="KZC23" i="3" s="1"/>
  <c r="KZD23" i="3" s="1"/>
  <c r="KZE23" i="3" s="1"/>
  <c r="KZF23" i="3" s="1"/>
  <c r="KZG23" i="3" s="1"/>
  <c r="KZH23" i="3" s="1"/>
  <c r="KZI23" i="3" s="1"/>
  <c r="KZJ23" i="3" s="1"/>
  <c r="KZK23" i="3" s="1"/>
  <c r="KZL23" i="3" s="1"/>
  <c r="KZM23" i="3" s="1"/>
  <c r="KZN23" i="3" s="1"/>
  <c r="KZO23" i="3" s="1"/>
  <c r="KZP23" i="3" s="1"/>
  <c r="KZQ23" i="3" s="1"/>
  <c r="KZR23" i="3" s="1"/>
  <c r="KZS23" i="3" s="1"/>
  <c r="KZT23" i="3" s="1"/>
  <c r="KZU23" i="3" s="1"/>
  <c r="KZV23" i="3" s="1"/>
  <c r="KZW23" i="3" s="1"/>
  <c r="KZX23" i="3" s="1"/>
  <c r="KZY23" i="3" s="1"/>
  <c r="KZZ23" i="3" s="1"/>
  <c r="LAA23" i="3" s="1"/>
  <c r="LAB23" i="3" s="1"/>
  <c r="LAC23" i="3" s="1"/>
  <c r="LAD23" i="3" s="1"/>
  <c r="LAE23" i="3" s="1"/>
  <c r="LAF23" i="3" s="1"/>
  <c r="LAG23" i="3" s="1"/>
  <c r="LAH23" i="3" s="1"/>
  <c r="LAI23" i="3" s="1"/>
  <c r="LAJ23" i="3" s="1"/>
  <c r="LAK23" i="3" s="1"/>
  <c r="LAL23" i="3" s="1"/>
  <c r="LAM23" i="3" s="1"/>
  <c r="LAN23" i="3" s="1"/>
  <c r="LAO23" i="3" s="1"/>
  <c r="LAP23" i="3" s="1"/>
  <c r="LAQ23" i="3" s="1"/>
  <c r="LAR23" i="3" s="1"/>
  <c r="LAS23" i="3" s="1"/>
  <c r="LAT23" i="3" s="1"/>
  <c r="LAU23" i="3" s="1"/>
  <c r="LAV23" i="3" s="1"/>
  <c r="LAW23" i="3" s="1"/>
  <c r="LAX23" i="3" s="1"/>
  <c r="LAY23" i="3" s="1"/>
  <c r="LAZ23" i="3" s="1"/>
  <c r="LBA23" i="3" s="1"/>
  <c r="LBB23" i="3" s="1"/>
  <c r="LBC23" i="3" s="1"/>
  <c r="LBD23" i="3" s="1"/>
  <c r="LBE23" i="3" s="1"/>
  <c r="LBF23" i="3" s="1"/>
  <c r="LBG23" i="3" s="1"/>
  <c r="LBH23" i="3" s="1"/>
  <c r="LBI23" i="3" s="1"/>
  <c r="LBJ23" i="3" s="1"/>
  <c r="LBK23" i="3" s="1"/>
  <c r="LBL23" i="3" s="1"/>
  <c r="LBM23" i="3" s="1"/>
  <c r="LBN23" i="3" s="1"/>
  <c r="LBO23" i="3" s="1"/>
  <c r="LBP23" i="3" s="1"/>
  <c r="LBQ23" i="3" s="1"/>
  <c r="LBR23" i="3" s="1"/>
  <c r="LBS23" i="3" s="1"/>
  <c r="LBT23" i="3" s="1"/>
  <c r="LBU23" i="3" s="1"/>
  <c r="LBV23" i="3" s="1"/>
  <c r="LBW23" i="3" s="1"/>
  <c r="LBX23" i="3" s="1"/>
  <c r="LBY23" i="3" s="1"/>
  <c r="LBZ23" i="3" s="1"/>
  <c r="LCA23" i="3" s="1"/>
  <c r="LCB23" i="3" s="1"/>
  <c r="LCC23" i="3" s="1"/>
  <c r="LCD23" i="3" s="1"/>
  <c r="LCE23" i="3" s="1"/>
  <c r="LCF23" i="3" s="1"/>
  <c r="LCG23" i="3" s="1"/>
  <c r="LCH23" i="3" s="1"/>
  <c r="LCI23" i="3" s="1"/>
  <c r="LCJ23" i="3" s="1"/>
  <c r="LCK23" i="3" s="1"/>
  <c r="LCL23" i="3" s="1"/>
  <c r="LCM23" i="3" s="1"/>
  <c r="LCN23" i="3" s="1"/>
  <c r="LCO23" i="3" s="1"/>
  <c r="LCP23" i="3" s="1"/>
  <c r="LCQ23" i="3" s="1"/>
  <c r="LCR23" i="3" s="1"/>
  <c r="LCS23" i="3" s="1"/>
  <c r="LCT23" i="3" s="1"/>
  <c r="LCU23" i="3" s="1"/>
  <c r="LCV23" i="3" s="1"/>
  <c r="LCW23" i="3" s="1"/>
  <c r="LCX23" i="3" s="1"/>
  <c r="LCY23" i="3" s="1"/>
  <c r="LCZ23" i="3" s="1"/>
  <c r="LDA23" i="3" s="1"/>
  <c r="LDB23" i="3" s="1"/>
  <c r="LDC23" i="3" s="1"/>
  <c r="LDD23" i="3" s="1"/>
  <c r="LDE23" i="3" s="1"/>
  <c r="LDF23" i="3" s="1"/>
  <c r="LDG23" i="3" s="1"/>
  <c r="LDH23" i="3" s="1"/>
  <c r="LDI23" i="3" s="1"/>
  <c r="LDJ23" i="3" s="1"/>
  <c r="LDK23" i="3" s="1"/>
  <c r="LDL23" i="3" s="1"/>
  <c r="LDM23" i="3" s="1"/>
  <c r="LDN23" i="3" s="1"/>
  <c r="LDO23" i="3" s="1"/>
  <c r="LDP23" i="3" s="1"/>
  <c r="LDQ23" i="3" s="1"/>
  <c r="LDR23" i="3" s="1"/>
  <c r="LDS23" i="3" s="1"/>
  <c r="LDT23" i="3" s="1"/>
  <c r="LDU23" i="3" s="1"/>
  <c r="LDV23" i="3" s="1"/>
  <c r="LDW23" i="3" s="1"/>
  <c r="LDX23" i="3" s="1"/>
  <c r="LDY23" i="3" s="1"/>
  <c r="LDZ23" i="3" s="1"/>
  <c r="LEA23" i="3" s="1"/>
  <c r="LEB23" i="3" s="1"/>
  <c r="LEC23" i="3" s="1"/>
  <c r="LED23" i="3" s="1"/>
  <c r="LEE23" i="3" s="1"/>
  <c r="LEF23" i="3" s="1"/>
  <c r="LEG23" i="3" s="1"/>
  <c r="LEH23" i="3" s="1"/>
  <c r="LEI23" i="3" s="1"/>
  <c r="LEJ23" i="3" s="1"/>
  <c r="LEK23" i="3" s="1"/>
  <c r="LEL23" i="3" s="1"/>
  <c r="LEM23" i="3" s="1"/>
  <c r="LEN23" i="3" s="1"/>
  <c r="LEO23" i="3" s="1"/>
  <c r="LEP23" i="3" s="1"/>
  <c r="LEQ23" i="3" s="1"/>
  <c r="LER23" i="3" s="1"/>
  <c r="LES23" i="3" s="1"/>
  <c r="LET23" i="3" s="1"/>
  <c r="LEU23" i="3" s="1"/>
  <c r="LEV23" i="3" s="1"/>
  <c r="LEW23" i="3" s="1"/>
  <c r="LEX23" i="3" s="1"/>
  <c r="LEY23" i="3" s="1"/>
  <c r="LEZ23" i="3" s="1"/>
  <c r="LFA23" i="3" s="1"/>
  <c r="LFB23" i="3" s="1"/>
  <c r="LFC23" i="3" s="1"/>
  <c r="LFD23" i="3" s="1"/>
  <c r="LFE23" i="3" s="1"/>
  <c r="LFF23" i="3" s="1"/>
  <c r="LFG23" i="3" s="1"/>
  <c r="LFH23" i="3" s="1"/>
  <c r="LFI23" i="3" s="1"/>
  <c r="LFJ23" i="3" s="1"/>
  <c r="LFK23" i="3" s="1"/>
  <c r="LFL23" i="3" s="1"/>
  <c r="LFM23" i="3" s="1"/>
  <c r="LFN23" i="3" s="1"/>
  <c r="LFO23" i="3" s="1"/>
  <c r="LFP23" i="3" s="1"/>
  <c r="LFQ23" i="3" s="1"/>
  <c r="LFR23" i="3" s="1"/>
  <c r="LFS23" i="3" s="1"/>
  <c r="LFT23" i="3" s="1"/>
  <c r="LFU23" i="3" s="1"/>
  <c r="LFV23" i="3" s="1"/>
  <c r="LFW23" i="3" s="1"/>
  <c r="LFX23" i="3" s="1"/>
  <c r="LFY23" i="3" s="1"/>
  <c r="LFZ23" i="3" s="1"/>
  <c r="LGA23" i="3" s="1"/>
  <c r="LGB23" i="3" s="1"/>
  <c r="LGC23" i="3" s="1"/>
  <c r="LGD23" i="3" s="1"/>
  <c r="LGE23" i="3" s="1"/>
  <c r="LGF23" i="3" s="1"/>
  <c r="LGG23" i="3" s="1"/>
  <c r="LGH23" i="3" s="1"/>
  <c r="LGI23" i="3" s="1"/>
  <c r="LGJ23" i="3" s="1"/>
  <c r="LGK23" i="3" s="1"/>
  <c r="LGL23" i="3" s="1"/>
  <c r="LGM23" i="3" s="1"/>
  <c r="LGN23" i="3" s="1"/>
  <c r="LGO23" i="3" s="1"/>
  <c r="LGP23" i="3" s="1"/>
  <c r="LGQ23" i="3" s="1"/>
  <c r="LGR23" i="3" s="1"/>
  <c r="LGS23" i="3" s="1"/>
  <c r="LGT23" i="3" s="1"/>
  <c r="LGU23" i="3" s="1"/>
  <c r="LGV23" i="3" s="1"/>
  <c r="LGW23" i="3" s="1"/>
  <c r="LGX23" i="3" s="1"/>
  <c r="LGY23" i="3" s="1"/>
  <c r="LGZ23" i="3" s="1"/>
  <c r="LHA23" i="3" s="1"/>
  <c r="LHB23" i="3" s="1"/>
  <c r="LHC23" i="3" s="1"/>
  <c r="LHD23" i="3" s="1"/>
  <c r="LHE23" i="3" s="1"/>
  <c r="LHF23" i="3" s="1"/>
  <c r="LHG23" i="3" s="1"/>
  <c r="LHH23" i="3" s="1"/>
  <c r="LHI23" i="3" s="1"/>
  <c r="LHJ23" i="3" s="1"/>
  <c r="LHK23" i="3" s="1"/>
  <c r="LHL23" i="3" s="1"/>
  <c r="LHM23" i="3" s="1"/>
  <c r="LHN23" i="3" s="1"/>
  <c r="LHO23" i="3" s="1"/>
  <c r="LHP23" i="3" s="1"/>
  <c r="LHQ23" i="3" s="1"/>
  <c r="LHR23" i="3" s="1"/>
  <c r="LHS23" i="3" s="1"/>
  <c r="LHT23" i="3" s="1"/>
  <c r="LHU23" i="3" s="1"/>
  <c r="LHV23" i="3" s="1"/>
  <c r="LHW23" i="3" s="1"/>
  <c r="LHX23" i="3" s="1"/>
  <c r="LHY23" i="3" s="1"/>
  <c r="LHZ23" i="3" s="1"/>
  <c r="LIA23" i="3" s="1"/>
  <c r="LIB23" i="3" s="1"/>
  <c r="LIC23" i="3" s="1"/>
  <c r="LID23" i="3" s="1"/>
  <c r="LIE23" i="3" s="1"/>
  <c r="LIF23" i="3" s="1"/>
  <c r="LIG23" i="3" s="1"/>
  <c r="LIH23" i="3" s="1"/>
  <c r="LII23" i="3" s="1"/>
  <c r="LIJ23" i="3" s="1"/>
  <c r="LIK23" i="3" s="1"/>
  <c r="LIL23" i="3" s="1"/>
  <c r="LIM23" i="3" s="1"/>
  <c r="LIN23" i="3" s="1"/>
  <c r="LIO23" i="3" s="1"/>
  <c r="LIP23" i="3" s="1"/>
  <c r="LIQ23" i="3" s="1"/>
  <c r="LIR23" i="3" s="1"/>
  <c r="LIS23" i="3" s="1"/>
  <c r="LIT23" i="3" s="1"/>
  <c r="LIU23" i="3" s="1"/>
  <c r="LIV23" i="3" s="1"/>
  <c r="LIW23" i="3" s="1"/>
  <c r="LIX23" i="3" s="1"/>
  <c r="LIY23" i="3" s="1"/>
  <c r="LIZ23" i="3" s="1"/>
  <c r="LJA23" i="3" s="1"/>
  <c r="LJB23" i="3" s="1"/>
  <c r="LJC23" i="3" s="1"/>
  <c r="LJD23" i="3" s="1"/>
  <c r="LJE23" i="3" s="1"/>
  <c r="LJF23" i="3" s="1"/>
  <c r="LJG23" i="3" s="1"/>
  <c r="LJH23" i="3" s="1"/>
  <c r="LJI23" i="3" s="1"/>
  <c r="LJJ23" i="3" s="1"/>
  <c r="LJK23" i="3" s="1"/>
  <c r="LJL23" i="3" s="1"/>
  <c r="LJM23" i="3" s="1"/>
  <c r="LJN23" i="3" s="1"/>
  <c r="LJO23" i="3" s="1"/>
  <c r="LJP23" i="3" s="1"/>
  <c r="LJQ23" i="3" s="1"/>
  <c r="LJR23" i="3" s="1"/>
  <c r="LJS23" i="3" s="1"/>
  <c r="LJT23" i="3" s="1"/>
  <c r="LJU23" i="3" s="1"/>
  <c r="LJV23" i="3" s="1"/>
  <c r="LJW23" i="3" s="1"/>
  <c r="LJX23" i="3" s="1"/>
  <c r="LJY23" i="3" s="1"/>
  <c r="LJZ23" i="3" s="1"/>
  <c r="LKA23" i="3" s="1"/>
  <c r="LKB23" i="3" s="1"/>
  <c r="LKC23" i="3" s="1"/>
  <c r="LKD23" i="3" s="1"/>
  <c r="LKE23" i="3" s="1"/>
  <c r="LKF23" i="3" s="1"/>
  <c r="LKG23" i="3" s="1"/>
  <c r="LKH23" i="3" s="1"/>
  <c r="LKI23" i="3" s="1"/>
  <c r="LKJ23" i="3" s="1"/>
  <c r="LKK23" i="3" s="1"/>
  <c r="LKL23" i="3" s="1"/>
  <c r="LKM23" i="3" s="1"/>
  <c r="LKN23" i="3" s="1"/>
  <c r="LKO23" i="3" s="1"/>
  <c r="LKP23" i="3" s="1"/>
  <c r="LKQ23" i="3" s="1"/>
  <c r="LKR23" i="3" s="1"/>
  <c r="LKS23" i="3" s="1"/>
  <c r="LKT23" i="3" s="1"/>
  <c r="LKU23" i="3" s="1"/>
  <c r="LKV23" i="3" s="1"/>
  <c r="LKW23" i="3" s="1"/>
  <c r="LKX23" i="3" s="1"/>
  <c r="LKY23" i="3" s="1"/>
  <c r="LKZ23" i="3" s="1"/>
  <c r="LLA23" i="3" s="1"/>
  <c r="LLB23" i="3" s="1"/>
  <c r="LLC23" i="3" s="1"/>
  <c r="LLD23" i="3" s="1"/>
  <c r="LLE23" i="3" s="1"/>
  <c r="LLF23" i="3" s="1"/>
  <c r="LLG23" i="3" s="1"/>
  <c r="LLH23" i="3" s="1"/>
  <c r="LLI23" i="3" s="1"/>
  <c r="LLJ23" i="3" s="1"/>
  <c r="LLK23" i="3" s="1"/>
  <c r="LLL23" i="3" s="1"/>
  <c r="LLM23" i="3" s="1"/>
  <c r="LLN23" i="3" s="1"/>
  <c r="LLO23" i="3" s="1"/>
  <c r="LLP23" i="3" s="1"/>
  <c r="LLQ23" i="3" s="1"/>
  <c r="LLR23" i="3" s="1"/>
  <c r="LLS23" i="3" s="1"/>
  <c r="LLT23" i="3" s="1"/>
  <c r="LLU23" i="3" s="1"/>
  <c r="LLV23" i="3" s="1"/>
  <c r="LLW23" i="3" s="1"/>
  <c r="LLX23" i="3" s="1"/>
  <c r="LLY23" i="3" s="1"/>
  <c r="LLZ23" i="3" s="1"/>
  <c r="LMA23" i="3" s="1"/>
  <c r="LMB23" i="3" s="1"/>
  <c r="LMC23" i="3" s="1"/>
  <c r="LMD23" i="3" s="1"/>
  <c r="LME23" i="3" s="1"/>
  <c r="LMF23" i="3" s="1"/>
  <c r="LMG23" i="3" s="1"/>
  <c r="LMH23" i="3" s="1"/>
  <c r="LMI23" i="3" s="1"/>
  <c r="LMJ23" i="3" s="1"/>
  <c r="LMK23" i="3" s="1"/>
  <c r="LML23" i="3" s="1"/>
  <c r="LMM23" i="3" s="1"/>
  <c r="LMN23" i="3" s="1"/>
  <c r="LMO23" i="3" s="1"/>
  <c r="LMP23" i="3" s="1"/>
  <c r="LMQ23" i="3" s="1"/>
  <c r="LMR23" i="3" s="1"/>
  <c r="LMS23" i="3" s="1"/>
  <c r="LMT23" i="3" s="1"/>
  <c r="LMU23" i="3" s="1"/>
  <c r="LMV23" i="3" s="1"/>
  <c r="LMW23" i="3" s="1"/>
  <c r="LMX23" i="3" s="1"/>
  <c r="LMY23" i="3" s="1"/>
  <c r="LMZ23" i="3" s="1"/>
  <c r="LNA23" i="3" s="1"/>
  <c r="LNB23" i="3" s="1"/>
  <c r="LNC23" i="3" s="1"/>
  <c r="LND23" i="3" s="1"/>
  <c r="LNE23" i="3" s="1"/>
  <c r="LNF23" i="3" s="1"/>
  <c r="LNG23" i="3" s="1"/>
  <c r="LNH23" i="3" s="1"/>
  <c r="LNI23" i="3" s="1"/>
  <c r="LNJ23" i="3" s="1"/>
  <c r="LNK23" i="3" s="1"/>
  <c r="LNL23" i="3" s="1"/>
  <c r="LNM23" i="3" s="1"/>
  <c r="LNN23" i="3" s="1"/>
  <c r="LNO23" i="3" s="1"/>
  <c r="LNP23" i="3" s="1"/>
  <c r="LNQ23" i="3" s="1"/>
  <c r="LNR23" i="3" s="1"/>
  <c r="LNS23" i="3" s="1"/>
  <c r="LNT23" i="3" s="1"/>
  <c r="LNU23" i="3" s="1"/>
  <c r="LNV23" i="3" s="1"/>
  <c r="LNW23" i="3" s="1"/>
  <c r="LNX23" i="3" s="1"/>
  <c r="LNY23" i="3" s="1"/>
  <c r="LNZ23" i="3" s="1"/>
  <c r="LOA23" i="3" s="1"/>
  <c r="LOB23" i="3" s="1"/>
  <c r="LOC23" i="3" s="1"/>
  <c r="LOD23" i="3" s="1"/>
  <c r="LOE23" i="3" s="1"/>
  <c r="LOF23" i="3" s="1"/>
  <c r="LOG23" i="3" s="1"/>
  <c r="LOH23" i="3" s="1"/>
  <c r="LOI23" i="3" s="1"/>
  <c r="LOJ23" i="3" s="1"/>
  <c r="LOK23" i="3" s="1"/>
  <c r="LOL23" i="3" s="1"/>
  <c r="LOM23" i="3" s="1"/>
  <c r="LON23" i="3" s="1"/>
  <c r="LOO23" i="3" s="1"/>
  <c r="LOP23" i="3" s="1"/>
  <c r="LOQ23" i="3" s="1"/>
  <c r="LOR23" i="3" s="1"/>
  <c r="LOS23" i="3" s="1"/>
  <c r="LOT23" i="3" s="1"/>
  <c r="LOU23" i="3" s="1"/>
  <c r="LOV23" i="3" s="1"/>
  <c r="LOW23" i="3" s="1"/>
  <c r="LOX23" i="3" s="1"/>
  <c r="LOY23" i="3" s="1"/>
  <c r="LOZ23" i="3" s="1"/>
  <c r="LPA23" i="3" s="1"/>
  <c r="LPB23" i="3" s="1"/>
  <c r="LPC23" i="3" s="1"/>
  <c r="LPD23" i="3" s="1"/>
  <c r="LPE23" i="3" s="1"/>
  <c r="LPF23" i="3" s="1"/>
  <c r="LPG23" i="3" s="1"/>
  <c r="LPH23" i="3" s="1"/>
  <c r="LPI23" i="3" s="1"/>
  <c r="LPJ23" i="3" s="1"/>
  <c r="LPK23" i="3" s="1"/>
  <c r="LPL23" i="3" s="1"/>
  <c r="LPM23" i="3" s="1"/>
  <c r="LPN23" i="3" s="1"/>
  <c r="LPO23" i="3" s="1"/>
  <c r="LPP23" i="3" s="1"/>
  <c r="LPQ23" i="3" s="1"/>
  <c r="LPR23" i="3" s="1"/>
  <c r="LPS23" i="3" s="1"/>
  <c r="LPT23" i="3" s="1"/>
  <c r="LPU23" i="3" s="1"/>
  <c r="LPV23" i="3" s="1"/>
  <c r="LPW23" i="3" s="1"/>
  <c r="LPX23" i="3" s="1"/>
  <c r="LPY23" i="3" s="1"/>
  <c r="LPZ23" i="3" s="1"/>
  <c r="LQA23" i="3" s="1"/>
  <c r="LQB23" i="3" s="1"/>
  <c r="LQC23" i="3" s="1"/>
  <c r="LQD23" i="3" s="1"/>
  <c r="LQE23" i="3" s="1"/>
  <c r="LQF23" i="3" s="1"/>
  <c r="LQG23" i="3" s="1"/>
  <c r="LQH23" i="3" s="1"/>
  <c r="LQI23" i="3" s="1"/>
  <c r="LQJ23" i="3" s="1"/>
  <c r="LQK23" i="3" s="1"/>
  <c r="LQL23" i="3" s="1"/>
  <c r="LQM23" i="3" s="1"/>
  <c r="LQN23" i="3" s="1"/>
  <c r="LQO23" i="3" s="1"/>
  <c r="LQP23" i="3" s="1"/>
  <c r="LQQ23" i="3" s="1"/>
  <c r="LQR23" i="3" s="1"/>
  <c r="LQS23" i="3" s="1"/>
  <c r="LQT23" i="3" s="1"/>
  <c r="LQU23" i="3" s="1"/>
  <c r="LQV23" i="3" s="1"/>
  <c r="LQW23" i="3" s="1"/>
  <c r="LQX23" i="3" s="1"/>
  <c r="LQY23" i="3" s="1"/>
  <c r="LQZ23" i="3" s="1"/>
  <c r="LRA23" i="3" s="1"/>
  <c r="LRB23" i="3" s="1"/>
  <c r="LRC23" i="3" s="1"/>
  <c r="LRD23" i="3" s="1"/>
  <c r="LRE23" i="3" s="1"/>
  <c r="LRF23" i="3" s="1"/>
  <c r="LRG23" i="3" s="1"/>
  <c r="LRH23" i="3" s="1"/>
  <c r="LRI23" i="3" s="1"/>
  <c r="LRJ23" i="3" s="1"/>
  <c r="LRK23" i="3" s="1"/>
  <c r="LRL23" i="3" s="1"/>
  <c r="LRM23" i="3" s="1"/>
  <c r="LRN23" i="3" s="1"/>
  <c r="LRO23" i="3" s="1"/>
  <c r="LRP23" i="3" s="1"/>
  <c r="LRQ23" i="3" s="1"/>
  <c r="LRR23" i="3" s="1"/>
  <c r="LRS23" i="3" s="1"/>
  <c r="LRT23" i="3" s="1"/>
  <c r="LRU23" i="3" s="1"/>
  <c r="LRV23" i="3" s="1"/>
  <c r="LRW23" i="3" s="1"/>
  <c r="LRX23" i="3" s="1"/>
  <c r="LRY23" i="3" s="1"/>
  <c r="LRZ23" i="3" s="1"/>
  <c r="LSA23" i="3" s="1"/>
  <c r="LSB23" i="3" s="1"/>
  <c r="LSC23" i="3" s="1"/>
  <c r="LSD23" i="3" s="1"/>
  <c r="LSE23" i="3" s="1"/>
  <c r="LSF23" i="3" s="1"/>
  <c r="LSG23" i="3" s="1"/>
  <c r="LSH23" i="3" s="1"/>
  <c r="LSI23" i="3" s="1"/>
  <c r="LSJ23" i="3" s="1"/>
  <c r="LSK23" i="3" s="1"/>
  <c r="LSL23" i="3" s="1"/>
  <c r="LSM23" i="3" s="1"/>
  <c r="LSN23" i="3" s="1"/>
  <c r="LSO23" i="3" s="1"/>
  <c r="LSP23" i="3" s="1"/>
  <c r="LSQ23" i="3" s="1"/>
  <c r="LSR23" i="3" s="1"/>
  <c r="LSS23" i="3" s="1"/>
  <c r="LST23" i="3" s="1"/>
  <c r="LSU23" i="3" s="1"/>
  <c r="LSV23" i="3" s="1"/>
  <c r="LSW23" i="3" s="1"/>
  <c r="LSX23" i="3" s="1"/>
  <c r="LSY23" i="3" s="1"/>
  <c r="LSZ23" i="3" s="1"/>
  <c r="LTA23" i="3" s="1"/>
  <c r="LTB23" i="3" s="1"/>
  <c r="LTC23" i="3" s="1"/>
  <c r="LTD23" i="3" s="1"/>
  <c r="LTE23" i="3" s="1"/>
  <c r="LTF23" i="3" s="1"/>
  <c r="LTG23" i="3" s="1"/>
  <c r="LTH23" i="3" s="1"/>
  <c r="LTI23" i="3" s="1"/>
  <c r="LTJ23" i="3" s="1"/>
  <c r="LTK23" i="3" s="1"/>
  <c r="LTL23" i="3" s="1"/>
  <c r="LTM23" i="3" s="1"/>
  <c r="LTN23" i="3" s="1"/>
  <c r="LTO23" i="3" s="1"/>
  <c r="LTP23" i="3" s="1"/>
  <c r="LTQ23" i="3" s="1"/>
  <c r="LTR23" i="3" s="1"/>
  <c r="LTS23" i="3" s="1"/>
  <c r="LTT23" i="3" s="1"/>
  <c r="LTU23" i="3" s="1"/>
  <c r="LTV23" i="3" s="1"/>
  <c r="LTW23" i="3" s="1"/>
  <c r="LTX23" i="3" s="1"/>
  <c r="LTY23" i="3" s="1"/>
  <c r="LTZ23" i="3" s="1"/>
  <c r="LUA23" i="3" s="1"/>
  <c r="LUB23" i="3" s="1"/>
  <c r="LUC23" i="3" s="1"/>
  <c r="LUD23" i="3" s="1"/>
  <c r="LUE23" i="3" s="1"/>
  <c r="LUF23" i="3" s="1"/>
  <c r="LUG23" i="3" s="1"/>
  <c r="LUH23" i="3" s="1"/>
  <c r="LUI23" i="3" s="1"/>
  <c r="LUJ23" i="3" s="1"/>
  <c r="LUK23" i="3" s="1"/>
  <c r="LUL23" i="3" s="1"/>
  <c r="LUM23" i="3" s="1"/>
  <c r="LUN23" i="3" s="1"/>
  <c r="LUO23" i="3" s="1"/>
  <c r="LUP23" i="3" s="1"/>
  <c r="LUQ23" i="3" s="1"/>
  <c r="LUR23" i="3" s="1"/>
  <c r="LUS23" i="3" s="1"/>
  <c r="LUT23" i="3" s="1"/>
  <c r="LUU23" i="3" s="1"/>
  <c r="LUV23" i="3" s="1"/>
  <c r="LUW23" i="3" s="1"/>
  <c r="LUX23" i="3" s="1"/>
  <c r="LUY23" i="3" s="1"/>
  <c r="LUZ23" i="3" s="1"/>
  <c r="LVA23" i="3" s="1"/>
  <c r="LVB23" i="3" s="1"/>
  <c r="LVC23" i="3" s="1"/>
  <c r="LVD23" i="3" s="1"/>
  <c r="LVE23" i="3" s="1"/>
  <c r="LVF23" i="3" s="1"/>
  <c r="LVG23" i="3" s="1"/>
  <c r="LVH23" i="3" s="1"/>
  <c r="LVI23" i="3" s="1"/>
  <c r="LVJ23" i="3" s="1"/>
  <c r="LVK23" i="3" s="1"/>
  <c r="LVL23" i="3" s="1"/>
  <c r="LVM23" i="3" s="1"/>
  <c r="LVN23" i="3" s="1"/>
  <c r="LVO23" i="3" s="1"/>
  <c r="LVP23" i="3" s="1"/>
  <c r="LVQ23" i="3" s="1"/>
  <c r="LVR23" i="3" s="1"/>
  <c r="LVS23" i="3" s="1"/>
  <c r="LVT23" i="3" s="1"/>
  <c r="LVU23" i="3" s="1"/>
  <c r="LVV23" i="3" s="1"/>
  <c r="LVW23" i="3" s="1"/>
  <c r="LVX23" i="3" s="1"/>
  <c r="LVY23" i="3" s="1"/>
  <c r="LVZ23" i="3" s="1"/>
  <c r="LWA23" i="3" s="1"/>
  <c r="LWB23" i="3" s="1"/>
  <c r="LWC23" i="3" s="1"/>
  <c r="LWD23" i="3" s="1"/>
  <c r="LWE23" i="3" s="1"/>
  <c r="LWF23" i="3" s="1"/>
  <c r="LWG23" i="3" s="1"/>
  <c r="LWH23" i="3" s="1"/>
  <c r="LWI23" i="3" s="1"/>
  <c r="LWJ23" i="3" s="1"/>
  <c r="LWK23" i="3" s="1"/>
  <c r="LWL23" i="3" s="1"/>
  <c r="LWM23" i="3" s="1"/>
  <c r="LWN23" i="3" s="1"/>
  <c r="LWO23" i="3" s="1"/>
  <c r="LWP23" i="3" s="1"/>
  <c r="LWQ23" i="3" s="1"/>
  <c r="LWR23" i="3" s="1"/>
  <c r="LWS23" i="3" s="1"/>
  <c r="LWT23" i="3" s="1"/>
  <c r="LWU23" i="3" s="1"/>
  <c r="LWV23" i="3" s="1"/>
  <c r="LWW23" i="3" s="1"/>
  <c r="LWX23" i="3" s="1"/>
  <c r="LWY23" i="3" s="1"/>
  <c r="LWZ23" i="3" s="1"/>
  <c r="LXA23" i="3" s="1"/>
  <c r="LXB23" i="3" s="1"/>
  <c r="LXC23" i="3" s="1"/>
  <c r="LXD23" i="3" s="1"/>
  <c r="LXE23" i="3" s="1"/>
  <c r="LXF23" i="3" s="1"/>
  <c r="LXG23" i="3" s="1"/>
  <c r="LXH23" i="3" s="1"/>
  <c r="LXI23" i="3" s="1"/>
  <c r="LXJ23" i="3" s="1"/>
  <c r="LXK23" i="3" s="1"/>
  <c r="LXL23" i="3" s="1"/>
  <c r="LXM23" i="3" s="1"/>
  <c r="LXN23" i="3" s="1"/>
  <c r="LXO23" i="3" s="1"/>
  <c r="LXP23" i="3" s="1"/>
  <c r="LXQ23" i="3" s="1"/>
  <c r="LXR23" i="3" s="1"/>
  <c r="LXS23" i="3" s="1"/>
  <c r="LXT23" i="3" s="1"/>
  <c r="LXU23" i="3" s="1"/>
  <c r="LXV23" i="3" s="1"/>
  <c r="LXW23" i="3" s="1"/>
  <c r="LXX23" i="3" s="1"/>
  <c r="LXY23" i="3" s="1"/>
  <c r="LXZ23" i="3" s="1"/>
  <c r="LYA23" i="3" s="1"/>
  <c r="LYB23" i="3" s="1"/>
  <c r="LYC23" i="3" s="1"/>
  <c r="LYD23" i="3" s="1"/>
  <c r="LYE23" i="3" s="1"/>
  <c r="LYF23" i="3" s="1"/>
  <c r="LYG23" i="3" s="1"/>
  <c r="LYH23" i="3" s="1"/>
  <c r="LYI23" i="3" s="1"/>
  <c r="LYJ23" i="3" s="1"/>
  <c r="LYK23" i="3" s="1"/>
  <c r="LYL23" i="3" s="1"/>
  <c r="LYM23" i="3" s="1"/>
  <c r="LYN23" i="3" s="1"/>
  <c r="LYO23" i="3" s="1"/>
  <c r="LYP23" i="3" s="1"/>
  <c r="LYQ23" i="3" s="1"/>
  <c r="LYR23" i="3" s="1"/>
  <c r="LYS23" i="3" s="1"/>
  <c r="LYT23" i="3" s="1"/>
  <c r="LYU23" i="3" s="1"/>
  <c r="LYV23" i="3" s="1"/>
  <c r="LYW23" i="3" s="1"/>
  <c r="LYX23" i="3" s="1"/>
  <c r="LYY23" i="3" s="1"/>
  <c r="LYZ23" i="3" s="1"/>
  <c r="LZA23" i="3" s="1"/>
  <c r="LZB23" i="3" s="1"/>
  <c r="LZC23" i="3" s="1"/>
  <c r="LZD23" i="3" s="1"/>
  <c r="LZE23" i="3" s="1"/>
  <c r="LZF23" i="3" s="1"/>
  <c r="LZG23" i="3" s="1"/>
  <c r="LZH23" i="3" s="1"/>
  <c r="LZI23" i="3" s="1"/>
  <c r="LZJ23" i="3" s="1"/>
  <c r="LZK23" i="3" s="1"/>
  <c r="LZL23" i="3" s="1"/>
  <c r="LZM23" i="3" s="1"/>
  <c r="LZN23" i="3" s="1"/>
  <c r="LZO23" i="3" s="1"/>
  <c r="LZP23" i="3" s="1"/>
  <c r="LZQ23" i="3" s="1"/>
  <c r="LZR23" i="3" s="1"/>
  <c r="LZS23" i="3" s="1"/>
  <c r="LZT23" i="3" s="1"/>
  <c r="LZU23" i="3" s="1"/>
  <c r="LZV23" i="3" s="1"/>
  <c r="LZW23" i="3" s="1"/>
  <c r="LZX23" i="3" s="1"/>
  <c r="LZY23" i="3" s="1"/>
  <c r="LZZ23" i="3" s="1"/>
  <c r="MAA23" i="3" s="1"/>
  <c r="MAB23" i="3" s="1"/>
  <c r="MAC23" i="3" s="1"/>
  <c r="MAD23" i="3" s="1"/>
  <c r="MAE23" i="3" s="1"/>
  <c r="MAF23" i="3" s="1"/>
  <c r="MAG23" i="3" s="1"/>
  <c r="MAH23" i="3" s="1"/>
  <c r="MAI23" i="3" s="1"/>
  <c r="MAJ23" i="3" s="1"/>
  <c r="MAK23" i="3" s="1"/>
  <c r="MAL23" i="3" s="1"/>
  <c r="MAM23" i="3" s="1"/>
  <c r="MAN23" i="3" s="1"/>
  <c r="MAO23" i="3" s="1"/>
  <c r="MAP23" i="3" s="1"/>
  <c r="MAQ23" i="3" s="1"/>
  <c r="MAR23" i="3" s="1"/>
  <c r="MAS23" i="3" s="1"/>
  <c r="MAT23" i="3" s="1"/>
  <c r="MAU23" i="3" s="1"/>
  <c r="MAV23" i="3" s="1"/>
  <c r="MAW23" i="3" s="1"/>
  <c r="MAX23" i="3" s="1"/>
  <c r="MAY23" i="3" s="1"/>
  <c r="MAZ23" i="3" s="1"/>
  <c r="MBA23" i="3" s="1"/>
  <c r="MBB23" i="3" s="1"/>
  <c r="MBC23" i="3" s="1"/>
  <c r="MBD23" i="3" s="1"/>
  <c r="MBE23" i="3" s="1"/>
  <c r="MBF23" i="3" s="1"/>
  <c r="MBG23" i="3" s="1"/>
  <c r="MBH23" i="3" s="1"/>
  <c r="MBI23" i="3" s="1"/>
  <c r="MBJ23" i="3" s="1"/>
  <c r="MBK23" i="3" s="1"/>
  <c r="MBL23" i="3" s="1"/>
  <c r="MBM23" i="3" s="1"/>
  <c r="MBN23" i="3" s="1"/>
  <c r="MBO23" i="3" s="1"/>
  <c r="MBP23" i="3" s="1"/>
  <c r="MBQ23" i="3" s="1"/>
  <c r="MBR23" i="3" s="1"/>
  <c r="MBS23" i="3" s="1"/>
  <c r="MBT23" i="3" s="1"/>
  <c r="MBU23" i="3" s="1"/>
  <c r="MBV23" i="3" s="1"/>
  <c r="MBW23" i="3" s="1"/>
  <c r="MBX23" i="3" s="1"/>
  <c r="MBY23" i="3" s="1"/>
  <c r="MBZ23" i="3" s="1"/>
  <c r="MCA23" i="3" s="1"/>
  <c r="MCB23" i="3" s="1"/>
  <c r="MCC23" i="3" s="1"/>
  <c r="MCD23" i="3" s="1"/>
  <c r="MCE23" i="3" s="1"/>
  <c r="MCF23" i="3" s="1"/>
  <c r="MCG23" i="3" s="1"/>
  <c r="MCH23" i="3" s="1"/>
  <c r="MCI23" i="3" s="1"/>
  <c r="MCJ23" i="3" s="1"/>
  <c r="MCK23" i="3" s="1"/>
  <c r="MCL23" i="3" s="1"/>
  <c r="MCM23" i="3" s="1"/>
  <c r="MCN23" i="3" s="1"/>
  <c r="MCO23" i="3" s="1"/>
  <c r="MCP23" i="3" s="1"/>
  <c r="MCQ23" i="3" s="1"/>
  <c r="MCR23" i="3" s="1"/>
  <c r="MCS23" i="3" s="1"/>
  <c r="MCT23" i="3" s="1"/>
  <c r="MCU23" i="3" s="1"/>
  <c r="MCV23" i="3" s="1"/>
  <c r="MCW23" i="3" s="1"/>
  <c r="MCX23" i="3" s="1"/>
  <c r="MCY23" i="3" s="1"/>
  <c r="MCZ23" i="3" s="1"/>
  <c r="MDA23" i="3" s="1"/>
  <c r="MDB23" i="3" s="1"/>
  <c r="MDC23" i="3" s="1"/>
  <c r="MDD23" i="3" s="1"/>
  <c r="MDE23" i="3" s="1"/>
  <c r="MDF23" i="3" s="1"/>
  <c r="MDG23" i="3" s="1"/>
  <c r="MDH23" i="3" s="1"/>
  <c r="MDI23" i="3" s="1"/>
  <c r="MDJ23" i="3" s="1"/>
  <c r="MDK23" i="3" s="1"/>
  <c r="MDL23" i="3" s="1"/>
  <c r="MDM23" i="3" s="1"/>
  <c r="MDN23" i="3" s="1"/>
  <c r="MDO23" i="3" s="1"/>
  <c r="MDP23" i="3" s="1"/>
  <c r="MDQ23" i="3" s="1"/>
  <c r="MDR23" i="3" s="1"/>
  <c r="MDS23" i="3" s="1"/>
  <c r="MDT23" i="3" s="1"/>
  <c r="MDU23" i="3" s="1"/>
  <c r="MDV23" i="3" s="1"/>
  <c r="MDW23" i="3" s="1"/>
  <c r="MDX23" i="3" s="1"/>
  <c r="MDY23" i="3" s="1"/>
  <c r="MDZ23" i="3" s="1"/>
  <c r="MEA23" i="3" s="1"/>
  <c r="MEB23" i="3" s="1"/>
  <c r="MEC23" i="3" s="1"/>
  <c r="MED23" i="3" s="1"/>
  <c r="MEE23" i="3" s="1"/>
  <c r="MEF23" i="3" s="1"/>
  <c r="MEG23" i="3" s="1"/>
  <c r="MEH23" i="3" s="1"/>
  <c r="MEI23" i="3" s="1"/>
  <c r="MEJ23" i="3" s="1"/>
  <c r="MEK23" i="3" s="1"/>
  <c r="MEL23" i="3" s="1"/>
  <c r="MEM23" i="3" s="1"/>
  <c r="MEN23" i="3" s="1"/>
  <c r="MEO23" i="3" s="1"/>
  <c r="MEP23" i="3" s="1"/>
  <c r="MEQ23" i="3" s="1"/>
  <c r="MER23" i="3" s="1"/>
  <c r="MES23" i="3" s="1"/>
  <c r="MET23" i="3" s="1"/>
  <c r="MEU23" i="3" s="1"/>
  <c r="MEV23" i="3" s="1"/>
  <c r="MEW23" i="3" s="1"/>
  <c r="MEX23" i="3" s="1"/>
  <c r="MEY23" i="3" s="1"/>
  <c r="MEZ23" i="3" s="1"/>
  <c r="MFA23" i="3" s="1"/>
  <c r="MFB23" i="3" s="1"/>
  <c r="MFC23" i="3" s="1"/>
  <c r="MFD23" i="3" s="1"/>
  <c r="MFE23" i="3" s="1"/>
  <c r="MFF23" i="3" s="1"/>
  <c r="MFG23" i="3" s="1"/>
  <c r="MFH23" i="3" s="1"/>
  <c r="MFI23" i="3" s="1"/>
  <c r="MFJ23" i="3" s="1"/>
  <c r="MFK23" i="3" s="1"/>
  <c r="MFL23" i="3" s="1"/>
  <c r="MFM23" i="3" s="1"/>
  <c r="MFN23" i="3" s="1"/>
  <c r="MFO23" i="3" s="1"/>
  <c r="MFP23" i="3" s="1"/>
  <c r="MFQ23" i="3" s="1"/>
  <c r="MFR23" i="3" s="1"/>
  <c r="MFS23" i="3" s="1"/>
  <c r="MFT23" i="3" s="1"/>
  <c r="MFU23" i="3" s="1"/>
  <c r="MFV23" i="3" s="1"/>
  <c r="MFW23" i="3" s="1"/>
  <c r="MFX23" i="3" s="1"/>
  <c r="MFY23" i="3" s="1"/>
  <c r="MFZ23" i="3" s="1"/>
  <c r="MGA23" i="3" s="1"/>
  <c r="MGB23" i="3" s="1"/>
  <c r="MGC23" i="3" s="1"/>
  <c r="MGD23" i="3" s="1"/>
  <c r="MGE23" i="3" s="1"/>
  <c r="MGF23" i="3" s="1"/>
  <c r="MGG23" i="3" s="1"/>
  <c r="MGH23" i="3" s="1"/>
  <c r="MGI23" i="3" s="1"/>
  <c r="MGJ23" i="3" s="1"/>
  <c r="MGK23" i="3" s="1"/>
  <c r="MGL23" i="3" s="1"/>
  <c r="MGM23" i="3" s="1"/>
  <c r="MGN23" i="3" s="1"/>
  <c r="MGO23" i="3" s="1"/>
  <c r="MGP23" i="3" s="1"/>
  <c r="MGQ23" i="3" s="1"/>
  <c r="MGR23" i="3" s="1"/>
  <c r="MGS23" i="3" s="1"/>
  <c r="MGT23" i="3" s="1"/>
  <c r="MGU23" i="3" s="1"/>
  <c r="MGV23" i="3" s="1"/>
  <c r="MGW23" i="3" s="1"/>
  <c r="MGX23" i="3" s="1"/>
  <c r="MGY23" i="3" s="1"/>
  <c r="MGZ23" i="3" s="1"/>
  <c r="MHA23" i="3" s="1"/>
  <c r="MHB23" i="3" s="1"/>
  <c r="MHC23" i="3" s="1"/>
  <c r="MHD23" i="3" s="1"/>
  <c r="MHE23" i="3" s="1"/>
  <c r="MHF23" i="3" s="1"/>
  <c r="MHG23" i="3" s="1"/>
  <c r="MHH23" i="3" s="1"/>
  <c r="MHI23" i="3" s="1"/>
  <c r="MHJ23" i="3" s="1"/>
  <c r="MHK23" i="3" s="1"/>
  <c r="MHL23" i="3" s="1"/>
  <c r="MHM23" i="3" s="1"/>
  <c r="MHN23" i="3" s="1"/>
  <c r="MHO23" i="3" s="1"/>
  <c r="MHP23" i="3" s="1"/>
  <c r="MHQ23" i="3" s="1"/>
  <c r="MHR23" i="3" s="1"/>
  <c r="MHS23" i="3" s="1"/>
  <c r="MHT23" i="3" s="1"/>
  <c r="MHU23" i="3" s="1"/>
  <c r="MHV23" i="3" s="1"/>
  <c r="MHW23" i="3" s="1"/>
  <c r="MHX23" i="3" s="1"/>
  <c r="MHY23" i="3" s="1"/>
  <c r="MHZ23" i="3" s="1"/>
  <c r="MIA23" i="3" s="1"/>
  <c r="MIB23" i="3" s="1"/>
  <c r="MIC23" i="3" s="1"/>
  <c r="MID23" i="3" s="1"/>
  <c r="MIE23" i="3" s="1"/>
  <c r="MIF23" i="3" s="1"/>
  <c r="MIG23" i="3" s="1"/>
  <c r="MIH23" i="3" s="1"/>
  <c r="MII23" i="3" s="1"/>
  <c r="MIJ23" i="3" s="1"/>
  <c r="MIK23" i="3" s="1"/>
  <c r="MIL23" i="3" s="1"/>
  <c r="MIM23" i="3" s="1"/>
  <c r="MIN23" i="3" s="1"/>
  <c r="MIO23" i="3" s="1"/>
  <c r="MIP23" i="3" s="1"/>
  <c r="MIQ23" i="3" s="1"/>
  <c r="MIR23" i="3" s="1"/>
  <c r="MIS23" i="3" s="1"/>
  <c r="MIT23" i="3" s="1"/>
  <c r="MIU23" i="3" s="1"/>
  <c r="MIV23" i="3" s="1"/>
  <c r="MIW23" i="3" s="1"/>
  <c r="MIX23" i="3" s="1"/>
  <c r="MIY23" i="3" s="1"/>
  <c r="MIZ23" i="3" s="1"/>
  <c r="MJA23" i="3" s="1"/>
  <c r="MJB23" i="3" s="1"/>
  <c r="MJC23" i="3" s="1"/>
  <c r="MJD23" i="3" s="1"/>
  <c r="MJE23" i="3" s="1"/>
  <c r="MJF23" i="3" s="1"/>
  <c r="MJG23" i="3" s="1"/>
  <c r="MJH23" i="3" s="1"/>
  <c r="MJI23" i="3" s="1"/>
  <c r="MJJ23" i="3" s="1"/>
  <c r="MJK23" i="3" s="1"/>
  <c r="MJL23" i="3" s="1"/>
  <c r="MJM23" i="3" s="1"/>
  <c r="MJN23" i="3" s="1"/>
  <c r="MJO23" i="3" s="1"/>
  <c r="MJP23" i="3" s="1"/>
  <c r="MJQ23" i="3" s="1"/>
  <c r="MJR23" i="3" s="1"/>
  <c r="MJS23" i="3" s="1"/>
  <c r="MJT23" i="3" s="1"/>
  <c r="MJU23" i="3" s="1"/>
  <c r="MJV23" i="3" s="1"/>
  <c r="MJW23" i="3" s="1"/>
  <c r="MJX23" i="3" s="1"/>
  <c r="MJY23" i="3" s="1"/>
  <c r="MJZ23" i="3" s="1"/>
  <c r="MKA23" i="3" s="1"/>
  <c r="MKB23" i="3" s="1"/>
  <c r="MKC23" i="3" s="1"/>
  <c r="MKD23" i="3" s="1"/>
  <c r="MKE23" i="3" s="1"/>
  <c r="MKF23" i="3" s="1"/>
  <c r="MKG23" i="3" s="1"/>
  <c r="MKH23" i="3" s="1"/>
  <c r="MKI23" i="3" s="1"/>
  <c r="MKJ23" i="3" s="1"/>
  <c r="MKK23" i="3" s="1"/>
  <c r="MKL23" i="3" s="1"/>
  <c r="MKM23" i="3" s="1"/>
  <c r="MKN23" i="3" s="1"/>
  <c r="MKO23" i="3" s="1"/>
  <c r="MKP23" i="3" s="1"/>
  <c r="MKQ23" i="3" s="1"/>
  <c r="MKR23" i="3" s="1"/>
  <c r="MKS23" i="3" s="1"/>
  <c r="MKT23" i="3" s="1"/>
  <c r="MKU23" i="3" s="1"/>
  <c r="MKV23" i="3" s="1"/>
  <c r="MKW23" i="3" s="1"/>
  <c r="MKX23" i="3" s="1"/>
  <c r="MKY23" i="3" s="1"/>
  <c r="MKZ23" i="3" s="1"/>
  <c r="MLA23" i="3" s="1"/>
  <c r="MLB23" i="3" s="1"/>
  <c r="MLC23" i="3" s="1"/>
  <c r="MLD23" i="3" s="1"/>
  <c r="MLE23" i="3" s="1"/>
  <c r="MLF23" i="3" s="1"/>
  <c r="MLG23" i="3" s="1"/>
  <c r="MLH23" i="3" s="1"/>
  <c r="MLI23" i="3" s="1"/>
  <c r="MLJ23" i="3" s="1"/>
  <c r="MLK23" i="3" s="1"/>
  <c r="MLL23" i="3" s="1"/>
  <c r="MLM23" i="3" s="1"/>
  <c r="MLN23" i="3" s="1"/>
  <c r="MLO23" i="3" s="1"/>
  <c r="MLP23" i="3" s="1"/>
  <c r="MLQ23" i="3" s="1"/>
  <c r="MLR23" i="3" s="1"/>
  <c r="MLS23" i="3" s="1"/>
  <c r="MLT23" i="3" s="1"/>
  <c r="MLU23" i="3" s="1"/>
  <c r="MLV23" i="3" s="1"/>
  <c r="MLW23" i="3" s="1"/>
  <c r="MLX23" i="3" s="1"/>
  <c r="MLY23" i="3" s="1"/>
  <c r="MLZ23" i="3" s="1"/>
  <c r="MMA23" i="3" s="1"/>
  <c r="MMB23" i="3" s="1"/>
  <c r="MMC23" i="3" s="1"/>
  <c r="MMD23" i="3" s="1"/>
  <c r="MME23" i="3" s="1"/>
  <c r="MMF23" i="3" s="1"/>
  <c r="MMG23" i="3" s="1"/>
  <c r="MMH23" i="3" s="1"/>
  <c r="MMI23" i="3" s="1"/>
  <c r="MMJ23" i="3" s="1"/>
  <c r="MMK23" i="3" s="1"/>
  <c r="MML23" i="3" s="1"/>
  <c r="MMM23" i="3" s="1"/>
  <c r="MMN23" i="3" s="1"/>
  <c r="MMO23" i="3" s="1"/>
  <c r="MMP23" i="3" s="1"/>
  <c r="MMQ23" i="3" s="1"/>
  <c r="MMR23" i="3" s="1"/>
  <c r="MMS23" i="3" s="1"/>
  <c r="MMT23" i="3" s="1"/>
  <c r="MMU23" i="3" s="1"/>
  <c r="MMV23" i="3" s="1"/>
  <c r="MMW23" i="3" s="1"/>
  <c r="MMX23" i="3" s="1"/>
  <c r="MMY23" i="3" s="1"/>
  <c r="MMZ23" i="3" s="1"/>
  <c r="MNA23" i="3" s="1"/>
  <c r="MNB23" i="3" s="1"/>
  <c r="MNC23" i="3" s="1"/>
  <c r="MND23" i="3" s="1"/>
  <c r="MNE23" i="3" s="1"/>
  <c r="MNF23" i="3" s="1"/>
  <c r="MNG23" i="3" s="1"/>
  <c r="MNH23" i="3" s="1"/>
  <c r="MNI23" i="3" s="1"/>
  <c r="MNJ23" i="3" s="1"/>
  <c r="MNK23" i="3" s="1"/>
  <c r="MNL23" i="3" s="1"/>
  <c r="MNM23" i="3" s="1"/>
  <c r="MNN23" i="3" s="1"/>
  <c r="MNO23" i="3" s="1"/>
  <c r="MNP23" i="3" s="1"/>
  <c r="MNQ23" i="3" s="1"/>
  <c r="MNR23" i="3" s="1"/>
  <c r="MNS23" i="3" s="1"/>
  <c r="MNT23" i="3" s="1"/>
  <c r="MNU23" i="3" s="1"/>
  <c r="MNV23" i="3" s="1"/>
  <c r="MNW23" i="3" s="1"/>
  <c r="MNX23" i="3" s="1"/>
  <c r="MNY23" i="3" s="1"/>
  <c r="MNZ23" i="3" s="1"/>
  <c r="MOA23" i="3" s="1"/>
  <c r="MOB23" i="3" s="1"/>
  <c r="MOC23" i="3" s="1"/>
  <c r="MOD23" i="3" s="1"/>
  <c r="MOE23" i="3" s="1"/>
  <c r="MOF23" i="3" s="1"/>
  <c r="MOG23" i="3" s="1"/>
  <c r="MOH23" i="3" s="1"/>
  <c r="MOI23" i="3" s="1"/>
  <c r="MOJ23" i="3" s="1"/>
  <c r="MOK23" i="3" s="1"/>
  <c r="MOL23" i="3" s="1"/>
  <c r="MOM23" i="3" s="1"/>
  <c r="MON23" i="3" s="1"/>
  <c r="MOO23" i="3" s="1"/>
  <c r="MOP23" i="3" s="1"/>
  <c r="MOQ23" i="3" s="1"/>
  <c r="MOR23" i="3" s="1"/>
  <c r="MOS23" i="3" s="1"/>
  <c r="MOT23" i="3" s="1"/>
  <c r="MOU23" i="3" s="1"/>
  <c r="MOV23" i="3" s="1"/>
  <c r="MOW23" i="3" s="1"/>
  <c r="MOX23" i="3" s="1"/>
  <c r="MOY23" i="3" s="1"/>
  <c r="MOZ23" i="3" s="1"/>
  <c r="MPA23" i="3" s="1"/>
  <c r="MPB23" i="3" s="1"/>
  <c r="MPC23" i="3" s="1"/>
  <c r="MPD23" i="3" s="1"/>
  <c r="MPE23" i="3" s="1"/>
  <c r="MPF23" i="3" s="1"/>
  <c r="MPG23" i="3" s="1"/>
  <c r="MPH23" i="3" s="1"/>
  <c r="MPI23" i="3" s="1"/>
  <c r="MPJ23" i="3" s="1"/>
  <c r="MPK23" i="3" s="1"/>
  <c r="MPL23" i="3" s="1"/>
  <c r="MPM23" i="3" s="1"/>
  <c r="MPN23" i="3" s="1"/>
  <c r="MPO23" i="3" s="1"/>
  <c r="MPP23" i="3" s="1"/>
  <c r="MPQ23" i="3" s="1"/>
  <c r="MPR23" i="3" s="1"/>
  <c r="MPS23" i="3" s="1"/>
  <c r="MPT23" i="3" s="1"/>
  <c r="MPU23" i="3" s="1"/>
  <c r="MPV23" i="3" s="1"/>
  <c r="MPW23" i="3" s="1"/>
  <c r="MPX23" i="3" s="1"/>
  <c r="MPY23" i="3" s="1"/>
  <c r="MPZ23" i="3" s="1"/>
  <c r="MQA23" i="3" s="1"/>
  <c r="MQB23" i="3" s="1"/>
  <c r="MQC23" i="3" s="1"/>
  <c r="MQD23" i="3" s="1"/>
  <c r="MQE23" i="3" s="1"/>
  <c r="MQF23" i="3" s="1"/>
  <c r="MQG23" i="3" s="1"/>
  <c r="MQH23" i="3" s="1"/>
  <c r="MQI23" i="3" s="1"/>
  <c r="MQJ23" i="3" s="1"/>
  <c r="MQK23" i="3" s="1"/>
  <c r="MQL23" i="3" s="1"/>
  <c r="MQM23" i="3" s="1"/>
  <c r="MQN23" i="3" s="1"/>
  <c r="MQO23" i="3" s="1"/>
  <c r="MQP23" i="3" s="1"/>
  <c r="MQQ23" i="3" s="1"/>
  <c r="MQR23" i="3" s="1"/>
  <c r="MQS23" i="3" s="1"/>
  <c r="MQT23" i="3" s="1"/>
  <c r="MQU23" i="3" s="1"/>
  <c r="MQV23" i="3" s="1"/>
  <c r="MQW23" i="3" s="1"/>
  <c r="MQX23" i="3" s="1"/>
  <c r="MQY23" i="3" s="1"/>
  <c r="MQZ23" i="3" s="1"/>
  <c r="MRA23" i="3" s="1"/>
  <c r="MRB23" i="3" s="1"/>
  <c r="MRC23" i="3" s="1"/>
  <c r="MRD23" i="3" s="1"/>
  <c r="MRE23" i="3" s="1"/>
  <c r="MRF23" i="3" s="1"/>
  <c r="MRG23" i="3" s="1"/>
  <c r="MRH23" i="3" s="1"/>
  <c r="MRI23" i="3" s="1"/>
  <c r="MRJ23" i="3" s="1"/>
  <c r="MRK23" i="3" s="1"/>
  <c r="MRL23" i="3" s="1"/>
  <c r="MRM23" i="3" s="1"/>
  <c r="MRN23" i="3" s="1"/>
  <c r="MRO23" i="3" s="1"/>
  <c r="MRP23" i="3" s="1"/>
  <c r="MRQ23" i="3" s="1"/>
  <c r="MRR23" i="3" s="1"/>
  <c r="MRS23" i="3" s="1"/>
  <c r="MRT23" i="3" s="1"/>
  <c r="MRU23" i="3" s="1"/>
  <c r="MRV23" i="3" s="1"/>
  <c r="MRW23" i="3" s="1"/>
  <c r="MRX23" i="3" s="1"/>
  <c r="MRY23" i="3" s="1"/>
  <c r="MRZ23" i="3" s="1"/>
  <c r="MSA23" i="3" s="1"/>
  <c r="MSB23" i="3" s="1"/>
  <c r="MSC23" i="3" s="1"/>
  <c r="MSD23" i="3" s="1"/>
  <c r="MSE23" i="3" s="1"/>
  <c r="MSF23" i="3" s="1"/>
  <c r="MSG23" i="3" s="1"/>
  <c r="MSH23" i="3" s="1"/>
  <c r="MSI23" i="3" s="1"/>
  <c r="MSJ23" i="3" s="1"/>
  <c r="MSK23" i="3" s="1"/>
  <c r="MSL23" i="3" s="1"/>
  <c r="MSM23" i="3" s="1"/>
  <c r="MSN23" i="3" s="1"/>
  <c r="MSO23" i="3" s="1"/>
  <c r="MSP23" i="3" s="1"/>
  <c r="MSQ23" i="3" s="1"/>
  <c r="MSR23" i="3" s="1"/>
  <c r="MSS23" i="3" s="1"/>
  <c r="MST23" i="3" s="1"/>
  <c r="MSU23" i="3" s="1"/>
  <c r="MSV23" i="3" s="1"/>
  <c r="MSW23" i="3" s="1"/>
  <c r="MSX23" i="3" s="1"/>
  <c r="MSY23" i="3" s="1"/>
  <c r="MSZ23" i="3" s="1"/>
  <c r="MTA23" i="3" s="1"/>
  <c r="MTB23" i="3" s="1"/>
  <c r="MTC23" i="3" s="1"/>
  <c r="MTD23" i="3" s="1"/>
  <c r="MTE23" i="3" s="1"/>
  <c r="MTF23" i="3" s="1"/>
  <c r="MTG23" i="3" s="1"/>
  <c r="MTH23" i="3" s="1"/>
  <c r="MTI23" i="3" s="1"/>
  <c r="MTJ23" i="3" s="1"/>
  <c r="MTK23" i="3" s="1"/>
  <c r="MTL23" i="3" s="1"/>
  <c r="MTM23" i="3" s="1"/>
  <c r="MTN23" i="3" s="1"/>
  <c r="MTO23" i="3" s="1"/>
  <c r="MTP23" i="3" s="1"/>
  <c r="MTQ23" i="3" s="1"/>
  <c r="MTR23" i="3" s="1"/>
  <c r="MTS23" i="3" s="1"/>
  <c r="MTT23" i="3" s="1"/>
  <c r="MTU23" i="3" s="1"/>
  <c r="MTV23" i="3" s="1"/>
  <c r="MTW23" i="3" s="1"/>
  <c r="MTX23" i="3" s="1"/>
  <c r="MTY23" i="3" s="1"/>
  <c r="MTZ23" i="3" s="1"/>
  <c r="MUA23" i="3" s="1"/>
  <c r="MUB23" i="3" s="1"/>
  <c r="MUC23" i="3" s="1"/>
  <c r="MUD23" i="3" s="1"/>
  <c r="MUE23" i="3" s="1"/>
  <c r="MUF23" i="3" s="1"/>
  <c r="MUG23" i="3" s="1"/>
  <c r="MUH23" i="3" s="1"/>
  <c r="MUI23" i="3" s="1"/>
  <c r="MUJ23" i="3" s="1"/>
  <c r="MUK23" i="3" s="1"/>
  <c r="MUL23" i="3" s="1"/>
  <c r="MUM23" i="3" s="1"/>
  <c r="MUN23" i="3" s="1"/>
  <c r="MUO23" i="3" s="1"/>
  <c r="MUP23" i="3" s="1"/>
  <c r="MUQ23" i="3" s="1"/>
  <c r="MUR23" i="3" s="1"/>
  <c r="MUS23" i="3" s="1"/>
  <c r="MUT23" i="3" s="1"/>
  <c r="MUU23" i="3" s="1"/>
  <c r="MUV23" i="3" s="1"/>
  <c r="MUW23" i="3" s="1"/>
  <c r="MUX23" i="3" s="1"/>
  <c r="MUY23" i="3" s="1"/>
  <c r="MUZ23" i="3" s="1"/>
  <c r="MVA23" i="3" s="1"/>
  <c r="MVB23" i="3" s="1"/>
  <c r="MVC23" i="3" s="1"/>
  <c r="MVD23" i="3" s="1"/>
  <c r="MVE23" i="3" s="1"/>
  <c r="MVF23" i="3" s="1"/>
  <c r="MVG23" i="3" s="1"/>
  <c r="MVH23" i="3" s="1"/>
  <c r="MVI23" i="3" s="1"/>
  <c r="MVJ23" i="3" s="1"/>
  <c r="MVK23" i="3" s="1"/>
  <c r="MVL23" i="3" s="1"/>
  <c r="MVM23" i="3" s="1"/>
  <c r="MVN23" i="3" s="1"/>
  <c r="MVO23" i="3" s="1"/>
  <c r="MVP23" i="3" s="1"/>
  <c r="MVQ23" i="3" s="1"/>
  <c r="MVR23" i="3" s="1"/>
  <c r="MVS23" i="3" s="1"/>
  <c r="MVT23" i="3" s="1"/>
  <c r="MVU23" i="3" s="1"/>
  <c r="MVV23" i="3" s="1"/>
  <c r="MVW23" i="3" s="1"/>
  <c r="MVX23" i="3" s="1"/>
  <c r="MVY23" i="3" s="1"/>
  <c r="MVZ23" i="3" s="1"/>
  <c r="MWA23" i="3" s="1"/>
  <c r="MWB23" i="3" s="1"/>
  <c r="MWC23" i="3" s="1"/>
  <c r="MWD23" i="3" s="1"/>
  <c r="MWE23" i="3" s="1"/>
  <c r="MWF23" i="3" s="1"/>
  <c r="MWG23" i="3" s="1"/>
  <c r="MWH23" i="3" s="1"/>
  <c r="MWI23" i="3" s="1"/>
  <c r="MWJ23" i="3" s="1"/>
  <c r="MWK23" i="3" s="1"/>
  <c r="MWL23" i="3" s="1"/>
  <c r="MWM23" i="3" s="1"/>
  <c r="MWN23" i="3" s="1"/>
  <c r="MWO23" i="3" s="1"/>
  <c r="MWP23" i="3" s="1"/>
  <c r="MWQ23" i="3" s="1"/>
  <c r="MWR23" i="3" s="1"/>
  <c r="MWS23" i="3" s="1"/>
  <c r="MWT23" i="3" s="1"/>
  <c r="MWU23" i="3" s="1"/>
  <c r="MWV23" i="3" s="1"/>
  <c r="MWW23" i="3" s="1"/>
  <c r="MWX23" i="3" s="1"/>
  <c r="MWY23" i="3" s="1"/>
  <c r="MWZ23" i="3" s="1"/>
  <c r="MXA23" i="3" s="1"/>
  <c r="MXB23" i="3" s="1"/>
  <c r="MXC23" i="3" s="1"/>
  <c r="MXD23" i="3" s="1"/>
  <c r="MXE23" i="3" s="1"/>
  <c r="MXF23" i="3" s="1"/>
  <c r="MXG23" i="3" s="1"/>
  <c r="MXH23" i="3" s="1"/>
  <c r="MXI23" i="3" s="1"/>
  <c r="MXJ23" i="3" s="1"/>
  <c r="MXK23" i="3" s="1"/>
  <c r="MXL23" i="3" s="1"/>
  <c r="MXM23" i="3" s="1"/>
  <c r="MXN23" i="3" s="1"/>
  <c r="MXO23" i="3" s="1"/>
  <c r="MXP23" i="3" s="1"/>
  <c r="MXQ23" i="3" s="1"/>
  <c r="MXR23" i="3" s="1"/>
  <c r="MXS23" i="3" s="1"/>
  <c r="MXT23" i="3" s="1"/>
  <c r="MXU23" i="3" s="1"/>
  <c r="MXV23" i="3" s="1"/>
  <c r="MXW23" i="3" s="1"/>
  <c r="MXX23" i="3" s="1"/>
  <c r="MXY23" i="3" s="1"/>
  <c r="MXZ23" i="3" s="1"/>
  <c r="MYA23" i="3" s="1"/>
  <c r="MYB23" i="3" s="1"/>
  <c r="MYC23" i="3" s="1"/>
  <c r="MYD23" i="3" s="1"/>
  <c r="MYE23" i="3" s="1"/>
  <c r="MYF23" i="3" s="1"/>
  <c r="MYG23" i="3" s="1"/>
  <c r="MYH23" i="3" s="1"/>
  <c r="MYI23" i="3" s="1"/>
  <c r="MYJ23" i="3" s="1"/>
  <c r="MYK23" i="3" s="1"/>
  <c r="MYL23" i="3" s="1"/>
  <c r="MYM23" i="3" s="1"/>
  <c r="MYN23" i="3" s="1"/>
  <c r="MYO23" i="3" s="1"/>
  <c r="MYP23" i="3" s="1"/>
  <c r="MYQ23" i="3" s="1"/>
  <c r="MYR23" i="3" s="1"/>
  <c r="MYS23" i="3" s="1"/>
  <c r="MYT23" i="3" s="1"/>
  <c r="MYU23" i="3" s="1"/>
  <c r="MYV23" i="3" s="1"/>
  <c r="MYW23" i="3" s="1"/>
  <c r="MYX23" i="3" s="1"/>
  <c r="MYY23" i="3" s="1"/>
  <c r="MYZ23" i="3" s="1"/>
  <c r="MZA23" i="3" s="1"/>
  <c r="MZB23" i="3" s="1"/>
  <c r="MZC23" i="3" s="1"/>
  <c r="MZD23" i="3" s="1"/>
  <c r="MZE23" i="3" s="1"/>
  <c r="MZF23" i="3" s="1"/>
  <c r="MZG23" i="3" s="1"/>
  <c r="MZH23" i="3" s="1"/>
  <c r="MZI23" i="3" s="1"/>
  <c r="MZJ23" i="3" s="1"/>
  <c r="MZK23" i="3" s="1"/>
  <c r="MZL23" i="3" s="1"/>
  <c r="MZM23" i="3" s="1"/>
  <c r="MZN23" i="3" s="1"/>
  <c r="MZO23" i="3" s="1"/>
  <c r="MZP23" i="3" s="1"/>
  <c r="MZQ23" i="3" s="1"/>
  <c r="MZR23" i="3" s="1"/>
  <c r="MZS23" i="3" s="1"/>
  <c r="MZT23" i="3" s="1"/>
  <c r="MZU23" i="3" s="1"/>
  <c r="MZV23" i="3" s="1"/>
  <c r="MZW23" i="3" s="1"/>
  <c r="MZX23" i="3" s="1"/>
  <c r="MZY23" i="3" s="1"/>
  <c r="MZZ23" i="3" s="1"/>
  <c r="NAA23" i="3" s="1"/>
  <c r="NAB23" i="3" s="1"/>
  <c r="NAC23" i="3" s="1"/>
  <c r="NAD23" i="3" s="1"/>
  <c r="NAE23" i="3" s="1"/>
  <c r="NAF23" i="3" s="1"/>
  <c r="NAG23" i="3" s="1"/>
  <c r="NAH23" i="3" s="1"/>
  <c r="NAI23" i="3" s="1"/>
  <c r="NAJ23" i="3" s="1"/>
  <c r="NAK23" i="3" s="1"/>
  <c r="NAL23" i="3" s="1"/>
  <c r="NAM23" i="3" s="1"/>
  <c r="NAN23" i="3" s="1"/>
  <c r="NAO23" i="3" s="1"/>
  <c r="NAP23" i="3" s="1"/>
  <c r="NAQ23" i="3" s="1"/>
  <c r="NAR23" i="3" s="1"/>
  <c r="NAS23" i="3" s="1"/>
  <c r="NAT23" i="3" s="1"/>
  <c r="NAU23" i="3" s="1"/>
  <c r="NAV23" i="3" s="1"/>
  <c r="NAW23" i="3" s="1"/>
  <c r="NAX23" i="3" s="1"/>
  <c r="NAY23" i="3" s="1"/>
  <c r="NAZ23" i="3" s="1"/>
  <c r="NBA23" i="3" s="1"/>
  <c r="NBB23" i="3" s="1"/>
  <c r="NBC23" i="3" s="1"/>
  <c r="NBD23" i="3" s="1"/>
  <c r="NBE23" i="3" s="1"/>
  <c r="NBF23" i="3" s="1"/>
  <c r="NBG23" i="3" s="1"/>
  <c r="NBH23" i="3" s="1"/>
  <c r="NBI23" i="3" s="1"/>
  <c r="NBJ23" i="3" s="1"/>
  <c r="NBK23" i="3" s="1"/>
  <c r="NBL23" i="3" s="1"/>
  <c r="NBM23" i="3" s="1"/>
  <c r="NBN23" i="3" s="1"/>
  <c r="NBO23" i="3" s="1"/>
  <c r="NBP23" i="3" s="1"/>
  <c r="NBQ23" i="3" s="1"/>
  <c r="NBR23" i="3" s="1"/>
  <c r="NBS23" i="3" s="1"/>
  <c r="NBT23" i="3" s="1"/>
  <c r="NBU23" i="3" s="1"/>
  <c r="NBV23" i="3" s="1"/>
  <c r="NBW23" i="3" s="1"/>
  <c r="NBX23" i="3" s="1"/>
  <c r="NBY23" i="3" s="1"/>
  <c r="NBZ23" i="3" s="1"/>
  <c r="NCA23" i="3" s="1"/>
  <c r="NCB23" i="3" s="1"/>
  <c r="NCC23" i="3" s="1"/>
  <c r="NCD23" i="3" s="1"/>
  <c r="NCE23" i="3" s="1"/>
  <c r="NCF23" i="3" s="1"/>
  <c r="NCG23" i="3" s="1"/>
  <c r="NCH23" i="3" s="1"/>
  <c r="NCI23" i="3" s="1"/>
  <c r="NCJ23" i="3" s="1"/>
  <c r="NCK23" i="3" s="1"/>
  <c r="NCL23" i="3" s="1"/>
  <c r="NCM23" i="3" s="1"/>
  <c r="NCN23" i="3" s="1"/>
  <c r="NCO23" i="3" s="1"/>
  <c r="NCP23" i="3" s="1"/>
  <c r="NCQ23" i="3" s="1"/>
  <c r="NCR23" i="3" s="1"/>
  <c r="NCS23" i="3" s="1"/>
  <c r="NCT23" i="3" s="1"/>
  <c r="NCU23" i="3" s="1"/>
  <c r="NCV23" i="3" s="1"/>
  <c r="NCW23" i="3" s="1"/>
  <c r="NCX23" i="3" s="1"/>
  <c r="NCY23" i="3" s="1"/>
  <c r="NCZ23" i="3" s="1"/>
  <c r="NDA23" i="3" s="1"/>
  <c r="NDB23" i="3" s="1"/>
  <c r="NDC23" i="3" s="1"/>
  <c r="NDD23" i="3" s="1"/>
  <c r="NDE23" i="3" s="1"/>
  <c r="NDF23" i="3" s="1"/>
  <c r="NDG23" i="3" s="1"/>
  <c r="NDH23" i="3" s="1"/>
  <c r="NDI23" i="3" s="1"/>
  <c r="NDJ23" i="3" s="1"/>
  <c r="NDK23" i="3" s="1"/>
  <c r="NDL23" i="3" s="1"/>
  <c r="NDM23" i="3" s="1"/>
  <c r="NDN23" i="3" s="1"/>
  <c r="NDO23" i="3" s="1"/>
  <c r="NDP23" i="3" s="1"/>
  <c r="NDQ23" i="3" s="1"/>
  <c r="NDR23" i="3" s="1"/>
  <c r="NDS23" i="3" s="1"/>
  <c r="NDT23" i="3" s="1"/>
  <c r="NDU23" i="3" s="1"/>
  <c r="NDV23" i="3" s="1"/>
  <c r="NDW23" i="3" s="1"/>
  <c r="NDX23" i="3" s="1"/>
  <c r="NDY23" i="3" s="1"/>
  <c r="NDZ23" i="3" s="1"/>
  <c r="NEA23" i="3" s="1"/>
  <c r="NEB23" i="3" s="1"/>
  <c r="NEC23" i="3" s="1"/>
  <c r="NED23" i="3" s="1"/>
  <c r="NEE23" i="3" s="1"/>
  <c r="NEF23" i="3" s="1"/>
  <c r="NEG23" i="3" s="1"/>
  <c r="NEH23" i="3" s="1"/>
  <c r="NEI23" i="3" s="1"/>
  <c r="NEJ23" i="3" s="1"/>
  <c r="NEK23" i="3" s="1"/>
  <c r="NEL23" i="3" s="1"/>
  <c r="NEM23" i="3" s="1"/>
  <c r="NEN23" i="3" s="1"/>
  <c r="NEO23" i="3" s="1"/>
  <c r="NEP23" i="3" s="1"/>
  <c r="NEQ23" i="3" s="1"/>
  <c r="NER23" i="3" s="1"/>
  <c r="NES23" i="3" s="1"/>
  <c r="NET23" i="3" s="1"/>
  <c r="NEU23" i="3" s="1"/>
  <c r="NEV23" i="3" s="1"/>
  <c r="NEW23" i="3" s="1"/>
  <c r="NEX23" i="3" s="1"/>
  <c r="NEY23" i="3" s="1"/>
  <c r="NEZ23" i="3" s="1"/>
  <c r="NFA23" i="3" s="1"/>
  <c r="NFB23" i="3" s="1"/>
  <c r="NFC23" i="3" s="1"/>
  <c r="NFD23" i="3" s="1"/>
  <c r="NFE23" i="3" s="1"/>
  <c r="NFF23" i="3" s="1"/>
  <c r="NFG23" i="3" s="1"/>
  <c r="NFH23" i="3" s="1"/>
  <c r="NFI23" i="3" s="1"/>
  <c r="NFJ23" i="3" s="1"/>
  <c r="NFK23" i="3" s="1"/>
  <c r="NFL23" i="3" s="1"/>
  <c r="NFM23" i="3" s="1"/>
  <c r="NFN23" i="3" s="1"/>
  <c r="NFO23" i="3" s="1"/>
  <c r="NFP23" i="3" s="1"/>
  <c r="NFQ23" i="3" s="1"/>
  <c r="NFR23" i="3" s="1"/>
  <c r="NFS23" i="3" s="1"/>
  <c r="NFT23" i="3" s="1"/>
  <c r="NFU23" i="3" s="1"/>
  <c r="NFV23" i="3" s="1"/>
  <c r="NFW23" i="3" s="1"/>
  <c r="NFX23" i="3" s="1"/>
  <c r="NFY23" i="3" s="1"/>
  <c r="NFZ23" i="3" s="1"/>
  <c r="NGA23" i="3" s="1"/>
  <c r="NGB23" i="3" s="1"/>
  <c r="NGC23" i="3" s="1"/>
  <c r="NGD23" i="3" s="1"/>
  <c r="NGE23" i="3" s="1"/>
  <c r="NGF23" i="3" s="1"/>
  <c r="NGG23" i="3" s="1"/>
  <c r="NGH23" i="3" s="1"/>
  <c r="NGI23" i="3" s="1"/>
  <c r="NGJ23" i="3" s="1"/>
  <c r="NGK23" i="3" s="1"/>
  <c r="NGL23" i="3" s="1"/>
  <c r="NGM23" i="3" s="1"/>
  <c r="NGN23" i="3" s="1"/>
  <c r="NGO23" i="3" s="1"/>
  <c r="NGP23" i="3" s="1"/>
  <c r="NGQ23" i="3" s="1"/>
  <c r="NGR23" i="3" s="1"/>
  <c r="NGS23" i="3" s="1"/>
  <c r="NGT23" i="3" s="1"/>
  <c r="NGU23" i="3" s="1"/>
  <c r="NGV23" i="3" s="1"/>
  <c r="NGW23" i="3" s="1"/>
  <c r="NGX23" i="3" s="1"/>
  <c r="NGY23" i="3" s="1"/>
  <c r="NGZ23" i="3" s="1"/>
  <c r="NHA23" i="3" s="1"/>
  <c r="NHB23" i="3" s="1"/>
  <c r="NHC23" i="3" s="1"/>
  <c r="NHD23" i="3" s="1"/>
  <c r="NHE23" i="3" s="1"/>
  <c r="NHF23" i="3" s="1"/>
  <c r="NHG23" i="3" s="1"/>
  <c r="NHH23" i="3" s="1"/>
  <c r="NHI23" i="3" s="1"/>
  <c r="NHJ23" i="3" s="1"/>
  <c r="NHK23" i="3" s="1"/>
  <c r="NHL23" i="3" s="1"/>
  <c r="NHM23" i="3" s="1"/>
  <c r="NHN23" i="3" s="1"/>
  <c r="NHO23" i="3" s="1"/>
  <c r="NHP23" i="3" s="1"/>
  <c r="NHQ23" i="3" s="1"/>
  <c r="NHR23" i="3" s="1"/>
  <c r="NHS23" i="3" s="1"/>
  <c r="NHT23" i="3" s="1"/>
  <c r="NHU23" i="3" s="1"/>
  <c r="NHV23" i="3" s="1"/>
  <c r="NHW23" i="3" s="1"/>
  <c r="NHX23" i="3" s="1"/>
  <c r="NHY23" i="3" s="1"/>
  <c r="NHZ23" i="3" s="1"/>
  <c r="NIA23" i="3" s="1"/>
  <c r="NIB23" i="3" s="1"/>
  <c r="NIC23" i="3" s="1"/>
  <c r="NID23" i="3" s="1"/>
  <c r="NIE23" i="3" s="1"/>
  <c r="NIF23" i="3" s="1"/>
  <c r="NIG23" i="3" s="1"/>
  <c r="NIH23" i="3" s="1"/>
  <c r="NII23" i="3" s="1"/>
  <c r="NIJ23" i="3" s="1"/>
  <c r="NIK23" i="3" s="1"/>
  <c r="NIL23" i="3" s="1"/>
  <c r="NIM23" i="3" s="1"/>
  <c r="NIN23" i="3" s="1"/>
  <c r="NIO23" i="3" s="1"/>
  <c r="NIP23" i="3" s="1"/>
  <c r="NIQ23" i="3" s="1"/>
  <c r="NIR23" i="3" s="1"/>
  <c r="NIS23" i="3" s="1"/>
  <c r="NIT23" i="3" s="1"/>
  <c r="NIU23" i="3" s="1"/>
  <c r="NIV23" i="3" s="1"/>
  <c r="NIW23" i="3" s="1"/>
  <c r="NIX23" i="3" s="1"/>
  <c r="NIY23" i="3" s="1"/>
  <c r="NIZ23" i="3" s="1"/>
  <c r="NJA23" i="3" s="1"/>
  <c r="NJB23" i="3" s="1"/>
  <c r="NJC23" i="3" s="1"/>
  <c r="NJD23" i="3" s="1"/>
  <c r="NJE23" i="3" s="1"/>
  <c r="NJF23" i="3" s="1"/>
  <c r="NJG23" i="3" s="1"/>
  <c r="NJH23" i="3" s="1"/>
  <c r="NJI23" i="3" s="1"/>
  <c r="NJJ23" i="3" s="1"/>
  <c r="NJK23" i="3" s="1"/>
  <c r="NJL23" i="3" s="1"/>
  <c r="NJM23" i="3" s="1"/>
  <c r="NJN23" i="3" s="1"/>
  <c r="NJO23" i="3" s="1"/>
  <c r="NJP23" i="3" s="1"/>
  <c r="NJQ23" i="3" s="1"/>
  <c r="NJR23" i="3" s="1"/>
  <c r="NJS23" i="3" s="1"/>
  <c r="NJT23" i="3" s="1"/>
  <c r="NJU23" i="3" s="1"/>
  <c r="NJV23" i="3" s="1"/>
  <c r="NJW23" i="3" s="1"/>
  <c r="NJX23" i="3" s="1"/>
  <c r="NJY23" i="3" s="1"/>
  <c r="NJZ23" i="3" s="1"/>
  <c r="NKA23" i="3" s="1"/>
  <c r="NKB23" i="3" s="1"/>
  <c r="NKC23" i="3" s="1"/>
  <c r="NKD23" i="3" s="1"/>
  <c r="NKE23" i="3" s="1"/>
  <c r="NKF23" i="3" s="1"/>
  <c r="NKG23" i="3" s="1"/>
  <c r="NKH23" i="3" s="1"/>
  <c r="NKI23" i="3" s="1"/>
  <c r="NKJ23" i="3" s="1"/>
  <c r="NKK23" i="3" s="1"/>
  <c r="NKL23" i="3" s="1"/>
  <c r="NKM23" i="3" s="1"/>
  <c r="NKN23" i="3" s="1"/>
  <c r="NKO23" i="3" s="1"/>
  <c r="NKP23" i="3" s="1"/>
  <c r="NKQ23" i="3" s="1"/>
  <c r="NKR23" i="3" s="1"/>
  <c r="NKS23" i="3" s="1"/>
  <c r="NKT23" i="3" s="1"/>
  <c r="NKU23" i="3" s="1"/>
  <c r="NKV23" i="3" s="1"/>
  <c r="NKW23" i="3" s="1"/>
  <c r="NKX23" i="3" s="1"/>
  <c r="NKY23" i="3" s="1"/>
  <c r="NKZ23" i="3" s="1"/>
  <c r="NLA23" i="3" s="1"/>
  <c r="NLB23" i="3" s="1"/>
  <c r="NLC23" i="3" s="1"/>
  <c r="NLD23" i="3" s="1"/>
  <c r="NLE23" i="3" s="1"/>
  <c r="NLF23" i="3" s="1"/>
  <c r="NLG23" i="3" s="1"/>
  <c r="NLH23" i="3" s="1"/>
  <c r="NLI23" i="3" s="1"/>
  <c r="NLJ23" i="3" s="1"/>
  <c r="NLK23" i="3" s="1"/>
  <c r="NLL23" i="3" s="1"/>
  <c r="NLM23" i="3" s="1"/>
  <c r="NLN23" i="3" s="1"/>
  <c r="NLO23" i="3" s="1"/>
  <c r="NLP23" i="3" s="1"/>
  <c r="NLQ23" i="3" s="1"/>
  <c r="NLR23" i="3" s="1"/>
  <c r="NLS23" i="3" s="1"/>
  <c r="NLT23" i="3" s="1"/>
  <c r="NLU23" i="3" s="1"/>
  <c r="NLV23" i="3" s="1"/>
  <c r="NLW23" i="3" s="1"/>
  <c r="NLX23" i="3" s="1"/>
  <c r="NLY23" i="3" s="1"/>
  <c r="NLZ23" i="3" s="1"/>
  <c r="NMA23" i="3" s="1"/>
  <c r="NMB23" i="3" s="1"/>
  <c r="NMC23" i="3" s="1"/>
  <c r="NMD23" i="3" s="1"/>
  <c r="NME23" i="3" s="1"/>
  <c r="NMF23" i="3" s="1"/>
  <c r="NMG23" i="3" s="1"/>
  <c r="NMH23" i="3" s="1"/>
  <c r="NMI23" i="3" s="1"/>
  <c r="NMJ23" i="3" s="1"/>
  <c r="NMK23" i="3" s="1"/>
  <c r="NML23" i="3" s="1"/>
  <c r="NMM23" i="3" s="1"/>
  <c r="NMN23" i="3" s="1"/>
  <c r="NMO23" i="3" s="1"/>
  <c r="NMP23" i="3" s="1"/>
  <c r="NMQ23" i="3" s="1"/>
  <c r="NMR23" i="3" s="1"/>
  <c r="NMS23" i="3" s="1"/>
  <c r="NMT23" i="3" s="1"/>
  <c r="NMU23" i="3" s="1"/>
  <c r="NMV23" i="3" s="1"/>
  <c r="NMW23" i="3" s="1"/>
  <c r="NMX23" i="3" s="1"/>
  <c r="NMY23" i="3" s="1"/>
  <c r="NMZ23" i="3" s="1"/>
  <c r="NNA23" i="3" s="1"/>
  <c r="NNB23" i="3" s="1"/>
  <c r="NNC23" i="3" s="1"/>
  <c r="NND23" i="3" s="1"/>
  <c r="NNE23" i="3" s="1"/>
  <c r="NNF23" i="3" s="1"/>
  <c r="NNG23" i="3" s="1"/>
  <c r="NNH23" i="3" s="1"/>
  <c r="NNI23" i="3" s="1"/>
  <c r="NNJ23" i="3" s="1"/>
  <c r="NNK23" i="3" s="1"/>
  <c r="NNL23" i="3" s="1"/>
  <c r="NNM23" i="3" s="1"/>
  <c r="NNN23" i="3" s="1"/>
  <c r="NNO23" i="3" s="1"/>
  <c r="NNP23" i="3" s="1"/>
  <c r="NNQ23" i="3" s="1"/>
  <c r="NNR23" i="3" s="1"/>
  <c r="NNS23" i="3" s="1"/>
  <c r="NNT23" i="3" s="1"/>
  <c r="NNU23" i="3" s="1"/>
  <c r="NNV23" i="3" s="1"/>
  <c r="NNW23" i="3" s="1"/>
  <c r="NNX23" i="3" s="1"/>
  <c r="NNY23" i="3" s="1"/>
  <c r="NNZ23" i="3" s="1"/>
  <c r="NOA23" i="3" s="1"/>
  <c r="NOB23" i="3" s="1"/>
  <c r="NOC23" i="3" s="1"/>
  <c r="NOD23" i="3" s="1"/>
  <c r="NOE23" i="3" s="1"/>
  <c r="NOF23" i="3" s="1"/>
  <c r="NOG23" i="3" s="1"/>
  <c r="NOH23" i="3" s="1"/>
  <c r="NOI23" i="3" s="1"/>
  <c r="NOJ23" i="3" s="1"/>
  <c r="NOK23" i="3" s="1"/>
  <c r="NOL23" i="3" s="1"/>
  <c r="NOM23" i="3" s="1"/>
  <c r="NON23" i="3" s="1"/>
  <c r="NOO23" i="3" s="1"/>
  <c r="NOP23" i="3" s="1"/>
  <c r="NOQ23" i="3" s="1"/>
  <c r="NOR23" i="3" s="1"/>
  <c r="NOS23" i="3" s="1"/>
  <c r="NOT23" i="3" s="1"/>
  <c r="NOU23" i="3" s="1"/>
  <c r="NOV23" i="3" s="1"/>
  <c r="NOW23" i="3" s="1"/>
  <c r="NOX23" i="3" s="1"/>
  <c r="NOY23" i="3" s="1"/>
  <c r="NOZ23" i="3" s="1"/>
  <c r="NPA23" i="3" s="1"/>
  <c r="NPB23" i="3" s="1"/>
  <c r="NPC23" i="3" s="1"/>
  <c r="NPD23" i="3" s="1"/>
  <c r="NPE23" i="3" s="1"/>
  <c r="NPF23" i="3" s="1"/>
  <c r="NPG23" i="3" s="1"/>
  <c r="NPH23" i="3" s="1"/>
  <c r="NPI23" i="3" s="1"/>
  <c r="NPJ23" i="3" s="1"/>
  <c r="NPK23" i="3" s="1"/>
  <c r="NPL23" i="3" s="1"/>
  <c r="NPM23" i="3" s="1"/>
  <c r="NPN23" i="3" s="1"/>
  <c r="NPO23" i="3" s="1"/>
  <c r="NPP23" i="3" s="1"/>
  <c r="NPQ23" i="3" s="1"/>
  <c r="NPR23" i="3" s="1"/>
  <c r="NPS23" i="3" s="1"/>
  <c r="NPT23" i="3" s="1"/>
  <c r="NPU23" i="3" s="1"/>
  <c r="NPV23" i="3" s="1"/>
  <c r="NPW23" i="3" s="1"/>
  <c r="NPX23" i="3" s="1"/>
  <c r="NPY23" i="3" s="1"/>
  <c r="NPZ23" i="3" s="1"/>
  <c r="NQA23" i="3" s="1"/>
  <c r="NQB23" i="3" s="1"/>
  <c r="NQC23" i="3" s="1"/>
  <c r="NQD23" i="3" s="1"/>
  <c r="NQE23" i="3" s="1"/>
  <c r="NQF23" i="3" s="1"/>
  <c r="NQG23" i="3" s="1"/>
  <c r="NQH23" i="3" s="1"/>
  <c r="NQI23" i="3" s="1"/>
  <c r="NQJ23" i="3" s="1"/>
  <c r="NQK23" i="3" s="1"/>
  <c r="NQL23" i="3" s="1"/>
  <c r="NQM23" i="3" s="1"/>
  <c r="NQN23" i="3" s="1"/>
  <c r="NQO23" i="3" s="1"/>
  <c r="NQP23" i="3" s="1"/>
  <c r="NQQ23" i="3" s="1"/>
  <c r="NQR23" i="3" s="1"/>
  <c r="NQS23" i="3" s="1"/>
  <c r="NQT23" i="3" s="1"/>
  <c r="NQU23" i="3" s="1"/>
  <c r="NQV23" i="3" s="1"/>
  <c r="NQW23" i="3" s="1"/>
  <c r="NQX23" i="3" s="1"/>
  <c r="NQY23" i="3" s="1"/>
  <c r="NQZ23" i="3" s="1"/>
  <c r="NRA23" i="3" s="1"/>
  <c r="NRB23" i="3" s="1"/>
  <c r="NRC23" i="3" s="1"/>
  <c r="NRD23" i="3" s="1"/>
  <c r="NRE23" i="3" s="1"/>
  <c r="NRF23" i="3" s="1"/>
  <c r="NRG23" i="3" s="1"/>
  <c r="NRH23" i="3" s="1"/>
  <c r="NRI23" i="3" s="1"/>
  <c r="NRJ23" i="3" s="1"/>
  <c r="NRK23" i="3" s="1"/>
  <c r="NRL23" i="3" s="1"/>
  <c r="NRM23" i="3" s="1"/>
  <c r="NRN23" i="3" s="1"/>
  <c r="NRO23" i="3" s="1"/>
  <c r="NRP23" i="3" s="1"/>
  <c r="NRQ23" i="3" s="1"/>
  <c r="NRR23" i="3" s="1"/>
  <c r="NRS23" i="3" s="1"/>
  <c r="NRT23" i="3" s="1"/>
  <c r="NRU23" i="3" s="1"/>
  <c r="NRV23" i="3" s="1"/>
  <c r="NRW23" i="3" s="1"/>
  <c r="NRX23" i="3" s="1"/>
  <c r="NRY23" i="3" s="1"/>
  <c r="NRZ23" i="3" s="1"/>
  <c r="NSA23" i="3" s="1"/>
  <c r="NSB23" i="3" s="1"/>
  <c r="NSC23" i="3" s="1"/>
  <c r="NSD23" i="3" s="1"/>
  <c r="NSE23" i="3" s="1"/>
  <c r="NSF23" i="3" s="1"/>
  <c r="NSG23" i="3" s="1"/>
  <c r="NSH23" i="3" s="1"/>
  <c r="NSI23" i="3" s="1"/>
  <c r="NSJ23" i="3" s="1"/>
  <c r="NSK23" i="3" s="1"/>
  <c r="NSL23" i="3" s="1"/>
  <c r="NSM23" i="3" s="1"/>
  <c r="NSN23" i="3" s="1"/>
  <c r="NSO23" i="3" s="1"/>
  <c r="NSP23" i="3" s="1"/>
  <c r="NSQ23" i="3" s="1"/>
  <c r="NSR23" i="3" s="1"/>
  <c r="NSS23" i="3" s="1"/>
  <c r="NST23" i="3" s="1"/>
  <c r="NSU23" i="3" s="1"/>
  <c r="NSV23" i="3" s="1"/>
  <c r="NSW23" i="3" s="1"/>
  <c r="NSX23" i="3" s="1"/>
  <c r="NSY23" i="3" s="1"/>
  <c r="NSZ23" i="3" s="1"/>
  <c r="NTA23" i="3" s="1"/>
  <c r="NTB23" i="3" s="1"/>
  <c r="NTC23" i="3" s="1"/>
  <c r="NTD23" i="3" s="1"/>
  <c r="NTE23" i="3" s="1"/>
  <c r="NTF23" i="3" s="1"/>
  <c r="NTG23" i="3" s="1"/>
  <c r="NTH23" i="3" s="1"/>
  <c r="NTI23" i="3" s="1"/>
  <c r="NTJ23" i="3" s="1"/>
  <c r="NTK23" i="3" s="1"/>
  <c r="NTL23" i="3" s="1"/>
  <c r="NTM23" i="3" s="1"/>
  <c r="NTN23" i="3" s="1"/>
  <c r="NTO23" i="3" s="1"/>
  <c r="NTP23" i="3" s="1"/>
  <c r="NTQ23" i="3" s="1"/>
  <c r="NTR23" i="3" s="1"/>
  <c r="NTS23" i="3" s="1"/>
  <c r="NTT23" i="3" s="1"/>
  <c r="NTU23" i="3" s="1"/>
  <c r="NTV23" i="3" s="1"/>
  <c r="NTW23" i="3" s="1"/>
  <c r="NTX23" i="3" s="1"/>
  <c r="NTY23" i="3" s="1"/>
  <c r="NTZ23" i="3" s="1"/>
  <c r="NUA23" i="3" s="1"/>
  <c r="NUB23" i="3" s="1"/>
  <c r="NUC23" i="3" s="1"/>
  <c r="NUD23" i="3" s="1"/>
  <c r="NUE23" i="3" s="1"/>
  <c r="NUF23" i="3" s="1"/>
  <c r="NUG23" i="3" s="1"/>
  <c r="NUH23" i="3" s="1"/>
  <c r="NUI23" i="3" s="1"/>
  <c r="NUJ23" i="3" s="1"/>
  <c r="NUK23" i="3" s="1"/>
  <c r="NUL23" i="3" s="1"/>
  <c r="NUM23" i="3" s="1"/>
  <c r="NUN23" i="3" s="1"/>
  <c r="NUO23" i="3" s="1"/>
  <c r="NUP23" i="3" s="1"/>
  <c r="NUQ23" i="3" s="1"/>
  <c r="NUR23" i="3" s="1"/>
  <c r="NUS23" i="3" s="1"/>
  <c r="NUT23" i="3" s="1"/>
  <c r="NUU23" i="3" s="1"/>
  <c r="NUV23" i="3" s="1"/>
  <c r="NUW23" i="3" s="1"/>
  <c r="NUX23" i="3" s="1"/>
  <c r="NUY23" i="3" s="1"/>
  <c r="NUZ23" i="3" s="1"/>
  <c r="NVA23" i="3" s="1"/>
  <c r="NVB23" i="3" s="1"/>
  <c r="NVC23" i="3" s="1"/>
  <c r="NVD23" i="3" s="1"/>
  <c r="NVE23" i="3" s="1"/>
  <c r="NVF23" i="3" s="1"/>
  <c r="NVG23" i="3" s="1"/>
  <c r="NVH23" i="3" s="1"/>
  <c r="NVI23" i="3" s="1"/>
  <c r="NVJ23" i="3" s="1"/>
  <c r="NVK23" i="3" s="1"/>
  <c r="NVL23" i="3" s="1"/>
  <c r="NVM23" i="3" s="1"/>
  <c r="NVN23" i="3" s="1"/>
  <c r="NVO23" i="3" s="1"/>
  <c r="NVP23" i="3" s="1"/>
  <c r="NVQ23" i="3" s="1"/>
  <c r="NVR23" i="3" s="1"/>
  <c r="NVS23" i="3" s="1"/>
  <c r="NVT23" i="3" s="1"/>
  <c r="NVU23" i="3" s="1"/>
  <c r="NVV23" i="3" s="1"/>
  <c r="NVW23" i="3" s="1"/>
  <c r="NVX23" i="3" s="1"/>
  <c r="NVY23" i="3" s="1"/>
  <c r="NVZ23" i="3" s="1"/>
  <c r="NWA23" i="3" s="1"/>
  <c r="NWB23" i="3" s="1"/>
  <c r="NWC23" i="3" s="1"/>
  <c r="NWD23" i="3" s="1"/>
  <c r="NWE23" i="3" s="1"/>
  <c r="NWF23" i="3" s="1"/>
  <c r="NWG23" i="3" s="1"/>
  <c r="NWH23" i="3" s="1"/>
  <c r="NWI23" i="3" s="1"/>
  <c r="NWJ23" i="3" s="1"/>
  <c r="NWK23" i="3" s="1"/>
  <c r="NWL23" i="3" s="1"/>
  <c r="NWM23" i="3" s="1"/>
  <c r="NWN23" i="3" s="1"/>
  <c r="NWO23" i="3" s="1"/>
  <c r="NWP23" i="3" s="1"/>
  <c r="NWQ23" i="3" s="1"/>
  <c r="NWR23" i="3" s="1"/>
  <c r="NWS23" i="3" s="1"/>
  <c r="NWT23" i="3" s="1"/>
  <c r="NWU23" i="3" s="1"/>
  <c r="NWV23" i="3" s="1"/>
  <c r="NWW23" i="3" s="1"/>
  <c r="NWX23" i="3" s="1"/>
  <c r="NWY23" i="3" s="1"/>
  <c r="NWZ23" i="3" s="1"/>
  <c r="NXA23" i="3" s="1"/>
  <c r="NXB23" i="3" s="1"/>
  <c r="NXC23" i="3" s="1"/>
  <c r="NXD23" i="3" s="1"/>
  <c r="NXE23" i="3" s="1"/>
  <c r="NXF23" i="3" s="1"/>
  <c r="NXG23" i="3" s="1"/>
  <c r="NXH23" i="3" s="1"/>
  <c r="NXI23" i="3" s="1"/>
  <c r="NXJ23" i="3" s="1"/>
  <c r="NXK23" i="3" s="1"/>
  <c r="NXL23" i="3" s="1"/>
  <c r="NXM23" i="3" s="1"/>
  <c r="NXN23" i="3" s="1"/>
  <c r="NXO23" i="3" s="1"/>
  <c r="NXP23" i="3" s="1"/>
  <c r="NXQ23" i="3" s="1"/>
  <c r="NXR23" i="3" s="1"/>
  <c r="NXS23" i="3" s="1"/>
  <c r="NXT23" i="3" s="1"/>
  <c r="NXU23" i="3" s="1"/>
  <c r="NXV23" i="3" s="1"/>
  <c r="NXW23" i="3" s="1"/>
  <c r="NXX23" i="3" s="1"/>
  <c r="NXY23" i="3" s="1"/>
  <c r="NXZ23" i="3" s="1"/>
  <c r="NYA23" i="3" s="1"/>
  <c r="NYB23" i="3" s="1"/>
  <c r="NYC23" i="3" s="1"/>
  <c r="NYD23" i="3" s="1"/>
  <c r="NYE23" i="3" s="1"/>
  <c r="NYF23" i="3" s="1"/>
  <c r="NYG23" i="3" s="1"/>
  <c r="NYH23" i="3" s="1"/>
  <c r="NYI23" i="3" s="1"/>
  <c r="NYJ23" i="3" s="1"/>
  <c r="NYK23" i="3" s="1"/>
  <c r="NYL23" i="3" s="1"/>
  <c r="NYM23" i="3" s="1"/>
  <c r="NYN23" i="3" s="1"/>
  <c r="NYO23" i="3" s="1"/>
  <c r="NYP23" i="3" s="1"/>
  <c r="NYQ23" i="3" s="1"/>
  <c r="NYR23" i="3" s="1"/>
  <c r="NYS23" i="3" s="1"/>
  <c r="NYT23" i="3" s="1"/>
  <c r="NYU23" i="3" s="1"/>
  <c r="NYV23" i="3" s="1"/>
  <c r="NYW23" i="3" s="1"/>
  <c r="NYX23" i="3" s="1"/>
  <c r="NYY23" i="3" s="1"/>
  <c r="NYZ23" i="3" s="1"/>
  <c r="NZA23" i="3" s="1"/>
  <c r="NZB23" i="3" s="1"/>
  <c r="NZC23" i="3" s="1"/>
  <c r="NZD23" i="3" s="1"/>
  <c r="NZE23" i="3" s="1"/>
  <c r="NZF23" i="3" s="1"/>
  <c r="NZG23" i="3" s="1"/>
  <c r="NZH23" i="3" s="1"/>
  <c r="NZI23" i="3" s="1"/>
  <c r="NZJ23" i="3" s="1"/>
  <c r="NZK23" i="3" s="1"/>
  <c r="NZL23" i="3" s="1"/>
  <c r="NZM23" i="3" s="1"/>
  <c r="NZN23" i="3" s="1"/>
  <c r="NZO23" i="3" s="1"/>
  <c r="NZP23" i="3" s="1"/>
  <c r="NZQ23" i="3" s="1"/>
  <c r="NZR23" i="3" s="1"/>
  <c r="NZS23" i="3" s="1"/>
  <c r="NZT23" i="3" s="1"/>
  <c r="NZU23" i="3" s="1"/>
  <c r="NZV23" i="3" s="1"/>
  <c r="NZW23" i="3" s="1"/>
  <c r="NZX23" i="3" s="1"/>
  <c r="NZY23" i="3" s="1"/>
  <c r="NZZ23" i="3" s="1"/>
  <c r="OAA23" i="3" s="1"/>
  <c r="OAB23" i="3" s="1"/>
  <c r="OAC23" i="3" s="1"/>
  <c r="OAD23" i="3" s="1"/>
  <c r="OAE23" i="3" s="1"/>
  <c r="OAF23" i="3" s="1"/>
  <c r="OAG23" i="3" s="1"/>
  <c r="OAH23" i="3" s="1"/>
  <c r="OAI23" i="3" s="1"/>
  <c r="OAJ23" i="3" s="1"/>
  <c r="OAK23" i="3" s="1"/>
  <c r="OAL23" i="3" s="1"/>
  <c r="OAM23" i="3" s="1"/>
  <c r="OAN23" i="3" s="1"/>
  <c r="OAO23" i="3" s="1"/>
  <c r="OAP23" i="3" s="1"/>
  <c r="OAQ23" i="3" s="1"/>
  <c r="OAR23" i="3" s="1"/>
  <c r="OAS23" i="3" s="1"/>
  <c r="OAT23" i="3" s="1"/>
  <c r="OAU23" i="3" s="1"/>
  <c r="OAV23" i="3" s="1"/>
  <c r="OAW23" i="3" s="1"/>
  <c r="OAX23" i="3" s="1"/>
  <c r="OAY23" i="3" s="1"/>
  <c r="OAZ23" i="3" s="1"/>
  <c r="OBA23" i="3" s="1"/>
  <c r="OBB23" i="3" s="1"/>
  <c r="OBC23" i="3" s="1"/>
  <c r="OBD23" i="3" s="1"/>
  <c r="OBE23" i="3" s="1"/>
  <c r="OBF23" i="3" s="1"/>
  <c r="OBG23" i="3" s="1"/>
  <c r="OBH23" i="3" s="1"/>
  <c r="OBI23" i="3" s="1"/>
  <c r="OBJ23" i="3" s="1"/>
  <c r="OBK23" i="3" s="1"/>
  <c r="OBL23" i="3" s="1"/>
  <c r="OBM23" i="3" s="1"/>
  <c r="OBN23" i="3" s="1"/>
  <c r="OBO23" i="3" s="1"/>
  <c r="OBP23" i="3" s="1"/>
  <c r="OBQ23" i="3" s="1"/>
  <c r="OBR23" i="3" s="1"/>
  <c r="OBS23" i="3" s="1"/>
  <c r="OBT23" i="3" s="1"/>
  <c r="OBU23" i="3" s="1"/>
  <c r="OBV23" i="3" s="1"/>
  <c r="OBW23" i="3" s="1"/>
  <c r="OBX23" i="3" s="1"/>
  <c r="OBY23" i="3" s="1"/>
  <c r="OBZ23" i="3" s="1"/>
  <c r="OCA23" i="3" s="1"/>
  <c r="OCB23" i="3" s="1"/>
  <c r="OCC23" i="3" s="1"/>
  <c r="OCD23" i="3" s="1"/>
  <c r="OCE23" i="3" s="1"/>
  <c r="OCF23" i="3" s="1"/>
  <c r="OCG23" i="3" s="1"/>
  <c r="OCH23" i="3" s="1"/>
  <c r="OCI23" i="3" s="1"/>
  <c r="OCJ23" i="3" s="1"/>
  <c r="OCK23" i="3" s="1"/>
  <c r="OCL23" i="3" s="1"/>
  <c r="OCM23" i="3" s="1"/>
  <c r="OCN23" i="3" s="1"/>
  <c r="OCO23" i="3" s="1"/>
  <c r="OCP23" i="3" s="1"/>
  <c r="OCQ23" i="3" s="1"/>
  <c r="OCR23" i="3" s="1"/>
  <c r="OCS23" i="3" s="1"/>
  <c r="OCT23" i="3" s="1"/>
  <c r="OCU23" i="3" s="1"/>
  <c r="OCV23" i="3" s="1"/>
  <c r="OCW23" i="3" s="1"/>
  <c r="OCX23" i="3" s="1"/>
  <c r="OCY23" i="3" s="1"/>
  <c r="OCZ23" i="3" s="1"/>
  <c r="ODA23" i="3" s="1"/>
  <c r="ODB23" i="3" s="1"/>
  <c r="ODC23" i="3" s="1"/>
  <c r="ODD23" i="3" s="1"/>
  <c r="ODE23" i="3" s="1"/>
  <c r="ODF23" i="3" s="1"/>
  <c r="ODG23" i="3" s="1"/>
  <c r="ODH23" i="3" s="1"/>
  <c r="ODI23" i="3" s="1"/>
  <c r="ODJ23" i="3" s="1"/>
  <c r="ODK23" i="3" s="1"/>
  <c r="ODL23" i="3" s="1"/>
  <c r="ODM23" i="3" s="1"/>
  <c r="ODN23" i="3" s="1"/>
  <c r="ODO23" i="3" s="1"/>
  <c r="ODP23" i="3" s="1"/>
  <c r="ODQ23" i="3" s="1"/>
  <c r="ODR23" i="3" s="1"/>
  <c r="ODS23" i="3" s="1"/>
  <c r="ODT23" i="3" s="1"/>
  <c r="ODU23" i="3" s="1"/>
  <c r="ODV23" i="3" s="1"/>
  <c r="ODW23" i="3" s="1"/>
  <c r="ODX23" i="3" s="1"/>
  <c r="ODY23" i="3" s="1"/>
  <c r="ODZ23" i="3" s="1"/>
  <c r="OEA23" i="3" s="1"/>
  <c r="OEB23" i="3" s="1"/>
  <c r="OEC23" i="3" s="1"/>
  <c r="OED23" i="3" s="1"/>
  <c r="OEE23" i="3" s="1"/>
  <c r="OEF23" i="3" s="1"/>
  <c r="OEG23" i="3" s="1"/>
  <c r="OEH23" i="3" s="1"/>
  <c r="OEI23" i="3" s="1"/>
  <c r="OEJ23" i="3" s="1"/>
  <c r="OEK23" i="3" s="1"/>
  <c r="OEL23" i="3" s="1"/>
  <c r="OEM23" i="3" s="1"/>
  <c r="OEN23" i="3" s="1"/>
  <c r="OEO23" i="3" s="1"/>
  <c r="OEP23" i="3" s="1"/>
  <c r="OEQ23" i="3" s="1"/>
  <c r="OER23" i="3" s="1"/>
  <c r="OES23" i="3" s="1"/>
  <c r="OET23" i="3" s="1"/>
  <c r="OEU23" i="3" s="1"/>
  <c r="OEV23" i="3" s="1"/>
  <c r="OEW23" i="3" s="1"/>
  <c r="OEX23" i="3" s="1"/>
  <c r="OEY23" i="3" s="1"/>
  <c r="OEZ23" i="3" s="1"/>
  <c r="OFA23" i="3" s="1"/>
  <c r="OFB23" i="3" s="1"/>
  <c r="OFC23" i="3" s="1"/>
  <c r="OFD23" i="3" s="1"/>
  <c r="OFE23" i="3" s="1"/>
  <c r="OFF23" i="3" s="1"/>
  <c r="OFG23" i="3" s="1"/>
  <c r="OFH23" i="3" s="1"/>
  <c r="OFI23" i="3" s="1"/>
  <c r="OFJ23" i="3" s="1"/>
  <c r="OFK23" i="3" s="1"/>
  <c r="OFL23" i="3" s="1"/>
  <c r="OFM23" i="3" s="1"/>
  <c r="OFN23" i="3" s="1"/>
  <c r="OFO23" i="3" s="1"/>
  <c r="OFP23" i="3" s="1"/>
  <c r="OFQ23" i="3" s="1"/>
  <c r="OFR23" i="3" s="1"/>
  <c r="OFS23" i="3" s="1"/>
  <c r="OFT23" i="3" s="1"/>
  <c r="OFU23" i="3" s="1"/>
  <c r="OFV23" i="3" s="1"/>
  <c r="OFW23" i="3" s="1"/>
  <c r="OFX23" i="3" s="1"/>
  <c r="OFY23" i="3" s="1"/>
  <c r="OFZ23" i="3" s="1"/>
  <c r="OGA23" i="3" s="1"/>
  <c r="OGB23" i="3" s="1"/>
  <c r="OGC23" i="3" s="1"/>
  <c r="OGD23" i="3" s="1"/>
  <c r="OGE23" i="3" s="1"/>
  <c r="OGF23" i="3" s="1"/>
  <c r="OGG23" i="3" s="1"/>
  <c r="OGH23" i="3" s="1"/>
  <c r="OGI23" i="3" s="1"/>
  <c r="OGJ23" i="3" s="1"/>
  <c r="OGK23" i="3" s="1"/>
  <c r="OGL23" i="3" s="1"/>
  <c r="OGM23" i="3" s="1"/>
  <c r="OGN23" i="3" s="1"/>
  <c r="OGO23" i="3" s="1"/>
  <c r="OGP23" i="3" s="1"/>
  <c r="OGQ23" i="3" s="1"/>
  <c r="OGR23" i="3" s="1"/>
  <c r="OGS23" i="3" s="1"/>
  <c r="OGT23" i="3" s="1"/>
  <c r="OGU23" i="3" s="1"/>
  <c r="OGV23" i="3" s="1"/>
  <c r="OGW23" i="3" s="1"/>
  <c r="OGX23" i="3" s="1"/>
  <c r="OGY23" i="3" s="1"/>
  <c r="OGZ23" i="3" s="1"/>
  <c r="OHA23" i="3" s="1"/>
  <c r="OHB23" i="3" s="1"/>
  <c r="OHC23" i="3" s="1"/>
  <c r="OHD23" i="3" s="1"/>
  <c r="OHE23" i="3" s="1"/>
  <c r="OHF23" i="3" s="1"/>
  <c r="OHG23" i="3" s="1"/>
  <c r="OHH23" i="3" s="1"/>
  <c r="OHI23" i="3" s="1"/>
  <c r="OHJ23" i="3" s="1"/>
  <c r="OHK23" i="3" s="1"/>
  <c r="OHL23" i="3" s="1"/>
  <c r="OHM23" i="3" s="1"/>
  <c r="OHN23" i="3" s="1"/>
  <c r="OHO23" i="3" s="1"/>
  <c r="OHP23" i="3" s="1"/>
  <c r="OHQ23" i="3" s="1"/>
  <c r="OHR23" i="3" s="1"/>
  <c r="OHS23" i="3" s="1"/>
  <c r="OHT23" i="3" s="1"/>
  <c r="OHU23" i="3" s="1"/>
  <c r="OHV23" i="3" s="1"/>
  <c r="OHW23" i="3" s="1"/>
  <c r="OHX23" i="3" s="1"/>
  <c r="OHY23" i="3" s="1"/>
  <c r="OHZ23" i="3" s="1"/>
  <c r="OIA23" i="3" s="1"/>
  <c r="OIB23" i="3" s="1"/>
  <c r="OIC23" i="3" s="1"/>
  <c r="OID23" i="3" s="1"/>
  <c r="OIE23" i="3" s="1"/>
  <c r="OIF23" i="3" s="1"/>
  <c r="OIG23" i="3" s="1"/>
  <c r="OIH23" i="3" s="1"/>
  <c r="OII23" i="3" s="1"/>
  <c r="OIJ23" i="3" s="1"/>
  <c r="OIK23" i="3" s="1"/>
  <c r="OIL23" i="3" s="1"/>
  <c r="OIM23" i="3" s="1"/>
  <c r="OIN23" i="3" s="1"/>
  <c r="OIO23" i="3" s="1"/>
  <c r="OIP23" i="3" s="1"/>
  <c r="OIQ23" i="3" s="1"/>
  <c r="OIR23" i="3" s="1"/>
  <c r="OIS23" i="3" s="1"/>
  <c r="OIT23" i="3" s="1"/>
  <c r="OIU23" i="3" s="1"/>
  <c r="OIV23" i="3" s="1"/>
  <c r="OIW23" i="3" s="1"/>
  <c r="OIX23" i="3" s="1"/>
  <c r="OIY23" i="3" s="1"/>
  <c r="OIZ23" i="3" s="1"/>
  <c r="OJA23" i="3" s="1"/>
  <c r="OJB23" i="3" s="1"/>
  <c r="OJC23" i="3" s="1"/>
  <c r="OJD23" i="3" s="1"/>
  <c r="OJE23" i="3" s="1"/>
  <c r="OJF23" i="3" s="1"/>
  <c r="OJG23" i="3" s="1"/>
  <c r="OJH23" i="3" s="1"/>
  <c r="OJI23" i="3" s="1"/>
  <c r="OJJ23" i="3" s="1"/>
  <c r="OJK23" i="3" s="1"/>
  <c r="OJL23" i="3" s="1"/>
  <c r="OJM23" i="3" s="1"/>
  <c r="OJN23" i="3" s="1"/>
  <c r="OJO23" i="3" s="1"/>
  <c r="OJP23" i="3" s="1"/>
  <c r="OJQ23" i="3" s="1"/>
  <c r="OJR23" i="3" s="1"/>
  <c r="OJS23" i="3" s="1"/>
  <c r="OJT23" i="3" s="1"/>
  <c r="OJU23" i="3" s="1"/>
  <c r="OJV23" i="3" s="1"/>
  <c r="OJW23" i="3" s="1"/>
  <c r="OJX23" i="3" s="1"/>
  <c r="OJY23" i="3" s="1"/>
  <c r="OJZ23" i="3" s="1"/>
  <c r="OKA23" i="3" s="1"/>
  <c r="OKB23" i="3" s="1"/>
  <c r="OKC23" i="3" s="1"/>
  <c r="OKD23" i="3" s="1"/>
  <c r="OKE23" i="3" s="1"/>
  <c r="OKF23" i="3" s="1"/>
  <c r="OKG23" i="3" s="1"/>
  <c r="OKH23" i="3" s="1"/>
  <c r="OKI23" i="3" s="1"/>
  <c r="OKJ23" i="3" s="1"/>
  <c r="OKK23" i="3" s="1"/>
  <c r="OKL23" i="3" s="1"/>
  <c r="OKM23" i="3" s="1"/>
  <c r="OKN23" i="3" s="1"/>
  <c r="OKO23" i="3" s="1"/>
  <c r="OKP23" i="3" s="1"/>
  <c r="OKQ23" i="3" s="1"/>
  <c r="OKR23" i="3" s="1"/>
  <c r="OKS23" i="3" s="1"/>
  <c r="OKT23" i="3" s="1"/>
  <c r="OKU23" i="3" s="1"/>
  <c r="OKV23" i="3" s="1"/>
  <c r="OKW23" i="3" s="1"/>
  <c r="OKX23" i="3" s="1"/>
  <c r="OKY23" i="3" s="1"/>
  <c r="OKZ23" i="3" s="1"/>
  <c r="OLA23" i="3" s="1"/>
  <c r="OLB23" i="3" s="1"/>
  <c r="OLC23" i="3" s="1"/>
  <c r="OLD23" i="3" s="1"/>
  <c r="OLE23" i="3" s="1"/>
  <c r="OLF23" i="3" s="1"/>
  <c r="OLG23" i="3" s="1"/>
  <c r="OLH23" i="3" s="1"/>
  <c r="OLI23" i="3" s="1"/>
  <c r="OLJ23" i="3" s="1"/>
  <c r="OLK23" i="3" s="1"/>
  <c r="OLL23" i="3" s="1"/>
  <c r="OLM23" i="3" s="1"/>
  <c r="OLN23" i="3" s="1"/>
  <c r="OLO23" i="3" s="1"/>
  <c r="OLP23" i="3" s="1"/>
  <c r="OLQ23" i="3" s="1"/>
  <c r="OLR23" i="3" s="1"/>
  <c r="OLS23" i="3" s="1"/>
  <c r="OLT23" i="3" s="1"/>
  <c r="OLU23" i="3" s="1"/>
  <c r="OLV23" i="3" s="1"/>
  <c r="OLW23" i="3" s="1"/>
  <c r="OLX23" i="3" s="1"/>
  <c r="OLY23" i="3" s="1"/>
  <c r="OLZ23" i="3" s="1"/>
  <c r="OMA23" i="3" s="1"/>
  <c r="OMB23" i="3" s="1"/>
  <c r="OMC23" i="3" s="1"/>
  <c r="OMD23" i="3" s="1"/>
  <c r="OME23" i="3" s="1"/>
  <c r="OMF23" i="3" s="1"/>
  <c r="OMG23" i="3" s="1"/>
  <c r="OMH23" i="3" s="1"/>
  <c r="OMI23" i="3" s="1"/>
  <c r="OMJ23" i="3" s="1"/>
  <c r="OMK23" i="3" s="1"/>
  <c r="OML23" i="3" s="1"/>
  <c r="OMM23" i="3" s="1"/>
  <c r="OMN23" i="3" s="1"/>
  <c r="OMO23" i="3" s="1"/>
  <c r="OMP23" i="3" s="1"/>
  <c r="OMQ23" i="3" s="1"/>
  <c r="OMR23" i="3" s="1"/>
  <c r="OMS23" i="3" s="1"/>
  <c r="OMT23" i="3" s="1"/>
  <c r="OMU23" i="3" s="1"/>
  <c r="OMV23" i="3" s="1"/>
  <c r="OMW23" i="3" s="1"/>
  <c r="OMX23" i="3" s="1"/>
  <c r="OMY23" i="3" s="1"/>
  <c r="OMZ23" i="3" s="1"/>
  <c r="ONA23" i="3" s="1"/>
  <c r="ONB23" i="3" s="1"/>
  <c r="ONC23" i="3" s="1"/>
  <c r="OND23" i="3" s="1"/>
  <c r="ONE23" i="3" s="1"/>
  <c r="ONF23" i="3" s="1"/>
  <c r="ONG23" i="3" s="1"/>
  <c r="ONH23" i="3" s="1"/>
  <c r="ONI23" i="3" s="1"/>
  <c r="ONJ23" i="3" s="1"/>
  <c r="ONK23" i="3" s="1"/>
  <c r="ONL23" i="3" s="1"/>
  <c r="ONM23" i="3" s="1"/>
  <c r="ONN23" i="3" s="1"/>
  <c r="ONO23" i="3" s="1"/>
  <c r="ONP23" i="3" s="1"/>
  <c r="ONQ23" i="3" s="1"/>
  <c r="ONR23" i="3" s="1"/>
  <c r="ONS23" i="3" s="1"/>
  <c r="ONT23" i="3" s="1"/>
  <c r="ONU23" i="3" s="1"/>
  <c r="ONV23" i="3" s="1"/>
  <c r="ONW23" i="3" s="1"/>
  <c r="ONX23" i="3" s="1"/>
  <c r="ONY23" i="3" s="1"/>
  <c r="ONZ23" i="3" s="1"/>
  <c r="OOA23" i="3" s="1"/>
  <c r="OOB23" i="3" s="1"/>
  <c r="OOC23" i="3" s="1"/>
  <c r="OOD23" i="3" s="1"/>
  <c r="OOE23" i="3" s="1"/>
  <c r="OOF23" i="3" s="1"/>
  <c r="OOG23" i="3" s="1"/>
  <c r="OOH23" i="3" s="1"/>
  <c r="OOI23" i="3" s="1"/>
  <c r="OOJ23" i="3" s="1"/>
  <c r="OOK23" i="3" s="1"/>
  <c r="OOL23" i="3" s="1"/>
  <c r="OOM23" i="3" s="1"/>
  <c r="OON23" i="3" s="1"/>
  <c r="OOO23" i="3" s="1"/>
  <c r="OOP23" i="3" s="1"/>
  <c r="OOQ23" i="3" s="1"/>
  <c r="OOR23" i="3" s="1"/>
  <c r="OOS23" i="3" s="1"/>
  <c r="OOT23" i="3" s="1"/>
  <c r="OOU23" i="3" s="1"/>
  <c r="OOV23" i="3" s="1"/>
  <c r="OOW23" i="3" s="1"/>
  <c r="OOX23" i="3" s="1"/>
  <c r="OOY23" i="3" s="1"/>
  <c r="OOZ23" i="3" s="1"/>
  <c r="OPA23" i="3" s="1"/>
  <c r="OPB23" i="3" s="1"/>
  <c r="OPC23" i="3" s="1"/>
  <c r="OPD23" i="3" s="1"/>
  <c r="OPE23" i="3" s="1"/>
  <c r="OPF23" i="3" s="1"/>
  <c r="OPG23" i="3" s="1"/>
  <c r="OPH23" i="3" s="1"/>
  <c r="OPI23" i="3" s="1"/>
  <c r="OPJ23" i="3" s="1"/>
  <c r="OPK23" i="3" s="1"/>
  <c r="OPL23" i="3" s="1"/>
  <c r="OPM23" i="3" s="1"/>
  <c r="OPN23" i="3" s="1"/>
  <c r="OPO23" i="3" s="1"/>
  <c r="OPP23" i="3" s="1"/>
  <c r="OPQ23" i="3" s="1"/>
  <c r="OPR23" i="3" s="1"/>
  <c r="OPS23" i="3" s="1"/>
  <c r="OPT23" i="3" s="1"/>
  <c r="OPU23" i="3" s="1"/>
  <c r="OPV23" i="3" s="1"/>
  <c r="OPW23" i="3" s="1"/>
  <c r="OPX23" i="3" s="1"/>
  <c r="OPY23" i="3" s="1"/>
  <c r="OPZ23" i="3" s="1"/>
  <c r="OQA23" i="3" s="1"/>
  <c r="OQB23" i="3" s="1"/>
  <c r="OQC23" i="3" s="1"/>
  <c r="OQD23" i="3" s="1"/>
  <c r="OQE23" i="3" s="1"/>
  <c r="OQF23" i="3" s="1"/>
  <c r="OQG23" i="3" s="1"/>
  <c r="OQH23" i="3" s="1"/>
  <c r="OQI23" i="3" s="1"/>
  <c r="OQJ23" i="3" s="1"/>
  <c r="OQK23" i="3" s="1"/>
  <c r="OQL23" i="3" s="1"/>
  <c r="OQM23" i="3" s="1"/>
  <c r="OQN23" i="3" s="1"/>
  <c r="OQO23" i="3" s="1"/>
  <c r="OQP23" i="3" s="1"/>
  <c r="OQQ23" i="3" s="1"/>
  <c r="OQR23" i="3" s="1"/>
  <c r="OQS23" i="3" s="1"/>
  <c r="OQT23" i="3" s="1"/>
  <c r="OQU23" i="3" s="1"/>
  <c r="OQV23" i="3" s="1"/>
  <c r="OQW23" i="3" s="1"/>
  <c r="OQX23" i="3" s="1"/>
  <c r="OQY23" i="3" s="1"/>
  <c r="OQZ23" i="3" s="1"/>
  <c r="ORA23" i="3" s="1"/>
  <c r="ORB23" i="3" s="1"/>
  <c r="ORC23" i="3" s="1"/>
  <c r="ORD23" i="3" s="1"/>
  <c r="ORE23" i="3" s="1"/>
  <c r="ORF23" i="3" s="1"/>
  <c r="ORG23" i="3" s="1"/>
  <c r="ORH23" i="3" s="1"/>
  <c r="ORI23" i="3" s="1"/>
  <c r="ORJ23" i="3" s="1"/>
  <c r="ORK23" i="3" s="1"/>
  <c r="ORL23" i="3" s="1"/>
  <c r="ORM23" i="3" s="1"/>
  <c r="ORN23" i="3" s="1"/>
  <c r="ORO23" i="3" s="1"/>
  <c r="ORP23" i="3" s="1"/>
  <c r="ORQ23" i="3" s="1"/>
  <c r="ORR23" i="3" s="1"/>
  <c r="ORS23" i="3" s="1"/>
  <c r="ORT23" i="3" s="1"/>
  <c r="ORU23" i="3" s="1"/>
  <c r="ORV23" i="3" s="1"/>
  <c r="ORW23" i="3" s="1"/>
  <c r="ORX23" i="3" s="1"/>
  <c r="ORY23" i="3" s="1"/>
  <c r="ORZ23" i="3" s="1"/>
  <c r="OSA23" i="3" s="1"/>
  <c r="OSB23" i="3" s="1"/>
  <c r="OSC23" i="3" s="1"/>
  <c r="OSD23" i="3" s="1"/>
  <c r="OSE23" i="3" s="1"/>
  <c r="OSF23" i="3" s="1"/>
  <c r="OSG23" i="3" s="1"/>
  <c r="OSH23" i="3" s="1"/>
  <c r="OSI23" i="3" s="1"/>
  <c r="OSJ23" i="3" s="1"/>
  <c r="OSK23" i="3" s="1"/>
  <c r="OSL23" i="3" s="1"/>
  <c r="OSM23" i="3" s="1"/>
  <c r="OSN23" i="3" s="1"/>
  <c r="OSO23" i="3" s="1"/>
  <c r="OSP23" i="3" s="1"/>
  <c r="OSQ23" i="3" s="1"/>
  <c r="OSR23" i="3" s="1"/>
  <c r="OSS23" i="3" s="1"/>
  <c r="OST23" i="3" s="1"/>
  <c r="OSU23" i="3" s="1"/>
  <c r="OSV23" i="3" s="1"/>
  <c r="OSW23" i="3" s="1"/>
  <c r="OSX23" i="3" s="1"/>
  <c r="OSY23" i="3" s="1"/>
  <c r="OSZ23" i="3" s="1"/>
  <c r="OTA23" i="3" s="1"/>
  <c r="OTB23" i="3" s="1"/>
  <c r="OTC23" i="3" s="1"/>
  <c r="OTD23" i="3" s="1"/>
  <c r="OTE23" i="3" s="1"/>
  <c r="OTF23" i="3" s="1"/>
  <c r="OTG23" i="3" s="1"/>
  <c r="OTH23" i="3" s="1"/>
  <c r="OTI23" i="3" s="1"/>
  <c r="OTJ23" i="3" s="1"/>
  <c r="OTK23" i="3" s="1"/>
  <c r="OTL23" i="3" s="1"/>
  <c r="OTM23" i="3" s="1"/>
  <c r="OTN23" i="3" s="1"/>
  <c r="OTO23" i="3" s="1"/>
  <c r="OTP23" i="3" s="1"/>
  <c r="OTQ23" i="3" s="1"/>
  <c r="OTR23" i="3" s="1"/>
  <c r="OTS23" i="3" s="1"/>
  <c r="OTT23" i="3" s="1"/>
  <c r="OTU23" i="3" s="1"/>
  <c r="OTV23" i="3" s="1"/>
  <c r="OTW23" i="3" s="1"/>
  <c r="OTX23" i="3" s="1"/>
  <c r="OTY23" i="3" s="1"/>
  <c r="OTZ23" i="3" s="1"/>
  <c r="OUA23" i="3" s="1"/>
  <c r="OUB23" i="3" s="1"/>
  <c r="OUC23" i="3" s="1"/>
  <c r="OUD23" i="3" s="1"/>
  <c r="OUE23" i="3" s="1"/>
  <c r="OUF23" i="3" s="1"/>
  <c r="OUG23" i="3" s="1"/>
  <c r="OUH23" i="3" s="1"/>
  <c r="OUI23" i="3" s="1"/>
  <c r="OUJ23" i="3" s="1"/>
  <c r="OUK23" i="3" s="1"/>
  <c r="OUL23" i="3" s="1"/>
  <c r="OUM23" i="3" s="1"/>
  <c r="OUN23" i="3" s="1"/>
  <c r="OUO23" i="3" s="1"/>
  <c r="OUP23" i="3" s="1"/>
  <c r="OUQ23" i="3" s="1"/>
  <c r="OUR23" i="3" s="1"/>
  <c r="OUS23" i="3" s="1"/>
  <c r="OUT23" i="3" s="1"/>
  <c r="OUU23" i="3" s="1"/>
  <c r="OUV23" i="3" s="1"/>
  <c r="OUW23" i="3" s="1"/>
  <c r="OUX23" i="3" s="1"/>
  <c r="OUY23" i="3" s="1"/>
  <c r="OUZ23" i="3" s="1"/>
  <c r="OVA23" i="3" s="1"/>
  <c r="OVB23" i="3" s="1"/>
  <c r="OVC23" i="3" s="1"/>
  <c r="OVD23" i="3" s="1"/>
  <c r="OVE23" i="3" s="1"/>
  <c r="OVF23" i="3" s="1"/>
  <c r="OVG23" i="3" s="1"/>
  <c r="OVH23" i="3" s="1"/>
  <c r="OVI23" i="3" s="1"/>
  <c r="OVJ23" i="3" s="1"/>
  <c r="OVK23" i="3" s="1"/>
  <c r="OVL23" i="3" s="1"/>
  <c r="OVM23" i="3" s="1"/>
  <c r="OVN23" i="3" s="1"/>
  <c r="OVO23" i="3" s="1"/>
  <c r="OVP23" i="3" s="1"/>
  <c r="OVQ23" i="3" s="1"/>
  <c r="OVR23" i="3" s="1"/>
  <c r="OVS23" i="3" s="1"/>
  <c r="OVT23" i="3" s="1"/>
  <c r="OVU23" i="3" s="1"/>
  <c r="OVV23" i="3" s="1"/>
  <c r="OVW23" i="3" s="1"/>
  <c r="OVX23" i="3" s="1"/>
  <c r="OVY23" i="3" s="1"/>
  <c r="OVZ23" i="3" s="1"/>
  <c r="OWA23" i="3" s="1"/>
  <c r="OWB23" i="3" s="1"/>
  <c r="OWC23" i="3" s="1"/>
  <c r="OWD23" i="3" s="1"/>
  <c r="OWE23" i="3" s="1"/>
  <c r="OWF23" i="3" s="1"/>
  <c r="OWG23" i="3" s="1"/>
  <c r="OWH23" i="3" s="1"/>
  <c r="OWI23" i="3" s="1"/>
  <c r="OWJ23" i="3" s="1"/>
  <c r="OWK23" i="3" s="1"/>
  <c r="OWL23" i="3" s="1"/>
  <c r="OWM23" i="3" s="1"/>
  <c r="OWN23" i="3" s="1"/>
  <c r="OWO23" i="3" s="1"/>
  <c r="OWP23" i="3" s="1"/>
  <c r="OWQ23" i="3" s="1"/>
  <c r="OWR23" i="3" s="1"/>
  <c r="OWS23" i="3" s="1"/>
  <c r="OWT23" i="3" s="1"/>
  <c r="OWU23" i="3" s="1"/>
  <c r="OWV23" i="3" s="1"/>
  <c r="OWW23" i="3" s="1"/>
  <c r="OWX23" i="3" s="1"/>
  <c r="OWY23" i="3" s="1"/>
  <c r="OWZ23" i="3" s="1"/>
  <c r="OXA23" i="3" s="1"/>
  <c r="OXB23" i="3" s="1"/>
  <c r="OXC23" i="3" s="1"/>
  <c r="OXD23" i="3" s="1"/>
  <c r="OXE23" i="3" s="1"/>
  <c r="OXF23" i="3" s="1"/>
  <c r="OXG23" i="3" s="1"/>
  <c r="OXH23" i="3" s="1"/>
  <c r="OXI23" i="3" s="1"/>
  <c r="OXJ23" i="3" s="1"/>
  <c r="OXK23" i="3" s="1"/>
  <c r="OXL23" i="3" s="1"/>
  <c r="OXM23" i="3" s="1"/>
  <c r="OXN23" i="3" s="1"/>
  <c r="OXO23" i="3" s="1"/>
  <c r="OXP23" i="3" s="1"/>
  <c r="OXQ23" i="3" s="1"/>
  <c r="OXR23" i="3" s="1"/>
  <c r="OXS23" i="3" s="1"/>
  <c r="OXT23" i="3" s="1"/>
  <c r="OXU23" i="3" s="1"/>
  <c r="OXV23" i="3" s="1"/>
  <c r="OXW23" i="3" s="1"/>
  <c r="OXX23" i="3" s="1"/>
  <c r="OXY23" i="3" s="1"/>
  <c r="OXZ23" i="3" s="1"/>
  <c r="OYA23" i="3" s="1"/>
  <c r="OYB23" i="3" s="1"/>
  <c r="OYC23" i="3" s="1"/>
  <c r="OYD23" i="3" s="1"/>
  <c r="OYE23" i="3" s="1"/>
  <c r="OYF23" i="3" s="1"/>
  <c r="OYG23" i="3" s="1"/>
  <c r="OYH23" i="3" s="1"/>
  <c r="OYI23" i="3" s="1"/>
  <c r="OYJ23" i="3" s="1"/>
  <c r="OYK23" i="3" s="1"/>
  <c r="OYL23" i="3" s="1"/>
  <c r="OYM23" i="3" s="1"/>
  <c r="OYN23" i="3" s="1"/>
  <c r="OYO23" i="3" s="1"/>
  <c r="OYP23" i="3" s="1"/>
  <c r="OYQ23" i="3" s="1"/>
  <c r="OYR23" i="3" s="1"/>
  <c r="OYS23" i="3" s="1"/>
  <c r="OYT23" i="3" s="1"/>
  <c r="OYU23" i="3" s="1"/>
  <c r="OYV23" i="3" s="1"/>
  <c r="OYW23" i="3" s="1"/>
  <c r="OYX23" i="3" s="1"/>
  <c r="OYY23" i="3" s="1"/>
  <c r="OYZ23" i="3" s="1"/>
  <c r="OZA23" i="3" s="1"/>
  <c r="OZB23" i="3" s="1"/>
  <c r="OZC23" i="3" s="1"/>
  <c r="OZD23" i="3" s="1"/>
  <c r="OZE23" i="3" s="1"/>
  <c r="OZF23" i="3" s="1"/>
  <c r="OZG23" i="3" s="1"/>
  <c r="OZH23" i="3" s="1"/>
  <c r="OZI23" i="3" s="1"/>
  <c r="OZJ23" i="3" s="1"/>
  <c r="OZK23" i="3" s="1"/>
  <c r="OZL23" i="3" s="1"/>
  <c r="OZM23" i="3" s="1"/>
  <c r="OZN23" i="3" s="1"/>
  <c r="OZO23" i="3" s="1"/>
  <c r="OZP23" i="3" s="1"/>
  <c r="OZQ23" i="3" s="1"/>
  <c r="OZR23" i="3" s="1"/>
  <c r="OZS23" i="3" s="1"/>
  <c r="OZT23" i="3" s="1"/>
  <c r="OZU23" i="3" s="1"/>
  <c r="OZV23" i="3" s="1"/>
  <c r="OZW23" i="3" s="1"/>
  <c r="OZX23" i="3" s="1"/>
  <c r="OZY23" i="3" s="1"/>
  <c r="OZZ23" i="3" s="1"/>
  <c r="PAA23" i="3" s="1"/>
  <c r="PAB23" i="3" s="1"/>
  <c r="PAC23" i="3" s="1"/>
  <c r="PAD23" i="3" s="1"/>
  <c r="PAE23" i="3" s="1"/>
  <c r="PAF23" i="3" s="1"/>
  <c r="PAG23" i="3" s="1"/>
  <c r="PAH23" i="3" s="1"/>
  <c r="PAI23" i="3" s="1"/>
  <c r="PAJ23" i="3" s="1"/>
  <c r="PAK23" i="3" s="1"/>
  <c r="PAL23" i="3" s="1"/>
  <c r="PAM23" i="3" s="1"/>
  <c r="PAN23" i="3" s="1"/>
  <c r="PAO23" i="3" s="1"/>
  <c r="PAP23" i="3" s="1"/>
  <c r="PAQ23" i="3" s="1"/>
  <c r="PAR23" i="3" s="1"/>
  <c r="PAS23" i="3" s="1"/>
  <c r="PAT23" i="3" s="1"/>
  <c r="PAU23" i="3" s="1"/>
  <c r="PAV23" i="3" s="1"/>
  <c r="PAW23" i="3" s="1"/>
  <c r="PAX23" i="3" s="1"/>
  <c r="PAY23" i="3" s="1"/>
  <c r="PAZ23" i="3" s="1"/>
  <c r="PBA23" i="3" s="1"/>
  <c r="PBB23" i="3" s="1"/>
  <c r="PBC23" i="3" s="1"/>
  <c r="PBD23" i="3" s="1"/>
  <c r="PBE23" i="3" s="1"/>
  <c r="PBF23" i="3" s="1"/>
  <c r="PBG23" i="3" s="1"/>
  <c r="PBH23" i="3" s="1"/>
  <c r="PBI23" i="3" s="1"/>
  <c r="PBJ23" i="3" s="1"/>
  <c r="PBK23" i="3" s="1"/>
  <c r="PBL23" i="3" s="1"/>
  <c r="PBM23" i="3" s="1"/>
  <c r="PBN23" i="3" s="1"/>
  <c r="PBO23" i="3" s="1"/>
  <c r="PBP23" i="3" s="1"/>
  <c r="PBQ23" i="3" s="1"/>
  <c r="PBR23" i="3" s="1"/>
  <c r="PBS23" i="3" s="1"/>
  <c r="PBT23" i="3" s="1"/>
  <c r="PBU23" i="3" s="1"/>
  <c r="PBV23" i="3" s="1"/>
  <c r="PBW23" i="3" s="1"/>
  <c r="PBX23" i="3" s="1"/>
  <c r="PBY23" i="3" s="1"/>
  <c r="PBZ23" i="3" s="1"/>
  <c r="PCA23" i="3" s="1"/>
  <c r="PCB23" i="3" s="1"/>
  <c r="PCC23" i="3" s="1"/>
  <c r="PCD23" i="3" s="1"/>
  <c r="PCE23" i="3" s="1"/>
  <c r="PCF23" i="3" s="1"/>
  <c r="PCG23" i="3" s="1"/>
  <c r="PCH23" i="3" s="1"/>
  <c r="PCI23" i="3" s="1"/>
  <c r="PCJ23" i="3" s="1"/>
  <c r="PCK23" i="3" s="1"/>
  <c r="PCL23" i="3" s="1"/>
  <c r="PCM23" i="3" s="1"/>
  <c r="PCN23" i="3" s="1"/>
  <c r="PCO23" i="3" s="1"/>
  <c r="PCP23" i="3" s="1"/>
  <c r="PCQ23" i="3" s="1"/>
  <c r="PCR23" i="3" s="1"/>
  <c r="PCS23" i="3" s="1"/>
  <c r="PCT23" i="3" s="1"/>
  <c r="PCU23" i="3" s="1"/>
  <c r="PCV23" i="3" s="1"/>
  <c r="PCW23" i="3" s="1"/>
  <c r="PCX23" i="3" s="1"/>
  <c r="PCY23" i="3" s="1"/>
  <c r="PCZ23" i="3" s="1"/>
  <c r="PDA23" i="3" s="1"/>
  <c r="PDB23" i="3" s="1"/>
  <c r="PDC23" i="3" s="1"/>
  <c r="PDD23" i="3" s="1"/>
  <c r="PDE23" i="3" s="1"/>
  <c r="PDF23" i="3" s="1"/>
  <c r="PDG23" i="3" s="1"/>
  <c r="PDH23" i="3" s="1"/>
  <c r="PDI23" i="3" s="1"/>
  <c r="PDJ23" i="3" s="1"/>
  <c r="PDK23" i="3" s="1"/>
  <c r="PDL23" i="3" s="1"/>
  <c r="PDM23" i="3" s="1"/>
  <c r="PDN23" i="3" s="1"/>
  <c r="PDO23" i="3" s="1"/>
  <c r="PDP23" i="3" s="1"/>
  <c r="PDQ23" i="3" s="1"/>
  <c r="PDR23" i="3" s="1"/>
  <c r="PDS23" i="3" s="1"/>
  <c r="PDT23" i="3" s="1"/>
  <c r="PDU23" i="3" s="1"/>
  <c r="PDV23" i="3" s="1"/>
  <c r="PDW23" i="3" s="1"/>
  <c r="PDX23" i="3" s="1"/>
  <c r="PDY23" i="3" s="1"/>
  <c r="PDZ23" i="3" s="1"/>
  <c r="PEA23" i="3" s="1"/>
  <c r="PEB23" i="3" s="1"/>
  <c r="PEC23" i="3" s="1"/>
  <c r="PED23" i="3" s="1"/>
  <c r="PEE23" i="3" s="1"/>
  <c r="PEF23" i="3" s="1"/>
  <c r="PEG23" i="3" s="1"/>
  <c r="PEH23" i="3" s="1"/>
  <c r="PEI23" i="3" s="1"/>
  <c r="PEJ23" i="3" s="1"/>
  <c r="PEK23" i="3" s="1"/>
  <c r="PEL23" i="3" s="1"/>
  <c r="PEM23" i="3" s="1"/>
  <c r="PEN23" i="3" s="1"/>
  <c r="PEO23" i="3" s="1"/>
  <c r="PEP23" i="3" s="1"/>
  <c r="PEQ23" i="3" s="1"/>
  <c r="PER23" i="3" s="1"/>
  <c r="PES23" i="3" s="1"/>
  <c r="PET23" i="3" s="1"/>
  <c r="PEU23" i="3" s="1"/>
  <c r="PEV23" i="3" s="1"/>
  <c r="PEW23" i="3" s="1"/>
  <c r="PEX23" i="3" s="1"/>
  <c r="PEY23" i="3" s="1"/>
  <c r="PEZ23" i="3" s="1"/>
  <c r="PFA23" i="3" s="1"/>
  <c r="PFB23" i="3" s="1"/>
  <c r="PFC23" i="3" s="1"/>
  <c r="PFD23" i="3" s="1"/>
  <c r="PFE23" i="3" s="1"/>
  <c r="PFF23" i="3" s="1"/>
  <c r="PFG23" i="3" s="1"/>
  <c r="PFH23" i="3" s="1"/>
  <c r="PFI23" i="3" s="1"/>
  <c r="PFJ23" i="3" s="1"/>
  <c r="PFK23" i="3" s="1"/>
  <c r="PFL23" i="3" s="1"/>
  <c r="PFM23" i="3" s="1"/>
  <c r="PFN23" i="3" s="1"/>
  <c r="PFO23" i="3" s="1"/>
  <c r="PFP23" i="3" s="1"/>
  <c r="PFQ23" i="3" s="1"/>
  <c r="PFR23" i="3" s="1"/>
  <c r="PFS23" i="3" s="1"/>
  <c r="PFT23" i="3" s="1"/>
  <c r="PFU23" i="3" s="1"/>
  <c r="PFV23" i="3" s="1"/>
  <c r="PFW23" i="3" s="1"/>
  <c r="PFX23" i="3" s="1"/>
  <c r="PFY23" i="3" s="1"/>
  <c r="PFZ23" i="3" s="1"/>
  <c r="PGA23" i="3" s="1"/>
  <c r="PGB23" i="3" s="1"/>
  <c r="PGC23" i="3" s="1"/>
  <c r="PGD23" i="3" s="1"/>
  <c r="PGE23" i="3" s="1"/>
  <c r="PGF23" i="3" s="1"/>
  <c r="PGG23" i="3" s="1"/>
  <c r="PGH23" i="3" s="1"/>
  <c r="PGI23" i="3" s="1"/>
  <c r="PGJ23" i="3" s="1"/>
  <c r="PGK23" i="3" s="1"/>
  <c r="PGL23" i="3" s="1"/>
  <c r="PGM23" i="3" s="1"/>
  <c r="PGN23" i="3" s="1"/>
  <c r="PGO23" i="3" s="1"/>
  <c r="PGP23" i="3" s="1"/>
  <c r="PGQ23" i="3" s="1"/>
  <c r="PGR23" i="3" s="1"/>
  <c r="PGS23" i="3" s="1"/>
  <c r="PGT23" i="3" s="1"/>
  <c r="PGU23" i="3" s="1"/>
  <c r="PGV23" i="3" s="1"/>
  <c r="PGW23" i="3" s="1"/>
  <c r="PGX23" i="3" s="1"/>
  <c r="PGY23" i="3" s="1"/>
  <c r="PGZ23" i="3" s="1"/>
  <c r="PHA23" i="3" s="1"/>
  <c r="PHB23" i="3" s="1"/>
  <c r="PHC23" i="3" s="1"/>
  <c r="PHD23" i="3" s="1"/>
  <c r="PHE23" i="3" s="1"/>
  <c r="PHF23" i="3" s="1"/>
  <c r="PHG23" i="3" s="1"/>
  <c r="PHH23" i="3" s="1"/>
  <c r="PHI23" i="3" s="1"/>
  <c r="PHJ23" i="3" s="1"/>
  <c r="PHK23" i="3" s="1"/>
  <c r="PHL23" i="3" s="1"/>
  <c r="PHM23" i="3" s="1"/>
  <c r="PHN23" i="3" s="1"/>
  <c r="PHO23" i="3" s="1"/>
  <c r="PHP23" i="3" s="1"/>
  <c r="PHQ23" i="3" s="1"/>
  <c r="PHR23" i="3" s="1"/>
  <c r="PHS23" i="3" s="1"/>
  <c r="PHT23" i="3" s="1"/>
  <c r="PHU23" i="3" s="1"/>
  <c r="PHV23" i="3" s="1"/>
  <c r="PHW23" i="3" s="1"/>
  <c r="PHX23" i="3" s="1"/>
  <c r="PHY23" i="3" s="1"/>
  <c r="PHZ23" i="3" s="1"/>
  <c r="PIA23" i="3" s="1"/>
  <c r="PIB23" i="3" s="1"/>
  <c r="PIC23" i="3" s="1"/>
  <c r="PID23" i="3" s="1"/>
  <c r="PIE23" i="3" s="1"/>
  <c r="PIF23" i="3" s="1"/>
  <c r="PIG23" i="3" s="1"/>
  <c r="PIH23" i="3" s="1"/>
  <c r="PII23" i="3" s="1"/>
  <c r="PIJ23" i="3" s="1"/>
  <c r="PIK23" i="3" s="1"/>
  <c r="PIL23" i="3" s="1"/>
  <c r="PIM23" i="3" s="1"/>
  <c r="PIN23" i="3" s="1"/>
  <c r="PIO23" i="3" s="1"/>
  <c r="PIP23" i="3" s="1"/>
  <c r="PIQ23" i="3" s="1"/>
  <c r="PIR23" i="3" s="1"/>
  <c r="PIS23" i="3" s="1"/>
  <c r="PIT23" i="3" s="1"/>
  <c r="PIU23" i="3" s="1"/>
  <c r="PIV23" i="3" s="1"/>
  <c r="PIW23" i="3" s="1"/>
  <c r="PIX23" i="3" s="1"/>
  <c r="PIY23" i="3" s="1"/>
  <c r="PIZ23" i="3" s="1"/>
  <c r="PJA23" i="3" s="1"/>
  <c r="PJB23" i="3" s="1"/>
  <c r="PJC23" i="3" s="1"/>
  <c r="PJD23" i="3" s="1"/>
  <c r="PJE23" i="3" s="1"/>
  <c r="PJF23" i="3" s="1"/>
  <c r="PJG23" i="3" s="1"/>
  <c r="PJH23" i="3" s="1"/>
  <c r="PJI23" i="3" s="1"/>
  <c r="PJJ23" i="3" s="1"/>
  <c r="PJK23" i="3" s="1"/>
  <c r="PJL23" i="3" s="1"/>
  <c r="PJM23" i="3" s="1"/>
  <c r="PJN23" i="3" s="1"/>
  <c r="PJO23" i="3" s="1"/>
  <c r="PJP23" i="3" s="1"/>
  <c r="PJQ23" i="3" s="1"/>
  <c r="PJR23" i="3" s="1"/>
  <c r="PJS23" i="3" s="1"/>
  <c r="PJT23" i="3" s="1"/>
  <c r="PJU23" i="3" s="1"/>
  <c r="PJV23" i="3" s="1"/>
  <c r="PJW23" i="3" s="1"/>
  <c r="PJX23" i="3" s="1"/>
  <c r="PJY23" i="3" s="1"/>
  <c r="PJZ23" i="3" s="1"/>
  <c r="PKA23" i="3" s="1"/>
  <c r="PKB23" i="3" s="1"/>
  <c r="PKC23" i="3" s="1"/>
  <c r="PKD23" i="3" s="1"/>
  <c r="PKE23" i="3" s="1"/>
  <c r="PKF23" i="3" s="1"/>
  <c r="PKG23" i="3" s="1"/>
  <c r="PKH23" i="3" s="1"/>
  <c r="PKI23" i="3" s="1"/>
  <c r="PKJ23" i="3" s="1"/>
  <c r="PKK23" i="3" s="1"/>
  <c r="PKL23" i="3" s="1"/>
  <c r="PKM23" i="3" s="1"/>
  <c r="PKN23" i="3" s="1"/>
  <c r="PKO23" i="3" s="1"/>
  <c r="PKP23" i="3" s="1"/>
  <c r="PKQ23" i="3" s="1"/>
  <c r="PKR23" i="3" s="1"/>
  <c r="PKS23" i="3" s="1"/>
  <c r="PKT23" i="3" s="1"/>
  <c r="PKU23" i="3" s="1"/>
  <c r="PKV23" i="3" s="1"/>
  <c r="PKW23" i="3" s="1"/>
  <c r="PKX23" i="3" s="1"/>
  <c r="PKY23" i="3" s="1"/>
  <c r="PKZ23" i="3" s="1"/>
  <c r="PLA23" i="3" s="1"/>
  <c r="PLB23" i="3" s="1"/>
  <c r="PLC23" i="3" s="1"/>
  <c r="PLD23" i="3" s="1"/>
  <c r="PLE23" i="3" s="1"/>
  <c r="PLF23" i="3" s="1"/>
  <c r="PLG23" i="3" s="1"/>
  <c r="PLH23" i="3" s="1"/>
  <c r="PLI23" i="3" s="1"/>
  <c r="PLJ23" i="3" s="1"/>
  <c r="PLK23" i="3" s="1"/>
  <c r="PLL23" i="3" s="1"/>
  <c r="PLM23" i="3" s="1"/>
  <c r="PLN23" i="3" s="1"/>
  <c r="PLO23" i="3" s="1"/>
  <c r="PLP23" i="3" s="1"/>
  <c r="PLQ23" i="3" s="1"/>
  <c r="PLR23" i="3" s="1"/>
  <c r="PLS23" i="3" s="1"/>
  <c r="PLT23" i="3" s="1"/>
  <c r="PLU23" i="3" s="1"/>
  <c r="PLV23" i="3" s="1"/>
  <c r="PLW23" i="3" s="1"/>
  <c r="PLX23" i="3" s="1"/>
  <c r="PLY23" i="3" s="1"/>
  <c r="PLZ23" i="3" s="1"/>
  <c r="PMA23" i="3" s="1"/>
  <c r="PMB23" i="3" s="1"/>
  <c r="PMC23" i="3" s="1"/>
  <c r="PMD23" i="3" s="1"/>
  <c r="PME23" i="3" s="1"/>
  <c r="PMF23" i="3" s="1"/>
  <c r="PMG23" i="3" s="1"/>
  <c r="PMH23" i="3" s="1"/>
  <c r="PMI23" i="3" s="1"/>
  <c r="PMJ23" i="3" s="1"/>
  <c r="PMK23" i="3" s="1"/>
  <c r="PML23" i="3" s="1"/>
  <c r="PMM23" i="3" s="1"/>
  <c r="PMN23" i="3" s="1"/>
  <c r="PMO23" i="3" s="1"/>
  <c r="PMP23" i="3" s="1"/>
  <c r="PMQ23" i="3" s="1"/>
  <c r="PMR23" i="3" s="1"/>
  <c r="PMS23" i="3" s="1"/>
  <c r="PMT23" i="3" s="1"/>
  <c r="PMU23" i="3" s="1"/>
  <c r="PMV23" i="3" s="1"/>
  <c r="PMW23" i="3" s="1"/>
  <c r="PMX23" i="3" s="1"/>
  <c r="PMY23" i="3" s="1"/>
  <c r="PMZ23" i="3" s="1"/>
  <c r="PNA23" i="3" s="1"/>
  <c r="PNB23" i="3" s="1"/>
  <c r="PNC23" i="3" s="1"/>
  <c r="PND23" i="3" s="1"/>
  <c r="PNE23" i="3" s="1"/>
  <c r="PNF23" i="3" s="1"/>
  <c r="PNG23" i="3" s="1"/>
  <c r="PNH23" i="3" s="1"/>
  <c r="PNI23" i="3" s="1"/>
  <c r="PNJ23" i="3" s="1"/>
  <c r="PNK23" i="3" s="1"/>
  <c r="PNL23" i="3" s="1"/>
  <c r="PNM23" i="3" s="1"/>
  <c r="PNN23" i="3" s="1"/>
  <c r="PNO23" i="3" s="1"/>
  <c r="PNP23" i="3" s="1"/>
  <c r="PNQ23" i="3" s="1"/>
  <c r="PNR23" i="3" s="1"/>
  <c r="PNS23" i="3" s="1"/>
  <c r="PNT23" i="3" s="1"/>
  <c r="PNU23" i="3" s="1"/>
  <c r="PNV23" i="3" s="1"/>
  <c r="PNW23" i="3" s="1"/>
  <c r="PNX23" i="3" s="1"/>
  <c r="PNY23" i="3" s="1"/>
  <c r="PNZ23" i="3" s="1"/>
  <c r="POA23" i="3" s="1"/>
  <c r="POB23" i="3" s="1"/>
  <c r="POC23" i="3" s="1"/>
  <c r="POD23" i="3" s="1"/>
  <c r="POE23" i="3" s="1"/>
  <c r="POF23" i="3" s="1"/>
  <c r="POG23" i="3" s="1"/>
  <c r="POH23" i="3" s="1"/>
  <c r="POI23" i="3" s="1"/>
  <c r="POJ23" i="3" s="1"/>
  <c r="POK23" i="3" s="1"/>
  <c r="POL23" i="3" s="1"/>
  <c r="POM23" i="3" s="1"/>
  <c r="PON23" i="3" s="1"/>
  <c r="POO23" i="3" s="1"/>
  <c r="POP23" i="3" s="1"/>
  <c r="POQ23" i="3" s="1"/>
  <c r="POR23" i="3" s="1"/>
  <c r="POS23" i="3" s="1"/>
  <c r="POT23" i="3" s="1"/>
  <c r="POU23" i="3" s="1"/>
  <c r="POV23" i="3" s="1"/>
  <c r="POW23" i="3" s="1"/>
  <c r="POX23" i="3" s="1"/>
  <c r="POY23" i="3" s="1"/>
  <c r="POZ23" i="3" s="1"/>
  <c r="PPA23" i="3" s="1"/>
  <c r="PPB23" i="3" s="1"/>
  <c r="PPC23" i="3" s="1"/>
  <c r="PPD23" i="3" s="1"/>
  <c r="PPE23" i="3" s="1"/>
  <c r="PPF23" i="3" s="1"/>
  <c r="PPG23" i="3" s="1"/>
  <c r="PPH23" i="3" s="1"/>
  <c r="PPI23" i="3" s="1"/>
  <c r="PPJ23" i="3" s="1"/>
  <c r="PPK23" i="3" s="1"/>
  <c r="PPL23" i="3" s="1"/>
  <c r="PPM23" i="3" s="1"/>
  <c r="PPN23" i="3" s="1"/>
  <c r="PPO23" i="3" s="1"/>
  <c r="PPP23" i="3" s="1"/>
  <c r="PPQ23" i="3" s="1"/>
  <c r="PPR23" i="3" s="1"/>
  <c r="PPS23" i="3" s="1"/>
  <c r="PPT23" i="3" s="1"/>
  <c r="PPU23" i="3" s="1"/>
  <c r="PPV23" i="3" s="1"/>
  <c r="PPW23" i="3" s="1"/>
  <c r="PPX23" i="3" s="1"/>
  <c r="PPY23" i="3" s="1"/>
  <c r="PPZ23" i="3" s="1"/>
  <c r="PQA23" i="3" s="1"/>
  <c r="PQB23" i="3" s="1"/>
  <c r="PQC23" i="3" s="1"/>
  <c r="PQD23" i="3" s="1"/>
  <c r="PQE23" i="3" s="1"/>
  <c r="PQF23" i="3" s="1"/>
  <c r="PQG23" i="3" s="1"/>
  <c r="PQH23" i="3" s="1"/>
  <c r="PQI23" i="3" s="1"/>
  <c r="PQJ23" i="3" s="1"/>
  <c r="PQK23" i="3" s="1"/>
  <c r="PQL23" i="3" s="1"/>
  <c r="PQM23" i="3" s="1"/>
  <c r="PQN23" i="3" s="1"/>
  <c r="PQO23" i="3" s="1"/>
  <c r="PQP23" i="3" s="1"/>
  <c r="PQQ23" i="3" s="1"/>
  <c r="PQR23" i="3" s="1"/>
  <c r="PQS23" i="3" s="1"/>
  <c r="PQT23" i="3" s="1"/>
  <c r="PQU23" i="3" s="1"/>
  <c r="PQV23" i="3" s="1"/>
  <c r="PQW23" i="3" s="1"/>
  <c r="PQX23" i="3" s="1"/>
  <c r="PQY23" i="3" s="1"/>
  <c r="PQZ23" i="3" s="1"/>
  <c r="PRA23" i="3" s="1"/>
  <c r="PRB23" i="3" s="1"/>
  <c r="PRC23" i="3" s="1"/>
  <c r="PRD23" i="3" s="1"/>
  <c r="PRE23" i="3" s="1"/>
  <c r="PRF23" i="3" s="1"/>
  <c r="PRG23" i="3" s="1"/>
  <c r="PRH23" i="3" s="1"/>
  <c r="PRI23" i="3" s="1"/>
  <c r="PRJ23" i="3" s="1"/>
  <c r="PRK23" i="3" s="1"/>
  <c r="PRL23" i="3" s="1"/>
  <c r="PRM23" i="3" s="1"/>
  <c r="PRN23" i="3" s="1"/>
  <c r="PRO23" i="3" s="1"/>
  <c r="PRP23" i="3" s="1"/>
  <c r="PRQ23" i="3" s="1"/>
  <c r="PRR23" i="3" s="1"/>
  <c r="PRS23" i="3" s="1"/>
  <c r="PRT23" i="3" s="1"/>
  <c r="PRU23" i="3" s="1"/>
  <c r="PRV23" i="3" s="1"/>
  <c r="PRW23" i="3" s="1"/>
  <c r="PRX23" i="3" s="1"/>
  <c r="PRY23" i="3" s="1"/>
  <c r="PRZ23" i="3" s="1"/>
  <c r="PSA23" i="3" s="1"/>
  <c r="PSB23" i="3" s="1"/>
  <c r="PSC23" i="3" s="1"/>
  <c r="PSD23" i="3" s="1"/>
  <c r="PSE23" i="3" s="1"/>
  <c r="PSF23" i="3" s="1"/>
  <c r="PSG23" i="3" s="1"/>
  <c r="PSH23" i="3" s="1"/>
  <c r="PSI23" i="3" s="1"/>
  <c r="PSJ23" i="3" s="1"/>
  <c r="PSK23" i="3" s="1"/>
  <c r="PSL23" i="3" s="1"/>
  <c r="PSM23" i="3" s="1"/>
  <c r="PSN23" i="3" s="1"/>
  <c r="PSO23" i="3" s="1"/>
  <c r="PSP23" i="3" s="1"/>
  <c r="PSQ23" i="3" s="1"/>
  <c r="PSR23" i="3" s="1"/>
  <c r="PSS23" i="3" s="1"/>
  <c r="PST23" i="3" s="1"/>
  <c r="PSU23" i="3" s="1"/>
  <c r="PSV23" i="3" s="1"/>
  <c r="PSW23" i="3" s="1"/>
  <c r="PSX23" i="3" s="1"/>
  <c r="PSY23" i="3" s="1"/>
  <c r="PSZ23" i="3" s="1"/>
  <c r="PTA23" i="3" s="1"/>
  <c r="PTB23" i="3" s="1"/>
  <c r="PTC23" i="3" s="1"/>
  <c r="PTD23" i="3" s="1"/>
  <c r="PTE23" i="3" s="1"/>
  <c r="PTF23" i="3" s="1"/>
  <c r="PTG23" i="3" s="1"/>
  <c r="PTH23" i="3" s="1"/>
  <c r="PTI23" i="3" s="1"/>
  <c r="PTJ23" i="3" s="1"/>
  <c r="PTK23" i="3" s="1"/>
  <c r="PTL23" i="3" s="1"/>
  <c r="PTM23" i="3" s="1"/>
  <c r="PTN23" i="3" s="1"/>
  <c r="PTO23" i="3" s="1"/>
  <c r="PTP23" i="3" s="1"/>
  <c r="PTQ23" i="3" s="1"/>
  <c r="PTR23" i="3" s="1"/>
  <c r="PTS23" i="3" s="1"/>
  <c r="PTT23" i="3" s="1"/>
  <c r="PTU23" i="3" s="1"/>
  <c r="PTV23" i="3" s="1"/>
  <c r="PTW23" i="3" s="1"/>
  <c r="PTX23" i="3" s="1"/>
  <c r="PTY23" i="3" s="1"/>
  <c r="PTZ23" i="3" s="1"/>
  <c r="PUA23" i="3" s="1"/>
  <c r="PUB23" i="3" s="1"/>
  <c r="PUC23" i="3" s="1"/>
  <c r="PUD23" i="3" s="1"/>
  <c r="PUE23" i="3" s="1"/>
  <c r="PUF23" i="3" s="1"/>
  <c r="PUG23" i="3" s="1"/>
  <c r="PUH23" i="3" s="1"/>
  <c r="PUI23" i="3" s="1"/>
  <c r="PUJ23" i="3" s="1"/>
  <c r="PUK23" i="3" s="1"/>
  <c r="PUL23" i="3" s="1"/>
  <c r="PUM23" i="3" s="1"/>
  <c r="PUN23" i="3" s="1"/>
  <c r="PUO23" i="3" s="1"/>
  <c r="PUP23" i="3" s="1"/>
  <c r="PUQ23" i="3" s="1"/>
  <c r="PUR23" i="3" s="1"/>
  <c r="PUS23" i="3" s="1"/>
  <c r="PUT23" i="3" s="1"/>
  <c r="PUU23" i="3" s="1"/>
  <c r="PUV23" i="3" s="1"/>
  <c r="PUW23" i="3" s="1"/>
  <c r="PUX23" i="3" s="1"/>
  <c r="PUY23" i="3" s="1"/>
  <c r="PUZ23" i="3" s="1"/>
  <c r="PVA23" i="3" s="1"/>
  <c r="PVB23" i="3" s="1"/>
  <c r="PVC23" i="3" s="1"/>
  <c r="PVD23" i="3" s="1"/>
  <c r="PVE23" i="3" s="1"/>
  <c r="PVF23" i="3" s="1"/>
  <c r="PVG23" i="3" s="1"/>
  <c r="PVH23" i="3" s="1"/>
  <c r="PVI23" i="3" s="1"/>
  <c r="PVJ23" i="3" s="1"/>
  <c r="PVK23" i="3" s="1"/>
  <c r="PVL23" i="3" s="1"/>
  <c r="PVM23" i="3" s="1"/>
  <c r="PVN23" i="3" s="1"/>
  <c r="PVO23" i="3" s="1"/>
  <c r="PVP23" i="3" s="1"/>
  <c r="PVQ23" i="3" s="1"/>
  <c r="PVR23" i="3" s="1"/>
  <c r="PVS23" i="3" s="1"/>
  <c r="PVT23" i="3" s="1"/>
  <c r="PVU23" i="3" s="1"/>
  <c r="PVV23" i="3" s="1"/>
  <c r="PVW23" i="3" s="1"/>
  <c r="PVX23" i="3" s="1"/>
  <c r="PVY23" i="3" s="1"/>
  <c r="PVZ23" i="3" s="1"/>
  <c r="PWA23" i="3" s="1"/>
  <c r="PWB23" i="3" s="1"/>
  <c r="PWC23" i="3" s="1"/>
  <c r="PWD23" i="3" s="1"/>
  <c r="PWE23" i="3" s="1"/>
  <c r="PWF23" i="3" s="1"/>
  <c r="PWG23" i="3" s="1"/>
  <c r="PWH23" i="3" s="1"/>
  <c r="PWI23" i="3" s="1"/>
  <c r="PWJ23" i="3" s="1"/>
  <c r="PWK23" i="3" s="1"/>
  <c r="PWL23" i="3" s="1"/>
  <c r="PWM23" i="3" s="1"/>
  <c r="PWN23" i="3" s="1"/>
  <c r="PWO23" i="3" s="1"/>
  <c r="PWP23" i="3" s="1"/>
  <c r="PWQ23" i="3" s="1"/>
  <c r="PWR23" i="3" s="1"/>
  <c r="PWS23" i="3" s="1"/>
  <c r="PWT23" i="3" s="1"/>
  <c r="PWU23" i="3" s="1"/>
  <c r="PWV23" i="3" s="1"/>
  <c r="PWW23" i="3" s="1"/>
  <c r="PWX23" i="3" s="1"/>
  <c r="PWY23" i="3" s="1"/>
  <c r="PWZ23" i="3" s="1"/>
  <c r="PXA23" i="3" s="1"/>
  <c r="PXB23" i="3" s="1"/>
  <c r="PXC23" i="3" s="1"/>
  <c r="PXD23" i="3" s="1"/>
  <c r="PXE23" i="3" s="1"/>
  <c r="PXF23" i="3" s="1"/>
  <c r="PXG23" i="3" s="1"/>
  <c r="PXH23" i="3" s="1"/>
  <c r="PXI23" i="3" s="1"/>
  <c r="PXJ23" i="3" s="1"/>
  <c r="PXK23" i="3" s="1"/>
  <c r="PXL23" i="3" s="1"/>
  <c r="PXM23" i="3" s="1"/>
  <c r="PXN23" i="3" s="1"/>
  <c r="PXO23" i="3" s="1"/>
  <c r="PXP23" i="3" s="1"/>
  <c r="PXQ23" i="3" s="1"/>
  <c r="PXR23" i="3" s="1"/>
  <c r="PXS23" i="3" s="1"/>
  <c r="PXT23" i="3" s="1"/>
  <c r="PXU23" i="3" s="1"/>
  <c r="PXV23" i="3" s="1"/>
  <c r="PXW23" i="3" s="1"/>
  <c r="PXX23" i="3" s="1"/>
  <c r="PXY23" i="3" s="1"/>
  <c r="PXZ23" i="3" s="1"/>
  <c r="PYA23" i="3" s="1"/>
  <c r="PYB23" i="3" s="1"/>
  <c r="PYC23" i="3" s="1"/>
  <c r="PYD23" i="3" s="1"/>
  <c r="PYE23" i="3" s="1"/>
  <c r="PYF23" i="3" s="1"/>
  <c r="PYG23" i="3" s="1"/>
  <c r="PYH23" i="3" s="1"/>
  <c r="PYI23" i="3" s="1"/>
  <c r="PYJ23" i="3" s="1"/>
  <c r="PYK23" i="3" s="1"/>
  <c r="PYL23" i="3" s="1"/>
  <c r="PYM23" i="3" s="1"/>
  <c r="PYN23" i="3" s="1"/>
  <c r="PYO23" i="3" s="1"/>
  <c r="PYP23" i="3" s="1"/>
  <c r="PYQ23" i="3" s="1"/>
  <c r="PYR23" i="3" s="1"/>
  <c r="PYS23" i="3" s="1"/>
  <c r="PYT23" i="3" s="1"/>
  <c r="PYU23" i="3" s="1"/>
  <c r="PYV23" i="3" s="1"/>
  <c r="PYW23" i="3" s="1"/>
  <c r="PYX23" i="3" s="1"/>
  <c r="PYY23" i="3" s="1"/>
  <c r="PYZ23" i="3" s="1"/>
  <c r="PZA23" i="3" s="1"/>
  <c r="PZB23" i="3" s="1"/>
  <c r="PZC23" i="3" s="1"/>
  <c r="PZD23" i="3" s="1"/>
  <c r="PZE23" i="3" s="1"/>
  <c r="PZF23" i="3" s="1"/>
  <c r="PZG23" i="3" s="1"/>
  <c r="PZH23" i="3" s="1"/>
  <c r="PZI23" i="3" s="1"/>
  <c r="PZJ23" i="3" s="1"/>
  <c r="PZK23" i="3" s="1"/>
  <c r="PZL23" i="3" s="1"/>
  <c r="PZM23" i="3" s="1"/>
  <c r="PZN23" i="3" s="1"/>
  <c r="PZO23" i="3" s="1"/>
  <c r="PZP23" i="3" s="1"/>
  <c r="PZQ23" i="3" s="1"/>
  <c r="PZR23" i="3" s="1"/>
  <c r="PZS23" i="3" s="1"/>
  <c r="PZT23" i="3" s="1"/>
  <c r="PZU23" i="3" s="1"/>
  <c r="PZV23" i="3" s="1"/>
  <c r="PZW23" i="3" s="1"/>
  <c r="PZX23" i="3" s="1"/>
  <c r="PZY23" i="3" s="1"/>
  <c r="PZZ23" i="3" s="1"/>
  <c r="QAA23" i="3" s="1"/>
  <c r="QAB23" i="3" s="1"/>
  <c r="QAC23" i="3" s="1"/>
  <c r="QAD23" i="3" s="1"/>
  <c r="QAE23" i="3" s="1"/>
  <c r="QAF23" i="3" s="1"/>
  <c r="QAG23" i="3" s="1"/>
  <c r="QAH23" i="3" s="1"/>
  <c r="QAI23" i="3" s="1"/>
  <c r="QAJ23" i="3" s="1"/>
  <c r="QAK23" i="3" s="1"/>
  <c r="QAL23" i="3" s="1"/>
  <c r="QAM23" i="3" s="1"/>
  <c r="QAN23" i="3" s="1"/>
  <c r="QAO23" i="3" s="1"/>
  <c r="QAP23" i="3" s="1"/>
  <c r="QAQ23" i="3" s="1"/>
  <c r="QAR23" i="3" s="1"/>
  <c r="QAS23" i="3" s="1"/>
  <c r="QAT23" i="3" s="1"/>
  <c r="QAU23" i="3" s="1"/>
  <c r="QAV23" i="3" s="1"/>
  <c r="QAW23" i="3" s="1"/>
  <c r="QAX23" i="3" s="1"/>
  <c r="QAY23" i="3" s="1"/>
  <c r="QAZ23" i="3" s="1"/>
  <c r="QBA23" i="3" s="1"/>
  <c r="QBB23" i="3" s="1"/>
  <c r="QBC23" i="3" s="1"/>
  <c r="QBD23" i="3" s="1"/>
  <c r="QBE23" i="3" s="1"/>
  <c r="QBF23" i="3" s="1"/>
  <c r="QBG23" i="3" s="1"/>
  <c r="QBH23" i="3" s="1"/>
  <c r="QBI23" i="3" s="1"/>
  <c r="QBJ23" i="3" s="1"/>
  <c r="QBK23" i="3" s="1"/>
  <c r="QBL23" i="3" s="1"/>
  <c r="QBM23" i="3" s="1"/>
  <c r="QBN23" i="3" s="1"/>
  <c r="QBO23" i="3" s="1"/>
  <c r="QBP23" i="3" s="1"/>
  <c r="QBQ23" i="3" s="1"/>
  <c r="QBR23" i="3" s="1"/>
  <c r="QBS23" i="3" s="1"/>
  <c r="QBT23" i="3" s="1"/>
  <c r="QBU23" i="3" s="1"/>
  <c r="QBV23" i="3" s="1"/>
  <c r="QBW23" i="3" s="1"/>
  <c r="QBX23" i="3" s="1"/>
  <c r="QBY23" i="3" s="1"/>
  <c r="QBZ23" i="3" s="1"/>
  <c r="QCA23" i="3" s="1"/>
  <c r="QCB23" i="3" s="1"/>
  <c r="QCC23" i="3" s="1"/>
  <c r="QCD23" i="3" s="1"/>
  <c r="QCE23" i="3" s="1"/>
  <c r="QCF23" i="3" s="1"/>
  <c r="QCG23" i="3" s="1"/>
  <c r="QCH23" i="3" s="1"/>
  <c r="QCI23" i="3" s="1"/>
  <c r="QCJ23" i="3" s="1"/>
  <c r="QCK23" i="3" s="1"/>
  <c r="QCL23" i="3" s="1"/>
  <c r="QCM23" i="3" s="1"/>
  <c r="QCN23" i="3" s="1"/>
  <c r="QCO23" i="3" s="1"/>
  <c r="QCP23" i="3" s="1"/>
  <c r="QCQ23" i="3" s="1"/>
  <c r="QCR23" i="3" s="1"/>
  <c r="QCS23" i="3" s="1"/>
  <c r="QCT23" i="3" s="1"/>
  <c r="QCU23" i="3" s="1"/>
  <c r="QCV23" i="3" s="1"/>
  <c r="QCW23" i="3" s="1"/>
  <c r="QCX23" i="3" s="1"/>
  <c r="QCY23" i="3" s="1"/>
  <c r="QCZ23" i="3" s="1"/>
  <c r="QDA23" i="3" s="1"/>
  <c r="QDB23" i="3" s="1"/>
  <c r="QDC23" i="3" s="1"/>
  <c r="QDD23" i="3" s="1"/>
  <c r="QDE23" i="3" s="1"/>
  <c r="QDF23" i="3" s="1"/>
  <c r="QDG23" i="3" s="1"/>
  <c r="QDH23" i="3" s="1"/>
  <c r="QDI23" i="3" s="1"/>
  <c r="QDJ23" i="3" s="1"/>
  <c r="QDK23" i="3" s="1"/>
  <c r="QDL23" i="3" s="1"/>
  <c r="QDM23" i="3" s="1"/>
  <c r="QDN23" i="3" s="1"/>
  <c r="QDO23" i="3" s="1"/>
  <c r="QDP23" i="3" s="1"/>
  <c r="QDQ23" i="3" s="1"/>
  <c r="QDR23" i="3" s="1"/>
  <c r="QDS23" i="3" s="1"/>
  <c r="QDT23" i="3" s="1"/>
  <c r="QDU23" i="3" s="1"/>
  <c r="QDV23" i="3" s="1"/>
  <c r="QDW23" i="3" s="1"/>
  <c r="QDX23" i="3" s="1"/>
  <c r="QDY23" i="3" s="1"/>
  <c r="QDZ23" i="3" s="1"/>
  <c r="QEA23" i="3" s="1"/>
  <c r="QEB23" i="3" s="1"/>
  <c r="QEC23" i="3" s="1"/>
  <c r="QED23" i="3" s="1"/>
  <c r="QEE23" i="3" s="1"/>
  <c r="QEF23" i="3" s="1"/>
  <c r="QEG23" i="3" s="1"/>
  <c r="QEH23" i="3" s="1"/>
  <c r="QEI23" i="3" s="1"/>
  <c r="QEJ23" i="3" s="1"/>
  <c r="QEK23" i="3" s="1"/>
  <c r="QEL23" i="3" s="1"/>
  <c r="QEM23" i="3" s="1"/>
  <c r="QEN23" i="3" s="1"/>
  <c r="QEO23" i="3" s="1"/>
  <c r="QEP23" i="3" s="1"/>
  <c r="QEQ23" i="3" s="1"/>
  <c r="QER23" i="3" s="1"/>
  <c r="QES23" i="3" s="1"/>
  <c r="QET23" i="3" s="1"/>
  <c r="QEU23" i="3" s="1"/>
  <c r="QEV23" i="3" s="1"/>
  <c r="QEW23" i="3" s="1"/>
  <c r="QEX23" i="3" s="1"/>
  <c r="QEY23" i="3" s="1"/>
  <c r="QEZ23" i="3" s="1"/>
  <c r="QFA23" i="3" s="1"/>
  <c r="QFB23" i="3" s="1"/>
  <c r="QFC23" i="3" s="1"/>
  <c r="QFD23" i="3" s="1"/>
  <c r="QFE23" i="3" s="1"/>
  <c r="QFF23" i="3" s="1"/>
  <c r="QFG23" i="3" s="1"/>
  <c r="QFH23" i="3" s="1"/>
  <c r="QFI23" i="3" s="1"/>
  <c r="QFJ23" i="3" s="1"/>
  <c r="QFK23" i="3" s="1"/>
  <c r="QFL23" i="3" s="1"/>
  <c r="QFM23" i="3" s="1"/>
  <c r="QFN23" i="3" s="1"/>
  <c r="QFO23" i="3" s="1"/>
  <c r="QFP23" i="3" s="1"/>
  <c r="QFQ23" i="3" s="1"/>
  <c r="QFR23" i="3" s="1"/>
  <c r="QFS23" i="3" s="1"/>
  <c r="QFT23" i="3" s="1"/>
  <c r="QFU23" i="3" s="1"/>
  <c r="QFV23" i="3" s="1"/>
  <c r="QFW23" i="3" s="1"/>
  <c r="QFX23" i="3" s="1"/>
  <c r="QFY23" i="3" s="1"/>
  <c r="QFZ23" i="3" s="1"/>
  <c r="QGA23" i="3" s="1"/>
  <c r="QGB23" i="3" s="1"/>
  <c r="QGC23" i="3" s="1"/>
  <c r="QGD23" i="3" s="1"/>
  <c r="QGE23" i="3" s="1"/>
  <c r="QGF23" i="3" s="1"/>
  <c r="QGG23" i="3" s="1"/>
  <c r="QGH23" i="3" s="1"/>
  <c r="QGI23" i="3" s="1"/>
  <c r="QGJ23" i="3" s="1"/>
  <c r="QGK23" i="3" s="1"/>
  <c r="QGL23" i="3" s="1"/>
  <c r="QGM23" i="3" s="1"/>
  <c r="QGN23" i="3" s="1"/>
  <c r="QGO23" i="3" s="1"/>
  <c r="QGP23" i="3" s="1"/>
  <c r="QGQ23" i="3" s="1"/>
  <c r="QGR23" i="3" s="1"/>
  <c r="QGS23" i="3" s="1"/>
  <c r="QGT23" i="3" s="1"/>
  <c r="QGU23" i="3" s="1"/>
  <c r="QGV23" i="3" s="1"/>
  <c r="QGW23" i="3" s="1"/>
  <c r="QGX23" i="3" s="1"/>
  <c r="QGY23" i="3" s="1"/>
  <c r="QGZ23" i="3" s="1"/>
  <c r="QHA23" i="3" s="1"/>
  <c r="QHB23" i="3" s="1"/>
  <c r="QHC23" i="3" s="1"/>
  <c r="QHD23" i="3" s="1"/>
  <c r="QHE23" i="3" s="1"/>
  <c r="QHF23" i="3" s="1"/>
  <c r="QHG23" i="3" s="1"/>
  <c r="QHH23" i="3" s="1"/>
  <c r="QHI23" i="3" s="1"/>
  <c r="QHJ23" i="3" s="1"/>
  <c r="QHK23" i="3" s="1"/>
  <c r="QHL23" i="3" s="1"/>
  <c r="QHM23" i="3" s="1"/>
  <c r="QHN23" i="3" s="1"/>
  <c r="QHO23" i="3" s="1"/>
  <c r="QHP23" i="3" s="1"/>
  <c r="QHQ23" i="3" s="1"/>
  <c r="QHR23" i="3" s="1"/>
  <c r="QHS23" i="3" s="1"/>
  <c r="QHT23" i="3" s="1"/>
  <c r="QHU23" i="3" s="1"/>
  <c r="QHV23" i="3" s="1"/>
  <c r="QHW23" i="3" s="1"/>
  <c r="QHX23" i="3" s="1"/>
  <c r="QHY23" i="3" s="1"/>
  <c r="QHZ23" i="3" s="1"/>
  <c r="QIA23" i="3" s="1"/>
  <c r="QIB23" i="3" s="1"/>
  <c r="QIC23" i="3" s="1"/>
  <c r="QID23" i="3" s="1"/>
  <c r="QIE23" i="3" s="1"/>
  <c r="QIF23" i="3" s="1"/>
  <c r="QIG23" i="3" s="1"/>
  <c r="QIH23" i="3" s="1"/>
  <c r="QII23" i="3" s="1"/>
  <c r="QIJ23" i="3" s="1"/>
  <c r="QIK23" i="3" s="1"/>
  <c r="QIL23" i="3" s="1"/>
  <c r="QIM23" i="3" s="1"/>
  <c r="QIN23" i="3" s="1"/>
  <c r="QIO23" i="3" s="1"/>
  <c r="QIP23" i="3" s="1"/>
  <c r="QIQ23" i="3" s="1"/>
  <c r="QIR23" i="3" s="1"/>
  <c r="QIS23" i="3" s="1"/>
  <c r="QIT23" i="3" s="1"/>
  <c r="QIU23" i="3" s="1"/>
  <c r="QIV23" i="3" s="1"/>
  <c r="QIW23" i="3" s="1"/>
  <c r="QIX23" i="3" s="1"/>
  <c r="QIY23" i="3" s="1"/>
  <c r="QIZ23" i="3" s="1"/>
  <c r="QJA23" i="3" s="1"/>
  <c r="QJB23" i="3" s="1"/>
  <c r="QJC23" i="3" s="1"/>
  <c r="QJD23" i="3" s="1"/>
  <c r="QJE23" i="3" s="1"/>
  <c r="QJF23" i="3" s="1"/>
  <c r="QJG23" i="3" s="1"/>
  <c r="QJH23" i="3" s="1"/>
  <c r="QJI23" i="3" s="1"/>
  <c r="QJJ23" i="3" s="1"/>
  <c r="QJK23" i="3" s="1"/>
  <c r="QJL23" i="3" s="1"/>
  <c r="QJM23" i="3" s="1"/>
  <c r="QJN23" i="3" s="1"/>
  <c r="QJO23" i="3" s="1"/>
  <c r="QJP23" i="3" s="1"/>
  <c r="QJQ23" i="3" s="1"/>
  <c r="QJR23" i="3" s="1"/>
  <c r="QJS23" i="3" s="1"/>
  <c r="QJT23" i="3" s="1"/>
  <c r="QJU23" i="3" s="1"/>
  <c r="QJV23" i="3" s="1"/>
  <c r="QJW23" i="3" s="1"/>
  <c r="QJX23" i="3" s="1"/>
  <c r="QJY23" i="3" s="1"/>
  <c r="QJZ23" i="3" s="1"/>
  <c r="QKA23" i="3" s="1"/>
  <c r="QKB23" i="3" s="1"/>
  <c r="QKC23" i="3" s="1"/>
  <c r="QKD23" i="3" s="1"/>
  <c r="QKE23" i="3" s="1"/>
  <c r="QKF23" i="3" s="1"/>
  <c r="QKG23" i="3" s="1"/>
  <c r="QKH23" i="3" s="1"/>
  <c r="QKI23" i="3" s="1"/>
  <c r="QKJ23" i="3" s="1"/>
  <c r="QKK23" i="3" s="1"/>
  <c r="QKL23" i="3" s="1"/>
  <c r="QKM23" i="3" s="1"/>
  <c r="QKN23" i="3" s="1"/>
  <c r="QKO23" i="3" s="1"/>
  <c r="QKP23" i="3" s="1"/>
  <c r="QKQ23" i="3" s="1"/>
  <c r="QKR23" i="3" s="1"/>
  <c r="QKS23" i="3" s="1"/>
  <c r="QKT23" i="3" s="1"/>
  <c r="QKU23" i="3" s="1"/>
  <c r="QKV23" i="3" s="1"/>
  <c r="QKW23" i="3" s="1"/>
  <c r="QKX23" i="3" s="1"/>
  <c r="QKY23" i="3" s="1"/>
  <c r="QKZ23" i="3" s="1"/>
  <c r="QLA23" i="3" s="1"/>
  <c r="QLB23" i="3" s="1"/>
  <c r="QLC23" i="3" s="1"/>
  <c r="QLD23" i="3" s="1"/>
  <c r="QLE23" i="3" s="1"/>
  <c r="QLF23" i="3" s="1"/>
  <c r="QLG23" i="3" s="1"/>
  <c r="QLH23" i="3" s="1"/>
  <c r="QLI23" i="3" s="1"/>
  <c r="QLJ23" i="3" s="1"/>
  <c r="QLK23" i="3" s="1"/>
  <c r="QLL23" i="3" s="1"/>
  <c r="QLM23" i="3" s="1"/>
  <c r="QLN23" i="3" s="1"/>
  <c r="QLO23" i="3" s="1"/>
  <c r="QLP23" i="3" s="1"/>
  <c r="QLQ23" i="3" s="1"/>
  <c r="QLR23" i="3" s="1"/>
  <c r="QLS23" i="3" s="1"/>
  <c r="QLT23" i="3" s="1"/>
  <c r="QLU23" i="3" s="1"/>
  <c r="QLV23" i="3" s="1"/>
  <c r="QLW23" i="3" s="1"/>
  <c r="QLX23" i="3" s="1"/>
  <c r="QLY23" i="3" s="1"/>
  <c r="QLZ23" i="3" s="1"/>
  <c r="QMA23" i="3" s="1"/>
  <c r="QMB23" i="3" s="1"/>
  <c r="QMC23" i="3" s="1"/>
  <c r="QMD23" i="3" s="1"/>
  <c r="QME23" i="3" s="1"/>
  <c r="QMF23" i="3" s="1"/>
  <c r="QMG23" i="3" s="1"/>
  <c r="QMH23" i="3" s="1"/>
  <c r="QMI23" i="3" s="1"/>
  <c r="QMJ23" i="3" s="1"/>
  <c r="QMK23" i="3" s="1"/>
  <c r="QML23" i="3" s="1"/>
  <c r="QMM23" i="3" s="1"/>
  <c r="QMN23" i="3" s="1"/>
  <c r="QMO23" i="3" s="1"/>
  <c r="QMP23" i="3" s="1"/>
  <c r="QMQ23" i="3" s="1"/>
  <c r="QMR23" i="3" s="1"/>
  <c r="QMS23" i="3" s="1"/>
  <c r="QMT23" i="3" s="1"/>
  <c r="QMU23" i="3" s="1"/>
  <c r="QMV23" i="3" s="1"/>
  <c r="QMW23" i="3" s="1"/>
  <c r="QMX23" i="3" s="1"/>
  <c r="QMY23" i="3" s="1"/>
  <c r="QMZ23" i="3" s="1"/>
  <c r="QNA23" i="3" s="1"/>
  <c r="QNB23" i="3" s="1"/>
  <c r="QNC23" i="3" s="1"/>
  <c r="QND23" i="3" s="1"/>
  <c r="QNE23" i="3" s="1"/>
  <c r="QNF23" i="3" s="1"/>
  <c r="QNG23" i="3" s="1"/>
  <c r="QNH23" i="3" s="1"/>
  <c r="QNI23" i="3" s="1"/>
  <c r="QNJ23" i="3" s="1"/>
  <c r="QNK23" i="3" s="1"/>
  <c r="QNL23" i="3" s="1"/>
  <c r="QNM23" i="3" s="1"/>
  <c r="QNN23" i="3" s="1"/>
  <c r="QNO23" i="3" s="1"/>
  <c r="QNP23" i="3" s="1"/>
  <c r="QNQ23" i="3" s="1"/>
  <c r="QNR23" i="3" s="1"/>
  <c r="QNS23" i="3" s="1"/>
  <c r="QNT23" i="3" s="1"/>
  <c r="QNU23" i="3" s="1"/>
  <c r="QNV23" i="3" s="1"/>
  <c r="QNW23" i="3" s="1"/>
  <c r="QNX23" i="3" s="1"/>
  <c r="QNY23" i="3" s="1"/>
  <c r="QNZ23" i="3" s="1"/>
  <c r="QOA23" i="3" s="1"/>
  <c r="QOB23" i="3" s="1"/>
  <c r="QOC23" i="3" s="1"/>
  <c r="QOD23" i="3" s="1"/>
  <c r="QOE23" i="3" s="1"/>
  <c r="QOF23" i="3" s="1"/>
  <c r="QOG23" i="3" s="1"/>
  <c r="QOH23" i="3" s="1"/>
  <c r="QOI23" i="3" s="1"/>
  <c r="QOJ23" i="3" s="1"/>
  <c r="QOK23" i="3" s="1"/>
  <c r="QOL23" i="3" s="1"/>
  <c r="QOM23" i="3" s="1"/>
  <c r="QON23" i="3" s="1"/>
  <c r="QOO23" i="3" s="1"/>
  <c r="QOP23" i="3" s="1"/>
  <c r="QOQ23" i="3" s="1"/>
  <c r="QOR23" i="3" s="1"/>
  <c r="QOS23" i="3" s="1"/>
  <c r="QOT23" i="3" s="1"/>
  <c r="QOU23" i="3" s="1"/>
  <c r="QOV23" i="3" s="1"/>
  <c r="QOW23" i="3" s="1"/>
  <c r="QOX23" i="3" s="1"/>
  <c r="QOY23" i="3" s="1"/>
  <c r="QOZ23" i="3" s="1"/>
  <c r="QPA23" i="3" s="1"/>
  <c r="QPB23" i="3" s="1"/>
  <c r="QPC23" i="3" s="1"/>
  <c r="QPD23" i="3" s="1"/>
  <c r="QPE23" i="3" s="1"/>
  <c r="QPF23" i="3" s="1"/>
  <c r="QPG23" i="3" s="1"/>
  <c r="QPH23" i="3" s="1"/>
  <c r="QPI23" i="3" s="1"/>
  <c r="QPJ23" i="3" s="1"/>
  <c r="QPK23" i="3" s="1"/>
  <c r="QPL23" i="3" s="1"/>
  <c r="QPM23" i="3" s="1"/>
  <c r="QPN23" i="3" s="1"/>
  <c r="QPO23" i="3" s="1"/>
  <c r="QPP23" i="3" s="1"/>
  <c r="QPQ23" i="3" s="1"/>
  <c r="QPR23" i="3" s="1"/>
  <c r="QPS23" i="3" s="1"/>
  <c r="QPT23" i="3" s="1"/>
  <c r="QPU23" i="3" s="1"/>
  <c r="QPV23" i="3" s="1"/>
  <c r="QPW23" i="3" s="1"/>
  <c r="QPX23" i="3" s="1"/>
  <c r="QPY23" i="3" s="1"/>
  <c r="QPZ23" i="3" s="1"/>
  <c r="QQA23" i="3" s="1"/>
  <c r="QQB23" i="3" s="1"/>
  <c r="QQC23" i="3" s="1"/>
  <c r="QQD23" i="3" s="1"/>
  <c r="QQE23" i="3" s="1"/>
  <c r="QQF23" i="3" s="1"/>
  <c r="QQG23" i="3" s="1"/>
  <c r="QQH23" i="3" s="1"/>
  <c r="QQI23" i="3" s="1"/>
  <c r="QQJ23" i="3" s="1"/>
  <c r="QQK23" i="3" s="1"/>
  <c r="QQL23" i="3" s="1"/>
  <c r="QQM23" i="3" s="1"/>
  <c r="QQN23" i="3" s="1"/>
  <c r="QQO23" i="3" s="1"/>
  <c r="QQP23" i="3" s="1"/>
  <c r="QQQ23" i="3" s="1"/>
  <c r="QQR23" i="3" s="1"/>
  <c r="QQS23" i="3" s="1"/>
  <c r="QQT23" i="3" s="1"/>
  <c r="QQU23" i="3" s="1"/>
  <c r="QQV23" i="3" s="1"/>
  <c r="QQW23" i="3" s="1"/>
  <c r="QQX23" i="3" s="1"/>
  <c r="QQY23" i="3" s="1"/>
  <c r="QQZ23" i="3" s="1"/>
  <c r="QRA23" i="3" s="1"/>
  <c r="QRB23" i="3" s="1"/>
  <c r="QRC23" i="3" s="1"/>
  <c r="QRD23" i="3" s="1"/>
  <c r="QRE23" i="3" s="1"/>
  <c r="QRF23" i="3" s="1"/>
  <c r="QRG23" i="3" s="1"/>
  <c r="QRH23" i="3" s="1"/>
  <c r="QRI23" i="3" s="1"/>
  <c r="QRJ23" i="3" s="1"/>
  <c r="QRK23" i="3" s="1"/>
  <c r="QRL23" i="3" s="1"/>
  <c r="QRM23" i="3" s="1"/>
  <c r="QRN23" i="3" s="1"/>
  <c r="QRO23" i="3" s="1"/>
  <c r="QRP23" i="3" s="1"/>
  <c r="QRQ23" i="3" s="1"/>
  <c r="QRR23" i="3" s="1"/>
  <c r="QRS23" i="3" s="1"/>
  <c r="QRT23" i="3" s="1"/>
  <c r="QRU23" i="3" s="1"/>
  <c r="QRV23" i="3" s="1"/>
  <c r="QRW23" i="3" s="1"/>
  <c r="QRX23" i="3" s="1"/>
  <c r="QRY23" i="3" s="1"/>
  <c r="QRZ23" i="3" s="1"/>
  <c r="QSA23" i="3" s="1"/>
  <c r="QSB23" i="3" s="1"/>
  <c r="QSC23" i="3" s="1"/>
  <c r="QSD23" i="3" s="1"/>
  <c r="QSE23" i="3" s="1"/>
  <c r="QSF23" i="3" s="1"/>
  <c r="QSG23" i="3" s="1"/>
  <c r="QSH23" i="3" s="1"/>
  <c r="QSI23" i="3" s="1"/>
  <c r="QSJ23" i="3" s="1"/>
  <c r="QSK23" i="3" s="1"/>
  <c r="QSL23" i="3" s="1"/>
  <c r="QSM23" i="3" s="1"/>
  <c r="QSN23" i="3" s="1"/>
  <c r="QSO23" i="3" s="1"/>
  <c r="QSP23" i="3" s="1"/>
  <c r="QSQ23" i="3" s="1"/>
  <c r="QSR23" i="3" s="1"/>
  <c r="QSS23" i="3" s="1"/>
  <c r="QST23" i="3" s="1"/>
  <c r="QSU23" i="3" s="1"/>
  <c r="QSV23" i="3" s="1"/>
  <c r="QSW23" i="3" s="1"/>
  <c r="QSX23" i="3" s="1"/>
  <c r="QSY23" i="3" s="1"/>
  <c r="QSZ23" i="3" s="1"/>
  <c r="QTA23" i="3" s="1"/>
  <c r="QTB23" i="3" s="1"/>
  <c r="QTC23" i="3" s="1"/>
  <c r="QTD23" i="3" s="1"/>
  <c r="QTE23" i="3" s="1"/>
  <c r="QTF23" i="3" s="1"/>
  <c r="QTG23" i="3" s="1"/>
  <c r="QTH23" i="3" s="1"/>
  <c r="QTI23" i="3" s="1"/>
  <c r="QTJ23" i="3" s="1"/>
  <c r="QTK23" i="3" s="1"/>
  <c r="QTL23" i="3" s="1"/>
  <c r="QTM23" i="3" s="1"/>
  <c r="QTN23" i="3" s="1"/>
  <c r="QTO23" i="3" s="1"/>
  <c r="QTP23" i="3" s="1"/>
  <c r="QTQ23" i="3" s="1"/>
  <c r="QTR23" i="3" s="1"/>
  <c r="QTS23" i="3" s="1"/>
  <c r="QTT23" i="3" s="1"/>
  <c r="QTU23" i="3" s="1"/>
  <c r="QTV23" i="3" s="1"/>
  <c r="QTW23" i="3" s="1"/>
  <c r="QTX23" i="3" s="1"/>
  <c r="QTY23" i="3" s="1"/>
  <c r="QTZ23" i="3" s="1"/>
  <c r="QUA23" i="3" s="1"/>
  <c r="QUB23" i="3" s="1"/>
  <c r="QUC23" i="3" s="1"/>
  <c r="QUD23" i="3" s="1"/>
  <c r="QUE23" i="3" s="1"/>
  <c r="QUF23" i="3" s="1"/>
  <c r="QUG23" i="3" s="1"/>
  <c r="QUH23" i="3" s="1"/>
  <c r="QUI23" i="3" s="1"/>
  <c r="QUJ23" i="3" s="1"/>
  <c r="QUK23" i="3" s="1"/>
  <c r="QUL23" i="3" s="1"/>
  <c r="QUM23" i="3" s="1"/>
  <c r="QUN23" i="3" s="1"/>
  <c r="QUO23" i="3" s="1"/>
  <c r="QUP23" i="3" s="1"/>
  <c r="QUQ23" i="3" s="1"/>
  <c r="QUR23" i="3" s="1"/>
  <c r="QUS23" i="3" s="1"/>
  <c r="QUT23" i="3" s="1"/>
  <c r="QUU23" i="3" s="1"/>
  <c r="QUV23" i="3" s="1"/>
  <c r="QUW23" i="3" s="1"/>
  <c r="QUX23" i="3" s="1"/>
  <c r="QUY23" i="3" s="1"/>
  <c r="QUZ23" i="3" s="1"/>
  <c r="QVA23" i="3" s="1"/>
  <c r="QVB23" i="3" s="1"/>
  <c r="QVC23" i="3" s="1"/>
  <c r="QVD23" i="3" s="1"/>
  <c r="QVE23" i="3" s="1"/>
  <c r="QVF23" i="3" s="1"/>
  <c r="QVG23" i="3" s="1"/>
  <c r="QVH23" i="3" s="1"/>
  <c r="QVI23" i="3" s="1"/>
  <c r="QVJ23" i="3" s="1"/>
  <c r="QVK23" i="3" s="1"/>
  <c r="QVL23" i="3" s="1"/>
  <c r="QVM23" i="3" s="1"/>
  <c r="QVN23" i="3" s="1"/>
  <c r="QVO23" i="3" s="1"/>
  <c r="QVP23" i="3" s="1"/>
  <c r="QVQ23" i="3" s="1"/>
  <c r="QVR23" i="3" s="1"/>
  <c r="QVS23" i="3" s="1"/>
  <c r="QVT23" i="3" s="1"/>
  <c r="QVU23" i="3" s="1"/>
  <c r="QVV23" i="3" s="1"/>
  <c r="QVW23" i="3" s="1"/>
  <c r="QVX23" i="3" s="1"/>
  <c r="QVY23" i="3" s="1"/>
  <c r="QVZ23" i="3" s="1"/>
  <c r="QWA23" i="3" s="1"/>
  <c r="QWB23" i="3" s="1"/>
  <c r="QWC23" i="3" s="1"/>
  <c r="QWD23" i="3" s="1"/>
  <c r="QWE23" i="3" s="1"/>
  <c r="QWF23" i="3" s="1"/>
  <c r="QWG23" i="3" s="1"/>
  <c r="QWH23" i="3" s="1"/>
  <c r="QWI23" i="3" s="1"/>
  <c r="QWJ23" i="3" s="1"/>
  <c r="QWK23" i="3" s="1"/>
  <c r="QWL23" i="3" s="1"/>
  <c r="QWM23" i="3" s="1"/>
  <c r="QWN23" i="3" s="1"/>
  <c r="QWO23" i="3" s="1"/>
  <c r="QWP23" i="3" s="1"/>
  <c r="QWQ23" i="3" s="1"/>
  <c r="QWR23" i="3" s="1"/>
  <c r="QWS23" i="3" s="1"/>
  <c r="QWT23" i="3" s="1"/>
  <c r="QWU23" i="3" s="1"/>
  <c r="QWV23" i="3" s="1"/>
  <c r="QWW23" i="3" s="1"/>
  <c r="QWX23" i="3" s="1"/>
  <c r="QWY23" i="3" s="1"/>
  <c r="QWZ23" i="3" s="1"/>
  <c r="QXA23" i="3" s="1"/>
  <c r="QXB23" i="3" s="1"/>
  <c r="QXC23" i="3" s="1"/>
  <c r="QXD23" i="3" s="1"/>
  <c r="QXE23" i="3" s="1"/>
  <c r="QXF23" i="3" s="1"/>
  <c r="QXG23" i="3" s="1"/>
  <c r="QXH23" i="3" s="1"/>
  <c r="QXI23" i="3" s="1"/>
  <c r="QXJ23" i="3" s="1"/>
  <c r="QXK23" i="3" s="1"/>
  <c r="QXL23" i="3" s="1"/>
  <c r="QXM23" i="3" s="1"/>
  <c r="QXN23" i="3" s="1"/>
  <c r="QXO23" i="3" s="1"/>
  <c r="QXP23" i="3" s="1"/>
  <c r="QXQ23" i="3" s="1"/>
  <c r="QXR23" i="3" s="1"/>
  <c r="QXS23" i="3" s="1"/>
  <c r="QXT23" i="3" s="1"/>
  <c r="QXU23" i="3" s="1"/>
  <c r="QXV23" i="3" s="1"/>
  <c r="QXW23" i="3" s="1"/>
  <c r="QXX23" i="3" s="1"/>
  <c r="QXY23" i="3" s="1"/>
  <c r="QXZ23" i="3" s="1"/>
  <c r="QYA23" i="3" s="1"/>
  <c r="QYB23" i="3" s="1"/>
  <c r="QYC23" i="3" s="1"/>
  <c r="QYD23" i="3" s="1"/>
  <c r="QYE23" i="3" s="1"/>
  <c r="QYF23" i="3" s="1"/>
  <c r="QYG23" i="3" s="1"/>
  <c r="QYH23" i="3" s="1"/>
  <c r="QYI23" i="3" s="1"/>
  <c r="QYJ23" i="3" s="1"/>
  <c r="QYK23" i="3" s="1"/>
  <c r="QYL23" i="3" s="1"/>
  <c r="QYM23" i="3" s="1"/>
  <c r="QYN23" i="3" s="1"/>
  <c r="QYO23" i="3" s="1"/>
  <c r="QYP23" i="3" s="1"/>
  <c r="QYQ23" i="3" s="1"/>
  <c r="QYR23" i="3" s="1"/>
  <c r="QYS23" i="3" s="1"/>
  <c r="QYT23" i="3" s="1"/>
  <c r="QYU23" i="3" s="1"/>
  <c r="QYV23" i="3" s="1"/>
  <c r="QYW23" i="3" s="1"/>
  <c r="QYX23" i="3" s="1"/>
  <c r="QYY23" i="3" s="1"/>
  <c r="QYZ23" i="3" s="1"/>
  <c r="QZA23" i="3" s="1"/>
  <c r="QZB23" i="3" s="1"/>
  <c r="QZC23" i="3" s="1"/>
  <c r="QZD23" i="3" s="1"/>
  <c r="QZE23" i="3" s="1"/>
  <c r="QZF23" i="3" s="1"/>
  <c r="QZG23" i="3" s="1"/>
  <c r="QZH23" i="3" s="1"/>
  <c r="QZI23" i="3" s="1"/>
  <c r="QZJ23" i="3" s="1"/>
  <c r="QZK23" i="3" s="1"/>
  <c r="QZL23" i="3" s="1"/>
  <c r="QZM23" i="3" s="1"/>
  <c r="QZN23" i="3" s="1"/>
  <c r="QZO23" i="3" s="1"/>
  <c r="QZP23" i="3" s="1"/>
  <c r="QZQ23" i="3" s="1"/>
  <c r="QZR23" i="3" s="1"/>
  <c r="QZS23" i="3" s="1"/>
  <c r="QZT23" i="3" s="1"/>
  <c r="QZU23" i="3" s="1"/>
  <c r="QZV23" i="3" s="1"/>
  <c r="QZW23" i="3" s="1"/>
  <c r="QZX23" i="3" s="1"/>
  <c r="QZY23" i="3" s="1"/>
  <c r="QZZ23" i="3" s="1"/>
  <c r="RAA23" i="3" s="1"/>
  <c r="RAB23" i="3" s="1"/>
  <c r="RAC23" i="3" s="1"/>
  <c r="RAD23" i="3" s="1"/>
  <c r="RAE23" i="3" s="1"/>
  <c r="RAF23" i="3" s="1"/>
  <c r="RAG23" i="3" s="1"/>
  <c r="RAH23" i="3" s="1"/>
  <c r="RAI23" i="3" s="1"/>
  <c r="RAJ23" i="3" s="1"/>
  <c r="RAK23" i="3" s="1"/>
  <c r="RAL23" i="3" s="1"/>
  <c r="RAM23" i="3" s="1"/>
  <c r="RAN23" i="3" s="1"/>
  <c r="RAO23" i="3" s="1"/>
  <c r="RAP23" i="3" s="1"/>
  <c r="RAQ23" i="3" s="1"/>
  <c r="RAR23" i="3" s="1"/>
  <c r="RAS23" i="3" s="1"/>
  <c r="RAT23" i="3" s="1"/>
  <c r="RAU23" i="3" s="1"/>
  <c r="RAV23" i="3" s="1"/>
  <c r="RAW23" i="3" s="1"/>
  <c r="RAX23" i="3" s="1"/>
  <c r="RAY23" i="3" s="1"/>
  <c r="RAZ23" i="3" s="1"/>
  <c r="RBA23" i="3" s="1"/>
  <c r="RBB23" i="3" s="1"/>
  <c r="RBC23" i="3" s="1"/>
  <c r="RBD23" i="3" s="1"/>
  <c r="RBE23" i="3" s="1"/>
  <c r="RBF23" i="3" s="1"/>
  <c r="RBG23" i="3" s="1"/>
  <c r="RBH23" i="3" s="1"/>
  <c r="RBI23" i="3" s="1"/>
  <c r="RBJ23" i="3" s="1"/>
  <c r="RBK23" i="3" s="1"/>
  <c r="RBL23" i="3" s="1"/>
  <c r="RBM23" i="3" s="1"/>
  <c r="RBN23" i="3" s="1"/>
  <c r="RBO23" i="3" s="1"/>
  <c r="RBP23" i="3" s="1"/>
  <c r="RBQ23" i="3" s="1"/>
  <c r="RBR23" i="3" s="1"/>
  <c r="RBS23" i="3" s="1"/>
  <c r="RBT23" i="3" s="1"/>
  <c r="RBU23" i="3" s="1"/>
  <c r="RBV23" i="3" s="1"/>
  <c r="RBW23" i="3" s="1"/>
  <c r="RBX23" i="3" s="1"/>
  <c r="RBY23" i="3" s="1"/>
  <c r="RBZ23" i="3" s="1"/>
  <c r="RCA23" i="3" s="1"/>
  <c r="RCB23" i="3" s="1"/>
  <c r="RCC23" i="3" s="1"/>
  <c r="RCD23" i="3" s="1"/>
  <c r="RCE23" i="3" s="1"/>
  <c r="RCF23" i="3" s="1"/>
  <c r="RCG23" i="3" s="1"/>
  <c r="RCH23" i="3" s="1"/>
  <c r="RCI23" i="3" s="1"/>
  <c r="RCJ23" i="3" s="1"/>
  <c r="RCK23" i="3" s="1"/>
  <c r="RCL23" i="3" s="1"/>
  <c r="RCM23" i="3" s="1"/>
  <c r="RCN23" i="3" s="1"/>
  <c r="RCO23" i="3" s="1"/>
  <c r="RCP23" i="3" s="1"/>
  <c r="RCQ23" i="3" s="1"/>
  <c r="RCR23" i="3" s="1"/>
  <c r="RCS23" i="3" s="1"/>
  <c r="RCT23" i="3" s="1"/>
  <c r="RCU23" i="3" s="1"/>
  <c r="RCV23" i="3" s="1"/>
  <c r="RCW23" i="3" s="1"/>
  <c r="RCX23" i="3" s="1"/>
  <c r="RCY23" i="3" s="1"/>
  <c r="RCZ23" i="3" s="1"/>
  <c r="RDA23" i="3" s="1"/>
  <c r="RDB23" i="3" s="1"/>
  <c r="RDC23" i="3" s="1"/>
  <c r="RDD23" i="3" s="1"/>
  <c r="RDE23" i="3" s="1"/>
  <c r="RDF23" i="3" s="1"/>
  <c r="RDG23" i="3" s="1"/>
  <c r="RDH23" i="3" s="1"/>
  <c r="RDI23" i="3" s="1"/>
  <c r="RDJ23" i="3" s="1"/>
  <c r="RDK23" i="3" s="1"/>
  <c r="RDL23" i="3" s="1"/>
  <c r="RDM23" i="3" s="1"/>
  <c r="RDN23" i="3" s="1"/>
  <c r="RDO23" i="3" s="1"/>
  <c r="RDP23" i="3" s="1"/>
  <c r="RDQ23" i="3" s="1"/>
  <c r="RDR23" i="3" s="1"/>
  <c r="RDS23" i="3" s="1"/>
  <c r="RDT23" i="3" s="1"/>
  <c r="RDU23" i="3" s="1"/>
  <c r="RDV23" i="3" s="1"/>
  <c r="RDW23" i="3" s="1"/>
  <c r="RDX23" i="3" s="1"/>
  <c r="RDY23" i="3" s="1"/>
  <c r="RDZ23" i="3" s="1"/>
  <c r="REA23" i="3" s="1"/>
  <c r="REB23" i="3" s="1"/>
  <c r="REC23" i="3" s="1"/>
  <c r="RED23" i="3" s="1"/>
  <c r="REE23" i="3" s="1"/>
  <c r="REF23" i="3" s="1"/>
  <c r="REG23" i="3" s="1"/>
  <c r="REH23" i="3" s="1"/>
  <c r="REI23" i="3" s="1"/>
  <c r="REJ23" i="3" s="1"/>
  <c r="REK23" i="3" s="1"/>
  <c r="REL23" i="3" s="1"/>
  <c r="REM23" i="3" s="1"/>
  <c r="REN23" i="3" s="1"/>
  <c r="REO23" i="3" s="1"/>
  <c r="REP23" i="3" s="1"/>
  <c r="REQ23" i="3" s="1"/>
  <c r="RER23" i="3" s="1"/>
  <c r="RES23" i="3" s="1"/>
  <c r="RET23" i="3" s="1"/>
  <c r="REU23" i="3" s="1"/>
  <c r="REV23" i="3" s="1"/>
  <c r="REW23" i="3" s="1"/>
  <c r="REX23" i="3" s="1"/>
  <c r="REY23" i="3" s="1"/>
  <c r="REZ23" i="3" s="1"/>
  <c r="RFA23" i="3" s="1"/>
  <c r="RFB23" i="3" s="1"/>
  <c r="RFC23" i="3" s="1"/>
  <c r="RFD23" i="3" s="1"/>
  <c r="RFE23" i="3" s="1"/>
  <c r="RFF23" i="3" s="1"/>
  <c r="RFG23" i="3" s="1"/>
  <c r="RFH23" i="3" s="1"/>
  <c r="RFI23" i="3" s="1"/>
  <c r="RFJ23" i="3" s="1"/>
  <c r="RFK23" i="3" s="1"/>
  <c r="RFL23" i="3" s="1"/>
  <c r="RFM23" i="3" s="1"/>
  <c r="RFN23" i="3" s="1"/>
  <c r="RFO23" i="3" s="1"/>
  <c r="RFP23" i="3" s="1"/>
  <c r="RFQ23" i="3" s="1"/>
  <c r="RFR23" i="3" s="1"/>
  <c r="RFS23" i="3" s="1"/>
  <c r="RFT23" i="3" s="1"/>
  <c r="RFU23" i="3" s="1"/>
  <c r="RFV23" i="3" s="1"/>
  <c r="RFW23" i="3" s="1"/>
  <c r="RFX23" i="3" s="1"/>
  <c r="RFY23" i="3" s="1"/>
  <c r="RFZ23" i="3" s="1"/>
  <c r="RGA23" i="3" s="1"/>
  <c r="RGB23" i="3" s="1"/>
  <c r="RGC23" i="3" s="1"/>
  <c r="RGD23" i="3" s="1"/>
  <c r="RGE23" i="3" s="1"/>
  <c r="RGF23" i="3" s="1"/>
  <c r="RGG23" i="3" s="1"/>
  <c r="RGH23" i="3" s="1"/>
  <c r="RGI23" i="3" s="1"/>
  <c r="RGJ23" i="3" s="1"/>
  <c r="RGK23" i="3" s="1"/>
  <c r="RGL23" i="3" s="1"/>
  <c r="RGM23" i="3" s="1"/>
  <c r="RGN23" i="3" s="1"/>
  <c r="RGO23" i="3" s="1"/>
  <c r="RGP23" i="3" s="1"/>
  <c r="RGQ23" i="3" s="1"/>
  <c r="RGR23" i="3" s="1"/>
  <c r="RGS23" i="3" s="1"/>
  <c r="RGT23" i="3" s="1"/>
  <c r="RGU23" i="3" s="1"/>
  <c r="RGV23" i="3" s="1"/>
  <c r="RGW23" i="3" s="1"/>
  <c r="RGX23" i="3" s="1"/>
  <c r="RGY23" i="3" s="1"/>
  <c r="RGZ23" i="3" s="1"/>
  <c r="RHA23" i="3" s="1"/>
  <c r="RHB23" i="3" s="1"/>
  <c r="RHC23" i="3" s="1"/>
  <c r="RHD23" i="3" s="1"/>
  <c r="RHE23" i="3" s="1"/>
  <c r="RHF23" i="3" s="1"/>
  <c r="RHG23" i="3" s="1"/>
  <c r="RHH23" i="3" s="1"/>
  <c r="RHI23" i="3" s="1"/>
  <c r="RHJ23" i="3" s="1"/>
  <c r="RHK23" i="3" s="1"/>
  <c r="RHL23" i="3" s="1"/>
  <c r="RHM23" i="3" s="1"/>
  <c r="RHN23" i="3" s="1"/>
  <c r="RHO23" i="3" s="1"/>
  <c r="RHP23" i="3" s="1"/>
  <c r="RHQ23" i="3" s="1"/>
  <c r="RHR23" i="3" s="1"/>
  <c r="RHS23" i="3" s="1"/>
  <c r="RHT23" i="3" s="1"/>
  <c r="RHU23" i="3" s="1"/>
  <c r="RHV23" i="3" s="1"/>
  <c r="RHW23" i="3" s="1"/>
  <c r="RHX23" i="3" s="1"/>
  <c r="RHY23" i="3" s="1"/>
  <c r="RHZ23" i="3" s="1"/>
  <c r="RIA23" i="3" s="1"/>
  <c r="RIB23" i="3" s="1"/>
  <c r="RIC23" i="3" s="1"/>
  <c r="RID23" i="3" s="1"/>
  <c r="RIE23" i="3" s="1"/>
  <c r="RIF23" i="3" s="1"/>
  <c r="RIG23" i="3" s="1"/>
  <c r="RIH23" i="3" s="1"/>
  <c r="RII23" i="3" s="1"/>
  <c r="RIJ23" i="3" s="1"/>
  <c r="RIK23" i="3" s="1"/>
  <c r="RIL23" i="3" s="1"/>
  <c r="RIM23" i="3" s="1"/>
  <c r="RIN23" i="3" s="1"/>
  <c r="RIO23" i="3" s="1"/>
  <c r="RIP23" i="3" s="1"/>
  <c r="RIQ23" i="3" s="1"/>
  <c r="RIR23" i="3" s="1"/>
  <c r="RIS23" i="3" s="1"/>
  <c r="RIT23" i="3" s="1"/>
  <c r="RIU23" i="3" s="1"/>
  <c r="RIV23" i="3" s="1"/>
  <c r="RIW23" i="3" s="1"/>
  <c r="RIX23" i="3" s="1"/>
  <c r="RIY23" i="3" s="1"/>
  <c r="RIZ23" i="3" s="1"/>
  <c r="RJA23" i="3" s="1"/>
  <c r="RJB23" i="3" s="1"/>
  <c r="RJC23" i="3" s="1"/>
  <c r="RJD23" i="3" s="1"/>
  <c r="RJE23" i="3" s="1"/>
  <c r="RJF23" i="3" s="1"/>
  <c r="RJG23" i="3" s="1"/>
  <c r="RJH23" i="3" s="1"/>
  <c r="RJI23" i="3" s="1"/>
  <c r="RJJ23" i="3" s="1"/>
  <c r="RJK23" i="3" s="1"/>
  <c r="RJL23" i="3" s="1"/>
  <c r="RJM23" i="3" s="1"/>
  <c r="RJN23" i="3" s="1"/>
  <c r="RJO23" i="3" s="1"/>
  <c r="RJP23" i="3" s="1"/>
  <c r="RJQ23" i="3" s="1"/>
  <c r="RJR23" i="3" s="1"/>
  <c r="RJS23" i="3" s="1"/>
  <c r="RJT23" i="3" s="1"/>
  <c r="RJU23" i="3" s="1"/>
  <c r="RJV23" i="3" s="1"/>
  <c r="RJW23" i="3" s="1"/>
  <c r="RJX23" i="3" s="1"/>
  <c r="RJY23" i="3" s="1"/>
  <c r="RJZ23" i="3" s="1"/>
  <c r="RKA23" i="3" s="1"/>
  <c r="RKB23" i="3" s="1"/>
  <c r="RKC23" i="3" s="1"/>
  <c r="RKD23" i="3" s="1"/>
  <c r="RKE23" i="3" s="1"/>
  <c r="RKF23" i="3" s="1"/>
  <c r="RKG23" i="3" s="1"/>
  <c r="RKH23" i="3" s="1"/>
  <c r="RKI23" i="3" s="1"/>
  <c r="RKJ23" i="3" s="1"/>
  <c r="RKK23" i="3" s="1"/>
  <c r="RKL23" i="3" s="1"/>
  <c r="RKM23" i="3" s="1"/>
  <c r="RKN23" i="3" s="1"/>
  <c r="RKO23" i="3" s="1"/>
  <c r="RKP23" i="3" s="1"/>
  <c r="RKQ23" i="3" s="1"/>
  <c r="RKR23" i="3" s="1"/>
  <c r="RKS23" i="3" s="1"/>
  <c r="RKT23" i="3" s="1"/>
  <c r="RKU23" i="3" s="1"/>
  <c r="RKV23" i="3" s="1"/>
  <c r="RKW23" i="3" s="1"/>
  <c r="RKX23" i="3" s="1"/>
  <c r="RKY23" i="3" s="1"/>
  <c r="RKZ23" i="3" s="1"/>
  <c r="RLA23" i="3" s="1"/>
  <c r="RLB23" i="3" s="1"/>
  <c r="RLC23" i="3" s="1"/>
  <c r="RLD23" i="3" s="1"/>
  <c r="RLE23" i="3" s="1"/>
  <c r="RLF23" i="3" s="1"/>
  <c r="RLG23" i="3" s="1"/>
  <c r="RLH23" i="3" s="1"/>
  <c r="RLI23" i="3" s="1"/>
  <c r="RLJ23" i="3" s="1"/>
  <c r="RLK23" i="3" s="1"/>
  <c r="RLL23" i="3" s="1"/>
  <c r="RLM23" i="3" s="1"/>
  <c r="RLN23" i="3" s="1"/>
  <c r="RLO23" i="3" s="1"/>
  <c r="RLP23" i="3" s="1"/>
  <c r="RLQ23" i="3" s="1"/>
  <c r="RLR23" i="3" s="1"/>
  <c r="RLS23" i="3" s="1"/>
  <c r="RLT23" i="3" s="1"/>
  <c r="RLU23" i="3" s="1"/>
  <c r="RLV23" i="3" s="1"/>
  <c r="RLW23" i="3" s="1"/>
  <c r="RLX23" i="3" s="1"/>
  <c r="RLY23" i="3" s="1"/>
  <c r="RLZ23" i="3" s="1"/>
  <c r="RMA23" i="3" s="1"/>
  <c r="RMB23" i="3" s="1"/>
  <c r="RMC23" i="3" s="1"/>
  <c r="RMD23" i="3" s="1"/>
  <c r="RME23" i="3" s="1"/>
  <c r="RMF23" i="3" s="1"/>
  <c r="RMG23" i="3" s="1"/>
  <c r="RMH23" i="3" s="1"/>
  <c r="RMI23" i="3" s="1"/>
  <c r="RMJ23" i="3" s="1"/>
  <c r="RMK23" i="3" s="1"/>
  <c r="RML23" i="3" s="1"/>
  <c r="RMM23" i="3" s="1"/>
  <c r="RMN23" i="3" s="1"/>
  <c r="RMO23" i="3" s="1"/>
  <c r="RMP23" i="3" s="1"/>
  <c r="RMQ23" i="3" s="1"/>
  <c r="RMR23" i="3" s="1"/>
  <c r="RMS23" i="3" s="1"/>
  <c r="RMT23" i="3" s="1"/>
  <c r="RMU23" i="3" s="1"/>
  <c r="RMV23" i="3" s="1"/>
  <c r="RMW23" i="3" s="1"/>
  <c r="RMX23" i="3" s="1"/>
  <c r="RMY23" i="3" s="1"/>
  <c r="RMZ23" i="3" s="1"/>
  <c r="RNA23" i="3" s="1"/>
  <c r="RNB23" i="3" s="1"/>
  <c r="RNC23" i="3" s="1"/>
  <c r="RND23" i="3" s="1"/>
  <c r="RNE23" i="3" s="1"/>
  <c r="RNF23" i="3" s="1"/>
  <c r="RNG23" i="3" s="1"/>
  <c r="RNH23" i="3" s="1"/>
  <c r="RNI23" i="3" s="1"/>
  <c r="RNJ23" i="3" s="1"/>
  <c r="RNK23" i="3" s="1"/>
  <c r="RNL23" i="3" s="1"/>
  <c r="RNM23" i="3" s="1"/>
  <c r="RNN23" i="3" s="1"/>
  <c r="RNO23" i="3" s="1"/>
  <c r="RNP23" i="3" s="1"/>
  <c r="RNQ23" i="3" s="1"/>
  <c r="RNR23" i="3" s="1"/>
  <c r="RNS23" i="3" s="1"/>
  <c r="RNT23" i="3" s="1"/>
  <c r="RNU23" i="3" s="1"/>
  <c r="RNV23" i="3" s="1"/>
  <c r="RNW23" i="3" s="1"/>
  <c r="RNX23" i="3" s="1"/>
  <c r="RNY23" i="3" s="1"/>
  <c r="RNZ23" i="3" s="1"/>
  <c r="ROA23" i="3" s="1"/>
  <c r="ROB23" i="3" s="1"/>
  <c r="ROC23" i="3" s="1"/>
  <c r="ROD23" i="3" s="1"/>
  <c r="ROE23" i="3" s="1"/>
  <c r="ROF23" i="3" s="1"/>
  <c r="ROG23" i="3" s="1"/>
  <c r="ROH23" i="3" s="1"/>
  <c r="ROI23" i="3" s="1"/>
  <c r="ROJ23" i="3" s="1"/>
  <c r="ROK23" i="3" s="1"/>
  <c r="ROL23" i="3" s="1"/>
  <c r="ROM23" i="3" s="1"/>
  <c r="RON23" i="3" s="1"/>
  <c r="ROO23" i="3" s="1"/>
  <c r="ROP23" i="3" s="1"/>
  <c r="ROQ23" i="3" s="1"/>
  <c r="ROR23" i="3" s="1"/>
  <c r="ROS23" i="3" s="1"/>
  <c r="ROT23" i="3" s="1"/>
  <c r="ROU23" i="3" s="1"/>
  <c r="ROV23" i="3" s="1"/>
  <c r="ROW23" i="3" s="1"/>
  <c r="ROX23" i="3" s="1"/>
  <c r="ROY23" i="3" s="1"/>
  <c r="ROZ23" i="3" s="1"/>
  <c r="RPA23" i="3" s="1"/>
  <c r="RPB23" i="3" s="1"/>
  <c r="RPC23" i="3" s="1"/>
  <c r="RPD23" i="3" s="1"/>
  <c r="RPE23" i="3" s="1"/>
  <c r="RPF23" i="3" s="1"/>
  <c r="RPG23" i="3" s="1"/>
  <c r="RPH23" i="3" s="1"/>
  <c r="RPI23" i="3" s="1"/>
  <c r="RPJ23" i="3" s="1"/>
  <c r="RPK23" i="3" s="1"/>
  <c r="RPL23" i="3" s="1"/>
  <c r="RPM23" i="3" s="1"/>
  <c r="RPN23" i="3" s="1"/>
  <c r="RPO23" i="3" s="1"/>
  <c r="RPP23" i="3" s="1"/>
  <c r="RPQ23" i="3" s="1"/>
  <c r="RPR23" i="3" s="1"/>
  <c r="RPS23" i="3" s="1"/>
  <c r="RPT23" i="3" s="1"/>
  <c r="RPU23" i="3" s="1"/>
  <c r="RPV23" i="3" s="1"/>
  <c r="RPW23" i="3" s="1"/>
  <c r="RPX23" i="3" s="1"/>
  <c r="RPY23" i="3" s="1"/>
  <c r="RPZ23" i="3" s="1"/>
  <c r="RQA23" i="3" s="1"/>
  <c r="RQB23" i="3" s="1"/>
  <c r="RQC23" i="3" s="1"/>
  <c r="RQD23" i="3" s="1"/>
  <c r="RQE23" i="3" s="1"/>
  <c r="RQF23" i="3" s="1"/>
  <c r="RQG23" i="3" s="1"/>
  <c r="RQH23" i="3" s="1"/>
  <c r="RQI23" i="3" s="1"/>
  <c r="RQJ23" i="3" s="1"/>
  <c r="RQK23" i="3" s="1"/>
  <c r="RQL23" i="3" s="1"/>
  <c r="RQM23" i="3" s="1"/>
  <c r="RQN23" i="3" s="1"/>
  <c r="RQO23" i="3" s="1"/>
  <c r="RQP23" i="3" s="1"/>
  <c r="RQQ23" i="3" s="1"/>
  <c r="RQR23" i="3" s="1"/>
  <c r="RQS23" i="3" s="1"/>
  <c r="RQT23" i="3" s="1"/>
  <c r="RQU23" i="3" s="1"/>
  <c r="RQV23" i="3" s="1"/>
  <c r="RQW23" i="3" s="1"/>
  <c r="RQX23" i="3" s="1"/>
  <c r="RQY23" i="3" s="1"/>
  <c r="RQZ23" i="3" s="1"/>
  <c r="RRA23" i="3" s="1"/>
  <c r="RRB23" i="3" s="1"/>
  <c r="RRC23" i="3" s="1"/>
  <c r="RRD23" i="3" s="1"/>
  <c r="RRE23" i="3" s="1"/>
  <c r="RRF23" i="3" s="1"/>
  <c r="RRG23" i="3" s="1"/>
  <c r="RRH23" i="3" s="1"/>
  <c r="RRI23" i="3" s="1"/>
  <c r="RRJ23" i="3" s="1"/>
  <c r="RRK23" i="3" s="1"/>
  <c r="RRL23" i="3" s="1"/>
  <c r="RRM23" i="3" s="1"/>
  <c r="RRN23" i="3" s="1"/>
  <c r="RRO23" i="3" s="1"/>
  <c r="RRP23" i="3" s="1"/>
  <c r="RRQ23" i="3" s="1"/>
  <c r="RRR23" i="3" s="1"/>
  <c r="RRS23" i="3" s="1"/>
  <c r="RRT23" i="3" s="1"/>
  <c r="RRU23" i="3" s="1"/>
  <c r="RRV23" i="3" s="1"/>
  <c r="RRW23" i="3" s="1"/>
  <c r="RRX23" i="3" s="1"/>
  <c r="RRY23" i="3" s="1"/>
  <c r="RRZ23" i="3" s="1"/>
  <c r="RSA23" i="3" s="1"/>
  <c r="RSB23" i="3" s="1"/>
  <c r="RSC23" i="3" s="1"/>
  <c r="RSD23" i="3" s="1"/>
  <c r="RSE23" i="3" s="1"/>
  <c r="RSF23" i="3" s="1"/>
  <c r="RSG23" i="3" s="1"/>
  <c r="RSH23" i="3" s="1"/>
  <c r="RSI23" i="3" s="1"/>
  <c r="RSJ23" i="3" s="1"/>
  <c r="RSK23" i="3" s="1"/>
  <c r="RSL23" i="3" s="1"/>
  <c r="RSM23" i="3" s="1"/>
  <c r="RSN23" i="3" s="1"/>
  <c r="RSO23" i="3" s="1"/>
  <c r="RSP23" i="3" s="1"/>
  <c r="RSQ23" i="3" s="1"/>
  <c r="RSR23" i="3" s="1"/>
  <c r="RSS23" i="3" s="1"/>
  <c r="RST23" i="3" s="1"/>
  <c r="RSU23" i="3" s="1"/>
  <c r="RSV23" i="3" s="1"/>
  <c r="RSW23" i="3" s="1"/>
  <c r="RSX23" i="3" s="1"/>
  <c r="RSY23" i="3" s="1"/>
  <c r="RSZ23" i="3" s="1"/>
  <c r="RTA23" i="3" s="1"/>
  <c r="RTB23" i="3" s="1"/>
  <c r="RTC23" i="3" s="1"/>
  <c r="RTD23" i="3" s="1"/>
  <c r="RTE23" i="3" s="1"/>
  <c r="RTF23" i="3" s="1"/>
  <c r="RTG23" i="3" s="1"/>
  <c r="RTH23" i="3" s="1"/>
  <c r="RTI23" i="3" s="1"/>
  <c r="RTJ23" i="3" s="1"/>
  <c r="RTK23" i="3" s="1"/>
  <c r="RTL23" i="3" s="1"/>
  <c r="RTM23" i="3" s="1"/>
  <c r="RTN23" i="3" s="1"/>
  <c r="RTO23" i="3" s="1"/>
  <c r="RTP23" i="3" s="1"/>
  <c r="RTQ23" i="3" s="1"/>
  <c r="RTR23" i="3" s="1"/>
  <c r="RTS23" i="3" s="1"/>
  <c r="RTT23" i="3" s="1"/>
  <c r="RTU23" i="3" s="1"/>
  <c r="RTV23" i="3" s="1"/>
  <c r="RTW23" i="3" s="1"/>
  <c r="RTX23" i="3" s="1"/>
  <c r="RTY23" i="3" s="1"/>
  <c r="RTZ23" i="3" s="1"/>
  <c r="RUA23" i="3" s="1"/>
  <c r="RUB23" i="3" s="1"/>
  <c r="RUC23" i="3" s="1"/>
  <c r="RUD23" i="3" s="1"/>
  <c r="RUE23" i="3" s="1"/>
  <c r="RUF23" i="3" s="1"/>
  <c r="RUG23" i="3" s="1"/>
  <c r="RUH23" i="3" s="1"/>
  <c r="RUI23" i="3" s="1"/>
  <c r="RUJ23" i="3" s="1"/>
  <c r="RUK23" i="3" s="1"/>
  <c r="RUL23" i="3" s="1"/>
  <c r="RUM23" i="3" s="1"/>
  <c r="RUN23" i="3" s="1"/>
  <c r="RUO23" i="3" s="1"/>
  <c r="RUP23" i="3" s="1"/>
  <c r="RUQ23" i="3" s="1"/>
  <c r="RUR23" i="3" s="1"/>
  <c r="RUS23" i="3" s="1"/>
  <c r="RUT23" i="3" s="1"/>
  <c r="RUU23" i="3" s="1"/>
  <c r="RUV23" i="3" s="1"/>
  <c r="RUW23" i="3" s="1"/>
  <c r="RUX23" i="3" s="1"/>
  <c r="RUY23" i="3" s="1"/>
  <c r="RUZ23" i="3" s="1"/>
  <c r="RVA23" i="3" s="1"/>
  <c r="RVB23" i="3" s="1"/>
  <c r="RVC23" i="3" s="1"/>
  <c r="RVD23" i="3" s="1"/>
  <c r="RVE23" i="3" s="1"/>
  <c r="RVF23" i="3" s="1"/>
  <c r="RVG23" i="3" s="1"/>
  <c r="RVH23" i="3" s="1"/>
  <c r="RVI23" i="3" s="1"/>
  <c r="RVJ23" i="3" s="1"/>
  <c r="RVK23" i="3" s="1"/>
  <c r="RVL23" i="3" s="1"/>
  <c r="RVM23" i="3" s="1"/>
  <c r="RVN23" i="3" s="1"/>
  <c r="RVO23" i="3" s="1"/>
  <c r="RVP23" i="3" s="1"/>
  <c r="RVQ23" i="3" s="1"/>
  <c r="RVR23" i="3" s="1"/>
  <c r="RVS23" i="3" s="1"/>
  <c r="RVT23" i="3" s="1"/>
  <c r="RVU23" i="3" s="1"/>
  <c r="RVV23" i="3" s="1"/>
  <c r="RVW23" i="3" s="1"/>
  <c r="RVX23" i="3" s="1"/>
  <c r="RVY23" i="3" s="1"/>
  <c r="RVZ23" i="3" s="1"/>
  <c r="RWA23" i="3" s="1"/>
  <c r="RWB23" i="3" s="1"/>
  <c r="RWC23" i="3" s="1"/>
  <c r="RWD23" i="3" s="1"/>
  <c r="RWE23" i="3" s="1"/>
  <c r="RWF23" i="3" s="1"/>
  <c r="RWG23" i="3" s="1"/>
  <c r="RWH23" i="3" s="1"/>
  <c r="RWI23" i="3" s="1"/>
  <c r="RWJ23" i="3" s="1"/>
  <c r="RWK23" i="3" s="1"/>
  <c r="RWL23" i="3" s="1"/>
  <c r="RWM23" i="3" s="1"/>
  <c r="RWN23" i="3" s="1"/>
  <c r="RWO23" i="3" s="1"/>
  <c r="RWP23" i="3" s="1"/>
  <c r="RWQ23" i="3" s="1"/>
  <c r="RWR23" i="3" s="1"/>
  <c r="RWS23" i="3" s="1"/>
  <c r="RWT23" i="3" s="1"/>
  <c r="RWU23" i="3" s="1"/>
  <c r="RWV23" i="3" s="1"/>
  <c r="RWW23" i="3" s="1"/>
  <c r="RWX23" i="3" s="1"/>
  <c r="RWY23" i="3" s="1"/>
  <c r="RWZ23" i="3" s="1"/>
  <c r="RXA23" i="3" s="1"/>
  <c r="RXB23" i="3" s="1"/>
  <c r="RXC23" i="3" s="1"/>
  <c r="RXD23" i="3" s="1"/>
  <c r="RXE23" i="3" s="1"/>
  <c r="RXF23" i="3" s="1"/>
  <c r="RXG23" i="3" s="1"/>
  <c r="RXH23" i="3" s="1"/>
  <c r="RXI23" i="3" s="1"/>
  <c r="RXJ23" i="3" s="1"/>
  <c r="RXK23" i="3" s="1"/>
  <c r="RXL23" i="3" s="1"/>
  <c r="RXM23" i="3" s="1"/>
  <c r="RXN23" i="3" s="1"/>
  <c r="RXO23" i="3" s="1"/>
  <c r="RXP23" i="3" s="1"/>
  <c r="RXQ23" i="3" s="1"/>
  <c r="RXR23" i="3" s="1"/>
  <c r="RXS23" i="3" s="1"/>
  <c r="RXT23" i="3" s="1"/>
  <c r="RXU23" i="3" s="1"/>
  <c r="RXV23" i="3" s="1"/>
  <c r="RXW23" i="3" s="1"/>
  <c r="RXX23" i="3" s="1"/>
  <c r="RXY23" i="3" s="1"/>
  <c r="RXZ23" i="3" s="1"/>
  <c r="RYA23" i="3" s="1"/>
  <c r="RYB23" i="3" s="1"/>
  <c r="RYC23" i="3" s="1"/>
  <c r="RYD23" i="3" s="1"/>
  <c r="RYE23" i="3" s="1"/>
  <c r="RYF23" i="3" s="1"/>
  <c r="RYG23" i="3" s="1"/>
  <c r="RYH23" i="3" s="1"/>
  <c r="RYI23" i="3" s="1"/>
  <c r="RYJ23" i="3" s="1"/>
  <c r="RYK23" i="3" s="1"/>
  <c r="RYL23" i="3" s="1"/>
  <c r="RYM23" i="3" s="1"/>
  <c r="RYN23" i="3" s="1"/>
  <c r="RYO23" i="3" s="1"/>
  <c r="RYP23" i="3" s="1"/>
  <c r="RYQ23" i="3" s="1"/>
  <c r="RYR23" i="3" s="1"/>
  <c r="RYS23" i="3" s="1"/>
  <c r="RYT23" i="3" s="1"/>
  <c r="RYU23" i="3" s="1"/>
  <c r="RYV23" i="3" s="1"/>
  <c r="RYW23" i="3" s="1"/>
  <c r="RYX23" i="3" s="1"/>
  <c r="RYY23" i="3" s="1"/>
  <c r="RYZ23" i="3" s="1"/>
  <c r="RZA23" i="3" s="1"/>
  <c r="RZB23" i="3" s="1"/>
  <c r="RZC23" i="3" s="1"/>
  <c r="RZD23" i="3" s="1"/>
  <c r="RZE23" i="3" s="1"/>
  <c r="RZF23" i="3" s="1"/>
  <c r="RZG23" i="3" s="1"/>
  <c r="RZH23" i="3" s="1"/>
  <c r="RZI23" i="3" s="1"/>
  <c r="RZJ23" i="3" s="1"/>
  <c r="RZK23" i="3" s="1"/>
  <c r="RZL23" i="3" s="1"/>
  <c r="RZM23" i="3" s="1"/>
  <c r="RZN23" i="3" s="1"/>
  <c r="RZO23" i="3" s="1"/>
  <c r="RZP23" i="3" s="1"/>
  <c r="RZQ23" i="3" s="1"/>
  <c r="RZR23" i="3" s="1"/>
  <c r="RZS23" i="3" s="1"/>
  <c r="RZT23" i="3" s="1"/>
  <c r="RZU23" i="3" s="1"/>
  <c r="RZV23" i="3" s="1"/>
  <c r="RZW23" i="3" s="1"/>
  <c r="RZX23" i="3" s="1"/>
  <c r="RZY23" i="3" s="1"/>
  <c r="RZZ23" i="3" s="1"/>
  <c r="SAA23" i="3" s="1"/>
  <c r="SAB23" i="3" s="1"/>
  <c r="SAC23" i="3" s="1"/>
  <c r="SAD23" i="3" s="1"/>
  <c r="SAE23" i="3" s="1"/>
  <c r="SAF23" i="3" s="1"/>
  <c r="SAG23" i="3" s="1"/>
  <c r="SAH23" i="3" s="1"/>
  <c r="SAI23" i="3" s="1"/>
  <c r="SAJ23" i="3" s="1"/>
  <c r="SAK23" i="3" s="1"/>
  <c r="SAL23" i="3" s="1"/>
  <c r="SAM23" i="3" s="1"/>
  <c r="SAN23" i="3" s="1"/>
  <c r="SAO23" i="3" s="1"/>
  <c r="SAP23" i="3" s="1"/>
  <c r="SAQ23" i="3" s="1"/>
  <c r="SAR23" i="3" s="1"/>
  <c r="SAS23" i="3" s="1"/>
  <c r="SAT23" i="3" s="1"/>
  <c r="SAU23" i="3" s="1"/>
  <c r="SAV23" i="3" s="1"/>
  <c r="SAW23" i="3" s="1"/>
  <c r="SAX23" i="3" s="1"/>
  <c r="SAY23" i="3" s="1"/>
  <c r="SAZ23" i="3" s="1"/>
  <c r="SBA23" i="3" s="1"/>
  <c r="SBB23" i="3" s="1"/>
  <c r="SBC23" i="3" s="1"/>
  <c r="SBD23" i="3" s="1"/>
  <c r="SBE23" i="3" s="1"/>
  <c r="SBF23" i="3" s="1"/>
  <c r="SBG23" i="3" s="1"/>
  <c r="SBH23" i="3" s="1"/>
  <c r="SBI23" i="3" s="1"/>
  <c r="SBJ23" i="3" s="1"/>
  <c r="SBK23" i="3" s="1"/>
  <c r="SBL23" i="3" s="1"/>
  <c r="SBM23" i="3" s="1"/>
  <c r="SBN23" i="3" s="1"/>
  <c r="SBO23" i="3" s="1"/>
  <c r="SBP23" i="3" s="1"/>
  <c r="SBQ23" i="3" s="1"/>
  <c r="SBR23" i="3" s="1"/>
  <c r="SBS23" i="3" s="1"/>
  <c r="SBT23" i="3" s="1"/>
  <c r="SBU23" i="3" s="1"/>
  <c r="SBV23" i="3" s="1"/>
  <c r="SBW23" i="3" s="1"/>
  <c r="SBX23" i="3" s="1"/>
  <c r="SBY23" i="3" s="1"/>
  <c r="SBZ23" i="3" s="1"/>
  <c r="SCA23" i="3" s="1"/>
  <c r="SCB23" i="3" s="1"/>
  <c r="SCC23" i="3" s="1"/>
  <c r="SCD23" i="3" s="1"/>
  <c r="SCE23" i="3" s="1"/>
  <c r="SCF23" i="3" s="1"/>
  <c r="SCG23" i="3" s="1"/>
  <c r="SCH23" i="3" s="1"/>
  <c r="SCI23" i="3" s="1"/>
  <c r="SCJ23" i="3" s="1"/>
  <c r="SCK23" i="3" s="1"/>
  <c r="SCL23" i="3" s="1"/>
  <c r="SCM23" i="3" s="1"/>
  <c r="SCN23" i="3" s="1"/>
  <c r="SCO23" i="3" s="1"/>
  <c r="SCP23" i="3" s="1"/>
  <c r="SCQ23" i="3" s="1"/>
  <c r="SCR23" i="3" s="1"/>
  <c r="SCS23" i="3" s="1"/>
  <c r="SCT23" i="3" s="1"/>
  <c r="SCU23" i="3" s="1"/>
  <c r="SCV23" i="3" s="1"/>
  <c r="SCW23" i="3" s="1"/>
  <c r="SCX23" i="3" s="1"/>
  <c r="SCY23" i="3" s="1"/>
  <c r="SCZ23" i="3" s="1"/>
  <c r="SDA23" i="3" s="1"/>
  <c r="SDB23" i="3" s="1"/>
  <c r="SDC23" i="3" s="1"/>
  <c r="SDD23" i="3" s="1"/>
  <c r="SDE23" i="3" s="1"/>
  <c r="SDF23" i="3" s="1"/>
  <c r="SDG23" i="3" s="1"/>
  <c r="SDH23" i="3" s="1"/>
  <c r="SDI23" i="3" s="1"/>
  <c r="SDJ23" i="3" s="1"/>
  <c r="SDK23" i="3" s="1"/>
  <c r="SDL23" i="3" s="1"/>
  <c r="SDM23" i="3" s="1"/>
  <c r="SDN23" i="3" s="1"/>
  <c r="SDO23" i="3" s="1"/>
  <c r="SDP23" i="3" s="1"/>
  <c r="SDQ23" i="3" s="1"/>
  <c r="SDR23" i="3" s="1"/>
  <c r="SDS23" i="3" s="1"/>
  <c r="SDT23" i="3" s="1"/>
  <c r="SDU23" i="3" s="1"/>
  <c r="SDV23" i="3" s="1"/>
  <c r="SDW23" i="3" s="1"/>
  <c r="SDX23" i="3" s="1"/>
  <c r="SDY23" i="3" s="1"/>
  <c r="SDZ23" i="3" s="1"/>
  <c r="SEA23" i="3" s="1"/>
  <c r="SEB23" i="3" s="1"/>
  <c r="SEC23" i="3" s="1"/>
  <c r="SED23" i="3" s="1"/>
  <c r="SEE23" i="3" s="1"/>
  <c r="SEF23" i="3" s="1"/>
  <c r="SEG23" i="3" s="1"/>
  <c r="SEH23" i="3" s="1"/>
  <c r="SEI23" i="3" s="1"/>
  <c r="SEJ23" i="3" s="1"/>
  <c r="SEK23" i="3" s="1"/>
  <c r="SEL23" i="3" s="1"/>
  <c r="SEM23" i="3" s="1"/>
  <c r="SEN23" i="3" s="1"/>
  <c r="SEO23" i="3" s="1"/>
  <c r="SEP23" i="3" s="1"/>
  <c r="SEQ23" i="3" s="1"/>
  <c r="SER23" i="3" s="1"/>
  <c r="SES23" i="3" s="1"/>
  <c r="SET23" i="3" s="1"/>
  <c r="SEU23" i="3" s="1"/>
  <c r="SEV23" i="3" s="1"/>
  <c r="SEW23" i="3" s="1"/>
  <c r="SEX23" i="3" s="1"/>
  <c r="SEY23" i="3" s="1"/>
  <c r="SEZ23" i="3" s="1"/>
  <c r="SFA23" i="3" s="1"/>
  <c r="SFB23" i="3" s="1"/>
  <c r="SFC23" i="3" s="1"/>
  <c r="SFD23" i="3" s="1"/>
  <c r="SFE23" i="3" s="1"/>
  <c r="SFF23" i="3" s="1"/>
  <c r="SFG23" i="3" s="1"/>
  <c r="SFH23" i="3" s="1"/>
  <c r="SFI23" i="3" s="1"/>
  <c r="SFJ23" i="3" s="1"/>
  <c r="SFK23" i="3" s="1"/>
  <c r="SFL23" i="3" s="1"/>
  <c r="SFM23" i="3" s="1"/>
  <c r="SFN23" i="3" s="1"/>
  <c r="SFO23" i="3" s="1"/>
  <c r="SFP23" i="3" s="1"/>
  <c r="SFQ23" i="3" s="1"/>
  <c r="SFR23" i="3" s="1"/>
  <c r="SFS23" i="3" s="1"/>
  <c r="SFT23" i="3" s="1"/>
  <c r="SFU23" i="3" s="1"/>
  <c r="SFV23" i="3" s="1"/>
  <c r="SFW23" i="3" s="1"/>
  <c r="SFX23" i="3" s="1"/>
  <c r="SFY23" i="3" s="1"/>
  <c r="SFZ23" i="3" s="1"/>
  <c r="SGA23" i="3" s="1"/>
  <c r="SGB23" i="3" s="1"/>
  <c r="SGC23" i="3" s="1"/>
  <c r="SGD23" i="3" s="1"/>
  <c r="SGE23" i="3" s="1"/>
  <c r="SGF23" i="3" s="1"/>
  <c r="SGG23" i="3" s="1"/>
  <c r="SGH23" i="3" s="1"/>
  <c r="SGI23" i="3" s="1"/>
  <c r="SGJ23" i="3" s="1"/>
  <c r="SGK23" i="3" s="1"/>
  <c r="SGL23" i="3" s="1"/>
  <c r="SGM23" i="3" s="1"/>
  <c r="SGN23" i="3" s="1"/>
  <c r="SGO23" i="3" s="1"/>
  <c r="SGP23" i="3" s="1"/>
  <c r="SGQ23" i="3" s="1"/>
  <c r="SGR23" i="3" s="1"/>
  <c r="SGS23" i="3" s="1"/>
  <c r="SGT23" i="3" s="1"/>
  <c r="SGU23" i="3" s="1"/>
  <c r="SGV23" i="3" s="1"/>
  <c r="SGW23" i="3" s="1"/>
  <c r="SGX23" i="3" s="1"/>
  <c r="SGY23" i="3" s="1"/>
  <c r="SGZ23" i="3" s="1"/>
  <c r="SHA23" i="3" s="1"/>
  <c r="SHB23" i="3" s="1"/>
  <c r="SHC23" i="3" s="1"/>
  <c r="SHD23" i="3" s="1"/>
  <c r="SHE23" i="3" s="1"/>
  <c r="SHF23" i="3" s="1"/>
  <c r="SHG23" i="3" s="1"/>
  <c r="SHH23" i="3" s="1"/>
  <c r="SHI23" i="3" s="1"/>
  <c r="SHJ23" i="3" s="1"/>
  <c r="SHK23" i="3" s="1"/>
  <c r="SHL23" i="3" s="1"/>
  <c r="SHM23" i="3" s="1"/>
  <c r="SHN23" i="3" s="1"/>
  <c r="SHO23" i="3" s="1"/>
  <c r="SHP23" i="3" s="1"/>
  <c r="SHQ23" i="3" s="1"/>
  <c r="SHR23" i="3" s="1"/>
  <c r="SHS23" i="3" s="1"/>
  <c r="SHT23" i="3" s="1"/>
  <c r="SHU23" i="3" s="1"/>
  <c r="SHV23" i="3" s="1"/>
  <c r="SHW23" i="3" s="1"/>
  <c r="SHX23" i="3" s="1"/>
  <c r="SHY23" i="3" s="1"/>
  <c r="SHZ23" i="3" s="1"/>
  <c r="SIA23" i="3" s="1"/>
  <c r="SIB23" i="3" s="1"/>
  <c r="SIC23" i="3" s="1"/>
  <c r="SID23" i="3" s="1"/>
  <c r="SIE23" i="3" s="1"/>
  <c r="SIF23" i="3" s="1"/>
  <c r="SIG23" i="3" s="1"/>
  <c r="SIH23" i="3" s="1"/>
  <c r="SII23" i="3" s="1"/>
  <c r="SIJ23" i="3" s="1"/>
  <c r="SIK23" i="3" s="1"/>
  <c r="SIL23" i="3" s="1"/>
  <c r="SIM23" i="3" s="1"/>
  <c r="SIN23" i="3" s="1"/>
  <c r="SIO23" i="3" s="1"/>
  <c r="SIP23" i="3" s="1"/>
  <c r="SIQ23" i="3" s="1"/>
  <c r="SIR23" i="3" s="1"/>
  <c r="SIS23" i="3" s="1"/>
  <c r="SIT23" i="3" s="1"/>
  <c r="SIU23" i="3" s="1"/>
  <c r="SIV23" i="3" s="1"/>
  <c r="SIW23" i="3" s="1"/>
  <c r="SIX23" i="3" s="1"/>
  <c r="SIY23" i="3" s="1"/>
  <c r="SIZ23" i="3" s="1"/>
  <c r="SJA23" i="3" s="1"/>
  <c r="SJB23" i="3" s="1"/>
  <c r="SJC23" i="3" s="1"/>
  <c r="SJD23" i="3" s="1"/>
  <c r="SJE23" i="3" s="1"/>
  <c r="SJF23" i="3" s="1"/>
  <c r="SJG23" i="3" s="1"/>
  <c r="SJH23" i="3" s="1"/>
  <c r="SJI23" i="3" s="1"/>
  <c r="SJJ23" i="3" s="1"/>
  <c r="SJK23" i="3" s="1"/>
  <c r="SJL23" i="3" s="1"/>
  <c r="SJM23" i="3" s="1"/>
  <c r="SJN23" i="3" s="1"/>
  <c r="SJO23" i="3" s="1"/>
  <c r="SJP23" i="3" s="1"/>
  <c r="SJQ23" i="3" s="1"/>
  <c r="SJR23" i="3" s="1"/>
  <c r="SJS23" i="3" s="1"/>
  <c r="SJT23" i="3" s="1"/>
  <c r="SJU23" i="3" s="1"/>
  <c r="SJV23" i="3" s="1"/>
  <c r="SJW23" i="3" s="1"/>
  <c r="SJX23" i="3" s="1"/>
  <c r="SJY23" i="3" s="1"/>
  <c r="SJZ23" i="3" s="1"/>
  <c r="SKA23" i="3" s="1"/>
  <c r="SKB23" i="3" s="1"/>
  <c r="SKC23" i="3" s="1"/>
  <c r="SKD23" i="3" s="1"/>
  <c r="SKE23" i="3" s="1"/>
  <c r="SKF23" i="3" s="1"/>
  <c r="SKG23" i="3" s="1"/>
  <c r="SKH23" i="3" s="1"/>
  <c r="SKI23" i="3" s="1"/>
  <c r="SKJ23" i="3" s="1"/>
  <c r="SKK23" i="3" s="1"/>
  <c r="SKL23" i="3" s="1"/>
  <c r="SKM23" i="3" s="1"/>
  <c r="SKN23" i="3" s="1"/>
  <c r="SKO23" i="3" s="1"/>
  <c r="SKP23" i="3" s="1"/>
  <c r="SKQ23" i="3" s="1"/>
  <c r="SKR23" i="3" s="1"/>
  <c r="SKS23" i="3" s="1"/>
  <c r="SKT23" i="3" s="1"/>
  <c r="SKU23" i="3" s="1"/>
  <c r="SKV23" i="3" s="1"/>
  <c r="SKW23" i="3" s="1"/>
  <c r="SKX23" i="3" s="1"/>
  <c r="SKY23" i="3" s="1"/>
  <c r="SKZ23" i="3" s="1"/>
  <c r="SLA23" i="3" s="1"/>
  <c r="SLB23" i="3" s="1"/>
  <c r="SLC23" i="3" s="1"/>
  <c r="SLD23" i="3" s="1"/>
  <c r="SLE23" i="3" s="1"/>
  <c r="SLF23" i="3" s="1"/>
  <c r="SLG23" i="3" s="1"/>
  <c r="SLH23" i="3" s="1"/>
  <c r="SLI23" i="3" s="1"/>
  <c r="SLJ23" i="3" s="1"/>
  <c r="SLK23" i="3" s="1"/>
  <c r="SLL23" i="3" s="1"/>
  <c r="SLM23" i="3" s="1"/>
  <c r="SLN23" i="3" s="1"/>
  <c r="SLO23" i="3" s="1"/>
  <c r="SLP23" i="3" s="1"/>
  <c r="SLQ23" i="3" s="1"/>
  <c r="SLR23" i="3" s="1"/>
  <c r="SLS23" i="3" s="1"/>
  <c r="SLT23" i="3" s="1"/>
  <c r="SLU23" i="3" s="1"/>
  <c r="SLV23" i="3" s="1"/>
  <c r="SLW23" i="3" s="1"/>
  <c r="SLX23" i="3" s="1"/>
  <c r="SLY23" i="3" s="1"/>
  <c r="SLZ23" i="3" s="1"/>
  <c r="SMA23" i="3" s="1"/>
  <c r="SMB23" i="3" s="1"/>
  <c r="SMC23" i="3" s="1"/>
  <c r="SMD23" i="3" s="1"/>
  <c r="SME23" i="3" s="1"/>
  <c r="SMF23" i="3" s="1"/>
  <c r="SMG23" i="3" s="1"/>
  <c r="SMH23" i="3" s="1"/>
  <c r="SMI23" i="3" s="1"/>
  <c r="SMJ23" i="3" s="1"/>
  <c r="SMK23" i="3" s="1"/>
  <c r="SML23" i="3" s="1"/>
  <c r="SMM23" i="3" s="1"/>
  <c r="SMN23" i="3" s="1"/>
  <c r="SMO23" i="3" s="1"/>
  <c r="SMP23" i="3" s="1"/>
  <c r="SMQ23" i="3" s="1"/>
  <c r="SMR23" i="3" s="1"/>
  <c r="SMS23" i="3" s="1"/>
  <c r="SMT23" i="3" s="1"/>
  <c r="SMU23" i="3" s="1"/>
  <c r="SMV23" i="3" s="1"/>
  <c r="SMW23" i="3" s="1"/>
  <c r="SMX23" i="3" s="1"/>
  <c r="SMY23" i="3" s="1"/>
  <c r="SMZ23" i="3" s="1"/>
  <c r="SNA23" i="3" s="1"/>
  <c r="SNB23" i="3" s="1"/>
  <c r="SNC23" i="3" s="1"/>
  <c r="SND23" i="3" s="1"/>
  <c r="SNE23" i="3" s="1"/>
  <c r="SNF23" i="3" s="1"/>
  <c r="SNG23" i="3" s="1"/>
  <c r="SNH23" i="3" s="1"/>
  <c r="SNI23" i="3" s="1"/>
  <c r="SNJ23" i="3" s="1"/>
  <c r="SNK23" i="3" s="1"/>
  <c r="SNL23" i="3" s="1"/>
  <c r="SNM23" i="3" s="1"/>
  <c r="SNN23" i="3" s="1"/>
  <c r="SNO23" i="3" s="1"/>
  <c r="SNP23" i="3" s="1"/>
  <c r="SNQ23" i="3" s="1"/>
  <c r="SNR23" i="3" s="1"/>
  <c r="SNS23" i="3" s="1"/>
  <c r="SNT23" i="3" s="1"/>
  <c r="SNU23" i="3" s="1"/>
  <c r="SNV23" i="3" s="1"/>
  <c r="SNW23" i="3" s="1"/>
  <c r="SNX23" i="3" s="1"/>
  <c r="SNY23" i="3" s="1"/>
  <c r="SNZ23" i="3" s="1"/>
  <c r="SOA23" i="3" s="1"/>
  <c r="SOB23" i="3" s="1"/>
  <c r="SOC23" i="3" s="1"/>
  <c r="SOD23" i="3" s="1"/>
  <c r="SOE23" i="3" s="1"/>
  <c r="SOF23" i="3" s="1"/>
  <c r="SOG23" i="3" s="1"/>
  <c r="SOH23" i="3" s="1"/>
  <c r="SOI23" i="3" s="1"/>
  <c r="SOJ23" i="3" s="1"/>
  <c r="SOK23" i="3" s="1"/>
  <c r="SOL23" i="3" s="1"/>
  <c r="SOM23" i="3" s="1"/>
  <c r="SON23" i="3" s="1"/>
  <c r="SOO23" i="3" s="1"/>
  <c r="SOP23" i="3" s="1"/>
  <c r="SOQ23" i="3" s="1"/>
  <c r="SOR23" i="3" s="1"/>
  <c r="SOS23" i="3" s="1"/>
  <c r="SOT23" i="3" s="1"/>
  <c r="SOU23" i="3" s="1"/>
  <c r="SOV23" i="3" s="1"/>
  <c r="SOW23" i="3" s="1"/>
  <c r="SOX23" i="3" s="1"/>
  <c r="SOY23" i="3" s="1"/>
  <c r="SOZ23" i="3" s="1"/>
  <c r="SPA23" i="3" s="1"/>
  <c r="SPB23" i="3" s="1"/>
  <c r="SPC23" i="3" s="1"/>
  <c r="SPD23" i="3" s="1"/>
  <c r="SPE23" i="3" s="1"/>
  <c r="SPF23" i="3" s="1"/>
  <c r="SPG23" i="3" s="1"/>
  <c r="SPH23" i="3" s="1"/>
  <c r="SPI23" i="3" s="1"/>
  <c r="SPJ23" i="3" s="1"/>
  <c r="SPK23" i="3" s="1"/>
  <c r="SPL23" i="3" s="1"/>
  <c r="SPM23" i="3" s="1"/>
  <c r="SPN23" i="3" s="1"/>
  <c r="SPO23" i="3" s="1"/>
  <c r="SPP23" i="3" s="1"/>
  <c r="SPQ23" i="3" s="1"/>
  <c r="SPR23" i="3" s="1"/>
  <c r="SPS23" i="3" s="1"/>
  <c r="SPT23" i="3" s="1"/>
  <c r="SPU23" i="3" s="1"/>
  <c r="SPV23" i="3" s="1"/>
  <c r="SPW23" i="3" s="1"/>
  <c r="SPX23" i="3" s="1"/>
  <c r="SPY23" i="3" s="1"/>
  <c r="SPZ23" i="3" s="1"/>
  <c r="SQA23" i="3" s="1"/>
  <c r="SQB23" i="3" s="1"/>
  <c r="SQC23" i="3" s="1"/>
  <c r="SQD23" i="3" s="1"/>
  <c r="SQE23" i="3" s="1"/>
  <c r="SQF23" i="3" s="1"/>
  <c r="SQG23" i="3" s="1"/>
  <c r="SQH23" i="3" s="1"/>
  <c r="SQI23" i="3" s="1"/>
  <c r="SQJ23" i="3" s="1"/>
  <c r="SQK23" i="3" s="1"/>
  <c r="SQL23" i="3" s="1"/>
  <c r="SQM23" i="3" s="1"/>
  <c r="SQN23" i="3" s="1"/>
  <c r="SQO23" i="3" s="1"/>
  <c r="SQP23" i="3" s="1"/>
  <c r="SQQ23" i="3" s="1"/>
  <c r="SQR23" i="3" s="1"/>
  <c r="SQS23" i="3" s="1"/>
  <c r="SQT23" i="3" s="1"/>
  <c r="SQU23" i="3" s="1"/>
  <c r="SQV23" i="3" s="1"/>
  <c r="SQW23" i="3" s="1"/>
  <c r="SQX23" i="3" s="1"/>
  <c r="SQY23" i="3" s="1"/>
  <c r="SQZ23" i="3" s="1"/>
  <c r="SRA23" i="3" s="1"/>
  <c r="SRB23" i="3" s="1"/>
  <c r="SRC23" i="3" s="1"/>
  <c r="SRD23" i="3" s="1"/>
  <c r="SRE23" i="3" s="1"/>
  <c r="SRF23" i="3" s="1"/>
  <c r="SRG23" i="3" s="1"/>
  <c r="SRH23" i="3" s="1"/>
  <c r="SRI23" i="3" s="1"/>
  <c r="SRJ23" i="3" s="1"/>
  <c r="SRK23" i="3" s="1"/>
  <c r="SRL23" i="3" s="1"/>
  <c r="SRM23" i="3" s="1"/>
  <c r="SRN23" i="3" s="1"/>
  <c r="SRO23" i="3" s="1"/>
  <c r="SRP23" i="3" s="1"/>
  <c r="SRQ23" i="3" s="1"/>
  <c r="SRR23" i="3" s="1"/>
  <c r="SRS23" i="3" s="1"/>
  <c r="SRT23" i="3" s="1"/>
  <c r="SRU23" i="3" s="1"/>
  <c r="SRV23" i="3" s="1"/>
  <c r="SRW23" i="3" s="1"/>
  <c r="SRX23" i="3" s="1"/>
  <c r="SRY23" i="3" s="1"/>
  <c r="SRZ23" i="3" s="1"/>
  <c r="SSA23" i="3" s="1"/>
  <c r="SSB23" i="3" s="1"/>
  <c r="SSC23" i="3" s="1"/>
  <c r="SSD23" i="3" s="1"/>
  <c r="SSE23" i="3" s="1"/>
  <c r="SSF23" i="3" s="1"/>
  <c r="SSG23" i="3" s="1"/>
  <c r="SSH23" i="3" s="1"/>
  <c r="SSI23" i="3" s="1"/>
  <c r="SSJ23" i="3" s="1"/>
  <c r="SSK23" i="3" s="1"/>
  <c r="SSL23" i="3" s="1"/>
  <c r="SSM23" i="3" s="1"/>
  <c r="SSN23" i="3" s="1"/>
  <c r="SSO23" i="3" s="1"/>
  <c r="SSP23" i="3" s="1"/>
  <c r="SSQ23" i="3" s="1"/>
  <c r="SSR23" i="3" s="1"/>
  <c r="SSS23" i="3" s="1"/>
  <c r="SST23" i="3" s="1"/>
  <c r="SSU23" i="3" s="1"/>
  <c r="SSV23" i="3" s="1"/>
  <c r="SSW23" i="3" s="1"/>
  <c r="SSX23" i="3" s="1"/>
  <c r="SSY23" i="3" s="1"/>
  <c r="SSZ23" i="3" s="1"/>
  <c r="STA23" i="3" s="1"/>
  <c r="STB23" i="3" s="1"/>
  <c r="STC23" i="3" s="1"/>
  <c r="STD23" i="3" s="1"/>
  <c r="STE23" i="3" s="1"/>
  <c r="STF23" i="3" s="1"/>
  <c r="STG23" i="3" s="1"/>
  <c r="STH23" i="3" s="1"/>
  <c r="STI23" i="3" s="1"/>
  <c r="STJ23" i="3" s="1"/>
  <c r="STK23" i="3" s="1"/>
  <c r="STL23" i="3" s="1"/>
  <c r="STM23" i="3" s="1"/>
  <c r="STN23" i="3" s="1"/>
  <c r="STO23" i="3" s="1"/>
  <c r="STP23" i="3" s="1"/>
  <c r="STQ23" i="3" s="1"/>
  <c r="STR23" i="3" s="1"/>
  <c r="STS23" i="3" s="1"/>
  <c r="STT23" i="3" s="1"/>
  <c r="STU23" i="3" s="1"/>
  <c r="STV23" i="3" s="1"/>
  <c r="STW23" i="3" s="1"/>
  <c r="STX23" i="3" s="1"/>
  <c r="STY23" i="3" s="1"/>
  <c r="STZ23" i="3" s="1"/>
  <c r="SUA23" i="3" s="1"/>
  <c r="SUB23" i="3" s="1"/>
  <c r="SUC23" i="3" s="1"/>
  <c r="SUD23" i="3" s="1"/>
  <c r="SUE23" i="3" s="1"/>
  <c r="SUF23" i="3" s="1"/>
  <c r="SUG23" i="3" s="1"/>
  <c r="SUH23" i="3" s="1"/>
  <c r="SUI23" i="3" s="1"/>
  <c r="SUJ23" i="3" s="1"/>
  <c r="SUK23" i="3" s="1"/>
  <c r="SUL23" i="3" s="1"/>
  <c r="SUM23" i="3" s="1"/>
  <c r="SUN23" i="3" s="1"/>
  <c r="SUO23" i="3" s="1"/>
  <c r="SUP23" i="3" s="1"/>
  <c r="SUQ23" i="3" s="1"/>
  <c r="SUR23" i="3" s="1"/>
  <c r="SUS23" i="3" s="1"/>
  <c r="SUT23" i="3" s="1"/>
  <c r="SUU23" i="3" s="1"/>
  <c r="SUV23" i="3" s="1"/>
  <c r="SUW23" i="3" s="1"/>
  <c r="SUX23" i="3" s="1"/>
  <c r="SUY23" i="3" s="1"/>
  <c r="SUZ23" i="3" s="1"/>
  <c r="SVA23" i="3" s="1"/>
  <c r="SVB23" i="3" s="1"/>
  <c r="SVC23" i="3" s="1"/>
  <c r="SVD23" i="3" s="1"/>
  <c r="SVE23" i="3" s="1"/>
  <c r="SVF23" i="3" s="1"/>
  <c r="SVG23" i="3" s="1"/>
  <c r="SVH23" i="3" s="1"/>
  <c r="SVI23" i="3" s="1"/>
  <c r="SVJ23" i="3" s="1"/>
  <c r="SVK23" i="3" s="1"/>
  <c r="SVL23" i="3" s="1"/>
  <c r="SVM23" i="3" s="1"/>
  <c r="SVN23" i="3" s="1"/>
  <c r="SVO23" i="3" s="1"/>
  <c r="SVP23" i="3" s="1"/>
  <c r="SVQ23" i="3" s="1"/>
  <c r="SVR23" i="3" s="1"/>
  <c r="SVS23" i="3" s="1"/>
  <c r="SVT23" i="3" s="1"/>
  <c r="SVU23" i="3" s="1"/>
  <c r="SVV23" i="3" s="1"/>
  <c r="SVW23" i="3" s="1"/>
  <c r="SVX23" i="3" s="1"/>
  <c r="SVY23" i="3" s="1"/>
  <c r="SVZ23" i="3" s="1"/>
  <c r="SWA23" i="3" s="1"/>
  <c r="SWB23" i="3" s="1"/>
  <c r="SWC23" i="3" s="1"/>
  <c r="SWD23" i="3" s="1"/>
  <c r="SWE23" i="3" s="1"/>
  <c r="SWF23" i="3" s="1"/>
  <c r="SWG23" i="3" s="1"/>
  <c r="SWH23" i="3" s="1"/>
  <c r="SWI23" i="3" s="1"/>
  <c r="SWJ23" i="3" s="1"/>
  <c r="SWK23" i="3" s="1"/>
  <c r="SWL23" i="3" s="1"/>
  <c r="SWM23" i="3" s="1"/>
  <c r="SWN23" i="3" s="1"/>
  <c r="SWO23" i="3" s="1"/>
  <c r="SWP23" i="3" s="1"/>
  <c r="SWQ23" i="3" s="1"/>
  <c r="SWR23" i="3" s="1"/>
  <c r="SWS23" i="3" s="1"/>
  <c r="SWT23" i="3" s="1"/>
  <c r="SWU23" i="3" s="1"/>
  <c r="SWV23" i="3" s="1"/>
  <c r="SWW23" i="3" s="1"/>
  <c r="SWX23" i="3" s="1"/>
  <c r="SWY23" i="3" s="1"/>
  <c r="SWZ23" i="3" s="1"/>
  <c r="SXA23" i="3" s="1"/>
  <c r="SXB23" i="3" s="1"/>
  <c r="SXC23" i="3" s="1"/>
  <c r="SXD23" i="3" s="1"/>
  <c r="SXE23" i="3" s="1"/>
  <c r="SXF23" i="3" s="1"/>
  <c r="SXG23" i="3" s="1"/>
  <c r="SXH23" i="3" s="1"/>
  <c r="SXI23" i="3" s="1"/>
  <c r="SXJ23" i="3" s="1"/>
  <c r="SXK23" i="3" s="1"/>
  <c r="SXL23" i="3" s="1"/>
  <c r="SXM23" i="3" s="1"/>
  <c r="SXN23" i="3" s="1"/>
  <c r="SXO23" i="3" s="1"/>
  <c r="SXP23" i="3" s="1"/>
  <c r="SXQ23" i="3" s="1"/>
  <c r="SXR23" i="3" s="1"/>
  <c r="SXS23" i="3" s="1"/>
  <c r="SXT23" i="3" s="1"/>
  <c r="SXU23" i="3" s="1"/>
  <c r="SXV23" i="3" s="1"/>
  <c r="SXW23" i="3" s="1"/>
  <c r="SXX23" i="3" s="1"/>
  <c r="SXY23" i="3" s="1"/>
  <c r="SXZ23" i="3" s="1"/>
  <c r="SYA23" i="3" s="1"/>
  <c r="SYB23" i="3" s="1"/>
  <c r="SYC23" i="3" s="1"/>
  <c r="SYD23" i="3" s="1"/>
  <c r="SYE23" i="3" s="1"/>
  <c r="SYF23" i="3" s="1"/>
  <c r="SYG23" i="3" s="1"/>
  <c r="SYH23" i="3" s="1"/>
  <c r="SYI23" i="3" s="1"/>
  <c r="SYJ23" i="3" s="1"/>
  <c r="SYK23" i="3" s="1"/>
  <c r="SYL23" i="3" s="1"/>
  <c r="SYM23" i="3" s="1"/>
  <c r="SYN23" i="3" s="1"/>
  <c r="SYO23" i="3" s="1"/>
  <c r="SYP23" i="3" s="1"/>
  <c r="SYQ23" i="3" s="1"/>
  <c r="SYR23" i="3" s="1"/>
  <c r="SYS23" i="3" s="1"/>
  <c r="SYT23" i="3" s="1"/>
  <c r="SYU23" i="3" s="1"/>
  <c r="SYV23" i="3" s="1"/>
  <c r="SYW23" i="3" s="1"/>
  <c r="SYX23" i="3" s="1"/>
  <c r="SYY23" i="3" s="1"/>
  <c r="SYZ23" i="3" s="1"/>
  <c r="SZA23" i="3" s="1"/>
  <c r="SZB23" i="3" s="1"/>
  <c r="SZC23" i="3" s="1"/>
  <c r="SZD23" i="3" s="1"/>
  <c r="SZE23" i="3" s="1"/>
  <c r="SZF23" i="3" s="1"/>
  <c r="SZG23" i="3" s="1"/>
  <c r="SZH23" i="3" s="1"/>
  <c r="SZI23" i="3" s="1"/>
  <c r="SZJ23" i="3" s="1"/>
  <c r="SZK23" i="3" s="1"/>
  <c r="SZL23" i="3" s="1"/>
  <c r="SZM23" i="3" s="1"/>
  <c r="SZN23" i="3" s="1"/>
  <c r="SZO23" i="3" s="1"/>
  <c r="SZP23" i="3" s="1"/>
  <c r="SZQ23" i="3" s="1"/>
  <c r="SZR23" i="3" s="1"/>
  <c r="SZS23" i="3" s="1"/>
  <c r="SZT23" i="3" s="1"/>
  <c r="SZU23" i="3" s="1"/>
  <c r="SZV23" i="3" s="1"/>
  <c r="SZW23" i="3" s="1"/>
  <c r="SZX23" i="3" s="1"/>
  <c r="SZY23" i="3" s="1"/>
  <c r="SZZ23" i="3" s="1"/>
  <c r="TAA23" i="3" s="1"/>
  <c r="TAB23" i="3" s="1"/>
  <c r="TAC23" i="3" s="1"/>
  <c r="TAD23" i="3" s="1"/>
  <c r="TAE23" i="3" s="1"/>
  <c r="TAF23" i="3" s="1"/>
  <c r="TAG23" i="3" s="1"/>
  <c r="TAH23" i="3" s="1"/>
  <c r="TAI23" i="3" s="1"/>
  <c r="TAJ23" i="3" s="1"/>
  <c r="TAK23" i="3" s="1"/>
  <c r="TAL23" i="3" s="1"/>
  <c r="TAM23" i="3" s="1"/>
  <c r="TAN23" i="3" s="1"/>
  <c r="TAO23" i="3" s="1"/>
  <c r="TAP23" i="3" s="1"/>
  <c r="TAQ23" i="3" s="1"/>
  <c r="TAR23" i="3" s="1"/>
  <c r="TAS23" i="3" s="1"/>
  <c r="TAT23" i="3" s="1"/>
  <c r="TAU23" i="3" s="1"/>
  <c r="TAV23" i="3" s="1"/>
  <c r="TAW23" i="3" s="1"/>
  <c r="TAX23" i="3" s="1"/>
  <c r="TAY23" i="3" s="1"/>
  <c r="TAZ23" i="3" s="1"/>
  <c r="TBA23" i="3" s="1"/>
  <c r="TBB23" i="3" s="1"/>
  <c r="TBC23" i="3" s="1"/>
  <c r="TBD23" i="3" s="1"/>
  <c r="TBE23" i="3" s="1"/>
  <c r="TBF23" i="3" s="1"/>
  <c r="TBG23" i="3" s="1"/>
  <c r="TBH23" i="3" s="1"/>
  <c r="TBI23" i="3" s="1"/>
  <c r="TBJ23" i="3" s="1"/>
  <c r="TBK23" i="3" s="1"/>
  <c r="TBL23" i="3" s="1"/>
  <c r="TBM23" i="3" s="1"/>
  <c r="TBN23" i="3" s="1"/>
  <c r="TBO23" i="3" s="1"/>
  <c r="TBP23" i="3" s="1"/>
  <c r="TBQ23" i="3" s="1"/>
  <c r="TBR23" i="3" s="1"/>
  <c r="TBS23" i="3" s="1"/>
  <c r="TBT23" i="3" s="1"/>
  <c r="TBU23" i="3" s="1"/>
  <c r="TBV23" i="3" s="1"/>
  <c r="TBW23" i="3" s="1"/>
  <c r="TBX23" i="3" s="1"/>
  <c r="TBY23" i="3" s="1"/>
  <c r="TBZ23" i="3" s="1"/>
  <c r="TCA23" i="3" s="1"/>
  <c r="TCB23" i="3" s="1"/>
  <c r="TCC23" i="3" s="1"/>
  <c r="TCD23" i="3" s="1"/>
  <c r="TCE23" i="3" s="1"/>
  <c r="TCF23" i="3" s="1"/>
  <c r="TCG23" i="3" s="1"/>
  <c r="TCH23" i="3" s="1"/>
  <c r="TCI23" i="3" s="1"/>
  <c r="TCJ23" i="3" s="1"/>
  <c r="TCK23" i="3" s="1"/>
  <c r="TCL23" i="3" s="1"/>
  <c r="TCM23" i="3" s="1"/>
  <c r="TCN23" i="3" s="1"/>
  <c r="TCO23" i="3" s="1"/>
  <c r="TCP23" i="3" s="1"/>
  <c r="TCQ23" i="3" s="1"/>
  <c r="TCR23" i="3" s="1"/>
  <c r="TCS23" i="3" s="1"/>
  <c r="TCT23" i="3" s="1"/>
  <c r="TCU23" i="3" s="1"/>
  <c r="TCV23" i="3" s="1"/>
  <c r="TCW23" i="3" s="1"/>
  <c r="TCX23" i="3" s="1"/>
  <c r="TCY23" i="3" s="1"/>
  <c r="TCZ23" i="3" s="1"/>
  <c r="TDA23" i="3" s="1"/>
  <c r="TDB23" i="3" s="1"/>
  <c r="TDC23" i="3" s="1"/>
  <c r="TDD23" i="3" s="1"/>
  <c r="TDE23" i="3" s="1"/>
  <c r="TDF23" i="3" s="1"/>
  <c r="TDG23" i="3" s="1"/>
  <c r="TDH23" i="3" s="1"/>
  <c r="TDI23" i="3" s="1"/>
  <c r="TDJ23" i="3" s="1"/>
  <c r="TDK23" i="3" s="1"/>
  <c r="TDL23" i="3" s="1"/>
  <c r="TDM23" i="3" s="1"/>
  <c r="TDN23" i="3" s="1"/>
  <c r="TDO23" i="3" s="1"/>
  <c r="TDP23" i="3" s="1"/>
  <c r="TDQ23" i="3" s="1"/>
  <c r="TDR23" i="3" s="1"/>
  <c r="TDS23" i="3" s="1"/>
  <c r="TDT23" i="3" s="1"/>
  <c r="TDU23" i="3" s="1"/>
  <c r="TDV23" i="3" s="1"/>
  <c r="TDW23" i="3" s="1"/>
  <c r="TDX23" i="3" s="1"/>
  <c r="TDY23" i="3" s="1"/>
  <c r="TDZ23" i="3" s="1"/>
  <c r="TEA23" i="3" s="1"/>
  <c r="TEB23" i="3" s="1"/>
  <c r="TEC23" i="3" s="1"/>
  <c r="TED23" i="3" s="1"/>
  <c r="TEE23" i="3" s="1"/>
  <c r="TEF23" i="3" s="1"/>
  <c r="TEG23" i="3" s="1"/>
  <c r="TEH23" i="3" s="1"/>
  <c r="TEI23" i="3" s="1"/>
  <c r="TEJ23" i="3" s="1"/>
  <c r="TEK23" i="3" s="1"/>
  <c r="TEL23" i="3" s="1"/>
  <c r="TEM23" i="3" s="1"/>
  <c r="TEN23" i="3" s="1"/>
  <c r="TEO23" i="3" s="1"/>
  <c r="TEP23" i="3" s="1"/>
  <c r="TEQ23" i="3" s="1"/>
  <c r="TER23" i="3" s="1"/>
  <c r="TES23" i="3" s="1"/>
  <c r="TET23" i="3" s="1"/>
  <c r="TEU23" i="3" s="1"/>
  <c r="TEV23" i="3" s="1"/>
  <c r="TEW23" i="3" s="1"/>
  <c r="TEX23" i="3" s="1"/>
  <c r="TEY23" i="3" s="1"/>
  <c r="TEZ23" i="3" s="1"/>
  <c r="TFA23" i="3" s="1"/>
  <c r="TFB23" i="3" s="1"/>
  <c r="TFC23" i="3" s="1"/>
  <c r="TFD23" i="3" s="1"/>
  <c r="TFE23" i="3" s="1"/>
  <c r="TFF23" i="3" s="1"/>
  <c r="TFG23" i="3" s="1"/>
  <c r="TFH23" i="3" s="1"/>
  <c r="TFI23" i="3" s="1"/>
  <c r="TFJ23" i="3" s="1"/>
  <c r="TFK23" i="3" s="1"/>
  <c r="TFL23" i="3" s="1"/>
  <c r="TFM23" i="3" s="1"/>
  <c r="TFN23" i="3" s="1"/>
  <c r="TFO23" i="3" s="1"/>
  <c r="TFP23" i="3" s="1"/>
  <c r="TFQ23" i="3" s="1"/>
  <c r="TFR23" i="3" s="1"/>
  <c r="TFS23" i="3" s="1"/>
  <c r="TFT23" i="3" s="1"/>
  <c r="TFU23" i="3" s="1"/>
  <c r="TFV23" i="3" s="1"/>
  <c r="TFW23" i="3" s="1"/>
  <c r="TFX23" i="3" s="1"/>
  <c r="TFY23" i="3" s="1"/>
  <c r="TFZ23" i="3" s="1"/>
  <c r="TGA23" i="3" s="1"/>
  <c r="TGB23" i="3" s="1"/>
  <c r="TGC23" i="3" s="1"/>
  <c r="TGD23" i="3" s="1"/>
  <c r="TGE23" i="3" s="1"/>
  <c r="TGF23" i="3" s="1"/>
  <c r="TGG23" i="3" s="1"/>
  <c r="TGH23" i="3" s="1"/>
  <c r="TGI23" i="3" s="1"/>
  <c r="TGJ23" i="3" s="1"/>
  <c r="TGK23" i="3" s="1"/>
  <c r="TGL23" i="3" s="1"/>
  <c r="TGM23" i="3" s="1"/>
  <c r="TGN23" i="3" s="1"/>
  <c r="TGO23" i="3" s="1"/>
  <c r="TGP23" i="3" s="1"/>
  <c r="TGQ23" i="3" s="1"/>
  <c r="TGR23" i="3" s="1"/>
  <c r="TGS23" i="3" s="1"/>
  <c r="TGT23" i="3" s="1"/>
  <c r="TGU23" i="3" s="1"/>
  <c r="TGV23" i="3" s="1"/>
  <c r="TGW23" i="3" s="1"/>
  <c r="TGX23" i="3" s="1"/>
  <c r="TGY23" i="3" s="1"/>
  <c r="TGZ23" i="3" s="1"/>
  <c r="THA23" i="3" s="1"/>
  <c r="THB23" i="3" s="1"/>
  <c r="THC23" i="3" s="1"/>
  <c r="THD23" i="3" s="1"/>
  <c r="THE23" i="3" s="1"/>
  <c r="THF23" i="3" s="1"/>
  <c r="THG23" i="3" s="1"/>
  <c r="THH23" i="3" s="1"/>
  <c r="THI23" i="3" s="1"/>
  <c r="THJ23" i="3" s="1"/>
  <c r="THK23" i="3" s="1"/>
  <c r="THL23" i="3" s="1"/>
  <c r="THM23" i="3" s="1"/>
  <c r="THN23" i="3" s="1"/>
  <c r="THO23" i="3" s="1"/>
  <c r="THP23" i="3" s="1"/>
  <c r="THQ23" i="3" s="1"/>
  <c r="THR23" i="3" s="1"/>
  <c r="THS23" i="3" s="1"/>
  <c r="THT23" i="3" s="1"/>
  <c r="THU23" i="3" s="1"/>
  <c r="THV23" i="3" s="1"/>
  <c r="THW23" i="3" s="1"/>
  <c r="THX23" i="3" s="1"/>
  <c r="THY23" i="3" s="1"/>
  <c r="THZ23" i="3" s="1"/>
  <c r="TIA23" i="3" s="1"/>
  <c r="TIB23" i="3" s="1"/>
  <c r="TIC23" i="3" s="1"/>
  <c r="TID23" i="3" s="1"/>
  <c r="TIE23" i="3" s="1"/>
  <c r="TIF23" i="3" s="1"/>
  <c r="TIG23" i="3" s="1"/>
  <c r="TIH23" i="3" s="1"/>
  <c r="TII23" i="3" s="1"/>
  <c r="TIJ23" i="3" s="1"/>
  <c r="TIK23" i="3" s="1"/>
  <c r="TIL23" i="3" s="1"/>
  <c r="TIM23" i="3" s="1"/>
  <c r="TIN23" i="3" s="1"/>
  <c r="TIO23" i="3" s="1"/>
  <c r="TIP23" i="3" s="1"/>
  <c r="TIQ23" i="3" s="1"/>
  <c r="TIR23" i="3" s="1"/>
  <c r="TIS23" i="3" s="1"/>
  <c r="TIT23" i="3" s="1"/>
  <c r="TIU23" i="3" s="1"/>
  <c r="TIV23" i="3" s="1"/>
  <c r="TIW23" i="3" s="1"/>
  <c r="TIX23" i="3" s="1"/>
  <c r="TIY23" i="3" s="1"/>
  <c r="TIZ23" i="3" s="1"/>
  <c r="TJA23" i="3" s="1"/>
  <c r="TJB23" i="3" s="1"/>
  <c r="TJC23" i="3" s="1"/>
  <c r="TJD23" i="3" s="1"/>
  <c r="TJE23" i="3" s="1"/>
  <c r="TJF23" i="3" s="1"/>
  <c r="TJG23" i="3" s="1"/>
  <c r="TJH23" i="3" s="1"/>
  <c r="TJI23" i="3" s="1"/>
  <c r="TJJ23" i="3" s="1"/>
  <c r="TJK23" i="3" s="1"/>
  <c r="TJL23" i="3" s="1"/>
  <c r="TJM23" i="3" s="1"/>
  <c r="TJN23" i="3" s="1"/>
  <c r="TJO23" i="3" s="1"/>
  <c r="TJP23" i="3" s="1"/>
  <c r="TJQ23" i="3" s="1"/>
  <c r="TJR23" i="3" s="1"/>
  <c r="TJS23" i="3" s="1"/>
  <c r="TJT23" i="3" s="1"/>
  <c r="TJU23" i="3" s="1"/>
  <c r="TJV23" i="3" s="1"/>
  <c r="TJW23" i="3" s="1"/>
  <c r="TJX23" i="3" s="1"/>
  <c r="TJY23" i="3" s="1"/>
  <c r="TJZ23" i="3" s="1"/>
  <c r="TKA23" i="3" s="1"/>
  <c r="TKB23" i="3" s="1"/>
  <c r="TKC23" i="3" s="1"/>
  <c r="TKD23" i="3" s="1"/>
  <c r="TKE23" i="3" s="1"/>
  <c r="TKF23" i="3" s="1"/>
  <c r="TKG23" i="3" s="1"/>
  <c r="TKH23" i="3" s="1"/>
  <c r="TKI23" i="3" s="1"/>
  <c r="TKJ23" i="3" s="1"/>
  <c r="TKK23" i="3" s="1"/>
  <c r="TKL23" i="3" s="1"/>
  <c r="TKM23" i="3" s="1"/>
  <c r="TKN23" i="3" s="1"/>
  <c r="TKO23" i="3" s="1"/>
  <c r="TKP23" i="3" s="1"/>
  <c r="TKQ23" i="3" s="1"/>
  <c r="TKR23" i="3" s="1"/>
  <c r="TKS23" i="3" s="1"/>
  <c r="TKT23" i="3" s="1"/>
  <c r="TKU23" i="3" s="1"/>
  <c r="TKV23" i="3" s="1"/>
  <c r="TKW23" i="3" s="1"/>
  <c r="TKX23" i="3" s="1"/>
  <c r="TKY23" i="3" s="1"/>
  <c r="TKZ23" i="3" s="1"/>
  <c r="TLA23" i="3" s="1"/>
  <c r="TLB23" i="3" s="1"/>
  <c r="TLC23" i="3" s="1"/>
  <c r="TLD23" i="3" s="1"/>
  <c r="TLE23" i="3" s="1"/>
  <c r="TLF23" i="3" s="1"/>
  <c r="TLG23" i="3" s="1"/>
  <c r="TLH23" i="3" s="1"/>
  <c r="TLI23" i="3" s="1"/>
  <c r="TLJ23" i="3" s="1"/>
  <c r="TLK23" i="3" s="1"/>
  <c r="TLL23" i="3" s="1"/>
  <c r="TLM23" i="3" s="1"/>
  <c r="TLN23" i="3" s="1"/>
  <c r="TLO23" i="3" s="1"/>
  <c r="TLP23" i="3" s="1"/>
  <c r="TLQ23" i="3" s="1"/>
  <c r="TLR23" i="3" s="1"/>
  <c r="TLS23" i="3" s="1"/>
  <c r="TLT23" i="3" s="1"/>
  <c r="TLU23" i="3" s="1"/>
  <c r="TLV23" i="3" s="1"/>
  <c r="TLW23" i="3" s="1"/>
  <c r="TLX23" i="3" s="1"/>
  <c r="TLY23" i="3" s="1"/>
  <c r="TLZ23" i="3" s="1"/>
  <c r="TMA23" i="3" s="1"/>
  <c r="TMB23" i="3" s="1"/>
  <c r="TMC23" i="3" s="1"/>
  <c r="TMD23" i="3" s="1"/>
  <c r="TME23" i="3" s="1"/>
  <c r="TMF23" i="3" s="1"/>
  <c r="TMG23" i="3" s="1"/>
  <c r="TMH23" i="3" s="1"/>
  <c r="TMI23" i="3" s="1"/>
  <c r="TMJ23" i="3" s="1"/>
  <c r="TMK23" i="3" s="1"/>
  <c r="TML23" i="3" s="1"/>
  <c r="TMM23" i="3" s="1"/>
  <c r="TMN23" i="3" s="1"/>
  <c r="TMO23" i="3" s="1"/>
  <c r="TMP23" i="3" s="1"/>
  <c r="TMQ23" i="3" s="1"/>
  <c r="TMR23" i="3" s="1"/>
  <c r="TMS23" i="3" s="1"/>
  <c r="TMT23" i="3" s="1"/>
  <c r="TMU23" i="3" s="1"/>
  <c r="TMV23" i="3" s="1"/>
  <c r="TMW23" i="3" s="1"/>
  <c r="TMX23" i="3" s="1"/>
  <c r="TMY23" i="3" s="1"/>
  <c r="TMZ23" i="3" s="1"/>
  <c r="TNA23" i="3" s="1"/>
  <c r="TNB23" i="3" s="1"/>
  <c r="TNC23" i="3" s="1"/>
  <c r="TND23" i="3" s="1"/>
  <c r="TNE23" i="3" s="1"/>
  <c r="TNF23" i="3" s="1"/>
  <c r="TNG23" i="3" s="1"/>
  <c r="TNH23" i="3" s="1"/>
  <c r="TNI23" i="3" s="1"/>
  <c r="TNJ23" i="3" s="1"/>
  <c r="TNK23" i="3" s="1"/>
  <c r="TNL23" i="3" s="1"/>
  <c r="TNM23" i="3" s="1"/>
  <c r="TNN23" i="3" s="1"/>
  <c r="TNO23" i="3" s="1"/>
  <c r="TNP23" i="3" s="1"/>
  <c r="TNQ23" i="3" s="1"/>
  <c r="TNR23" i="3" s="1"/>
  <c r="TNS23" i="3" s="1"/>
  <c r="TNT23" i="3" s="1"/>
  <c r="TNU23" i="3" s="1"/>
  <c r="TNV23" i="3" s="1"/>
  <c r="TNW23" i="3" s="1"/>
  <c r="TNX23" i="3" s="1"/>
  <c r="TNY23" i="3" s="1"/>
  <c r="TNZ23" i="3" s="1"/>
  <c r="TOA23" i="3" s="1"/>
  <c r="TOB23" i="3" s="1"/>
  <c r="TOC23" i="3" s="1"/>
  <c r="TOD23" i="3" s="1"/>
  <c r="TOE23" i="3" s="1"/>
  <c r="TOF23" i="3" s="1"/>
  <c r="TOG23" i="3" s="1"/>
  <c r="TOH23" i="3" s="1"/>
  <c r="TOI23" i="3" s="1"/>
  <c r="TOJ23" i="3" s="1"/>
  <c r="TOK23" i="3" s="1"/>
  <c r="TOL23" i="3" s="1"/>
  <c r="TOM23" i="3" s="1"/>
  <c r="TON23" i="3" s="1"/>
  <c r="TOO23" i="3" s="1"/>
  <c r="TOP23" i="3" s="1"/>
  <c r="TOQ23" i="3" s="1"/>
  <c r="TOR23" i="3" s="1"/>
  <c r="TOS23" i="3" s="1"/>
  <c r="TOT23" i="3" s="1"/>
  <c r="TOU23" i="3" s="1"/>
  <c r="TOV23" i="3" s="1"/>
  <c r="TOW23" i="3" s="1"/>
  <c r="TOX23" i="3" s="1"/>
  <c r="TOY23" i="3" s="1"/>
  <c r="TOZ23" i="3" s="1"/>
  <c r="TPA23" i="3" s="1"/>
  <c r="TPB23" i="3" s="1"/>
  <c r="TPC23" i="3" s="1"/>
  <c r="TPD23" i="3" s="1"/>
  <c r="TPE23" i="3" s="1"/>
  <c r="TPF23" i="3" s="1"/>
  <c r="TPG23" i="3" s="1"/>
  <c r="TPH23" i="3" s="1"/>
  <c r="TPI23" i="3" s="1"/>
  <c r="TPJ23" i="3" s="1"/>
  <c r="TPK23" i="3" s="1"/>
  <c r="TPL23" i="3" s="1"/>
  <c r="TPM23" i="3" s="1"/>
  <c r="TPN23" i="3" s="1"/>
  <c r="TPO23" i="3" s="1"/>
  <c r="TPP23" i="3" s="1"/>
  <c r="TPQ23" i="3" s="1"/>
  <c r="TPR23" i="3" s="1"/>
  <c r="TPS23" i="3" s="1"/>
  <c r="TPT23" i="3" s="1"/>
  <c r="TPU23" i="3" s="1"/>
  <c r="TPV23" i="3" s="1"/>
  <c r="TPW23" i="3" s="1"/>
  <c r="TPX23" i="3" s="1"/>
  <c r="TPY23" i="3" s="1"/>
  <c r="TPZ23" i="3" s="1"/>
  <c r="TQA23" i="3" s="1"/>
  <c r="TQB23" i="3" s="1"/>
  <c r="TQC23" i="3" s="1"/>
  <c r="TQD23" i="3" s="1"/>
  <c r="TQE23" i="3" s="1"/>
  <c r="TQF23" i="3" s="1"/>
  <c r="TQG23" i="3" s="1"/>
  <c r="TQH23" i="3" s="1"/>
  <c r="TQI23" i="3" s="1"/>
  <c r="TQJ23" i="3" s="1"/>
  <c r="TQK23" i="3" s="1"/>
  <c r="TQL23" i="3" s="1"/>
  <c r="TQM23" i="3" s="1"/>
  <c r="TQN23" i="3" s="1"/>
  <c r="TQO23" i="3" s="1"/>
  <c r="TQP23" i="3" s="1"/>
  <c r="TQQ23" i="3" s="1"/>
  <c r="TQR23" i="3" s="1"/>
  <c r="TQS23" i="3" s="1"/>
  <c r="TQT23" i="3" s="1"/>
  <c r="TQU23" i="3" s="1"/>
  <c r="TQV23" i="3" s="1"/>
  <c r="TQW23" i="3" s="1"/>
  <c r="TQX23" i="3" s="1"/>
  <c r="TQY23" i="3" s="1"/>
  <c r="TQZ23" i="3" s="1"/>
  <c r="TRA23" i="3" s="1"/>
  <c r="TRB23" i="3" s="1"/>
  <c r="TRC23" i="3" s="1"/>
  <c r="TRD23" i="3" s="1"/>
  <c r="TRE23" i="3" s="1"/>
  <c r="TRF23" i="3" s="1"/>
  <c r="TRG23" i="3" s="1"/>
  <c r="TRH23" i="3" s="1"/>
  <c r="TRI23" i="3" s="1"/>
  <c r="TRJ23" i="3" s="1"/>
  <c r="TRK23" i="3" s="1"/>
  <c r="TRL23" i="3" s="1"/>
  <c r="TRM23" i="3" s="1"/>
  <c r="TRN23" i="3" s="1"/>
  <c r="TRO23" i="3" s="1"/>
  <c r="TRP23" i="3" s="1"/>
  <c r="TRQ23" i="3" s="1"/>
  <c r="TRR23" i="3" s="1"/>
  <c r="TRS23" i="3" s="1"/>
  <c r="TRT23" i="3" s="1"/>
  <c r="TRU23" i="3" s="1"/>
  <c r="TRV23" i="3" s="1"/>
  <c r="TRW23" i="3" s="1"/>
  <c r="TRX23" i="3" s="1"/>
  <c r="TRY23" i="3" s="1"/>
  <c r="TRZ23" i="3" s="1"/>
  <c r="TSA23" i="3" s="1"/>
  <c r="TSB23" i="3" s="1"/>
  <c r="TSC23" i="3" s="1"/>
  <c r="TSD23" i="3" s="1"/>
  <c r="TSE23" i="3" s="1"/>
  <c r="TSF23" i="3" s="1"/>
  <c r="TSG23" i="3" s="1"/>
  <c r="TSH23" i="3" s="1"/>
  <c r="TSI23" i="3" s="1"/>
  <c r="TSJ23" i="3" s="1"/>
  <c r="TSK23" i="3" s="1"/>
  <c r="TSL23" i="3" s="1"/>
  <c r="TSM23" i="3" s="1"/>
  <c r="TSN23" i="3" s="1"/>
  <c r="TSO23" i="3" s="1"/>
  <c r="TSP23" i="3" s="1"/>
  <c r="TSQ23" i="3" s="1"/>
  <c r="TSR23" i="3" s="1"/>
  <c r="TSS23" i="3" s="1"/>
  <c r="TST23" i="3" s="1"/>
  <c r="TSU23" i="3" s="1"/>
  <c r="TSV23" i="3" s="1"/>
  <c r="TSW23" i="3" s="1"/>
  <c r="TSX23" i="3" s="1"/>
  <c r="TSY23" i="3" s="1"/>
  <c r="TSZ23" i="3" s="1"/>
  <c r="TTA23" i="3" s="1"/>
  <c r="TTB23" i="3" s="1"/>
  <c r="TTC23" i="3" s="1"/>
  <c r="TTD23" i="3" s="1"/>
  <c r="TTE23" i="3" s="1"/>
  <c r="TTF23" i="3" s="1"/>
  <c r="TTG23" i="3" s="1"/>
  <c r="TTH23" i="3" s="1"/>
  <c r="TTI23" i="3" s="1"/>
  <c r="TTJ23" i="3" s="1"/>
  <c r="TTK23" i="3" s="1"/>
  <c r="TTL23" i="3" s="1"/>
  <c r="TTM23" i="3" s="1"/>
  <c r="TTN23" i="3" s="1"/>
  <c r="TTO23" i="3" s="1"/>
  <c r="TTP23" i="3" s="1"/>
  <c r="TTQ23" i="3" s="1"/>
  <c r="TTR23" i="3" s="1"/>
  <c r="TTS23" i="3" s="1"/>
  <c r="TTT23" i="3" s="1"/>
  <c r="TTU23" i="3" s="1"/>
  <c r="TTV23" i="3" s="1"/>
  <c r="TTW23" i="3" s="1"/>
  <c r="TTX23" i="3" s="1"/>
  <c r="TTY23" i="3" s="1"/>
  <c r="TTZ23" i="3" s="1"/>
  <c r="TUA23" i="3" s="1"/>
  <c r="TUB23" i="3" s="1"/>
  <c r="TUC23" i="3" s="1"/>
  <c r="TUD23" i="3" s="1"/>
  <c r="TUE23" i="3" s="1"/>
  <c r="TUF23" i="3" s="1"/>
  <c r="TUG23" i="3" s="1"/>
  <c r="TUH23" i="3" s="1"/>
  <c r="TUI23" i="3" s="1"/>
  <c r="TUJ23" i="3" s="1"/>
  <c r="TUK23" i="3" s="1"/>
  <c r="TUL23" i="3" s="1"/>
  <c r="TUM23" i="3" s="1"/>
  <c r="TUN23" i="3" s="1"/>
  <c r="TUO23" i="3" s="1"/>
  <c r="TUP23" i="3" s="1"/>
  <c r="TUQ23" i="3" s="1"/>
  <c r="TUR23" i="3" s="1"/>
  <c r="TUS23" i="3" s="1"/>
  <c r="TUT23" i="3" s="1"/>
  <c r="TUU23" i="3" s="1"/>
  <c r="TUV23" i="3" s="1"/>
  <c r="TUW23" i="3" s="1"/>
  <c r="TUX23" i="3" s="1"/>
  <c r="TUY23" i="3" s="1"/>
  <c r="TUZ23" i="3" s="1"/>
  <c r="TVA23" i="3" s="1"/>
  <c r="TVB23" i="3" s="1"/>
  <c r="TVC23" i="3" s="1"/>
  <c r="TVD23" i="3" s="1"/>
  <c r="TVE23" i="3" s="1"/>
  <c r="TVF23" i="3" s="1"/>
  <c r="TVG23" i="3" s="1"/>
  <c r="TVH23" i="3" s="1"/>
  <c r="TVI23" i="3" s="1"/>
  <c r="TVJ23" i="3" s="1"/>
  <c r="TVK23" i="3" s="1"/>
  <c r="TVL23" i="3" s="1"/>
  <c r="TVM23" i="3" s="1"/>
  <c r="TVN23" i="3" s="1"/>
  <c r="TVO23" i="3" s="1"/>
  <c r="TVP23" i="3" s="1"/>
  <c r="TVQ23" i="3" s="1"/>
  <c r="TVR23" i="3" s="1"/>
  <c r="TVS23" i="3" s="1"/>
  <c r="TVT23" i="3" s="1"/>
  <c r="TVU23" i="3" s="1"/>
  <c r="TVV23" i="3" s="1"/>
  <c r="TVW23" i="3" s="1"/>
  <c r="TVX23" i="3" s="1"/>
  <c r="TVY23" i="3" s="1"/>
  <c r="TVZ23" i="3" s="1"/>
  <c r="TWA23" i="3" s="1"/>
  <c r="TWB23" i="3" s="1"/>
  <c r="TWC23" i="3" s="1"/>
  <c r="TWD23" i="3" s="1"/>
  <c r="TWE23" i="3" s="1"/>
  <c r="TWF23" i="3" s="1"/>
  <c r="TWG23" i="3" s="1"/>
  <c r="TWH23" i="3" s="1"/>
  <c r="TWI23" i="3" s="1"/>
  <c r="TWJ23" i="3" s="1"/>
  <c r="TWK23" i="3" s="1"/>
  <c r="TWL23" i="3" s="1"/>
  <c r="TWM23" i="3" s="1"/>
  <c r="TWN23" i="3" s="1"/>
  <c r="TWO23" i="3" s="1"/>
  <c r="TWP23" i="3" s="1"/>
  <c r="TWQ23" i="3" s="1"/>
  <c r="TWR23" i="3" s="1"/>
  <c r="TWS23" i="3" s="1"/>
  <c r="TWT23" i="3" s="1"/>
  <c r="TWU23" i="3" s="1"/>
  <c r="TWV23" i="3" s="1"/>
  <c r="TWW23" i="3" s="1"/>
  <c r="TWX23" i="3" s="1"/>
  <c r="TWY23" i="3" s="1"/>
  <c r="TWZ23" i="3" s="1"/>
  <c r="TXA23" i="3" s="1"/>
  <c r="TXB23" i="3" s="1"/>
  <c r="TXC23" i="3" s="1"/>
  <c r="TXD23" i="3" s="1"/>
  <c r="TXE23" i="3" s="1"/>
  <c r="TXF23" i="3" s="1"/>
  <c r="TXG23" i="3" s="1"/>
  <c r="TXH23" i="3" s="1"/>
  <c r="TXI23" i="3" s="1"/>
  <c r="TXJ23" i="3" s="1"/>
  <c r="TXK23" i="3" s="1"/>
  <c r="TXL23" i="3" s="1"/>
  <c r="TXM23" i="3" s="1"/>
  <c r="TXN23" i="3" s="1"/>
  <c r="TXO23" i="3" s="1"/>
  <c r="TXP23" i="3" s="1"/>
  <c r="TXQ23" i="3" s="1"/>
  <c r="TXR23" i="3" s="1"/>
  <c r="TXS23" i="3" s="1"/>
  <c r="TXT23" i="3" s="1"/>
  <c r="TXU23" i="3" s="1"/>
  <c r="TXV23" i="3" s="1"/>
  <c r="TXW23" i="3" s="1"/>
  <c r="TXX23" i="3" s="1"/>
  <c r="TXY23" i="3" s="1"/>
  <c r="TXZ23" i="3" s="1"/>
  <c r="TYA23" i="3" s="1"/>
  <c r="TYB23" i="3" s="1"/>
  <c r="TYC23" i="3" s="1"/>
  <c r="TYD23" i="3" s="1"/>
  <c r="TYE23" i="3" s="1"/>
  <c r="TYF23" i="3" s="1"/>
  <c r="TYG23" i="3" s="1"/>
  <c r="TYH23" i="3" s="1"/>
  <c r="TYI23" i="3" s="1"/>
  <c r="TYJ23" i="3" s="1"/>
  <c r="TYK23" i="3" s="1"/>
  <c r="TYL23" i="3" s="1"/>
  <c r="TYM23" i="3" s="1"/>
  <c r="TYN23" i="3" s="1"/>
  <c r="TYO23" i="3" s="1"/>
  <c r="TYP23" i="3" s="1"/>
  <c r="TYQ23" i="3" s="1"/>
  <c r="TYR23" i="3" s="1"/>
  <c r="TYS23" i="3" s="1"/>
  <c r="TYT23" i="3" s="1"/>
  <c r="TYU23" i="3" s="1"/>
  <c r="TYV23" i="3" s="1"/>
  <c r="TYW23" i="3" s="1"/>
  <c r="TYX23" i="3" s="1"/>
  <c r="TYY23" i="3" s="1"/>
  <c r="TYZ23" i="3" s="1"/>
  <c r="TZA23" i="3" s="1"/>
  <c r="TZB23" i="3" s="1"/>
  <c r="TZC23" i="3" s="1"/>
  <c r="TZD23" i="3" s="1"/>
  <c r="TZE23" i="3" s="1"/>
  <c r="TZF23" i="3" s="1"/>
  <c r="TZG23" i="3" s="1"/>
  <c r="TZH23" i="3" s="1"/>
  <c r="TZI23" i="3" s="1"/>
  <c r="TZJ23" i="3" s="1"/>
  <c r="TZK23" i="3" s="1"/>
  <c r="TZL23" i="3" s="1"/>
  <c r="TZM23" i="3" s="1"/>
  <c r="TZN23" i="3" s="1"/>
  <c r="TZO23" i="3" s="1"/>
  <c r="TZP23" i="3" s="1"/>
  <c r="TZQ23" i="3" s="1"/>
  <c r="TZR23" i="3" s="1"/>
  <c r="TZS23" i="3" s="1"/>
  <c r="TZT23" i="3" s="1"/>
  <c r="TZU23" i="3" s="1"/>
  <c r="TZV23" i="3" s="1"/>
  <c r="TZW23" i="3" s="1"/>
  <c r="TZX23" i="3" s="1"/>
  <c r="TZY23" i="3" s="1"/>
  <c r="TZZ23" i="3" s="1"/>
  <c r="UAA23" i="3" s="1"/>
  <c r="UAB23" i="3" s="1"/>
  <c r="UAC23" i="3" s="1"/>
  <c r="UAD23" i="3" s="1"/>
  <c r="UAE23" i="3" s="1"/>
  <c r="UAF23" i="3" s="1"/>
  <c r="UAG23" i="3" s="1"/>
  <c r="UAH23" i="3" s="1"/>
  <c r="UAI23" i="3" s="1"/>
  <c r="UAJ23" i="3" s="1"/>
  <c r="UAK23" i="3" s="1"/>
  <c r="UAL23" i="3" s="1"/>
  <c r="UAM23" i="3" s="1"/>
  <c r="UAN23" i="3" s="1"/>
  <c r="UAO23" i="3" s="1"/>
  <c r="UAP23" i="3" s="1"/>
  <c r="UAQ23" i="3" s="1"/>
  <c r="UAR23" i="3" s="1"/>
  <c r="UAS23" i="3" s="1"/>
  <c r="UAT23" i="3" s="1"/>
  <c r="UAU23" i="3" s="1"/>
  <c r="UAV23" i="3" s="1"/>
  <c r="UAW23" i="3" s="1"/>
  <c r="UAX23" i="3" s="1"/>
  <c r="UAY23" i="3" s="1"/>
  <c r="UAZ23" i="3" s="1"/>
  <c r="UBA23" i="3" s="1"/>
  <c r="UBB23" i="3" s="1"/>
  <c r="UBC23" i="3" s="1"/>
  <c r="UBD23" i="3" s="1"/>
  <c r="UBE23" i="3" s="1"/>
  <c r="UBF23" i="3" s="1"/>
  <c r="UBG23" i="3" s="1"/>
  <c r="UBH23" i="3" s="1"/>
  <c r="UBI23" i="3" s="1"/>
  <c r="UBJ23" i="3" s="1"/>
  <c r="UBK23" i="3" s="1"/>
  <c r="UBL23" i="3" s="1"/>
  <c r="UBM23" i="3" s="1"/>
  <c r="UBN23" i="3" s="1"/>
  <c r="UBO23" i="3" s="1"/>
  <c r="UBP23" i="3" s="1"/>
  <c r="UBQ23" i="3" s="1"/>
  <c r="UBR23" i="3" s="1"/>
  <c r="UBS23" i="3" s="1"/>
  <c r="UBT23" i="3" s="1"/>
  <c r="UBU23" i="3" s="1"/>
  <c r="UBV23" i="3" s="1"/>
  <c r="UBW23" i="3" s="1"/>
  <c r="UBX23" i="3" s="1"/>
  <c r="UBY23" i="3" s="1"/>
  <c r="UBZ23" i="3" s="1"/>
  <c r="UCA23" i="3" s="1"/>
  <c r="UCB23" i="3" s="1"/>
  <c r="UCC23" i="3" s="1"/>
  <c r="UCD23" i="3" s="1"/>
  <c r="UCE23" i="3" s="1"/>
  <c r="UCF23" i="3" s="1"/>
  <c r="UCG23" i="3" s="1"/>
  <c r="UCH23" i="3" s="1"/>
  <c r="UCI23" i="3" s="1"/>
  <c r="UCJ23" i="3" s="1"/>
  <c r="UCK23" i="3" s="1"/>
  <c r="UCL23" i="3" s="1"/>
  <c r="UCM23" i="3" s="1"/>
  <c r="UCN23" i="3" s="1"/>
  <c r="UCO23" i="3" s="1"/>
  <c r="UCP23" i="3" s="1"/>
  <c r="UCQ23" i="3" s="1"/>
  <c r="UCR23" i="3" s="1"/>
  <c r="UCS23" i="3" s="1"/>
  <c r="UCT23" i="3" s="1"/>
  <c r="UCU23" i="3" s="1"/>
  <c r="UCV23" i="3" s="1"/>
  <c r="UCW23" i="3" s="1"/>
  <c r="UCX23" i="3" s="1"/>
  <c r="UCY23" i="3" s="1"/>
  <c r="UCZ23" i="3" s="1"/>
  <c r="UDA23" i="3" s="1"/>
  <c r="UDB23" i="3" s="1"/>
  <c r="UDC23" i="3" s="1"/>
  <c r="UDD23" i="3" s="1"/>
  <c r="UDE23" i="3" s="1"/>
  <c r="UDF23" i="3" s="1"/>
  <c r="UDG23" i="3" s="1"/>
  <c r="UDH23" i="3" s="1"/>
  <c r="UDI23" i="3" s="1"/>
  <c r="UDJ23" i="3" s="1"/>
  <c r="UDK23" i="3" s="1"/>
  <c r="UDL23" i="3" s="1"/>
  <c r="UDM23" i="3" s="1"/>
  <c r="UDN23" i="3" s="1"/>
  <c r="UDO23" i="3" s="1"/>
  <c r="UDP23" i="3" s="1"/>
  <c r="UDQ23" i="3" s="1"/>
  <c r="UDR23" i="3" s="1"/>
  <c r="UDS23" i="3" s="1"/>
  <c r="UDT23" i="3" s="1"/>
  <c r="UDU23" i="3" s="1"/>
  <c r="UDV23" i="3" s="1"/>
  <c r="UDW23" i="3" s="1"/>
  <c r="UDX23" i="3" s="1"/>
  <c r="UDY23" i="3" s="1"/>
  <c r="UDZ23" i="3" s="1"/>
  <c r="UEA23" i="3" s="1"/>
  <c r="UEB23" i="3" s="1"/>
  <c r="UEC23" i="3" s="1"/>
  <c r="UED23" i="3" s="1"/>
  <c r="UEE23" i="3" s="1"/>
  <c r="UEF23" i="3" s="1"/>
  <c r="UEG23" i="3" s="1"/>
  <c r="UEH23" i="3" s="1"/>
  <c r="UEI23" i="3" s="1"/>
  <c r="UEJ23" i="3" s="1"/>
  <c r="UEK23" i="3" s="1"/>
  <c r="UEL23" i="3" s="1"/>
  <c r="UEM23" i="3" s="1"/>
  <c r="UEN23" i="3" s="1"/>
  <c r="UEO23" i="3" s="1"/>
  <c r="UEP23" i="3" s="1"/>
  <c r="UEQ23" i="3" s="1"/>
  <c r="UER23" i="3" s="1"/>
  <c r="UES23" i="3" s="1"/>
  <c r="UET23" i="3" s="1"/>
  <c r="UEU23" i="3" s="1"/>
  <c r="UEV23" i="3" s="1"/>
  <c r="UEW23" i="3" s="1"/>
  <c r="UEX23" i="3" s="1"/>
  <c r="UEY23" i="3" s="1"/>
  <c r="UEZ23" i="3" s="1"/>
  <c r="UFA23" i="3" s="1"/>
  <c r="UFB23" i="3" s="1"/>
  <c r="UFC23" i="3" s="1"/>
  <c r="UFD23" i="3" s="1"/>
  <c r="UFE23" i="3" s="1"/>
  <c r="UFF23" i="3" s="1"/>
  <c r="UFG23" i="3" s="1"/>
  <c r="UFH23" i="3" s="1"/>
  <c r="UFI23" i="3" s="1"/>
  <c r="UFJ23" i="3" s="1"/>
  <c r="UFK23" i="3" s="1"/>
  <c r="UFL23" i="3" s="1"/>
  <c r="UFM23" i="3" s="1"/>
  <c r="UFN23" i="3" s="1"/>
  <c r="UFO23" i="3" s="1"/>
  <c r="UFP23" i="3" s="1"/>
  <c r="UFQ23" i="3" s="1"/>
  <c r="UFR23" i="3" s="1"/>
  <c r="UFS23" i="3" s="1"/>
  <c r="UFT23" i="3" s="1"/>
  <c r="UFU23" i="3" s="1"/>
  <c r="UFV23" i="3" s="1"/>
  <c r="UFW23" i="3" s="1"/>
  <c r="UFX23" i="3" s="1"/>
  <c r="UFY23" i="3" s="1"/>
  <c r="UFZ23" i="3" s="1"/>
  <c r="UGA23" i="3" s="1"/>
  <c r="UGB23" i="3" s="1"/>
  <c r="UGC23" i="3" s="1"/>
  <c r="UGD23" i="3" s="1"/>
  <c r="UGE23" i="3" s="1"/>
  <c r="UGF23" i="3" s="1"/>
  <c r="UGG23" i="3" s="1"/>
  <c r="UGH23" i="3" s="1"/>
  <c r="UGI23" i="3" s="1"/>
  <c r="UGJ23" i="3" s="1"/>
  <c r="UGK23" i="3" s="1"/>
  <c r="UGL23" i="3" s="1"/>
  <c r="UGM23" i="3" s="1"/>
  <c r="UGN23" i="3" s="1"/>
  <c r="UGO23" i="3" s="1"/>
  <c r="UGP23" i="3" s="1"/>
  <c r="UGQ23" i="3" s="1"/>
  <c r="UGR23" i="3" s="1"/>
  <c r="UGS23" i="3" s="1"/>
  <c r="UGT23" i="3" s="1"/>
  <c r="UGU23" i="3" s="1"/>
  <c r="UGV23" i="3" s="1"/>
  <c r="UGW23" i="3" s="1"/>
  <c r="UGX23" i="3" s="1"/>
  <c r="UGY23" i="3" s="1"/>
  <c r="UGZ23" i="3" s="1"/>
  <c r="UHA23" i="3" s="1"/>
  <c r="UHB23" i="3" s="1"/>
  <c r="UHC23" i="3" s="1"/>
  <c r="UHD23" i="3" s="1"/>
  <c r="UHE23" i="3" s="1"/>
  <c r="UHF23" i="3" s="1"/>
  <c r="UHG23" i="3" s="1"/>
  <c r="UHH23" i="3" s="1"/>
  <c r="UHI23" i="3" s="1"/>
  <c r="UHJ23" i="3" s="1"/>
  <c r="UHK23" i="3" s="1"/>
  <c r="UHL23" i="3" s="1"/>
  <c r="UHM23" i="3" s="1"/>
  <c r="UHN23" i="3" s="1"/>
  <c r="UHO23" i="3" s="1"/>
  <c r="UHP23" i="3" s="1"/>
  <c r="UHQ23" i="3" s="1"/>
  <c r="UHR23" i="3" s="1"/>
  <c r="UHS23" i="3" s="1"/>
  <c r="UHT23" i="3" s="1"/>
  <c r="UHU23" i="3" s="1"/>
  <c r="UHV23" i="3" s="1"/>
  <c r="UHW23" i="3" s="1"/>
  <c r="UHX23" i="3" s="1"/>
  <c r="UHY23" i="3" s="1"/>
  <c r="UHZ23" i="3" s="1"/>
  <c r="UIA23" i="3" s="1"/>
  <c r="UIB23" i="3" s="1"/>
  <c r="UIC23" i="3" s="1"/>
  <c r="UID23" i="3" s="1"/>
  <c r="UIE23" i="3" s="1"/>
  <c r="UIF23" i="3" s="1"/>
  <c r="UIG23" i="3" s="1"/>
  <c r="UIH23" i="3" s="1"/>
  <c r="UII23" i="3" s="1"/>
  <c r="UIJ23" i="3" s="1"/>
  <c r="UIK23" i="3" s="1"/>
  <c r="UIL23" i="3" s="1"/>
  <c r="UIM23" i="3" s="1"/>
  <c r="UIN23" i="3" s="1"/>
  <c r="UIO23" i="3" s="1"/>
  <c r="UIP23" i="3" s="1"/>
  <c r="UIQ23" i="3" s="1"/>
  <c r="UIR23" i="3" s="1"/>
  <c r="UIS23" i="3" s="1"/>
  <c r="UIT23" i="3" s="1"/>
  <c r="UIU23" i="3" s="1"/>
  <c r="UIV23" i="3" s="1"/>
  <c r="UIW23" i="3" s="1"/>
  <c r="UIX23" i="3" s="1"/>
  <c r="UIY23" i="3" s="1"/>
  <c r="UIZ23" i="3" s="1"/>
  <c r="UJA23" i="3" s="1"/>
  <c r="UJB23" i="3" s="1"/>
  <c r="UJC23" i="3" s="1"/>
  <c r="UJD23" i="3" s="1"/>
  <c r="UJE23" i="3" s="1"/>
  <c r="UJF23" i="3" s="1"/>
  <c r="UJG23" i="3" s="1"/>
  <c r="UJH23" i="3" s="1"/>
  <c r="UJI23" i="3" s="1"/>
  <c r="UJJ23" i="3" s="1"/>
  <c r="UJK23" i="3" s="1"/>
  <c r="UJL23" i="3" s="1"/>
  <c r="UJM23" i="3" s="1"/>
  <c r="UJN23" i="3" s="1"/>
  <c r="UJO23" i="3" s="1"/>
  <c r="UJP23" i="3" s="1"/>
  <c r="UJQ23" i="3" s="1"/>
  <c r="UJR23" i="3" s="1"/>
  <c r="UJS23" i="3" s="1"/>
  <c r="UJT23" i="3" s="1"/>
  <c r="UJU23" i="3" s="1"/>
  <c r="UJV23" i="3" s="1"/>
  <c r="UJW23" i="3" s="1"/>
  <c r="UJX23" i="3" s="1"/>
  <c r="UJY23" i="3" s="1"/>
  <c r="UJZ23" i="3" s="1"/>
  <c r="UKA23" i="3" s="1"/>
  <c r="UKB23" i="3" s="1"/>
  <c r="UKC23" i="3" s="1"/>
  <c r="UKD23" i="3" s="1"/>
  <c r="UKE23" i="3" s="1"/>
  <c r="UKF23" i="3" s="1"/>
  <c r="UKG23" i="3" s="1"/>
  <c r="UKH23" i="3" s="1"/>
  <c r="UKI23" i="3" s="1"/>
  <c r="UKJ23" i="3" s="1"/>
  <c r="UKK23" i="3" s="1"/>
  <c r="UKL23" i="3" s="1"/>
  <c r="UKM23" i="3" s="1"/>
  <c r="UKN23" i="3" s="1"/>
  <c r="UKO23" i="3" s="1"/>
  <c r="UKP23" i="3" s="1"/>
  <c r="UKQ23" i="3" s="1"/>
  <c r="UKR23" i="3" s="1"/>
  <c r="UKS23" i="3" s="1"/>
  <c r="UKT23" i="3" s="1"/>
  <c r="UKU23" i="3" s="1"/>
  <c r="UKV23" i="3" s="1"/>
  <c r="UKW23" i="3" s="1"/>
  <c r="UKX23" i="3" s="1"/>
  <c r="UKY23" i="3" s="1"/>
  <c r="UKZ23" i="3" s="1"/>
  <c r="ULA23" i="3" s="1"/>
  <c r="ULB23" i="3" s="1"/>
  <c r="ULC23" i="3" s="1"/>
  <c r="ULD23" i="3" s="1"/>
  <c r="ULE23" i="3" s="1"/>
  <c r="ULF23" i="3" s="1"/>
  <c r="ULG23" i="3" s="1"/>
  <c r="ULH23" i="3" s="1"/>
  <c r="ULI23" i="3" s="1"/>
  <c r="ULJ23" i="3" s="1"/>
  <c r="ULK23" i="3" s="1"/>
  <c r="ULL23" i="3" s="1"/>
  <c r="ULM23" i="3" s="1"/>
  <c r="ULN23" i="3" s="1"/>
  <c r="ULO23" i="3" s="1"/>
  <c r="ULP23" i="3" s="1"/>
  <c r="ULQ23" i="3" s="1"/>
  <c r="ULR23" i="3" s="1"/>
  <c r="ULS23" i="3" s="1"/>
  <c r="ULT23" i="3" s="1"/>
  <c r="ULU23" i="3" s="1"/>
  <c r="ULV23" i="3" s="1"/>
  <c r="ULW23" i="3" s="1"/>
  <c r="ULX23" i="3" s="1"/>
  <c r="ULY23" i="3" s="1"/>
  <c r="ULZ23" i="3" s="1"/>
  <c r="UMA23" i="3" s="1"/>
  <c r="UMB23" i="3" s="1"/>
  <c r="UMC23" i="3" s="1"/>
  <c r="UMD23" i="3" s="1"/>
  <c r="UME23" i="3" s="1"/>
  <c r="UMF23" i="3" s="1"/>
  <c r="UMG23" i="3" s="1"/>
  <c r="UMH23" i="3" s="1"/>
  <c r="UMI23" i="3" s="1"/>
  <c r="UMJ23" i="3" s="1"/>
  <c r="UMK23" i="3" s="1"/>
  <c r="UML23" i="3" s="1"/>
  <c r="UMM23" i="3" s="1"/>
  <c r="UMN23" i="3" s="1"/>
  <c r="UMO23" i="3" s="1"/>
  <c r="UMP23" i="3" s="1"/>
  <c r="UMQ23" i="3" s="1"/>
  <c r="UMR23" i="3" s="1"/>
  <c r="UMS23" i="3" s="1"/>
  <c r="UMT23" i="3" s="1"/>
  <c r="UMU23" i="3" s="1"/>
  <c r="UMV23" i="3" s="1"/>
  <c r="UMW23" i="3" s="1"/>
  <c r="UMX23" i="3" s="1"/>
  <c r="UMY23" i="3" s="1"/>
  <c r="UMZ23" i="3" s="1"/>
  <c r="UNA23" i="3" s="1"/>
  <c r="UNB23" i="3" s="1"/>
  <c r="UNC23" i="3" s="1"/>
  <c r="UND23" i="3" s="1"/>
  <c r="UNE23" i="3" s="1"/>
  <c r="UNF23" i="3" s="1"/>
  <c r="UNG23" i="3" s="1"/>
  <c r="UNH23" i="3" s="1"/>
  <c r="UNI23" i="3" s="1"/>
  <c r="UNJ23" i="3" s="1"/>
  <c r="UNK23" i="3" s="1"/>
  <c r="UNL23" i="3" s="1"/>
  <c r="UNM23" i="3" s="1"/>
  <c r="UNN23" i="3" s="1"/>
  <c r="UNO23" i="3" s="1"/>
  <c r="UNP23" i="3" s="1"/>
  <c r="UNQ23" i="3" s="1"/>
  <c r="UNR23" i="3" s="1"/>
  <c r="UNS23" i="3" s="1"/>
  <c r="UNT23" i="3" s="1"/>
  <c r="UNU23" i="3" s="1"/>
  <c r="UNV23" i="3" s="1"/>
  <c r="UNW23" i="3" s="1"/>
  <c r="UNX23" i="3" s="1"/>
  <c r="UNY23" i="3" s="1"/>
  <c r="UNZ23" i="3" s="1"/>
  <c r="UOA23" i="3" s="1"/>
  <c r="UOB23" i="3" s="1"/>
  <c r="UOC23" i="3" s="1"/>
  <c r="UOD23" i="3" s="1"/>
  <c r="UOE23" i="3" s="1"/>
  <c r="UOF23" i="3" s="1"/>
  <c r="UOG23" i="3" s="1"/>
  <c r="UOH23" i="3" s="1"/>
  <c r="UOI23" i="3" s="1"/>
  <c r="UOJ23" i="3" s="1"/>
  <c r="UOK23" i="3" s="1"/>
  <c r="UOL23" i="3" s="1"/>
  <c r="UOM23" i="3" s="1"/>
  <c r="UON23" i="3" s="1"/>
  <c r="UOO23" i="3" s="1"/>
  <c r="UOP23" i="3" s="1"/>
  <c r="UOQ23" i="3" s="1"/>
  <c r="UOR23" i="3" s="1"/>
  <c r="UOS23" i="3" s="1"/>
  <c r="UOT23" i="3" s="1"/>
  <c r="UOU23" i="3" s="1"/>
  <c r="UOV23" i="3" s="1"/>
  <c r="UOW23" i="3" s="1"/>
  <c r="UOX23" i="3" s="1"/>
  <c r="UOY23" i="3" s="1"/>
  <c r="UOZ23" i="3" s="1"/>
  <c r="UPA23" i="3" s="1"/>
  <c r="UPB23" i="3" s="1"/>
  <c r="UPC23" i="3" s="1"/>
  <c r="UPD23" i="3" s="1"/>
  <c r="UPE23" i="3" s="1"/>
  <c r="UPF23" i="3" s="1"/>
  <c r="UPG23" i="3" s="1"/>
  <c r="UPH23" i="3" s="1"/>
  <c r="UPI23" i="3" s="1"/>
  <c r="UPJ23" i="3" s="1"/>
  <c r="UPK23" i="3" s="1"/>
  <c r="UPL23" i="3" s="1"/>
  <c r="UPM23" i="3" s="1"/>
  <c r="UPN23" i="3" s="1"/>
  <c r="UPO23" i="3" s="1"/>
  <c r="UPP23" i="3" s="1"/>
  <c r="UPQ23" i="3" s="1"/>
  <c r="UPR23" i="3" s="1"/>
  <c r="UPS23" i="3" s="1"/>
  <c r="UPT23" i="3" s="1"/>
  <c r="UPU23" i="3" s="1"/>
  <c r="UPV23" i="3" s="1"/>
  <c r="UPW23" i="3" s="1"/>
  <c r="UPX23" i="3" s="1"/>
  <c r="UPY23" i="3" s="1"/>
  <c r="UPZ23" i="3" s="1"/>
  <c r="UQA23" i="3" s="1"/>
  <c r="UQB23" i="3" s="1"/>
  <c r="UQC23" i="3" s="1"/>
  <c r="UQD23" i="3" s="1"/>
  <c r="UQE23" i="3" s="1"/>
  <c r="UQF23" i="3" s="1"/>
  <c r="UQG23" i="3" s="1"/>
  <c r="UQH23" i="3" s="1"/>
  <c r="UQI23" i="3" s="1"/>
  <c r="UQJ23" i="3" s="1"/>
  <c r="UQK23" i="3" s="1"/>
  <c r="UQL23" i="3" s="1"/>
  <c r="UQM23" i="3" s="1"/>
  <c r="UQN23" i="3" s="1"/>
  <c r="UQO23" i="3" s="1"/>
  <c r="UQP23" i="3" s="1"/>
  <c r="UQQ23" i="3" s="1"/>
  <c r="UQR23" i="3" s="1"/>
  <c r="UQS23" i="3" s="1"/>
  <c r="UQT23" i="3" s="1"/>
  <c r="UQU23" i="3" s="1"/>
  <c r="UQV23" i="3" s="1"/>
  <c r="UQW23" i="3" s="1"/>
  <c r="UQX23" i="3" s="1"/>
  <c r="UQY23" i="3" s="1"/>
  <c r="UQZ23" i="3" s="1"/>
  <c r="URA23" i="3" s="1"/>
  <c r="URB23" i="3" s="1"/>
  <c r="URC23" i="3" s="1"/>
  <c r="URD23" i="3" s="1"/>
  <c r="URE23" i="3" s="1"/>
  <c r="URF23" i="3" s="1"/>
  <c r="URG23" i="3" s="1"/>
  <c r="URH23" i="3" s="1"/>
  <c r="URI23" i="3" s="1"/>
  <c r="URJ23" i="3" s="1"/>
  <c r="URK23" i="3" s="1"/>
  <c r="URL23" i="3" s="1"/>
  <c r="URM23" i="3" s="1"/>
  <c r="URN23" i="3" s="1"/>
  <c r="URO23" i="3" s="1"/>
  <c r="URP23" i="3" s="1"/>
  <c r="URQ23" i="3" s="1"/>
  <c r="URR23" i="3" s="1"/>
  <c r="URS23" i="3" s="1"/>
  <c r="URT23" i="3" s="1"/>
  <c r="URU23" i="3" s="1"/>
  <c r="URV23" i="3" s="1"/>
  <c r="URW23" i="3" s="1"/>
  <c r="URX23" i="3" s="1"/>
  <c r="URY23" i="3" s="1"/>
  <c r="URZ23" i="3" s="1"/>
  <c r="USA23" i="3" s="1"/>
  <c r="USB23" i="3" s="1"/>
  <c r="USC23" i="3" s="1"/>
  <c r="USD23" i="3" s="1"/>
  <c r="USE23" i="3" s="1"/>
  <c r="USF23" i="3" s="1"/>
  <c r="USG23" i="3" s="1"/>
  <c r="USH23" i="3" s="1"/>
  <c r="USI23" i="3" s="1"/>
  <c r="USJ23" i="3" s="1"/>
  <c r="USK23" i="3" s="1"/>
  <c r="USL23" i="3" s="1"/>
  <c r="USM23" i="3" s="1"/>
  <c r="USN23" i="3" s="1"/>
  <c r="USO23" i="3" s="1"/>
  <c r="USP23" i="3" s="1"/>
  <c r="USQ23" i="3" s="1"/>
  <c r="USR23" i="3" s="1"/>
  <c r="USS23" i="3" s="1"/>
  <c r="UST23" i="3" s="1"/>
  <c r="USU23" i="3" s="1"/>
  <c r="USV23" i="3" s="1"/>
  <c r="USW23" i="3" s="1"/>
  <c r="USX23" i="3" s="1"/>
  <c r="USY23" i="3" s="1"/>
  <c r="USZ23" i="3" s="1"/>
  <c r="UTA23" i="3" s="1"/>
  <c r="UTB23" i="3" s="1"/>
  <c r="UTC23" i="3" s="1"/>
  <c r="UTD23" i="3" s="1"/>
  <c r="UTE23" i="3" s="1"/>
  <c r="UTF23" i="3" s="1"/>
  <c r="UTG23" i="3" s="1"/>
  <c r="UTH23" i="3" s="1"/>
  <c r="UTI23" i="3" s="1"/>
  <c r="UTJ23" i="3" s="1"/>
  <c r="UTK23" i="3" s="1"/>
  <c r="UTL23" i="3" s="1"/>
  <c r="UTM23" i="3" s="1"/>
  <c r="UTN23" i="3" s="1"/>
  <c r="UTO23" i="3" s="1"/>
  <c r="UTP23" i="3" s="1"/>
  <c r="UTQ23" i="3" s="1"/>
  <c r="UTR23" i="3" s="1"/>
  <c r="UTS23" i="3" s="1"/>
  <c r="UTT23" i="3" s="1"/>
  <c r="UTU23" i="3" s="1"/>
  <c r="UTV23" i="3" s="1"/>
  <c r="UTW23" i="3" s="1"/>
  <c r="UTX23" i="3" s="1"/>
  <c r="UTY23" i="3" s="1"/>
  <c r="UTZ23" i="3" s="1"/>
  <c r="UUA23" i="3" s="1"/>
  <c r="UUB23" i="3" s="1"/>
  <c r="UUC23" i="3" s="1"/>
  <c r="UUD23" i="3" s="1"/>
  <c r="UUE23" i="3" s="1"/>
  <c r="UUF23" i="3" s="1"/>
  <c r="UUG23" i="3" s="1"/>
  <c r="UUH23" i="3" s="1"/>
  <c r="UUI23" i="3" s="1"/>
  <c r="UUJ23" i="3" s="1"/>
  <c r="UUK23" i="3" s="1"/>
  <c r="UUL23" i="3" s="1"/>
  <c r="UUM23" i="3" s="1"/>
  <c r="UUN23" i="3" s="1"/>
  <c r="UUO23" i="3" s="1"/>
  <c r="UUP23" i="3" s="1"/>
  <c r="UUQ23" i="3" s="1"/>
  <c r="UUR23" i="3" s="1"/>
  <c r="UUS23" i="3" s="1"/>
  <c r="UUT23" i="3" s="1"/>
  <c r="UUU23" i="3" s="1"/>
  <c r="UUV23" i="3" s="1"/>
  <c r="UUW23" i="3" s="1"/>
  <c r="UUX23" i="3" s="1"/>
  <c r="UUY23" i="3" s="1"/>
  <c r="UUZ23" i="3" s="1"/>
  <c r="UVA23" i="3" s="1"/>
  <c r="UVB23" i="3" s="1"/>
  <c r="UVC23" i="3" s="1"/>
  <c r="UVD23" i="3" s="1"/>
  <c r="UVE23" i="3" s="1"/>
  <c r="UVF23" i="3" s="1"/>
  <c r="UVG23" i="3" s="1"/>
  <c r="UVH23" i="3" s="1"/>
  <c r="UVI23" i="3" s="1"/>
  <c r="UVJ23" i="3" s="1"/>
  <c r="UVK23" i="3" s="1"/>
  <c r="UVL23" i="3" s="1"/>
  <c r="UVM23" i="3" s="1"/>
  <c r="UVN23" i="3" s="1"/>
  <c r="UVO23" i="3" s="1"/>
  <c r="UVP23" i="3" s="1"/>
  <c r="UVQ23" i="3" s="1"/>
  <c r="UVR23" i="3" s="1"/>
  <c r="UVS23" i="3" s="1"/>
  <c r="UVT23" i="3" s="1"/>
  <c r="UVU23" i="3" s="1"/>
  <c r="UVV23" i="3" s="1"/>
  <c r="UVW23" i="3" s="1"/>
  <c r="UVX23" i="3" s="1"/>
  <c r="UVY23" i="3" s="1"/>
  <c r="UVZ23" i="3" s="1"/>
  <c r="UWA23" i="3" s="1"/>
  <c r="UWB23" i="3" s="1"/>
  <c r="UWC23" i="3" s="1"/>
  <c r="UWD23" i="3" s="1"/>
  <c r="UWE23" i="3" s="1"/>
  <c r="UWF23" i="3" s="1"/>
  <c r="UWG23" i="3" s="1"/>
  <c r="UWH23" i="3" s="1"/>
  <c r="UWI23" i="3" s="1"/>
  <c r="UWJ23" i="3" s="1"/>
  <c r="UWK23" i="3" s="1"/>
  <c r="UWL23" i="3" s="1"/>
  <c r="UWM23" i="3" s="1"/>
  <c r="UWN23" i="3" s="1"/>
  <c r="UWO23" i="3" s="1"/>
  <c r="UWP23" i="3" s="1"/>
  <c r="UWQ23" i="3" s="1"/>
  <c r="UWR23" i="3" s="1"/>
  <c r="UWS23" i="3" s="1"/>
  <c r="UWT23" i="3" s="1"/>
  <c r="UWU23" i="3" s="1"/>
  <c r="UWV23" i="3" s="1"/>
  <c r="UWW23" i="3" s="1"/>
  <c r="UWX23" i="3" s="1"/>
  <c r="UWY23" i="3" s="1"/>
  <c r="UWZ23" i="3" s="1"/>
  <c r="UXA23" i="3" s="1"/>
  <c r="UXB23" i="3" s="1"/>
  <c r="UXC23" i="3" s="1"/>
  <c r="UXD23" i="3" s="1"/>
  <c r="UXE23" i="3" s="1"/>
  <c r="UXF23" i="3" s="1"/>
  <c r="UXG23" i="3" s="1"/>
  <c r="UXH23" i="3" s="1"/>
  <c r="UXI23" i="3" s="1"/>
  <c r="UXJ23" i="3" s="1"/>
  <c r="UXK23" i="3" s="1"/>
  <c r="UXL23" i="3" s="1"/>
  <c r="UXM23" i="3" s="1"/>
  <c r="UXN23" i="3" s="1"/>
  <c r="UXO23" i="3" s="1"/>
  <c r="UXP23" i="3" s="1"/>
  <c r="UXQ23" i="3" s="1"/>
  <c r="UXR23" i="3" s="1"/>
  <c r="UXS23" i="3" s="1"/>
  <c r="UXT23" i="3" s="1"/>
  <c r="UXU23" i="3" s="1"/>
  <c r="UXV23" i="3" s="1"/>
  <c r="UXW23" i="3" s="1"/>
  <c r="UXX23" i="3" s="1"/>
  <c r="UXY23" i="3" s="1"/>
  <c r="UXZ23" i="3" s="1"/>
  <c r="UYA23" i="3" s="1"/>
  <c r="UYB23" i="3" s="1"/>
  <c r="UYC23" i="3" s="1"/>
  <c r="UYD23" i="3" s="1"/>
  <c r="UYE23" i="3" s="1"/>
  <c r="UYF23" i="3" s="1"/>
  <c r="UYG23" i="3" s="1"/>
  <c r="UYH23" i="3" s="1"/>
  <c r="UYI23" i="3" s="1"/>
  <c r="UYJ23" i="3" s="1"/>
  <c r="UYK23" i="3" s="1"/>
  <c r="UYL23" i="3" s="1"/>
  <c r="UYM23" i="3" s="1"/>
  <c r="UYN23" i="3" s="1"/>
  <c r="UYO23" i="3" s="1"/>
  <c r="UYP23" i="3" s="1"/>
  <c r="UYQ23" i="3" s="1"/>
  <c r="UYR23" i="3" s="1"/>
  <c r="UYS23" i="3" s="1"/>
  <c r="UYT23" i="3" s="1"/>
  <c r="UYU23" i="3" s="1"/>
  <c r="UYV23" i="3" s="1"/>
  <c r="UYW23" i="3" s="1"/>
  <c r="UYX23" i="3" s="1"/>
  <c r="UYY23" i="3" s="1"/>
  <c r="UYZ23" i="3" s="1"/>
  <c r="UZA23" i="3" s="1"/>
  <c r="UZB23" i="3" s="1"/>
  <c r="UZC23" i="3" s="1"/>
  <c r="UZD23" i="3" s="1"/>
  <c r="UZE23" i="3" s="1"/>
  <c r="UZF23" i="3" s="1"/>
  <c r="UZG23" i="3" s="1"/>
  <c r="UZH23" i="3" s="1"/>
  <c r="UZI23" i="3" s="1"/>
  <c r="UZJ23" i="3" s="1"/>
  <c r="UZK23" i="3" s="1"/>
  <c r="UZL23" i="3" s="1"/>
  <c r="UZM23" i="3" s="1"/>
  <c r="UZN23" i="3" s="1"/>
  <c r="UZO23" i="3" s="1"/>
  <c r="UZP23" i="3" s="1"/>
  <c r="UZQ23" i="3" s="1"/>
  <c r="UZR23" i="3" s="1"/>
  <c r="UZS23" i="3" s="1"/>
  <c r="UZT23" i="3" s="1"/>
  <c r="UZU23" i="3" s="1"/>
  <c r="UZV23" i="3" s="1"/>
  <c r="UZW23" i="3" s="1"/>
  <c r="UZX23" i="3" s="1"/>
  <c r="UZY23" i="3" s="1"/>
  <c r="UZZ23" i="3" s="1"/>
  <c r="VAA23" i="3" s="1"/>
  <c r="VAB23" i="3" s="1"/>
  <c r="VAC23" i="3" s="1"/>
  <c r="VAD23" i="3" s="1"/>
  <c r="VAE23" i="3" s="1"/>
  <c r="VAF23" i="3" s="1"/>
  <c r="VAG23" i="3" s="1"/>
  <c r="VAH23" i="3" s="1"/>
  <c r="VAI23" i="3" s="1"/>
  <c r="VAJ23" i="3" s="1"/>
  <c r="VAK23" i="3" s="1"/>
  <c r="VAL23" i="3" s="1"/>
  <c r="VAM23" i="3" s="1"/>
  <c r="VAN23" i="3" s="1"/>
  <c r="VAO23" i="3" s="1"/>
  <c r="VAP23" i="3" s="1"/>
  <c r="VAQ23" i="3" s="1"/>
  <c r="VAR23" i="3" s="1"/>
  <c r="VAS23" i="3" s="1"/>
  <c r="VAT23" i="3" s="1"/>
  <c r="VAU23" i="3" s="1"/>
  <c r="VAV23" i="3" s="1"/>
  <c r="VAW23" i="3" s="1"/>
  <c r="VAX23" i="3" s="1"/>
  <c r="VAY23" i="3" s="1"/>
  <c r="VAZ23" i="3" s="1"/>
  <c r="VBA23" i="3" s="1"/>
  <c r="VBB23" i="3" s="1"/>
  <c r="VBC23" i="3" s="1"/>
  <c r="VBD23" i="3" s="1"/>
  <c r="VBE23" i="3" s="1"/>
  <c r="VBF23" i="3" s="1"/>
  <c r="VBG23" i="3" s="1"/>
  <c r="VBH23" i="3" s="1"/>
  <c r="VBI23" i="3" s="1"/>
  <c r="VBJ23" i="3" s="1"/>
  <c r="VBK23" i="3" s="1"/>
  <c r="VBL23" i="3" s="1"/>
  <c r="VBM23" i="3" s="1"/>
  <c r="VBN23" i="3" s="1"/>
  <c r="VBO23" i="3" s="1"/>
  <c r="VBP23" i="3" s="1"/>
  <c r="VBQ23" i="3" s="1"/>
  <c r="VBR23" i="3" s="1"/>
  <c r="VBS23" i="3" s="1"/>
  <c r="VBT23" i="3" s="1"/>
  <c r="VBU23" i="3" s="1"/>
  <c r="VBV23" i="3" s="1"/>
  <c r="VBW23" i="3" s="1"/>
  <c r="VBX23" i="3" s="1"/>
  <c r="VBY23" i="3" s="1"/>
  <c r="VBZ23" i="3" s="1"/>
  <c r="VCA23" i="3" s="1"/>
  <c r="VCB23" i="3" s="1"/>
  <c r="VCC23" i="3" s="1"/>
  <c r="VCD23" i="3" s="1"/>
  <c r="VCE23" i="3" s="1"/>
  <c r="VCF23" i="3" s="1"/>
  <c r="VCG23" i="3" s="1"/>
  <c r="VCH23" i="3" s="1"/>
  <c r="VCI23" i="3" s="1"/>
  <c r="VCJ23" i="3" s="1"/>
  <c r="VCK23" i="3" s="1"/>
  <c r="VCL23" i="3" s="1"/>
  <c r="VCM23" i="3" s="1"/>
  <c r="VCN23" i="3" s="1"/>
  <c r="VCO23" i="3" s="1"/>
  <c r="VCP23" i="3" s="1"/>
  <c r="VCQ23" i="3" s="1"/>
  <c r="VCR23" i="3" s="1"/>
  <c r="VCS23" i="3" s="1"/>
  <c r="VCT23" i="3" s="1"/>
  <c r="VCU23" i="3" s="1"/>
  <c r="VCV23" i="3" s="1"/>
  <c r="VCW23" i="3" s="1"/>
  <c r="VCX23" i="3" s="1"/>
  <c r="VCY23" i="3" s="1"/>
  <c r="VCZ23" i="3" s="1"/>
  <c r="VDA23" i="3" s="1"/>
  <c r="VDB23" i="3" s="1"/>
  <c r="VDC23" i="3" s="1"/>
  <c r="VDD23" i="3" s="1"/>
  <c r="VDE23" i="3" s="1"/>
  <c r="VDF23" i="3" s="1"/>
  <c r="VDG23" i="3" s="1"/>
  <c r="VDH23" i="3" s="1"/>
  <c r="VDI23" i="3" s="1"/>
  <c r="VDJ23" i="3" s="1"/>
  <c r="VDK23" i="3" s="1"/>
  <c r="VDL23" i="3" s="1"/>
  <c r="VDM23" i="3" s="1"/>
  <c r="VDN23" i="3" s="1"/>
  <c r="VDO23" i="3" s="1"/>
  <c r="VDP23" i="3" s="1"/>
  <c r="VDQ23" i="3" s="1"/>
  <c r="VDR23" i="3" s="1"/>
  <c r="VDS23" i="3" s="1"/>
  <c r="VDT23" i="3" s="1"/>
  <c r="VDU23" i="3" s="1"/>
  <c r="VDV23" i="3" s="1"/>
  <c r="VDW23" i="3" s="1"/>
  <c r="VDX23" i="3" s="1"/>
  <c r="VDY23" i="3" s="1"/>
  <c r="VDZ23" i="3" s="1"/>
  <c r="VEA23" i="3" s="1"/>
  <c r="VEB23" i="3" s="1"/>
  <c r="VEC23" i="3" s="1"/>
  <c r="VED23" i="3" s="1"/>
  <c r="VEE23" i="3" s="1"/>
  <c r="VEF23" i="3" s="1"/>
  <c r="VEG23" i="3" s="1"/>
  <c r="VEH23" i="3" s="1"/>
  <c r="VEI23" i="3" s="1"/>
  <c r="VEJ23" i="3" s="1"/>
  <c r="VEK23" i="3" s="1"/>
  <c r="VEL23" i="3" s="1"/>
  <c r="VEM23" i="3" s="1"/>
  <c r="VEN23" i="3" s="1"/>
  <c r="VEO23" i="3" s="1"/>
  <c r="VEP23" i="3" s="1"/>
  <c r="VEQ23" i="3" s="1"/>
  <c r="VER23" i="3" s="1"/>
  <c r="VES23" i="3" s="1"/>
  <c r="VET23" i="3" s="1"/>
  <c r="VEU23" i="3" s="1"/>
  <c r="VEV23" i="3" s="1"/>
  <c r="VEW23" i="3" s="1"/>
  <c r="VEX23" i="3" s="1"/>
  <c r="VEY23" i="3" s="1"/>
  <c r="VEZ23" i="3" s="1"/>
  <c r="VFA23" i="3" s="1"/>
  <c r="VFB23" i="3" s="1"/>
  <c r="VFC23" i="3" s="1"/>
  <c r="VFD23" i="3" s="1"/>
  <c r="VFE23" i="3" s="1"/>
  <c r="VFF23" i="3" s="1"/>
  <c r="VFG23" i="3" s="1"/>
  <c r="VFH23" i="3" s="1"/>
  <c r="VFI23" i="3" s="1"/>
  <c r="VFJ23" i="3" s="1"/>
  <c r="VFK23" i="3" s="1"/>
  <c r="VFL23" i="3" s="1"/>
  <c r="VFM23" i="3" s="1"/>
  <c r="VFN23" i="3" s="1"/>
  <c r="VFO23" i="3" s="1"/>
  <c r="VFP23" i="3" s="1"/>
  <c r="VFQ23" i="3" s="1"/>
  <c r="VFR23" i="3" s="1"/>
  <c r="VFS23" i="3" s="1"/>
  <c r="VFT23" i="3" s="1"/>
  <c r="VFU23" i="3" s="1"/>
  <c r="VFV23" i="3" s="1"/>
  <c r="VFW23" i="3" s="1"/>
  <c r="VFX23" i="3" s="1"/>
  <c r="VFY23" i="3" s="1"/>
  <c r="VFZ23" i="3" s="1"/>
  <c r="VGA23" i="3" s="1"/>
  <c r="VGB23" i="3" s="1"/>
  <c r="VGC23" i="3" s="1"/>
  <c r="VGD23" i="3" s="1"/>
  <c r="VGE23" i="3" s="1"/>
  <c r="VGF23" i="3" s="1"/>
  <c r="VGG23" i="3" s="1"/>
  <c r="VGH23" i="3" s="1"/>
  <c r="VGI23" i="3" s="1"/>
  <c r="VGJ23" i="3" s="1"/>
  <c r="VGK23" i="3" s="1"/>
  <c r="VGL23" i="3" s="1"/>
  <c r="VGM23" i="3" s="1"/>
  <c r="VGN23" i="3" s="1"/>
  <c r="VGO23" i="3" s="1"/>
  <c r="VGP23" i="3" s="1"/>
  <c r="VGQ23" i="3" s="1"/>
  <c r="VGR23" i="3" s="1"/>
  <c r="VGS23" i="3" s="1"/>
  <c r="VGT23" i="3" s="1"/>
  <c r="VGU23" i="3" s="1"/>
  <c r="VGV23" i="3" s="1"/>
  <c r="VGW23" i="3" s="1"/>
  <c r="VGX23" i="3" s="1"/>
  <c r="VGY23" i="3" s="1"/>
  <c r="VGZ23" i="3" s="1"/>
  <c r="VHA23" i="3" s="1"/>
  <c r="VHB23" i="3" s="1"/>
  <c r="VHC23" i="3" s="1"/>
  <c r="VHD23" i="3" s="1"/>
  <c r="VHE23" i="3" s="1"/>
  <c r="VHF23" i="3" s="1"/>
  <c r="VHG23" i="3" s="1"/>
  <c r="VHH23" i="3" s="1"/>
  <c r="VHI23" i="3" s="1"/>
  <c r="VHJ23" i="3" s="1"/>
  <c r="VHK23" i="3" s="1"/>
  <c r="VHL23" i="3" s="1"/>
  <c r="VHM23" i="3" s="1"/>
  <c r="VHN23" i="3" s="1"/>
  <c r="VHO23" i="3" s="1"/>
  <c r="VHP23" i="3" s="1"/>
  <c r="VHQ23" i="3" s="1"/>
  <c r="VHR23" i="3" s="1"/>
  <c r="VHS23" i="3" s="1"/>
  <c r="VHT23" i="3" s="1"/>
  <c r="VHU23" i="3" s="1"/>
  <c r="VHV23" i="3" s="1"/>
  <c r="VHW23" i="3" s="1"/>
  <c r="VHX23" i="3" s="1"/>
  <c r="VHY23" i="3" s="1"/>
  <c r="VHZ23" i="3" s="1"/>
  <c r="VIA23" i="3" s="1"/>
  <c r="VIB23" i="3" s="1"/>
  <c r="VIC23" i="3" s="1"/>
  <c r="VID23" i="3" s="1"/>
  <c r="VIE23" i="3" s="1"/>
  <c r="VIF23" i="3" s="1"/>
  <c r="VIG23" i="3" s="1"/>
  <c r="VIH23" i="3" s="1"/>
  <c r="VII23" i="3" s="1"/>
  <c r="VIJ23" i="3" s="1"/>
  <c r="VIK23" i="3" s="1"/>
  <c r="VIL23" i="3" s="1"/>
  <c r="VIM23" i="3" s="1"/>
  <c r="VIN23" i="3" s="1"/>
  <c r="VIO23" i="3" s="1"/>
  <c r="VIP23" i="3" s="1"/>
  <c r="VIQ23" i="3" s="1"/>
  <c r="VIR23" i="3" s="1"/>
  <c r="VIS23" i="3" s="1"/>
  <c r="VIT23" i="3" s="1"/>
  <c r="VIU23" i="3" s="1"/>
  <c r="VIV23" i="3" s="1"/>
  <c r="VIW23" i="3" s="1"/>
  <c r="VIX23" i="3" s="1"/>
  <c r="VIY23" i="3" s="1"/>
  <c r="VIZ23" i="3" s="1"/>
  <c r="VJA23" i="3" s="1"/>
  <c r="VJB23" i="3" s="1"/>
  <c r="VJC23" i="3" s="1"/>
  <c r="VJD23" i="3" s="1"/>
  <c r="VJE23" i="3" s="1"/>
  <c r="VJF23" i="3" s="1"/>
  <c r="VJG23" i="3" s="1"/>
  <c r="VJH23" i="3" s="1"/>
  <c r="VJI23" i="3" s="1"/>
  <c r="VJJ23" i="3" s="1"/>
  <c r="VJK23" i="3" s="1"/>
  <c r="VJL23" i="3" s="1"/>
  <c r="VJM23" i="3" s="1"/>
  <c r="VJN23" i="3" s="1"/>
  <c r="VJO23" i="3" s="1"/>
  <c r="VJP23" i="3" s="1"/>
  <c r="VJQ23" i="3" s="1"/>
  <c r="VJR23" i="3" s="1"/>
  <c r="VJS23" i="3" s="1"/>
  <c r="VJT23" i="3" s="1"/>
  <c r="VJU23" i="3" s="1"/>
  <c r="VJV23" i="3" s="1"/>
  <c r="VJW23" i="3" s="1"/>
  <c r="VJX23" i="3" s="1"/>
  <c r="VJY23" i="3" s="1"/>
  <c r="VJZ23" i="3" s="1"/>
  <c r="VKA23" i="3" s="1"/>
  <c r="VKB23" i="3" s="1"/>
  <c r="VKC23" i="3" s="1"/>
  <c r="VKD23" i="3" s="1"/>
  <c r="VKE23" i="3" s="1"/>
  <c r="VKF23" i="3" s="1"/>
  <c r="VKG23" i="3" s="1"/>
  <c r="VKH23" i="3" s="1"/>
  <c r="VKI23" i="3" s="1"/>
  <c r="VKJ23" i="3" s="1"/>
  <c r="VKK23" i="3" s="1"/>
  <c r="VKL23" i="3" s="1"/>
  <c r="VKM23" i="3" s="1"/>
  <c r="VKN23" i="3" s="1"/>
  <c r="VKO23" i="3" s="1"/>
  <c r="VKP23" i="3" s="1"/>
  <c r="VKQ23" i="3" s="1"/>
  <c r="VKR23" i="3" s="1"/>
  <c r="VKS23" i="3" s="1"/>
  <c r="VKT23" i="3" s="1"/>
  <c r="VKU23" i="3" s="1"/>
  <c r="VKV23" i="3" s="1"/>
  <c r="VKW23" i="3" s="1"/>
  <c r="VKX23" i="3" s="1"/>
  <c r="VKY23" i="3" s="1"/>
  <c r="VKZ23" i="3" s="1"/>
  <c r="VLA23" i="3" s="1"/>
  <c r="VLB23" i="3" s="1"/>
  <c r="VLC23" i="3" s="1"/>
  <c r="VLD23" i="3" s="1"/>
  <c r="VLE23" i="3" s="1"/>
  <c r="VLF23" i="3" s="1"/>
  <c r="VLG23" i="3" s="1"/>
  <c r="VLH23" i="3" s="1"/>
  <c r="VLI23" i="3" s="1"/>
  <c r="VLJ23" i="3" s="1"/>
  <c r="VLK23" i="3" s="1"/>
  <c r="VLL23" i="3" s="1"/>
  <c r="VLM23" i="3" s="1"/>
  <c r="VLN23" i="3" s="1"/>
  <c r="VLO23" i="3" s="1"/>
  <c r="VLP23" i="3" s="1"/>
  <c r="VLQ23" i="3" s="1"/>
  <c r="VLR23" i="3" s="1"/>
  <c r="VLS23" i="3" s="1"/>
  <c r="VLT23" i="3" s="1"/>
  <c r="VLU23" i="3" s="1"/>
  <c r="VLV23" i="3" s="1"/>
  <c r="VLW23" i="3" s="1"/>
  <c r="VLX23" i="3" s="1"/>
  <c r="VLY23" i="3" s="1"/>
  <c r="VLZ23" i="3" s="1"/>
  <c r="VMA23" i="3" s="1"/>
  <c r="VMB23" i="3" s="1"/>
  <c r="VMC23" i="3" s="1"/>
  <c r="VMD23" i="3" s="1"/>
  <c r="VME23" i="3" s="1"/>
  <c r="VMF23" i="3" s="1"/>
  <c r="VMG23" i="3" s="1"/>
  <c r="VMH23" i="3" s="1"/>
  <c r="VMI23" i="3" s="1"/>
  <c r="VMJ23" i="3" s="1"/>
  <c r="VMK23" i="3" s="1"/>
  <c r="VML23" i="3" s="1"/>
  <c r="VMM23" i="3" s="1"/>
  <c r="VMN23" i="3" s="1"/>
  <c r="VMO23" i="3" s="1"/>
  <c r="VMP23" i="3" s="1"/>
  <c r="VMQ23" i="3" s="1"/>
  <c r="VMR23" i="3" s="1"/>
  <c r="VMS23" i="3" s="1"/>
  <c r="VMT23" i="3" s="1"/>
  <c r="VMU23" i="3" s="1"/>
  <c r="VMV23" i="3" s="1"/>
  <c r="VMW23" i="3" s="1"/>
  <c r="VMX23" i="3" s="1"/>
  <c r="VMY23" i="3" s="1"/>
  <c r="VMZ23" i="3" s="1"/>
  <c r="VNA23" i="3" s="1"/>
  <c r="VNB23" i="3" s="1"/>
  <c r="VNC23" i="3" s="1"/>
  <c r="VND23" i="3" s="1"/>
  <c r="VNE23" i="3" s="1"/>
  <c r="VNF23" i="3" s="1"/>
  <c r="VNG23" i="3" s="1"/>
  <c r="VNH23" i="3" s="1"/>
  <c r="VNI23" i="3" s="1"/>
  <c r="VNJ23" i="3" s="1"/>
  <c r="VNK23" i="3" s="1"/>
  <c r="VNL23" i="3" s="1"/>
  <c r="VNM23" i="3" s="1"/>
  <c r="VNN23" i="3" s="1"/>
  <c r="VNO23" i="3" s="1"/>
  <c r="VNP23" i="3" s="1"/>
  <c r="VNQ23" i="3" s="1"/>
  <c r="VNR23" i="3" s="1"/>
  <c r="VNS23" i="3" s="1"/>
  <c r="VNT23" i="3" s="1"/>
  <c r="VNU23" i="3" s="1"/>
  <c r="VNV23" i="3" s="1"/>
  <c r="VNW23" i="3" s="1"/>
  <c r="VNX23" i="3" s="1"/>
  <c r="VNY23" i="3" s="1"/>
  <c r="VNZ23" i="3" s="1"/>
  <c r="VOA23" i="3" s="1"/>
  <c r="VOB23" i="3" s="1"/>
  <c r="VOC23" i="3" s="1"/>
  <c r="VOD23" i="3" s="1"/>
  <c r="VOE23" i="3" s="1"/>
  <c r="VOF23" i="3" s="1"/>
  <c r="VOG23" i="3" s="1"/>
  <c r="VOH23" i="3" s="1"/>
  <c r="VOI23" i="3" s="1"/>
  <c r="VOJ23" i="3" s="1"/>
  <c r="VOK23" i="3" s="1"/>
  <c r="VOL23" i="3" s="1"/>
  <c r="VOM23" i="3" s="1"/>
  <c r="VON23" i="3" s="1"/>
  <c r="VOO23" i="3" s="1"/>
  <c r="VOP23" i="3" s="1"/>
  <c r="VOQ23" i="3" s="1"/>
  <c r="VOR23" i="3" s="1"/>
  <c r="VOS23" i="3" s="1"/>
  <c r="VOT23" i="3" s="1"/>
  <c r="VOU23" i="3" s="1"/>
  <c r="VOV23" i="3" s="1"/>
  <c r="VOW23" i="3" s="1"/>
  <c r="VOX23" i="3" s="1"/>
  <c r="VOY23" i="3" s="1"/>
  <c r="VOZ23" i="3" s="1"/>
  <c r="VPA23" i="3" s="1"/>
  <c r="VPB23" i="3" s="1"/>
  <c r="VPC23" i="3" s="1"/>
  <c r="VPD23" i="3" s="1"/>
  <c r="VPE23" i="3" s="1"/>
  <c r="VPF23" i="3" s="1"/>
  <c r="VPG23" i="3" s="1"/>
  <c r="VPH23" i="3" s="1"/>
  <c r="VPI23" i="3" s="1"/>
  <c r="VPJ23" i="3" s="1"/>
  <c r="VPK23" i="3" s="1"/>
  <c r="VPL23" i="3" s="1"/>
  <c r="VPM23" i="3" s="1"/>
  <c r="VPN23" i="3" s="1"/>
  <c r="VPO23" i="3" s="1"/>
  <c r="VPP23" i="3" s="1"/>
  <c r="VPQ23" i="3" s="1"/>
  <c r="VPR23" i="3" s="1"/>
  <c r="VPS23" i="3" s="1"/>
  <c r="VPT23" i="3" s="1"/>
  <c r="VPU23" i="3" s="1"/>
  <c r="VPV23" i="3" s="1"/>
  <c r="VPW23" i="3" s="1"/>
  <c r="VPX23" i="3" s="1"/>
  <c r="VPY23" i="3" s="1"/>
  <c r="VPZ23" i="3" s="1"/>
  <c r="VQA23" i="3" s="1"/>
  <c r="VQB23" i="3" s="1"/>
  <c r="VQC23" i="3" s="1"/>
  <c r="VQD23" i="3" s="1"/>
  <c r="VQE23" i="3" s="1"/>
  <c r="VQF23" i="3" s="1"/>
  <c r="VQG23" i="3" s="1"/>
  <c r="VQH23" i="3" s="1"/>
  <c r="VQI23" i="3" s="1"/>
  <c r="VQJ23" i="3" s="1"/>
  <c r="VQK23" i="3" s="1"/>
  <c r="VQL23" i="3" s="1"/>
  <c r="VQM23" i="3" s="1"/>
  <c r="VQN23" i="3" s="1"/>
  <c r="VQO23" i="3" s="1"/>
  <c r="VQP23" i="3" s="1"/>
  <c r="VQQ23" i="3" s="1"/>
  <c r="VQR23" i="3" s="1"/>
  <c r="VQS23" i="3" s="1"/>
  <c r="VQT23" i="3" s="1"/>
  <c r="VQU23" i="3" s="1"/>
  <c r="VQV23" i="3" s="1"/>
  <c r="VQW23" i="3" s="1"/>
  <c r="VQX23" i="3" s="1"/>
  <c r="VQY23" i="3" s="1"/>
  <c r="VQZ23" i="3" s="1"/>
  <c r="VRA23" i="3" s="1"/>
  <c r="VRB23" i="3" s="1"/>
  <c r="VRC23" i="3" s="1"/>
  <c r="VRD23" i="3" s="1"/>
  <c r="VRE23" i="3" s="1"/>
  <c r="VRF23" i="3" s="1"/>
  <c r="VRG23" i="3" s="1"/>
  <c r="VRH23" i="3" s="1"/>
  <c r="VRI23" i="3" s="1"/>
  <c r="VRJ23" i="3" s="1"/>
  <c r="VRK23" i="3" s="1"/>
  <c r="VRL23" i="3" s="1"/>
  <c r="VRM23" i="3" s="1"/>
  <c r="VRN23" i="3" s="1"/>
  <c r="VRO23" i="3" s="1"/>
  <c r="VRP23" i="3" s="1"/>
  <c r="VRQ23" i="3" s="1"/>
  <c r="VRR23" i="3" s="1"/>
  <c r="VRS23" i="3" s="1"/>
  <c r="VRT23" i="3" s="1"/>
  <c r="VRU23" i="3" s="1"/>
  <c r="VRV23" i="3" s="1"/>
  <c r="VRW23" i="3" s="1"/>
  <c r="VRX23" i="3" s="1"/>
  <c r="VRY23" i="3" s="1"/>
  <c r="VRZ23" i="3" s="1"/>
  <c r="VSA23" i="3" s="1"/>
  <c r="VSB23" i="3" s="1"/>
  <c r="VSC23" i="3" s="1"/>
  <c r="VSD23" i="3" s="1"/>
  <c r="VSE23" i="3" s="1"/>
  <c r="VSF23" i="3" s="1"/>
  <c r="VSG23" i="3" s="1"/>
  <c r="VSH23" i="3" s="1"/>
  <c r="VSI23" i="3" s="1"/>
  <c r="VSJ23" i="3" s="1"/>
  <c r="VSK23" i="3" s="1"/>
  <c r="VSL23" i="3" s="1"/>
  <c r="VSM23" i="3" s="1"/>
  <c r="VSN23" i="3" s="1"/>
  <c r="VSO23" i="3" s="1"/>
  <c r="VSP23" i="3" s="1"/>
  <c r="VSQ23" i="3" s="1"/>
  <c r="VSR23" i="3" s="1"/>
  <c r="VSS23" i="3" s="1"/>
  <c r="VST23" i="3" s="1"/>
  <c r="VSU23" i="3" s="1"/>
  <c r="VSV23" i="3" s="1"/>
  <c r="VSW23" i="3" s="1"/>
  <c r="VSX23" i="3" s="1"/>
  <c r="VSY23" i="3" s="1"/>
  <c r="VSZ23" i="3" s="1"/>
  <c r="VTA23" i="3" s="1"/>
  <c r="VTB23" i="3" s="1"/>
  <c r="VTC23" i="3" s="1"/>
  <c r="VTD23" i="3" s="1"/>
  <c r="VTE23" i="3" s="1"/>
  <c r="VTF23" i="3" s="1"/>
  <c r="VTG23" i="3" s="1"/>
  <c r="VTH23" i="3" s="1"/>
  <c r="VTI23" i="3" s="1"/>
  <c r="VTJ23" i="3" s="1"/>
  <c r="VTK23" i="3" s="1"/>
  <c r="VTL23" i="3" s="1"/>
  <c r="VTM23" i="3" s="1"/>
  <c r="VTN23" i="3" s="1"/>
  <c r="VTO23" i="3" s="1"/>
  <c r="VTP23" i="3" s="1"/>
  <c r="VTQ23" i="3" s="1"/>
  <c r="VTR23" i="3" s="1"/>
  <c r="VTS23" i="3" s="1"/>
  <c r="VTT23" i="3" s="1"/>
  <c r="VTU23" i="3" s="1"/>
  <c r="VTV23" i="3" s="1"/>
  <c r="VTW23" i="3" s="1"/>
  <c r="VTX23" i="3" s="1"/>
  <c r="VTY23" i="3" s="1"/>
  <c r="VTZ23" i="3" s="1"/>
  <c r="VUA23" i="3" s="1"/>
  <c r="VUB23" i="3" s="1"/>
  <c r="VUC23" i="3" s="1"/>
  <c r="VUD23" i="3" s="1"/>
  <c r="VUE23" i="3" s="1"/>
  <c r="VUF23" i="3" s="1"/>
  <c r="VUG23" i="3" s="1"/>
  <c r="VUH23" i="3" s="1"/>
  <c r="VUI23" i="3" s="1"/>
  <c r="VUJ23" i="3" s="1"/>
  <c r="VUK23" i="3" s="1"/>
  <c r="VUL23" i="3" s="1"/>
  <c r="VUM23" i="3" s="1"/>
  <c r="VUN23" i="3" s="1"/>
  <c r="VUO23" i="3" s="1"/>
  <c r="VUP23" i="3" s="1"/>
  <c r="VUQ23" i="3" s="1"/>
  <c r="VUR23" i="3" s="1"/>
  <c r="VUS23" i="3" s="1"/>
  <c r="VUT23" i="3" s="1"/>
  <c r="VUU23" i="3" s="1"/>
  <c r="VUV23" i="3" s="1"/>
  <c r="VUW23" i="3" s="1"/>
  <c r="VUX23" i="3" s="1"/>
  <c r="VUY23" i="3" s="1"/>
  <c r="VUZ23" i="3" s="1"/>
  <c r="VVA23" i="3" s="1"/>
  <c r="VVB23" i="3" s="1"/>
  <c r="VVC23" i="3" s="1"/>
  <c r="VVD23" i="3" s="1"/>
  <c r="VVE23" i="3" s="1"/>
  <c r="VVF23" i="3" s="1"/>
  <c r="VVG23" i="3" s="1"/>
  <c r="VVH23" i="3" s="1"/>
  <c r="VVI23" i="3" s="1"/>
  <c r="VVJ23" i="3" s="1"/>
  <c r="VVK23" i="3" s="1"/>
  <c r="VVL23" i="3" s="1"/>
  <c r="VVM23" i="3" s="1"/>
  <c r="VVN23" i="3" s="1"/>
  <c r="VVO23" i="3" s="1"/>
  <c r="VVP23" i="3" s="1"/>
  <c r="VVQ23" i="3" s="1"/>
  <c r="VVR23" i="3" s="1"/>
  <c r="VVS23" i="3" s="1"/>
  <c r="VVT23" i="3" s="1"/>
  <c r="VVU23" i="3" s="1"/>
  <c r="VVV23" i="3" s="1"/>
  <c r="VVW23" i="3" s="1"/>
  <c r="VVX23" i="3" s="1"/>
  <c r="VVY23" i="3" s="1"/>
  <c r="VVZ23" i="3" s="1"/>
  <c r="VWA23" i="3" s="1"/>
  <c r="VWB23" i="3" s="1"/>
  <c r="VWC23" i="3" s="1"/>
  <c r="VWD23" i="3" s="1"/>
  <c r="VWE23" i="3" s="1"/>
  <c r="VWF23" i="3" s="1"/>
  <c r="VWG23" i="3" s="1"/>
  <c r="VWH23" i="3" s="1"/>
  <c r="VWI23" i="3" s="1"/>
  <c r="VWJ23" i="3" s="1"/>
  <c r="VWK23" i="3" s="1"/>
  <c r="VWL23" i="3" s="1"/>
  <c r="VWM23" i="3" s="1"/>
  <c r="VWN23" i="3" s="1"/>
  <c r="VWO23" i="3" s="1"/>
  <c r="VWP23" i="3" s="1"/>
  <c r="VWQ23" i="3" s="1"/>
  <c r="VWR23" i="3" s="1"/>
  <c r="VWS23" i="3" s="1"/>
  <c r="VWT23" i="3" s="1"/>
  <c r="VWU23" i="3" s="1"/>
  <c r="VWV23" i="3" s="1"/>
  <c r="VWW23" i="3" s="1"/>
  <c r="VWX23" i="3" s="1"/>
  <c r="VWY23" i="3" s="1"/>
  <c r="VWZ23" i="3" s="1"/>
  <c r="VXA23" i="3" s="1"/>
  <c r="VXB23" i="3" s="1"/>
  <c r="VXC23" i="3" s="1"/>
  <c r="VXD23" i="3" s="1"/>
  <c r="VXE23" i="3" s="1"/>
  <c r="VXF23" i="3" s="1"/>
  <c r="VXG23" i="3" s="1"/>
  <c r="VXH23" i="3" s="1"/>
  <c r="VXI23" i="3" s="1"/>
  <c r="VXJ23" i="3" s="1"/>
  <c r="VXK23" i="3" s="1"/>
  <c r="VXL23" i="3" s="1"/>
  <c r="VXM23" i="3" s="1"/>
  <c r="VXN23" i="3" s="1"/>
  <c r="VXO23" i="3" s="1"/>
  <c r="VXP23" i="3" s="1"/>
  <c r="VXQ23" i="3" s="1"/>
  <c r="VXR23" i="3" s="1"/>
  <c r="VXS23" i="3" s="1"/>
  <c r="VXT23" i="3" s="1"/>
  <c r="VXU23" i="3" s="1"/>
  <c r="VXV23" i="3" s="1"/>
  <c r="VXW23" i="3" s="1"/>
  <c r="VXX23" i="3" s="1"/>
  <c r="VXY23" i="3" s="1"/>
  <c r="VXZ23" i="3" s="1"/>
  <c r="VYA23" i="3" s="1"/>
  <c r="VYB23" i="3" s="1"/>
  <c r="VYC23" i="3" s="1"/>
  <c r="VYD23" i="3" s="1"/>
  <c r="VYE23" i="3" s="1"/>
  <c r="VYF23" i="3" s="1"/>
  <c r="VYG23" i="3" s="1"/>
  <c r="VYH23" i="3" s="1"/>
  <c r="VYI23" i="3" s="1"/>
  <c r="VYJ23" i="3" s="1"/>
  <c r="VYK23" i="3" s="1"/>
  <c r="VYL23" i="3" s="1"/>
  <c r="VYM23" i="3" s="1"/>
  <c r="VYN23" i="3" s="1"/>
  <c r="VYO23" i="3" s="1"/>
  <c r="VYP23" i="3" s="1"/>
  <c r="VYQ23" i="3" s="1"/>
  <c r="VYR23" i="3" s="1"/>
  <c r="VYS23" i="3" s="1"/>
  <c r="VYT23" i="3" s="1"/>
  <c r="VYU23" i="3" s="1"/>
  <c r="VYV23" i="3" s="1"/>
  <c r="VYW23" i="3" s="1"/>
  <c r="VYX23" i="3" s="1"/>
  <c r="VYY23" i="3" s="1"/>
  <c r="VYZ23" i="3" s="1"/>
  <c r="VZA23" i="3" s="1"/>
  <c r="VZB23" i="3" s="1"/>
  <c r="VZC23" i="3" s="1"/>
  <c r="VZD23" i="3" s="1"/>
  <c r="VZE23" i="3" s="1"/>
  <c r="VZF23" i="3" s="1"/>
  <c r="VZG23" i="3" s="1"/>
  <c r="VZH23" i="3" s="1"/>
  <c r="VZI23" i="3" s="1"/>
  <c r="VZJ23" i="3" s="1"/>
  <c r="VZK23" i="3" s="1"/>
  <c r="VZL23" i="3" s="1"/>
  <c r="VZM23" i="3" s="1"/>
  <c r="VZN23" i="3" s="1"/>
  <c r="VZO23" i="3" s="1"/>
  <c r="VZP23" i="3" s="1"/>
  <c r="VZQ23" i="3" s="1"/>
  <c r="VZR23" i="3" s="1"/>
  <c r="VZS23" i="3" s="1"/>
  <c r="VZT23" i="3" s="1"/>
  <c r="VZU23" i="3" s="1"/>
  <c r="VZV23" i="3" s="1"/>
  <c r="VZW23" i="3" s="1"/>
  <c r="VZX23" i="3" s="1"/>
  <c r="VZY23" i="3" s="1"/>
  <c r="VZZ23" i="3" s="1"/>
  <c r="WAA23" i="3" s="1"/>
  <c r="WAB23" i="3" s="1"/>
  <c r="WAC23" i="3" s="1"/>
  <c r="WAD23" i="3" s="1"/>
  <c r="WAE23" i="3" s="1"/>
  <c r="WAF23" i="3" s="1"/>
  <c r="WAG23" i="3" s="1"/>
  <c r="WAH23" i="3" s="1"/>
  <c r="WAI23" i="3" s="1"/>
  <c r="WAJ23" i="3" s="1"/>
  <c r="WAK23" i="3" s="1"/>
  <c r="WAL23" i="3" s="1"/>
  <c r="WAM23" i="3" s="1"/>
  <c r="WAN23" i="3" s="1"/>
  <c r="WAO23" i="3" s="1"/>
  <c r="WAP23" i="3" s="1"/>
  <c r="WAQ23" i="3" s="1"/>
  <c r="WAR23" i="3" s="1"/>
  <c r="WAS23" i="3" s="1"/>
  <c r="WAT23" i="3" s="1"/>
  <c r="WAU23" i="3" s="1"/>
  <c r="WAV23" i="3" s="1"/>
  <c r="WAW23" i="3" s="1"/>
  <c r="WAX23" i="3" s="1"/>
  <c r="WAY23" i="3" s="1"/>
  <c r="WAZ23" i="3" s="1"/>
  <c r="WBA23" i="3" s="1"/>
  <c r="WBB23" i="3" s="1"/>
  <c r="WBC23" i="3" s="1"/>
  <c r="WBD23" i="3" s="1"/>
  <c r="WBE23" i="3" s="1"/>
  <c r="WBF23" i="3" s="1"/>
  <c r="WBG23" i="3" s="1"/>
  <c r="WBH23" i="3" s="1"/>
  <c r="WBI23" i="3" s="1"/>
  <c r="WBJ23" i="3" s="1"/>
  <c r="WBK23" i="3" s="1"/>
  <c r="WBL23" i="3" s="1"/>
  <c r="WBM23" i="3" s="1"/>
  <c r="WBN23" i="3" s="1"/>
  <c r="WBO23" i="3" s="1"/>
  <c r="WBP23" i="3" s="1"/>
  <c r="WBQ23" i="3" s="1"/>
  <c r="WBR23" i="3" s="1"/>
  <c r="WBS23" i="3" s="1"/>
  <c r="WBT23" i="3" s="1"/>
  <c r="WBU23" i="3" s="1"/>
  <c r="WBV23" i="3" s="1"/>
  <c r="WBW23" i="3" s="1"/>
  <c r="WBX23" i="3" s="1"/>
  <c r="WBY23" i="3" s="1"/>
  <c r="WBZ23" i="3" s="1"/>
  <c r="WCA23" i="3" s="1"/>
  <c r="WCB23" i="3" s="1"/>
  <c r="WCC23" i="3" s="1"/>
  <c r="WCD23" i="3" s="1"/>
  <c r="WCE23" i="3" s="1"/>
  <c r="WCF23" i="3" s="1"/>
  <c r="WCG23" i="3" s="1"/>
  <c r="WCH23" i="3" s="1"/>
  <c r="WCI23" i="3" s="1"/>
  <c r="WCJ23" i="3" s="1"/>
  <c r="WCK23" i="3" s="1"/>
  <c r="WCL23" i="3" s="1"/>
  <c r="WCM23" i="3" s="1"/>
  <c r="WCN23" i="3" s="1"/>
  <c r="WCO23" i="3" s="1"/>
  <c r="WCP23" i="3" s="1"/>
  <c r="WCQ23" i="3" s="1"/>
  <c r="WCR23" i="3" s="1"/>
  <c r="WCS23" i="3" s="1"/>
  <c r="WCT23" i="3" s="1"/>
  <c r="WCU23" i="3" s="1"/>
  <c r="WCV23" i="3" s="1"/>
  <c r="WCW23" i="3" s="1"/>
  <c r="WCX23" i="3" s="1"/>
  <c r="WCY23" i="3" s="1"/>
  <c r="WCZ23" i="3" s="1"/>
  <c r="WDA23" i="3" s="1"/>
  <c r="WDB23" i="3" s="1"/>
  <c r="WDC23" i="3" s="1"/>
  <c r="WDD23" i="3" s="1"/>
  <c r="WDE23" i="3" s="1"/>
  <c r="WDF23" i="3" s="1"/>
  <c r="WDG23" i="3" s="1"/>
  <c r="WDH23" i="3" s="1"/>
  <c r="WDI23" i="3" s="1"/>
  <c r="WDJ23" i="3" s="1"/>
  <c r="WDK23" i="3" s="1"/>
  <c r="WDL23" i="3" s="1"/>
  <c r="WDM23" i="3" s="1"/>
  <c r="WDN23" i="3" s="1"/>
  <c r="WDO23" i="3" s="1"/>
  <c r="WDP23" i="3" s="1"/>
  <c r="WDQ23" i="3" s="1"/>
  <c r="WDR23" i="3" s="1"/>
  <c r="WDS23" i="3" s="1"/>
  <c r="WDT23" i="3" s="1"/>
  <c r="WDU23" i="3" s="1"/>
  <c r="WDV23" i="3" s="1"/>
  <c r="WDW23" i="3" s="1"/>
  <c r="WDX23" i="3" s="1"/>
  <c r="WDY23" i="3" s="1"/>
  <c r="WDZ23" i="3" s="1"/>
  <c r="WEA23" i="3" s="1"/>
  <c r="WEB23" i="3" s="1"/>
  <c r="WEC23" i="3" s="1"/>
  <c r="WED23" i="3" s="1"/>
  <c r="WEE23" i="3" s="1"/>
  <c r="WEF23" i="3" s="1"/>
  <c r="WEG23" i="3" s="1"/>
  <c r="WEH23" i="3" s="1"/>
  <c r="WEI23" i="3" s="1"/>
  <c r="WEJ23" i="3" s="1"/>
  <c r="WEK23" i="3" s="1"/>
  <c r="WEL23" i="3" s="1"/>
  <c r="WEM23" i="3" s="1"/>
  <c r="WEN23" i="3" s="1"/>
  <c r="WEO23" i="3" s="1"/>
  <c r="WEP23" i="3" s="1"/>
  <c r="WEQ23" i="3" s="1"/>
  <c r="WER23" i="3" s="1"/>
  <c r="WES23" i="3" s="1"/>
  <c r="WET23" i="3" s="1"/>
  <c r="WEU23" i="3" s="1"/>
  <c r="WEV23" i="3" s="1"/>
  <c r="WEW23" i="3" s="1"/>
  <c r="WEX23" i="3" s="1"/>
  <c r="WEY23" i="3" s="1"/>
  <c r="WEZ23" i="3" s="1"/>
  <c r="WFA23" i="3" s="1"/>
  <c r="WFB23" i="3" s="1"/>
  <c r="WFC23" i="3" s="1"/>
  <c r="WFD23" i="3" s="1"/>
  <c r="WFE23" i="3" s="1"/>
  <c r="WFF23" i="3" s="1"/>
  <c r="WFG23" i="3" s="1"/>
  <c r="WFH23" i="3" s="1"/>
  <c r="WFI23" i="3" s="1"/>
  <c r="WFJ23" i="3" s="1"/>
  <c r="WFK23" i="3" s="1"/>
  <c r="WFL23" i="3" s="1"/>
  <c r="WFM23" i="3" s="1"/>
  <c r="WFN23" i="3" s="1"/>
  <c r="WFO23" i="3" s="1"/>
  <c r="WFP23" i="3" s="1"/>
  <c r="WFQ23" i="3" s="1"/>
  <c r="WFR23" i="3" s="1"/>
  <c r="WFS23" i="3" s="1"/>
  <c r="WFT23" i="3" s="1"/>
  <c r="WFU23" i="3" s="1"/>
  <c r="WFV23" i="3" s="1"/>
  <c r="WFW23" i="3" s="1"/>
  <c r="WFX23" i="3" s="1"/>
  <c r="WFY23" i="3" s="1"/>
  <c r="WFZ23" i="3" s="1"/>
  <c r="WGA23" i="3" s="1"/>
  <c r="WGB23" i="3" s="1"/>
  <c r="WGC23" i="3" s="1"/>
  <c r="WGD23" i="3" s="1"/>
  <c r="WGE23" i="3" s="1"/>
  <c r="WGF23" i="3" s="1"/>
  <c r="WGG23" i="3" s="1"/>
  <c r="WGH23" i="3" s="1"/>
  <c r="WGI23" i="3" s="1"/>
  <c r="WGJ23" i="3" s="1"/>
  <c r="WGK23" i="3" s="1"/>
  <c r="WGL23" i="3" s="1"/>
  <c r="WGM23" i="3" s="1"/>
  <c r="WGN23" i="3" s="1"/>
  <c r="WGO23" i="3" s="1"/>
  <c r="WGP23" i="3" s="1"/>
  <c r="WGQ23" i="3" s="1"/>
  <c r="WGR23" i="3" s="1"/>
  <c r="WGS23" i="3" s="1"/>
  <c r="WGT23" i="3" s="1"/>
  <c r="WGU23" i="3" s="1"/>
  <c r="WGV23" i="3" s="1"/>
  <c r="WGW23" i="3" s="1"/>
  <c r="WGX23" i="3" s="1"/>
  <c r="WGY23" i="3" s="1"/>
  <c r="WGZ23" i="3" s="1"/>
  <c r="WHA23" i="3" s="1"/>
  <c r="WHB23" i="3" s="1"/>
  <c r="WHC23" i="3" s="1"/>
  <c r="WHD23" i="3" s="1"/>
  <c r="WHE23" i="3" s="1"/>
  <c r="WHF23" i="3" s="1"/>
  <c r="WHG23" i="3" s="1"/>
  <c r="WHH23" i="3" s="1"/>
  <c r="WHI23" i="3" s="1"/>
  <c r="WHJ23" i="3" s="1"/>
  <c r="WHK23" i="3" s="1"/>
  <c r="WHL23" i="3" s="1"/>
  <c r="WHM23" i="3" s="1"/>
  <c r="WHN23" i="3" s="1"/>
  <c r="WHO23" i="3" s="1"/>
  <c r="WHP23" i="3" s="1"/>
  <c r="WHQ23" i="3" s="1"/>
  <c r="WHR23" i="3" s="1"/>
  <c r="WHS23" i="3" s="1"/>
  <c r="WHT23" i="3" s="1"/>
  <c r="WHU23" i="3" s="1"/>
  <c r="WHV23" i="3" s="1"/>
  <c r="WHW23" i="3" s="1"/>
  <c r="WHX23" i="3" s="1"/>
  <c r="WHY23" i="3" s="1"/>
  <c r="WHZ23" i="3" s="1"/>
  <c r="WIA23" i="3" s="1"/>
  <c r="WIB23" i="3" s="1"/>
  <c r="WIC23" i="3" s="1"/>
  <c r="WID23" i="3" s="1"/>
  <c r="WIE23" i="3" s="1"/>
  <c r="WIF23" i="3" s="1"/>
  <c r="WIG23" i="3" s="1"/>
  <c r="WIH23" i="3" s="1"/>
  <c r="WII23" i="3" s="1"/>
  <c r="WIJ23" i="3" s="1"/>
  <c r="WIK23" i="3" s="1"/>
  <c r="WIL23" i="3" s="1"/>
  <c r="WIM23" i="3" s="1"/>
  <c r="WIN23" i="3" s="1"/>
  <c r="WIO23" i="3" s="1"/>
  <c r="WIP23" i="3" s="1"/>
  <c r="WIQ23" i="3" s="1"/>
  <c r="WIR23" i="3" s="1"/>
  <c r="WIS23" i="3" s="1"/>
  <c r="WIT23" i="3" s="1"/>
  <c r="WIU23" i="3" s="1"/>
  <c r="WIV23" i="3" s="1"/>
  <c r="WIW23" i="3" s="1"/>
  <c r="WIX23" i="3" s="1"/>
  <c r="WIY23" i="3" s="1"/>
  <c r="WIZ23" i="3" s="1"/>
  <c r="WJA23" i="3" s="1"/>
  <c r="WJB23" i="3" s="1"/>
  <c r="WJC23" i="3" s="1"/>
  <c r="WJD23" i="3" s="1"/>
  <c r="WJE23" i="3" s="1"/>
  <c r="WJF23" i="3" s="1"/>
  <c r="WJG23" i="3" s="1"/>
  <c r="WJH23" i="3" s="1"/>
  <c r="WJI23" i="3" s="1"/>
  <c r="WJJ23" i="3" s="1"/>
  <c r="WJK23" i="3" s="1"/>
  <c r="WJL23" i="3" s="1"/>
  <c r="WJM23" i="3" s="1"/>
  <c r="WJN23" i="3" s="1"/>
  <c r="WJO23" i="3" s="1"/>
  <c r="WJP23" i="3" s="1"/>
  <c r="WJQ23" i="3" s="1"/>
  <c r="WJR23" i="3" s="1"/>
  <c r="WJS23" i="3" s="1"/>
  <c r="WJT23" i="3" s="1"/>
  <c r="WJU23" i="3" s="1"/>
  <c r="WJV23" i="3" s="1"/>
  <c r="WJW23" i="3" s="1"/>
  <c r="WJX23" i="3" s="1"/>
  <c r="WJY23" i="3" s="1"/>
  <c r="WJZ23" i="3" s="1"/>
  <c r="WKA23" i="3" s="1"/>
  <c r="WKB23" i="3" s="1"/>
  <c r="WKC23" i="3" s="1"/>
  <c r="WKD23" i="3" s="1"/>
  <c r="WKE23" i="3" s="1"/>
  <c r="WKF23" i="3" s="1"/>
  <c r="WKG23" i="3" s="1"/>
  <c r="WKH23" i="3" s="1"/>
  <c r="WKI23" i="3" s="1"/>
  <c r="WKJ23" i="3" s="1"/>
  <c r="WKK23" i="3" s="1"/>
  <c r="WKL23" i="3" s="1"/>
  <c r="WKM23" i="3" s="1"/>
  <c r="WKN23" i="3" s="1"/>
  <c r="WKO23" i="3" s="1"/>
  <c r="WKP23" i="3" s="1"/>
  <c r="WKQ23" i="3" s="1"/>
  <c r="WKR23" i="3" s="1"/>
  <c r="WKS23" i="3" s="1"/>
  <c r="WKT23" i="3" s="1"/>
  <c r="WKU23" i="3" s="1"/>
  <c r="WKV23" i="3" s="1"/>
  <c r="WKW23" i="3" s="1"/>
  <c r="WKX23" i="3" s="1"/>
  <c r="WKY23" i="3" s="1"/>
  <c r="WKZ23" i="3" s="1"/>
  <c r="WLA23" i="3" s="1"/>
  <c r="WLB23" i="3" s="1"/>
  <c r="WLC23" i="3" s="1"/>
  <c r="WLD23" i="3" s="1"/>
  <c r="WLE23" i="3" s="1"/>
  <c r="WLF23" i="3" s="1"/>
  <c r="WLG23" i="3" s="1"/>
  <c r="WLH23" i="3" s="1"/>
  <c r="WLI23" i="3" s="1"/>
  <c r="WLJ23" i="3" s="1"/>
  <c r="WLK23" i="3" s="1"/>
  <c r="WLL23" i="3" s="1"/>
  <c r="WLM23" i="3" s="1"/>
  <c r="WLN23" i="3" s="1"/>
  <c r="WLO23" i="3" s="1"/>
  <c r="WLP23" i="3" s="1"/>
  <c r="WLQ23" i="3" s="1"/>
  <c r="WLR23" i="3" s="1"/>
  <c r="WLS23" i="3" s="1"/>
  <c r="WLT23" i="3" s="1"/>
  <c r="WLU23" i="3" s="1"/>
  <c r="WLV23" i="3" s="1"/>
  <c r="WLW23" i="3" s="1"/>
  <c r="WLX23" i="3" s="1"/>
  <c r="WLY23" i="3" s="1"/>
  <c r="WLZ23" i="3" s="1"/>
  <c r="WMA23" i="3" s="1"/>
  <c r="WMB23" i="3" s="1"/>
  <c r="WMC23" i="3" s="1"/>
  <c r="WMD23" i="3" s="1"/>
  <c r="WME23" i="3" s="1"/>
  <c r="WMF23" i="3" s="1"/>
  <c r="WMG23" i="3" s="1"/>
  <c r="WMH23" i="3" s="1"/>
  <c r="WMI23" i="3" s="1"/>
  <c r="WMJ23" i="3" s="1"/>
  <c r="WMK23" i="3" s="1"/>
  <c r="WML23" i="3" s="1"/>
  <c r="WMM23" i="3" s="1"/>
  <c r="WMN23" i="3" s="1"/>
  <c r="WMO23" i="3" s="1"/>
  <c r="WMP23" i="3" s="1"/>
  <c r="WMQ23" i="3" s="1"/>
  <c r="WMR23" i="3" s="1"/>
  <c r="WMS23" i="3" s="1"/>
  <c r="WMT23" i="3" s="1"/>
  <c r="WMU23" i="3" s="1"/>
  <c r="WMV23" i="3" s="1"/>
  <c r="WMW23" i="3" s="1"/>
  <c r="WMX23" i="3" s="1"/>
  <c r="WMY23" i="3" s="1"/>
  <c r="WMZ23" i="3" s="1"/>
  <c r="WNA23" i="3" s="1"/>
  <c r="WNB23" i="3" s="1"/>
  <c r="WNC23" i="3" s="1"/>
  <c r="WND23" i="3" s="1"/>
  <c r="WNE23" i="3" s="1"/>
  <c r="WNF23" i="3" s="1"/>
  <c r="WNG23" i="3" s="1"/>
  <c r="WNH23" i="3" s="1"/>
  <c r="WNI23" i="3" s="1"/>
  <c r="WNJ23" i="3" s="1"/>
  <c r="WNK23" i="3" s="1"/>
  <c r="WNL23" i="3" s="1"/>
  <c r="WNM23" i="3" s="1"/>
  <c r="WNN23" i="3" s="1"/>
  <c r="WNO23" i="3" s="1"/>
  <c r="WNP23" i="3" s="1"/>
  <c r="WNQ23" i="3" s="1"/>
  <c r="WNR23" i="3" s="1"/>
  <c r="WNS23" i="3" s="1"/>
  <c r="WNT23" i="3" s="1"/>
  <c r="WNU23" i="3" s="1"/>
  <c r="WNV23" i="3" s="1"/>
  <c r="WNW23" i="3" s="1"/>
  <c r="WNX23" i="3" s="1"/>
  <c r="WNY23" i="3" s="1"/>
  <c r="WNZ23" i="3" s="1"/>
  <c r="WOA23" i="3" s="1"/>
  <c r="WOB23" i="3" s="1"/>
  <c r="WOC23" i="3" s="1"/>
  <c r="WOD23" i="3" s="1"/>
  <c r="WOE23" i="3" s="1"/>
  <c r="WOF23" i="3" s="1"/>
  <c r="WOG23" i="3" s="1"/>
  <c r="WOH23" i="3" s="1"/>
  <c r="WOI23" i="3" s="1"/>
  <c r="WOJ23" i="3" s="1"/>
  <c r="WOK23" i="3" s="1"/>
  <c r="WOL23" i="3" s="1"/>
  <c r="WOM23" i="3" s="1"/>
  <c r="WON23" i="3" s="1"/>
  <c r="WOO23" i="3" s="1"/>
  <c r="WOP23" i="3" s="1"/>
  <c r="WOQ23" i="3" s="1"/>
  <c r="WOR23" i="3" s="1"/>
  <c r="WOS23" i="3" s="1"/>
  <c r="WOT23" i="3" s="1"/>
  <c r="WOU23" i="3" s="1"/>
  <c r="WOV23" i="3" s="1"/>
  <c r="WOW23" i="3" s="1"/>
  <c r="WOX23" i="3" s="1"/>
  <c r="WOY23" i="3" s="1"/>
  <c r="WOZ23" i="3" s="1"/>
  <c r="WPA23" i="3" s="1"/>
  <c r="WPB23" i="3" s="1"/>
  <c r="WPC23" i="3" s="1"/>
  <c r="WPD23" i="3" s="1"/>
  <c r="WPE23" i="3" s="1"/>
  <c r="WPF23" i="3" s="1"/>
  <c r="WPG23" i="3" s="1"/>
  <c r="WPH23" i="3" s="1"/>
  <c r="WPI23" i="3" s="1"/>
  <c r="WPJ23" i="3" s="1"/>
  <c r="WPK23" i="3" s="1"/>
  <c r="WPL23" i="3" s="1"/>
  <c r="WPM23" i="3" s="1"/>
  <c r="WPN23" i="3" s="1"/>
  <c r="WPO23" i="3" s="1"/>
  <c r="WPP23" i="3" s="1"/>
  <c r="WPQ23" i="3" s="1"/>
  <c r="WPR23" i="3" s="1"/>
  <c r="WPS23" i="3" s="1"/>
  <c r="WPT23" i="3" s="1"/>
  <c r="WPU23" i="3" s="1"/>
  <c r="WPV23" i="3" s="1"/>
  <c r="WPW23" i="3" s="1"/>
  <c r="WPX23" i="3" s="1"/>
  <c r="WPY23" i="3" s="1"/>
  <c r="WPZ23" i="3" s="1"/>
  <c r="WQA23" i="3" s="1"/>
  <c r="WQB23" i="3" s="1"/>
  <c r="WQC23" i="3" s="1"/>
  <c r="WQD23" i="3" s="1"/>
  <c r="WQE23" i="3" s="1"/>
  <c r="WQF23" i="3" s="1"/>
  <c r="WQG23" i="3" s="1"/>
  <c r="WQH23" i="3" s="1"/>
  <c r="WQI23" i="3" s="1"/>
  <c r="WQJ23" i="3" s="1"/>
  <c r="WQK23" i="3" s="1"/>
  <c r="WQL23" i="3" s="1"/>
  <c r="WQM23" i="3" s="1"/>
  <c r="WQN23" i="3" s="1"/>
  <c r="WQO23" i="3" s="1"/>
  <c r="WQP23" i="3" s="1"/>
  <c r="WQQ23" i="3" s="1"/>
  <c r="WQR23" i="3" s="1"/>
  <c r="WQS23" i="3" s="1"/>
  <c r="WQT23" i="3" s="1"/>
  <c r="WQU23" i="3" s="1"/>
  <c r="WQV23" i="3" s="1"/>
  <c r="WQW23" i="3" s="1"/>
  <c r="WQX23" i="3" s="1"/>
  <c r="WQY23" i="3" s="1"/>
  <c r="WQZ23" i="3" s="1"/>
  <c r="WRA23" i="3" s="1"/>
  <c r="WRB23" i="3" s="1"/>
  <c r="WRC23" i="3" s="1"/>
  <c r="WRD23" i="3" s="1"/>
  <c r="WRE23" i="3" s="1"/>
  <c r="WRF23" i="3" s="1"/>
  <c r="WRG23" i="3" s="1"/>
  <c r="WRH23" i="3" s="1"/>
  <c r="WRI23" i="3" s="1"/>
  <c r="WRJ23" i="3" s="1"/>
  <c r="WRK23" i="3" s="1"/>
  <c r="WRL23" i="3" s="1"/>
  <c r="WRM23" i="3" s="1"/>
  <c r="WRN23" i="3" s="1"/>
  <c r="WRO23" i="3" s="1"/>
  <c r="WRP23" i="3" s="1"/>
  <c r="WRQ23" i="3" s="1"/>
  <c r="WRR23" i="3" s="1"/>
  <c r="WRS23" i="3" s="1"/>
  <c r="WRT23" i="3" s="1"/>
  <c r="WRU23" i="3" s="1"/>
  <c r="WRV23" i="3" s="1"/>
  <c r="WRW23" i="3" s="1"/>
  <c r="WRX23" i="3" s="1"/>
  <c r="WRY23" i="3" s="1"/>
  <c r="WRZ23" i="3" s="1"/>
  <c r="WSA23" i="3" s="1"/>
  <c r="WSB23" i="3" s="1"/>
  <c r="WSC23" i="3" s="1"/>
  <c r="WSD23" i="3" s="1"/>
  <c r="WSE23" i="3" s="1"/>
  <c r="WSF23" i="3" s="1"/>
  <c r="WSG23" i="3" s="1"/>
  <c r="WSH23" i="3" s="1"/>
  <c r="WSI23" i="3" s="1"/>
  <c r="WSJ23" i="3" s="1"/>
  <c r="WSK23" i="3" s="1"/>
  <c r="WSL23" i="3" s="1"/>
  <c r="WSM23" i="3" s="1"/>
  <c r="WSN23" i="3" s="1"/>
  <c r="WSO23" i="3" s="1"/>
  <c r="WSP23" i="3" s="1"/>
  <c r="WSQ23" i="3" s="1"/>
  <c r="WSR23" i="3" s="1"/>
  <c r="WSS23" i="3" s="1"/>
  <c r="WST23" i="3" s="1"/>
  <c r="WSU23" i="3" s="1"/>
  <c r="WSV23" i="3" s="1"/>
  <c r="WSW23" i="3" s="1"/>
  <c r="WSX23" i="3" s="1"/>
  <c r="WSY23" i="3" s="1"/>
  <c r="WSZ23" i="3" s="1"/>
  <c r="WTA23" i="3" s="1"/>
  <c r="WTB23" i="3" s="1"/>
  <c r="WTC23" i="3" s="1"/>
  <c r="WTD23" i="3" s="1"/>
  <c r="WTE23" i="3" s="1"/>
  <c r="WTF23" i="3" s="1"/>
  <c r="WTG23" i="3" s="1"/>
  <c r="WTH23" i="3" s="1"/>
  <c r="WTI23" i="3" s="1"/>
  <c r="WTJ23" i="3" s="1"/>
  <c r="WTK23" i="3" s="1"/>
  <c r="WTL23" i="3" s="1"/>
  <c r="WTM23" i="3" s="1"/>
  <c r="WTN23" i="3" s="1"/>
  <c r="WTO23" i="3" s="1"/>
  <c r="WTP23" i="3" s="1"/>
  <c r="WTQ23" i="3" s="1"/>
  <c r="WTR23" i="3" s="1"/>
  <c r="WTS23" i="3" s="1"/>
  <c r="WTT23" i="3" s="1"/>
  <c r="WTU23" i="3" s="1"/>
  <c r="WTV23" i="3" s="1"/>
  <c r="WTW23" i="3" s="1"/>
  <c r="WTX23" i="3" s="1"/>
  <c r="WTY23" i="3" s="1"/>
  <c r="WTZ23" i="3" s="1"/>
  <c r="WUA23" i="3" s="1"/>
  <c r="WUB23" i="3" s="1"/>
  <c r="WUC23" i="3" s="1"/>
  <c r="WUD23" i="3" s="1"/>
  <c r="WUE23" i="3" s="1"/>
  <c r="WUF23" i="3" s="1"/>
  <c r="WUG23" i="3" s="1"/>
  <c r="WUH23" i="3" s="1"/>
  <c r="WUI23" i="3" s="1"/>
  <c r="WUJ23" i="3" s="1"/>
  <c r="WUK23" i="3" s="1"/>
  <c r="WUL23" i="3" s="1"/>
  <c r="WUM23" i="3" s="1"/>
  <c r="WUN23" i="3" s="1"/>
  <c r="WUO23" i="3" s="1"/>
  <c r="WUP23" i="3" s="1"/>
  <c r="WUQ23" i="3" s="1"/>
  <c r="WUR23" i="3" s="1"/>
  <c r="WUS23" i="3" s="1"/>
  <c r="WUT23" i="3" s="1"/>
  <c r="WUU23" i="3" s="1"/>
  <c r="WUV23" i="3" s="1"/>
  <c r="WUW23" i="3" s="1"/>
  <c r="WUX23" i="3" s="1"/>
  <c r="WUY23" i="3" s="1"/>
  <c r="WUZ23" i="3" s="1"/>
  <c r="WVA23" i="3" s="1"/>
  <c r="WVB23" i="3" s="1"/>
  <c r="WVC23" i="3" s="1"/>
  <c r="WVD23" i="3" s="1"/>
  <c r="WVE23" i="3" s="1"/>
  <c r="WVF23" i="3" s="1"/>
  <c r="WVG23" i="3" s="1"/>
  <c r="WVH23" i="3" s="1"/>
  <c r="WVI23" i="3" s="1"/>
  <c r="WVJ23" i="3" s="1"/>
  <c r="WVK23" i="3" s="1"/>
  <c r="WVL23" i="3" s="1"/>
  <c r="WVM23" i="3" s="1"/>
  <c r="WVN23" i="3" s="1"/>
  <c r="WVO23" i="3" s="1"/>
  <c r="WVP23" i="3" s="1"/>
  <c r="WVQ23" i="3" s="1"/>
  <c r="WVR23" i="3" s="1"/>
  <c r="WVS23" i="3" s="1"/>
  <c r="WVT23" i="3" s="1"/>
  <c r="WVU23" i="3" s="1"/>
  <c r="WVV23" i="3" s="1"/>
  <c r="WVW23" i="3" s="1"/>
  <c r="WVX23" i="3" s="1"/>
  <c r="WVY23" i="3" s="1"/>
  <c r="WVZ23" i="3" s="1"/>
  <c r="WWA23" i="3" s="1"/>
  <c r="WWB23" i="3" s="1"/>
  <c r="WWC23" i="3" s="1"/>
  <c r="WWD23" i="3" s="1"/>
  <c r="WWE23" i="3" s="1"/>
  <c r="WWF23" i="3" s="1"/>
  <c r="WWG23" i="3" s="1"/>
  <c r="WWH23" i="3" s="1"/>
  <c r="WWI23" i="3" s="1"/>
  <c r="WWJ23" i="3" s="1"/>
  <c r="WWK23" i="3" s="1"/>
  <c r="WWL23" i="3" s="1"/>
  <c r="WWM23" i="3" s="1"/>
  <c r="WWN23" i="3" s="1"/>
  <c r="WWO23" i="3" s="1"/>
  <c r="WWP23" i="3" s="1"/>
  <c r="WWQ23" i="3" s="1"/>
  <c r="WWR23" i="3" s="1"/>
  <c r="WWS23" i="3" s="1"/>
  <c r="WWT23" i="3" s="1"/>
  <c r="WWU23" i="3" s="1"/>
  <c r="WWV23" i="3" s="1"/>
  <c r="WWW23" i="3" s="1"/>
  <c r="WWX23" i="3" s="1"/>
  <c r="WWY23" i="3" s="1"/>
  <c r="WWZ23" i="3" s="1"/>
  <c r="WXA23" i="3" s="1"/>
  <c r="WXB23" i="3" s="1"/>
  <c r="WXC23" i="3" s="1"/>
  <c r="WXD23" i="3" s="1"/>
  <c r="WXE23" i="3" s="1"/>
  <c r="WXF23" i="3" s="1"/>
  <c r="WXG23" i="3" s="1"/>
  <c r="WXH23" i="3" s="1"/>
  <c r="WXI23" i="3" s="1"/>
  <c r="WXJ23" i="3" s="1"/>
  <c r="WXK23" i="3" s="1"/>
  <c r="WXL23" i="3" s="1"/>
  <c r="WXM23" i="3" s="1"/>
  <c r="WXN23" i="3" s="1"/>
  <c r="WXO23" i="3" s="1"/>
  <c r="WXP23" i="3" s="1"/>
  <c r="WXQ23" i="3" s="1"/>
  <c r="WXR23" i="3" s="1"/>
  <c r="WXS23" i="3" s="1"/>
  <c r="WXT23" i="3" s="1"/>
  <c r="WXU23" i="3" s="1"/>
  <c r="WXV23" i="3" s="1"/>
  <c r="WXW23" i="3" s="1"/>
  <c r="WXX23" i="3" s="1"/>
  <c r="WXY23" i="3" s="1"/>
  <c r="WXZ23" i="3" s="1"/>
  <c r="WYA23" i="3" s="1"/>
  <c r="WYB23" i="3" s="1"/>
  <c r="WYC23" i="3" s="1"/>
  <c r="WYD23" i="3" s="1"/>
  <c r="WYE23" i="3" s="1"/>
  <c r="WYF23" i="3" s="1"/>
  <c r="WYG23" i="3" s="1"/>
  <c r="WYH23" i="3" s="1"/>
  <c r="WYI23" i="3" s="1"/>
  <c r="WYJ23" i="3" s="1"/>
  <c r="WYK23" i="3" s="1"/>
  <c r="WYL23" i="3" s="1"/>
  <c r="WYM23" i="3" s="1"/>
  <c r="WYN23" i="3" s="1"/>
  <c r="WYO23" i="3" s="1"/>
  <c r="WYP23" i="3" s="1"/>
  <c r="WYQ23" i="3" s="1"/>
  <c r="WYR23" i="3" s="1"/>
  <c r="WYS23" i="3" s="1"/>
  <c r="WYT23" i="3" s="1"/>
  <c r="WYU23" i="3" s="1"/>
  <c r="WYV23" i="3" s="1"/>
  <c r="WYW23" i="3" s="1"/>
  <c r="WYX23" i="3" s="1"/>
  <c r="WYY23" i="3" s="1"/>
  <c r="WYZ23" i="3" s="1"/>
  <c r="WZA23" i="3" s="1"/>
  <c r="WZB23" i="3" s="1"/>
  <c r="WZC23" i="3" s="1"/>
  <c r="WZD23" i="3" s="1"/>
  <c r="WZE23" i="3" s="1"/>
  <c r="WZF23" i="3" s="1"/>
  <c r="WZG23" i="3" s="1"/>
  <c r="WZH23" i="3" s="1"/>
  <c r="WZI23" i="3" s="1"/>
  <c r="WZJ23" i="3" s="1"/>
  <c r="WZK23" i="3" s="1"/>
  <c r="WZL23" i="3" s="1"/>
  <c r="WZM23" i="3" s="1"/>
  <c r="WZN23" i="3" s="1"/>
  <c r="WZO23" i="3" s="1"/>
  <c r="WZP23" i="3" s="1"/>
  <c r="WZQ23" i="3" s="1"/>
  <c r="WZR23" i="3" s="1"/>
  <c r="WZS23" i="3" s="1"/>
  <c r="WZT23" i="3" s="1"/>
  <c r="WZU23" i="3" s="1"/>
  <c r="WZV23" i="3" s="1"/>
  <c r="WZW23" i="3" s="1"/>
  <c r="WZX23" i="3" s="1"/>
  <c r="WZY23" i="3" s="1"/>
  <c r="WZZ23" i="3" s="1"/>
  <c r="XAA23" i="3" s="1"/>
  <c r="XAB23" i="3" s="1"/>
  <c r="XAC23" i="3" s="1"/>
  <c r="XAD23" i="3" s="1"/>
  <c r="XAE23" i="3" s="1"/>
  <c r="XAF23" i="3" s="1"/>
  <c r="XAG23" i="3" s="1"/>
  <c r="XAH23" i="3" s="1"/>
  <c r="XAI23" i="3" s="1"/>
  <c r="XAJ23" i="3" s="1"/>
  <c r="XAK23" i="3" s="1"/>
  <c r="XAL23" i="3" s="1"/>
  <c r="XAM23" i="3" s="1"/>
  <c r="XAN23" i="3" s="1"/>
  <c r="XAO23" i="3" s="1"/>
  <c r="XAP23" i="3" s="1"/>
  <c r="XAQ23" i="3" s="1"/>
  <c r="XAR23" i="3" s="1"/>
  <c r="XAS23" i="3" s="1"/>
  <c r="XAT23" i="3" s="1"/>
  <c r="XAU23" i="3" s="1"/>
  <c r="XAV23" i="3" s="1"/>
  <c r="XAW23" i="3" s="1"/>
  <c r="XAX23" i="3" s="1"/>
  <c r="XAY23" i="3" s="1"/>
  <c r="XAZ23" i="3" s="1"/>
  <c r="XBA23" i="3" s="1"/>
  <c r="XBB23" i="3" s="1"/>
  <c r="XBC23" i="3" s="1"/>
  <c r="XBD23" i="3" s="1"/>
  <c r="XBE23" i="3" s="1"/>
  <c r="XBF23" i="3" s="1"/>
  <c r="XBG23" i="3" s="1"/>
  <c r="XBH23" i="3" s="1"/>
  <c r="XBI23" i="3" s="1"/>
  <c r="XBJ23" i="3" s="1"/>
  <c r="XBK23" i="3" s="1"/>
  <c r="XBL23" i="3" s="1"/>
  <c r="XBM23" i="3" s="1"/>
  <c r="XBN23" i="3" s="1"/>
  <c r="XBO23" i="3" s="1"/>
  <c r="XBP23" i="3" s="1"/>
  <c r="XBQ23" i="3" s="1"/>
  <c r="XBR23" i="3" s="1"/>
  <c r="XBS23" i="3" s="1"/>
  <c r="XBT23" i="3" s="1"/>
  <c r="XBU23" i="3" s="1"/>
  <c r="XBV23" i="3" s="1"/>
  <c r="XBW23" i="3" s="1"/>
  <c r="XBX23" i="3" s="1"/>
  <c r="XBY23" i="3" s="1"/>
  <c r="XBZ23" i="3" s="1"/>
  <c r="XCA23" i="3" s="1"/>
  <c r="XCB23" i="3" s="1"/>
  <c r="XCC23" i="3" s="1"/>
  <c r="XCD23" i="3" s="1"/>
  <c r="XCE23" i="3" s="1"/>
  <c r="XCF23" i="3" s="1"/>
  <c r="XCG23" i="3" s="1"/>
  <c r="XCH23" i="3" s="1"/>
  <c r="XCI23" i="3" s="1"/>
  <c r="XCJ23" i="3" s="1"/>
  <c r="XCK23" i="3" s="1"/>
  <c r="XCL23" i="3" s="1"/>
  <c r="XCM23" i="3" s="1"/>
  <c r="XCN23" i="3" s="1"/>
  <c r="XCO23" i="3" s="1"/>
  <c r="XCP23" i="3" s="1"/>
  <c r="XCQ23" i="3" s="1"/>
  <c r="XCR23" i="3" s="1"/>
  <c r="XCS23" i="3" s="1"/>
  <c r="XCT23" i="3" s="1"/>
  <c r="XCU23" i="3" s="1"/>
  <c r="XCV23" i="3" s="1"/>
  <c r="XCW23" i="3" s="1"/>
  <c r="XCX23" i="3" s="1"/>
  <c r="XCY23" i="3" s="1"/>
  <c r="XCZ23" i="3" s="1"/>
  <c r="XDA23" i="3" s="1"/>
  <c r="XDB23" i="3" s="1"/>
  <c r="XDC23" i="3" s="1"/>
  <c r="XDD23" i="3" s="1"/>
  <c r="XDE23" i="3" s="1"/>
  <c r="XDF23" i="3" s="1"/>
  <c r="XDG23" i="3" s="1"/>
  <c r="XDH23" i="3" s="1"/>
  <c r="XDI23" i="3" s="1"/>
  <c r="XDJ23" i="3" s="1"/>
  <c r="XDK23" i="3" s="1"/>
  <c r="XDL23" i="3" s="1"/>
  <c r="XDM23" i="3" s="1"/>
  <c r="XDN23" i="3" s="1"/>
  <c r="XDO23" i="3" s="1"/>
  <c r="XDP23" i="3" s="1"/>
  <c r="XDQ23" i="3" s="1"/>
  <c r="XDR23" i="3" s="1"/>
  <c r="XDS23" i="3" s="1"/>
  <c r="XDT23" i="3" s="1"/>
  <c r="XDU23" i="3" s="1"/>
  <c r="XDV23" i="3" s="1"/>
  <c r="XDW23" i="3" s="1"/>
  <c r="XDX23" i="3" s="1"/>
  <c r="XDY23" i="3" s="1"/>
  <c r="XDZ23" i="3" s="1"/>
  <c r="XEA23" i="3" s="1"/>
  <c r="XEB23" i="3" s="1"/>
  <c r="XEC23" i="3" s="1"/>
  <c r="XED23" i="3" s="1"/>
  <c r="XEE23" i="3" s="1"/>
  <c r="XEF23" i="3" s="1"/>
  <c r="XEG23" i="3" s="1"/>
  <c r="XEH23" i="3" s="1"/>
  <c r="XEI23" i="3" s="1"/>
  <c r="XEJ23" i="3" s="1"/>
  <c r="XEK23" i="3" s="1"/>
  <c r="XEL23" i="3" s="1"/>
  <c r="XEM23" i="3" s="1"/>
  <c r="XEN23" i="3" s="1"/>
  <c r="XEO23" i="3" s="1"/>
  <c r="XEP23" i="3" s="1"/>
  <c r="XEQ23" i="3" s="1"/>
  <c r="XER23" i="3" s="1"/>
  <c r="XES23" i="3" s="1"/>
  <c r="XET23" i="3" s="1"/>
  <c r="XEU23" i="3" s="1"/>
  <c r="XEV23" i="3" s="1"/>
  <c r="XEW23" i="3" s="1"/>
  <c r="XEX23" i="3" s="1"/>
  <c r="XEY23" i="3" s="1"/>
  <c r="XEZ23" i="3" s="1"/>
  <c r="XFA23" i="3" s="1"/>
  <c r="XFB23" i="3" s="1"/>
  <c r="XFC23" i="3" s="1"/>
  <c r="XFD23" i="3" s="1"/>
  <c r="CU1" i="5"/>
  <c r="CU19" i="5" s="1"/>
  <c r="BX28" i="5"/>
  <c r="BW14" i="5"/>
  <c r="BX14" i="5" l="1"/>
  <c r="BY28" i="5"/>
  <c r="BY14" i="5" l="1"/>
  <c r="BZ28" i="5"/>
  <c r="BZ14" i="5" l="1"/>
  <c r="CA28" i="5"/>
  <c r="CB28" i="5" l="1"/>
  <c r="CA14" i="5"/>
  <c r="CB14" i="5" l="1"/>
  <c r="CC28" i="5"/>
  <c r="CC14" i="5" l="1"/>
  <c r="CD28" i="5"/>
  <c r="CE28" i="5" l="1"/>
  <c r="CD14" i="5"/>
  <c r="CE14" i="5" l="1"/>
  <c r="CF28" i="5"/>
  <c r="CG28" i="5" l="1"/>
  <c r="CF14" i="5"/>
  <c r="CH28" i="5" l="1"/>
  <c r="CG14" i="5"/>
  <c r="CI28" i="5" l="1"/>
  <c r="CH14" i="5"/>
  <c r="CJ28" i="5" l="1"/>
  <c r="CI14" i="5"/>
  <c r="CK28" i="5" l="1"/>
  <c r="CJ14" i="5"/>
  <c r="CL28" i="5" l="1"/>
  <c r="CK14" i="5"/>
  <c r="F32" i="2"/>
  <c r="F33" i="2"/>
  <c r="G28" i="2" l="1"/>
  <c r="G27" i="2"/>
  <c r="G33" i="2" s="1"/>
  <c r="CL14" i="5"/>
  <c r="CM28" i="5"/>
  <c r="H27" i="2" l="1"/>
  <c r="CN28" i="5"/>
  <c r="CM14" i="5"/>
  <c r="G29" i="2"/>
  <c r="R10" i="5" s="1"/>
  <c r="G31" i="2"/>
  <c r="AE30" i="2" l="1"/>
  <c r="CL27" i="3" s="1"/>
  <c r="H30" i="2"/>
  <c r="U27" i="3" s="1"/>
  <c r="X30" i="2"/>
  <c r="BQ27" i="3" s="1"/>
  <c r="M30" i="2"/>
  <c r="AJ27" i="3" s="1"/>
  <c r="AC30" i="2"/>
  <c r="CF27" i="3" s="1"/>
  <c r="R30" i="2"/>
  <c r="AY27" i="3" s="1"/>
  <c r="AD30" i="2"/>
  <c r="CI27" i="3" s="1"/>
  <c r="O30" i="2"/>
  <c r="AP27" i="3" s="1"/>
  <c r="L30" i="2"/>
  <c r="AG27" i="3" s="1"/>
  <c r="AB30" i="2"/>
  <c r="CC27" i="3" s="1"/>
  <c r="Q30" i="2"/>
  <c r="AV27" i="3" s="1"/>
  <c r="AG30" i="2"/>
  <c r="CR27" i="3" s="1"/>
  <c r="V30" i="2"/>
  <c r="BK27" i="3" s="1"/>
  <c r="W30" i="2"/>
  <c r="BN27" i="3" s="1"/>
  <c r="AA30" i="2"/>
  <c r="BZ27" i="3" s="1"/>
  <c r="P30" i="2"/>
  <c r="AS27" i="3" s="1"/>
  <c r="AF30" i="2"/>
  <c r="CO27" i="3" s="1"/>
  <c r="U30" i="2"/>
  <c r="BH27" i="3" s="1"/>
  <c r="J30" i="2"/>
  <c r="AA27" i="3" s="1"/>
  <c r="Z30" i="2"/>
  <c r="BW27" i="3" s="1"/>
  <c r="S30" i="2"/>
  <c r="BB27" i="3" s="1"/>
  <c r="K30" i="2"/>
  <c r="AD27" i="3" s="1"/>
  <c r="T30" i="2"/>
  <c r="BE27" i="3" s="1"/>
  <c r="I30" i="2"/>
  <c r="X27" i="3" s="1"/>
  <c r="Y30" i="2"/>
  <c r="BT27" i="3" s="1"/>
  <c r="N30" i="2"/>
  <c r="AM27" i="3" s="1"/>
  <c r="H28" i="2"/>
  <c r="S10" i="5"/>
  <c r="T10" i="5" s="1"/>
  <c r="R26" i="5"/>
  <c r="H33" i="2"/>
  <c r="CO28" i="5"/>
  <c r="CN14" i="5"/>
  <c r="O22" i="5"/>
  <c r="O28" i="3"/>
  <c r="G32" i="2"/>
  <c r="H31" i="2" l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I27" i="2"/>
  <c r="I33" i="2" s="1"/>
  <c r="I28" i="2"/>
  <c r="CP28" i="5"/>
  <c r="CO14" i="5"/>
  <c r="P24" i="3"/>
  <c r="R11" i="5"/>
  <c r="O4" i="5"/>
  <c r="P28" i="3"/>
  <c r="H32" i="2"/>
  <c r="H29" i="2"/>
  <c r="U10" i="5" s="1"/>
  <c r="V10" i="5" s="1"/>
  <c r="W10" i="5" s="1"/>
  <c r="O5" i="5"/>
  <c r="O7" i="5" s="1"/>
  <c r="P22" i="5"/>
  <c r="J27" i="2" l="1"/>
  <c r="J28" i="2"/>
  <c r="CQ28" i="5"/>
  <c r="CP14" i="5"/>
  <c r="R12" i="5"/>
  <c r="S26" i="5"/>
  <c r="S11" i="5" s="1"/>
  <c r="P30" i="3"/>
  <c r="O6" i="5"/>
  <c r="I32" i="2"/>
  <c r="I29" i="2"/>
  <c r="X10" i="5" s="1"/>
  <c r="Y10" i="5" s="1"/>
  <c r="Z10" i="5" s="1"/>
  <c r="P5" i="5"/>
  <c r="P7" i="5" s="1"/>
  <c r="Q22" i="5"/>
  <c r="O26" i="3"/>
  <c r="O29" i="3"/>
  <c r="Q28" i="3"/>
  <c r="P4" i="5"/>
  <c r="J33" i="2"/>
  <c r="P29" i="3" l="1"/>
  <c r="Q25" i="3"/>
  <c r="K27" i="2"/>
  <c r="K33" i="2" s="1"/>
  <c r="K28" i="2"/>
  <c r="Q24" i="3"/>
  <c r="Q30" i="3" s="1"/>
  <c r="CR28" i="5"/>
  <c r="CR14" i="5" s="1"/>
  <c r="CQ14" i="5"/>
  <c r="S12" i="5"/>
  <c r="T26" i="5"/>
  <c r="T11" i="5" s="1"/>
  <c r="P6" i="5"/>
  <c r="J29" i="2"/>
  <c r="AA10" i="5" s="1"/>
  <c r="AB10" i="5" s="1"/>
  <c r="AC10" i="5" s="1"/>
  <c r="J32" i="2"/>
  <c r="Q5" i="5"/>
  <c r="Q7" i="5" s="1"/>
  <c r="R22" i="5"/>
  <c r="O9" i="5"/>
  <c r="O13" i="5" s="1"/>
  <c r="P26" i="3"/>
  <c r="R28" i="3"/>
  <c r="Q4" i="5"/>
  <c r="R24" i="3" l="1"/>
  <c r="R30" i="3"/>
  <c r="S24" i="3" s="1"/>
  <c r="S25" i="3" s="1"/>
  <c r="Q29" i="3"/>
  <c r="L27" i="2"/>
  <c r="L33" i="2" s="1"/>
  <c r="L28" i="2"/>
  <c r="T12" i="5"/>
  <c r="Q6" i="5"/>
  <c r="U26" i="5"/>
  <c r="R5" i="5"/>
  <c r="R7" i="5" s="1"/>
  <c r="S22" i="5"/>
  <c r="S28" i="3"/>
  <c r="R4" i="5"/>
  <c r="K32" i="2"/>
  <c r="K29" i="2"/>
  <c r="AD10" i="5" s="1"/>
  <c r="AE10" i="5" s="1"/>
  <c r="AF10" i="5" s="1"/>
  <c r="P9" i="5"/>
  <c r="P13" i="5" s="1"/>
  <c r="Q26" i="3"/>
  <c r="R25" i="3" l="1"/>
  <c r="R29" i="3" s="1"/>
  <c r="M27" i="2"/>
  <c r="M33" i="2" s="1"/>
  <c r="M28" i="2"/>
  <c r="S30" i="3"/>
  <c r="U11" i="5"/>
  <c r="R6" i="5"/>
  <c r="S4" i="5"/>
  <c r="T28" i="3"/>
  <c r="S5" i="5"/>
  <c r="S7" i="5" s="1"/>
  <c r="T22" i="5"/>
  <c r="Q9" i="5"/>
  <c r="Q13" i="5" s="1"/>
  <c r="L29" i="2"/>
  <c r="AG10" i="5" s="1"/>
  <c r="AH10" i="5" s="1"/>
  <c r="AI10" i="5" s="1"/>
  <c r="L32" i="2"/>
  <c r="S29" i="3" l="1"/>
  <c r="T25" i="3"/>
  <c r="T29" i="3" s="1"/>
  <c r="T24" i="3"/>
  <c r="T30" i="3" s="1"/>
  <c r="N27" i="2"/>
  <c r="N33" i="2" s="1"/>
  <c r="N28" i="2"/>
  <c r="U12" i="5"/>
  <c r="V26" i="5"/>
  <c r="R26" i="3"/>
  <c r="R9" i="5" s="1"/>
  <c r="R13" i="5" s="1"/>
  <c r="S6" i="5"/>
  <c r="T4" i="5"/>
  <c r="U28" i="3"/>
  <c r="T5" i="5"/>
  <c r="M32" i="2"/>
  <c r="M29" i="2"/>
  <c r="AJ10" i="5" s="1"/>
  <c r="AK10" i="5" s="1"/>
  <c r="AL10" i="5" s="1"/>
  <c r="T7" i="5" l="1"/>
  <c r="U22" i="5"/>
  <c r="U5" i="5" s="1"/>
  <c r="U24" i="3"/>
  <c r="O27" i="2"/>
  <c r="O33" i="2" s="1"/>
  <c r="O28" i="2"/>
  <c r="V11" i="5"/>
  <c r="S26" i="3"/>
  <c r="T26" i="3" s="1"/>
  <c r="T6" i="5"/>
  <c r="N32" i="2"/>
  <c r="N29" i="2"/>
  <c r="AM10" i="5" s="1"/>
  <c r="AN10" i="5" s="1"/>
  <c r="AO10" i="5" s="1"/>
  <c r="V28" i="3"/>
  <c r="U4" i="5"/>
  <c r="U7" i="5" l="1"/>
  <c r="V22" i="5"/>
  <c r="V5" i="5" s="1"/>
  <c r="U30" i="3"/>
  <c r="V25" i="3" s="1"/>
  <c r="P27" i="2"/>
  <c r="P33" i="2" s="1"/>
  <c r="P28" i="2"/>
  <c r="V12" i="5"/>
  <c r="W26" i="5"/>
  <c r="S9" i="5"/>
  <c r="S13" i="5" s="1"/>
  <c r="T9" i="5"/>
  <c r="T13" i="5" s="1"/>
  <c r="O32" i="2"/>
  <c r="O29" i="2"/>
  <c r="AP10" i="5" s="1"/>
  <c r="AQ10" i="5" s="1"/>
  <c r="AR10" i="5" s="1"/>
  <c r="U6" i="5"/>
  <c r="W28" i="3"/>
  <c r="V4" i="5"/>
  <c r="O37" i="2" l="1"/>
  <c r="V7" i="5"/>
  <c r="W22" i="5"/>
  <c r="V24" i="3"/>
  <c r="V30" i="3" s="1"/>
  <c r="W25" i="3" s="1"/>
  <c r="U25" i="3"/>
  <c r="U29" i="3" s="1"/>
  <c r="V29" i="3"/>
  <c r="Q27" i="2"/>
  <c r="Q33" i="2" s="1"/>
  <c r="Q28" i="2"/>
  <c r="W11" i="5"/>
  <c r="X26" i="5" s="1"/>
  <c r="Y26" i="5" s="1"/>
  <c r="Z26" i="5" s="1"/>
  <c r="V6" i="5"/>
  <c r="W4" i="5"/>
  <c r="X28" i="3"/>
  <c r="P29" i="2"/>
  <c r="AS10" i="5" s="1"/>
  <c r="AT10" i="5" s="1"/>
  <c r="AU10" i="5" s="1"/>
  <c r="P32" i="2"/>
  <c r="W5" i="5"/>
  <c r="P37" i="2" l="1"/>
  <c r="X22" i="5"/>
  <c r="Y22" i="5" s="1"/>
  <c r="Z22" i="5" s="1"/>
  <c r="W7" i="5"/>
  <c r="W24" i="3"/>
  <c r="W30" i="3" s="1"/>
  <c r="X24" i="3" s="1"/>
  <c r="U26" i="3"/>
  <c r="U9" i="5" s="1"/>
  <c r="U13" i="5" s="1"/>
  <c r="W29" i="3"/>
  <c r="R27" i="2"/>
  <c r="R33" i="2" s="1"/>
  <c r="R28" i="2"/>
  <c r="W12" i="5"/>
  <c r="W6" i="5"/>
  <c r="Q29" i="2"/>
  <c r="AV10" i="5" s="1"/>
  <c r="AW10" i="5" s="1"/>
  <c r="AX10" i="5" s="1"/>
  <c r="Q32" i="2"/>
  <c r="X4" i="5"/>
  <c r="Y28" i="3"/>
  <c r="Q37" i="2" l="1"/>
  <c r="X5" i="5"/>
  <c r="X7" i="5"/>
  <c r="Y5" i="5"/>
  <c r="V26" i="3"/>
  <c r="V9" i="5" s="1"/>
  <c r="V13" i="5" s="1"/>
  <c r="X30" i="3"/>
  <c r="Y25" i="3" s="1"/>
  <c r="S27" i="2"/>
  <c r="S33" i="2" s="1"/>
  <c r="S28" i="2"/>
  <c r="X11" i="5"/>
  <c r="R32" i="2"/>
  <c r="R29" i="2"/>
  <c r="AY10" i="5" s="1"/>
  <c r="AZ10" i="5" s="1"/>
  <c r="BA10" i="5" s="1"/>
  <c r="Z28" i="3"/>
  <c r="Y4" i="5"/>
  <c r="X6" i="5"/>
  <c r="R37" i="2" l="1"/>
  <c r="Y7" i="5"/>
  <c r="W26" i="3"/>
  <c r="W9" i="5" s="1"/>
  <c r="W13" i="5" s="1"/>
  <c r="Y24" i="3"/>
  <c r="Y30" i="3" s="1"/>
  <c r="Z24" i="3" s="1"/>
  <c r="Z30" i="3" s="1"/>
  <c r="X25" i="3"/>
  <c r="X29" i="3" s="1"/>
  <c r="Y29" i="3"/>
  <c r="T27" i="2"/>
  <c r="T33" i="2" s="1"/>
  <c r="T28" i="2"/>
  <c r="X12" i="5"/>
  <c r="S32" i="2"/>
  <c r="S29" i="2"/>
  <c r="BB10" i="5" s="1"/>
  <c r="BC10" i="5" s="1"/>
  <c r="BD10" i="5" s="1"/>
  <c r="Y6" i="5"/>
  <c r="Z4" i="5"/>
  <c r="AA28" i="3"/>
  <c r="S37" i="2" l="1"/>
  <c r="AE37" i="2"/>
  <c r="Z5" i="5"/>
  <c r="AA22" i="5" s="1"/>
  <c r="AB22" i="5" s="1"/>
  <c r="AC22" i="5" s="1"/>
  <c r="X26" i="3"/>
  <c r="X9" i="5" s="1"/>
  <c r="X13" i="5" s="1"/>
  <c r="Z25" i="3"/>
  <c r="Z29" i="3" s="1"/>
  <c r="AA24" i="3"/>
  <c r="AA30" i="3" s="1"/>
  <c r="AA25" i="3" s="1"/>
  <c r="AA29" i="3" s="1"/>
  <c r="U27" i="2"/>
  <c r="U33" i="2" s="1"/>
  <c r="U28" i="2"/>
  <c r="Y11" i="5"/>
  <c r="AB28" i="3"/>
  <c r="AA4" i="5"/>
  <c r="T32" i="2"/>
  <c r="V37" i="2" s="1"/>
  <c r="T29" i="2"/>
  <c r="BE10" i="5" s="1"/>
  <c r="BF10" i="5" s="1"/>
  <c r="BG10" i="5" s="1"/>
  <c r="W37" i="2" l="1"/>
  <c r="AB37" i="2"/>
  <c r="AC37" i="2"/>
  <c r="Z37" i="2"/>
  <c r="AD37" i="2"/>
  <c r="Y37" i="2"/>
  <c r="U37" i="2"/>
  <c r="AF37" i="2"/>
  <c r="X37" i="2"/>
  <c r="T37" i="2"/>
  <c r="AG37" i="2"/>
  <c r="AA37" i="2"/>
  <c r="Z7" i="5"/>
  <c r="Z6" i="5"/>
  <c r="Y26" i="3"/>
  <c r="Y9" i="5" s="1"/>
  <c r="Y13" i="5" s="1"/>
  <c r="AB24" i="3"/>
  <c r="AB30" i="3" s="1"/>
  <c r="AB25" i="3"/>
  <c r="V27" i="2"/>
  <c r="V33" i="2" s="1"/>
  <c r="V28" i="2"/>
  <c r="Y12" i="5"/>
  <c r="AB4" i="5"/>
  <c r="AC28" i="3"/>
  <c r="U29" i="2"/>
  <c r="BH10" i="5" s="1"/>
  <c r="BI10" i="5" s="1"/>
  <c r="BJ10" i="5" s="1"/>
  <c r="U32" i="2"/>
  <c r="AA5" i="5" l="1"/>
  <c r="Z26" i="3"/>
  <c r="AA26" i="3" s="1"/>
  <c r="AB26" i="3" s="1"/>
  <c r="AC24" i="3"/>
  <c r="AC30" i="3" s="1"/>
  <c r="AC25" i="3"/>
  <c r="AC29" i="3" s="1"/>
  <c r="AB29" i="3"/>
  <c r="W27" i="2"/>
  <c r="W33" i="2" s="1"/>
  <c r="W28" i="2"/>
  <c r="Z11" i="5"/>
  <c r="AA26" i="5" s="1"/>
  <c r="AB26" i="5" s="1"/>
  <c r="AC26" i="5" s="1"/>
  <c r="AD28" i="3"/>
  <c r="AC4" i="5"/>
  <c r="V32" i="2"/>
  <c r="V29" i="2"/>
  <c r="BK10" i="5" s="1"/>
  <c r="BL10" i="5" s="1"/>
  <c r="BM10" i="5" s="1"/>
  <c r="AA7" i="5" l="1"/>
  <c r="AA6" i="5"/>
  <c r="AA9" i="5"/>
  <c r="Z9" i="5"/>
  <c r="AD24" i="3"/>
  <c r="X27" i="2"/>
  <c r="X33" i="2" s="1"/>
  <c r="X28" i="2"/>
  <c r="Z13" i="5"/>
  <c r="Z12" i="5"/>
  <c r="W29" i="2"/>
  <c r="BN10" i="5" s="1"/>
  <c r="BO10" i="5" s="1"/>
  <c r="BP10" i="5" s="1"/>
  <c r="W32" i="2"/>
  <c r="AD4" i="5"/>
  <c r="AE28" i="3"/>
  <c r="AB9" i="5"/>
  <c r="AC26" i="3"/>
  <c r="AB5" i="5" l="1"/>
  <c r="AD30" i="3"/>
  <c r="AE25" i="3" s="1"/>
  <c r="Y27" i="2"/>
  <c r="Y33" i="2" s="1"/>
  <c r="Y28" i="2"/>
  <c r="AA11" i="5"/>
  <c r="AF28" i="3"/>
  <c r="AE4" i="5"/>
  <c r="AC9" i="5"/>
  <c r="X32" i="2"/>
  <c r="X29" i="2"/>
  <c r="BQ10" i="5" s="1"/>
  <c r="BR10" i="5" s="1"/>
  <c r="BS10" i="5" s="1"/>
  <c r="AB7" i="5" l="1"/>
  <c r="AB6" i="5"/>
  <c r="AE24" i="3"/>
  <c r="AE30" i="3" s="1"/>
  <c r="AF24" i="3" s="1"/>
  <c r="AF30" i="3" s="1"/>
  <c r="AD25" i="3"/>
  <c r="AD29" i="3" s="1"/>
  <c r="Z27" i="2"/>
  <c r="Z33" i="2" s="1"/>
  <c r="Z28" i="2"/>
  <c r="AE29" i="3"/>
  <c r="AA12" i="5"/>
  <c r="AA13" i="5"/>
  <c r="AG28" i="3"/>
  <c r="AF4" i="5"/>
  <c r="Y32" i="2"/>
  <c r="Y29" i="2"/>
  <c r="BT10" i="5" s="1"/>
  <c r="BU10" i="5" s="1"/>
  <c r="BV10" i="5" s="1"/>
  <c r="AD26" i="3" l="1"/>
  <c r="AC5" i="5"/>
  <c r="AD22" i="5" s="1"/>
  <c r="AE22" i="5" s="1"/>
  <c r="AF22" i="5" s="1"/>
  <c r="AF25" i="3"/>
  <c r="AF29" i="3" s="1"/>
  <c r="AG24" i="3"/>
  <c r="AG30" i="3" s="1"/>
  <c r="AA27" i="2"/>
  <c r="AA28" i="2"/>
  <c r="AB11" i="5"/>
  <c r="AH28" i="3"/>
  <c r="AG4" i="5"/>
  <c r="AA33" i="2"/>
  <c r="AE26" i="3"/>
  <c r="AD9" i="5"/>
  <c r="Z32" i="2"/>
  <c r="Z29" i="2"/>
  <c r="BW10" i="5" s="1"/>
  <c r="BX10" i="5" s="1"/>
  <c r="BY10" i="5" s="1"/>
  <c r="AC7" i="5" l="1"/>
  <c r="AC6" i="5"/>
  <c r="AH25" i="3"/>
  <c r="AG25" i="3"/>
  <c r="AG29" i="3" s="1"/>
  <c r="AH24" i="3"/>
  <c r="AH30" i="3" s="1"/>
  <c r="AB27" i="2"/>
  <c r="AB33" i="2" s="1"/>
  <c r="AB28" i="2"/>
  <c r="AB12" i="5"/>
  <c r="AB13" i="5"/>
  <c r="AH4" i="5"/>
  <c r="AI28" i="3"/>
  <c r="AF26" i="3"/>
  <c r="AE9" i="5"/>
  <c r="AA32" i="2"/>
  <c r="AA29" i="2"/>
  <c r="BZ10" i="5" s="1"/>
  <c r="CA10" i="5" s="1"/>
  <c r="CB10" i="5" s="1"/>
  <c r="AD5" i="5" l="1"/>
  <c r="AI24" i="3"/>
  <c r="AI30" i="3" s="1"/>
  <c r="AI25" i="3"/>
  <c r="AI29" i="3" s="1"/>
  <c r="AC27" i="2"/>
  <c r="AC28" i="2"/>
  <c r="AH29" i="3"/>
  <c r="AC11" i="5"/>
  <c r="AD26" i="5" s="1"/>
  <c r="AE26" i="5" s="1"/>
  <c r="AF26" i="5" s="1"/>
  <c r="AF9" i="5"/>
  <c r="AG26" i="3"/>
  <c r="AB32" i="2"/>
  <c r="AB29" i="2"/>
  <c r="CC10" i="5" s="1"/>
  <c r="CD10" i="5" s="1"/>
  <c r="CE10" i="5" s="1"/>
  <c r="AI4" i="5"/>
  <c r="AJ28" i="3"/>
  <c r="AC33" i="2"/>
  <c r="AD7" i="5" l="1"/>
  <c r="AD6" i="5"/>
  <c r="AJ24" i="3"/>
  <c r="AD27" i="2"/>
  <c r="AD33" i="2" s="1"/>
  <c r="AE28" i="2" s="1"/>
  <c r="AD28" i="2"/>
  <c r="AC12" i="5"/>
  <c r="AC13" i="5"/>
  <c r="AH26" i="3"/>
  <c r="AG9" i="5"/>
  <c r="AC29" i="2"/>
  <c r="CF10" i="5" s="1"/>
  <c r="CG10" i="5" s="1"/>
  <c r="CH10" i="5" s="1"/>
  <c r="AC32" i="2"/>
  <c r="AJ4" i="5"/>
  <c r="AK28" i="3"/>
  <c r="AE5" i="5" l="1"/>
  <c r="AJ30" i="3"/>
  <c r="AK25" i="3" s="1"/>
  <c r="AD11" i="5"/>
  <c r="AI26" i="3"/>
  <c r="AH9" i="5"/>
  <c r="AD29" i="2"/>
  <c r="CI10" i="5" s="1"/>
  <c r="CJ10" i="5" s="1"/>
  <c r="CK10" i="5" s="1"/>
  <c r="AD32" i="2"/>
  <c r="AK4" i="5"/>
  <c r="AL28" i="3"/>
  <c r="AE27" i="2"/>
  <c r="AE7" i="5" l="1"/>
  <c r="AE6" i="5"/>
  <c r="AK24" i="3"/>
  <c r="AK30" i="3" s="1"/>
  <c r="AL25" i="3" s="1"/>
  <c r="AL29" i="3" s="1"/>
  <c r="AJ25" i="3"/>
  <c r="AJ29" i="3" s="1"/>
  <c r="AK29" i="3"/>
  <c r="AD12" i="5"/>
  <c r="AD13" i="5"/>
  <c r="AE33" i="2"/>
  <c r="AL4" i="5"/>
  <c r="AM28" i="3"/>
  <c r="AI9" i="5"/>
  <c r="AF5" i="5" l="1"/>
  <c r="AG22" i="5" s="1"/>
  <c r="AH22" i="5" s="1"/>
  <c r="AI22" i="5" s="1"/>
  <c r="AL24" i="3"/>
  <c r="AL30" i="3" s="1"/>
  <c r="AM24" i="3" s="1"/>
  <c r="AM30" i="3" s="1"/>
  <c r="AM25" i="3" s="1"/>
  <c r="AJ26" i="3"/>
  <c r="AJ9" i="5" s="1"/>
  <c r="AF27" i="2"/>
  <c r="AF33" i="2" s="1"/>
  <c r="AF28" i="2"/>
  <c r="AE11" i="5"/>
  <c r="AM4" i="5"/>
  <c r="AN28" i="3"/>
  <c r="AE29" i="2"/>
  <c r="CL10" i="5" s="1"/>
  <c r="CM10" i="5" s="1"/>
  <c r="CN10" i="5" s="1"/>
  <c r="AE32" i="2"/>
  <c r="AF7" i="5" l="1"/>
  <c r="AF6" i="5"/>
  <c r="AK26" i="3"/>
  <c r="AL26" i="3" s="1"/>
  <c r="AN24" i="3"/>
  <c r="AN30" i="3" s="1"/>
  <c r="AN25" i="3"/>
  <c r="AG28" i="2"/>
  <c r="AG27" i="2"/>
  <c r="AG33" i="2" s="1"/>
  <c r="AF29" i="2"/>
  <c r="CO10" i="5" s="1"/>
  <c r="CP10" i="5" s="1"/>
  <c r="CQ10" i="5" s="1"/>
  <c r="AF32" i="2"/>
  <c r="AE12" i="5"/>
  <c r="AE13" i="5"/>
  <c r="AM29" i="3"/>
  <c r="AO28" i="3"/>
  <c r="AN4" i="5"/>
  <c r="AG5" i="5" l="1"/>
  <c r="AK9" i="5"/>
  <c r="AN29" i="3"/>
  <c r="AO25" i="3"/>
  <c r="AG29" i="2"/>
  <c r="CR10" i="5" s="1"/>
  <c r="AG32" i="2"/>
  <c r="AO24" i="3"/>
  <c r="AO30" i="3" s="1"/>
  <c r="AF11" i="5"/>
  <c r="AG26" i="5" s="1"/>
  <c r="AH26" i="5" s="1"/>
  <c r="AI26" i="5" s="1"/>
  <c r="AO4" i="5"/>
  <c r="AP28" i="3"/>
  <c r="AM26" i="3"/>
  <c r="AL9" i="5"/>
  <c r="AG7" i="5" l="1"/>
  <c r="AG6" i="5"/>
  <c r="AP24" i="3"/>
  <c r="AP30" i="3" s="1"/>
  <c r="AP25" i="3" s="1"/>
  <c r="AO29" i="3"/>
  <c r="A23" i="6" a="1"/>
  <c r="AF12" i="5"/>
  <c r="AF13" i="5"/>
  <c r="AM9" i="5"/>
  <c r="AN26" i="3"/>
  <c r="AP4" i="5"/>
  <c r="AQ28" i="3"/>
  <c r="AH5" i="5" l="1"/>
  <c r="AQ24" i="3"/>
  <c r="AQ30" i="3" s="1"/>
  <c r="AQ25" i="3"/>
  <c r="H24" i="6"/>
  <c r="D47" i="6"/>
  <c r="G36" i="6"/>
  <c r="A46" i="6"/>
  <c r="E54" i="6"/>
  <c r="A34" i="6"/>
  <c r="D43" i="6"/>
  <c r="A23" i="6"/>
  <c r="A27" i="6"/>
  <c r="A31" i="6"/>
  <c r="C34" i="6"/>
  <c r="H36" i="6"/>
  <c r="E39" i="6"/>
  <c r="C42" i="6"/>
  <c r="H44" i="6"/>
  <c r="E47" i="6"/>
  <c r="C50" i="6"/>
  <c r="H52" i="6"/>
  <c r="E55" i="6"/>
  <c r="D26" i="6"/>
  <c r="D30" i="6"/>
  <c r="G33" i="6"/>
  <c r="D36" i="6"/>
  <c r="A39" i="6"/>
  <c r="G41" i="6"/>
  <c r="D44" i="6"/>
  <c r="A47" i="6"/>
  <c r="G49" i="6"/>
  <c r="D52" i="6"/>
  <c r="E52" i="6"/>
  <c r="C47" i="6"/>
  <c r="H41" i="6"/>
  <c r="E36" i="6"/>
  <c r="E30" i="6"/>
  <c r="H55" i="6"/>
  <c r="A52" i="6"/>
  <c r="G46" i="6"/>
  <c r="D41" i="6"/>
  <c r="A36" i="6"/>
  <c r="H29" i="6"/>
  <c r="G55" i="6"/>
  <c r="H51" i="6"/>
  <c r="E46" i="6"/>
  <c r="C41" i="6"/>
  <c r="H35" i="6"/>
  <c r="E29" i="6"/>
  <c r="C32" i="6"/>
  <c r="C30" i="6"/>
  <c r="C28" i="6"/>
  <c r="C26" i="6"/>
  <c r="C24" i="6"/>
  <c r="B55" i="6"/>
  <c r="B53" i="6"/>
  <c r="B51" i="6"/>
  <c r="B49" i="6"/>
  <c r="B47" i="6"/>
  <c r="B45" i="6"/>
  <c r="B43" i="6"/>
  <c r="B41" i="6"/>
  <c r="B39" i="6"/>
  <c r="B37" i="6"/>
  <c r="B35" i="6"/>
  <c r="B33" i="6"/>
  <c r="B31" i="6"/>
  <c r="B29" i="6"/>
  <c r="B27" i="6"/>
  <c r="B25" i="6"/>
  <c r="G40" i="6"/>
  <c r="G44" i="6"/>
  <c r="G48" i="6"/>
  <c r="A24" i="6"/>
  <c r="A29" i="6"/>
  <c r="E33" i="6"/>
  <c r="E37" i="6"/>
  <c r="H40" i="6"/>
  <c r="C44" i="6"/>
  <c r="C48" i="6"/>
  <c r="E51" i="6"/>
  <c r="H54" i="6"/>
  <c r="D27" i="6"/>
  <c r="D32" i="6"/>
  <c r="G35" i="6"/>
  <c r="G39" i="6"/>
  <c r="A43" i="6"/>
  <c r="D46" i="6"/>
  <c r="D50" i="6"/>
  <c r="D54" i="6"/>
  <c r="E48" i="6"/>
  <c r="E40" i="6"/>
  <c r="H33" i="6"/>
  <c r="E24" i="6"/>
  <c r="G50" i="6"/>
  <c r="A44" i="6"/>
  <c r="D37" i="6"/>
  <c r="H27" i="6"/>
  <c r="H53" i="6"/>
  <c r="H47" i="6"/>
  <c r="H39" i="6"/>
  <c r="C33" i="6"/>
  <c r="E23" i="6"/>
  <c r="G29" i="6"/>
  <c r="C27" i="6"/>
  <c r="G24" i="6"/>
  <c r="F54" i="6"/>
  <c r="B52" i="6"/>
  <c r="F49" i="6"/>
  <c r="F46" i="6"/>
  <c r="B44" i="6"/>
  <c r="F41" i="6"/>
  <c r="F38" i="6"/>
  <c r="B36" i="6"/>
  <c r="F33" i="6"/>
  <c r="F30" i="6"/>
  <c r="B28" i="6"/>
  <c r="F25" i="6"/>
  <c r="A42" i="6"/>
  <c r="D35" i="6"/>
  <c r="D39" i="6"/>
  <c r="A38" i="6"/>
  <c r="A25" i="6"/>
  <c r="A30" i="6"/>
  <c r="H34" i="6"/>
  <c r="C38" i="6"/>
  <c r="E41" i="6"/>
  <c r="E45" i="6"/>
  <c r="H48" i="6"/>
  <c r="C52" i="6"/>
  <c r="D23" i="6"/>
  <c r="D28" i="6"/>
  <c r="A33" i="6"/>
  <c r="A37" i="6"/>
  <c r="D40" i="6"/>
  <c r="H30" i="6"/>
  <c r="A50" i="6"/>
  <c r="B23" i="6"/>
  <c r="H32" i="6"/>
  <c r="C40" i="6"/>
  <c r="H46" i="6"/>
  <c r="C54" i="6"/>
  <c r="D31" i="6"/>
  <c r="D38" i="6"/>
  <c r="A45" i="6"/>
  <c r="A49" i="6"/>
  <c r="D53" i="6"/>
  <c r="E44" i="6"/>
  <c r="C35" i="6"/>
  <c r="A55" i="6"/>
  <c r="A48" i="6"/>
  <c r="G38" i="6"/>
  <c r="H25" i="6"/>
  <c r="E50" i="6"/>
  <c r="E42" i="6"/>
  <c r="E31" i="6"/>
  <c r="C31" i="6"/>
  <c r="G27" i="6"/>
  <c r="G23" i="6"/>
  <c r="F53" i="6"/>
  <c r="B50" i="6"/>
  <c r="B46" i="6"/>
  <c r="F42" i="6"/>
  <c r="F39" i="6"/>
  <c r="F35" i="6"/>
  <c r="B32" i="6"/>
  <c r="F28" i="6"/>
  <c r="F24" i="6"/>
  <c r="D55" i="6"/>
  <c r="H26" i="6"/>
  <c r="A26" i="6"/>
  <c r="E35" i="6"/>
  <c r="H42" i="6"/>
  <c r="E49" i="6"/>
  <c r="D24" i="6"/>
  <c r="D34" i="6"/>
  <c r="A41" i="6"/>
  <c r="G45" i="6"/>
  <c r="A51" i="6"/>
  <c r="C51" i="6"/>
  <c r="C43" i="6"/>
  <c r="E32" i="6"/>
  <c r="A54" i="6"/>
  <c r="D45" i="6"/>
  <c r="G34" i="6"/>
  <c r="H23" i="6"/>
  <c r="C49" i="6"/>
  <c r="E38" i="6"/>
  <c r="E27" i="6"/>
  <c r="G30" i="6"/>
  <c r="G26" i="6"/>
  <c r="C23" i="6"/>
  <c r="F52" i="6"/>
  <c r="F48" i="6"/>
  <c r="F45" i="6"/>
  <c r="B42" i="6"/>
  <c r="B38" i="6"/>
  <c r="F34" i="6"/>
  <c r="F31" i="6"/>
  <c r="F27" i="6"/>
  <c r="B24" i="6"/>
  <c r="D51" i="6"/>
  <c r="G53" i="6"/>
  <c r="A28" i="6"/>
  <c r="C36" i="6"/>
  <c r="E43" i="6"/>
  <c r="H50" i="6"/>
  <c r="D25" i="6"/>
  <c r="A35" i="6"/>
  <c r="D42" i="6"/>
  <c r="G47" i="6"/>
  <c r="G51" i="6"/>
  <c r="H49" i="6"/>
  <c r="C39" i="6"/>
  <c r="E28" i="6"/>
  <c r="C53" i="6"/>
  <c r="G42" i="6"/>
  <c r="D33" i="6"/>
  <c r="G54" i="6"/>
  <c r="C45" i="6"/>
  <c r="C37" i="6"/>
  <c r="E25" i="6"/>
  <c r="C29" i="6"/>
  <c r="G25" i="6"/>
  <c r="F55" i="6"/>
  <c r="F51" i="6"/>
  <c r="B48" i="6"/>
  <c r="F44" i="6"/>
  <c r="F40" i="6"/>
  <c r="F37" i="6"/>
  <c r="B34" i="6"/>
  <c r="B30" i="6"/>
  <c r="F26" i="6"/>
  <c r="F23" i="6"/>
  <c r="G52" i="6"/>
  <c r="H28" i="6"/>
  <c r="G32" i="6"/>
  <c r="A32" i="6"/>
  <c r="H38" i="6"/>
  <c r="C46" i="6"/>
  <c r="E53" i="6"/>
  <c r="D29" i="6"/>
  <c r="G37" i="6"/>
  <c r="G43" i="6"/>
  <c r="D48" i="6"/>
  <c r="C55" i="6"/>
  <c r="H45" i="6"/>
  <c r="H37" i="6"/>
  <c r="E26" i="6"/>
  <c r="D49" i="6"/>
  <c r="A40" i="6"/>
  <c r="H31" i="6"/>
  <c r="A53" i="6"/>
  <c r="H43" i="6"/>
  <c r="E34" i="6"/>
  <c r="G31" i="6"/>
  <c r="G28" i="6"/>
  <c r="C25" i="6"/>
  <c r="B54" i="6"/>
  <c r="F50" i="6"/>
  <c r="F47" i="6"/>
  <c r="F43" i="6"/>
  <c r="B40" i="6"/>
  <c r="F36" i="6"/>
  <c r="F32" i="6"/>
  <c r="F29" i="6"/>
  <c r="B26" i="6"/>
  <c r="AG11" i="5"/>
  <c r="AR28" i="3"/>
  <c r="AQ4" i="5"/>
  <c r="AN9" i="5"/>
  <c r="AO26" i="3"/>
  <c r="AP29" i="3"/>
  <c r="AH7" i="5" l="1"/>
  <c r="AH6" i="5"/>
  <c r="AR24" i="3"/>
  <c r="AR30" i="3" s="1"/>
  <c r="AR25" i="3"/>
  <c r="AR29" i="3" s="1"/>
  <c r="AQ29" i="3"/>
  <c r="AG12" i="5"/>
  <c r="AG13" i="5"/>
  <c r="AR4" i="5"/>
  <c r="AS28" i="3"/>
  <c r="AO9" i="5"/>
  <c r="AP26" i="3"/>
  <c r="AI5" i="5" l="1"/>
  <c r="AJ22" i="5" s="1"/>
  <c r="AK22" i="5" s="1"/>
  <c r="AL22" i="5" s="1"/>
  <c r="AS24" i="3"/>
  <c r="AH11" i="5"/>
  <c r="AQ26" i="3"/>
  <c r="AP9" i="5"/>
  <c r="AS4" i="5"/>
  <c r="AT28" i="3"/>
  <c r="AI7" i="5" l="1"/>
  <c r="AI6" i="5"/>
  <c r="AS30" i="3"/>
  <c r="AS25" i="3" s="1"/>
  <c r="AS29" i="3" s="1"/>
  <c r="AH12" i="5"/>
  <c r="AH13" i="5"/>
  <c r="AQ9" i="5"/>
  <c r="AR26" i="3"/>
  <c r="AT4" i="5"/>
  <c r="AU28" i="3"/>
  <c r="AJ5" i="5" l="1"/>
  <c r="AT25" i="3"/>
  <c r="AT29" i="3" s="1"/>
  <c r="AT24" i="3"/>
  <c r="AT30" i="3" s="1"/>
  <c r="AU25" i="3" s="1"/>
  <c r="AU29" i="3" s="1"/>
  <c r="AI11" i="5"/>
  <c r="AJ26" i="5" s="1"/>
  <c r="AK26" i="5" s="1"/>
  <c r="AL26" i="5" s="1"/>
  <c r="AU4" i="5"/>
  <c r="AV28" i="3"/>
  <c r="AR9" i="5"/>
  <c r="AS26" i="3"/>
  <c r="AJ7" i="5" l="1"/>
  <c r="AJ6" i="5"/>
  <c r="AU24" i="3"/>
  <c r="AU30" i="3" s="1"/>
  <c r="AV24" i="3" s="1"/>
  <c r="AV30" i="3" s="1"/>
  <c r="AV25" i="3" s="1"/>
  <c r="AI12" i="5"/>
  <c r="AI13" i="5"/>
  <c r="AV4" i="5"/>
  <c r="AW28" i="3"/>
  <c r="AT26" i="3"/>
  <c r="AS9" i="5"/>
  <c r="AK5" i="5" l="1"/>
  <c r="AW24" i="3"/>
  <c r="AW30" i="3" s="1"/>
  <c r="AW25" i="3"/>
  <c r="AJ11" i="5"/>
  <c r="AV29" i="3"/>
  <c r="AX28" i="3"/>
  <c r="AW4" i="5"/>
  <c r="AU26" i="3"/>
  <c r="AT9" i="5"/>
  <c r="AK7" i="5" l="1"/>
  <c r="AK6" i="5"/>
  <c r="AX24" i="3"/>
  <c r="AX30" i="3" s="1"/>
  <c r="AX25" i="3"/>
  <c r="AX29" i="3" s="1"/>
  <c r="AW29" i="3"/>
  <c r="AJ12" i="5"/>
  <c r="AJ13" i="5"/>
  <c r="AU9" i="5"/>
  <c r="AV26" i="3"/>
  <c r="AX4" i="5"/>
  <c r="AY28" i="3"/>
  <c r="AL5" i="5" l="1"/>
  <c r="AM22" i="5" s="1"/>
  <c r="AN22" i="5" s="1"/>
  <c r="AO22" i="5" s="1"/>
  <c r="AY24" i="3"/>
  <c r="AK11" i="5"/>
  <c r="AY4" i="5"/>
  <c r="AZ28" i="3"/>
  <c r="AW26" i="3"/>
  <c r="AV9" i="5"/>
  <c r="AL7" i="5" l="1"/>
  <c r="AL6" i="5"/>
  <c r="AY30" i="3"/>
  <c r="AY25" i="3" s="1"/>
  <c r="AY29" i="3" s="1"/>
  <c r="AK12" i="5"/>
  <c r="AK13" i="5"/>
  <c r="AW9" i="5"/>
  <c r="AX26" i="3"/>
  <c r="AZ4" i="5"/>
  <c r="BA28" i="3"/>
  <c r="AM5" i="5" l="1"/>
  <c r="AZ25" i="3"/>
  <c r="AZ29" i="3" s="1"/>
  <c r="AZ24" i="3"/>
  <c r="AZ30" i="3" s="1"/>
  <c r="BA24" i="3" s="1"/>
  <c r="BA30" i="3" s="1"/>
  <c r="AL11" i="5"/>
  <c r="AM26" i="5" s="1"/>
  <c r="AN26" i="5" s="1"/>
  <c r="AO26" i="5" s="1"/>
  <c r="AY26" i="3"/>
  <c r="AX9" i="5"/>
  <c r="BB28" i="3"/>
  <c r="BA4" i="5"/>
  <c r="BA25" i="3" l="1"/>
  <c r="BA29" i="3" s="1"/>
  <c r="AM7" i="5"/>
  <c r="AM6" i="5"/>
  <c r="BB24" i="3"/>
  <c r="BB30" i="3" s="1"/>
  <c r="BB25" i="3" s="1"/>
  <c r="AL12" i="5"/>
  <c r="AL13" i="5"/>
  <c r="BB4" i="5"/>
  <c r="BC28" i="3"/>
  <c r="AZ26" i="3"/>
  <c r="AY9" i="5"/>
  <c r="AN5" i="5" l="1"/>
  <c r="BC24" i="3"/>
  <c r="BC30" i="3" s="1"/>
  <c r="BC25" i="3"/>
  <c r="AM11" i="5"/>
  <c r="BB29" i="3"/>
  <c r="AZ9" i="5"/>
  <c r="BA26" i="3"/>
  <c r="BC4" i="5"/>
  <c r="BD28" i="3"/>
  <c r="AN7" i="5" l="1"/>
  <c r="AN6" i="5"/>
  <c r="BD24" i="3"/>
  <c r="BD30" i="3" s="1"/>
  <c r="BD25" i="3"/>
  <c r="BD29" i="3" s="1"/>
  <c r="BC29" i="3"/>
  <c r="AM12" i="5"/>
  <c r="AM13" i="5"/>
  <c r="BD4" i="5"/>
  <c r="BE28" i="3"/>
  <c r="BA9" i="5"/>
  <c r="BB26" i="3"/>
  <c r="AO5" i="5" l="1"/>
  <c r="AP22" i="5" s="1"/>
  <c r="AQ22" i="5" s="1"/>
  <c r="AR22" i="5" s="1"/>
  <c r="BE24" i="3"/>
  <c r="AN11" i="5"/>
  <c r="BC26" i="3"/>
  <c r="BB9" i="5"/>
  <c r="BE4" i="5"/>
  <c r="BF28" i="3"/>
  <c r="AO7" i="5" l="1"/>
  <c r="AO6" i="5"/>
  <c r="BE30" i="3"/>
  <c r="BE25" i="3" s="1"/>
  <c r="BE29" i="3" s="1"/>
  <c r="AN12" i="5"/>
  <c r="AN13" i="5"/>
  <c r="BC9" i="5"/>
  <c r="BD26" i="3"/>
  <c r="BF4" i="5"/>
  <c r="BG28" i="3"/>
  <c r="AP5" i="5" l="1"/>
  <c r="BF25" i="3"/>
  <c r="BF29" i="3" s="1"/>
  <c r="BF24" i="3"/>
  <c r="BF30" i="3" s="1"/>
  <c r="BG24" i="3" s="1"/>
  <c r="BG30" i="3" s="1"/>
  <c r="AO11" i="5"/>
  <c r="AP26" i="5" s="1"/>
  <c r="AQ26" i="5" s="1"/>
  <c r="AR26" i="5" s="1"/>
  <c r="BH28" i="3"/>
  <c r="BG4" i="5"/>
  <c r="BD9" i="5"/>
  <c r="BE26" i="3"/>
  <c r="BG25" i="3" l="1"/>
  <c r="AP7" i="5"/>
  <c r="AP6" i="5"/>
  <c r="BH24" i="3"/>
  <c r="BH30" i="3" s="1"/>
  <c r="BH25" i="3" s="1"/>
  <c r="BG29" i="3"/>
  <c r="AO12" i="5"/>
  <c r="AO13" i="5"/>
  <c r="BF26" i="3"/>
  <c r="BE9" i="5"/>
  <c r="BH4" i="5"/>
  <c r="BI28" i="3"/>
  <c r="AQ5" i="5" l="1"/>
  <c r="BI24" i="3"/>
  <c r="BI30" i="3" s="1"/>
  <c r="BI25" i="3"/>
  <c r="AP11" i="5"/>
  <c r="BH29" i="3"/>
  <c r="BG26" i="3"/>
  <c r="BF9" i="5"/>
  <c r="BJ28" i="3"/>
  <c r="BI4" i="5"/>
  <c r="AQ7" i="5" l="1"/>
  <c r="AQ6" i="5"/>
  <c r="BJ24" i="3"/>
  <c r="BJ30" i="3" s="1"/>
  <c r="BJ25" i="3"/>
  <c r="BJ29" i="3" s="1"/>
  <c r="BI29" i="3"/>
  <c r="AP12" i="5"/>
  <c r="AP13" i="5"/>
  <c r="BJ4" i="5"/>
  <c r="BK28" i="3"/>
  <c r="BG9" i="5"/>
  <c r="BH26" i="3"/>
  <c r="AR5" i="5" l="1"/>
  <c r="AS22" i="5" s="1"/>
  <c r="AT22" i="5" s="1"/>
  <c r="AU22" i="5" s="1"/>
  <c r="BK24" i="3"/>
  <c r="BK30" i="3" s="1"/>
  <c r="BK25" i="3" s="1"/>
  <c r="AQ11" i="5"/>
  <c r="BK4" i="5"/>
  <c r="BL28" i="3"/>
  <c r="BH9" i="5"/>
  <c r="BI26" i="3"/>
  <c r="AR7" i="5" l="1"/>
  <c r="AR6" i="5"/>
  <c r="BL24" i="3"/>
  <c r="BL30" i="3" s="1"/>
  <c r="BL25" i="3"/>
  <c r="AQ12" i="5"/>
  <c r="AQ13" i="5"/>
  <c r="BI9" i="5"/>
  <c r="BJ26" i="3"/>
  <c r="BK29" i="3"/>
  <c r="BL4" i="5"/>
  <c r="BM28" i="3"/>
  <c r="AS5" i="5" l="1"/>
  <c r="BM24" i="3"/>
  <c r="BM30" i="3" s="1"/>
  <c r="BM25" i="3"/>
  <c r="BM29" i="3" s="1"/>
  <c r="BL29" i="3"/>
  <c r="AR11" i="5"/>
  <c r="AS26" i="5" s="1"/>
  <c r="AT26" i="5" s="1"/>
  <c r="AU26" i="5" s="1"/>
  <c r="BM4" i="5"/>
  <c r="BN28" i="3"/>
  <c r="BJ9" i="5"/>
  <c r="BK26" i="3"/>
  <c r="AS7" i="5" l="1"/>
  <c r="AS6" i="5"/>
  <c r="BN24" i="3"/>
  <c r="AR13" i="5"/>
  <c r="AR12" i="5"/>
  <c r="BO28" i="3"/>
  <c r="BN4" i="5"/>
  <c r="BK9" i="5"/>
  <c r="BL26" i="3"/>
  <c r="AT5" i="5" l="1"/>
  <c r="BN30" i="3"/>
  <c r="BN25" i="3" s="1"/>
  <c r="BN29" i="3" s="1"/>
  <c r="AS11" i="5"/>
  <c r="BL9" i="5"/>
  <c r="BM26" i="3"/>
  <c r="BO4" i="5"/>
  <c r="BP28" i="3"/>
  <c r="AT7" i="5" l="1"/>
  <c r="AT6" i="5"/>
  <c r="BO25" i="3"/>
  <c r="BO29" i="3" s="1"/>
  <c r="BO24" i="3"/>
  <c r="BO30" i="3" s="1"/>
  <c r="BP24" i="3" s="1"/>
  <c r="BP30" i="3" s="1"/>
  <c r="BP25" i="3"/>
  <c r="BP29" i="3" s="1"/>
  <c r="AS12" i="5"/>
  <c r="AS13" i="5"/>
  <c r="BM9" i="5"/>
  <c r="BN26" i="3"/>
  <c r="BP4" i="5"/>
  <c r="BQ28" i="3"/>
  <c r="AU5" i="5" l="1"/>
  <c r="AV22" i="5" s="1"/>
  <c r="AW22" i="5" s="1"/>
  <c r="AX22" i="5" s="1"/>
  <c r="BQ24" i="3"/>
  <c r="BQ30" i="3" s="1"/>
  <c r="BQ25" i="3" s="1"/>
  <c r="AT11" i="5"/>
  <c r="BN9" i="5"/>
  <c r="BO26" i="3"/>
  <c r="BQ4" i="5"/>
  <c r="BR28" i="3"/>
  <c r="AU7" i="5" l="1"/>
  <c r="AU6" i="5"/>
  <c r="BR24" i="3"/>
  <c r="BR30" i="3" s="1"/>
  <c r="BR25" i="3"/>
  <c r="AT12" i="5"/>
  <c r="AT13" i="5"/>
  <c r="BQ29" i="3"/>
  <c r="BO9" i="5"/>
  <c r="BP26" i="3"/>
  <c r="BR4" i="5"/>
  <c r="BS28" i="3"/>
  <c r="AV5" i="5" l="1"/>
  <c r="BS24" i="3"/>
  <c r="BS25" i="3"/>
  <c r="BS29" i="3" s="1"/>
  <c r="BR29" i="3"/>
  <c r="AU11" i="5"/>
  <c r="AV26" i="5" s="1"/>
  <c r="AW26" i="5" s="1"/>
  <c r="AX26" i="5" s="1"/>
  <c r="BS30" i="3"/>
  <c r="BS4" i="5"/>
  <c r="BT28" i="3"/>
  <c r="BQ26" i="3"/>
  <c r="BP9" i="5"/>
  <c r="AV7" i="5" l="1"/>
  <c r="AV6" i="5"/>
  <c r="BT24" i="3"/>
  <c r="AU12" i="5"/>
  <c r="AU13" i="5"/>
  <c r="BQ9" i="5"/>
  <c r="BR26" i="3"/>
  <c r="BT4" i="5"/>
  <c r="BU28" i="3"/>
  <c r="AW5" i="5" l="1"/>
  <c r="BT30" i="3"/>
  <c r="BT25" i="3" s="1"/>
  <c r="BT29" i="3" s="1"/>
  <c r="AV11" i="5"/>
  <c r="BU4" i="5"/>
  <c r="BV28" i="3"/>
  <c r="BR9" i="5"/>
  <c r="BS26" i="3"/>
  <c r="AW7" i="5" l="1"/>
  <c r="AW6" i="5"/>
  <c r="BU25" i="3"/>
  <c r="BU29" i="3" s="1"/>
  <c r="BU24" i="3"/>
  <c r="BU30" i="3" s="1"/>
  <c r="BV24" i="3" s="1"/>
  <c r="BV30" i="3" s="1"/>
  <c r="AV12" i="5"/>
  <c r="AV13" i="5"/>
  <c r="BV4" i="5"/>
  <c r="BW28" i="3"/>
  <c r="BT26" i="3"/>
  <c r="BS9" i="5"/>
  <c r="BV25" i="3" l="1"/>
  <c r="BV29" i="3" s="1"/>
  <c r="AX5" i="5"/>
  <c r="AY22" i="5" s="1"/>
  <c r="AZ22" i="5" s="1"/>
  <c r="BA22" i="5" s="1"/>
  <c r="BW24" i="3"/>
  <c r="BW30" i="3" s="1"/>
  <c r="BW25" i="3" s="1"/>
  <c r="AW11" i="5"/>
  <c r="BX28" i="3"/>
  <c r="BW4" i="5"/>
  <c r="BT9" i="5"/>
  <c r="BU26" i="3"/>
  <c r="AX7" i="5" l="1"/>
  <c r="AX6" i="5"/>
  <c r="BX24" i="3"/>
  <c r="BX30" i="3" s="1"/>
  <c r="BX25" i="3"/>
  <c r="AW12" i="5"/>
  <c r="AW13" i="5"/>
  <c r="BU9" i="5"/>
  <c r="BV26" i="3"/>
  <c r="BX4" i="5"/>
  <c r="BY28" i="3"/>
  <c r="BW29" i="3"/>
  <c r="AY5" i="5" l="1"/>
  <c r="BX29" i="3"/>
  <c r="BY25" i="3"/>
  <c r="BY24" i="3"/>
  <c r="BY30" i="3" s="1"/>
  <c r="AX11" i="5"/>
  <c r="AY26" i="5" s="1"/>
  <c r="AZ26" i="5" s="1"/>
  <c r="BA26" i="5" s="1"/>
  <c r="BY4" i="5"/>
  <c r="BZ28" i="3"/>
  <c r="BV9" i="5"/>
  <c r="BW26" i="3"/>
  <c r="AY7" i="5" l="1"/>
  <c r="AY6" i="5"/>
  <c r="BZ24" i="3"/>
  <c r="BZ30" i="3" s="1"/>
  <c r="BZ25" i="3" s="1"/>
  <c r="BY29" i="3"/>
  <c r="AX12" i="5"/>
  <c r="AX13" i="5"/>
  <c r="BW9" i="5"/>
  <c r="BX26" i="3"/>
  <c r="BZ4" i="5"/>
  <c r="CA28" i="3"/>
  <c r="AZ5" i="5" l="1"/>
  <c r="CA24" i="3"/>
  <c r="CA30" i="3" s="1"/>
  <c r="CA25" i="3"/>
  <c r="AY11" i="5"/>
  <c r="BZ29" i="3"/>
  <c r="CA4" i="5"/>
  <c r="CB28" i="3"/>
  <c r="BX9" i="5"/>
  <c r="BY26" i="3"/>
  <c r="AZ7" i="5" l="1"/>
  <c r="AZ6" i="5"/>
  <c r="CB24" i="3"/>
  <c r="CB30" i="3" s="1"/>
  <c r="CB25" i="3"/>
  <c r="CB29" i="3" s="1"/>
  <c r="CA29" i="3"/>
  <c r="AY12" i="5"/>
  <c r="AY13" i="5"/>
  <c r="CB4" i="5"/>
  <c r="CC28" i="3"/>
  <c r="BZ26" i="3"/>
  <c r="BY9" i="5"/>
  <c r="BA5" i="5" l="1"/>
  <c r="BB22" i="5" s="1"/>
  <c r="BC22" i="5" s="1"/>
  <c r="BD22" i="5" s="1"/>
  <c r="CC24" i="3"/>
  <c r="AZ11" i="5"/>
  <c r="CD28" i="3"/>
  <c r="CC4" i="5"/>
  <c r="BZ9" i="5"/>
  <c r="CA26" i="3"/>
  <c r="BA7" i="5" l="1"/>
  <c r="BA6" i="5"/>
  <c r="CC30" i="3"/>
  <c r="CC25" i="3" s="1"/>
  <c r="CC29" i="3" s="1"/>
  <c r="AZ12" i="5"/>
  <c r="AZ13" i="5"/>
  <c r="CA9" i="5"/>
  <c r="CB26" i="3"/>
  <c r="CD4" i="5"/>
  <c r="CE28" i="3"/>
  <c r="BB5" i="5" l="1"/>
  <c r="CD25" i="3"/>
  <c r="CD29" i="3" s="1"/>
  <c r="CD24" i="3"/>
  <c r="CD30" i="3" s="1"/>
  <c r="CE24" i="3" s="1"/>
  <c r="CE30" i="3" s="1"/>
  <c r="BA11" i="5"/>
  <c r="BB26" i="5" s="1"/>
  <c r="BC26" i="5" s="1"/>
  <c r="BD26" i="5" s="1"/>
  <c r="CC26" i="3"/>
  <c r="CB9" i="5"/>
  <c r="CE4" i="5"/>
  <c r="CF28" i="3"/>
  <c r="CE25" i="3" l="1"/>
  <c r="CE29" i="3" s="1"/>
  <c r="BB7" i="5"/>
  <c r="BB6" i="5"/>
  <c r="CF24" i="3"/>
  <c r="BA12" i="5"/>
  <c r="BA13" i="5"/>
  <c r="CF30" i="3"/>
  <c r="CF25" i="3" s="1"/>
  <c r="CF4" i="5"/>
  <c r="CG28" i="3"/>
  <c r="CC9" i="5"/>
  <c r="CD26" i="3"/>
  <c r="BC5" i="5" l="1"/>
  <c r="CG24" i="3"/>
  <c r="CG30" i="3" s="1"/>
  <c r="CG25" i="3"/>
  <c r="BB11" i="5"/>
  <c r="CE26" i="3"/>
  <c r="CD9" i="5"/>
  <c r="CF29" i="3"/>
  <c r="CG4" i="5"/>
  <c r="CH28" i="3"/>
  <c r="BC7" i="5" l="1"/>
  <c r="BC6" i="5"/>
  <c r="CH24" i="3"/>
  <c r="CH30" i="3" s="1"/>
  <c r="CH25" i="3"/>
  <c r="CH29" i="3" s="1"/>
  <c r="CG29" i="3"/>
  <c r="BB12" i="5"/>
  <c r="BB13" i="5"/>
  <c r="CE9" i="5"/>
  <c r="CF26" i="3"/>
  <c r="CI28" i="3"/>
  <c r="CJ28" i="3" s="1"/>
  <c r="CH4" i="5"/>
  <c r="BD5" i="5" l="1"/>
  <c r="BE22" i="5" s="1"/>
  <c r="BF22" i="5" s="1"/>
  <c r="BG22" i="5" s="1"/>
  <c r="CI24" i="3"/>
  <c r="BC11" i="5"/>
  <c r="CJ4" i="5"/>
  <c r="CK28" i="3"/>
  <c r="CF9" i="5"/>
  <c r="CG26" i="3"/>
  <c r="CI4" i="5"/>
  <c r="BD7" i="5" l="1"/>
  <c r="BD6" i="5"/>
  <c r="CI30" i="3"/>
  <c r="CI25" i="3" s="1"/>
  <c r="CI29" i="3" s="1"/>
  <c r="BC12" i="5"/>
  <c r="BC13" i="5"/>
  <c r="CL28" i="3"/>
  <c r="CK4" i="5"/>
  <c r="CH26" i="3"/>
  <c r="CG9" i="5"/>
  <c r="BE5" i="5" l="1"/>
  <c r="CJ25" i="3"/>
  <c r="CJ24" i="3"/>
  <c r="CJ30" i="3" s="1"/>
  <c r="CK25" i="3" s="1"/>
  <c r="CK29" i="3" s="1"/>
  <c r="CJ29" i="3"/>
  <c r="BD11" i="5"/>
  <c r="BE26" i="5" s="1"/>
  <c r="BF26" i="5" s="1"/>
  <c r="BG26" i="5" s="1"/>
  <c r="CL4" i="5"/>
  <c r="CM28" i="3"/>
  <c r="CH9" i="5"/>
  <c r="CI26" i="3"/>
  <c r="CK24" i="3" l="1"/>
  <c r="CK30" i="3" s="1"/>
  <c r="BE7" i="5"/>
  <c r="BE6" i="5"/>
  <c r="CL24" i="3"/>
  <c r="CL30" i="3" s="1"/>
  <c r="CJ26" i="3"/>
  <c r="CK26" i="3" s="1"/>
  <c r="CN28" i="3"/>
  <c r="CM4" i="5"/>
  <c r="BD12" i="5"/>
  <c r="BD13" i="5"/>
  <c r="CI9" i="5"/>
  <c r="BF5" i="5" l="1"/>
  <c r="CM25" i="3"/>
  <c r="CL25" i="3"/>
  <c r="CL26" i="3" s="1"/>
  <c r="CJ9" i="5"/>
  <c r="CO28" i="3"/>
  <c r="CN4" i="5"/>
  <c r="BE11" i="5"/>
  <c r="CM24" i="3"/>
  <c r="CK9" i="5"/>
  <c r="BF7" i="5" l="1"/>
  <c r="BF6" i="5"/>
  <c r="CL29" i="3"/>
  <c r="CP28" i="3"/>
  <c r="CO4" i="5"/>
  <c r="BE13" i="5"/>
  <c r="BE12" i="5"/>
  <c r="CL9" i="5"/>
  <c r="CM30" i="3"/>
  <c r="BG5" i="5" l="1"/>
  <c r="BH22" i="5" s="1"/>
  <c r="BI22" i="5" s="1"/>
  <c r="BJ22" i="5" s="1"/>
  <c r="CN24" i="3"/>
  <c r="CN30" i="3" s="1"/>
  <c r="CN25" i="3"/>
  <c r="CN29" i="3" s="1"/>
  <c r="CQ28" i="3"/>
  <c r="CP4" i="5"/>
  <c r="CM29" i="3"/>
  <c r="BF11" i="5"/>
  <c r="BG7" i="5" l="1"/>
  <c r="BG6" i="5"/>
  <c r="CO24" i="3"/>
  <c r="CO30" i="3" s="1"/>
  <c r="CO25" i="3" s="1"/>
  <c r="CO29" i="3" s="1"/>
  <c r="CM26" i="3"/>
  <c r="CM9" i="5" s="1"/>
  <c r="CR28" i="3"/>
  <c r="CQ4" i="5"/>
  <c r="BF12" i="5"/>
  <c r="BF13" i="5"/>
  <c r="BH5" i="5" l="1"/>
  <c r="CP24" i="3"/>
  <c r="CP30" i="3" s="1"/>
  <c r="CP25" i="3"/>
  <c r="CN26" i="3"/>
  <c r="CN9" i="5" s="1"/>
  <c r="CR4" i="5"/>
  <c r="BG11" i="5"/>
  <c r="BH26" i="5" s="1"/>
  <c r="BI26" i="5" s="1"/>
  <c r="BJ26" i="5" s="1"/>
  <c r="BH7" i="5" l="1"/>
  <c r="BH6" i="5"/>
  <c r="CQ24" i="3"/>
  <c r="CQ30" i="3" s="1"/>
  <c r="CQ25" i="3"/>
  <c r="CQ29" i="3" s="1"/>
  <c r="CO26" i="3"/>
  <c r="CO9" i="5" s="1"/>
  <c r="CP29" i="3"/>
  <c r="BG12" i="5"/>
  <c r="BG13" i="5"/>
  <c r="BI5" i="5" l="1"/>
  <c r="CR24" i="3"/>
  <c r="CP26" i="3"/>
  <c r="CP9" i="5" s="1"/>
  <c r="BH11" i="5"/>
  <c r="BI7" i="5" l="1"/>
  <c r="BI6" i="5"/>
  <c r="CR30" i="3"/>
  <c r="CR25" i="3" s="1"/>
  <c r="CR29" i="3" s="1"/>
  <c r="CQ26" i="3"/>
  <c r="CQ9" i="5" s="1"/>
  <c r="BH12" i="5"/>
  <c r="BH13" i="5"/>
  <c r="BJ5" i="5" l="1"/>
  <c r="BK21" i="5" s="1"/>
  <c r="BK22" i="5" s="1"/>
  <c r="BL22" i="5" s="1"/>
  <c r="BM22" i="5" s="1"/>
  <c r="CR26" i="3"/>
  <c r="BI11" i="5"/>
  <c r="BJ7" i="5" l="1"/>
  <c r="BJ6" i="5"/>
  <c r="CR9" i="5"/>
  <c r="CR32" i="3"/>
  <c r="BI12" i="5"/>
  <c r="BI13" i="5"/>
  <c r="BK5" i="5" l="1"/>
  <c r="BJ11" i="5"/>
  <c r="BK25" i="5" s="1"/>
  <c r="BK26" i="5" s="1"/>
  <c r="BL26" i="5" s="1"/>
  <c r="BM26" i="5" s="1"/>
  <c r="BK7" i="5" l="1"/>
  <c r="BK6" i="5"/>
  <c r="BJ13" i="5"/>
  <c r="BJ12" i="5"/>
  <c r="BL5" i="5" l="1"/>
  <c r="BK11" i="5"/>
  <c r="BL7" i="5" l="1"/>
  <c r="BL6" i="5"/>
  <c r="BK12" i="5"/>
  <c r="BK13" i="5"/>
  <c r="BM5" i="5" l="1"/>
  <c r="BN21" i="5" s="1"/>
  <c r="BN22" i="5" s="1"/>
  <c r="BO22" i="5" s="1"/>
  <c r="BP22" i="5" s="1"/>
  <c r="BL11" i="5"/>
  <c r="BM7" i="5" l="1"/>
  <c r="BM6" i="5"/>
  <c r="BL12" i="5"/>
  <c r="BL13" i="5"/>
  <c r="BN5" i="5" l="1"/>
  <c r="BM11" i="5"/>
  <c r="BN25" i="5" s="1"/>
  <c r="BN26" i="5" s="1"/>
  <c r="BO26" i="5" s="1"/>
  <c r="BP26" i="5" s="1"/>
  <c r="BN7" i="5" l="1"/>
  <c r="BN6" i="5"/>
  <c r="BM12" i="5"/>
  <c r="BM13" i="5"/>
  <c r="BO5" i="5" l="1"/>
  <c r="BN11" i="5"/>
  <c r="BO7" i="5" l="1"/>
  <c r="BO6" i="5"/>
  <c r="BN13" i="5"/>
  <c r="BN12" i="5"/>
  <c r="BP5" i="5" l="1"/>
  <c r="BQ21" i="5" s="1"/>
  <c r="BQ22" i="5" s="1"/>
  <c r="BR22" i="5" s="1"/>
  <c r="BS22" i="5" s="1"/>
  <c r="BO11" i="5"/>
  <c r="BP7" i="5" l="1"/>
  <c r="BP6" i="5"/>
  <c r="BO12" i="5"/>
  <c r="BO13" i="5"/>
  <c r="BQ5" i="5" l="1"/>
  <c r="BP11" i="5"/>
  <c r="BQ25" i="5" s="1"/>
  <c r="BQ26" i="5" s="1"/>
  <c r="BR26" i="5" s="1"/>
  <c r="BS26" i="5" s="1"/>
  <c r="BQ7" i="5" l="1"/>
  <c r="BQ6" i="5"/>
  <c r="BP12" i="5"/>
  <c r="BP13" i="5"/>
  <c r="BR5" i="5" l="1"/>
  <c r="BQ11" i="5"/>
  <c r="BR7" i="5" l="1"/>
  <c r="BR6" i="5"/>
  <c r="BQ12" i="5"/>
  <c r="BQ13" i="5"/>
  <c r="BS5" i="5" l="1"/>
  <c r="BT21" i="5" s="1"/>
  <c r="BT22" i="5" s="1"/>
  <c r="BU22" i="5" s="1"/>
  <c r="BV22" i="5" s="1"/>
  <c r="BR11" i="5"/>
  <c r="BS7" i="5" l="1"/>
  <c r="BS6" i="5"/>
  <c r="BR13" i="5"/>
  <c r="BR12" i="5"/>
  <c r="BT5" i="5" l="1"/>
  <c r="BS11" i="5"/>
  <c r="BT25" i="5" s="1"/>
  <c r="BT26" i="5" s="1"/>
  <c r="BU26" i="5" s="1"/>
  <c r="BV26" i="5" s="1"/>
  <c r="BT7" i="5" l="1"/>
  <c r="BT6" i="5"/>
  <c r="BS13" i="5"/>
  <c r="BS12" i="5"/>
  <c r="BU5" i="5" l="1"/>
  <c r="BT11" i="5"/>
  <c r="BU7" i="5" l="1"/>
  <c r="BU6" i="5"/>
  <c r="BT12" i="5"/>
  <c r="BT13" i="5"/>
  <c r="BV5" i="5" l="1"/>
  <c r="BW21" i="5" s="1"/>
  <c r="BW22" i="5" s="1"/>
  <c r="BX22" i="5" s="1"/>
  <c r="BY22" i="5" s="1"/>
  <c r="BU11" i="5"/>
  <c r="BV7" i="5" l="1"/>
  <c r="BV6" i="5"/>
  <c r="BU13" i="5"/>
  <c r="BU12" i="5"/>
  <c r="BW5" i="5" l="1"/>
  <c r="BV11" i="5"/>
  <c r="BW25" i="5" s="1"/>
  <c r="BW26" i="5" s="1"/>
  <c r="BX26" i="5" s="1"/>
  <c r="BY26" i="5" s="1"/>
  <c r="BW7" i="5" l="1"/>
  <c r="BW6" i="5"/>
  <c r="BV12" i="5"/>
  <c r="BV13" i="5"/>
  <c r="BX5" i="5" l="1"/>
  <c r="BW11" i="5"/>
  <c r="BX7" i="5" l="1"/>
  <c r="BX6" i="5"/>
  <c r="BW12" i="5"/>
  <c r="BW13" i="5"/>
  <c r="BY5" i="5" l="1"/>
  <c r="BZ21" i="5" s="1"/>
  <c r="BZ22" i="5" s="1"/>
  <c r="CA22" i="5" s="1"/>
  <c r="CB22" i="5" s="1"/>
  <c r="BX11" i="5"/>
  <c r="BY7" i="5" l="1"/>
  <c r="BY6" i="5"/>
  <c r="BX12" i="5"/>
  <c r="BX13" i="5"/>
  <c r="BZ5" i="5" l="1"/>
  <c r="BY11" i="5"/>
  <c r="BZ25" i="5" s="1"/>
  <c r="BZ26" i="5" s="1"/>
  <c r="CA26" i="5" s="1"/>
  <c r="CB26" i="5" s="1"/>
  <c r="BZ7" i="5" l="1"/>
  <c r="BZ6" i="5"/>
  <c r="BY12" i="5"/>
  <c r="BY13" i="5"/>
  <c r="CA5" i="5" l="1"/>
  <c r="BZ11" i="5"/>
  <c r="CA7" i="5" l="1"/>
  <c r="CA6" i="5"/>
  <c r="BZ12" i="5"/>
  <c r="BZ13" i="5"/>
  <c r="CB5" i="5" l="1"/>
  <c r="CC21" i="5" s="1"/>
  <c r="CC22" i="5" s="1"/>
  <c r="CD22" i="5" s="1"/>
  <c r="CE22" i="5" s="1"/>
  <c r="CA11" i="5"/>
  <c r="CB7" i="5" l="1"/>
  <c r="CB6" i="5"/>
  <c r="CA12" i="5"/>
  <c r="CA13" i="5"/>
  <c r="CC5" i="5" l="1"/>
  <c r="CB11" i="5"/>
  <c r="CC25" i="5" s="1"/>
  <c r="CC26" i="5" s="1"/>
  <c r="CD26" i="5" s="1"/>
  <c r="CE26" i="5" s="1"/>
  <c r="CC7" i="5" l="1"/>
  <c r="CC6" i="5"/>
  <c r="CB12" i="5"/>
  <c r="CB13" i="5"/>
  <c r="CD5" i="5" l="1"/>
  <c r="CC11" i="5"/>
  <c r="CD7" i="5" l="1"/>
  <c r="CD6" i="5"/>
  <c r="CC12" i="5"/>
  <c r="CC13" i="5"/>
  <c r="CE5" i="5" l="1"/>
  <c r="CF21" i="5" s="1"/>
  <c r="CF22" i="5" s="1"/>
  <c r="CG22" i="5" s="1"/>
  <c r="CH22" i="5" s="1"/>
  <c r="CD11" i="5"/>
  <c r="CE7" i="5" l="1"/>
  <c r="CE6" i="5"/>
  <c r="CD13" i="5"/>
  <c r="CD12" i="5"/>
  <c r="CF5" i="5" l="1"/>
  <c r="CE11" i="5"/>
  <c r="CF25" i="5" s="1"/>
  <c r="CF26" i="5" s="1"/>
  <c r="CG26" i="5" s="1"/>
  <c r="CH26" i="5" s="1"/>
  <c r="CF7" i="5" l="1"/>
  <c r="CF6" i="5"/>
  <c r="CE12" i="5"/>
  <c r="CE13" i="5"/>
  <c r="CG5" i="5" l="1"/>
  <c r="CF11" i="5"/>
  <c r="CG7" i="5" l="1"/>
  <c r="CG6" i="5"/>
  <c r="CF12" i="5"/>
  <c r="CF13" i="5"/>
  <c r="CH5" i="5" l="1"/>
  <c r="CI21" i="5" s="1"/>
  <c r="CI22" i="5" s="1"/>
  <c r="CJ22" i="5" s="1"/>
  <c r="CK22" i="5" s="1"/>
  <c r="CG11" i="5"/>
  <c r="CH7" i="5" l="1"/>
  <c r="CH6" i="5"/>
  <c r="CG12" i="5"/>
  <c r="CG13" i="5"/>
  <c r="CI5" i="5" l="1"/>
  <c r="CH11" i="5"/>
  <c r="CI25" i="5" s="1"/>
  <c r="CI26" i="5" s="1"/>
  <c r="CJ26" i="5" s="1"/>
  <c r="CK26" i="5" s="1"/>
  <c r="CI7" i="5" l="1"/>
  <c r="CI6" i="5"/>
  <c r="CH12" i="5"/>
  <c r="CH13" i="5"/>
  <c r="CJ5" i="5" l="1"/>
  <c r="CI11" i="5"/>
  <c r="CJ7" i="5" l="1"/>
  <c r="CJ6" i="5"/>
  <c r="CI12" i="5"/>
  <c r="CI13" i="5"/>
  <c r="CK5" i="5" l="1"/>
  <c r="CL21" i="5" s="1"/>
  <c r="CL22" i="5" s="1"/>
  <c r="CM22" i="5" s="1"/>
  <c r="CN22" i="5" s="1"/>
  <c r="CJ11" i="5"/>
  <c r="CK7" i="5" l="1"/>
  <c r="CK6" i="5"/>
  <c r="CJ12" i="5"/>
  <c r="CJ13" i="5"/>
  <c r="CL5" i="5" l="1"/>
  <c r="CK11" i="5"/>
  <c r="CL25" i="5" s="1"/>
  <c r="CL26" i="5" s="1"/>
  <c r="CM26" i="5" s="1"/>
  <c r="CN26" i="5" s="1"/>
  <c r="CL7" i="5" l="1"/>
  <c r="CL6" i="5"/>
  <c r="CK12" i="5"/>
  <c r="CK13" i="5"/>
  <c r="CM5" i="5" l="1"/>
  <c r="CL11" i="5"/>
  <c r="CM7" i="5" l="1"/>
  <c r="CM6" i="5"/>
  <c r="CL12" i="5"/>
  <c r="CL13" i="5"/>
  <c r="CN5" i="5" l="1"/>
  <c r="CO21" i="5" s="1"/>
  <c r="CO22" i="5" s="1"/>
  <c r="CP22" i="5" s="1"/>
  <c r="CQ22" i="5" s="1"/>
  <c r="CM11" i="5"/>
  <c r="CN6" i="5" l="1"/>
  <c r="CN7" i="5"/>
  <c r="CM13" i="5"/>
  <c r="CM12" i="5"/>
  <c r="CO5" i="5" l="1"/>
  <c r="CN11" i="5"/>
  <c r="CO25" i="5" s="1"/>
  <c r="CO26" i="5" s="1"/>
  <c r="CP26" i="5" s="1"/>
  <c r="CQ26" i="5" s="1"/>
  <c r="CO6" i="5" l="1"/>
  <c r="CO7" i="5"/>
  <c r="CN12" i="5"/>
  <c r="CN13" i="5"/>
  <c r="CP5" i="5" l="1"/>
  <c r="CO11" i="5"/>
  <c r="CP6" i="5" l="1"/>
  <c r="CP7" i="5"/>
  <c r="CO13" i="5"/>
  <c r="CO12" i="5"/>
  <c r="CQ5" i="5" l="1"/>
  <c r="CR21" i="5" s="1"/>
  <c r="CR22" i="5" s="1"/>
  <c r="CP11" i="5"/>
  <c r="CQ7" i="5" l="1"/>
  <c r="CR5" i="5"/>
  <c r="CQ6" i="5"/>
  <c r="CP12" i="5"/>
  <c r="CP13" i="5"/>
  <c r="CR7" i="5" l="1"/>
  <c r="CR6" i="5"/>
  <c r="CQ11" i="5"/>
  <c r="CR25" i="5" s="1"/>
  <c r="CR26" i="5" s="1"/>
  <c r="CR11" i="5" l="1"/>
  <c r="CQ12" i="5"/>
  <c r="CQ13" i="5"/>
  <c r="CR13" i="5" l="1"/>
  <c r="CR12" i="5"/>
</calcChain>
</file>

<file path=xl/comments1.xml><?xml version="1.0" encoding="utf-8"?>
<comments xmlns="http://schemas.openxmlformats.org/spreadsheetml/2006/main">
  <authors>
    <author>Mokaddim Jashim Bhuiyan</author>
    <author>ahossain</author>
  </authors>
  <commentList>
    <comment ref="AZ31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Payment made on 24 Nov'19, assigned to all loans of GHEL.</t>
        </r>
      </text>
    </comment>
    <comment ref="K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Dec'15 Interest</t>
        </r>
      </text>
    </comment>
    <comment ref="L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Mar'16 Invoice (Partial)</t>
        </r>
      </text>
    </comment>
    <comment ref="O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Mar'16 Interest (Partial)</t>
        </r>
      </text>
    </comment>
    <comment ref="P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Jun'16 Interest</t>
        </r>
      </text>
    </comment>
    <comment ref="R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Sep'16 Interest</t>
        </r>
      </text>
    </comment>
    <comment ref="S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Dec'16 Interest</t>
        </r>
      </text>
    </comment>
    <comment ref="T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Mar'17 Interest</t>
        </r>
      </text>
    </comment>
    <comment ref="U32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Jun'17 Interest</t>
        </r>
      </text>
    </comment>
    <comment ref="AS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Sep'17 Interest</t>
        </r>
      </text>
    </comment>
    <comment ref="AT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Dec'17 Interest</t>
        </r>
      </text>
    </comment>
    <comment ref="AU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Mar'18 Interest</t>
        </r>
      </text>
    </comment>
    <comment ref="AV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Jun'18 Interest</t>
        </r>
      </text>
    </comment>
    <comment ref="AW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Sep'18 Interest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Dec'18 Interest</t>
        </r>
      </text>
    </comment>
    <comment ref="AY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Mar'19 Interest</t>
        </r>
      </text>
    </comment>
    <comment ref="AZ32" authorId="0" shapeId="0">
      <text>
        <r>
          <rPr>
            <b/>
            <sz val="9"/>
            <color indexed="81"/>
            <rFont val="Tahoma"/>
            <family val="2"/>
          </rPr>
          <t>Mokaddim Jashim Bhuiyan:</t>
        </r>
        <r>
          <rPr>
            <sz val="9"/>
            <color indexed="81"/>
            <rFont val="Tahoma"/>
            <family val="2"/>
          </rPr>
          <t xml:space="preserve">
Jun'19 Interest (Partial)</t>
        </r>
      </text>
    </comment>
    <comment ref="N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Dec'15 Principal</t>
        </r>
      </text>
    </comment>
    <comment ref="O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Mar'16 Principal</t>
        </r>
      </text>
    </comment>
    <comment ref="P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Jun'16 Principal (Partial)</t>
        </r>
      </text>
    </comment>
    <comment ref="R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Jun'16 Principal (Partial)</t>
        </r>
      </text>
    </comment>
    <comment ref="S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Sep'16 Principal</t>
        </r>
      </text>
    </comment>
    <comment ref="U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Dec'16 Principal (Partial)</t>
        </r>
      </text>
    </comment>
    <comment ref="V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Dec'16 Principal (Partial)</t>
        </r>
      </text>
    </comment>
    <comment ref="W33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Dec'16 Principal (Partial)</t>
        </r>
      </text>
    </comment>
    <comment ref="O34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Mar'16 LPC</t>
        </r>
      </text>
    </comment>
    <comment ref="P34" authorId="1" shapeId="0">
      <text>
        <r>
          <rPr>
            <b/>
            <sz val="9"/>
            <color indexed="81"/>
            <rFont val="Tahoma"/>
            <family val="2"/>
          </rPr>
          <t>ahossain:</t>
        </r>
        <r>
          <rPr>
            <sz val="9"/>
            <color indexed="81"/>
            <rFont val="Tahoma"/>
            <family val="2"/>
          </rPr>
          <t xml:space="preserve">
Jun'16 LPC</t>
        </r>
      </text>
    </comment>
  </commentList>
</comments>
</file>

<file path=xl/sharedStrings.xml><?xml version="1.0" encoding="utf-8"?>
<sst xmlns="http://schemas.openxmlformats.org/spreadsheetml/2006/main" count="123" uniqueCount="85">
  <si>
    <t>Project name:</t>
  </si>
  <si>
    <t>Assumptions:</t>
  </si>
  <si>
    <t>Loan Amount</t>
  </si>
  <si>
    <t>Interest Rate</t>
  </si>
  <si>
    <t>Financial Close</t>
  </si>
  <si>
    <t>Drawdown Date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</si>
  <si>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</si>
  <si>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</si>
  <si>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</si>
  <si>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</si>
  <si>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</si>
  <si>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</si>
  <si>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</si>
  <si>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</si>
  <si>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</si>
  <si>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Accrual of interest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</si>
  <si>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</si>
  <si>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</si>
  <si>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</si>
  <si>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</si>
  <si>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</si>
  <si>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</si>
  <si>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</si>
  <si>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</si>
  <si>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</si>
  <si>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</si>
  <si>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</si>
  <si>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</si>
  <si>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</si>
  <si>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</si>
  <si>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</si>
  <si>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</si>
  <si>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</si>
  <si>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</si>
  <si>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</si>
  <si>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</si>
  <si>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</si>
  <si>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</si>
  <si>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</si>
  <si>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</si>
  <si>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</si>
  <si>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</si>
  <si>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</si>
  <si>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</si>
  <si>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</si>
  <si>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 xml:space="preserve"> </t>
  </si>
  <si>
    <t>IDCOL Loan</t>
  </si>
  <si>
    <t>Repayment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</si>
  <si>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</si>
  <si>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</si>
  <si>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</si>
  <si>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</si>
  <si>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</si>
  <si>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</si>
  <si>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</si>
  <si>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</si>
  <si>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</si>
  <si>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</si>
  <si>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</si>
  <si>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years</t>
  </si>
  <si>
    <t>Source:</t>
  </si>
  <si>
    <t>Request Date</t>
  </si>
  <si>
    <t>IDA-5158</t>
  </si>
  <si>
    <t>Grant</t>
  </si>
  <si>
    <t>Principal Grace Period</t>
  </si>
  <si>
    <t>interest Grace period ends</t>
  </si>
  <si>
    <t>Principal Grace Period Ends</t>
  </si>
  <si>
    <t xml:space="preserve">days </t>
  </si>
  <si>
    <t>Level Principal</t>
  </si>
  <si>
    <t>Green Housing Energy Ltd. (GHEL-15 SIPs)</t>
  </si>
  <si>
    <t>Source: KfW</t>
  </si>
  <si>
    <t>Average Installment Size</t>
  </si>
  <si>
    <t>Status on 30 Sep'19</t>
  </si>
  <si>
    <t>Principal Overdue</t>
  </si>
  <si>
    <t>Interest Overdue</t>
  </si>
  <si>
    <t>Total Overdue (Excl. LPC)</t>
  </si>
  <si>
    <t>Downpayment Required for Rescheduling</t>
  </si>
  <si>
    <t>Payment by GHEL on 24 Nov'19</t>
  </si>
  <si>
    <t>Payment Assigned</t>
  </si>
  <si>
    <t>GHEL-SHS</t>
  </si>
  <si>
    <t>GHEL-Biogas</t>
  </si>
  <si>
    <t>GHEL SIP-1</t>
  </si>
  <si>
    <t>GHEL SIP-2</t>
  </si>
  <si>
    <t>GHEL SMG-1</t>
  </si>
  <si>
    <t>GHEL SMG-2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</si>
</sst>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</numFmts>
  <fonts count="2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b/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2" fillId="0" borderId="0" xfId="0" applyFont="1"/>
    <xf numFmtId="10" fontId="11" fillId="0" borderId="0" xfId="0" applyNumberFormat="1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4" fontId="12" fillId="0" borderId="0" xfId="0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Protection="1">
      <protection locked="0"/>
    </xf>
    <xf numFmtId="43" fontId="12" fillId="0" borderId="0" xfId="1" applyFont="1"/>
    <xf numFmtId="3" fontId="12" fillId="0" borderId="0" xfId="0" applyNumberFormat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3" fontId="12" fillId="0" borderId="1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right"/>
      <protection locked="0"/>
    </xf>
    <xf numFmtId="4" fontId="12" fillId="0" borderId="0" xfId="0" applyNumberFormat="1" applyFont="1" applyFill="1" applyBorder="1" applyProtection="1">
      <protection locked="0"/>
    </xf>
    <xf numFmtId="165" fontId="12" fillId="0" borderId="0" xfId="1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Fill="1" applyBorder="1" applyProtection="1"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14" fillId="0" borderId="0" xfId="0" applyFont="1" applyFill="1"/>
    <xf numFmtId="1" fontId="12" fillId="0" borderId="0" xfId="0" applyNumberFormat="1" applyFont="1" applyFill="1"/>
    <xf numFmtId="166" fontId="12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9" fontId="2" fillId="0" borderId="4" xfId="2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9" fontId="2" fillId="0" borderId="4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15" fontId="12" fillId="0" borderId="0" xfId="0" applyNumberFormat="1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" fontId="2" fillId="0" borderId="0" xfId="0" applyNumberFormat="1" applyFont="1" applyFill="1" applyBorder="1" applyProtection="1">
      <protection locked="0"/>
    </xf>
    <xf numFmtId="164" fontId="2" fillId="3" borderId="0" xfId="0" applyNumberFormat="1" applyFont="1" applyFill="1" applyBorder="1" applyAlignment="1" applyProtection="1">
      <alignment horizontal="right"/>
      <protection locked="0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0" fontId="2" fillId="3" borderId="0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4" borderId="7" xfId="0" applyFont="1" applyFill="1" applyBorder="1"/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/>
    <xf numFmtId="164" fontId="12" fillId="0" borderId="0" xfId="0" applyNumberFormat="1" applyFont="1"/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164" fontId="12" fillId="0" borderId="2" xfId="1" applyNumberFormat="1" applyFont="1" applyBorder="1"/>
    <xf numFmtId="164" fontId="12" fillId="0" borderId="2" xfId="0" applyNumberFormat="1" applyFont="1" applyBorder="1"/>
    <xf numFmtId="164" fontId="12" fillId="0" borderId="3" xfId="0" applyNumberFormat="1" applyFont="1" applyBorder="1"/>
    <xf numFmtId="164" fontId="5" fillId="2" borderId="5" xfId="0" applyNumberFormat="1" applyFont="1" applyFill="1" applyBorder="1" applyAlignment="1" applyProtection="1">
      <alignment horizontal="right"/>
      <protection locked="0"/>
    </xf>
    <xf numFmtId="43" fontId="12" fillId="0" borderId="0" xfId="1" applyFont="1" applyBorder="1"/>
    <xf numFmtId="0" fontId="11" fillId="0" borderId="0" xfId="0" applyFont="1"/>
    <xf numFmtId="0" fontId="0" fillId="3" borderId="0" xfId="0" applyFill="1"/>
    <xf numFmtId="0" fontId="3" fillId="3" borderId="0" xfId="0" applyFont="1" applyFill="1" applyBorder="1" applyProtection="1">
      <protection locked="0"/>
    </xf>
    <xf numFmtId="0" fontId="4" fillId="3" borderId="0" xfId="0" applyFont="1" applyFill="1" applyBorder="1" applyProtection="1">
      <protection locked="0"/>
    </xf>
    <xf numFmtId="0" fontId="5" fillId="3" borderId="0" xfId="0" applyFont="1" applyFill="1" applyBorder="1" applyProtection="1">
      <protection locked="0"/>
    </xf>
    <xf numFmtId="164" fontId="2" fillId="3" borderId="4" xfId="0" applyNumberFormat="1" applyFont="1" applyFill="1" applyBorder="1" applyAlignment="1" applyProtection="1">
      <alignment horizontal="right"/>
      <protection locked="0"/>
    </xf>
    <xf numFmtId="3" fontId="2" fillId="3" borderId="4" xfId="0" applyNumberFormat="1" applyFont="1" applyFill="1" applyBorder="1" applyAlignment="1" applyProtection="1">
      <alignment horizontal="right"/>
      <protection locked="0"/>
    </xf>
    <xf numFmtId="9" fontId="2" fillId="3" borderId="4" xfId="2" applyFont="1" applyFill="1" applyBorder="1" applyAlignment="1" applyProtection="1">
      <alignment horizontal="right"/>
      <protection locked="0"/>
    </xf>
    <xf numFmtId="3" fontId="5" fillId="3" borderId="0" xfId="0" applyNumberFormat="1" applyFont="1" applyFill="1" applyBorder="1" applyAlignment="1"/>
    <xf numFmtId="0" fontId="2" fillId="3" borderId="0" xfId="0" applyNumberFormat="1" applyFont="1" applyFill="1" applyBorder="1" applyAlignment="1" applyProtection="1">
      <alignment horizontal="right"/>
      <protection locked="0"/>
    </xf>
    <xf numFmtId="0" fontId="2" fillId="3" borderId="4" xfId="0" applyNumberFormat="1" applyFont="1" applyFill="1" applyBorder="1" applyAlignment="1" applyProtection="1">
      <alignment horizontal="right"/>
      <protection locked="0"/>
    </xf>
    <xf numFmtId="164" fontId="5" fillId="3" borderId="0" xfId="0" applyNumberFormat="1" applyFont="1" applyFill="1" applyBorder="1" applyAlignment="1" applyProtection="1">
      <alignment horizontal="right"/>
      <protection locked="0"/>
    </xf>
    <xf numFmtId="0" fontId="5" fillId="3" borderId="0" xfId="0" applyNumberFormat="1" applyFont="1" applyFill="1" applyBorder="1" applyAlignment="1" applyProtection="1">
      <alignment horizontal="right"/>
      <protection locked="0"/>
    </xf>
    <xf numFmtId="3" fontId="5" fillId="3" borderId="5" xfId="0" applyNumberFormat="1" applyFont="1" applyFill="1" applyBorder="1" applyAlignment="1"/>
    <xf numFmtId="164" fontId="5" fillId="3" borderId="5" xfId="0" applyNumberFormat="1" applyFont="1" applyFill="1" applyBorder="1" applyAlignment="1" applyProtection="1">
      <alignment horizontal="right"/>
      <protection locked="0"/>
    </xf>
    <xf numFmtId="3" fontId="2" fillId="3" borderId="5" xfId="0" applyNumberFormat="1" applyFont="1" applyFill="1" applyBorder="1" applyAlignment="1" applyProtection="1">
      <alignment horizontal="right"/>
      <protection locked="0"/>
    </xf>
    <xf numFmtId="3" fontId="5" fillId="3" borderId="6" xfId="0" applyNumberFormat="1" applyFont="1" applyFill="1" applyBorder="1" applyAlignment="1"/>
    <xf numFmtId="164" fontId="5" fillId="3" borderId="6" xfId="0" applyNumberFormat="1" applyFont="1" applyFill="1" applyBorder="1" applyAlignment="1" applyProtection="1">
      <alignment horizontal="right"/>
      <protection locked="0"/>
    </xf>
    <xf numFmtId="3" fontId="2" fillId="3" borderId="6" xfId="0" applyNumberFormat="1" applyFont="1" applyFill="1" applyBorder="1" applyAlignment="1" applyProtection="1">
      <alignment horizontal="right"/>
      <protection locked="0"/>
    </xf>
    <xf numFmtId="43" fontId="12" fillId="0" borderId="0" xfId="0" applyNumberFormat="1" applyFont="1"/>
    <xf numFmtId="0" fontId="12" fillId="0" borderId="0" xfId="0" applyFont="1" applyFill="1" applyBorder="1"/>
    <xf numFmtId="4" fontId="12" fillId="0" borderId="0" xfId="0" applyNumberFormat="1" applyFont="1" applyFill="1" applyBorder="1" applyAlignment="1">
      <alignment horizontal="center"/>
    </xf>
    <xf numFmtId="9" fontId="2" fillId="0" borderId="0" xfId="0" applyNumberFormat="1" applyFont="1" applyFill="1" applyBorder="1" applyProtection="1">
      <protection locked="0"/>
    </xf>
    <xf numFmtId="8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Alignment="1" applyProtection="1">
      <alignment horizontal="right"/>
      <protection locked="0"/>
    </xf>
    <xf numFmtId="15" fontId="2" fillId="0" borderId="0" xfId="0" applyNumberFormat="1" applyFont="1" applyFill="1" applyBorder="1" applyProtection="1">
      <protection locked="0"/>
    </xf>
    <xf numFmtId="15" fontId="2" fillId="0" borderId="4" xfId="0" applyNumberFormat="1" applyFont="1" applyFill="1" applyBorder="1" applyProtection="1">
      <protection locked="0"/>
    </xf>
    <xf numFmtId="9" fontId="2" fillId="0" borderId="0" xfId="2" applyFont="1" applyFill="1" applyBorder="1" applyAlignment="1" applyProtection="1">
      <alignment horizontal="right"/>
      <protection locked="0"/>
    </xf>
    <xf numFmtId="165" fontId="2" fillId="0" borderId="4" xfId="1" applyNumberFormat="1" applyFont="1" applyFill="1" applyBorder="1"/>
    <xf numFmtId="0" fontId="0" fillId="0" borderId="0" xfId="0" applyFill="1"/>
    <xf numFmtId="164" fontId="2" fillId="0" borderId="4" xfId="0" applyNumberFormat="1" applyFont="1" applyFill="1" applyBorder="1"/>
    <xf numFmtId="3" fontId="5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16" fillId="3" borderId="0" xfId="0" applyFont="1" applyFill="1" applyBorder="1" applyProtection="1">
      <protection locked="0"/>
    </xf>
    <xf numFmtId="0" fontId="5" fillId="4" borderId="4" xfId="0" applyFont="1" applyFill="1" applyBorder="1" applyAlignment="1">
      <alignment horizontal="center" vertical="center"/>
    </xf>
    <xf numFmtId="15" fontId="12" fillId="0" borderId="0" xfId="0" applyNumberFormat="1" applyFont="1" applyFill="1" applyAlignment="1">
      <alignment horizontal="center"/>
    </xf>
    <xf numFmtId="43" fontId="12" fillId="0" borderId="10" xfId="1" applyFont="1" applyBorder="1"/>
    <xf numFmtId="43" fontId="12" fillId="0" borderId="11" xfId="1" applyFont="1" applyBorder="1"/>
    <xf numFmtId="164" fontId="12" fillId="0" borderId="4" xfId="1" applyNumberFormat="1" applyFont="1" applyFill="1" applyBorder="1"/>
    <xf numFmtId="164" fontId="12" fillId="0" borderId="4" xfId="1" applyNumberFormat="1" applyFont="1" applyBorder="1"/>
    <xf numFmtId="43" fontId="12" fillId="0" borderId="13" xfId="1" applyFont="1" applyBorder="1"/>
    <xf numFmtId="43" fontId="11" fillId="0" borderId="14" xfId="1" applyFont="1" applyBorder="1"/>
    <xf numFmtId="43" fontId="12" fillId="0" borderId="14" xfId="1" applyFont="1" applyBorder="1"/>
    <xf numFmtId="43" fontId="12" fillId="0" borderId="15" xfId="1" applyFont="1" applyBorder="1"/>
    <xf numFmtId="43" fontId="12" fillId="0" borderId="16" xfId="1" applyFont="1" applyBorder="1"/>
    <xf numFmtId="43" fontId="12" fillId="0" borderId="6" xfId="1" applyFont="1" applyBorder="1"/>
    <xf numFmtId="165" fontId="12" fillId="0" borderId="0" xfId="1" applyNumberFormat="1" applyFont="1" applyFill="1"/>
    <xf numFmtId="0" fontId="0" fillId="0" borderId="0" xfId="0" applyAlignment="1">
      <alignment vertical="center" wrapText="1"/>
    </xf>
    <xf numFmtId="164" fontId="12" fillId="0" borderId="12" xfId="1" applyNumberFormat="1" applyFont="1" applyBorder="1" applyAlignment="1">
      <alignment horizontal="center"/>
    </xf>
    <xf numFmtId="164" fontId="12" fillId="0" borderId="3" xfId="1" applyNumberFormat="1" applyFont="1" applyBorder="1" applyAlignment="1">
      <alignment horizontal="center"/>
    </xf>
    <xf numFmtId="164" fontId="12" fillId="0" borderId="2" xfId="1" applyNumberFormat="1" applyFont="1" applyBorder="1" applyAlignment="1">
      <alignment horizontal="center"/>
    </xf>
    <xf numFmtId="164" fontId="12" fillId="0" borderId="12" xfId="1" applyNumberFormat="1" applyFont="1" applyFill="1" applyBorder="1" applyAlignment="1">
      <alignment horizontal="center"/>
    </xf>
    <xf numFmtId="164" fontId="12" fillId="0" borderId="2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5" fontId="12" fillId="0" borderId="4" xfId="1" applyNumberFormat="1" applyFont="1" applyBorder="1" applyAlignment="1">
      <alignment horizontal="center" vertical="center"/>
    </xf>
    <xf numFmtId="165" fontId="12" fillId="0" borderId="4" xfId="1" applyNumberFormat="1" applyFont="1" applyBorder="1" applyAlignment="1">
      <alignment horizontal="center" vertical="center"/>
    </xf>
    <xf numFmtId="0" fontId="11" fillId="0" borderId="4" xfId="0" applyFont="1" applyBorder="1"/>
    <xf numFmtId="165" fontId="11" fillId="0" borderId="4" xfId="0" applyNumberFormat="1" applyFont="1" applyBorder="1"/>
    <xf numFmtId="0" fontId="11" fillId="5" borderId="4" xfId="0" applyFont="1" applyFill="1" applyBorder="1" applyAlignment="1">
      <alignment horizontal="center" vertical="center"/>
    </xf>
    <xf numFmtId="165" fontId="11" fillId="5" borderId="4" xfId="1" applyNumberFormat="1" applyFont="1" applyFill="1" applyBorder="1" applyAlignment="1">
      <alignment horizontal="center" vertical="center"/>
    </xf>
    <xf numFmtId="165" fontId="12" fillId="5" borderId="4" xfId="1" applyNumberFormat="1" applyFont="1" applyFill="1" applyBorder="1" applyAlignment="1">
      <alignment horizontal="center" vertical="center"/>
    </xf>
    <xf numFmtId="43" fontId="19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selection activeCell="A10" sqref="A10"/>
    </sheetView>
  </sheetViews>
  <sheetFormatPr defaultColWidth="9.140625" defaultRowHeight="13.5" x14ac:dyDescent="0.25"/>
  <cols>
    <col min="1" max="1" width="21.42578125" style="24" bestFit="1" customWidth="1"/>
    <col min="2" max="2" width="17.7109375" style="24" customWidth="1"/>
    <col min="3" max="3" width="17.42578125" style="24" customWidth="1"/>
    <col min="4" max="4" width="24.5703125" style="24" bestFit="1" customWidth="1"/>
    <col min="5" max="5" width="9.140625" style="24"/>
    <col min="6" max="6" width="9.28515625" style="24" bestFit="1" customWidth="1"/>
    <col min="7" max="7" width="22.85546875" style="24" customWidth="1"/>
    <col min="8" max="9" width="18.5703125" style="24" customWidth="1"/>
    <col min="10" max="10" width="26.140625" style="24" customWidth="1"/>
    <col min="11" max="16384" width="9.140625" style="24"/>
  </cols>
  <sheetData>
    <row r="1" spans="1:10" ht="15" x14ac:dyDescent="0.3">
      <c r="A1" s="46" t="s">
        <v>17</v>
      </c>
      <c r="B1" s="103" t="s">
        <v>69</v>
      </c>
      <c r="G1" s="123" t="s">
        <v>63</v>
      </c>
      <c r="H1" s="123"/>
      <c r="I1" s="123"/>
      <c r="J1" s="123"/>
    </row>
    <row r="2" spans="1:10" x14ac:dyDescent="0.25">
      <c r="A2" s="46" t="s">
        <v>18</v>
      </c>
      <c r="B2" s="24" t="s">
        <v>48</v>
      </c>
      <c r="G2" s="123" t="s">
        <v>70</v>
      </c>
      <c r="H2" s="123"/>
      <c r="I2" s="123"/>
      <c r="J2" s="123"/>
    </row>
    <row r="3" spans="1:10" x14ac:dyDescent="0.25">
      <c r="A3" s="46" t="s">
        <v>19</v>
      </c>
      <c r="B3" s="24" t="s">
        <v>46</v>
      </c>
      <c r="G3" s="123"/>
      <c r="H3" s="123"/>
      <c r="I3" s="123"/>
      <c r="J3" s="123"/>
    </row>
    <row r="4" spans="1:10" x14ac:dyDescent="0.25">
      <c r="A4" s="46" t="s">
        <v>60</v>
      </c>
      <c r="B4" s="24" t="s">
        <v>62</v>
      </c>
      <c r="G4" s="123"/>
      <c r="H4" s="123"/>
      <c r="I4" s="123"/>
      <c r="J4" s="123"/>
    </row>
    <row r="5" spans="1:10" x14ac:dyDescent="0.25">
      <c r="G5" s="123"/>
      <c r="H5" s="123"/>
      <c r="I5" s="123"/>
      <c r="J5" s="123"/>
    </row>
    <row r="6" spans="1:10" ht="14.25" thickBot="1" x14ac:dyDescent="0.3">
      <c r="G6" s="123"/>
      <c r="H6" s="123"/>
      <c r="I6" s="123"/>
      <c r="J6" s="123"/>
    </row>
    <row r="7" spans="1:10" ht="15.75" thickBot="1" x14ac:dyDescent="0.35">
      <c r="A7" s="92" t="s">
        <v>20</v>
      </c>
      <c r="B7" s="93" t="s">
        <v>21</v>
      </c>
      <c r="C7" s="93" t="s">
        <v>22</v>
      </c>
      <c r="D7" s="94" t="s">
        <v>23</v>
      </c>
      <c r="G7" s="92" t="s">
        <v>20</v>
      </c>
      <c r="H7" s="93" t="s">
        <v>21</v>
      </c>
      <c r="I7" s="93" t="s">
        <v>22</v>
      </c>
      <c r="J7" s="94" t="s">
        <v>23</v>
      </c>
    </row>
    <row r="8" spans="1:10" x14ac:dyDescent="0.25">
      <c r="A8" s="81">
        <v>1</v>
      </c>
      <c r="B8" s="139">
        <v>42059</v>
      </c>
      <c r="C8" s="83">
        <v>8598240</v>
      </c>
      <c r="D8" s="84">
        <f>C8</f>
        <v>8598240</v>
      </c>
      <c r="F8" s="47"/>
      <c r="G8" s="135">
        <v>1</v>
      </c>
      <c r="H8" s="139">
        <v>42067</v>
      </c>
      <c r="I8" s="83">
        <v>10032160</v>
      </c>
      <c r="J8" s="124">
        <f>I8</f>
        <v>10032160</v>
      </c>
    </row>
    <row r="9" spans="1:10" x14ac:dyDescent="0.25">
      <c r="A9" s="81">
        <v>2</v>
      </c>
      <c r="B9" s="139">
        <v>42059</v>
      </c>
      <c r="C9" s="83">
        <v>4601262</v>
      </c>
      <c r="D9" s="84">
        <f>D8+C9</f>
        <v>13199502</v>
      </c>
      <c r="F9" s="47"/>
      <c r="G9" s="135">
        <v>2</v>
      </c>
      <c r="H9" s="139">
        <v>42067</v>
      </c>
      <c r="I9" s="83">
        <v>5067508</v>
      </c>
      <c r="J9" s="124">
        <f>J8+I9</f>
        <v>15099668</v>
      </c>
    </row>
    <row r="10" spans="1:10" x14ac:dyDescent="0.25">
      <c r="A10" s="81">
        <v>3</v>
      </c>
      <c r="B10" s="82">
        <v>42540</v>
      </c>
      <c r="C10" s="83">
        <v>1240166</v>
      </c>
      <c r="D10" s="84">
        <f>D9+C10</f>
        <v>14439668</v>
      </c>
      <c r="G10" s="47"/>
    </row>
    <row r="11" spans="1:10" x14ac:dyDescent="0.25">
      <c r="B11" s="47"/>
      <c r="C11" s="32"/>
      <c r="D11" s="48"/>
      <c r="G11" s="47"/>
    </row>
    <row r="12" spans="1:10" x14ac:dyDescent="0.25">
      <c r="B12" s="47"/>
      <c r="C12" s="32"/>
      <c r="D12" s="48"/>
      <c r="G12" s="47"/>
    </row>
    <row r="13" spans="1:10" x14ac:dyDescent="0.25">
      <c r="B13" s="47"/>
      <c r="C13" s="32"/>
      <c r="D13" s="48"/>
      <c r="G13" s="47"/>
    </row>
    <row r="14" spans="1:10" x14ac:dyDescent="0.25">
      <c r="B14" s="47"/>
      <c r="C14" s="32"/>
      <c r="D14" s="48"/>
      <c r="G14" s="47"/>
    </row>
    <row r="15" spans="1:10" x14ac:dyDescent="0.25">
      <c r="B15" s="47"/>
      <c r="C15" s="32"/>
      <c r="D15" s="48"/>
      <c r="G15" s="47"/>
    </row>
    <row r="16" spans="1:10" x14ac:dyDescent="0.25">
      <c r="B16" s="47"/>
      <c r="C16" s="32"/>
      <c r="D16" s="48"/>
      <c r="E16" s="24" t="s">
        <v>45</v>
      </c>
      <c r="G16" s="47"/>
    </row>
    <row r="17" spans="7:7" x14ac:dyDescent="0.25">
      <c r="G17" s="47"/>
    </row>
    <row r="18" spans="7:7" x14ac:dyDescent="0.25">
      <c r="G18" s="47"/>
    </row>
    <row r="19" spans="7:7" x14ac:dyDescent="0.25">
      <c r="G19" s="47"/>
    </row>
    <row r="20" spans="7:7" x14ac:dyDescent="0.25">
      <c r="G20" s="47"/>
    </row>
    <row r="21" spans="7:7" x14ac:dyDescent="0.25">
      <c r="G21" s="47"/>
    </row>
    <row r="22" spans="7:7" x14ac:dyDescent="0.25">
      <c r="G22" s="4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O48"/>
  <sheetViews>
    <sheetView showGridLines="0" tabSelected="1" topLeftCell="A18" workbookViewId="0">
      <pane xSplit="1" topLeftCell="AR1" activePane="topRight" state="frozen"/>
      <selection pane="topRight" activeCell="AS32" sqref="AS32:AZ33"/>
    </sheetView>
  </sheetViews>
  <sheetFormatPr defaultColWidth="9.140625" defaultRowHeight="13.5" x14ac:dyDescent="0.25"/>
  <cols>
    <col min="1" max="1" width="30.140625" style="39" bestFit="1" customWidth="1"/>
    <col min="2" max="25" width="15.5703125" style="24" bestFit="1" customWidth="1"/>
    <col min="26" max="31" width="15.5703125" style="24" customWidth="1"/>
    <col min="32" max="33" width="15.5703125" style="24" bestFit="1" customWidth="1"/>
    <col min="34" max="35" width="15.5703125" style="24" customWidth="1"/>
    <col min="36" max="36" width="15.5703125" style="24" bestFit="1" customWidth="1"/>
    <col min="37" max="43" width="15.5703125" style="24" customWidth="1"/>
    <col min="44" max="45" width="15.5703125" style="24" bestFit="1" customWidth="1"/>
    <col min="46" max="47" width="15.5703125" style="24" customWidth="1"/>
    <col min="48" max="103" width="17.28515625" style="24" bestFit="1" customWidth="1"/>
    <col min="104" max="107" width="17.28515625" style="24" customWidth="1"/>
    <col min="108" max="109" width="17.28515625" style="24" bestFit="1" customWidth="1"/>
    <col min="110" max="111" width="17.28515625" style="24" customWidth="1"/>
    <col min="112" max="112" width="17.28515625" style="24" bestFit="1" customWidth="1"/>
    <col min="113" max="119" width="17.28515625" style="24" customWidth="1"/>
    <col min="120" max="121" width="17.28515625" style="24" bestFit="1" customWidth="1"/>
    <col min="122" max="123" width="17.28515625" style="24" customWidth="1"/>
    <col min="124" max="124" width="17.28515625" style="24" bestFit="1" customWidth="1"/>
    <col min="125" max="131" width="17.28515625" style="24" customWidth="1"/>
    <col min="132" max="133" width="17.28515625" style="24" bestFit="1" customWidth="1"/>
    <col min="134" max="135" width="17.28515625" style="24" customWidth="1"/>
    <col min="136" max="136" width="17.28515625" style="24" bestFit="1" customWidth="1"/>
    <col min="137" max="137" width="9.140625" style="24"/>
    <col min="138" max="138" width="4.7109375" style="24" bestFit="1" customWidth="1"/>
    <col min="139" max="16384" width="9.140625" style="24"/>
  </cols>
  <sheetData>
    <row r="1" spans="1:119" ht="15" x14ac:dyDescent="0.3">
      <c r="B1" s="30">
        <f>Accrual_GHEL!B23</f>
        <v>42064</v>
      </c>
      <c r="C1" s="30">
        <f>Accrual_GHEL!C23</f>
        <v>42095</v>
      </c>
      <c r="D1" s="30">
        <f>Accrual_GHEL!D23</f>
        <v>42125</v>
      </c>
      <c r="E1" s="30">
        <f>Accrual_GHEL!E23</f>
        <v>42156</v>
      </c>
      <c r="F1" s="30">
        <f>Accrual_GHEL!F23</f>
        <v>42186</v>
      </c>
      <c r="G1" s="30">
        <f>Accrual_GHEL!G23</f>
        <v>42217</v>
      </c>
      <c r="H1" s="30">
        <f>Accrual_GHEL!H23</f>
        <v>42248</v>
      </c>
      <c r="I1" s="30">
        <f>Accrual_GHEL!I23</f>
        <v>42278</v>
      </c>
      <c r="J1" s="30">
        <f>Accrual_GHEL!J23</f>
        <v>42309</v>
      </c>
      <c r="K1" s="30">
        <f>Accrual_GHEL!K23</f>
        <v>42339</v>
      </c>
      <c r="L1" s="30">
        <f>Accrual_GHEL!L23</f>
        <v>42370</v>
      </c>
      <c r="M1" s="30">
        <f>Accrual_GHEL!M23</f>
        <v>42401</v>
      </c>
      <c r="N1" s="30">
        <f>Accrual_GHEL!N23</f>
        <v>42430</v>
      </c>
      <c r="O1" s="30">
        <f>Accrual_GHEL!O23</f>
        <v>42461</v>
      </c>
      <c r="P1" s="30">
        <f>Accrual_GHEL!P23</f>
        <v>42491</v>
      </c>
      <c r="Q1" s="30">
        <f>Accrual_GHEL!Q23</f>
        <v>42522</v>
      </c>
      <c r="R1" s="30">
        <f>Accrual_GHEL!R23</f>
        <v>42552</v>
      </c>
      <c r="S1" s="30">
        <f>Accrual_GHEL!S23</f>
        <v>42583</v>
      </c>
      <c r="T1" s="30">
        <f>Accrual_GHEL!T23</f>
        <v>42614</v>
      </c>
      <c r="U1" s="30">
        <f>Accrual_GHEL!U23</f>
        <v>42644</v>
      </c>
      <c r="V1" s="30">
        <f>Accrual_GHEL!V23</f>
        <v>42675</v>
      </c>
      <c r="W1" s="30">
        <f>Accrual_GHEL!W23</f>
        <v>42705</v>
      </c>
      <c r="X1" s="30">
        <f>Accrual_GHEL!X23</f>
        <v>42736</v>
      </c>
      <c r="Y1" s="30">
        <f>Accrual_GHEL!Y23</f>
        <v>42767</v>
      </c>
      <c r="Z1" s="30">
        <f>Accrual_GHEL!Z23</f>
        <v>42795</v>
      </c>
      <c r="AA1" s="30">
        <f>Accrual_GHEL!AA23</f>
        <v>42826</v>
      </c>
      <c r="AB1" s="30">
        <f>Accrual_GHEL!AB23</f>
        <v>42856</v>
      </c>
      <c r="AC1" s="30">
        <f>Accrual_GHEL!AC23</f>
        <v>42887</v>
      </c>
      <c r="AD1" s="30">
        <f>Accrual_GHEL!AD23</f>
        <v>42917</v>
      </c>
      <c r="AE1" s="30">
        <f>Accrual_GHEL!AE23</f>
        <v>42948</v>
      </c>
      <c r="AF1" s="30">
        <f>Accrual_GHEL!AF23</f>
        <v>42979</v>
      </c>
      <c r="AG1" s="30">
        <f>Accrual_GHEL!AG23</f>
        <v>43009</v>
      </c>
      <c r="AH1" s="30">
        <f>Accrual_GHEL!AH23</f>
        <v>43040</v>
      </c>
      <c r="AI1" s="30">
        <f>Accrual_GHEL!AI23</f>
        <v>43070</v>
      </c>
      <c r="AJ1" s="30">
        <f>Accrual_GHEL!AJ23</f>
        <v>43101</v>
      </c>
      <c r="AK1" s="30">
        <f>Accrual_GHEL!AK23</f>
        <v>43132</v>
      </c>
      <c r="AL1" s="30">
        <f>Accrual_GHEL!AL23</f>
        <v>43160</v>
      </c>
      <c r="AM1" s="30">
        <f>Accrual_GHEL!AM23</f>
        <v>43191</v>
      </c>
      <c r="AN1" s="30">
        <f>Accrual_GHEL!AN23</f>
        <v>43221</v>
      </c>
      <c r="AO1" s="30">
        <f>Accrual_GHEL!AO23</f>
        <v>43252</v>
      </c>
      <c r="AP1" s="30">
        <f>Accrual_GHEL!AP23</f>
        <v>43282</v>
      </c>
      <c r="AQ1" s="30">
        <f>Accrual_GHEL!AQ23</f>
        <v>43313</v>
      </c>
      <c r="AR1" s="30">
        <f>Accrual_GHEL!AR23</f>
        <v>43344</v>
      </c>
      <c r="AS1" s="30">
        <f>Accrual_GHEL!AS23</f>
        <v>43374</v>
      </c>
      <c r="AT1" s="30">
        <f>Accrual_GHEL!AT23</f>
        <v>43405</v>
      </c>
      <c r="AU1" s="30">
        <f>Accrual_GHEL!AU23</f>
        <v>43435</v>
      </c>
      <c r="AV1" s="30">
        <f>Accrual_GHEL!AV23</f>
        <v>43466</v>
      </c>
      <c r="AW1" s="30">
        <f>Accrual_GHEL!AW23</f>
        <v>43497</v>
      </c>
      <c r="AX1" s="30">
        <f>Accrual_GHEL!AX23</f>
        <v>43525</v>
      </c>
      <c r="AY1" s="30">
        <f>Accrual_GHEL!AY23</f>
        <v>43556</v>
      </c>
      <c r="AZ1" s="30">
        <f>Accrual_GHEL!AZ23</f>
        <v>43586</v>
      </c>
      <c r="BA1" s="30">
        <f>Accrual_GHEL!BA23</f>
        <v>43617</v>
      </c>
      <c r="BB1" s="30">
        <f>Accrual_GHEL!BB23</f>
        <v>43647</v>
      </c>
      <c r="BC1" s="30">
        <f>Accrual_GHEL!BC23</f>
        <v>43678</v>
      </c>
      <c r="BD1" s="30">
        <f>Accrual_GHEL!BD23</f>
        <v>43709</v>
      </c>
      <c r="BE1" s="30">
        <f>Accrual_GHEL!BE23</f>
        <v>43739</v>
      </c>
      <c r="BF1" s="30">
        <f>Accrual_GHEL!BF23</f>
        <v>43770</v>
      </c>
      <c r="BG1" s="30">
        <f>Accrual_GHEL!BG23</f>
        <v>43800</v>
      </c>
      <c r="BH1" s="30">
        <f>Accrual_GHEL!BH23</f>
        <v>43831</v>
      </c>
      <c r="BI1" s="30">
        <f>Accrual_GHEL!BI23</f>
        <v>43862</v>
      </c>
      <c r="BJ1" s="30">
        <f>Accrual_GHEL!BJ23</f>
        <v>43891</v>
      </c>
      <c r="BK1" s="30">
        <f>Accrual_GHEL!BK23</f>
        <v>43922</v>
      </c>
      <c r="BL1" s="30">
        <f>Accrual_GHEL!BL23</f>
        <v>43952</v>
      </c>
      <c r="BM1" s="30">
        <f>Accrual_GHEL!BM23</f>
        <v>43983</v>
      </c>
      <c r="BN1" s="30">
        <f>Accrual_GHEL!BN23</f>
        <v>44013</v>
      </c>
      <c r="BO1" s="30">
        <f>Accrual_GHEL!BO23</f>
        <v>44044</v>
      </c>
      <c r="BP1" s="30">
        <f>Accrual_GHEL!BP23</f>
        <v>44075</v>
      </c>
      <c r="BQ1" s="30">
        <f>Accrual_GHEL!BQ23</f>
        <v>44105</v>
      </c>
      <c r="BR1" s="30">
        <f>Accrual_GHEL!BR23</f>
        <v>44136</v>
      </c>
      <c r="BS1" s="30">
        <f>Accrual_GHEL!BS23</f>
        <v>44166</v>
      </c>
      <c r="BT1" s="30">
        <f>Accrual_GHEL!BT23</f>
        <v>44197</v>
      </c>
      <c r="BU1" s="30">
        <f>Accrual_GHEL!BU23</f>
        <v>44228</v>
      </c>
      <c r="BV1" s="30">
        <f>Accrual_GHEL!BV23</f>
        <v>44256</v>
      </c>
      <c r="BW1" s="30">
        <f>Accrual_GHEL!BW23</f>
        <v>44287</v>
      </c>
      <c r="BX1" s="30">
        <f>Accrual_GHEL!BX23</f>
        <v>44317</v>
      </c>
      <c r="BY1" s="30">
        <f>Accrual_GHEL!BY23</f>
        <v>44348</v>
      </c>
      <c r="BZ1" s="30">
        <f>Accrual_GHEL!BZ23</f>
        <v>44378</v>
      </c>
      <c r="CA1" s="30">
        <f>Accrual_GHEL!CA23</f>
        <v>44409</v>
      </c>
      <c r="CB1" s="30">
        <f>Accrual_GHEL!CB23</f>
        <v>44440</v>
      </c>
      <c r="CC1" s="30">
        <f>Accrual_GHEL!CC23</f>
        <v>44470</v>
      </c>
      <c r="CD1" s="30">
        <f>Accrual_GHEL!CD23</f>
        <v>44501</v>
      </c>
      <c r="CE1" s="30">
        <f>Accrual_GHEL!CE23</f>
        <v>44531</v>
      </c>
      <c r="CF1" s="30">
        <f>Accrual_GHEL!CF23</f>
        <v>44562</v>
      </c>
      <c r="CG1" s="30">
        <f>Accrual_GHEL!CG23</f>
        <v>44593</v>
      </c>
      <c r="CH1" s="30">
        <f>Accrual_GHEL!CH23</f>
        <v>44621</v>
      </c>
      <c r="CI1" s="30">
        <f>Accrual_GHEL!CI23</f>
        <v>44652</v>
      </c>
      <c r="CJ1" s="30">
        <f>Accrual_GHEL!CJ23</f>
        <v>44682</v>
      </c>
      <c r="CK1" s="30">
        <f>Accrual_GHEL!CK23</f>
        <v>44713</v>
      </c>
      <c r="CL1" s="30">
        <f>Accrual_GHEL!CL23</f>
        <v>44743</v>
      </c>
      <c r="CM1" s="30">
        <f>Accrual_GHEL!CM23</f>
        <v>44774</v>
      </c>
      <c r="CN1" s="30">
        <f>Accrual_GHEL!CN23</f>
        <v>44805</v>
      </c>
      <c r="CO1" s="30">
        <f>Accrual_GHEL!CO23</f>
        <v>44835</v>
      </c>
      <c r="CP1" s="30">
        <f>Accrual_GHEL!CP23</f>
        <v>44866</v>
      </c>
      <c r="CQ1" s="30">
        <f>Accrual_GHEL!CQ23</f>
        <v>44896</v>
      </c>
      <c r="CR1" s="30">
        <f>Accrual_GHEL!CR23</f>
        <v>44927</v>
      </c>
      <c r="CS1" s="30">
        <f>Accrual_GHEL!CS23</f>
        <v>44958</v>
      </c>
      <c r="CT1" s="30">
        <f>Accrual_GHEL!CT23</f>
        <v>44986</v>
      </c>
      <c r="CU1" s="30">
        <f>Accrual_GHEL!CU23</f>
        <v>45017</v>
      </c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</row>
    <row r="2" spans="1:119" ht="15" x14ac:dyDescent="0.3">
      <c r="A2" s="40" t="s">
        <v>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</row>
    <row r="3" spans="1:119" x14ac:dyDescent="0.25">
      <c r="A3" s="41" t="s">
        <v>25</v>
      </c>
      <c r="B3" s="32">
        <f>Accrual_GHEL!B24</f>
        <v>13199502</v>
      </c>
      <c r="C3" s="32">
        <f>Accrual_GHEL!C24</f>
        <v>13199502</v>
      </c>
      <c r="D3" s="32">
        <f>Accrual_GHEL!D24</f>
        <v>13199502</v>
      </c>
      <c r="E3" s="32">
        <f>Accrual_GHEL!E24</f>
        <v>13199502</v>
      </c>
      <c r="F3" s="32">
        <f>Accrual_GHEL!F24</f>
        <v>13199502</v>
      </c>
      <c r="G3" s="32">
        <f>Accrual_GHEL!G24</f>
        <v>13199502</v>
      </c>
      <c r="H3" s="32">
        <f>Accrual_GHEL!H24</f>
        <v>13199502</v>
      </c>
      <c r="I3" s="32">
        <f>Accrual_GHEL!I24</f>
        <v>13199502</v>
      </c>
      <c r="J3" s="32">
        <f>Accrual_GHEL!J24</f>
        <v>13199502</v>
      </c>
      <c r="K3" s="32">
        <f>Accrual_GHEL!K24</f>
        <v>13199502</v>
      </c>
      <c r="L3" s="32">
        <f>Accrual_GHEL!L24</f>
        <v>13199502</v>
      </c>
      <c r="M3" s="32">
        <f>L3</f>
        <v>13199502</v>
      </c>
      <c r="N3" s="32">
        <f>M3</f>
        <v>13199502</v>
      </c>
      <c r="O3" s="32">
        <f>N3</f>
        <v>13199502</v>
      </c>
      <c r="P3" s="32">
        <f t="shared" ref="P3:BU3" si="0">O3</f>
        <v>13199502</v>
      </c>
      <c r="Q3" s="32">
        <f t="shared" si="0"/>
        <v>13199502</v>
      </c>
      <c r="R3" s="32">
        <f>Q3+GHEL_Loan!E20</f>
        <v>14439668</v>
      </c>
      <c r="S3" s="32">
        <f t="shared" si="0"/>
        <v>14439668</v>
      </c>
      <c r="T3" s="32">
        <f t="shared" si="0"/>
        <v>14439668</v>
      </c>
      <c r="U3" s="32">
        <f t="shared" si="0"/>
        <v>14439668</v>
      </c>
      <c r="V3" s="32">
        <f t="shared" si="0"/>
        <v>14439668</v>
      </c>
      <c r="W3" s="32">
        <f t="shared" si="0"/>
        <v>14439668</v>
      </c>
      <c r="X3" s="32">
        <f t="shared" si="0"/>
        <v>14439668</v>
      </c>
      <c r="Y3" s="32">
        <f t="shared" si="0"/>
        <v>14439668</v>
      </c>
      <c r="Z3" s="32">
        <f t="shared" si="0"/>
        <v>14439668</v>
      </c>
      <c r="AA3" s="32">
        <f t="shared" si="0"/>
        <v>14439668</v>
      </c>
      <c r="AB3" s="32">
        <f t="shared" si="0"/>
        <v>14439668</v>
      </c>
      <c r="AC3" s="32">
        <f t="shared" si="0"/>
        <v>14439668</v>
      </c>
      <c r="AD3" s="32">
        <f t="shared" si="0"/>
        <v>14439668</v>
      </c>
      <c r="AE3" s="32">
        <f t="shared" si="0"/>
        <v>14439668</v>
      </c>
      <c r="AF3" s="32">
        <f t="shared" si="0"/>
        <v>14439668</v>
      </c>
      <c r="AG3" s="32">
        <f t="shared" si="0"/>
        <v>14439668</v>
      </c>
      <c r="AH3" s="32">
        <f t="shared" si="0"/>
        <v>14439668</v>
      </c>
      <c r="AI3" s="32">
        <f t="shared" si="0"/>
        <v>14439668</v>
      </c>
      <c r="AJ3" s="32">
        <f t="shared" si="0"/>
        <v>14439668</v>
      </c>
      <c r="AK3" s="32">
        <f t="shared" si="0"/>
        <v>14439668</v>
      </c>
      <c r="AL3" s="32">
        <f t="shared" si="0"/>
        <v>14439668</v>
      </c>
      <c r="AM3" s="32">
        <f t="shared" si="0"/>
        <v>14439668</v>
      </c>
      <c r="AN3" s="32">
        <f t="shared" si="0"/>
        <v>14439668</v>
      </c>
      <c r="AO3" s="32">
        <f t="shared" si="0"/>
        <v>14439668</v>
      </c>
      <c r="AP3" s="32">
        <f t="shared" si="0"/>
        <v>14439668</v>
      </c>
      <c r="AQ3" s="32">
        <f t="shared" si="0"/>
        <v>14439668</v>
      </c>
      <c r="AR3" s="32">
        <f t="shared" si="0"/>
        <v>14439668</v>
      </c>
      <c r="AS3" s="32">
        <f t="shared" si="0"/>
        <v>14439668</v>
      </c>
      <c r="AT3" s="32">
        <f t="shared" si="0"/>
        <v>14439668</v>
      </c>
      <c r="AU3" s="32">
        <f t="shared" si="0"/>
        <v>14439668</v>
      </c>
      <c r="AV3" s="32">
        <f t="shared" si="0"/>
        <v>14439668</v>
      </c>
      <c r="AW3" s="32">
        <f t="shared" si="0"/>
        <v>14439668</v>
      </c>
      <c r="AX3" s="32">
        <f t="shared" si="0"/>
        <v>14439668</v>
      </c>
      <c r="AY3" s="32">
        <f t="shared" si="0"/>
        <v>14439668</v>
      </c>
      <c r="AZ3" s="32">
        <f t="shared" si="0"/>
        <v>14439668</v>
      </c>
      <c r="BA3" s="32">
        <f t="shared" si="0"/>
        <v>14439668</v>
      </c>
      <c r="BB3" s="32">
        <f t="shared" si="0"/>
        <v>14439668</v>
      </c>
      <c r="BC3" s="32">
        <f t="shared" si="0"/>
        <v>14439668</v>
      </c>
      <c r="BD3" s="32">
        <f t="shared" si="0"/>
        <v>14439668</v>
      </c>
      <c r="BE3" s="32">
        <f t="shared" si="0"/>
        <v>14439668</v>
      </c>
      <c r="BF3" s="32">
        <f t="shared" si="0"/>
        <v>14439668</v>
      </c>
      <c r="BG3" s="32">
        <f t="shared" si="0"/>
        <v>14439668</v>
      </c>
      <c r="BH3" s="32">
        <f t="shared" si="0"/>
        <v>14439668</v>
      </c>
      <c r="BI3" s="32">
        <f t="shared" si="0"/>
        <v>14439668</v>
      </c>
      <c r="BJ3" s="32">
        <f t="shared" si="0"/>
        <v>14439668</v>
      </c>
      <c r="BK3" s="32">
        <f t="shared" si="0"/>
        <v>14439668</v>
      </c>
      <c r="BL3" s="32">
        <f t="shared" si="0"/>
        <v>14439668</v>
      </c>
      <c r="BM3" s="32">
        <f t="shared" si="0"/>
        <v>14439668</v>
      </c>
      <c r="BN3" s="32">
        <f t="shared" si="0"/>
        <v>14439668</v>
      </c>
      <c r="BO3" s="32">
        <f t="shared" si="0"/>
        <v>14439668</v>
      </c>
      <c r="BP3" s="32">
        <f t="shared" si="0"/>
        <v>14439668</v>
      </c>
      <c r="BQ3" s="32">
        <f t="shared" si="0"/>
        <v>14439668</v>
      </c>
      <c r="BR3" s="32">
        <f t="shared" si="0"/>
        <v>14439668</v>
      </c>
      <c r="BS3" s="32">
        <f t="shared" si="0"/>
        <v>14439668</v>
      </c>
      <c r="BT3" s="32">
        <f t="shared" si="0"/>
        <v>14439668</v>
      </c>
      <c r="BU3" s="32">
        <f t="shared" si="0"/>
        <v>14439668</v>
      </c>
      <c r="BV3" s="32">
        <f t="shared" ref="BV3:CE3" si="1">BU3</f>
        <v>14439668</v>
      </c>
      <c r="BW3" s="32">
        <f t="shared" si="1"/>
        <v>14439668</v>
      </c>
      <c r="BX3" s="32">
        <f t="shared" si="1"/>
        <v>14439668</v>
      </c>
      <c r="BY3" s="32">
        <f t="shared" si="1"/>
        <v>14439668</v>
      </c>
      <c r="BZ3" s="32">
        <f t="shared" si="1"/>
        <v>14439668</v>
      </c>
      <c r="CA3" s="32">
        <f t="shared" si="1"/>
        <v>14439668</v>
      </c>
      <c r="CB3" s="32">
        <f t="shared" si="1"/>
        <v>14439668</v>
      </c>
      <c r="CC3" s="32">
        <f t="shared" si="1"/>
        <v>14439668</v>
      </c>
      <c r="CD3" s="32">
        <f t="shared" si="1"/>
        <v>14439668</v>
      </c>
      <c r="CE3" s="32">
        <f t="shared" si="1"/>
        <v>14439668</v>
      </c>
      <c r="CF3" s="32">
        <f t="shared" ref="CF3" si="2">CE3</f>
        <v>14439668</v>
      </c>
      <c r="CG3" s="32">
        <f t="shared" ref="CG3" si="3">CF3</f>
        <v>14439668</v>
      </c>
      <c r="CH3" s="32">
        <f t="shared" ref="CH3" si="4">CG3</f>
        <v>14439668</v>
      </c>
      <c r="CI3" s="32">
        <f t="shared" ref="CI3" si="5">CH3</f>
        <v>14439668</v>
      </c>
      <c r="CJ3" s="32">
        <f t="shared" ref="CJ3" si="6">CI3</f>
        <v>14439668</v>
      </c>
      <c r="CK3" s="32">
        <f t="shared" ref="CK3" si="7">CJ3</f>
        <v>14439668</v>
      </c>
      <c r="CL3" s="32">
        <f t="shared" ref="CL3" si="8">CK3</f>
        <v>14439668</v>
      </c>
      <c r="CM3" s="32">
        <f t="shared" ref="CM3" si="9">CL3</f>
        <v>14439668</v>
      </c>
      <c r="CN3" s="32">
        <f t="shared" ref="CN3" si="10">CM3</f>
        <v>14439668</v>
      </c>
      <c r="CO3" s="32">
        <f t="shared" ref="CO3" si="11">CN3</f>
        <v>14439668</v>
      </c>
      <c r="CP3" s="32">
        <f t="shared" ref="CP3:CR3" si="12">CO3</f>
        <v>14439668</v>
      </c>
      <c r="CQ3" s="32">
        <f t="shared" si="12"/>
        <v>14439668</v>
      </c>
      <c r="CR3" s="32">
        <f t="shared" si="12"/>
        <v>14439668</v>
      </c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</row>
    <row r="4" spans="1:119" x14ac:dyDescent="0.25">
      <c r="A4" s="41" t="s">
        <v>26</v>
      </c>
      <c r="B4" s="32">
        <f>Accrual_GHEL!B28</f>
        <v>0</v>
      </c>
      <c r="C4" s="32">
        <f>Accrual_GHEL!C28</f>
        <v>0</v>
      </c>
      <c r="D4" s="32">
        <f>Accrual_GHEL!D28</f>
        <v>0</v>
      </c>
      <c r="E4" s="32">
        <f>Accrual_GHEL!E28</f>
        <v>0</v>
      </c>
      <c r="F4" s="32">
        <f>Accrual_GHEL!F28</f>
        <v>0</v>
      </c>
      <c r="G4" s="32">
        <f>Accrual_GHEL!G28</f>
        <v>0</v>
      </c>
      <c r="H4" s="32">
        <f>Accrual_GHEL!H28</f>
        <v>0</v>
      </c>
      <c r="I4" s="32">
        <f>Accrual_GHEL!I28</f>
        <v>0</v>
      </c>
      <c r="J4" s="32">
        <f>Accrual_GHEL!J28</f>
        <v>0</v>
      </c>
      <c r="K4" s="32">
        <f>Accrual_GHEL!K28</f>
        <v>0</v>
      </c>
      <c r="L4" s="32">
        <f>Accrual_GHEL!L28</f>
        <v>455155.24137931032</v>
      </c>
      <c r="M4" s="32">
        <f>Accrual_GHEL!M28</f>
        <v>455155.24137931032</v>
      </c>
      <c r="N4" s="32">
        <f>Accrual_GHEL!N28</f>
        <v>455155.24137931032</v>
      </c>
      <c r="O4" s="32">
        <f>Accrual_GHEL!O28</f>
        <v>910310.48275862064</v>
      </c>
      <c r="P4" s="32">
        <f>Accrual_GHEL!P28</f>
        <v>910310.48275862064</v>
      </c>
      <c r="Q4" s="32">
        <f>Accrual_GHEL!Q28</f>
        <v>910310.48275862064</v>
      </c>
      <c r="R4" s="32">
        <f>Accrual_GHEL!R28</f>
        <v>1365465.7241379309</v>
      </c>
      <c r="S4" s="32">
        <f>Accrual_GHEL!S28</f>
        <v>1365465.7241379309</v>
      </c>
      <c r="T4" s="32">
        <f>Accrual_GHEL!T28</f>
        <v>1365465.7241379309</v>
      </c>
      <c r="U4" s="32">
        <f>Accrual_GHEL!U28</f>
        <v>1868319.6578249335</v>
      </c>
      <c r="V4" s="32">
        <f>Accrual_GHEL!V28</f>
        <v>1868319.6578249335</v>
      </c>
      <c r="W4" s="32">
        <f>Accrual_GHEL!W28</f>
        <v>1868319.6578249335</v>
      </c>
      <c r="X4" s="32">
        <f>Accrual_GHEL!X28</f>
        <v>2371173.5915119364</v>
      </c>
      <c r="Y4" s="32">
        <f>Accrual_GHEL!Y28</f>
        <v>2371173.5915119364</v>
      </c>
      <c r="Z4" s="32">
        <f>Accrual_GHEL!Z28</f>
        <v>2371173.5915119364</v>
      </c>
      <c r="AA4" s="32">
        <f>Accrual_GHEL!AA28</f>
        <v>2874027.5251989393</v>
      </c>
      <c r="AB4" s="32">
        <f>Accrual_GHEL!AB28</f>
        <v>2874027.5251989393</v>
      </c>
      <c r="AC4" s="32">
        <f>Accrual_GHEL!AC28</f>
        <v>2874027.5251989393</v>
      </c>
      <c r="AD4" s="32">
        <f>Accrual_GHEL!AD28</f>
        <v>3376881.4588859421</v>
      </c>
      <c r="AE4" s="32">
        <f>Accrual_GHEL!AE28</f>
        <v>3376881.4588859421</v>
      </c>
      <c r="AF4" s="32">
        <f>Accrual_GHEL!AF28</f>
        <v>3376881.4588859421</v>
      </c>
      <c r="AG4" s="32">
        <f>Accrual_GHEL!AG28</f>
        <v>3879735.392572945</v>
      </c>
      <c r="AH4" s="32">
        <f>Accrual_GHEL!AH28</f>
        <v>3879735.392572945</v>
      </c>
      <c r="AI4" s="32">
        <f>Accrual_GHEL!AI28</f>
        <v>3879735.392572945</v>
      </c>
      <c r="AJ4" s="32">
        <f>Accrual_GHEL!AJ28</f>
        <v>4382589.3262599474</v>
      </c>
      <c r="AK4" s="32">
        <f>Accrual_GHEL!AK28</f>
        <v>4382589.3262599474</v>
      </c>
      <c r="AL4" s="32">
        <f>Accrual_GHEL!AL28</f>
        <v>4382589.3262599474</v>
      </c>
      <c r="AM4" s="32">
        <f>Accrual_GHEL!AM28</f>
        <v>4885443.2599469498</v>
      </c>
      <c r="AN4" s="32">
        <f>Accrual_GHEL!AN28</f>
        <v>4885443.2599469498</v>
      </c>
      <c r="AO4" s="32">
        <f>Accrual_GHEL!AO28</f>
        <v>4885443.2599469498</v>
      </c>
      <c r="AP4" s="32">
        <f>Accrual_GHEL!AP28</f>
        <v>5388297.1936339522</v>
      </c>
      <c r="AQ4" s="32">
        <f>Accrual_GHEL!AQ28</f>
        <v>5388297.1936339522</v>
      </c>
      <c r="AR4" s="32">
        <f>Accrual_GHEL!AR28</f>
        <v>5388297.1936339522</v>
      </c>
      <c r="AS4" s="32">
        <f>Accrual_GHEL!AS28</f>
        <v>5891151.1273209546</v>
      </c>
      <c r="AT4" s="32">
        <f>Accrual_GHEL!AT28</f>
        <v>5891151.1273209546</v>
      </c>
      <c r="AU4" s="32">
        <f>Accrual_GHEL!AU28</f>
        <v>5891151.1273209546</v>
      </c>
      <c r="AV4" s="32">
        <f>Accrual_GHEL!AV28</f>
        <v>6394005.061007957</v>
      </c>
      <c r="AW4" s="32">
        <f>Accrual_GHEL!AW28</f>
        <v>6394005.061007957</v>
      </c>
      <c r="AX4" s="32">
        <f>Accrual_GHEL!AX28</f>
        <v>6394005.061007957</v>
      </c>
      <c r="AY4" s="32">
        <f>Accrual_GHEL!AY28</f>
        <v>6896858.9946949594</v>
      </c>
      <c r="AZ4" s="32">
        <f>Accrual_GHEL!AZ28</f>
        <v>6896858.9946949594</v>
      </c>
      <c r="BA4" s="32">
        <f>Accrual_GHEL!BA28</f>
        <v>6896858.9946949594</v>
      </c>
      <c r="BB4" s="32">
        <f>Accrual_GHEL!BB28</f>
        <v>7399712.9283819618</v>
      </c>
      <c r="BC4" s="32">
        <f>Accrual_GHEL!BC28</f>
        <v>7399712.9283819618</v>
      </c>
      <c r="BD4" s="32">
        <f>Accrual_GHEL!BD28</f>
        <v>7399712.9283819618</v>
      </c>
      <c r="BE4" s="32">
        <f>Accrual_GHEL!BE28</f>
        <v>7902566.8620689642</v>
      </c>
      <c r="BF4" s="32">
        <f>Accrual_GHEL!BF28</f>
        <v>7902566.8620689642</v>
      </c>
      <c r="BG4" s="32">
        <f>Accrual_GHEL!BG28</f>
        <v>7902566.8620689642</v>
      </c>
      <c r="BH4" s="32">
        <f>Accrual_GHEL!BH28</f>
        <v>8405420.7957559675</v>
      </c>
      <c r="BI4" s="32">
        <f>Accrual_GHEL!BI28</f>
        <v>8405420.7957559675</v>
      </c>
      <c r="BJ4" s="32">
        <f>Accrual_GHEL!BJ28</f>
        <v>8405420.7957559675</v>
      </c>
      <c r="BK4" s="32">
        <f>Accrual_GHEL!BK28</f>
        <v>8908274.7294429708</v>
      </c>
      <c r="BL4" s="32">
        <f>Accrual_GHEL!BL28</f>
        <v>8908274.7294429708</v>
      </c>
      <c r="BM4" s="32">
        <f>Accrual_GHEL!BM28</f>
        <v>8908274.7294429708</v>
      </c>
      <c r="BN4" s="32">
        <f>Accrual_GHEL!BN28</f>
        <v>9411128.6631299742</v>
      </c>
      <c r="BO4" s="32">
        <f>Accrual_GHEL!BO28</f>
        <v>9411128.6631299742</v>
      </c>
      <c r="BP4" s="32">
        <f>Accrual_GHEL!BP28</f>
        <v>9411128.6631299742</v>
      </c>
      <c r="BQ4" s="32">
        <f>Accrual_GHEL!BQ28</f>
        <v>9913982.5968169775</v>
      </c>
      <c r="BR4" s="32">
        <f>Accrual_GHEL!BR28</f>
        <v>9913982.5968169775</v>
      </c>
      <c r="BS4" s="32">
        <f>Accrual_GHEL!BS28</f>
        <v>9913982.5968169775</v>
      </c>
      <c r="BT4" s="32">
        <f>Accrual_GHEL!BT28</f>
        <v>10416836.530503981</v>
      </c>
      <c r="BU4" s="32">
        <f>Accrual_GHEL!BU28</f>
        <v>10416836.530503981</v>
      </c>
      <c r="BV4" s="32">
        <f>Accrual_GHEL!BV28</f>
        <v>10416836.530503981</v>
      </c>
      <c r="BW4" s="32">
        <f>Accrual_GHEL!BW28</f>
        <v>10919690.464190984</v>
      </c>
      <c r="BX4" s="32">
        <f>Accrual_GHEL!BX28</f>
        <v>10919690.464190984</v>
      </c>
      <c r="BY4" s="32">
        <f>Accrual_GHEL!BY28</f>
        <v>10919690.464190984</v>
      </c>
      <c r="BZ4" s="32">
        <f>Accrual_GHEL!BZ28</f>
        <v>11422544.397877987</v>
      </c>
      <c r="CA4" s="32">
        <f>Accrual_GHEL!CA28</f>
        <v>11422544.397877987</v>
      </c>
      <c r="CB4" s="32">
        <f>Accrual_GHEL!CB28</f>
        <v>11422544.397877987</v>
      </c>
      <c r="CC4" s="32">
        <f>Accrual_GHEL!CC28</f>
        <v>11925398.331564991</v>
      </c>
      <c r="CD4" s="32">
        <f>Accrual_GHEL!CD28</f>
        <v>11925398.331564991</v>
      </c>
      <c r="CE4" s="32">
        <f>Accrual_GHEL!CE28</f>
        <v>11925398.331564991</v>
      </c>
      <c r="CF4" s="32">
        <f>Accrual_GHEL!CF28</f>
        <v>12428252.265251994</v>
      </c>
      <c r="CG4" s="32">
        <f>Accrual_GHEL!CG28</f>
        <v>12428252.265251994</v>
      </c>
      <c r="CH4" s="32">
        <f>Accrual_GHEL!CH28</f>
        <v>12428252.265251994</v>
      </c>
      <c r="CI4" s="32">
        <f>Accrual_GHEL!CI28</f>
        <v>12931106.198938997</v>
      </c>
      <c r="CJ4" s="32">
        <f>Accrual_GHEL!CJ28</f>
        <v>12931106.198938997</v>
      </c>
      <c r="CK4" s="32">
        <f>Accrual_GHEL!CK28</f>
        <v>12931106.198938997</v>
      </c>
      <c r="CL4" s="32">
        <f>Accrual_GHEL!CL28</f>
        <v>13433960.132626001</v>
      </c>
      <c r="CM4" s="32">
        <f>Accrual_GHEL!CM28</f>
        <v>13433960.132626001</v>
      </c>
      <c r="CN4" s="32">
        <f>Accrual_GHEL!CN28</f>
        <v>13433960.132626001</v>
      </c>
      <c r="CO4" s="32">
        <f>Accrual_GHEL!CO28</f>
        <v>13936814.066313004</v>
      </c>
      <c r="CP4" s="32">
        <f>Accrual_GHEL!CP28</f>
        <v>13936814.066313004</v>
      </c>
      <c r="CQ4" s="32">
        <f>Accrual_GHEL!CQ28</f>
        <v>13936814.066313004</v>
      </c>
      <c r="CR4" s="32">
        <f>Accrual_GHEL!CR28</f>
        <v>14439668.000000007</v>
      </c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</row>
    <row r="5" spans="1:119" x14ac:dyDescent="0.25">
      <c r="A5" s="41" t="s">
        <v>27</v>
      </c>
      <c r="B5" s="32">
        <f>B22</f>
        <v>0</v>
      </c>
      <c r="C5" s="32">
        <f t="shared" ref="C5:Q5" si="13">C22</f>
        <v>0</v>
      </c>
      <c r="D5" s="32">
        <f t="shared" si="13"/>
        <v>0</v>
      </c>
      <c r="E5" s="32">
        <f t="shared" si="13"/>
        <v>0</v>
      </c>
      <c r="F5" s="32">
        <f t="shared" si="13"/>
        <v>0</v>
      </c>
      <c r="G5" s="32">
        <f t="shared" si="13"/>
        <v>0</v>
      </c>
      <c r="H5" s="32">
        <f t="shared" si="13"/>
        <v>0</v>
      </c>
      <c r="I5" s="32">
        <f t="shared" si="13"/>
        <v>0</v>
      </c>
      <c r="J5" s="32">
        <f t="shared" si="13"/>
        <v>0</v>
      </c>
      <c r="K5" s="32">
        <f t="shared" si="13"/>
        <v>0</v>
      </c>
      <c r="L5" s="32">
        <f t="shared" si="13"/>
        <v>455155</v>
      </c>
      <c r="M5" s="32">
        <f t="shared" si="13"/>
        <v>455155</v>
      </c>
      <c r="N5" s="32">
        <f t="shared" si="13"/>
        <v>455155</v>
      </c>
      <c r="O5" s="32">
        <f t="shared" si="13"/>
        <v>910310</v>
      </c>
      <c r="P5" s="32">
        <f t="shared" si="13"/>
        <v>910310</v>
      </c>
      <c r="Q5" s="32">
        <f t="shared" si="13"/>
        <v>910310</v>
      </c>
      <c r="R5" s="32">
        <f t="shared" ref="R5:CC5" si="14">R22</f>
        <v>1365465</v>
      </c>
      <c r="S5" s="32">
        <f t="shared" si="14"/>
        <v>1365465</v>
      </c>
      <c r="T5" s="32">
        <f t="shared" si="14"/>
        <v>1365465</v>
      </c>
      <c r="U5" s="32">
        <f t="shared" si="14"/>
        <v>1868319</v>
      </c>
      <c r="V5" s="32">
        <f t="shared" si="14"/>
        <v>1868319</v>
      </c>
      <c r="W5" s="32">
        <f t="shared" si="14"/>
        <v>1868319</v>
      </c>
      <c r="X5" s="32">
        <f t="shared" si="14"/>
        <v>2201863</v>
      </c>
      <c r="Y5" s="32">
        <f t="shared" si="14"/>
        <v>2201863</v>
      </c>
      <c r="Z5" s="32">
        <f t="shared" si="14"/>
        <v>2201863</v>
      </c>
      <c r="AA5" s="32">
        <f t="shared" si="14"/>
        <v>2201863</v>
      </c>
      <c r="AB5" s="32">
        <f t="shared" si="14"/>
        <v>2201863</v>
      </c>
      <c r="AC5" s="32">
        <f t="shared" si="14"/>
        <v>2201863</v>
      </c>
      <c r="AD5" s="32">
        <f t="shared" si="14"/>
        <v>2201863</v>
      </c>
      <c r="AE5" s="32">
        <f t="shared" si="14"/>
        <v>2201863</v>
      </c>
      <c r="AF5" s="32">
        <f t="shared" si="14"/>
        <v>2201863</v>
      </c>
      <c r="AG5" s="32">
        <f t="shared" si="14"/>
        <v>2201863</v>
      </c>
      <c r="AH5" s="32">
        <f t="shared" si="14"/>
        <v>2201863</v>
      </c>
      <c r="AI5" s="32">
        <f t="shared" si="14"/>
        <v>2201863</v>
      </c>
      <c r="AJ5" s="32">
        <f t="shared" si="14"/>
        <v>2201863</v>
      </c>
      <c r="AK5" s="32">
        <f t="shared" si="14"/>
        <v>2201863</v>
      </c>
      <c r="AL5" s="32">
        <f t="shared" si="14"/>
        <v>2201863</v>
      </c>
      <c r="AM5" s="32">
        <f t="shared" si="14"/>
        <v>2201863</v>
      </c>
      <c r="AN5" s="32">
        <f t="shared" si="14"/>
        <v>2201863</v>
      </c>
      <c r="AO5" s="32">
        <f t="shared" si="14"/>
        <v>2201863</v>
      </c>
      <c r="AP5" s="32">
        <f t="shared" si="14"/>
        <v>2201863</v>
      </c>
      <c r="AQ5" s="32">
        <f t="shared" si="14"/>
        <v>2201863</v>
      </c>
      <c r="AR5" s="32">
        <f t="shared" si="14"/>
        <v>2201863</v>
      </c>
      <c r="AS5" s="32">
        <f t="shared" si="14"/>
        <v>2201863</v>
      </c>
      <c r="AT5" s="32">
        <f t="shared" si="14"/>
        <v>2201863</v>
      </c>
      <c r="AU5" s="32">
        <f t="shared" si="14"/>
        <v>2201863</v>
      </c>
      <c r="AV5" s="32">
        <f t="shared" si="14"/>
        <v>2201863</v>
      </c>
      <c r="AW5" s="32">
        <f t="shared" si="14"/>
        <v>2201863</v>
      </c>
      <c r="AX5" s="32">
        <f t="shared" si="14"/>
        <v>2201863</v>
      </c>
      <c r="AY5" s="32">
        <f t="shared" si="14"/>
        <v>2201863</v>
      </c>
      <c r="AZ5" s="32">
        <f t="shared" si="14"/>
        <v>2201863</v>
      </c>
      <c r="BA5" s="32">
        <f t="shared" si="14"/>
        <v>2201863</v>
      </c>
      <c r="BB5" s="32">
        <f t="shared" si="14"/>
        <v>2201863</v>
      </c>
      <c r="BC5" s="32">
        <f t="shared" si="14"/>
        <v>2201863</v>
      </c>
      <c r="BD5" s="32">
        <f t="shared" si="14"/>
        <v>2201863</v>
      </c>
      <c r="BE5" s="32">
        <f t="shared" si="14"/>
        <v>2201863</v>
      </c>
      <c r="BF5" s="32">
        <f t="shared" si="14"/>
        <v>2201863</v>
      </c>
      <c r="BG5" s="32">
        <f t="shared" si="14"/>
        <v>2201863</v>
      </c>
      <c r="BH5" s="32">
        <f t="shared" si="14"/>
        <v>2201863</v>
      </c>
      <c r="BI5" s="32">
        <f t="shared" si="14"/>
        <v>2201863</v>
      </c>
      <c r="BJ5" s="32">
        <f t="shared" si="14"/>
        <v>2201863</v>
      </c>
      <c r="BK5" s="32">
        <f t="shared" si="14"/>
        <v>8908274.7294429708</v>
      </c>
      <c r="BL5" s="32">
        <f t="shared" si="14"/>
        <v>8908274.7294429708</v>
      </c>
      <c r="BM5" s="32">
        <f t="shared" si="14"/>
        <v>8908274.7294429708</v>
      </c>
      <c r="BN5" s="32">
        <f t="shared" si="14"/>
        <v>9411128.6631299742</v>
      </c>
      <c r="BO5" s="32">
        <f t="shared" si="14"/>
        <v>9411128.6631299742</v>
      </c>
      <c r="BP5" s="32">
        <f t="shared" si="14"/>
        <v>9411128.6631299742</v>
      </c>
      <c r="BQ5" s="32">
        <f t="shared" si="14"/>
        <v>9913982.5968169775</v>
      </c>
      <c r="BR5" s="32">
        <f t="shared" si="14"/>
        <v>9913982.5968169775</v>
      </c>
      <c r="BS5" s="32">
        <f t="shared" si="14"/>
        <v>9913982.5968169775</v>
      </c>
      <c r="BT5" s="32">
        <f t="shared" si="14"/>
        <v>10416836.530503981</v>
      </c>
      <c r="BU5" s="32">
        <f t="shared" si="14"/>
        <v>10416836.530503981</v>
      </c>
      <c r="BV5" s="32">
        <f t="shared" si="14"/>
        <v>10416836.530503981</v>
      </c>
      <c r="BW5" s="32">
        <f t="shared" si="14"/>
        <v>10919690.464190984</v>
      </c>
      <c r="BX5" s="32">
        <f t="shared" si="14"/>
        <v>10919690.464190984</v>
      </c>
      <c r="BY5" s="32">
        <f t="shared" si="14"/>
        <v>10919690.464190984</v>
      </c>
      <c r="BZ5" s="32">
        <f t="shared" si="14"/>
        <v>11422544.397877987</v>
      </c>
      <c r="CA5" s="32">
        <f t="shared" si="14"/>
        <v>11422544.397877987</v>
      </c>
      <c r="CB5" s="32">
        <f t="shared" si="14"/>
        <v>11422544.397877987</v>
      </c>
      <c r="CC5" s="32">
        <f t="shared" si="14"/>
        <v>11925398.331564991</v>
      </c>
      <c r="CD5" s="32">
        <f t="shared" ref="CD5:CE5" si="15">CD22</f>
        <v>11925398.331564991</v>
      </c>
      <c r="CE5" s="32">
        <f t="shared" si="15"/>
        <v>11925398.331564991</v>
      </c>
      <c r="CF5" s="32">
        <f t="shared" ref="CF5:CH5" si="16">CF22</f>
        <v>12428252.265251994</v>
      </c>
      <c r="CG5" s="32">
        <f t="shared" si="16"/>
        <v>12428252.265251994</v>
      </c>
      <c r="CH5" s="32">
        <f t="shared" si="16"/>
        <v>12428252.265251994</v>
      </c>
      <c r="CI5" s="32">
        <f t="shared" ref="CI5" si="17">CI22</f>
        <v>12931106.198938997</v>
      </c>
      <c r="CJ5" s="32">
        <f t="shared" ref="CJ5:CL5" si="18">CJ22</f>
        <v>12931106.198938997</v>
      </c>
      <c r="CK5" s="32">
        <f t="shared" si="18"/>
        <v>12931106.198938997</v>
      </c>
      <c r="CL5" s="32">
        <f t="shared" si="18"/>
        <v>13433960.132626001</v>
      </c>
      <c r="CM5" s="32">
        <f t="shared" ref="CM5:CP5" si="19">CM22</f>
        <v>13433960.132626001</v>
      </c>
      <c r="CN5" s="32">
        <f t="shared" si="19"/>
        <v>13433960.132626001</v>
      </c>
      <c r="CO5" s="32">
        <f t="shared" si="19"/>
        <v>13936814.066313004</v>
      </c>
      <c r="CP5" s="32">
        <f t="shared" si="19"/>
        <v>13936814.066313004</v>
      </c>
      <c r="CQ5" s="32">
        <f t="shared" ref="CQ5:CR5" si="20">CQ22</f>
        <v>13936814.066313004</v>
      </c>
      <c r="CR5" s="32">
        <f t="shared" si="20"/>
        <v>14439668.000000007</v>
      </c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</row>
    <row r="6" spans="1:119" x14ac:dyDescent="0.25">
      <c r="A6" s="41" t="s">
        <v>28</v>
      </c>
      <c r="B6" s="32">
        <f>IF((B4-B5)&gt;0,(B4-B5),0)</f>
        <v>0</v>
      </c>
      <c r="C6" s="32">
        <f t="shared" ref="C6:Q6" si="21">IF((C4-C5)&gt;0,(C4-C5),0)</f>
        <v>0</v>
      </c>
      <c r="D6" s="32">
        <f t="shared" si="21"/>
        <v>0</v>
      </c>
      <c r="E6" s="32">
        <f t="shared" si="21"/>
        <v>0</v>
      </c>
      <c r="F6" s="32">
        <f t="shared" si="21"/>
        <v>0</v>
      </c>
      <c r="G6" s="32">
        <f t="shared" si="21"/>
        <v>0</v>
      </c>
      <c r="H6" s="32">
        <f t="shared" si="21"/>
        <v>0</v>
      </c>
      <c r="I6" s="32">
        <f t="shared" si="21"/>
        <v>0</v>
      </c>
      <c r="J6" s="32">
        <f t="shared" si="21"/>
        <v>0</v>
      </c>
      <c r="K6" s="32">
        <f t="shared" si="21"/>
        <v>0</v>
      </c>
      <c r="L6" s="32">
        <f t="shared" si="21"/>
        <v>0.2413793103187345</v>
      </c>
      <c r="M6" s="32">
        <f t="shared" si="21"/>
        <v>0.2413793103187345</v>
      </c>
      <c r="N6" s="32">
        <f t="shared" si="21"/>
        <v>0.2413793103187345</v>
      </c>
      <c r="O6" s="32">
        <f t="shared" si="21"/>
        <v>0.48275862063746899</v>
      </c>
      <c r="P6" s="32">
        <f t="shared" si="21"/>
        <v>0.48275862063746899</v>
      </c>
      <c r="Q6" s="32">
        <f t="shared" si="21"/>
        <v>0.48275862063746899</v>
      </c>
      <c r="R6" s="32">
        <f t="shared" ref="R6:CC6" si="22">IF((R4-R5)&gt;0,(R4-R5),0)</f>
        <v>0.72413793089799583</v>
      </c>
      <c r="S6" s="32">
        <f t="shared" si="22"/>
        <v>0.72413793089799583</v>
      </c>
      <c r="T6" s="32">
        <f t="shared" si="22"/>
        <v>0.72413793089799583</v>
      </c>
      <c r="U6" s="32">
        <f t="shared" si="22"/>
        <v>0.65782493352890015</v>
      </c>
      <c r="V6" s="32">
        <f t="shared" si="22"/>
        <v>0.65782493352890015</v>
      </c>
      <c r="W6" s="32">
        <f t="shared" si="22"/>
        <v>0.65782493352890015</v>
      </c>
      <c r="X6" s="32">
        <f t="shared" si="22"/>
        <v>169310.59151193639</v>
      </c>
      <c r="Y6" s="32">
        <f t="shared" si="22"/>
        <v>169310.59151193639</v>
      </c>
      <c r="Z6" s="32">
        <f t="shared" si="22"/>
        <v>169310.59151193639</v>
      </c>
      <c r="AA6" s="32">
        <f t="shared" si="22"/>
        <v>672164.52519893926</v>
      </c>
      <c r="AB6" s="32">
        <f t="shared" si="22"/>
        <v>672164.52519893926</v>
      </c>
      <c r="AC6" s="32">
        <f t="shared" si="22"/>
        <v>672164.52519893926</v>
      </c>
      <c r="AD6" s="32">
        <f t="shared" si="22"/>
        <v>1175018.4588859421</v>
      </c>
      <c r="AE6" s="32">
        <f t="shared" si="22"/>
        <v>1175018.4588859421</v>
      </c>
      <c r="AF6" s="32">
        <f t="shared" si="22"/>
        <v>1175018.4588859421</v>
      </c>
      <c r="AG6" s="32">
        <f t="shared" si="22"/>
        <v>1677872.392572945</v>
      </c>
      <c r="AH6" s="32">
        <f t="shared" si="22"/>
        <v>1677872.392572945</v>
      </c>
      <c r="AI6" s="32">
        <f t="shared" si="22"/>
        <v>1677872.392572945</v>
      </c>
      <c r="AJ6" s="32">
        <f t="shared" si="22"/>
        <v>2180726.3262599474</v>
      </c>
      <c r="AK6" s="32">
        <f t="shared" si="22"/>
        <v>2180726.3262599474</v>
      </c>
      <c r="AL6" s="32">
        <f t="shared" si="22"/>
        <v>2180726.3262599474</v>
      </c>
      <c r="AM6" s="32">
        <f t="shared" si="22"/>
        <v>2683580.2599469498</v>
      </c>
      <c r="AN6" s="32">
        <f t="shared" si="22"/>
        <v>2683580.2599469498</v>
      </c>
      <c r="AO6" s="32">
        <f t="shared" si="22"/>
        <v>2683580.2599469498</v>
      </c>
      <c r="AP6" s="32">
        <f t="shared" si="22"/>
        <v>3186434.1936339522</v>
      </c>
      <c r="AQ6" s="32">
        <f t="shared" si="22"/>
        <v>3186434.1936339522</v>
      </c>
      <c r="AR6" s="32">
        <f t="shared" si="22"/>
        <v>3186434.1936339522</v>
      </c>
      <c r="AS6" s="32">
        <f t="shared" si="22"/>
        <v>3689288.1273209546</v>
      </c>
      <c r="AT6" s="32">
        <f t="shared" si="22"/>
        <v>3689288.1273209546</v>
      </c>
      <c r="AU6" s="32">
        <f t="shared" si="22"/>
        <v>3689288.1273209546</v>
      </c>
      <c r="AV6" s="32">
        <f t="shared" si="22"/>
        <v>4192142.061007957</v>
      </c>
      <c r="AW6" s="32">
        <f t="shared" si="22"/>
        <v>4192142.061007957</v>
      </c>
      <c r="AX6" s="32">
        <f t="shared" si="22"/>
        <v>4192142.061007957</v>
      </c>
      <c r="AY6" s="32">
        <f t="shared" si="22"/>
        <v>4694995.9946949594</v>
      </c>
      <c r="AZ6" s="32">
        <f t="shared" si="22"/>
        <v>4694995.9946949594</v>
      </c>
      <c r="BA6" s="32">
        <f t="shared" si="22"/>
        <v>4694995.9946949594</v>
      </c>
      <c r="BB6" s="32">
        <f t="shared" si="22"/>
        <v>5197849.9283819618</v>
      </c>
      <c r="BC6" s="32">
        <f t="shared" si="22"/>
        <v>5197849.9283819618</v>
      </c>
      <c r="BD6" s="32">
        <f t="shared" si="22"/>
        <v>5197849.9283819618</v>
      </c>
      <c r="BE6" s="32">
        <f t="shared" si="22"/>
        <v>5700703.8620689642</v>
      </c>
      <c r="BF6" s="32">
        <f t="shared" si="22"/>
        <v>5700703.8620689642</v>
      </c>
      <c r="BG6" s="32">
        <f t="shared" si="22"/>
        <v>5700703.8620689642</v>
      </c>
      <c r="BH6" s="32">
        <f t="shared" si="22"/>
        <v>6203557.7957559675</v>
      </c>
      <c r="BI6" s="32">
        <f t="shared" si="22"/>
        <v>6203557.7957559675</v>
      </c>
      <c r="BJ6" s="32">
        <f t="shared" si="22"/>
        <v>6203557.7957559675</v>
      </c>
      <c r="BK6" s="32">
        <f t="shared" si="22"/>
        <v>0</v>
      </c>
      <c r="BL6" s="32">
        <f t="shared" si="22"/>
        <v>0</v>
      </c>
      <c r="BM6" s="32">
        <f t="shared" si="22"/>
        <v>0</v>
      </c>
      <c r="BN6" s="32">
        <f t="shared" si="22"/>
        <v>0</v>
      </c>
      <c r="BO6" s="32">
        <f t="shared" si="22"/>
        <v>0</v>
      </c>
      <c r="BP6" s="32">
        <f t="shared" si="22"/>
        <v>0</v>
      </c>
      <c r="BQ6" s="32">
        <f t="shared" si="22"/>
        <v>0</v>
      </c>
      <c r="BR6" s="32">
        <f t="shared" si="22"/>
        <v>0</v>
      </c>
      <c r="BS6" s="32">
        <f t="shared" si="22"/>
        <v>0</v>
      </c>
      <c r="BT6" s="32">
        <f t="shared" si="22"/>
        <v>0</v>
      </c>
      <c r="BU6" s="32">
        <f t="shared" si="22"/>
        <v>0</v>
      </c>
      <c r="BV6" s="32">
        <f t="shared" si="22"/>
        <v>0</v>
      </c>
      <c r="BW6" s="32">
        <f t="shared" si="22"/>
        <v>0</v>
      </c>
      <c r="BX6" s="32">
        <f t="shared" si="22"/>
        <v>0</v>
      </c>
      <c r="BY6" s="32">
        <f t="shared" si="22"/>
        <v>0</v>
      </c>
      <c r="BZ6" s="32">
        <f t="shared" si="22"/>
        <v>0</v>
      </c>
      <c r="CA6" s="32">
        <f t="shared" si="22"/>
        <v>0</v>
      </c>
      <c r="CB6" s="32">
        <f t="shared" si="22"/>
        <v>0</v>
      </c>
      <c r="CC6" s="32">
        <f t="shared" si="22"/>
        <v>0</v>
      </c>
      <c r="CD6" s="32">
        <f t="shared" ref="CD6:CE6" si="23">IF((CD4-CD5)&gt;0,(CD4-CD5),0)</f>
        <v>0</v>
      </c>
      <c r="CE6" s="32">
        <f t="shared" si="23"/>
        <v>0</v>
      </c>
      <c r="CF6" s="32">
        <f t="shared" ref="CF6:CH6" si="24">IF((CF4-CF5)&gt;0,(CF4-CF5),0)</f>
        <v>0</v>
      </c>
      <c r="CG6" s="32">
        <f t="shared" si="24"/>
        <v>0</v>
      </c>
      <c r="CH6" s="32">
        <f t="shared" si="24"/>
        <v>0</v>
      </c>
      <c r="CI6" s="32">
        <f t="shared" ref="CI6" si="25">IF((CI4-CI5)&gt;0,(CI4-CI5),0)</f>
        <v>0</v>
      </c>
      <c r="CJ6" s="32">
        <f t="shared" ref="CJ6:CL6" si="26">IF((CJ4-CJ5)&gt;0,(CJ4-CJ5),0)</f>
        <v>0</v>
      </c>
      <c r="CK6" s="32">
        <f t="shared" si="26"/>
        <v>0</v>
      </c>
      <c r="CL6" s="32">
        <f t="shared" si="26"/>
        <v>0</v>
      </c>
      <c r="CM6" s="32">
        <f t="shared" ref="CM6:CP6" si="27">IF((CM4-CM5)&gt;0,(CM4-CM5),0)</f>
        <v>0</v>
      </c>
      <c r="CN6" s="32">
        <f t="shared" si="27"/>
        <v>0</v>
      </c>
      <c r="CO6" s="32">
        <f t="shared" si="27"/>
        <v>0</v>
      </c>
      <c r="CP6" s="32">
        <f t="shared" si="27"/>
        <v>0</v>
      </c>
      <c r="CQ6" s="32">
        <f t="shared" ref="CQ6:CR6" si="28">IF((CQ4-CQ5)&gt;0,(CQ4-CQ5),0)</f>
        <v>0</v>
      </c>
      <c r="CR6" s="32">
        <f t="shared" si="28"/>
        <v>0</v>
      </c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</row>
    <row r="7" spans="1:119" x14ac:dyDescent="0.25">
      <c r="A7" s="41" t="s">
        <v>29</v>
      </c>
      <c r="B7" s="32">
        <f>B3-B5</f>
        <v>13199502</v>
      </c>
      <c r="C7" s="32">
        <f t="shared" ref="C7:Q7" si="29">C3-C5</f>
        <v>13199502</v>
      </c>
      <c r="D7" s="32">
        <f t="shared" si="29"/>
        <v>13199502</v>
      </c>
      <c r="E7" s="32">
        <f t="shared" si="29"/>
        <v>13199502</v>
      </c>
      <c r="F7" s="32">
        <f t="shared" si="29"/>
        <v>13199502</v>
      </c>
      <c r="G7" s="32">
        <f t="shared" si="29"/>
        <v>13199502</v>
      </c>
      <c r="H7" s="32">
        <f t="shared" si="29"/>
        <v>13199502</v>
      </c>
      <c r="I7" s="32">
        <f t="shared" si="29"/>
        <v>13199502</v>
      </c>
      <c r="J7" s="32">
        <f t="shared" si="29"/>
        <v>13199502</v>
      </c>
      <c r="K7" s="32">
        <f t="shared" si="29"/>
        <v>13199502</v>
      </c>
      <c r="L7" s="32">
        <f t="shared" si="29"/>
        <v>12744347</v>
      </c>
      <c r="M7" s="32">
        <f t="shared" si="29"/>
        <v>12744347</v>
      </c>
      <c r="N7" s="32">
        <f t="shared" si="29"/>
        <v>12744347</v>
      </c>
      <c r="O7" s="32">
        <f t="shared" si="29"/>
        <v>12289192</v>
      </c>
      <c r="P7" s="32">
        <f t="shared" si="29"/>
        <v>12289192</v>
      </c>
      <c r="Q7" s="32">
        <f t="shared" si="29"/>
        <v>12289192</v>
      </c>
      <c r="R7" s="32">
        <f t="shared" ref="R7:CC7" si="30">R3-R5</f>
        <v>13074203</v>
      </c>
      <c r="S7" s="32">
        <f t="shared" si="30"/>
        <v>13074203</v>
      </c>
      <c r="T7" s="32">
        <f t="shared" si="30"/>
        <v>13074203</v>
      </c>
      <c r="U7" s="32">
        <f t="shared" si="30"/>
        <v>12571349</v>
      </c>
      <c r="V7" s="32">
        <f t="shared" si="30"/>
        <v>12571349</v>
      </c>
      <c r="W7" s="32">
        <f t="shared" si="30"/>
        <v>12571349</v>
      </c>
      <c r="X7" s="32">
        <f t="shared" si="30"/>
        <v>12237805</v>
      </c>
      <c r="Y7" s="32">
        <f t="shared" si="30"/>
        <v>12237805</v>
      </c>
      <c r="Z7" s="32">
        <f t="shared" si="30"/>
        <v>12237805</v>
      </c>
      <c r="AA7" s="32">
        <f t="shared" si="30"/>
        <v>12237805</v>
      </c>
      <c r="AB7" s="32">
        <f t="shared" si="30"/>
        <v>12237805</v>
      </c>
      <c r="AC7" s="32">
        <f t="shared" si="30"/>
        <v>12237805</v>
      </c>
      <c r="AD7" s="32">
        <f t="shared" si="30"/>
        <v>12237805</v>
      </c>
      <c r="AE7" s="32">
        <f t="shared" si="30"/>
        <v>12237805</v>
      </c>
      <c r="AF7" s="32">
        <f t="shared" si="30"/>
        <v>12237805</v>
      </c>
      <c r="AG7" s="32">
        <f t="shared" si="30"/>
        <v>12237805</v>
      </c>
      <c r="AH7" s="32">
        <f t="shared" si="30"/>
        <v>12237805</v>
      </c>
      <c r="AI7" s="32">
        <f t="shared" si="30"/>
        <v>12237805</v>
      </c>
      <c r="AJ7" s="32">
        <f t="shared" si="30"/>
        <v>12237805</v>
      </c>
      <c r="AK7" s="32">
        <f t="shared" si="30"/>
        <v>12237805</v>
      </c>
      <c r="AL7" s="32">
        <f t="shared" si="30"/>
        <v>12237805</v>
      </c>
      <c r="AM7" s="32">
        <f t="shared" si="30"/>
        <v>12237805</v>
      </c>
      <c r="AN7" s="32">
        <f t="shared" si="30"/>
        <v>12237805</v>
      </c>
      <c r="AO7" s="32">
        <f t="shared" si="30"/>
        <v>12237805</v>
      </c>
      <c r="AP7" s="32">
        <f t="shared" si="30"/>
        <v>12237805</v>
      </c>
      <c r="AQ7" s="32">
        <f t="shared" si="30"/>
        <v>12237805</v>
      </c>
      <c r="AR7" s="32">
        <f t="shared" si="30"/>
        <v>12237805</v>
      </c>
      <c r="AS7" s="32">
        <f t="shared" si="30"/>
        <v>12237805</v>
      </c>
      <c r="AT7" s="32">
        <f t="shared" si="30"/>
        <v>12237805</v>
      </c>
      <c r="AU7" s="32">
        <f t="shared" si="30"/>
        <v>12237805</v>
      </c>
      <c r="AV7" s="32">
        <f t="shared" si="30"/>
        <v>12237805</v>
      </c>
      <c r="AW7" s="32">
        <f t="shared" si="30"/>
        <v>12237805</v>
      </c>
      <c r="AX7" s="32">
        <f t="shared" si="30"/>
        <v>12237805</v>
      </c>
      <c r="AY7" s="32">
        <f t="shared" si="30"/>
        <v>12237805</v>
      </c>
      <c r="AZ7" s="32">
        <f t="shared" si="30"/>
        <v>12237805</v>
      </c>
      <c r="BA7" s="32">
        <f t="shared" si="30"/>
        <v>12237805</v>
      </c>
      <c r="BB7" s="32">
        <f t="shared" si="30"/>
        <v>12237805</v>
      </c>
      <c r="BC7" s="32">
        <f t="shared" si="30"/>
        <v>12237805</v>
      </c>
      <c r="BD7" s="32">
        <f t="shared" si="30"/>
        <v>12237805</v>
      </c>
      <c r="BE7" s="32">
        <f t="shared" si="30"/>
        <v>12237805</v>
      </c>
      <c r="BF7" s="32">
        <f t="shared" si="30"/>
        <v>12237805</v>
      </c>
      <c r="BG7" s="32">
        <f t="shared" si="30"/>
        <v>12237805</v>
      </c>
      <c r="BH7" s="32">
        <f t="shared" si="30"/>
        <v>12237805</v>
      </c>
      <c r="BI7" s="32">
        <f t="shared" si="30"/>
        <v>12237805</v>
      </c>
      <c r="BJ7" s="32">
        <f t="shared" si="30"/>
        <v>12237805</v>
      </c>
      <c r="BK7" s="32">
        <f t="shared" si="30"/>
        <v>5531393.2705570292</v>
      </c>
      <c r="BL7" s="32">
        <f t="shared" si="30"/>
        <v>5531393.2705570292</v>
      </c>
      <c r="BM7" s="32">
        <f t="shared" si="30"/>
        <v>5531393.2705570292</v>
      </c>
      <c r="BN7" s="32">
        <f t="shared" si="30"/>
        <v>5028539.3368700258</v>
      </c>
      <c r="BO7" s="32">
        <f t="shared" si="30"/>
        <v>5028539.3368700258</v>
      </c>
      <c r="BP7" s="32">
        <f t="shared" si="30"/>
        <v>5028539.3368700258</v>
      </c>
      <c r="BQ7" s="32">
        <f t="shared" si="30"/>
        <v>4525685.4031830225</v>
      </c>
      <c r="BR7" s="32">
        <f t="shared" si="30"/>
        <v>4525685.4031830225</v>
      </c>
      <c r="BS7" s="32">
        <f t="shared" si="30"/>
        <v>4525685.4031830225</v>
      </c>
      <c r="BT7" s="32">
        <f t="shared" si="30"/>
        <v>4022831.4694960192</v>
      </c>
      <c r="BU7" s="32">
        <f t="shared" si="30"/>
        <v>4022831.4694960192</v>
      </c>
      <c r="BV7" s="32">
        <f t="shared" si="30"/>
        <v>4022831.4694960192</v>
      </c>
      <c r="BW7" s="32">
        <f t="shared" si="30"/>
        <v>3519977.5358090159</v>
      </c>
      <c r="BX7" s="32">
        <f t="shared" si="30"/>
        <v>3519977.5358090159</v>
      </c>
      <c r="BY7" s="32">
        <f t="shared" si="30"/>
        <v>3519977.5358090159</v>
      </c>
      <c r="BZ7" s="32">
        <f t="shared" si="30"/>
        <v>3017123.6021220125</v>
      </c>
      <c r="CA7" s="32">
        <f t="shared" si="30"/>
        <v>3017123.6021220125</v>
      </c>
      <c r="CB7" s="32">
        <f t="shared" si="30"/>
        <v>3017123.6021220125</v>
      </c>
      <c r="CC7" s="32">
        <f t="shared" si="30"/>
        <v>2514269.6684350092</v>
      </c>
      <c r="CD7" s="32">
        <f t="shared" ref="CD7:CE7" si="31">CD3-CD5</f>
        <v>2514269.6684350092</v>
      </c>
      <c r="CE7" s="32">
        <f t="shared" si="31"/>
        <v>2514269.6684350092</v>
      </c>
      <c r="CF7" s="32">
        <f t="shared" ref="CF7:CH7" si="32">CF3-CF5</f>
        <v>2011415.7347480059</v>
      </c>
      <c r="CG7" s="32">
        <f t="shared" si="32"/>
        <v>2011415.7347480059</v>
      </c>
      <c r="CH7" s="32">
        <f t="shared" si="32"/>
        <v>2011415.7347480059</v>
      </c>
      <c r="CI7" s="32">
        <f t="shared" ref="CI7" si="33">CI3-CI5</f>
        <v>1508561.8010610025</v>
      </c>
      <c r="CJ7" s="32">
        <f t="shared" ref="CJ7:CL7" si="34">CJ3-CJ5</f>
        <v>1508561.8010610025</v>
      </c>
      <c r="CK7" s="32">
        <f t="shared" si="34"/>
        <v>1508561.8010610025</v>
      </c>
      <c r="CL7" s="32">
        <f t="shared" si="34"/>
        <v>1005707.8673739992</v>
      </c>
      <c r="CM7" s="32">
        <f t="shared" ref="CM7:CO7" si="35">CM3-CM5</f>
        <v>1005707.8673739992</v>
      </c>
      <c r="CN7" s="32">
        <f t="shared" si="35"/>
        <v>1005707.8673739992</v>
      </c>
      <c r="CO7" s="32">
        <f t="shared" si="35"/>
        <v>502853.93368699588</v>
      </c>
      <c r="CP7" s="32">
        <f>CP3-CP5</f>
        <v>502853.93368699588</v>
      </c>
      <c r="CQ7" s="32">
        <f t="shared" ref="CQ7:CR7" si="36">CQ3-CQ5</f>
        <v>502853.93368699588</v>
      </c>
      <c r="CR7" s="32">
        <f t="shared" si="36"/>
        <v>0</v>
      </c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</row>
    <row r="8" spans="1:119" ht="15" x14ac:dyDescent="0.3">
      <c r="A8" s="40" t="s">
        <v>30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</row>
    <row r="9" spans="1:119" x14ac:dyDescent="0.25">
      <c r="A9" s="42" t="s">
        <v>31</v>
      </c>
      <c r="B9" s="32">
        <f>Accrual_GHEL!B26</f>
        <v>10999.584999999999</v>
      </c>
      <c r="C9" s="32">
        <f>Accrual_GHEL!C26</f>
        <v>79197.011999999988</v>
      </c>
      <c r="D9" s="32">
        <f>Accrual_GHEL!D26</f>
        <v>145194.522</v>
      </c>
      <c r="E9" s="32">
        <f>Accrual_GHEL!E26</f>
        <v>213391.94899999999</v>
      </c>
      <c r="F9" s="32">
        <f>Accrual_GHEL!F26</f>
        <v>279389.45899999997</v>
      </c>
      <c r="G9" s="32">
        <f>Accrual_GHEL!G26</f>
        <v>347586.88599999994</v>
      </c>
      <c r="H9" s="32">
        <f>Accrual_GHEL!H26</f>
        <v>415784.31299999997</v>
      </c>
      <c r="I9" s="32">
        <f>Accrual_GHEL!I26</f>
        <v>481781.82299999997</v>
      </c>
      <c r="J9" s="32">
        <f>Accrual_GHEL!J26</f>
        <v>549979.25</v>
      </c>
      <c r="K9" s="32">
        <f>Accrual_GHEL!K26</f>
        <v>615976.76</v>
      </c>
      <c r="L9" s="32">
        <f>Accrual_GHEL!L26</f>
        <v>682884.58048275858</v>
      </c>
      <c r="M9" s="32">
        <f>Accrual_GHEL!M26</f>
        <v>748730.37206896546</v>
      </c>
      <c r="N9" s="32">
        <f>Accrual_GHEL!N26</f>
        <v>810328.04806896544</v>
      </c>
      <c r="O9" s="32">
        <f>Accrual_GHEL!O26</f>
        <v>874884.23313793098</v>
      </c>
      <c r="P9" s="32">
        <f>Accrual_GHEL!P26</f>
        <v>936330.19072413782</v>
      </c>
      <c r="Q9" s="32">
        <f>Accrual_GHEL!Q26</f>
        <v>999824.34689655167</v>
      </c>
      <c r="R9" s="32">
        <f>Accrual_GHEL!R26</f>
        <v>1062536.8891724139</v>
      </c>
      <c r="S9" s="32">
        <f>Accrual_GHEL!S26</f>
        <v>1130086.9342643679</v>
      </c>
      <c r="T9" s="32">
        <f>Accrual_GHEL!T26</f>
        <v>1197636.979356322</v>
      </c>
      <c r="U9" s="32">
        <f>Accrual_GHEL!U26</f>
        <v>1261667.0469124671</v>
      </c>
      <c r="V9" s="32">
        <f>Accrual_GHEL!V26</f>
        <v>1326619.0133470383</v>
      </c>
      <c r="W9" s="32">
        <f>Accrual_GHEL!W26</f>
        <v>1389475.7550579137</v>
      </c>
      <c r="X9" s="32">
        <f>Accrual_GHEL!X26</f>
        <v>1453002.9686803718</v>
      </c>
      <c r="Y9" s="32">
        <f>Accrual_GHEL!Y26</f>
        <v>1515356.8564575601</v>
      </c>
      <c r="Z9" s="32">
        <f>Accrual_GHEL!Z26</f>
        <v>1571676.4970305045</v>
      </c>
      <c r="AA9" s="32">
        <f>Accrual_GHEL!AA26</f>
        <v>1632605.6319955797</v>
      </c>
      <c r="AB9" s="32">
        <f>Accrual_GHEL!AB26</f>
        <v>1690433.8343695849</v>
      </c>
      <c r="AC9" s="32">
        <f>Accrual_GHEL!AC26</f>
        <v>1750189.6434893904</v>
      </c>
      <c r="AD9" s="32">
        <f>Accrual_GHEL!AD26</f>
        <v>1806676.9020402303</v>
      </c>
      <c r="AE9" s="32">
        <f>Accrual_GHEL!AE26</f>
        <v>1863834.6325026529</v>
      </c>
      <c r="AF9" s="32">
        <f>Accrual_GHEL!AF26</f>
        <v>1920992.3629650755</v>
      </c>
      <c r="AG9" s="32">
        <f>Accrual_GHEL!AG26</f>
        <v>1975132.9698253761</v>
      </c>
      <c r="AH9" s="32">
        <f>Accrual_GHEL!AH26</f>
        <v>2029692.6216304158</v>
      </c>
      <c r="AI9" s="32">
        <f>Accrual_GHEL!AI26</f>
        <v>2082492.2846675511</v>
      </c>
      <c r="AJ9" s="32">
        <f>Accrual_GHEL!AJ26</f>
        <v>2135794.8016383732</v>
      </c>
      <c r="AK9" s="32">
        <f>Accrual_GHEL!AK26</f>
        <v>2187756.37478603</v>
      </c>
      <c r="AL9" s="32">
        <f>Accrual_GHEL!AL26</f>
        <v>2234689.4085968169</v>
      </c>
      <c r="AM9" s="32">
        <f>Accrual_GHEL!AM26</f>
        <v>2285226.2289323607</v>
      </c>
      <c r="AN9" s="32">
        <f>Accrual_GHEL!AN26</f>
        <v>2332997.352632626</v>
      </c>
      <c r="AO9" s="32">
        <f>Accrual_GHEL!AO26</f>
        <v>2382360.8471229002</v>
      </c>
      <c r="AP9" s="32">
        <f>Accrual_GHEL!AP26</f>
        <v>2428958.6449778955</v>
      </c>
      <c r="AQ9" s="32">
        <f>Accrual_GHEL!AQ26</f>
        <v>2475724.0608107867</v>
      </c>
      <c r="AR9" s="32">
        <f>Accrual_GHEL!AR26</f>
        <v>2522489.4766436778</v>
      </c>
      <c r="AS9" s="32">
        <f>Accrual_GHEL!AS26</f>
        <v>2566489.1958412905</v>
      </c>
      <c r="AT9" s="32">
        <f>Accrual_GHEL!AT26</f>
        <v>2610656.533016799</v>
      </c>
      <c r="AU9" s="32">
        <f>Accrual_GHEL!AU26</f>
        <v>2653399.1173801944</v>
      </c>
      <c r="AV9" s="32">
        <f>Accrual_GHEL!AV26</f>
        <v>2696309.319721485</v>
      </c>
      <c r="AW9" s="32">
        <f>Accrual_GHEL!AW26</f>
        <v>2737878.5782396104</v>
      </c>
      <c r="AX9" s="32">
        <f>Accrual_GHEL!AX26</f>
        <v>2775425.00528824</v>
      </c>
      <c r="AY9" s="32">
        <f>Accrual_GHEL!AY26</f>
        <v>2815820.9379610959</v>
      </c>
      <c r="AZ9" s="32">
        <f>Accrual_GHEL!AZ26</f>
        <v>2853534.9829876213</v>
      </c>
      <c r="BA9" s="32">
        <f>Accrual_GHEL!BA26</f>
        <v>2892506.1628483641</v>
      </c>
      <c r="BB9" s="32">
        <f>Accrual_GHEL!BB26</f>
        <v>2928963.0730406716</v>
      </c>
      <c r="BC9" s="32">
        <f>Accrual_GHEL!BC26</f>
        <v>2965336.1742440313</v>
      </c>
      <c r="BD9" s="32">
        <f>Accrual_GHEL!BD26</f>
        <v>3001709.275447391</v>
      </c>
      <c r="BE9" s="32">
        <f>Accrual_GHEL!BE26</f>
        <v>3035568.1069823159</v>
      </c>
      <c r="BF9" s="32">
        <f>Accrual_GHEL!BF26</f>
        <v>3069343.1295282929</v>
      </c>
      <c r="BG9" s="32">
        <f>Accrual_GHEL!BG26</f>
        <v>3102028.6352179479</v>
      </c>
      <c r="BH9" s="32">
        <f>Accrual_GHEL!BH26</f>
        <v>3134378.9049518118</v>
      </c>
      <c r="BI9" s="32">
        <f>Accrual_GHEL!BI26</f>
        <v>3165555.8488404057</v>
      </c>
      <c r="BJ9" s="32">
        <f>Accrual_GHEL!BJ26</f>
        <v>3194721.3769942517</v>
      </c>
      <c r="BK9" s="32">
        <f>Accrual_GHEL!BK26</f>
        <v>3224473.5680707325</v>
      </c>
      <c r="BL9" s="32">
        <f>Accrual_GHEL!BL26</f>
        <v>3252130.5344235175</v>
      </c>
      <c r="BM9" s="32">
        <f>Accrual_GHEL!BM26</f>
        <v>3280709.3996547288</v>
      </c>
      <c r="BN9" s="32">
        <f>Accrual_GHEL!BN26</f>
        <v>3307025.4221843486</v>
      </c>
      <c r="BO9" s="32">
        <f>Accrual_GHEL!BO26</f>
        <v>3333006.2087581772</v>
      </c>
      <c r="BP9" s="32">
        <f>Accrual_GHEL!BP26</f>
        <v>3358986.9953320059</v>
      </c>
      <c r="BQ9" s="32">
        <f>Accrual_GHEL!BQ26</f>
        <v>3382788.7481931909</v>
      </c>
      <c r="BR9" s="32">
        <f>Accrual_GHEL!BR26</f>
        <v>3406171.4561096365</v>
      </c>
      <c r="BS9" s="32">
        <f>Accrual_GHEL!BS26</f>
        <v>3428799.8831255515</v>
      </c>
      <c r="BT9" s="32">
        <f>Accrual_GHEL!BT26</f>
        <v>3450757.8382298839</v>
      </c>
      <c r="BU9" s="32">
        <f>Accrual_GHEL!BU26</f>
        <v>3471542.4674889469</v>
      </c>
      <c r="BV9" s="32">
        <f>Accrual_GHEL!BV26</f>
        <v>3490315.6810132614</v>
      </c>
      <c r="BW9" s="32">
        <f>Accrual_GHEL!BW26</f>
        <v>3509675.5574602112</v>
      </c>
      <c r="BX9" s="32">
        <f>Accrual_GHEL!BX26</f>
        <v>3527275.4451392563</v>
      </c>
      <c r="BY9" s="32">
        <f>Accrual_GHEL!BY26</f>
        <v>3545461.9957409361</v>
      </c>
      <c r="BZ9" s="32">
        <f>Accrual_GHEL!BZ26</f>
        <v>3561720.939596816</v>
      </c>
      <c r="CA9" s="32">
        <f>Accrual_GHEL!CA26</f>
        <v>3577309.4115411132</v>
      </c>
      <c r="CB9" s="32">
        <f>Accrual_GHEL!CB26</f>
        <v>3592897.8834854104</v>
      </c>
      <c r="CC9" s="32">
        <f>Accrual_GHEL!CC26</f>
        <v>3606642.557672855</v>
      </c>
      <c r="CD9" s="32">
        <f>Accrual_GHEL!CD26</f>
        <v>3619632.9509597691</v>
      </c>
      <c r="CE9" s="32">
        <f>Accrual_GHEL!CE26</f>
        <v>3632204.2993019442</v>
      </c>
      <c r="CF9" s="32">
        <f>Accrual_GHEL!CF26</f>
        <v>3643769.9397767452</v>
      </c>
      <c r="CG9" s="32">
        <f>Accrual_GHEL!CG26</f>
        <v>3654162.2544062766</v>
      </c>
      <c r="CH9" s="32">
        <f>Accrual_GHEL!CH26</f>
        <v>3663548.8611684339</v>
      </c>
      <c r="CI9" s="32">
        <f>Accrual_GHEL!CI26</f>
        <v>3672516.4229858522</v>
      </c>
      <c r="CJ9" s="32">
        <f>Accrual_GHEL!CJ26</f>
        <v>3680059.2319911574</v>
      </c>
      <c r="CK9" s="32">
        <f>Accrual_GHEL!CK26</f>
        <v>3687853.4679633058</v>
      </c>
      <c r="CL9" s="32">
        <f>Accrual_GHEL!CL26</f>
        <v>3694055.3331454457</v>
      </c>
      <c r="CM9" s="32">
        <f>Accrual_GHEL!CM26</f>
        <v>3699251.4904602114</v>
      </c>
      <c r="CN9" s="32">
        <f>Accrual_GHEL!CN26</f>
        <v>3704447.6477749771</v>
      </c>
      <c r="CO9" s="32">
        <f>Accrual_GHEL!CO26</f>
        <v>3708135.2432886818</v>
      </c>
      <c r="CP9" s="32">
        <f>Accrual_GHEL!CP26</f>
        <v>3710733.3219460645</v>
      </c>
      <c r="CQ9" s="32">
        <f>Accrual_GHEL!CQ26</f>
        <v>3713247.5916144997</v>
      </c>
      <c r="CR9" s="32">
        <f>Accrual_GHEL!CR26</f>
        <v>3714420.9174597692</v>
      </c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</row>
    <row r="10" spans="1:119" x14ac:dyDescent="0.25">
      <c r="A10" s="41" t="s">
        <v>32</v>
      </c>
      <c r="B10" s="32">
        <v>0</v>
      </c>
      <c r="C10" s="32">
        <v>0</v>
      </c>
      <c r="D10" s="32">
        <f>GHEL_Loan!$B$29</f>
        <v>0</v>
      </c>
      <c r="E10" s="32">
        <f>D10</f>
        <v>0</v>
      </c>
      <c r="F10" s="32">
        <f>GHEL_Loan!$C$29</f>
        <v>244190.78699999998</v>
      </c>
      <c r="G10" s="32">
        <f t="shared" ref="G10:H10" si="37">F10</f>
        <v>244190.78699999998</v>
      </c>
      <c r="H10" s="32">
        <f t="shared" si="37"/>
        <v>244190.78699999998</v>
      </c>
      <c r="I10" s="32">
        <f>GHEL_Loan!$D$29</f>
        <v>446583.15100000001</v>
      </c>
      <c r="J10" s="32">
        <f t="shared" ref="J10" si="38">I10</f>
        <v>446583.15100000001</v>
      </c>
      <c r="K10" s="32">
        <f t="shared" ref="K10" si="39">J10</f>
        <v>446583.15100000001</v>
      </c>
      <c r="L10" s="32">
        <f>GHEL_Loan!$E$29</f>
        <v>646775.598</v>
      </c>
      <c r="M10" s="32">
        <f t="shared" ref="M10" si="40">L10</f>
        <v>646775.598</v>
      </c>
      <c r="N10" s="32">
        <f t="shared" ref="N10" si="41">M10</f>
        <v>646775.598</v>
      </c>
      <c r="O10" s="32">
        <f>GHEL_Loan!$F$29</f>
        <v>840064.85717241373</v>
      </c>
      <c r="P10" s="32">
        <f t="shared" ref="P10" si="42">O10</f>
        <v>840064.85717241373</v>
      </c>
      <c r="Q10" s="32">
        <f t="shared" ref="Q10" si="43">P10</f>
        <v>840064.85717241373</v>
      </c>
      <c r="R10" s="32">
        <f>GHEL_Loan!$G$29</f>
        <v>1028499.1271034483</v>
      </c>
      <c r="S10" s="32">
        <f t="shared" ref="S10" si="44">R10</f>
        <v>1028499.1271034483</v>
      </c>
      <c r="T10" s="32">
        <f t="shared" ref="T10" si="45">S10</f>
        <v>1028499.1271034483</v>
      </c>
      <c r="U10" s="32">
        <f>GHEL_Loan!$H$29</f>
        <v>1228143.4513333333</v>
      </c>
      <c r="V10" s="32">
        <f t="shared" ref="V10" si="46">U10</f>
        <v>1228143.4513333333</v>
      </c>
      <c r="W10" s="32">
        <f t="shared" ref="W10" si="47">V10</f>
        <v>1228143.4513333333</v>
      </c>
      <c r="X10" s="32">
        <f>GHEL_Loan!$I$29</f>
        <v>1418808.9011896551</v>
      </c>
      <c r="Y10" s="32">
        <f t="shared" ref="Y10" si="48">X10</f>
        <v>1418808.9011896551</v>
      </c>
      <c r="Z10" s="32">
        <f t="shared" ref="Z10" si="49">Y10</f>
        <v>1418808.9011896551</v>
      </c>
      <c r="AA10" s="32">
        <f>GHEL_Loan!$J$29</f>
        <v>1599836.3173169759</v>
      </c>
      <c r="AB10" s="32">
        <f t="shared" ref="AB10" si="50">AA10</f>
        <v>1599836.3173169759</v>
      </c>
      <c r="AC10" s="32">
        <f t="shared" ref="AC10" si="51">AB10</f>
        <v>1599836.3173169759</v>
      </c>
      <c r="AD10" s="32">
        <f>GHEL_Loan!$K$29</f>
        <v>1777176.1379305921</v>
      </c>
      <c r="AE10" s="32">
        <f t="shared" ref="AE10" si="52">AD10</f>
        <v>1777176.1379305921</v>
      </c>
      <c r="AF10" s="32">
        <f t="shared" ref="AF10" si="53">AE10</f>
        <v>1777176.1379305921</v>
      </c>
      <c r="AG10" s="32">
        <f>GHEL_Loan!$L$29</f>
        <v>1950493.1270747124</v>
      </c>
      <c r="AH10" s="32">
        <f t="shared" ref="AH10" si="54">AG10</f>
        <v>1950493.1270747124</v>
      </c>
      <c r="AI10" s="32">
        <f t="shared" ref="AI10" si="55">AH10</f>
        <v>1950493.1270747124</v>
      </c>
      <c r="AJ10" s="32">
        <f>GHEL_Loan!$M$29</f>
        <v>2110652.1049540229</v>
      </c>
      <c r="AK10" s="32">
        <f t="shared" ref="AK10" si="56">AJ10</f>
        <v>2110652.1049540229</v>
      </c>
      <c r="AL10" s="32">
        <f t="shared" ref="AL10" si="57">AK10</f>
        <v>2110652.1049540229</v>
      </c>
      <c r="AM10" s="32">
        <f>GHEL_Loan!$N$29</f>
        <v>2258155.9255022104</v>
      </c>
      <c r="AN10" s="32">
        <f t="shared" ref="AN10" si="58">AM10</f>
        <v>2258155.9255022104</v>
      </c>
      <c r="AO10" s="32">
        <f t="shared" ref="AO10" si="59">AN10</f>
        <v>2258155.9255022104</v>
      </c>
      <c r="AP10" s="32">
        <f>GHEL_Loan!$O$29</f>
        <v>2407838.7797630415</v>
      </c>
      <c r="AQ10" s="32">
        <f t="shared" ref="AQ10" si="60">AP10</f>
        <v>2407838.7797630415</v>
      </c>
      <c r="AR10" s="32">
        <f t="shared" ref="AR10" si="61">AQ10</f>
        <v>2407838.7797630415</v>
      </c>
      <c r="AS10" s="32">
        <f>GHEL_Loan!$P$29</f>
        <v>2545117.9036595933</v>
      </c>
      <c r="AT10" s="32">
        <f t="shared" ref="AT10" si="62">AS10</f>
        <v>2545117.9036595933</v>
      </c>
      <c r="AU10" s="32">
        <f t="shared" ref="AU10" si="63">AT10</f>
        <v>2545117.9036595933</v>
      </c>
      <c r="AV10" s="32">
        <f>GHEL_Loan!$Q$29</f>
        <v>2676195.1623740052</v>
      </c>
      <c r="AW10" s="32">
        <f t="shared" ref="AW10" si="64">AV10</f>
        <v>2676195.1623740052</v>
      </c>
      <c r="AX10" s="32">
        <f t="shared" ref="AX10" si="65">AW10</f>
        <v>2676195.1623740052</v>
      </c>
      <c r="AY10" s="32">
        <f>GHEL_Loan!$R$29</f>
        <v>2798221.0502820513</v>
      </c>
      <c r="AZ10" s="32">
        <f t="shared" ref="AZ10" si="66">AY10</f>
        <v>2798221.0502820513</v>
      </c>
      <c r="BA10" s="32">
        <f t="shared" ref="BA10" si="67">AZ10</f>
        <v>2798221.0502820513</v>
      </c>
      <c r="BB10" s="32">
        <f>GHEL_Loan!$S$29</f>
        <v>2911363.185361627</v>
      </c>
      <c r="BC10" s="32">
        <f t="shared" ref="BC10" si="68">BB10</f>
        <v>2911363.185361627</v>
      </c>
      <c r="BD10" s="32">
        <f t="shared" ref="BD10" si="69">BC10</f>
        <v>2911363.185361627</v>
      </c>
      <c r="BE10" s="32">
        <f>GHEL_Loan!$T$29</f>
        <v>3018135.837281167</v>
      </c>
      <c r="BF10" s="32">
        <f t="shared" ref="BF10" si="70">BE10</f>
        <v>3018135.837281167</v>
      </c>
      <c r="BG10" s="32">
        <f t="shared" ref="BG10" si="71">BF10</f>
        <v>3018135.837281167</v>
      </c>
      <c r="BH10" s="32">
        <f>GHEL_Loan!$U$29</f>
        <v>3117281.8712064545</v>
      </c>
      <c r="BI10" s="32">
        <f t="shared" ref="BI10" si="72">BH10</f>
        <v>3117281.8712064545</v>
      </c>
      <c r="BJ10" s="32">
        <f t="shared" ref="BJ10" si="73">BI10</f>
        <v>3117281.8712064545</v>
      </c>
      <c r="BK10" s="32">
        <f>GHEL_Loan!$V$29</f>
        <v>3208801.2871374888</v>
      </c>
      <c r="BL10" s="32">
        <f t="shared" ref="BL10" si="74">BK10</f>
        <v>3208801.2871374888</v>
      </c>
      <c r="BM10" s="32">
        <f t="shared" ref="BM10" si="75">BL10</f>
        <v>3208801.2871374888</v>
      </c>
      <c r="BN10" s="32">
        <f>GHEL_Loan!$W$29</f>
        <v>3293615.9839526964</v>
      </c>
      <c r="BO10" s="32">
        <f t="shared" ref="BO10" si="76">BN10</f>
        <v>3293615.9839526964</v>
      </c>
      <c r="BP10" s="32">
        <f t="shared" ref="BP10" si="77">BO10</f>
        <v>3293615.9839526964</v>
      </c>
      <c r="BQ10" s="32">
        <f>GHEL_Loan!$X$29</f>
        <v>3370720.2537847036</v>
      </c>
      <c r="BR10" s="32">
        <f t="shared" ref="BR10" si="78">BQ10</f>
        <v>3370720.2537847036</v>
      </c>
      <c r="BS10" s="32">
        <f t="shared" ref="BS10" si="79">BR10</f>
        <v>3370720.2537847036</v>
      </c>
      <c r="BT10" s="32">
        <f>GHEL_Loan!$Y$29</f>
        <v>3439359.8157329792</v>
      </c>
      <c r="BU10" s="32">
        <f t="shared" ref="BU10" si="80">BT10</f>
        <v>3439359.8157329792</v>
      </c>
      <c r="BV10" s="32">
        <f t="shared" ref="BV10" si="81">BU10</f>
        <v>3439359.8157329792</v>
      </c>
      <c r="BW10" s="32">
        <f>GHEL_Loan!$Z$29</f>
        <v>3499702.2877754197</v>
      </c>
      <c r="BX10" s="32">
        <f t="shared" ref="BX10" si="82">BW10</f>
        <v>3499702.2877754197</v>
      </c>
      <c r="BY10" s="32">
        <f t="shared" ref="BY10" si="83">BX10</f>
        <v>3499702.2877754197</v>
      </c>
      <c r="BZ10" s="32">
        <f>GHEL_Loan!$AA$29</f>
        <v>3553675.2766578244</v>
      </c>
      <c r="CA10" s="32">
        <f t="shared" ref="CA10" si="84">BZ10</f>
        <v>3553675.2766578244</v>
      </c>
      <c r="CB10" s="32">
        <f t="shared" ref="CB10" si="85">CA10</f>
        <v>3553675.2766578244</v>
      </c>
      <c r="CC10" s="32">
        <f>GHEL_Loan!$AB$29</f>
        <v>3599937.8385570287</v>
      </c>
      <c r="CD10" s="32">
        <f t="shared" ref="CD10" si="86">CC10</f>
        <v>3599937.8385570287</v>
      </c>
      <c r="CE10" s="32">
        <f t="shared" ref="CE10" si="87">CD10</f>
        <v>3599937.8385570287</v>
      </c>
      <c r="CF10" s="32">
        <f>GHEL_Loan!$AC$29</f>
        <v>3638070.928528293</v>
      </c>
      <c r="CG10" s="32">
        <f t="shared" ref="CG10" si="88">CF10</f>
        <v>3638070.928528293</v>
      </c>
      <c r="CH10" s="32">
        <f t="shared" ref="CH10" si="89">CG10</f>
        <v>3638070.928528293</v>
      </c>
      <c r="CI10" s="32">
        <f>GHEL_Loan!$AD$29</f>
        <v>3668242.1645495133</v>
      </c>
      <c r="CJ10" s="32">
        <f t="shared" ref="CJ10" si="90">CI10</f>
        <v>3668242.1645495133</v>
      </c>
      <c r="CK10" s="32">
        <f t="shared" ref="CK10" si="91">CJ10</f>
        <v>3668242.1645495133</v>
      </c>
      <c r="CL10" s="32">
        <f>GHEL_Loan!$AE$29</f>
        <v>3691373.4454991152</v>
      </c>
      <c r="CM10" s="32">
        <f t="shared" ref="CM10" si="92">CL10</f>
        <v>3691373.4454991152</v>
      </c>
      <c r="CN10" s="32">
        <f t="shared" ref="CN10" si="93">CM10</f>
        <v>3691373.4454991152</v>
      </c>
      <c r="CO10" s="32">
        <f>GHEL_Loan!$AF$29</f>
        <v>3706794.2994655166</v>
      </c>
      <c r="CP10" s="32">
        <f t="shared" ref="CP10" si="94">CO10</f>
        <v>3706794.2994655166</v>
      </c>
      <c r="CQ10" s="32">
        <f t="shared" ref="CQ10" si="95">CP10</f>
        <v>3706794.2994655166</v>
      </c>
      <c r="CR10" s="32">
        <f>GHEL_Loan!$AG$29</f>
        <v>3714420.9174597696</v>
      </c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122"/>
      <c r="DN10" s="122"/>
      <c r="DO10" s="32"/>
    </row>
    <row r="11" spans="1:119" x14ac:dyDescent="0.25">
      <c r="A11" s="41" t="s">
        <v>33</v>
      </c>
      <c r="B11" s="32">
        <f>B26</f>
        <v>0</v>
      </c>
      <c r="C11" s="32">
        <f t="shared" ref="C11:G11" si="96">C26</f>
        <v>0</v>
      </c>
      <c r="D11" s="32">
        <f t="shared" si="96"/>
        <v>0</v>
      </c>
      <c r="E11" s="32">
        <f t="shared" si="96"/>
        <v>0</v>
      </c>
      <c r="F11" s="32">
        <f t="shared" si="96"/>
        <v>244190</v>
      </c>
      <c r="G11" s="32">
        <f t="shared" si="96"/>
        <v>244190</v>
      </c>
      <c r="H11" s="32">
        <f t="shared" ref="H11:Q11" si="97">H26</f>
        <v>244190</v>
      </c>
      <c r="I11" s="32">
        <f t="shared" si="97"/>
        <v>446582</v>
      </c>
      <c r="J11" s="32">
        <f t="shared" si="97"/>
        <v>446582</v>
      </c>
      <c r="K11" s="32">
        <f t="shared" si="97"/>
        <v>446582</v>
      </c>
      <c r="L11" s="32">
        <f t="shared" si="97"/>
        <v>646774</v>
      </c>
      <c r="M11" s="32">
        <f t="shared" si="97"/>
        <v>646774</v>
      </c>
      <c r="N11" s="32">
        <f t="shared" si="97"/>
        <v>646774</v>
      </c>
      <c r="O11" s="32">
        <f t="shared" si="97"/>
        <v>840063</v>
      </c>
      <c r="P11" s="32">
        <f t="shared" si="97"/>
        <v>840063</v>
      </c>
      <c r="Q11" s="32">
        <f t="shared" si="97"/>
        <v>840063</v>
      </c>
      <c r="R11" s="32">
        <f t="shared" ref="R11:CC11" si="98">R26</f>
        <v>1028497</v>
      </c>
      <c r="S11" s="32">
        <f t="shared" si="98"/>
        <v>1028497</v>
      </c>
      <c r="T11" s="32">
        <f t="shared" si="98"/>
        <v>1028497</v>
      </c>
      <c r="U11" s="32">
        <f t="shared" si="98"/>
        <v>1228141</v>
      </c>
      <c r="V11" s="32">
        <f t="shared" si="98"/>
        <v>1228141</v>
      </c>
      <c r="W11" s="32">
        <f t="shared" si="98"/>
        <v>1228141</v>
      </c>
      <c r="X11" s="32">
        <f t="shared" si="98"/>
        <v>1418806</v>
      </c>
      <c r="Y11" s="32">
        <f t="shared" si="98"/>
        <v>1418806</v>
      </c>
      <c r="Z11" s="32">
        <f t="shared" si="98"/>
        <v>1418806</v>
      </c>
      <c r="AA11" s="32">
        <f t="shared" si="98"/>
        <v>1599834</v>
      </c>
      <c r="AB11" s="32">
        <f t="shared" si="98"/>
        <v>1599834</v>
      </c>
      <c r="AC11" s="32">
        <f t="shared" si="98"/>
        <v>1599834</v>
      </c>
      <c r="AD11" s="32">
        <f t="shared" si="98"/>
        <v>1777174</v>
      </c>
      <c r="AE11" s="32">
        <f t="shared" si="98"/>
        <v>1777174</v>
      </c>
      <c r="AF11" s="32">
        <f t="shared" si="98"/>
        <v>1777174</v>
      </c>
      <c r="AG11" s="32">
        <f t="shared" si="98"/>
        <v>1950491</v>
      </c>
      <c r="AH11" s="32">
        <f t="shared" si="98"/>
        <v>1950491</v>
      </c>
      <c r="AI11" s="32">
        <f t="shared" si="98"/>
        <v>1950491</v>
      </c>
      <c r="AJ11" s="32">
        <f t="shared" si="98"/>
        <v>2110650</v>
      </c>
      <c r="AK11" s="32">
        <f t="shared" si="98"/>
        <v>2110650</v>
      </c>
      <c r="AL11" s="32">
        <f t="shared" si="98"/>
        <v>2110650</v>
      </c>
      <c r="AM11" s="32">
        <f t="shared" si="98"/>
        <v>2258154</v>
      </c>
      <c r="AN11" s="32">
        <f t="shared" si="98"/>
        <v>2258154</v>
      </c>
      <c r="AO11" s="32">
        <f t="shared" si="98"/>
        <v>2258154</v>
      </c>
      <c r="AP11" s="32">
        <f t="shared" si="98"/>
        <v>2407837</v>
      </c>
      <c r="AQ11" s="32">
        <f t="shared" si="98"/>
        <v>2407837</v>
      </c>
      <c r="AR11" s="32">
        <f t="shared" si="98"/>
        <v>2407837</v>
      </c>
      <c r="AS11" s="32">
        <f t="shared" si="98"/>
        <v>2545116</v>
      </c>
      <c r="AT11" s="32">
        <f t="shared" si="98"/>
        <v>2545116</v>
      </c>
      <c r="AU11" s="32">
        <f t="shared" si="98"/>
        <v>2545116</v>
      </c>
      <c r="AV11" s="32">
        <f t="shared" si="98"/>
        <v>2676193</v>
      </c>
      <c r="AW11" s="32">
        <f t="shared" si="98"/>
        <v>2676193</v>
      </c>
      <c r="AX11" s="32">
        <f t="shared" si="98"/>
        <v>2676193</v>
      </c>
      <c r="AY11" s="32">
        <f t="shared" si="98"/>
        <v>2798219</v>
      </c>
      <c r="AZ11" s="32">
        <f t="shared" si="98"/>
        <v>2798219</v>
      </c>
      <c r="BA11" s="32">
        <f t="shared" si="98"/>
        <v>2798219</v>
      </c>
      <c r="BB11" s="32">
        <f t="shared" si="98"/>
        <v>2818424</v>
      </c>
      <c r="BC11" s="32">
        <f t="shared" si="98"/>
        <v>2818424</v>
      </c>
      <c r="BD11" s="32">
        <f t="shared" si="98"/>
        <v>2818424</v>
      </c>
      <c r="BE11" s="32">
        <f t="shared" si="98"/>
        <v>2818424</v>
      </c>
      <c r="BF11" s="32">
        <f t="shared" si="98"/>
        <v>2818424</v>
      </c>
      <c r="BG11" s="32">
        <f t="shared" si="98"/>
        <v>2818424</v>
      </c>
      <c r="BH11" s="32">
        <f t="shared" si="98"/>
        <v>2818424</v>
      </c>
      <c r="BI11" s="32">
        <f t="shared" si="98"/>
        <v>2818424</v>
      </c>
      <c r="BJ11" s="32">
        <f t="shared" si="98"/>
        <v>2818424</v>
      </c>
      <c r="BK11" s="32">
        <f t="shared" si="98"/>
        <v>3208801.2871374888</v>
      </c>
      <c r="BL11" s="32">
        <f t="shared" si="98"/>
        <v>3208801.2871374888</v>
      </c>
      <c r="BM11" s="32">
        <f t="shared" si="98"/>
        <v>3208801.2871374888</v>
      </c>
      <c r="BN11" s="32">
        <f t="shared" si="98"/>
        <v>3293615.9839526964</v>
      </c>
      <c r="BO11" s="32">
        <f t="shared" si="98"/>
        <v>3293615.9839526964</v>
      </c>
      <c r="BP11" s="32">
        <f t="shared" si="98"/>
        <v>3293615.9839526964</v>
      </c>
      <c r="BQ11" s="32">
        <f t="shared" si="98"/>
        <v>3370720.2537847036</v>
      </c>
      <c r="BR11" s="32">
        <f t="shared" si="98"/>
        <v>3370720.2537847036</v>
      </c>
      <c r="BS11" s="32">
        <f t="shared" si="98"/>
        <v>3370720.2537847036</v>
      </c>
      <c r="BT11" s="32">
        <f t="shared" si="98"/>
        <v>3439359.8157329792</v>
      </c>
      <c r="BU11" s="32">
        <f t="shared" si="98"/>
        <v>3439359.8157329792</v>
      </c>
      <c r="BV11" s="32">
        <f t="shared" si="98"/>
        <v>3439359.8157329792</v>
      </c>
      <c r="BW11" s="32">
        <f t="shared" si="98"/>
        <v>3499702.2877754197</v>
      </c>
      <c r="BX11" s="32">
        <f t="shared" si="98"/>
        <v>3499702.2877754197</v>
      </c>
      <c r="BY11" s="32">
        <f t="shared" si="98"/>
        <v>3499702.2877754197</v>
      </c>
      <c r="BZ11" s="32">
        <f t="shared" si="98"/>
        <v>3553675.2766578244</v>
      </c>
      <c r="CA11" s="32">
        <f t="shared" si="98"/>
        <v>3553675.2766578244</v>
      </c>
      <c r="CB11" s="32">
        <f t="shared" si="98"/>
        <v>3553675.2766578244</v>
      </c>
      <c r="CC11" s="32">
        <f t="shared" si="98"/>
        <v>3599937.8385570287</v>
      </c>
      <c r="CD11" s="32">
        <f t="shared" ref="CD11:CE11" si="99">CD26</f>
        <v>3599937.8385570287</v>
      </c>
      <c r="CE11" s="32">
        <f t="shared" si="99"/>
        <v>3599937.8385570287</v>
      </c>
      <c r="CF11" s="32">
        <f>CF26</f>
        <v>3638070.928528293</v>
      </c>
      <c r="CG11" s="32">
        <f t="shared" ref="CG11:CL11" si="100">CG26</f>
        <v>3638070.928528293</v>
      </c>
      <c r="CH11" s="32">
        <f t="shared" si="100"/>
        <v>3638070.928528293</v>
      </c>
      <c r="CI11" s="32">
        <f t="shared" si="100"/>
        <v>3668242.1645495133</v>
      </c>
      <c r="CJ11" s="32">
        <f t="shared" si="100"/>
        <v>3668242.1645495133</v>
      </c>
      <c r="CK11" s="32">
        <f t="shared" si="100"/>
        <v>3668242.1645495133</v>
      </c>
      <c r="CL11" s="32">
        <f t="shared" si="100"/>
        <v>3691373.4454991152</v>
      </c>
      <c r="CM11" s="32">
        <f t="shared" ref="CM11:CR11" si="101">CM26</f>
        <v>3691373.4454991152</v>
      </c>
      <c r="CN11" s="32">
        <f t="shared" si="101"/>
        <v>3691373.4454991152</v>
      </c>
      <c r="CO11" s="32">
        <f t="shared" si="101"/>
        <v>3706794.2994655166</v>
      </c>
      <c r="CP11" s="32">
        <f t="shared" si="101"/>
        <v>3706794.2994655166</v>
      </c>
      <c r="CQ11" s="32">
        <f t="shared" si="101"/>
        <v>3706794.2994655166</v>
      </c>
      <c r="CR11" s="32">
        <f t="shared" si="101"/>
        <v>3714420.9174597696</v>
      </c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</row>
    <row r="12" spans="1:119" x14ac:dyDescent="0.25">
      <c r="A12" s="41" t="s">
        <v>34</v>
      </c>
      <c r="B12" s="32">
        <f t="shared" ref="B12:Q12" si="102">IF((B10-B11)&gt;0,(B10-B11),0)</f>
        <v>0</v>
      </c>
      <c r="C12" s="32">
        <f t="shared" si="102"/>
        <v>0</v>
      </c>
      <c r="D12" s="32">
        <f t="shared" si="102"/>
        <v>0</v>
      </c>
      <c r="E12" s="32">
        <f t="shared" si="102"/>
        <v>0</v>
      </c>
      <c r="F12" s="32">
        <f t="shared" si="102"/>
        <v>0.78699999998207204</v>
      </c>
      <c r="G12" s="32">
        <f t="shared" si="102"/>
        <v>0.78699999998207204</v>
      </c>
      <c r="H12" s="32">
        <f t="shared" si="102"/>
        <v>0.78699999998207204</v>
      </c>
      <c r="I12" s="32">
        <f t="shared" si="102"/>
        <v>1.1510000000125729</v>
      </c>
      <c r="J12" s="32">
        <f t="shared" si="102"/>
        <v>1.1510000000125729</v>
      </c>
      <c r="K12" s="32">
        <f t="shared" si="102"/>
        <v>1.1510000000125729</v>
      </c>
      <c r="L12" s="32">
        <f t="shared" si="102"/>
        <v>1.5979999999981374</v>
      </c>
      <c r="M12" s="32">
        <f t="shared" si="102"/>
        <v>1.5979999999981374</v>
      </c>
      <c r="N12" s="32">
        <f t="shared" si="102"/>
        <v>1.5979999999981374</v>
      </c>
      <c r="O12" s="32">
        <f t="shared" si="102"/>
        <v>1.8571724137291312</v>
      </c>
      <c r="P12" s="32">
        <f t="shared" si="102"/>
        <v>1.8571724137291312</v>
      </c>
      <c r="Q12" s="32">
        <f t="shared" si="102"/>
        <v>1.8571724137291312</v>
      </c>
      <c r="R12" s="32">
        <f t="shared" ref="R12:CC12" si="103">IF((R10-R11)&gt;0,(R10-R11),0)</f>
        <v>2.1271034482633695</v>
      </c>
      <c r="S12" s="32">
        <f t="shared" si="103"/>
        <v>2.1271034482633695</v>
      </c>
      <c r="T12" s="32">
        <f t="shared" si="103"/>
        <v>2.1271034482633695</v>
      </c>
      <c r="U12" s="32">
        <f t="shared" si="103"/>
        <v>2.4513333332724869</v>
      </c>
      <c r="V12" s="32">
        <f t="shared" si="103"/>
        <v>2.4513333332724869</v>
      </c>
      <c r="W12" s="32">
        <f t="shared" si="103"/>
        <v>2.4513333332724869</v>
      </c>
      <c r="X12" s="32">
        <f t="shared" si="103"/>
        <v>2.9011896550655365</v>
      </c>
      <c r="Y12" s="32">
        <f t="shared" si="103"/>
        <v>2.9011896550655365</v>
      </c>
      <c r="Z12" s="32">
        <f t="shared" si="103"/>
        <v>2.9011896550655365</v>
      </c>
      <c r="AA12" s="32">
        <f t="shared" si="103"/>
        <v>2.3173169759102166</v>
      </c>
      <c r="AB12" s="32">
        <f t="shared" si="103"/>
        <v>2.3173169759102166</v>
      </c>
      <c r="AC12" s="32">
        <f t="shared" si="103"/>
        <v>2.3173169759102166</v>
      </c>
      <c r="AD12" s="32">
        <f t="shared" si="103"/>
        <v>2.1379305920563638</v>
      </c>
      <c r="AE12" s="32">
        <f t="shared" si="103"/>
        <v>2.1379305920563638</v>
      </c>
      <c r="AF12" s="32">
        <f t="shared" si="103"/>
        <v>2.1379305920563638</v>
      </c>
      <c r="AG12" s="32">
        <f t="shared" si="103"/>
        <v>2.1270747124217451</v>
      </c>
      <c r="AH12" s="32">
        <f t="shared" si="103"/>
        <v>2.1270747124217451</v>
      </c>
      <c r="AI12" s="32">
        <f t="shared" si="103"/>
        <v>2.1270747124217451</v>
      </c>
      <c r="AJ12" s="32">
        <f t="shared" si="103"/>
        <v>2.1049540229141712</v>
      </c>
      <c r="AK12" s="32">
        <f t="shared" si="103"/>
        <v>2.1049540229141712</v>
      </c>
      <c r="AL12" s="32">
        <f t="shared" si="103"/>
        <v>2.1049540229141712</v>
      </c>
      <c r="AM12" s="32">
        <f t="shared" si="103"/>
        <v>1.9255022103898227</v>
      </c>
      <c r="AN12" s="32">
        <f t="shared" si="103"/>
        <v>1.9255022103898227</v>
      </c>
      <c r="AO12" s="32">
        <f t="shared" si="103"/>
        <v>1.9255022103898227</v>
      </c>
      <c r="AP12" s="32">
        <f t="shared" si="103"/>
        <v>1.7797630415298045</v>
      </c>
      <c r="AQ12" s="32">
        <f t="shared" si="103"/>
        <v>1.7797630415298045</v>
      </c>
      <c r="AR12" s="32">
        <f t="shared" si="103"/>
        <v>1.7797630415298045</v>
      </c>
      <c r="AS12" s="32">
        <f t="shared" si="103"/>
        <v>1.9036595933139324</v>
      </c>
      <c r="AT12" s="32">
        <f t="shared" si="103"/>
        <v>1.9036595933139324</v>
      </c>
      <c r="AU12" s="32">
        <f t="shared" si="103"/>
        <v>1.9036595933139324</v>
      </c>
      <c r="AV12" s="32">
        <f t="shared" si="103"/>
        <v>2.1623740051873028</v>
      </c>
      <c r="AW12" s="32">
        <f t="shared" si="103"/>
        <v>2.1623740051873028</v>
      </c>
      <c r="AX12" s="32">
        <f t="shared" si="103"/>
        <v>2.1623740051873028</v>
      </c>
      <c r="AY12" s="32">
        <f t="shared" si="103"/>
        <v>2.0502820513211191</v>
      </c>
      <c r="AZ12" s="32">
        <f t="shared" si="103"/>
        <v>2.0502820513211191</v>
      </c>
      <c r="BA12" s="32">
        <f t="shared" si="103"/>
        <v>2.0502820513211191</v>
      </c>
      <c r="BB12" s="32">
        <f t="shared" si="103"/>
        <v>92939.185361627024</v>
      </c>
      <c r="BC12" s="32">
        <f t="shared" si="103"/>
        <v>92939.185361627024</v>
      </c>
      <c r="BD12" s="32">
        <f t="shared" si="103"/>
        <v>92939.185361627024</v>
      </c>
      <c r="BE12" s="32">
        <f t="shared" si="103"/>
        <v>199711.83728116704</v>
      </c>
      <c r="BF12" s="32">
        <f t="shared" si="103"/>
        <v>199711.83728116704</v>
      </c>
      <c r="BG12" s="32">
        <f t="shared" si="103"/>
        <v>199711.83728116704</v>
      </c>
      <c r="BH12" s="32">
        <f t="shared" si="103"/>
        <v>298857.87120645447</v>
      </c>
      <c r="BI12" s="32">
        <f t="shared" si="103"/>
        <v>298857.87120645447</v>
      </c>
      <c r="BJ12" s="32">
        <f t="shared" si="103"/>
        <v>298857.87120645447</v>
      </c>
      <c r="BK12" s="32">
        <f t="shared" si="103"/>
        <v>0</v>
      </c>
      <c r="BL12" s="32">
        <f t="shared" si="103"/>
        <v>0</v>
      </c>
      <c r="BM12" s="32">
        <f t="shared" si="103"/>
        <v>0</v>
      </c>
      <c r="BN12" s="32">
        <f t="shared" si="103"/>
        <v>0</v>
      </c>
      <c r="BO12" s="32">
        <f t="shared" si="103"/>
        <v>0</v>
      </c>
      <c r="BP12" s="32">
        <f t="shared" si="103"/>
        <v>0</v>
      </c>
      <c r="BQ12" s="32">
        <f t="shared" si="103"/>
        <v>0</v>
      </c>
      <c r="BR12" s="32">
        <f t="shared" si="103"/>
        <v>0</v>
      </c>
      <c r="BS12" s="32">
        <f t="shared" si="103"/>
        <v>0</v>
      </c>
      <c r="BT12" s="32">
        <f t="shared" si="103"/>
        <v>0</v>
      </c>
      <c r="BU12" s="32">
        <f t="shared" si="103"/>
        <v>0</v>
      </c>
      <c r="BV12" s="32">
        <f t="shared" si="103"/>
        <v>0</v>
      </c>
      <c r="BW12" s="32">
        <f t="shared" si="103"/>
        <v>0</v>
      </c>
      <c r="BX12" s="32">
        <f t="shared" si="103"/>
        <v>0</v>
      </c>
      <c r="BY12" s="32">
        <f t="shared" si="103"/>
        <v>0</v>
      </c>
      <c r="BZ12" s="32">
        <f t="shared" si="103"/>
        <v>0</v>
      </c>
      <c r="CA12" s="32">
        <f t="shared" si="103"/>
        <v>0</v>
      </c>
      <c r="CB12" s="32">
        <f t="shared" si="103"/>
        <v>0</v>
      </c>
      <c r="CC12" s="32">
        <f t="shared" si="103"/>
        <v>0</v>
      </c>
      <c r="CD12" s="32">
        <f t="shared" ref="CD12:CE12" si="104">IF((CD10-CD11)&gt;0,(CD10-CD11),0)</f>
        <v>0</v>
      </c>
      <c r="CE12" s="32">
        <f t="shared" si="104"/>
        <v>0</v>
      </c>
      <c r="CF12" s="32">
        <f t="shared" ref="CF12:CI12" si="105">IF((CF10-CF11)&gt;0,(CF10-CF11),0)</f>
        <v>0</v>
      </c>
      <c r="CG12" s="32">
        <f t="shared" si="105"/>
        <v>0</v>
      </c>
      <c r="CH12" s="32">
        <f t="shared" si="105"/>
        <v>0</v>
      </c>
      <c r="CI12" s="32">
        <f t="shared" si="105"/>
        <v>0</v>
      </c>
      <c r="CJ12" s="32">
        <f t="shared" ref="CJ12:CL12" si="106">IF((CJ10-CJ11)&gt;0,(CJ10-CJ11),0)</f>
        <v>0</v>
      </c>
      <c r="CK12" s="32">
        <f t="shared" si="106"/>
        <v>0</v>
      </c>
      <c r="CL12" s="32">
        <f t="shared" si="106"/>
        <v>0</v>
      </c>
      <c r="CM12" s="32">
        <f t="shared" ref="CM12:CR12" si="107">IF((CM10-CM11)&gt;0,(CM10-CM11),0)</f>
        <v>0</v>
      </c>
      <c r="CN12" s="32">
        <f t="shared" si="107"/>
        <v>0</v>
      </c>
      <c r="CO12" s="32">
        <f t="shared" si="107"/>
        <v>0</v>
      </c>
      <c r="CP12" s="32">
        <f t="shared" si="107"/>
        <v>0</v>
      </c>
      <c r="CQ12" s="32">
        <f t="shared" si="107"/>
        <v>0</v>
      </c>
      <c r="CR12" s="32">
        <f t="shared" si="107"/>
        <v>0</v>
      </c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</row>
    <row r="13" spans="1:119" x14ac:dyDescent="0.25">
      <c r="A13" s="41" t="s">
        <v>35</v>
      </c>
      <c r="B13" s="32">
        <f t="shared" ref="B13:Q13" si="108">B9-B11</f>
        <v>10999.584999999999</v>
      </c>
      <c r="C13" s="32">
        <f>C9-C11</f>
        <v>79197.011999999988</v>
      </c>
      <c r="D13" s="32">
        <f t="shared" si="108"/>
        <v>145194.522</v>
      </c>
      <c r="E13" s="32">
        <f>E9-E11</f>
        <v>213391.94899999999</v>
      </c>
      <c r="F13" s="32">
        <f>F9-F11</f>
        <v>35199.458999999973</v>
      </c>
      <c r="G13" s="32">
        <f t="shared" si="108"/>
        <v>103396.88599999994</v>
      </c>
      <c r="H13" s="32">
        <f t="shared" si="108"/>
        <v>171594.31299999997</v>
      </c>
      <c r="I13" s="32">
        <f t="shared" si="108"/>
        <v>35199.822999999975</v>
      </c>
      <c r="J13" s="32">
        <f t="shared" si="108"/>
        <v>103397.25</v>
      </c>
      <c r="K13" s="32">
        <f t="shared" si="108"/>
        <v>169394.76</v>
      </c>
      <c r="L13" s="32">
        <f t="shared" si="108"/>
        <v>36110.580482758582</v>
      </c>
      <c r="M13" s="32">
        <f t="shared" si="108"/>
        <v>101956.37206896546</v>
      </c>
      <c r="N13" s="32">
        <f t="shared" si="108"/>
        <v>163554.04806896544</v>
      </c>
      <c r="O13" s="32">
        <f t="shared" si="108"/>
        <v>34821.233137930976</v>
      </c>
      <c r="P13" s="32">
        <f t="shared" si="108"/>
        <v>96267.190724137821</v>
      </c>
      <c r="Q13" s="32">
        <f t="shared" si="108"/>
        <v>159761.34689655167</v>
      </c>
      <c r="R13" s="32">
        <f t="shared" ref="R13:CC13" si="109">R9-R11</f>
        <v>34039.889172413852</v>
      </c>
      <c r="S13" s="32">
        <f t="shared" si="109"/>
        <v>101589.93426436791</v>
      </c>
      <c r="T13" s="32">
        <f t="shared" si="109"/>
        <v>169139.97935632197</v>
      </c>
      <c r="U13" s="32">
        <f t="shared" si="109"/>
        <v>33526.046912467107</v>
      </c>
      <c r="V13" s="32">
        <f t="shared" si="109"/>
        <v>98478.013347038301</v>
      </c>
      <c r="W13" s="32">
        <f t="shared" si="109"/>
        <v>161334.75505791372</v>
      </c>
      <c r="X13" s="32">
        <f t="shared" si="109"/>
        <v>34196.968680371763</v>
      </c>
      <c r="Y13" s="32">
        <f t="shared" si="109"/>
        <v>96550.85645756009</v>
      </c>
      <c r="Z13" s="32">
        <f t="shared" si="109"/>
        <v>152870.49703050451</v>
      </c>
      <c r="AA13" s="32">
        <f t="shared" si="109"/>
        <v>32771.631995579693</v>
      </c>
      <c r="AB13" s="32">
        <f t="shared" si="109"/>
        <v>90599.834369584918</v>
      </c>
      <c r="AC13" s="32">
        <f t="shared" si="109"/>
        <v>150355.64348939038</v>
      </c>
      <c r="AD13" s="32">
        <f t="shared" si="109"/>
        <v>29502.902040230343</v>
      </c>
      <c r="AE13" s="32">
        <f t="shared" si="109"/>
        <v>86660.632502652938</v>
      </c>
      <c r="AF13" s="32">
        <f t="shared" si="109"/>
        <v>143818.36296507553</v>
      </c>
      <c r="AG13" s="32">
        <f t="shared" si="109"/>
        <v>24641.969825376058</v>
      </c>
      <c r="AH13" s="32">
        <f t="shared" si="109"/>
        <v>79201.621630415786</v>
      </c>
      <c r="AI13" s="32">
        <f t="shared" si="109"/>
        <v>132001.28466755105</v>
      </c>
      <c r="AJ13" s="32">
        <f t="shared" si="109"/>
        <v>25144.801638373174</v>
      </c>
      <c r="AK13" s="32">
        <f t="shared" si="109"/>
        <v>77106.374786030035</v>
      </c>
      <c r="AL13" s="32">
        <f t="shared" si="109"/>
        <v>124039.40859681694</v>
      </c>
      <c r="AM13" s="32">
        <f t="shared" si="109"/>
        <v>27072.228932360653</v>
      </c>
      <c r="AN13" s="32">
        <f t="shared" si="109"/>
        <v>74843.35263262596</v>
      </c>
      <c r="AO13" s="32">
        <f t="shared" si="109"/>
        <v>124206.84712290019</v>
      </c>
      <c r="AP13" s="32">
        <f t="shared" si="109"/>
        <v>21121.644977895543</v>
      </c>
      <c r="AQ13" s="32">
        <f t="shared" si="109"/>
        <v>67887.060810786672</v>
      </c>
      <c r="AR13" s="32">
        <f t="shared" si="109"/>
        <v>114652.4766436778</v>
      </c>
      <c r="AS13" s="32">
        <f t="shared" si="109"/>
        <v>21373.195841290522</v>
      </c>
      <c r="AT13" s="32">
        <f t="shared" si="109"/>
        <v>65540.533016799018</v>
      </c>
      <c r="AU13" s="32">
        <f t="shared" si="109"/>
        <v>108283.11738019437</v>
      </c>
      <c r="AV13" s="32">
        <f t="shared" si="109"/>
        <v>20116.319721485022</v>
      </c>
      <c r="AW13" s="32">
        <f t="shared" si="109"/>
        <v>61685.578239610419</v>
      </c>
      <c r="AX13" s="32">
        <f t="shared" si="109"/>
        <v>99232.005288240034</v>
      </c>
      <c r="AY13" s="32">
        <f t="shared" si="109"/>
        <v>17601.937961095944</v>
      </c>
      <c r="AZ13" s="32">
        <f t="shared" si="109"/>
        <v>55315.982987621333</v>
      </c>
      <c r="BA13" s="32">
        <f t="shared" si="109"/>
        <v>94287.162848364096</v>
      </c>
      <c r="BB13" s="32">
        <f t="shared" si="109"/>
        <v>110539.07304067165</v>
      </c>
      <c r="BC13" s="32">
        <f t="shared" si="109"/>
        <v>146912.17424403131</v>
      </c>
      <c r="BD13" s="32">
        <f t="shared" si="109"/>
        <v>183285.27544739097</v>
      </c>
      <c r="BE13" s="32">
        <f t="shared" si="109"/>
        <v>217144.10698231589</v>
      </c>
      <c r="BF13" s="32">
        <f t="shared" si="109"/>
        <v>250919.12952829292</v>
      </c>
      <c r="BG13" s="32">
        <f t="shared" si="109"/>
        <v>283604.63521794789</v>
      </c>
      <c r="BH13" s="32">
        <f t="shared" si="109"/>
        <v>315954.90495181177</v>
      </c>
      <c r="BI13" s="32">
        <f t="shared" si="109"/>
        <v>347131.8488404057</v>
      </c>
      <c r="BJ13" s="32">
        <f t="shared" si="109"/>
        <v>376297.37699425174</v>
      </c>
      <c r="BK13" s="32">
        <f t="shared" si="109"/>
        <v>15672.280933243688</v>
      </c>
      <c r="BL13" s="32">
        <f t="shared" si="109"/>
        <v>43329.247286028694</v>
      </c>
      <c r="BM13" s="32">
        <f t="shared" si="109"/>
        <v>71908.112517239992</v>
      </c>
      <c r="BN13" s="32">
        <f t="shared" si="109"/>
        <v>13409.438231652137</v>
      </c>
      <c r="BO13" s="32">
        <f t="shared" si="109"/>
        <v>39390.224805480801</v>
      </c>
      <c r="BP13" s="32">
        <f t="shared" si="109"/>
        <v>65371.011379309464</v>
      </c>
      <c r="BQ13" s="32">
        <f t="shared" si="109"/>
        <v>12068.494408487342</v>
      </c>
      <c r="BR13" s="32">
        <f t="shared" si="109"/>
        <v>35451.202324932907</v>
      </c>
      <c r="BS13" s="32">
        <f t="shared" si="109"/>
        <v>58079.629340847954</v>
      </c>
      <c r="BT13" s="32">
        <f t="shared" si="109"/>
        <v>11398.022496904712</v>
      </c>
      <c r="BU13" s="32">
        <f t="shared" si="109"/>
        <v>32182.651755967643</v>
      </c>
      <c r="BV13" s="32">
        <f t="shared" si="109"/>
        <v>50955.865280282218</v>
      </c>
      <c r="BW13" s="32">
        <f t="shared" si="109"/>
        <v>9973.2696847915649</v>
      </c>
      <c r="BX13" s="32">
        <f t="shared" si="109"/>
        <v>27573.157363836654</v>
      </c>
      <c r="BY13" s="32">
        <f t="shared" si="109"/>
        <v>45759.707965516485</v>
      </c>
      <c r="BZ13" s="32">
        <f t="shared" si="109"/>
        <v>8045.6629389915615</v>
      </c>
      <c r="CA13" s="32">
        <f t="shared" si="109"/>
        <v>23634.13488328876</v>
      </c>
      <c r="CB13" s="32">
        <f t="shared" si="109"/>
        <v>39222.606827585958</v>
      </c>
      <c r="CC13" s="32">
        <f t="shared" si="109"/>
        <v>6704.7191158263013</v>
      </c>
      <c r="CD13" s="32">
        <f t="shared" ref="CD13:CE13" si="110">CD9-CD11</f>
        <v>19695.1124027404</v>
      </c>
      <c r="CE13" s="32">
        <f t="shared" si="110"/>
        <v>32266.46074491553</v>
      </c>
      <c r="CF13" s="32">
        <f t="shared" ref="CF13:CI13" si="111">CF9-CF11</f>
        <v>5699.0112484521233</v>
      </c>
      <c r="CG13" s="32">
        <f t="shared" si="111"/>
        <v>16091.325877983589</v>
      </c>
      <c r="CH13" s="32">
        <f t="shared" si="111"/>
        <v>25477.932640140876</v>
      </c>
      <c r="CI13" s="32">
        <f t="shared" si="111"/>
        <v>4274.258436338976</v>
      </c>
      <c r="CJ13" s="32">
        <f t="shared" ref="CJ13:CL13" si="112">CJ9-CJ11</f>
        <v>11817.067441644147</v>
      </c>
      <c r="CK13" s="32">
        <f t="shared" si="112"/>
        <v>19611.303413792513</v>
      </c>
      <c r="CL13" s="32">
        <f t="shared" si="112"/>
        <v>2681.8876463305205</v>
      </c>
      <c r="CM13" s="32">
        <f t="shared" ref="CM13:CR13" si="113">CM9-CM11</f>
        <v>7878.0449610962532</v>
      </c>
      <c r="CN13" s="32">
        <f t="shared" si="113"/>
        <v>13074.202275861986</v>
      </c>
      <c r="CO13" s="32">
        <f t="shared" si="113"/>
        <v>1340.9438231652603</v>
      </c>
      <c r="CP13" s="32">
        <f t="shared" si="113"/>
        <v>3939.0224805478938</v>
      </c>
      <c r="CQ13" s="32">
        <f t="shared" si="113"/>
        <v>6453.292148983106</v>
      </c>
      <c r="CR13" s="32">
        <f t="shared" si="113"/>
        <v>0</v>
      </c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</row>
    <row r="14" spans="1:119" x14ac:dyDescent="0.25">
      <c r="A14" s="41" t="s">
        <v>36</v>
      </c>
      <c r="B14" s="32">
        <f t="shared" ref="B14:Q14" si="114">B28</f>
        <v>0</v>
      </c>
      <c r="C14" s="32">
        <f t="shared" si="114"/>
        <v>0</v>
      </c>
      <c r="D14" s="32">
        <f t="shared" si="114"/>
        <v>0</v>
      </c>
      <c r="E14" s="32">
        <f t="shared" si="114"/>
        <v>0</v>
      </c>
      <c r="F14" s="32">
        <f t="shared" si="114"/>
        <v>0</v>
      </c>
      <c r="G14" s="32">
        <f t="shared" si="114"/>
        <v>0</v>
      </c>
      <c r="H14" s="32">
        <f t="shared" si="114"/>
        <v>0</v>
      </c>
      <c r="I14" s="32">
        <f t="shared" si="114"/>
        <v>814</v>
      </c>
      <c r="J14" s="32">
        <f t="shared" si="114"/>
        <v>814</v>
      </c>
      <c r="K14" s="32">
        <f t="shared" si="114"/>
        <v>814</v>
      </c>
      <c r="L14" s="32">
        <f t="shared" si="114"/>
        <v>814</v>
      </c>
      <c r="M14" s="32">
        <f t="shared" si="114"/>
        <v>814</v>
      </c>
      <c r="N14" s="32">
        <f t="shared" si="114"/>
        <v>814</v>
      </c>
      <c r="O14" s="32">
        <f t="shared" si="114"/>
        <v>12871</v>
      </c>
      <c r="P14" s="32">
        <f t="shared" si="114"/>
        <v>12871</v>
      </c>
      <c r="Q14" s="32">
        <f t="shared" si="114"/>
        <v>12871</v>
      </c>
      <c r="R14" s="32">
        <f t="shared" ref="R14:CC14" si="115">R28</f>
        <v>25968</v>
      </c>
      <c r="S14" s="32">
        <f t="shared" si="115"/>
        <v>25968</v>
      </c>
      <c r="T14" s="32">
        <f t="shared" si="115"/>
        <v>25968</v>
      </c>
      <c r="U14" s="32">
        <f t="shared" si="115"/>
        <v>25968</v>
      </c>
      <c r="V14" s="32">
        <f t="shared" si="115"/>
        <v>25968</v>
      </c>
      <c r="W14" s="32">
        <f t="shared" si="115"/>
        <v>25968</v>
      </c>
      <c r="X14" s="32">
        <f t="shared" si="115"/>
        <v>25968</v>
      </c>
      <c r="Y14" s="32">
        <f t="shared" si="115"/>
        <v>25968</v>
      </c>
      <c r="Z14" s="32">
        <f t="shared" si="115"/>
        <v>25968</v>
      </c>
      <c r="AA14" s="32">
        <f t="shared" si="115"/>
        <v>25968</v>
      </c>
      <c r="AB14" s="32">
        <f t="shared" si="115"/>
        <v>25968</v>
      </c>
      <c r="AC14" s="32">
        <f t="shared" si="115"/>
        <v>25968</v>
      </c>
      <c r="AD14" s="32">
        <f t="shared" si="115"/>
        <v>25968</v>
      </c>
      <c r="AE14" s="32">
        <f t="shared" si="115"/>
        <v>25968</v>
      </c>
      <c r="AF14" s="32">
        <f t="shared" si="115"/>
        <v>25968</v>
      </c>
      <c r="AG14" s="32">
        <f t="shared" si="115"/>
        <v>25968</v>
      </c>
      <c r="AH14" s="32">
        <f t="shared" si="115"/>
        <v>25968</v>
      </c>
      <c r="AI14" s="32">
        <f t="shared" si="115"/>
        <v>25968</v>
      </c>
      <c r="AJ14" s="32">
        <f t="shared" si="115"/>
        <v>25968</v>
      </c>
      <c r="AK14" s="32">
        <f t="shared" si="115"/>
        <v>25968</v>
      </c>
      <c r="AL14" s="32">
        <f t="shared" si="115"/>
        <v>25968</v>
      </c>
      <c r="AM14" s="32">
        <f t="shared" si="115"/>
        <v>25968</v>
      </c>
      <c r="AN14" s="32">
        <f t="shared" si="115"/>
        <v>25968</v>
      </c>
      <c r="AO14" s="32">
        <f t="shared" si="115"/>
        <v>25968</v>
      </c>
      <c r="AP14" s="32">
        <f t="shared" si="115"/>
        <v>25968</v>
      </c>
      <c r="AQ14" s="32">
        <f t="shared" si="115"/>
        <v>25968</v>
      </c>
      <c r="AR14" s="32">
        <f t="shared" si="115"/>
        <v>25968</v>
      </c>
      <c r="AS14" s="32">
        <f t="shared" si="115"/>
        <v>25968</v>
      </c>
      <c r="AT14" s="32">
        <f t="shared" si="115"/>
        <v>25968</v>
      </c>
      <c r="AU14" s="32">
        <f t="shared" si="115"/>
        <v>25968</v>
      </c>
      <c r="AV14" s="32">
        <f t="shared" si="115"/>
        <v>25968</v>
      </c>
      <c r="AW14" s="32">
        <f t="shared" si="115"/>
        <v>25968</v>
      </c>
      <c r="AX14" s="32">
        <f t="shared" si="115"/>
        <v>25968</v>
      </c>
      <c r="AY14" s="32">
        <f t="shared" si="115"/>
        <v>25968</v>
      </c>
      <c r="AZ14" s="32">
        <f t="shared" si="115"/>
        <v>25968</v>
      </c>
      <c r="BA14" s="32">
        <f t="shared" si="115"/>
        <v>25968</v>
      </c>
      <c r="BB14" s="32">
        <f t="shared" si="115"/>
        <v>25968</v>
      </c>
      <c r="BC14" s="32">
        <f t="shared" si="115"/>
        <v>25968</v>
      </c>
      <c r="BD14" s="32">
        <f t="shared" si="115"/>
        <v>25968</v>
      </c>
      <c r="BE14" s="32">
        <f t="shared" si="115"/>
        <v>25968</v>
      </c>
      <c r="BF14" s="32">
        <f t="shared" si="115"/>
        <v>25968</v>
      </c>
      <c r="BG14" s="32">
        <f t="shared" si="115"/>
        <v>25968</v>
      </c>
      <c r="BH14" s="32">
        <f t="shared" si="115"/>
        <v>25968</v>
      </c>
      <c r="BI14" s="32">
        <f t="shared" si="115"/>
        <v>25968</v>
      </c>
      <c r="BJ14" s="32">
        <f t="shared" si="115"/>
        <v>25968</v>
      </c>
      <c r="BK14" s="32">
        <f t="shared" si="115"/>
        <v>25968</v>
      </c>
      <c r="BL14" s="32">
        <f t="shared" si="115"/>
        <v>25968</v>
      </c>
      <c r="BM14" s="32">
        <f t="shared" si="115"/>
        <v>25968</v>
      </c>
      <c r="BN14" s="32">
        <f t="shared" si="115"/>
        <v>25968</v>
      </c>
      <c r="BO14" s="32">
        <f t="shared" si="115"/>
        <v>25968</v>
      </c>
      <c r="BP14" s="32">
        <f t="shared" si="115"/>
        <v>25968</v>
      </c>
      <c r="BQ14" s="32">
        <f t="shared" si="115"/>
        <v>25968</v>
      </c>
      <c r="BR14" s="32">
        <f t="shared" si="115"/>
        <v>25968</v>
      </c>
      <c r="BS14" s="32">
        <f t="shared" si="115"/>
        <v>25968</v>
      </c>
      <c r="BT14" s="32">
        <f t="shared" si="115"/>
        <v>25968</v>
      </c>
      <c r="BU14" s="32">
        <f t="shared" si="115"/>
        <v>25968</v>
      </c>
      <c r="BV14" s="32">
        <f t="shared" si="115"/>
        <v>25968</v>
      </c>
      <c r="BW14" s="32">
        <f t="shared" si="115"/>
        <v>25968</v>
      </c>
      <c r="BX14" s="32">
        <f t="shared" si="115"/>
        <v>25968</v>
      </c>
      <c r="BY14" s="32">
        <f t="shared" si="115"/>
        <v>25968</v>
      </c>
      <c r="BZ14" s="32">
        <f t="shared" si="115"/>
        <v>25968</v>
      </c>
      <c r="CA14" s="32">
        <f t="shared" si="115"/>
        <v>25968</v>
      </c>
      <c r="CB14" s="32">
        <f t="shared" si="115"/>
        <v>25968</v>
      </c>
      <c r="CC14" s="32">
        <f t="shared" si="115"/>
        <v>25968</v>
      </c>
      <c r="CD14" s="32">
        <f t="shared" ref="CD14:CE14" si="116">CD28</f>
        <v>25968</v>
      </c>
      <c r="CE14" s="32">
        <f t="shared" si="116"/>
        <v>25968</v>
      </c>
      <c r="CF14" s="32">
        <f t="shared" ref="CF14:CL14" si="117">CF28</f>
        <v>25968</v>
      </c>
      <c r="CG14" s="32">
        <f t="shared" si="117"/>
        <v>25968</v>
      </c>
      <c r="CH14" s="32">
        <f t="shared" si="117"/>
        <v>25968</v>
      </c>
      <c r="CI14" s="32">
        <f t="shared" si="117"/>
        <v>25968</v>
      </c>
      <c r="CJ14" s="32">
        <f t="shared" si="117"/>
        <v>25968</v>
      </c>
      <c r="CK14" s="32">
        <f t="shared" si="117"/>
        <v>25968</v>
      </c>
      <c r="CL14" s="32">
        <f t="shared" si="117"/>
        <v>25968</v>
      </c>
      <c r="CM14" s="32">
        <f t="shared" ref="CM14:CQ14" si="118">CM28</f>
        <v>25968</v>
      </c>
      <c r="CN14" s="32">
        <f t="shared" si="118"/>
        <v>25968</v>
      </c>
      <c r="CO14" s="32">
        <f t="shared" si="118"/>
        <v>25968</v>
      </c>
      <c r="CP14" s="32">
        <f t="shared" si="118"/>
        <v>25968</v>
      </c>
      <c r="CQ14" s="32">
        <f t="shared" si="118"/>
        <v>25968</v>
      </c>
      <c r="CR14" s="32">
        <f>CR28</f>
        <v>25968</v>
      </c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</row>
    <row r="15" spans="1:119" x14ac:dyDescent="0.25">
      <c r="A15" s="43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</row>
    <row r="16" spans="1:119" x14ac:dyDescent="0.25">
      <c r="A16" s="43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</row>
    <row r="17" spans="1:119" x14ac:dyDescent="0.25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</row>
    <row r="18" spans="1:119" x14ac:dyDescent="0.25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</row>
    <row r="19" spans="1:119" ht="15" x14ac:dyDescent="0.3">
      <c r="B19" s="30">
        <f t="shared" ref="B19:BM19" si="119">B1</f>
        <v>42064</v>
      </c>
      <c r="C19" s="30">
        <f t="shared" si="119"/>
        <v>42095</v>
      </c>
      <c r="D19" s="30">
        <f t="shared" si="119"/>
        <v>42125</v>
      </c>
      <c r="E19" s="30">
        <f t="shared" si="119"/>
        <v>42156</v>
      </c>
      <c r="F19" s="30">
        <f t="shared" si="119"/>
        <v>42186</v>
      </c>
      <c r="G19" s="30">
        <f t="shared" si="119"/>
        <v>42217</v>
      </c>
      <c r="H19" s="30">
        <f t="shared" si="119"/>
        <v>42248</v>
      </c>
      <c r="I19" s="30">
        <f t="shared" si="119"/>
        <v>42278</v>
      </c>
      <c r="J19" s="30">
        <f t="shared" si="119"/>
        <v>42309</v>
      </c>
      <c r="K19" s="30">
        <f t="shared" si="119"/>
        <v>42339</v>
      </c>
      <c r="L19" s="30">
        <f t="shared" si="119"/>
        <v>42370</v>
      </c>
      <c r="M19" s="30">
        <f t="shared" si="119"/>
        <v>42401</v>
      </c>
      <c r="N19" s="30">
        <f t="shared" si="119"/>
        <v>42430</v>
      </c>
      <c r="O19" s="30">
        <f t="shared" si="119"/>
        <v>42461</v>
      </c>
      <c r="P19" s="30">
        <f t="shared" si="119"/>
        <v>42491</v>
      </c>
      <c r="Q19" s="30">
        <f t="shared" si="119"/>
        <v>42522</v>
      </c>
      <c r="R19" s="30">
        <f t="shared" si="119"/>
        <v>42552</v>
      </c>
      <c r="S19" s="30">
        <f t="shared" si="119"/>
        <v>42583</v>
      </c>
      <c r="T19" s="30">
        <f t="shared" si="119"/>
        <v>42614</v>
      </c>
      <c r="U19" s="30">
        <f t="shared" si="119"/>
        <v>42644</v>
      </c>
      <c r="V19" s="30">
        <f t="shared" si="119"/>
        <v>42675</v>
      </c>
      <c r="W19" s="30">
        <f t="shared" si="119"/>
        <v>42705</v>
      </c>
      <c r="X19" s="30">
        <f t="shared" si="119"/>
        <v>42736</v>
      </c>
      <c r="Y19" s="30">
        <f t="shared" si="119"/>
        <v>42767</v>
      </c>
      <c r="Z19" s="30">
        <f t="shared" si="119"/>
        <v>42795</v>
      </c>
      <c r="AA19" s="30">
        <f t="shared" si="119"/>
        <v>42826</v>
      </c>
      <c r="AB19" s="30">
        <f t="shared" si="119"/>
        <v>42856</v>
      </c>
      <c r="AC19" s="30">
        <f t="shared" si="119"/>
        <v>42887</v>
      </c>
      <c r="AD19" s="30">
        <f t="shared" si="119"/>
        <v>42917</v>
      </c>
      <c r="AE19" s="30">
        <f t="shared" si="119"/>
        <v>42948</v>
      </c>
      <c r="AF19" s="30">
        <f t="shared" si="119"/>
        <v>42979</v>
      </c>
      <c r="AG19" s="30">
        <f t="shared" si="119"/>
        <v>43009</v>
      </c>
      <c r="AH19" s="30">
        <f t="shared" si="119"/>
        <v>43040</v>
      </c>
      <c r="AI19" s="30">
        <f t="shared" si="119"/>
        <v>43070</v>
      </c>
      <c r="AJ19" s="30">
        <f t="shared" si="119"/>
        <v>43101</v>
      </c>
      <c r="AK19" s="30">
        <f t="shared" si="119"/>
        <v>43132</v>
      </c>
      <c r="AL19" s="30">
        <f t="shared" si="119"/>
        <v>43160</v>
      </c>
      <c r="AM19" s="30">
        <f t="shared" si="119"/>
        <v>43191</v>
      </c>
      <c r="AN19" s="30">
        <f t="shared" si="119"/>
        <v>43221</v>
      </c>
      <c r="AO19" s="30">
        <f t="shared" si="119"/>
        <v>43252</v>
      </c>
      <c r="AP19" s="30">
        <f t="shared" si="119"/>
        <v>43282</v>
      </c>
      <c r="AQ19" s="30">
        <f t="shared" si="119"/>
        <v>43313</v>
      </c>
      <c r="AR19" s="30">
        <f t="shared" si="119"/>
        <v>43344</v>
      </c>
      <c r="AS19" s="30">
        <f t="shared" si="119"/>
        <v>43374</v>
      </c>
      <c r="AT19" s="30">
        <f t="shared" si="119"/>
        <v>43405</v>
      </c>
      <c r="AU19" s="30">
        <f t="shared" si="119"/>
        <v>43435</v>
      </c>
      <c r="AV19" s="30">
        <f t="shared" si="119"/>
        <v>43466</v>
      </c>
      <c r="AW19" s="30">
        <f t="shared" si="119"/>
        <v>43497</v>
      </c>
      <c r="AX19" s="30">
        <f t="shared" si="119"/>
        <v>43525</v>
      </c>
      <c r="AY19" s="30">
        <f t="shared" si="119"/>
        <v>43556</v>
      </c>
      <c r="AZ19" s="30">
        <f t="shared" si="119"/>
        <v>43586</v>
      </c>
      <c r="BA19" s="30">
        <f t="shared" si="119"/>
        <v>43617</v>
      </c>
      <c r="BB19" s="30">
        <f t="shared" si="119"/>
        <v>43647</v>
      </c>
      <c r="BC19" s="30">
        <f t="shared" si="119"/>
        <v>43678</v>
      </c>
      <c r="BD19" s="30">
        <f t="shared" si="119"/>
        <v>43709</v>
      </c>
      <c r="BE19" s="30">
        <f t="shared" si="119"/>
        <v>43739</v>
      </c>
      <c r="BF19" s="30">
        <f t="shared" si="119"/>
        <v>43770</v>
      </c>
      <c r="BG19" s="30">
        <f t="shared" si="119"/>
        <v>43800</v>
      </c>
      <c r="BH19" s="30">
        <f t="shared" si="119"/>
        <v>43831</v>
      </c>
      <c r="BI19" s="30">
        <f t="shared" si="119"/>
        <v>43862</v>
      </c>
      <c r="BJ19" s="30">
        <f t="shared" si="119"/>
        <v>43891</v>
      </c>
      <c r="BK19" s="30">
        <f t="shared" si="119"/>
        <v>43922</v>
      </c>
      <c r="BL19" s="30">
        <f t="shared" si="119"/>
        <v>43952</v>
      </c>
      <c r="BM19" s="30">
        <f t="shared" si="119"/>
        <v>43983</v>
      </c>
      <c r="BN19" s="30">
        <f t="shared" ref="BN19:CU19" si="120">BN1</f>
        <v>44013</v>
      </c>
      <c r="BO19" s="30">
        <f t="shared" si="120"/>
        <v>44044</v>
      </c>
      <c r="BP19" s="30">
        <f t="shared" si="120"/>
        <v>44075</v>
      </c>
      <c r="BQ19" s="30">
        <f t="shared" si="120"/>
        <v>44105</v>
      </c>
      <c r="BR19" s="30">
        <f t="shared" si="120"/>
        <v>44136</v>
      </c>
      <c r="BS19" s="30">
        <f t="shared" si="120"/>
        <v>44166</v>
      </c>
      <c r="BT19" s="30">
        <f t="shared" si="120"/>
        <v>44197</v>
      </c>
      <c r="BU19" s="30">
        <f t="shared" si="120"/>
        <v>44228</v>
      </c>
      <c r="BV19" s="30">
        <f t="shared" si="120"/>
        <v>44256</v>
      </c>
      <c r="BW19" s="30">
        <f t="shared" si="120"/>
        <v>44287</v>
      </c>
      <c r="BX19" s="30">
        <f t="shared" si="120"/>
        <v>44317</v>
      </c>
      <c r="BY19" s="30">
        <f t="shared" si="120"/>
        <v>44348</v>
      </c>
      <c r="BZ19" s="30">
        <f t="shared" si="120"/>
        <v>44378</v>
      </c>
      <c r="CA19" s="30">
        <f t="shared" si="120"/>
        <v>44409</v>
      </c>
      <c r="CB19" s="30">
        <f t="shared" si="120"/>
        <v>44440</v>
      </c>
      <c r="CC19" s="30">
        <f t="shared" si="120"/>
        <v>44470</v>
      </c>
      <c r="CD19" s="30">
        <f t="shared" si="120"/>
        <v>44501</v>
      </c>
      <c r="CE19" s="30">
        <f t="shared" si="120"/>
        <v>44531</v>
      </c>
      <c r="CF19" s="30">
        <f t="shared" si="120"/>
        <v>44562</v>
      </c>
      <c r="CG19" s="30">
        <f t="shared" si="120"/>
        <v>44593</v>
      </c>
      <c r="CH19" s="30">
        <f t="shared" si="120"/>
        <v>44621</v>
      </c>
      <c r="CI19" s="30">
        <f t="shared" si="120"/>
        <v>44652</v>
      </c>
      <c r="CJ19" s="30">
        <f t="shared" si="120"/>
        <v>44682</v>
      </c>
      <c r="CK19" s="30">
        <f t="shared" si="120"/>
        <v>44713</v>
      </c>
      <c r="CL19" s="30">
        <f t="shared" si="120"/>
        <v>44743</v>
      </c>
      <c r="CM19" s="30">
        <f t="shared" si="120"/>
        <v>44774</v>
      </c>
      <c r="CN19" s="30">
        <f t="shared" si="120"/>
        <v>44805</v>
      </c>
      <c r="CO19" s="30">
        <f t="shared" si="120"/>
        <v>44835</v>
      </c>
      <c r="CP19" s="30">
        <f t="shared" si="120"/>
        <v>44866</v>
      </c>
      <c r="CQ19" s="30">
        <f t="shared" si="120"/>
        <v>44896</v>
      </c>
      <c r="CR19" s="30">
        <f t="shared" si="120"/>
        <v>44927</v>
      </c>
      <c r="CS19" s="30">
        <f t="shared" si="120"/>
        <v>44958</v>
      </c>
      <c r="CT19" s="30">
        <f t="shared" si="120"/>
        <v>44986</v>
      </c>
      <c r="CU19" s="30">
        <f t="shared" si="120"/>
        <v>45017</v>
      </c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</row>
    <row r="20" spans="1:119" ht="15" x14ac:dyDescent="0.3">
      <c r="A20" s="44" t="s">
        <v>37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</row>
    <row r="21" spans="1:119" x14ac:dyDescent="0.25">
      <c r="A21" s="41" t="s">
        <v>38</v>
      </c>
      <c r="B21" s="45">
        <f>Accrual_GHEL!B27</f>
        <v>0</v>
      </c>
      <c r="C21" s="45">
        <f>Accrual_GHEL!C27</f>
        <v>0</v>
      </c>
      <c r="D21" s="45">
        <f>Accrual_GHEL!D27</f>
        <v>0</v>
      </c>
      <c r="E21" s="45">
        <f>Accrual_GHEL!E27</f>
        <v>0</v>
      </c>
      <c r="F21" s="45">
        <f>Accrual_GHEL!F27</f>
        <v>0</v>
      </c>
      <c r="G21" s="45"/>
      <c r="H21" s="45"/>
      <c r="I21" s="45">
        <f>Accrual_GHEL!I27</f>
        <v>0</v>
      </c>
      <c r="J21" s="45"/>
      <c r="K21" s="45"/>
      <c r="L21" s="32">
        <v>455155</v>
      </c>
      <c r="M21" s="45"/>
      <c r="N21" s="45"/>
      <c r="O21" s="32">
        <v>455155</v>
      </c>
      <c r="P21" s="45"/>
      <c r="Q21" s="45"/>
      <c r="R21" s="32">
        <f>222772+232383</f>
        <v>455155</v>
      </c>
      <c r="S21" s="45"/>
      <c r="T21" s="45"/>
      <c r="U21" s="32">
        <v>502854</v>
      </c>
      <c r="V21" s="45"/>
      <c r="W21" s="45"/>
      <c r="X21" s="32">
        <f>22660+110884+200000</f>
        <v>333544</v>
      </c>
      <c r="Y21" s="45"/>
      <c r="Z21" s="45"/>
      <c r="AA21" s="45">
        <v>0</v>
      </c>
      <c r="AB21" s="45"/>
      <c r="AC21" s="45"/>
      <c r="AD21" s="45">
        <v>0</v>
      </c>
      <c r="AE21" s="45"/>
      <c r="AF21" s="45"/>
      <c r="AG21" s="45">
        <v>0</v>
      </c>
      <c r="AH21" s="45"/>
      <c r="AI21" s="45"/>
      <c r="AJ21" s="45">
        <v>0</v>
      </c>
      <c r="AK21" s="45"/>
      <c r="AL21" s="45"/>
      <c r="AM21" s="45">
        <v>0</v>
      </c>
      <c r="AN21" s="45"/>
      <c r="AO21" s="45"/>
      <c r="AP21" s="45">
        <v>0</v>
      </c>
      <c r="AQ21" s="45"/>
      <c r="AR21" s="45"/>
      <c r="AS21" s="45">
        <v>0</v>
      </c>
      <c r="AT21" s="45"/>
      <c r="AU21" s="45"/>
      <c r="AV21" s="45">
        <v>0</v>
      </c>
      <c r="AW21" s="45"/>
      <c r="AX21" s="45"/>
      <c r="AY21" s="45">
        <v>0</v>
      </c>
      <c r="AZ21" s="45"/>
      <c r="BA21" s="45"/>
      <c r="BB21" s="45">
        <v>0</v>
      </c>
      <c r="BC21" s="45"/>
      <c r="BD21" s="45"/>
      <c r="BE21" s="45">
        <v>0</v>
      </c>
      <c r="BF21" s="45"/>
      <c r="BG21" s="45"/>
      <c r="BH21" s="45">
        <v>0</v>
      </c>
      <c r="BI21" s="45"/>
      <c r="BJ21" s="45"/>
      <c r="BK21" s="45">
        <f t="shared" ref="BK21" si="121">BK4-BJ5</f>
        <v>6706411.7294429708</v>
      </c>
      <c r="BL21" s="45"/>
      <c r="BM21" s="45"/>
      <c r="BN21" s="45">
        <f t="shared" ref="BN21" si="122">BN4-BM5</f>
        <v>502853.93368700333</v>
      </c>
      <c r="BO21" s="45"/>
      <c r="BP21" s="45"/>
      <c r="BQ21" s="45">
        <f t="shared" ref="BQ21" si="123">BQ4-BP5</f>
        <v>502853.93368700333</v>
      </c>
      <c r="BR21" s="45"/>
      <c r="BS21" s="45"/>
      <c r="BT21" s="45">
        <f t="shared" ref="BT21" si="124">BT4-BS5</f>
        <v>502853.93368700333</v>
      </c>
      <c r="BU21" s="45"/>
      <c r="BV21" s="45"/>
      <c r="BW21" s="45">
        <f t="shared" ref="BW21" si="125">BW4-BV5</f>
        <v>502853.93368700333</v>
      </c>
      <c r="BX21" s="45"/>
      <c r="BY21" s="45"/>
      <c r="BZ21" s="45">
        <f t="shared" ref="BZ21" si="126">BZ4-BY5</f>
        <v>502853.93368700333</v>
      </c>
      <c r="CA21" s="45"/>
      <c r="CB21" s="45"/>
      <c r="CC21" s="45">
        <f t="shared" ref="CC21" si="127">CC4-CB5</f>
        <v>502853.93368700333</v>
      </c>
      <c r="CD21" s="45"/>
      <c r="CE21" s="45"/>
      <c r="CF21" s="45">
        <f t="shared" ref="CF21" si="128">CF4-CE5</f>
        <v>502853.93368700333</v>
      </c>
      <c r="CG21" s="45"/>
      <c r="CH21" s="45"/>
      <c r="CI21" s="45">
        <f t="shared" ref="CI21" si="129">CI4-CH5</f>
        <v>502853.93368700333</v>
      </c>
      <c r="CJ21" s="45"/>
      <c r="CK21" s="45"/>
      <c r="CL21" s="45">
        <f t="shared" ref="CL21" si="130">CL4-CK5</f>
        <v>502853.93368700333</v>
      </c>
      <c r="CM21" s="45"/>
      <c r="CN21" s="45"/>
      <c r="CO21" s="45">
        <f t="shared" ref="CO21" si="131">CO4-CN5</f>
        <v>502853.93368700333</v>
      </c>
      <c r="CP21" s="45"/>
      <c r="CQ21" s="45"/>
      <c r="CR21" s="45">
        <f t="shared" ref="CR21" si="132">CR4-CQ5</f>
        <v>502853.93368700333</v>
      </c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O21" s="45"/>
    </row>
    <row r="22" spans="1:119" x14ac:dyDescent="0.25">
      <c r="A22" s="41" t="s">
        <v>39</v>
      </c>
      <c r="B22" s="32">
        <f>B21</f>
        <v>0</v>
      </c>
      <c r="C22" s="32">
        <f>B22+C21</f>
        <v>0</v>
      </c>
      <c r="D22" s="32">
        <f t="shared" ref="D22:Q22" si="133">C22+D21</f>
        <v>0</v>
      </c>
      <c r="E22" s="32">
        <f t="shared" si="133"/>
        <v>0</v>
      </c>
      <c r="F22" s="32">
        <f t="shared" si="133"/>
        <v>0</v>
      </c>
      <c r="G22" s="32">
        <f t="shared" si="133"/>
        <v>0</v>
      </c>
      <c r="H22" s="32">
        <f t="shared" si="133"/>
        <v>0</v>
      </c>
      <c r="I22" s="32">
        <f t="shared" si="133"/>
        <v>0</v>
      </c>
      <c r="J22" s="32">
        <f t="shared" si="133"/>
        <v>0</v>
      </c>
      <c r="K22" s="32">
        <f t="shared" si="133"/>
        <v>0</v>
      </c>
      <c r="L22" s="32">
        <f t="shared" si="133"/>
        <v>455155</v>
      </c>
      <c r="M22" s="32">
        <f t="shared" si="133"/>
        <v>455155</v>
      </c>
      <c r="N22" s="32">
        <f t="shared" si="133"/>
        <v>455155</v>
      </c>
      <c r="O22" s="32">
        <f t="shared" si="133"/>
        <v>910310</v>
      </c>
      <c r="P22" s="32">
        <f t="shared" si="133"/>
        <v>910310</v>
      </c>
      <c r="Q22" s="32">
        <f t="shared" si="133"/>
        <v>910310</v>
      </c>
      <c r="R22" s="32">
        <f t="shared" ref="R22" si="134">Q22+R21</f>
        <v>1365465</v>
      </c>
      <c r="S22" s="32">
        <f t="shared" ref="S22" si="135">R22+S21</f>
        <v>1365465</v>
      </c>
      <c r="T22" s="32">
        <f t="shared" ref="T22" si="136">S22+T21</f>
        <v>1365465</v>
      </c>
      <c r="U22" s="32">
        <f t="shared" ref="U22" si="137">T22+U21</f>
        <v>1868319</v>
      </c>
      <c r="V22" s="32">
        <f t="shared" ref="V22" si="138">U22+V21</f>
        <v>1868319</v>
      </c>
      <c r="W22" s="32">
        <f t="shared" ref="W22" si="139">V22+W21</f>
        <v>1868319</v>
      </c>
      <c r="X22" s="32">
        <f t="shared" ref="X22" si="140">W22+X21</f>
        <v>2201863</v>
      </c>
      <c r="Y22" s="32">
        <f t="shared" ref="Y22" si="141">X22+Y21</f>
        <v>2201863</v>
      </c>
      <c r="Z22" s="32">
        <f t="shared" ref="Z22" si="142">Y22+Z21</f>
        <v>2201863</v>
      </c>
      <c r="AA22" s="32">
        <f t="shared" ref="AA22" si="143">Z22+AA21</f>
        <v>2201863</v>
      </c>
      <c r="AB22" s="32">
        <f t="shared" ref="AB22" si="144">AA22+AB21</f>
        <v>2201863</v>
      </c>
      <c r="AC22" s="32">
        <f t="shared" ref="AC22" si="145">AB22+AC21</f>
        <v>2201863</v>
      </c>
      <c r="AD22" s="32">
        <f t="shared" ref="AD22" si="146">AC22+AD21</f>
        <v>2201863</v>
      </c>
      <c r="AE22" s="32">
        <f t="shared" ref="AE22" si="147">AD22+AE21</f>
        <v>2201863</v>
      </c>
      <c r="AF22" s="32">
        <f t="shared" ref="AF22" si="148">AE22+AF21</f>
        <v>2201863</v>
      </c>
      <c r="AG22" s="32">
        <f t="shared" ref="AG22" si="149">AF22+AG21</f>
        <v>2201863</v>
      </c>
      <c r="AH22" s="32">
        <f t="shared" ref="AH22" si="150">AG22+AH21</f>
        <v>2201863</v>
      </c>
      <c r="AI22" s="32">
        <f t="shared" ref="AI22" si="151">AH22+AI21</f>
        <v>2201863</v>
      </c>
      <c r="AJ22" s="32">
        <f t="shared" ref="AJ22" si="152">AI22+AJ21</f>
        <v>2201863</v>
      </c>
      <c r="AK22" s="32">
        <f t="shared" ref="AK22" si="153">AJ22+AK21</f>
        <v>2201863</v>
      </c>
      <c r="AL22" s="32">
        <f t="shared" ref="AL22" si="154">AK22+AL21</f>
        <v>2201863</v>
      </c>
      <c r="AM22" s="32">
        <f t="shared" ref="AM22" si="155">AL22+AM21</f>
        <v>2201863</v>
      </c>
      <c r="AN22" s="32">
        <f t="shared" ref="AN22" si="156">AM22+AN21</f>
        <v>2201863</v>
      </c>
      <c r="AO22" s="32">
        <f t="shared" ref="AO22" si="157">AN22+AO21</f>
        <v>2201863</v>
      </c>
      <c r="AP22" s="32">
        <f t="shared" ref="AP22" si="158">AO22+AP21</f>
        <v>2201863</v>
      </c>
      <c r="AQ22" s="32">
        <f t="shared" ref="AQ22" si="159">AP22+AQ21</f>
        <v>2201863</v>
      </c>
      <c r="AR22" s="32">
        <f t="shared" ref="AR22" si="160">AQ22+AR21</f>
        <v>2201863</v>
      </c>
      <c r="AS22" s="32">
        <f t="shared" ref="AS22" si="161">AR22+AS21</f>
        <v>2201863</v>
      </c>
      <c r="AT22" s="32">
        <f t="shared" ref="AT22" si="162">AS22+AT21</f>
        <v>2201863</v>
      </c>
      <c r="AU22" s="32">
        <f t="shared" ref="AU22" si="163">AT22+AU21</f>
        <v>2201863</v>
      </c>
      <c r="AV22" s="32">
        <f t="shared" ref="AV22" si="164">AU22+AV21</f>
        <v>2201863</v>
      </c>
      <c r="AW22" s="32">
        <f t="shared" ref="AW22" si="165">AV22+AW21</f>
        <v>2201863</v>
      </c>
      <c r="AX22" s="32">
        <f t="shared" ref="AX22" si="166">AW22+AX21</f>
        <v>2201863</v>
      </c>
      <c r="AY22" s="32">
        <f t="shared" ref="AY22" si="167">AX22+AY21</f>
        <v>2201863</v>
      </c>
      <c r="AZ22" s="32">
        <f t="shared" ref="AZ22" si="168">AY22+AZ21</f>
        <v>2201863</v>
      </c>
      <c r="BA22" s="32">
        <f t="shared" ref="BA22" si="169">AZ22+BA21</f>
        <v>2201863</v>
      </c>
      <c r="BB22" s="32">
        <f t="shared" ref="BB22" si="170">BA22+BB21</f>
        <v>2201863</v>
      </c>
      <c r="BC22" s="32">
        <f t="shared" ref="BC22" si="171">BB22+BC21</f>
        <v>2201863</v>
      </c>
      <c r="BD22" s="32">
        <f t="shared" ref="BD22" si="172">BC22+BD21</f>
        <v>2201863</v>
      </c>
      <c r="BE22" s="32">
        <f t="shared" ref="BE22" si="173">BD22+BE21</f>
        <v>2201863</v>
      </c>
      <c r="BF22" s="32">
        <f t="shared" ref="BF22" si="174">BE22+BF21</f>
        <v>2201863</v>
      </c>
      <c r="BG22" s="32">
        <f t="shared" ref="BG22" si="175">BF22+BG21</f>
        <v>2201863</v>
      </c>
      <c r="BH22" s="32">
        <f t="shared" ref="BH22" si="176">BG22+BH21</f>
        <v>2201863</v>
      </c>
      <c r="BI22" s="32">
        <f t="shared" ref="BI22" si="177">BH22+BI21</f>
        <v>2201863</v>
      </c>
      <c r="BJ22" s="32">
        <f t="shared" ref="BJ22" si="178">BI22+BJ21</f>
        <v>2201863</v>
      </c>
      <c r="BK22" s="32">
        <f t="shared" ref="BK22" si="179">BJ22+BK21</f>
        <v>8908274.7294429708</v>
      </c>
      <c r="BL22" s="32">
        <f t="shared" ref="BL22" si="180">BK22+BL21</f>
        <v>8908274.7294429708</v>
      </c>
      <c r="BM22" s="32">
        <f t="shared" ref="BM22" si="181">BL22+BM21</f>
        <v>8908274.7294429708</v>
      </c>
      <c r="BN22" s="32">
        <f t="shared" ref="BN22" si="182">BM22+BN21</f>
        <v>9411128.6631299742</v>
      </c>
      <c r="BO22" s="32">
        <f t="shared" ref="BO22" si="183">BN22+BO21</f>
        <v>9411128.6631299742</v>
      </c>
      <c r="BP22" s="32">
        <f t="shared" ref="BP22" si="184">BO22+BP21</f>
        <v>9411128.6631299742</v>
      </c>
      <c r="BQ22" s="32">
        <f t="shared" ref="BQ22" si="185">BP22+BQ21</f>
        <v>9913982.5968169775</v>
      </c>
      <c r="BR22" s="32">
        <f t="shared" ref="BR22" si="186">BQ22+BR21</f>
        <v>9913982.5968169775</v>
      </c>
      <c r="BS22" s="32">
        <f t="shared" ref="BS22" si="187">BR22+BS21</f>
        <v>9913982.5968169775</v>
      </c>
      <c r="BT22" s="32">
        <f t="shared" ref="BT22" si="188">BS22+BT21</f>
        <v>10416836.530503981</v>
      </c>
      <c r="BU22" s="32">
        <f t="shared" ref="BU22" si="189">BT22+BU21</f>
        <v>10416836.530503981</v>
      </c>
      <c r="BV22" s="32">
        <f t="shared" ref="BV22" si="190">BU22+BV21</f>
        <v>10416836.530503981</v>
      </c>
      <c r="BW22" s="32">
        <f t="shared" ref="BW22" si="191">BV22+BW21</f>
        <v>10919690.464190984</v>
      </c>
      <c r="BX22" s="32">
        <f t="shared" ref="BX22" si="192">BW22+BX21</f>
        <v>10919690.464190984</v>
      </c>
      <c r="BY22" s="32">
        <f t="shared" ref="BY22" si="193">BX22+BY21</f>
        <v>10919690.464190984</v>
      </c>
      <c r="BZ22" s="32">
        <f t="shared" ref="BZ22" si="194">BY22+BZ21</f>
        <v>11422544.397877987</v>
      </c>
      <c r="CA22" s="32">
        <f t="shared" ref="CA22" si="195">BZ22+CA21</f>
        <v>11422544.397877987</v>
      </c>
      <c r="CB22" s="32">
        <f t="shared" ref="CB22" si="196">CA22+CB21</f>
        <v>11422544.397877987</v>
      </c>
      <c r="CC22" s="32">
        <f t="shared" ref="CC22" si="197">CB22+CC21</f>
        <v>11925398.331564991</v>
      </c>
      <c r="CD22" s="32">
        <f t="shared" ref="CD22" si="198">CC22+CD21</f>
        <v>11925398.331564991</v>
      </c>
      <c r="CE22" s="32">
        <f t="shared" ref="CE22" si="199">CD22+CE21</f>
        <v>11925398.331564991</v>
      </c>
      <c r="CF22" s="32">
        <f t="shared" ref="CF22" si="200">CE22+CF21</f>
        <v>12428252.265251994</v>
      </c>
      <c r="CG22" s="32">
        <f t="shared" ref="CG22" si="201">CF22+CG21</f>
        <v>12428252.265251994</v>
      </c>
      <c r="CH22" s="32">
        <f t="shared" ref="CH22" si="202">CG22+CH21</f>
        <v>12428252.265251994</v>
      </c>
      <c r="CI22" s="32">
        <f t="shared" ref="CI22" si="203">CH22+CI21</f>
        <v>12931106.198938997</v>
      </c>
      <c r="CJ22" s="32">
        <f t="shared" ref="CJ22" si="204">CI22+CJ21</f>
        <v>12931106.198938997</v>
      </c>
      <c r="CK22" s="32">
        <f t="shared" ref="CK22" si="205">CJ22+CK21</f>
        <v>12931106.198938997</v>
      </c>
      <c r="CL22" s="32">
        <f t="shared" ref="CL22" si="206">CK22+CL21</f>
        <v>13433960.132626001</v>
      </c>
      <c r="CM22" s="32">
        <f t="shared" ref="CM22" si="207">CL22+CM21</f>
        <v>13433960.132626001</v>
      </c>
      <c r="CN22" s="32">
        <f t="shared" ref="CN22" si="208">CM22+CN21</f>
        <v>13433960.132626001</v>
      </c>
      <c r="CO22" s="32">
        <f t="shared" ref="CO22" si="209">CN22+CO21</f>
        <v>13936814.066313004</v>
      </c>
      <c r="CP22" s="32">
        <f t="shared" ref="CP22" si="210">CO22+CP21</f>
        <v>13936814.066313004</v>
      </c>
      <c r="CQ22" s="32">
        <f t="shared" ref="CQ22" si="211">CP22+CQ21</f>
        <v>13936814.066313004</v>
      </c>
      <c r="CR22" s="32">
        <f t="shared" ref="CR22" si="212">CQ22+CR21</f>
        <v>14439668.000000007</v>
      </c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</row>
    <row r="23" spans="1:119" x14ac:dyDescent="0.25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</row>
    <row r="24" spans="1:119" ht="15" x14ac:dyDescent="0.3">
      <c r="A24" s="44" t="s">
        <v>42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</row>
    <row r="25" spans="1:119" s="91" customFormat="1" x14ac:dyDescent="0.25">
      <c r="A25" s="41" t="s">
        <v>43</v>
      </c>
      <c r="B25" s="90">
        <v>0</v>
      </c>
      <c r="C25" s="90">
        <f t="shared" ref="C25:E25" si="213">C10-B11</f>
        <v>0</v>
      </c>
      <c r="D25" s="90">
        <f t="shared" si="213"/>
        <v>0</v>
      </c>
      <c r="E25" s="90">
        <f t="shared" si="213"/>
        <v>0</v>
      </c>
      <c r="F25" s="32">
        <v>244190</v>
      </c>
      <c r="G25" s="90"/>
      <c r="H25" s="90"/>
      <c r="I25" s="32">
        <v>202392</v>
      </c>
      <c r="J25" s="90"/>
      <c r="K25" s="90"/>
      <c r="L25" s="32">
        <v>200192</v>
      </c>
      <c r="M25" s="90"/>
      <c r="N25" s="90"/>
      <c r="O25" s="32">
        <f>2200+191089</f>
        <v>193289</v>
      </c>
      <c r="P25" s="90"/>
      <c r="Q25" s="90"/>
      <c r="R25" s="32">
        <v>188434</v>
      </c>
      <c r="S25" s="90"/>
      <c r="T25" s="90"/>
      <c r="U25" s="32">
        <v>199644</v>
      </c>
      <c r="V25" s="90"/>
      <c r="W25" s="90"/>
      <c r="X25" s="32">
        <v>190665</v>
      </c>
      <c r="Y25" s="90"/>
      <c r="Z25" s="90"/>
      <c r="AA25" s="32">
        <v>181028</v>
      </c>
      <c r="AB25" s="90"/>
      <c r="AC25" s="90"/>
      <c r="AD25" s="32">
        <v>177340</v>
      </c>
      <c r="AE25" s="90"/>
      <c r="AF25" s="90"/>
      <c r="AG25" s="168">
        <v>173317</v>
      </c>
      <c r="AH25" s="168"/>
      <c r="AI25" s="168"/>
      <c r="AJ25" s="168">
        <v>160159</v>
      </c>
      <c r="AK25" s="168"/>
      <c r="AL25" s="168"/>
      <c r="AM25" s="168">
        <v>147504</v>
      </c>
      <c r="AN25" s="168"/>
      <c r="AO25" s="168"/>
      <c r="AP25" s="168">
        <v>149683</v>
      </c>
      <c r="AQ25" s="168"/>
      <c r="AR25" s="168"/>
      <c r="AS25" s="168">
        <v>137279</v>
      </c>
      <c r="AT25" s="168"/>
      <c r="AU25" s="168"/>
      <c r="AV25" s="168">
        <v>131077</v>
      </c>
      <c r="AW25" s="168"/>
      <c r="AX25" s="168"/>
      <c r="AY25" s="168">
        <v>122026</v>
      </c>
      <c r="AZ25" s="168"/>
      <c r="BA25" s="168"/>
      <c r="BB25" s="168">
        <v>20205</v>
      </c>
      <c r="BC25" s="90"/>
      <c r="BD25" s="90"/>
      <c r="BE25" s="90">
        <v>0</v>
      </c>
      <c r="BF25" s="90"/>
      <c r="BG25" s="90"/>
      <c r="BH25" s="90">
        <v>0</v>
      </c>
      <c r="BI25" s="90"/>
      <c r="BJ25" s="90"/>
      <c r="BK25" s="90">
        <f t="shared" ref="BK25" si="214">BK10-BJ11</f>
        <v>390377.28713748883</v>
      </c>
      <c r="BL25" s="90"/>
      <c r="BM25" s="90"/>
      <c r="BN25" s="90">
        <f t="shared" ref="BN25" si="215">BN10-BM11</f>
        <v>84814.696815207601</v>
      </c>
      <c r="BO25" s="90"/>
      <c r="BP25" s="90"/>
      <c r="BQ25" s="90">
        <f t="shared" ref="BQ25" si="216">BQ10-BP11</f>
        <v>77104.269832007121</v>
      </c>
      <c r="BR25" s="90"/>
      <c r="BS25" s="90"/>
      <c r="BT25" s="90">
        <f t="shared" ref="BT25" si="217">BT10-BS11</f>
        <v>68639.561948275659</v>
      </c>
      <c r="BU25" s="90"/>
      <c r="BV25" s="90"/>
      <c r="BW25" s="90">
        <f t="shared" ref="BW25" si="218">BW10-BV11</f>
        <v>60342.472042440437</v>
      </c>
      <c r="BX25" s="90"/>
      <c r="BY25" s="90"/>
      <c r="BZ25" s="90">
        <f t="shared" ref="BZ25" si="219">BZ10-BY11</f>
        <v>53972.988882404752</v>
      </c>
      <c r="CA25" s="90"/>
      <c r="CB25" s="90"/>
      <c r="CC25" s="90">
        <f t="shared" ref="CC25" si="220">CC10-CB11</f>
        <v>46262.561899204273</v>
      </c>
      <c r="CD25" s="90"/>
      <c r="CE25" s="90"/>
      <c r="CF25" s="90">
        <f t="shared" ref="CF25" si="221">CF10-CE11</f>
        <v>38133.089971264359</v>
      </c>
      <c r="CG25" s="90"/>
      <c r="CH25" s="90"/>
      <c r="CI25" s="90">
        <f t="shared" ref="CI25" si="222">CI10-CH11</f>
        <v>30171.236021220218</v>
      </c>
      <c r="CJ25" s="90"/>
      <c r="CK25" s="90"/>
      <c r="CL25" s="90">
        <f t="shared" ref="CL25" si="223">CL10-CK11</f>
        <v>23131.280949601904</v>
      </c>
      <c r="CM25" s="90"/>
      <c r="CN25" s="90"/>
      <c r="CO25" s="90">
        <f t="shared" ref="CO25" si="224">CO10-CN11</f>
        <v>15420.853966401424</v>
      </c>
      <c r="CP25" s="90"/>
      <c r="CQ25" s="90"/>
      <c r="CR25" s="90">
        <f t="shared" ref="CR25" si="225">CR10-CQ11</f>
        <v>7626.617994253058</v>
      </c>
      <c r="CS25" s="90"/>
      <c r="CT25" s="45"/>
      <c r="CU25" s="90"/>
      <c r="CV25" s="45"/>
      <c r="CW25" s="45"/>
      <c r="CX25" s="90"/>
      <c r="CY25" s="45"/>
      <c r="CZ25" s="45"/>
      <c r="DA25" s="90"/>
      <c r="DB25" s="45"/>
      <c r="DC25" s="45"/>
      <c r="DD25" s="90"/>
      <c r="DE25" s="45"/>
      <c r="DF25" s="45"/>
      <c r="DG25" s="90"/>
      <c r="DH25" s="45"/>
      <c r="DI25" s="45"/>
      <c r="DJ25" s="90"/>
      <c r="DK25" s="45"/>
      <c r="DL25" s="45"/>
      <c r="DO25" s="45"/>
    </row>
    <row r="26" spans="1:119" x14ac:dyDescent="0.25">
      <c r="A26" s="41" t="s">
        <v>44</v>
      </c>
      <c r="B26" s="32">
        <f>B25</f>
        <v>0</v>
      </c>
      <c r="C26" s="32">
        <f t="shared" ref="C26:G26" si="226">B26+C25</f>
        <v>0</v>
      </c>
      <c r="D26" s="32">
        <f t="shared" si="226"/>
        <v>0</v>
      </c>
      <c r="E26" s="32">
        <f t="shared" si="226"/>
        <v>0</v>
      </c>
      <c r="F26" s="32">
        <f>E26+F25</f>
        <v>244190</v>
      </c>
      <c r="G26" s="32">
        <f t="shared" si="226"/>
        <v>244190</v>
      </c>
      <c r="H26" s="32">
        <f t="shared" ref="H26:Q26" si="227">G26+H25</f>
        <v>244190</v>
      </c>
      <c r="I26" s="32">
        <f>H26+I25</f>
        <v>446582</v>
      </c>
      <c r="J26" s="32">
        <f t="shared" si="227"/>
        <v>446582</v>
      </c>
      <c r="K26" s="32">
        <f t="shared" si="227"/>
        <v>446582</v>
      </c>
      <c r="L26" s="32">
        <f t="shared" si="227"/>
        <v>646774</v>
      </c>
      <c r="M26" s="32">
        <f t="shared" si="227"/>
        <v>646774</v>
      </c>
      <c r="N26" s="32">
        <f t="shared" si="227"/>
        <v>646774</v>
      </c>
      <c r="O26" s="32">
        <f t="shared" si="227"/>
        <v>840063</v>
      </c>
      <c r="P26" s="32">
        <f t="shared" si="227"/>
        <v>840063</v>
      </c>
      <c r="Q26" s="32">
        <f t="shared" si="227"/>
        <v>840063</v>
      </c>
      <c r="R26" s="32">
        <f t="shared" ref="R26" si="228">Q26+R25</f>
        <v>1028497</v>
      </c>
      <c r="S26" s="32">
        <f t="shared" ref="S26" si="229">R26+S25</f>
        <v>1028497</v>
      </c>
      <c r="T26" s="32">
        <f t="shared" ref="T26" si="230">S26+T25</f>
        <v>1028497</v>
      </c>
      <c r="U26" s="32">
        <f t="shared" ref="U26" si="231">T26+U25</f>
        <v>1228141</v>
      </c>
      <c r="V26" s="32">
        <f t="shared" ref="V26" si="232">U26+V25</f>
        <v>1228141</v>
      </c>
      <c r="W26" s="32">
        <f t="shared" ref="W26" si="233">V26+W25</f>
        <v>1228141</v>
      </c>
      <c r="X26" s="32">
        <f t="shared" ref="X26" si="234">W26+X25</f>
        <v>1418806</v>
      </c>
      <c r="Y26" s="32">
        <f t="shared" ref="Y26" si="235">X26+Y25</f>
        <v>1418806</v>
      </c>
      <c r="Z26" s="32">
        <f t="shared" ref="Z26" si="236">Y26+Z25</f>
        <v>1418806</v>
      </c>
      <c r="AA26" s="32">
        <f t="shared" ref="AA26" si="237">Z26+AA25</f>
        <v>1599834</v>
      </c>
      <c r="AB26" s="32">
        <f t="shared" ref="AB26" si="238">AA26+AB25</f>
        <v>1599834</v>
      </c>
      <c r="AC26" s="32">
        <f t="shared" ref="AC26" si="239">AB26+AC25</f>
        <v>1599834</v>
      </c>
      <c r="AD26" s="32">
        <f t="shared" ref="AD26" si="240">AC26+AD25</f>
        <v>1777174</v>
      </c>
      <c r="AE26" s="32">
        <f t="shared" ref="AE26" si="241">AD26+AE25</f>
        <v>1777174</v>
      </c>
      <c r="AF26" s="32">
        <f t="shared" ref="AF26" si="242">AE26+AF25</f>
        <v>1777174</v>
      </c>
      <c r="AG26" s="32">
        <f t="shared" ref="AG26" si="243">AF26+AG25</f>
        <v>1950491</v>
      </c>
      <c r="AH26" s="32">
        <f t="shared" ref="AH26" si="244">AG26+AH25</f>
        <v>1950491</v>
      </c>
      <c r="AI26" s="32">
        <f t="shared" ref="AI26" si="245">AH26+AI25</f>
        <v>1950491</v>
      </c>
      <c r="AJ26" s="32">
        <f t="shared" ref="AJ26" si="246">AI26+AJ25</f>
        <v>2110650</v>
      </c>
      <c r="AK26" s="32">
        <f t="shared" ref="AK26" si="247">AJ26+AK25</f>
        <v>2110650</v>
      </c>
      <c r="AL26" s="32">
        <f t="shared" ref="AL26" si="248">AK26+AL25</f>
        <v>2110650</v>
      </c>
      <c r="AM26" s="32">
        <f t="shared" ref="AM26" si="249">AL26+AM25</f>
        <v>2258154</v>
      </c>
      <c r="AN26" s="32">
        <f t="shared" ref="AN26" si="250">AM26+AN25</f>
        <v>2258154</v>
      </c>
      <c r="AO26" s="32">
        <f t="shared" ref="AO26" si="251">AN26+AO25</f>
        <v>2258154</v>
      </c>
      <c r="AP26" s="32">
        <f t="shared" ref="AP26" si="252">AO26+AP25</f>
        <v>2407837</v>
      </c>
      <c r="AQ26" s="32">
        <f t="shared" ref="AQ26" si="253">AP26+AQ25</f>
        <v>2407837</v>
      </c>
      <c r="AR26" s="32">
        <f t="shared" ref="AR26" si="254">AQ26+AR25</f>
        <v>2407837</v>
      </c>
      <c r="AS26" s="32">
        <f t="shared" ref="AS26" si="255">AR26+AS25</f>
        <v>2545116</v>
      </c>
      <c r="AT26" s="32">
        <f t="shared" ref="AT26" si="256">AS26+AT25</f>
        <v>2545116</v>
      </c>
      <c r="AU26" s="32">
        <f t="shared" ref="AU26" si="257">AT26+AU25</f>
        <v>2545116</v>
      </c>
      <c r="AV26" s="32">
        <f t="shared" ref="AV26" si="258">AU26+AV25</f>
        <v>2676193</v>
      </c>
      <c r="AW26" s="32">
        <f t="shared" ref="AW26" si="259">AV26+AW25</f>
        <v>2676193</v>
      </c>
      <c r="AX26" s="32">
        <f t="shared" ref="AX26" si="260">AW26+AX25</f>
        <v>2676193</v>
      </c>
      <c r="AY26" s="32">
        <f t="shared" ref="AY26" si="261">AX26+AY25</f>
        <v>2798219</v>
      </c>
      <c r="AZ26" s="32">
        <f t="shared" ref="AZ26" si="262">AY26+AZ25</f>
        <v>2798219</v>
      </c>
      <c r="BA26" s="32">
        <f t="shared" ref="BA26" si="263">AZ26+BA25</f>
        <v>2798219</v>
      </c>
      <c r="BB26" s="32">
        <f t="shared" ref="BB26" si="264">BA26+BB25</f>
        <v>2818424</v>
      </c>
      <c r="BC26" s="32">
        <f t="shared" ref="BC26" si="265">BB26+BC25</f>
        <v>2818424</v>
      </c>
      <c r="BD26" s="32">
        <f t="shared" ref="BD26" si="266">BC26+BD25</f>
        <v>2818424</v>
      </c>
      <c r="BE26" s="32">
        <f t="shared" ref="BE26" si="267">BD26+BE25</f>
        <v>2818424</v>
      </c>
      <c r="BF26" s="32">
        <f t="shared" ref="BF26" si="268">BE26+BF25</f>
        <v>2818424</v>
      </c>
      <c r="BG26" s="32">
        <f t="shared" ref="BG26" si="269">BF26+BG25</f>
        <v>2818424</v>
      </c>
      <c r="BH26" s="32">
        <f t="shared" ref="BH26" si="270">BG26+BH25</f>
        <v>2818424</v>
      </c>
      <c r="BI26" s="32">
        <f t="shared" ref="BI26" si="271">BH26+BI25</f>
        <v>2818424</v>
      </c>
      <c r="BJ26" s="32">
        <f t="shared" ref="BJ26" si="272">BI26+BJ25</f>
        <v>2818424</v>
      </c>
      <c r="BK26" s="32">
        <f t="shared" ref="BK26" si="273">BJ26+BK25</f>
        <v>3208801.2871374888</v>
      </c>
      <c r="BL26" s="32">
        <f t="shared" ref="BL26" si="274">BK26+BL25</f>
        <v>3208801.2871374888</v>
      </c>
      <c r="BM26" s="32">
        <f t="shared" ref="BM26" si="275">BL26+BM25</f>
        <v>3208801.2871374888</v>
      </c>
      <c r="BN26" s="32">
        <f t="shared" ref="BN26" si="276">BM26+BN25</f>
        <v>3293615.9839526964</v>
      </c>
      <c r="BO26" s="32">
        <f t="shared" ref="BO26" si="277">BN26+BO25</f>
        <v>3293615.9839526964</v>
      </c>
      <c r="BP26" s="32">
        <f t="shared" ref="BP26" si="278">BO26+BP25</f>
        <v>3293615.9839526964</v>
      </c>
      <c r="BQ26" s="32">
        <f t="shared" ref="BQ26" si="279">BP26+BQ25</f>
        <v>3370720.2537847036</v>
      </c>
      <c r="BR26" s="32">
        <f t="shared" ref="BR26" si="280">BQ26+BR25</f>
        <v>3370720.2537847036</v>
      </c>
      <c r="BS26" s="32">
        <f t="shared" ref="BS26" si="281">BR26+BS25</f>
        <v>3370720.2537847036</v>
      </c>
      <c r="BT26" s="32">
        <f t="shared" ref="BT26" si="282">BS26+BT25</f>
        <v>3439359.8157329792</v>
      </c>
      <c r="BU26" s="32">
        <f t="shared" ref="BU26" si="283">BT26+BU25</f>
        <v>3439359.8157329792</v>
      </c>
      <c r="BV26" s="32">
        <f t="shared" ref="BV26" si="284">BU26+BV25</f>
        <v>3439359.8157329792</v>
      </c>
      <c r="BW26" s="32">
        <f t="shared" ref="BW26" si="285">BV26+BW25</f>
        <v>3499702.2877754197</v>
      </c>
      <c r="BX26" s="32">
        <f t="shared" ref="BX26" si="286">BW26+BX25</f>
        <v>3499702.2877754197</v>
      </c>
      <c r="BY26" s="32">
        <f t="shared" ref="BY26" si="287">BX26+BY25</f>
        <v>3499702.2877754197</v>
      </c>
      <c r="BZ26" s="32">
        <f t="shared" ref="BZ26" si="288">BY26+BZ25</f>
        <v>3553675.2766578244</v>
      </c>
      <c r="CA26" s="32">
        <f t="shared" ref="CA26" si="289">BZ26+CA25</f>
        <v>3553675.2766578244</v>
      </c>
      <c r="CB26" s="32">
        <f t="shared" ref="CB26" si="290">CA26+CB25</f>
        <v>3553675.2766578244</v>
      </c>
      <c r="CC26" s="32">
        <f t="shared" ref="CC26" si="291">CB26+CC25</f>
        <v>3599937.8385570287</v>
      </c>
      <c r="CD26" s="32">
        <f t="shared" ref="CD26" si="292">CC26+CD25</f>
        <v>3599937.8385570287</v>
      </c>
      <c r="CE26" s="32">
        <f t="shared" ref="CE26" si="293">CD26+CE25</f>
        <v>3599937.8385570287</v>
      </c>
      <c r="CF26" s="32">
        <f t="shared" ref="CF26" si="294">CE26+CF25</f>
        <v>3638070.928528293</v>
      </c>
      <c r="CG26" s="32">
        <f t="shared" ref="CG26" si="295">CF26+CG25</f>
        <v>3638070.928528293</v>
      </c>
      <c r="CH26" s="32">
        <f t="shared" ref="CH26" si="296">CG26+CH25</f>
        <v>3638070.928528293</v>
      </c>
      <c r="CI26" s="32">
        <f t="shared" ref="CI26" si="297">CH26+CI25</f>
        <v>3668242.1645495133</v>
      </c>
      <c r="CJ26" s="32">
        <f t="shared" ref="CJ26" si="298">CI26+CJ25</f>
        <v>3668242.1645495133</v>
      </c>
      <c r="CK26" s="32">
        <f t="shared" ref="CK26" si="299">CJ26+CK25</f>
        <v>3668242.1645495133</v>
      </c>
      <c r="CL26" s="32">
        <f t="shared" ref="CL26" si="300">CK26+CL25</f>
        <v>3691373.4454991152</v>
      </c>
      <c r="CM26" s="32">
        <f t="shared" ref="CM26" si="301">CL26+CM25</f>
        <v>3691373.4454991152</v>
      </c>
      <c r="CN26" s="32">
        <f t="shared" ref="CN26" si="302">CM26+CN25</f>
        <v>3691373.4454991152</v>
      </c>
      <c r="CO26" s="32">
        <f t="shared" ref="CO26" si="303">CN26+CO25</f>
        <v>3706794.2994655166</v>
      </c>
      <c r="CP26" s="32">
        <f t="shared" ref="CP26" si="304">CO26+CP25</f>
        <v>3706794.2994655166</v>
      </c>
      <c r="CQ26" s="32">
        <f t="shared" ref="CQ26" si="305">CP26+CQ25</f>
        <v>3706794.2994655166</v>
      </c>
      <c r="CR26" s="32">
        <f t="shared" ref="CR26" si="306">CQ26+CR25</f>
        <v>3714420.9174597696</v>
      </c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</row>
    <row r="27" spans="1:119" x14ac:dyDescent="0.25">
      <c r="A27" s="41" t="s">
        <v>40</v>
      </c>
      <c r="B27" s="32">
        <v>0</v>
      </c>
      <c r="C27" s="32">
        <v>0</v>
      </c>
      <c r="D27" s="32">
        <v>0</v>
      </c>
      <c r="E27" s="32">
        <v>0</v>
      </c>
      <c r="F27" s="32"/>
      <c r="G27" s="32">
        <v>0</v>
      </c>
      <c r="H27" s="32">
        <v>0</v>
      </c>
      <c r="I27" s="32">
        <v>814</v>
      </c>
      <c r="J27" s="32">
        <v>0</v>
      </c>
      <c r="K27" s="32">
        <v>0</v>
      </c>
      <c r="L27" s="32"/>
      <c r="M27" s="32">
        <v>0</v>
      </c>
      <c r="N27" s="32">
        <v>0</v>
      </c>
      <c r="O27" s="32">
        <v>12057</v>
      </c>
      <c r="P27" s="32">
        <v>0</v>
      </c>
      <c r="Q27" s="32">
        <v>0</v>
      </c>
      <c r="R27" s="32">
        <v>13097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2">
        <v>0</v>
      </c>
      <c r="CF27" s="32">
        <v>0</v>
      </c>
      <c r="CG27" s="32">
        <v>0</v>
      </c>
      <c r="CH27" s="32">
        <v>0</v>
      </c>
      <c r="CI27" s="32">
        <v>0</v>
      </c>
      <c r="CJ27" s="32">
        <v>0</v>
      </c>
      <c r="CK27" s="32">
        <v>0</v>
      </c>
      <c r="CL27" s="32">
        <v>0</v>
      </c>
      <c r="CM27" s="32">
        <v>0</v>
      </c>
      <c r="CN27" s="32">
        <v>0</v>
      </c>
      <c r="CO27" s="32">
        <v>0</v>
      </c>
      <c r="CP27" s="32">
        <v>0</v>
      </c>
      <c r="CQ27" s="32">
        <v>0</v>
      </c>
      <c r="CR27" s="32">
        <v>0</v>
      </c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</row>
    <row r="28" spans="1:119" x14ac:dyDescent="0.25">
      <c r="A28" s="39" t="s">
        <v>41</v>
      </c>
      <c r="B28" s="32">
        <f>B27</f>
        <v>0</v>
      </c>
      <c r="C28" s="32">
        <f t="shared" ref="C28:Q28" si="307">B28+C27</f>
        <v>0</v>
      </c>
      <c r="D28" s="32">
        <f t="shared" si="307"/>
        <v>0</v>
      </c>
      <c r="E28" s="32">
        <f t="shared" si="307"/>
        <v>0</v>
      </c>
      <c r="F28" s="32">
        <f t="shared" si="307"/>
        <v>0</v>
      </c>
      <c r="G28" s="32">
        <f t="shared" si="307"/>
        <v>0</v>
      </c>
      <c r="H28" s="32">
        <f t="shared" si="307"/>
        <v>0</v>
      </c>
      <c r="I28" s="32">
        <f t="shared" si="307"/>
        <v>814</v>
      </c>
      <c r="J28" s="32">
        <f t="shared" si="307"/>
        <v>814</v>
      </c>
      <c r="K28" s="32">
        <f t="shared" si="307"/>
        <v>814</v>
      </c>
      <c r="L28" s="32">
        <f t="shared" si="307"/>
        <v>814</v>
      </c>
      <c r="M28" s="32">
        <f t="shared" si="307"/>
        <v>814</v>
      </c>
      <c r="N28" s="32">
        <f t="shared" si="307"/>
        <v>814</v>
      </c>
      <c r="O28" s="32">
        <f t="shared" si="307"/>
        <v>12871</v>
      </c>
      <c r="P28" s="32">
        <f t="shared" si="307"/>
        <v>12871</v>
      </c>
      <c r="Q28" s="32">
        <f t="shared" si="307"/>
        <v>12871</v>
      </c>
      <c r="R28" s="32">
        <f t="shared" ref="R28" si="308">Q28+R27</f>
        <v>25968</v>
      </c>
      <c r="S28" s="32">
        <f t="shared" ref="S28" si="309">R28+S27</f>
        <v>25968</v>
      </c>
      <c r="T28" s="32">
        <f t="shared" ref="T28" si="310">S28+T27</f>
        <v>25968</v>
      </c>
      <c r="U28" s="32">
        <f t="shared" ref="U28" si="311">T28+U27</f>
        <v>25968</v>
      </c>
      <c r="V28" s="32">
        <f t="shared" ref="V28" si="312">U28+V27</f>
        <v>25968</v>
      </c>
      <c r="W28" s="32">
        <f t="shared" ref="W28" si="313">V28+W27</f>
        <v>25968</v>
      </c>
      <c r="X28" s="32">
        <f t="shared" ref="X28" si="314">W28+X27</f>
        <v>25968</v>
      </c>
      <c r="Y28" s="32">
        <f t="shared" ref="Y28" si="315">X28+Y27</f>
        <v>25968</v>
      </c>
      <c r="Z28" s="32">
        <f t="shared" ref="Z28" si="316">Y28+Z27</f>
        <v>25968</v>
      </c>
      <c r="AA28" s="32">
        <f t="shared" ref="AA28" si="317">Z28+AA27</f>
        <v>25968</v>
      </c>
      <c r="AB28" s="32">
        <f t="shared" ref="AB28" si="318">AA28+AB27</f>
        <v>25968</v>
      </c>
      <c r="AC28" s="32">
        <f t="shared" ref="AC28" si="319">AB28+AC27</f>
        <v>25968</v>
      </c>
      <c r="AD28" s="32">
        <f t="shared" ref="AD28" si="320">AC28+AD27</f>
        <v>25968</v>
      </c>
      <c r="AE28" s="32">
        <f t="shared" ref="AE28" si="321">AD28+AE27</f>
        <v>25968</v>
      </c>
      <c r="AF28" s="32">
        <f t="shared" ref="AF28" si="322">AE28+AF27</f>
        <v>25968</v>
      </c>
      <c r="AG28" s="32">
        <f t="shared" ref="AG28" si="323">AF28+AG27</f>
        <v>25968</v>
      </c>
      <c r="AH28" s="32">
        <f t="shared" ref="AH28" si="324">AG28+AH27</f>
        <v>25968</v>
      </c>
      <c r="AI28" s="32">
        <f t="shared" ref="AI28" si="325">AH28+AI27</f>
        <v>25968</v>
      </c>
      <c r="AJ28" s="32">
        <f t="shared" ref="AJ28" si="326">AI28+AJ27</f>
        <v>25968</v>
      </c>
      <c r="AK28" s="32">
        <f t="shared" ref="AK28" si="327">AJ28+AK27</f>
        <v>25968</v>
      </c>
      <c r="AL28" s="32">
        <f t="shared" ref="AL28" si="328">AK28+AL27</f>
        <v>25968</v>
      </c>
      <c r="AM28" s="32">
        <f t="shared" ref="AM28" si="329">AL28+AM27</f>
        <v>25968</v>
      </c>
      <c r="AN28" s="32">
        <f t="shared" ref="AN28" si="330">AM28+AN27</f>
        <v>25968</v>
      </c>
      <c r="AO28" s="32">
        <f t="shared" ref="AO28" si="331">AN28+AO27</f>
        <v>25968</v>
      </c>
      <c r="AP28" s="32">
        <f t="shared" ref="AP28" si="332">AO28+AP27</f>
        <v>25968</v>
      </c>
      <c r="AQ28" s="32">
        <f t="shared" ref="AQ28" si="333">AP28+AQ27</f>
        <v>25968</v>
      </c>
      <c r="AR28" s="32">
        <f t="shared" ref="AR28" si="334">AQ28+AR27</f>
        <v>25968</v>
      </c>
      <c r="AS28" s="32">
        <f t="shared" ref="AS28" si="335">AR28+AS27</f>
        <v>25968</v>
      </c>
      <c r="AT28" s="32">
        <f t="shared" ref="AT28" si="336">AS28+AT27</f>
        <v>25968</v>
      </c>
      <c r="AU28" s="32">
        <f t="shared" ref="AU28" si="337">AT28+AU27</f>
        <v>25968</v>
      </c>
      <c r="AV28" s="32">
        <f t="shared" ref="AV28" si="338">AU28+AV27</f>
        <v>25968</v>
      </c>
      <c r="AW28" s="32">
        <f t="shared" ref="AW28" si="339">AV28+AW27</f>
        <v>25968</v>
      </c>
      <c r="AX28" s="32">
        <f t="shared" ref="AX28" si="340">AW28+AX27</f>
        <v>25968</v>
      </c>
      <c r="AY28" s="32">
        <f t="shared" ref="AY28" si="341">AX28+AY27</f>
        <v>25968</v>
      </c>
      <c r="AZ28" s="32">
        <f t="shared" ref="AZ28" si="342">AY28+AZ27</f>
        <v>25968</v>
      </c>
      <c r="BA28" s="32">
        <f t="shared" ref="BA28" si="343">AZ28+BA27</f>
        <v>25968</v>
      </c>
      <c r="BB28" s="32">
        <f t="shared" ref="BB28" si="344">BA28+BB27</f>
        <v>25968</v>
      </c>
      <c r="BC28" s="32">
        <f t="shared" ref="BC28" si="345">BB28+BC27</f>
        <v>25968</v>
      </c>
      <c r="BD28" s="32">
        <f t="shared" ref="BD28" si="346">BC28+BD27</f>
        <v>25968</v>
      </c>
      <c r="BE28" s="32">
        <f t="shared" ref="BE28" si="347">BD28+BE27</f>
        <v>25968</v>
      </c>
      <c r="BF28" s="32">
        <f t="shared" ref="BF28" si="348">BE28+BF27</f>
        <v>25968</v>
      </c>
      <c r="BG28" s="32">
        <f t="shared" ref="BG28" si="349">BF28+BG27</f>
        <v>25968</v>
      </c>
      <c r="BH28" s="32">
        <f t="shared" ref="BH28" si="350">BG28+BH27</f>
        <v>25968</v>
      </c>
      <c r="BI28" s="32">
        <f t="shared" ref="BI28" si="351">BH28+BI27</f>
        <v>25968</v>
      </c>
      <c r="BJ28" s="32">
        <f t="shared" ref="BJ28" si="352">BI28+BJ27</f>
        <v>25968</v>
      </c>
      <c r="BK28" s="32">
        <f t="shared" ref="BK28" si="353">BJ28+BK27</f>
        <v>25968</v>
      </c>
      <c r="BL28" s="32">
        <f t="shared" ref="BL28" si="354">BK28+BL27</f>
        <v>25968</v>
      </c>
      <c r="BM28" s="32">
        <f t="shared" ref="BM28" si="355">BL28+BM27</f>
        <v>25968</v>
      </c>
      <c r="BN28" s="32">
        <f t="shared" ref="BN28" si="356">BM28+BN27</f>
        <v>25968</v>
      </c>
      <c r="BO28" s="32">
        <f t="shared" ref="BO28" si="357">BN28+BO27</f>
        <v>25968</v>
      </c>
      <c r="BP28" s="32">
        <f t="shared" ref="BP28" si="358">BO28+BP27</f>
        <v>25968</v>
      </c>
      <c r="BQ28" s="32">
        <f t="shared" ref="BQ28" si="359">BP28+BQ27</f>
        <v>25968</v>
      </c>
      <c r="BR28" s="32">
        <f t="shared" ref="BR28" si="360">BQ28+BR27</f>
        <v>25968</v>
      </c>
      <c r="BS28" s="32">
        <f t="shared" ref="BS28" si="361">BR28+BS27</f>
        <v>25968</v>
      </c>
      <c r="BT28" s="32">
        <f t="shared" ref="BT28" si="362">BS28+BT27</f>
        <v>25968</v>
      </c>
      <c r="BU28" s="32">
        <f t="shared" ref="BU28" si="363">BT28+BU27</f>
        <v>25968</v>
      </c>
      <c r="BV28" s="32">
        <f t="shared" ref="BV28" si="364">BU28+BV27</f>
        <v>25968</v>
      </c>
      <c r="BW28" s="32">
        <f t="shared" ref="BW28" si="365">BV28+BW27</f>
        <v>25968</v>
      </c>
      <c r="BX28" s="32">
        <f t="shared" ref="BX28" si="366">BW28+BX27</f>
        <v>25968</v>
      </c>
      <c r="BY28" s="32">
        <f t="shared" ref="BY28" si="367">BX28+BY27</f>
        <v>25968</v>
      </c>
      <c r="BZ28" s="32">
        <f t="shared" ref="BZ28" si="368">BY28+BZ27</f>
        <v>25968</v>
      </c>
      <c r="CA28" s="32">
        <f t="shared" ref="CA28" si="369">BZ28+CA27</f>
        <v>25968</v>
      </c>
      <c r="CB28" s="32">
        <f t="shared" ref="CB28" si="370">CA28+CB27</f>
        <v>25968</v>
      </c>
      <c r="CC28" s="32">
        <f t="shared" ref="CC28" si="371">CB28+CC27</f>
        <v>25968</v>
      </c>
      <c r="CD28" s="32">
        <f t="shared" ref="CD28" si="372">CC28+CD27</f>
        <v>25968</v>
      </c>
      <c r="CE28" s="32">
        <f t="shared" ref="CE28" si="373">CD28+CE27</f>
        <v>25968</v>
      </c>
      <c r="CF28" s="32">
        <f t="shared" ref="CF28" si="374">CE28+CF27</f>
        <v>25968</v>
      </c>
      <c r="CG28" s="32">
        <f t="shared" ref="CG28" si="375">CF28+CG27</f>
        <v>25968</v>
      </c>
      <c r="CH28" s="32">
        <f t="shared" ref="CH28" si="376">CG28+CH27</f>
        <v>25968</v>
      </c>
      <c r="CI28" s="32">
        <f t="shared" ref="CI28" si="377">CH28+CI27</f>
        <v>25968</v>
      </c>
      <c r="CJ28" s="32">
        <f t="shared" ref="CJ28" si="378">CI28+CJ27</f>
        <v>25968</v>
      </c>
      <c r="CK28" s="32">
        <f t="shared" ref="CK28" si="379">CJ28+CK27</f>
        <v>25968</v>
      </c>
      <c r="CL28" s="32">
        <f t="shared" ref="CL28" si="380">CK28+CL27</f>
        <v>25968</v>
      </c>
      <c r="CM28" s="32">
        <f t="shared" ref="CM28" si="381">CL28+CM27</f>
        <v>25968</v>
      </c>
      <c r="CN28" s="32">
        <f t="shared" ref="CN28" si="382">CM28+CN27</f>
        <v>25968</v>
      </c>
      <c r="CO28" s="32">
        <f t="shared" ref="CO28" si="383">CN28+CO27</f>
        <v>25968</v>
      </c>
      <c r="CP28" s="32">
        <f t="shared" ref="CP28" si="384">CO28+CP27</f>
        <v>25968</v>
      </c>
      <c r="CQ28" s="32">
        <f t="shared" ref="CQ28" si="385">CP28+CQ27</f>
        <v>25968</v>
      </c>
      <c r="CR28" s="32">
        <f t="shared" ref="CR28" si="386">CQ28+CR27</f>
        <v>25968</v>
      </c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</row>
    <row r="29" spans="1:119" x14ac:dyDescent="0.25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</row>
    <row r="30" spans="1:119" s="95" customFormat="1" ht="15" x14ac:dyDescent="0.3">
      <c r="A30" s="96" t="s">
        <v>55</v>
      </c>
      <c r="B30" s="98"/>
      <c r="C30" s="98"/>
      <c r="D30" s="98"/>
      <c r="E30" s="98"/>
      <c r="F30" s="142">
        <v>42185</v>
      </c>
      <c r="G30" s="98"/>
      <c r="H30" s="98"/>
      <c r="I30" s="143">
        <v>42284</v>
      </c>
      <c r="J30" s="98"/>
      <c r="K30" s="152">
        <v>42443</v>
      </c>
      <c r="L30" s="153"/>
      <c r="M30" s="98"/>
      <c r="N30" s="152">
        <v>42541</v>
      </c>
      <c r="O30" s="154"/>
      <c r="P30" s="153"/>
      <c r="Q30" s="98"/>
      <c r="R30" s="155">
        <v>42849</v>
      </c>
      <c r="S30" s="156"/>
      <c r="T30" s="157"/>
      <c r="U30" s="143">
        <v>42926</v>
      </c>
      <c r="V30" s="142">
        <v>42939</v>
      </c>
      <c r="W30" s="143">
        <v>42956</v>
      </c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152">
        <v>43793</v>
      </c>
      <c r="AT30" s="154"/>
      <c r="AU30" s="154"/>
      <c r="AV30" s="154"/>
      <c r="AW30" s="154"/>
      <c r="AX30" s="154"/>
      <c r="AY30" s="154"/>
      <c r="AZ30" s="153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9"/>
      <c r="BP30" s="99"/>
      <c r="BQ30" s="99"/>
      <c r="BR30" s="99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99"/>
      <c r="DA30" s="99"/>
      <c r="DB30" s="99"/>
      <c r="DC30" s="99"/>
      <c r="DD30" s="99"/>
      <c r="DE30" s="99"/>
      <c r="DF30" s="99"/>
      <c r="DG30" s="99"/>
      <c r="DH30" s="99"/>
      <c r="DI30" s="99"/>
      <c r="DJ30" s="99"/>
      <c r="DK30" s="99"/>
      <c r="DL30" s="99"/>
      <c r="DM30" s="99"/>
      <c r="DN30" s="99"/>
      <c r="DO30" s="100"/>
    </row>
    <row r="31" spans="1:119" ht="15" x14ac:dyDescent="0.3">
      <c r="A31" s="96" t="s">
        <v>56</v>
      </c>
      <c r="B31" s="32"/>
      <c r="C31" s="32"/>
      <c r="D31" s="102"/>
      <c r="E31" s="32"/>
      <c r="F31" s="140"/>
      <c r="G31" s="32"/>
      <c r="H31" s="32"/>
      <c r="I31" s="140"/>
      <c r="J31" s="32"/>
      <c r="K31" s="144"/>
      <c r="L31" s="145">
        <v>202392</v>
      </c>
      <c r="M31" s="32"/>
      <c r="N31" s="144"/>
      <c r="O31" s="102"/>
      <c r="P31" s="145">
        <v>1940165</v>
      </c>
      <c r="Q31" s="32"/>
      <c r="R31" s="144"/>
      <c r="S31" s="102"/>
      <c r="T31" s="145">
        <v>5551970</v>
      </c>
      <c r="U31" s="140"/>
      <c r="V31" s="140"/>
      <c r="W31" s="140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144"/>
      <c r="AT31" s="102"/>
      <c r="AU31" s="102"/>
      <c r="AV31" s="102"/>
      <c r="AW31" s="102"/>
      <c r="AX31" s="102"/>
      <c r="AY31" s="102"/>
      <c r="AZ31" s="145">
        <v>11000000</v>
      </c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</row>
    <row r="32" spans="1:119" x14ac:dyDescent="0.25">
      <c r="A32" s="97" t="s">
        <v>30</v>
      </c>
      <c r="B32" s="32"/>
      <c r="C32" s="32"/>
      <c r="D32" s="102"/>
      <c r="E32" s="32"/>
      <c r="F32" s="140">
        <v>244190</v>
      </c>
      <c r="G32" s="32"/>
      <c r="H32" s="32"/>
      <c r="I32" s="140">
        <v>202392</v>
      </c>
      <c r="J32" s="32"/>
      <c r="K32" s="144">
        <v>200192</v>
      </c>
      <c r="L32" s="146">
        <v>2200</v>
      </c>
      <c r="M32" s="32"/>
      <c r="N32" s="144"/>
      <c r="O32" s="102">
        <v>191089</v>
      </c>
      <c r="P32" s="146">
        <v>188434</v>
      </c>
      <c r="Q32" s="32"/>
      <c r="R32" s="144">
        <v>199644</v>
      </c>
      <c r="S32" s="102">
        <v>190665</v>
      </c>
      <c r="T32" s="146">
        <v>181028</v>
      </c>
      <c r="U32" s="140">
        <v>177340</v>
      </c>
      <c r="V32" s="140"/>
      <c r="W32" s="140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144">
        <v>173317</v>
      </c>
      <c r="AT32" s="102">
        <v>160159</v>
      </c>
      <c r="AU32" s="102">
        <v>147504</v>
      </c>
      <c r="AV32" s="102">
        <v>149683</v>
      </c>
      <c r="AW32" s="102">
        <v>137279</v>
      </c>
      <c r="AX32" s="102">
        <v>131077</v>
      </c>
      <c r="AY32" s="102">
        <v>122026</v>
      </c>
      <c r="AZ32" s="146">
        <v>20205</v>
      </c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</row>
    <row r="33" spans="1:119" x14ac:dyDescent="0.25">
      <c r="A33" s="97" t="s">
        <v>24</v>
      </c>
      <c r="B33" s="32"/>
      <c r="C33" s="32"/>
      <c r="D33" s="102"/>
      <c r="E33" s="32"/>
      <c r="F33" s="140"/>
      <c r="G33" s="32"/>
      <c r="H33" s="32"/>
      <c r="I33" s="140"/>
      <c r="J33" s="32"/>
      <c r="K33" s="144"/>
      <c r="L33" s="146"/>
      <c r="M33" s="32"/>
      <c r="N33" s="144">
        <v>455155</v>
      </c>
      <c r="O33" s="102">
        <v>455155</v>
      </c>
      <c r="P33" s="146">
        <v>222772</v>
      </c>
      <c r="Q33" s="32"/>
      <c r="R33" s="144">
        <v>232383</v>
      </c>
      <c r="S33" s="102">
        <v>502854</v>
      </c>
      <c r="T33" s="146"/>
      <c r="U33" s="140">
        <v>22660</v>
      </c>
      <c r="V33" s="140">
        <v>110884</v>
      </c>
      <c r="W33" s="140">
        <v>200000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144"/>
      <c r="AT33" s="102"/>
      <c r="AU33" s="102"/>
      <c r="AV33" s="102"/>
      <c r="AW33" s="102"/>
      <c r="AX33" s="102"/>
      <c r="AY33" s="102"/>
      <c r="AZ33" s="146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</row>
    <row r="34" spans="1:119" x14ac:dyDescent="0.25">
      <c r="A34" s="97" t="s">
        <v>57</v>
      </c>
      <c r="B34" s="32"/>
      <c r="C34" s="32"/>
      <c r="D34" s="102"/>
      <c r="E34" s="32"/>
      <c r="F34" s="140"/>
      <c r="G34" s="32"/>
      <c r="H34" s="32"/>
      <c r="I34" s="140">
        <v>814</v>
      </c>
      <c r="J34" s="32"/>
      <c r="K34" s="144"/>
      <c r="L34" s="146"/>
      <c r="M34" s="32"/>
      <c r="N34" s="144"/>
      <c r="O34" s="102">
        <v>12057</v>
      </c>
      <c r="P34" s="146">
        <v>13097</v>
      </c>
      <c r="Q34" s="32"/>
      <c r="R34" s="144"/>
      <c r="S34" s="102"/>
      <c r="T34" s="146"/>
      <c r="U34" s="140"/>
      <c r="V34" s="140"/>
      <c r="W34" s="140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144"/>
      <c r="AT34" s="102"/>
      <c r="AU34" s="102"/>
      <c r="AV34" s="102"/>
      <c r="AW34" s="102"/>
      <c r="AX34" s="102"/>
      <c r="AY34" s="102"/>
      <c r="AZ34" s="146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</row>
    <row r="35" spans="1:119" ht="15" x14ac:dyDescent="0.3">
      <c r="A35" s="44" t="s">
        <v>58</v>
      </c>
      <c r="B35" s="32">
        <f t="shared" ref="B35:BH35" si="387">SUM(B32:B34)</f>
        <v>0</v>
      </c>
      <c r="C35" s="32">
        <f t="shared" si="387"/>
        <v>0</v>
      </c>
      <c r="D35" s="32">
        <f t="shared" si="387"/>
        <v>0</v>
      </c>
      <c r="E35" s="32">
        <f t="shared" si="387"/>
        <v>0</v>
      </c>
      <c r="F35" s="141">
        <f t="shared" si="387"/>
        <v>244190</v>
      </c>
      <c r="G35" s="32">
        <f t="shared" si="387"/>
        <v>0</v>
      </c>
      <c r="H35" s="32">
        <f t="shared" si="387"/>
        <v>0</v>
      </c>
      <c r="I35" s="141">
        <f t="shared" si="387"/>
        <v>203206</v>
      </c>
      <c r="J35" s="32">
        <f t="shared" si="387"/>
        <v>0</v>
      </c>
      <c r="K35" s="147">
        <f t="shared" si="387"/>
        <v>200192</v>
      </c>
      <c r="L35" s="148">
        <f t="shared" si="387"/>
        <v>2200</v>
      </c>
      <c r="M35" s="32">
        <f t="shared" si="387"/>
        <v>0</v>
      </c>
      <c r="N35" s="147">
        <f t="shared" si="387"/>
        <v>455155</v>
      </c>
      <c r="O35" s="149">
        <f t="shared" si="387"/>
        <v>658301</v>
      </c>
      <c r="P35" s="148">
        <f t="shared" si="387"/>
        <v>424303</v>
      </c>
      <c r="Q35" s="32">
        <f t="shared" si="387"/>
        <v>0</v>
      </c>
      <c r="R35" s="147">
        <f t="shared" si="387"/>
        <v>432027</v>
      </c>
      <c r="S35" s="149">
        <f t="shared" si="387"/>
        <v>693519</v>
      </c>
      <c r="T35" s="148">
        <f t="shared" si="387"/>
        <v>181028</v>
      </c>
      <c r="U35" s="141">
        <f t="shared" si="387"/>
        <v>200000</v>
      </c>
      <c r="V35" s="141">
        <f t="shared" si="387"/>
        <v>110884</v>
      </c>
      <c r="W35" s="141">
        <f t="shared" si="387"/>
        <v>200000</v>
      </c>
      <c r="X35" s="32">
        <f t="shared" si="387"/>
        <v>0</v>
      </c>
      <c r="Y35" s="32">
        <f t="shared" si="387"/>
        <v>0</v>
      </c>
      <c r="Z35" s="32">
        <f t="shared" si="387"/>
        <v>0</v>
      </c>
      <c r="AA35" s="32">
        <f t="shared" si="387"/>
        <v>0</v>
      </c>
      <c r="AB35" s="32">
        <f t="shared" si="387"/>
        <v>0</v>
      </c>
      <c r="AC35" s="32">
        <f t="shared" si="387"/>
        <v>0</v>
      </c>
      <c r="AD35" s="32">
        <f t="shared" si="387"/>
        <v>0</v>
      </c>
      <c r="AE35" s="32">
        <f t="shared" si="387"/>
        <v>0</v>
      </c>
      <c r="AF35" s="32">
        <f t="shared" si="387"/>
        <v>0</v>
      </c>
      <c r="AG35" s="32">
        <f t="shared" si="387"/>
        <v>0</v>
      </c>
      <c r="AH35" s="32">
        <f t="shared" si="387"/>
        <v>0</v>
      </c>
      <c r="AI35" s="32">
        <f t="shared" si="387"/>
        <v>0</v>
      </c>
      <c r="AJ35" s="32">
        <f t="shared" si="387"/>
        <v>0</v>
      </c>
      <c r="AK35" s="32">
        <f t="shared" si="387"/>
        <v>0</v>
      </c>
      <c r="AL35" s="32">
        <f t="shared" si="387"/>
        <v>0</v>
      </c>
      <c r="AM35" s="32">
        <f t="shared" si="387"/>
        <v>0</v>
      </c>
      <c r="AN35" s="32">
        <f t="shared" si="387"/>
        <v>0</v>
      </c>
      <c r="AO35" s="32">
        <f t="shared" si="387"/>
        <v>0</v>
      </c>
      <c r="AP35" s="32">
        <f t="shared" si="387"/>
        <v>0</v>
      </c>
      <c r="AQ35" s="32">
        <f t="shared" si="387"/>
        <v>0</v>
      </c>
      <c r="AR35" s="32">
        <f t="shared" si="387"/>
        <v>0</v>
      </c>
      <c r="AS35" s="147">
        <f t="shared" si="387"/>
        <v>173317</v>
      </c>
      <c r="AT35" s="149">
        <f t="shared" si="387"/>
        <v>160159</v>
      </c>
      <c r="AU35" s="149">
        <f t="shared" si="387"/>
        <v>147504</v>
      </c>
      <c r="AV35" s="149">
        <f t="shared" si="387"/>
        <v>149683</v>
      </c>
      <c r="AW35" s="149">
        <f t="shared" si="387"/>
        <v>137279</v>
      </c>
      <c r="AX35" s="149">
        <f t="shared" si="387"/>
        <v>131077</v>
      </c>
      <c r="AY35" s="149">
        <f t="shared" si="387"/>
        <v>122026</v>
      </c>
      <c r="AZ35" s="148">
        <f>SUM(AZ32:AZ34)</f>
        <v>20205</v>
      </c>
      <c r="BA35" s="32">
        <f t="shared" si="387"/>
        <v>0</v>
      </c>
      <c r="BB35" s="32">
        <f t="shared" si="387"/>
        <v>0</v>
      </c>
      <c r="BC35" s="32">
        <f t="shared" si="387"/>
        <v>0</v>
      </c>
      <c r="BD35" s="32">
        <f t="shared" si="387"/>
        <v>0</v>
      </c>
      <c r="BE35" s="32">
        <f t="shared" si="387"/>
        <v>0</v>
      </c>
      <c r="BF35" s="32">
        <f t="shared" si="387"/>
        <v>0</v>
      </c>
      <c r="BG35" s="32">
        <f t="shared" si="387"/>
        <v>0</v>
      </c>
      <c r="BH35" s="32">
        <f t="shared" si="387"/>
        <v>0</v>
      </c>
      <c r="BI35" s="32">
        <f t="shared" ref="BI35:DO35" si="388">SUM(BI32:BI34)</f>
        <v>0</v>
      </c>
      <c r="BJ35" s="32">
        <f t="shared" si="388"/>
        <v>0</v>
      </c>
      <c r="BK35" s="32">
        <f t="shared" si="388"/>
        <v>0</v>
      </c>
      <c r="BL35" s="32">
        <f t="shared" si="388"/>
        <v>0</v>
      </c>
      <c r="BM35" s="32">
        <f t="shared" si="388"/>
        <v>0</v>
      </c>
      <c r="BN35" s="32">
        <f t="shared" si="388"/>
        <v>0</v>
      </c>
      <c r="BO35" s="32">
        <f t="shared" si="388"/>
        <v>0</v>
      </c>
      <c r="BP35" s="32">
        <f t="shared" si="388"/>
        <v>0</v>
      </c>
      <c r="BQ35" s="32">
        <f t="shared" si="388"/>
        <v>0</v>
      </c>
      <c r="BR35" s="32">
        <f t="shared" si="388"/>
        <v>0</v>
      </c>
      <c r="BS35" s="32">
        <f t="shared" si="388"/>
        <v>0</v>
      </c>
      <c r="BT35" s="32">
        <f t="shared" si="388"/>
        <v>0</v>
      </c>
      <c r="BU35" s="32">
        <f t="shared" si="388"/>
        <v>0</v>
      </c>
      <c r="BV35" s="32">
        <f t="shared" si="388"/>
        <v>0</v>
      </c>
      <c r="BW35" s="32">
        <f t="shared" si="388"/>
        <v>0</v>
      </c>
      <c r="BX35" s="32">
        <f t="shared" si="388"/>
        <v>0</v>
      </c>
      <c r="BY35" s="32">
        <f t="shared" si="388"/>
        <v>0</v>
      </c>
      <c r="BZ35" s="32">
        <f t="shared" si="388"/>
        <v>0</v>
      </c>
      <c r="CA35" s="32">
        <f t="shared" si="388"/>
        <v>0</v>
      </c>
      <c r="CB35" s="32">
        <f t="shared" si="388"/>
        <v>0</v>
      </c>
      <c r="CC35" s="32">
        <f t="shared" si="388"/>
        <v>0</v>
      </c>
      <c r="CD35" s="32">
        <f t="shared" si="388"/>
        <v>0</v>
      </c>
      <c r="CE35" s="32">
        <f t="shared" si="388"/>
        <v>0</v>
      </c>
      <c r="CF35" s="32">
        <f t="shared" si="388"/>
        <v>0</v>
      </c>
      <c r="CG35" s="32">
        <f t="shared" si="388"/>
        <v>0</v>
      </c>
      <c r="CH35" s="32">
        <f t="shared" si="388"/>
        <v>0</v>
      </c>
      <c r="CI35" s="32">
        <f t="shared" si="388"/>
        <v>0</v>
      </c>
      <c r="CJ35" s="32">
        <f t="shared" si="388"/>
        <v>0</v>
      </c>
      <c r="CK35" s="32">
        <f t="shared" si="388"/>
        <v>0</v>
      </c>
      <c r="CL35" s="32">
        <f t="shared" si="388"/>
        <v>0</v>
      </c>
      <c r="CM35" s="32">
        <f t="shared" si="388"/>
        <v>0</v>
      </c>
      <c r="CN35" s="32">
        <f t="shared" si="388"/>
        <v>0</v>
      </c>
      <c r="CO35" s="32">
        <f t="shared" si="388"/>
        <v>0</v>
      </c>
      <c r="CP35" s="32">
        <f t="shared" si="388"/>
        <v>0</v>
      </c>
      <c r="CQ35" s="32">
        <f t="shared" si="388"/>
        <v>0</v>
      </c>
      <c r="CR35" s="32">
        <f t="shared" si="388"/>
        <v>0</v>
      </c>
      <c r="CS35" s="32">
        <f t="shared" si="388"/>
        <v>0</v>
      </c>
      <c r="CT35" s="32">
        <f t="shared" si="388"/>
        <v>0</v>
      </c>
      <c r="CU35" s="32">
        <f t="shared" si="388"/>
        <v>0</v>
      </c>
      <c r="CV35" s="32">
        <f t="shared" si="388"/>
        <v>0</v>
      </c>
      <c r="CW35" s="32">
        <f t="shared" si="388"/>
        <v>0</v>
      </c>
      <c r="CX35" s="32">
        <f t="shared" si="388"/>
        <v>0</v>
      </c>
      <c r="CY35" s="32">
        <f t="shared" si="388"/>
        <v>0</v>
      </c>
      <c r="CZ35" s="32">
        <f t="shared" si="388"/>
        <v>0</v>
      </c>
      <c r="DA35" s="32">
        <f t="shared" si="388"/>
        <v>0</v>
      </c>
      <c r="DB35" s="32">
        <f t="shared" si="388"/>
        <v>0</v>
      </c>
      <c r="DC35" s="32">
        <f t="shared" si="388"/>
        <v>0</v>
      </c>
      <c r="DD35" s="32">
        <f t="shared" si="388"/>
        <v>0</v>
      </c>
      <c r="DE35" s="32">
        <f t="shared" si="388"/>
        <v>0</v>
      </c>
      <c r="DF35" s="32">
        <f t="shared" si="388"/>
        <v>0</v>
      </c>
      <c r="DG35" s="32">
        <f t="shared" si="388"/>
        <v>0</v>
      </c>
      <c r="DH35" s="32">
        <f t="shared" si="388"/>
        <v>0</v>
      </c>
      <c r="DI35" s="32">
        <f t="shared" si="388"/>
        <v>0</v>
      </c>
      <c r="DJ35" s="32">
        <f t="shared" si="388"/>
        <v>0</v>
      </c>
      <c r="DK35" s="32">
        <f t="shared" si="388"/>
        <v>0</v>
      </c>
      <c r="DL35" s="32">
        <f t="shared" si="388"/>
        <v>0</v>
      </c>
      <c r="DM35" s="32">
        <f t="shared" si="388"/>
        <v>0</v>
      </c>
      <c r="DN35" s="32">
        <f t="shared" si="388"/>
        <v>0</v>
      </c>
      <c r="DO35" s="32">
        <f t="shared" si="388"/>
        <v>0</v>
      </c>
    </row>
    <row r="37" spans="1:119" x14ac:dyDescent="0.25">
      <c r="AY37" s="158" t="s">
        <v>72</v>
      </c>
      <c r="AZ37" s="158"/>
      <c r="BA37" s="158"/>
      <c r="BB37" s="158"/>
      <c r="BC37" s="158"/>
      <c r="BD37" s="158"/>
      <c r="BE37" s="158"/>
    </row>
    <row r="38" spans="1:119" ht="40.5" x14ac:dyDescent="0.25">
      <c r="AY38" s="159"/>
      <c r="AZ38" s="159" t="s">
        <v>73</v>
      </c>
      <c r="BA38" s="159" t="s">
        <v>74</v>
      </c>
      <c r="BB38" s="159" t="s">
        <v>75</v>
      </c>
      <c r="BC38" s="159" t="s">
        <v>76</v>
      </c>
      <c r="BD38" s="159" t="s">
        <v>77</v>
      </c>
      <c r="BE38" s="159" t="s">
        <v>78</v>
      </c>
    </row>
    <row r="39" spans="1:119" x14ac:dyDescent="0.25">
      <c r="AY39" s="160" t="s">
        <v>79</v>
      </c>
      <c r="AZ39" s="161">
        <v>61539186.429416671</v>
      </c>
      <c r="BA39" s="161">
        <v>14668649.237332553</v>
      </c>
      <c r="BB39" s="161">
        <f>+AZ39+BA39</f>
        <v>76207835.666749224</v>
      </c>
      <c r="BC39" s="161">
        <f>+BB39*30%</f>
        <v>22862350.700024765</v>
      </c>
      <c r="BD39" s="162">
        <v>11000000</v>
      </c>
      <c r="BE39" s="161">
        <f>+BD39-SUM(BE40:BE44)</f>
        <v>6727319</v>
      </c>
    </row>
    <row r="40" spans="1:119" x14ac:dyDescent="0.25">
      <c r="AE40" s="151"/>
      <c r="AY40" s="160" t="s">
        <v>80</v>
      </c>
      <c r="AZ40" s="161">
        <v>6375500.1399999997</v>
      </c>
      <c r="BA40" s="161">
        <v>653815.11</v>
      </c>
      <c r="BB40" s="161">
        <f t="shared" ref="BB40:BB44" si="389">+AZ40+BA40</f>
        <v>7029315.25</v>
      </c>
      <c r="BC40" s="161">
        <f>+BB40*15%</f>
        <v>1054397.2874999999</v>
      </c>
      <c r="BD40" s="162"/>
      <c r="BE40" s="161">
        <f>+ROUNDUP(BC40,0)</f>
        <v>1054398</v>
      </c>
    </row>
    <row r="41" spans="1:119" x14ac:dyDescent="0.25">
      <c r="AE41" s="151"/>
      <c r="AY41" s="160" t="s">
        <v>81</v>
      </c>
      <c r="AZ41" s="161">
        <v>1492402</v>
      </c>
      <c r="BA41" s="161">
        <v>193009</v>
      </c>
      <c r="BB41" s="161">
        <f t="shared" si="389"/>
        <v>1685411</v>
      </c>
      <c r="BC41" s="161">
        <f t="shared" ref="BC41:BC44" si="390">+BB41*15%</f>
        <v>252811.65</v>
      </c>
      <c r="BD41" s="162"/>
      <c r="BE41" s="161">
        <f t="shared" ref="BE41:BE44" si="391">+ROUNDUP(BC41,0)</f>
        <v>252812</v>
      </c>
    </row>
    <row r="42" spans="1:119" ht="15" x14ac:dyDescent="0.25">
      <c r="AE42" s="151"/>
      <c r="AY42" s="165" t="s">
        <v>82</v>
      </c>
      <c r="AZ42" s="166">
        <v>5700704</v>
      </c>
      <c r="BA42" s="166">
        <v>1240959</v>
      </c>
      <c r="BB42" s="166">
        <f t="shared" si="389"/>
        <v>6941663</v>
      </c>
      <c r="BC42" s="166">
        <f t="shared" si="390"/>
        <v>1041249.45</v>
      </c>
      <c r="BD42" s="162"/>
      <c r="BE42" s="167">
        <f t="shared" si="391"/>
        <v>1041250</v>
      </c>
    </row>
    <row r="43" spans="1:119" x14ac:dyDescent="0.25">
      <c r="AE43" s="151"/>
      <c r="AY43" s="160" t="s">
        <v>83</v>
      </c>
      <c r="AZ43" s="161">
        <v>4456414</v>
      </c>
      <c r="BA43" s="161">
        <v>663877</v>
      </c>
      <c r="BB43" s="161">
        <f t="shared" si="389"/>
        <v>5120291</v>
      </c>
      <c r="BC43" s="161">
        <f t="shared" si="390"/>
        <v>768043.65</v>
      </c>
      <c r="BD43" s="162"/>
      <c r="BE43" s="161">
        <f t="shared" si="391"/>
        <v>768044</v>
      </c>
    </row>
    <row r="44" spans="1:119" x14ac:dyDescent="0.25">
      <c r="AE44" s="151"/>
      <c r="AY44" s="160" t="s">
        <v>84</v>
      </c>
      <c r="AZ44" s="161">
        <v>4911505</v>
      </c>
      <c r="BA44" s="161">
        <v>2796339</v>
      </c>
      <c r="BB44" s="161">
        <f t="shared" si="389"/>
        <v>7707844</v>
      </c>
      <c r="BC44" s="161">
        <f t="shared" si="390"/>
        <v>1156176.5999999999</v>
      </c>
      <c r="BD44" s="162"/>
      <c r="BE44" s="161">
        <f t="shared" si="391"/>
        <v>1156177</v>
      </c>
    </row>
    <row r="45" spans="1:119" ht="15" x14ac:dyDescent="0.3">
      <c r="AE45" s="151"/>
      <c r="BD45" s="163" t="s">
        <v>58</v>
      </c>
      <c r="BE45" s="164">
        <f>+SUM(BE39:BE44)</f>
        <v>11000000</v>
      </c>
    </row>
    <row r="46" spans="1:119" x14ac:dyDescent="0.25">
      <c r="AE46" s="151"/>
    </row>
    <row r="47" spans="1:119" x14ac:dyDescent="0.25">
      <c r="AE47" s="151"/>
    </row>
    <row r="48" spans="1:119" x14ac:dyDescent="0.25">
      <c r="AE48" s="151"/>
    </row>
  </sheetData>
  <mergeCells count="6">
    <mergeCell ref="K30:L30"/>
    <mergeCell ref="N30:P30"/>
    <mergeCell ref="R30:T30"/>
    <mergeCell ref="AY37:BE37"/>
    <mergeCell ref="BD39:BD44"/>
    <mergeCell ref="AS30:AZ30"/>
  </mergeCells>
  <phoneticPr fontId="0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46"/>
  <sheetViews>
    <sheetView showGridLines="0" topLeftCell="G10" workbookViewId="0">
      <selection activeCell="S26" sqref="S26"/>
    </sheetView>
  </sheetViews>
  <sheetFormatPr defaultColWidth="8" defaultRowHeight="12.75" x14ac:dyDescent="0.2"/>
  <cols>
    <col min="1" max="1" width="29" style="3" bestFit="1" customWidth="1"/>
    <col min="2" max="2" width="12" style="3" customWidth="1"/>
    <col min="3" max="4" width="9.7109375" style="3" customWidth="1"/>
    <col min="5" max="5" width="10.42578125" style="3" bestFit="1" customWidth="1"/>
    <col min="6" max="6" width="10.85546875" style="3" bestFit="1" customWidth="1"/>
    <col min="7" max="10" width="9.85546875" style="3" bestFit="1" customWidth="1"/>
    <col min="11" max="14" width="8.7109375" style="3" bestFit="1" customWidth="1"/>
    <col min="15" max="15" width="8.28515625" style="3" bestFit="1" customWidth="1"/>
    <col min="16" max="16" width="8.42578125" style="3" bestFit="1" customWidth="1"/>
    <col min="17" max="17" width="8.5703125" style="3" bestFit="1" customWidth="1"/>
    <col min="18" max="18" width="9.42578125" style="3" bestFit="1" customWidth="1"/>
    <col min="19" max="19" width="8.85546875" style="3" bestFit="1" customWidth="1"/>
    <col min="20" max="20" width="8.42578125" style="3" bestFit="1" customWidth="1"/>
    <col min="21" max="21" width="8.5703125" style="3" bestFit="1" customWidth="1"/>
    <col min="22" max="22" width="8.7109375" style="3" bestFit="1" customWidth="1"/>
    <col min="23" max="23" width="8.28515625" style="3" bestFit="1" customWidth="1"/>
    <col min="24" max="24" width="8.42578125" style="3" bestFit="1" customWidth="1"/>
    <col min="25" max="33" width="8.7109375" style="3" bestFit="1" customWidth="1"/>
    <col min="34" max="34" width="9.5703125" style="3" bestFit="1" customWidth="1"/>
    <col min="35" max="42" width="9.140625" style="3" customWidth="1"/>
    <col min="43" max="16384" width="8" style="3"/>
  </cols>
  <sheetData>
    <row r="1" spans="1:7" s="11" customFormat="1" ht="15" x14ac:dyDescent="0.25">
      <c r="A1" s="10" t="s">
        <v>0</v>
      </c>
      <c r="C1" s="10" t="str">
        <f>Disbursement!B1</f>
        <v>Green Housing Energy Ltd. (GHEL-15 SIPs)</v>
      </c>
      <c r="D1" s="10"/>
    </row>
    <row r="2" spans="1:7" s="11" customFormat="1" ht="15" x14ac:dyDescent="0.25">
      <c r="A2" s="10"/>
    </row>
    <row r="3" spans="1:7" s="12" customFormat="1" x14ac:dyDescent="0.2">
      <c r="A3" s="12" t="s">
        <v>4</v>
      </c>
      <c r="B3" s="3"/>
      <c r="C3" s="74">
        <v>42035</v>
      </c>
      <c r="D3" s="55"/>
    </row>
    <row r="5" spans="1:7" x14ac:dyDescent="0.2">
      <c r="A5" s="12" t="s">
        <v>2</v>
      </c>
      <c r="C5" s="75">
        <v>15099668</v>
      </c>
      <c r="D5" s="4"/>
      <c r="E5" s="12"/>
    </row>
    <row r="6" spans="1:7" x14ac:dyDescent="0.2">
      <c r="A6" s="12"/>
      <c r="C6" s="4"/>
      <c r="D6" s="4"/>
      <c r="E6" s="12"/>
    </row>
    <row r="7" spans="1:7" x14ac:dyDescent="0.2">
      <c r="A7" s="12" t="s">
        <v>61</v>
      </c>
      <c r="C7" s="74">
        <v>42050</v>
      </c>
      <c r="D7" s="55"/>
    </row>
    <row r="8" spans="1:7" x14ac:dyDescent="0.2">
      <c r="A8" s="12" t="s">
        <v>5</v>
      </c>
      <c r="C8" s="74">
        <f>Disbursement!B8</f>
        <v>42059</v>
      </c>
      <c r="D8" s="55"/>
      <c r="F8" s="55"/>
    </row>
    <row r="9" spans="1:7" x14ac:dyDescent="0.2">
      <c r="A9" s="12"/>
      <c r="C9" s="55"/>
      <c r="D9" s="55"/>
    </row>
    <row r="10" spans="1:7" x14ac:dyDescent="0.2">
      <c r="A10" s="12" t="s">
        <v>3</v>
      </c>
      <c r="C10" s="76">
        <v>0.06</v>
      </c>
      <c r="D10" s="130"/>
      <c r="F10" s="125"/>
    </row>
    <row r="11" spans="1:7" x14ac:dyDescent="0.2">
      <c r="A11" s="12" t="s">
        <v>49</v>
      </c>
      <c r="C11" s="78">
        <v>8</v>
      </c>
      <c r="D11" s="3" t="s">
        <v>59</v>
      </c>
    </row>
    <row r="12" spans="1:7" x14ac:dyDescent="0.2">
      <c r="A12" s="12" t="s">
        <v>24</v>
      </c>
      <c r="C12" s="55" t="s">
        <v>68</v>
      </c>
      <c r="D12" s="55"/>
    </row>
    <row r="13" spans="1:7" x14ac:dyDescent="0.2">
      <c r="A13" s="63" t="s">
        <v>50</v>
      </c>
      <c r="C13" s="77">
        <v>360</v>
      </c>
      <c r="D13" s="55" t="s">
        <v>51</v>
      </c>
    </row>
    <row r="14" spans="1:7" x14ac:dyDescent="0.2">
      <c r="A14" s="63" t="s">
        <v>52</v>
      </c>
      <c r="B14" s="55"/>
      <c r="C14" s="78">
        <v>29</v>
      </c>
      <c r="D14" s="77"/>
      <c r="F14" s="129">
        <f>EDATE(C8,3)</f>
        <v>42148</v>
      </c>
      <c r="G14" s="3" t="s">
        <v>65</v>
      </c>
    </row>
    <row r="15" spans="1:7" x14ac:dyDescent="0.2">
      <c r="A15" s="63" t="s">
        <v>64</v>
      </c>
      <c r="B15" s="55"/>
      <c r="C15" s="78">
        <v>270</v>
      </c>
      <c r="D15" s="55" t="s">
        <v>67</v>
      </c>
      <c r="E15" s="128"/>
    </row>
    <row r="16" spans="1:7" x14ac:dyDescent="0.2">
      <c r="A16" s="63" t="s">
        <v>66</v>
      </c>
      <c r="B16" s="55"/>
      <c r="C16" s="129">
        <f>EDATE(C8,9)</f>
        <v>42332</v>
      </c>
      <c r="D16" s="128"/>
      <c r="E16" s="55"/>
      <c r="F16" s="128"/>
    </row>
    <row r="17" spans="1:245" x14ac:dyDescent="0.2">
      <c r="A17" s="63"/>
      <c r="B17" s="60"/>
      <c r="C17" s="62"/>
      <c r="D17" s="62"/>
    </row>
    <row r="18" spans="1:245" x14ac:dyDescent="0.2">
      <c r="A18" s="63" t="s">
        <v>53</v>
      </c>
      <c r="B18" s="60"/>
      <c r="C18" s="62"/>
      <c r="D18" s="62"/>
    </row>
    <row r="19" spans="1:245" x14ac:dyDescent="0.2">
      <c r="A19" s="64"/>
      <c r="B19" s="65"/>
      <c r="C19" s="101">
        <f>Disbursement!B8</f>
        <v>42059</v>
      </c>
      <c r="D19" s="101">
        <f>Disbursement!B9</f>
        <v>42059</v>
      </c>
      <c r="E19" s="65">
        <f>Disbursement!B10</f>
        <v>42540</v>
      </c>
      <c r="F19" s="65"/>
    </row>
    <row r="20" spans="1:245" x14ac:dyDescent="0.2">
      <c r="A20" s="66"/>
      <c r="B20" s="67"/>
      <c r="C20" s="70">
        <f>Disbursement!C8</f>
        <v>8598240</v>
      </c>
      <c r="D20" s="70">
        <f>Disbursement!C9</f>
        <v>4601262</v>
      </c>
      <c r="E20" s="70">
        <f>Disbursement!C10</f>
        <v>1240166</v>
      </c>
      <c r="F20" s="70"/>
    </row>
    <row r="21" spans="1:245" x14ac:dyDescent="0.2">
      <c r="A21" s="68"/>
      <c r="B21" s="69"/>
      <c r="C21" s="72">
        <f>C20</f>
        <v>8598240</v>
      </c>
      <c r="D21" s="72">
        <f>C21+D20</f>
        <v>13199502</v>
      </c>
      <c r="E21" s="72">
        <f>D21+E20</f>
        <v>14439668</v>
      </c>
      <c r="F21" s="72"/>
    </row>
    <row r="22" spans="1:245" x14ac:dyDescent="0.2">
      <c r="A22" s="61"/>
      <c r="B22" s="60"/>
      <c r="C22" s="62"/>
      <c r="D22" s="62"/>
    </row>
    <row r="23" spans="1:245" x14ac:dyDescent="0.2">
      <c r="B23" s="127"/>
      <c r="C23" s="4"/>
      <c r="D23" s="4"/>
      <c r="E23" s="4"/>
      <c r="F23" s="4"/>
      <c r="G23" s="1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45" x14ac:dyDescent="0.2">
      <c r="A24" s="12" t="s">
        <v>47</v>
      </c>
      <c r="B24" s="136"/>
      <c r="C24" s="136"/>
      <c r="D24" s="136"/>
      <c r="E24" s="136"/>
      <c r="F24" s="8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5" x14ac:dyDescent="0.2">
      <c r="A25" s="14" t="s">
        <v>11</v>
      </c>
      <c r="B25" s="15"/>
      <c r="C25" s="15"/>
      <c r="D25" s="15"/>
      <c r="E25" s="15">
        <v>1</v>
      </c>
      <c r="F25" s="15">
        <v>2</v>
      </c>
      <c r="G25" s="15">
        <v>3</v>
      </c>
      <c r="H25" s="15">
        <v>4</v>
      </c>
      <c r="I25" s="15">
        <v>5</v>
      </c>
      <c r="J25" s="15">
        <v>6</v>
      </c>
      <c r="K25" s="15">
        <v>7</v>
      </c>
      <c r="L25" s="15">
        <v>8</v>
      </c>
      <c r="M25" s="15">
        <v>9</v>
      </c>
      <c r="N25" s="15">
        <v>10</v>
      </c>
      <c r="O25" s="15">
        <v>11</v>
      </c>
      <c r="P25" s="15">
        <v>12</v>
      </c>
      <c r="Q25" s="15">
        <v>13</v>
      </c>
      <c r="R25" s="15">
        <v>14</v>
      </c>
      <c r="S25" s="15">
        <v>15</v>
      </c>
      <c r="T25" s="15">
        <v>16</v>
      </c>
      <c r="U25" s="15">
        <v>17</v>
      </c>
      <c r="V25" s="15">
        <v>18</v>
      </c>
      <c r="W25" s="15">
        <v>19</v>
      </c>
      <c r="X25" s="15">
        <v>20</v>
      </c>
      <c r="Y25" s="15">
        <v>21</v>
      </c>
      <c r="Z25" s="15">
        <v>22</v>
      </c>
      <c r="AA25" s="15">
        <v>23</v>
      </c>
      <c r="AB25" s="15">
        <v>24</v>
      </c>
      <c r="AC25" s="15">
        <v>25</v>
      </c>
      <c r="AD25" s="15">
        <v>26</v>
      </c>
      <c r="AE25" s="15">
        <v>27</v>
      </c>
      <c r="AF25" s="15">
        <v>28</v>
      </c>
      <c r="AG25" s="15">
        <v>29</v>
      </c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245" x14ac:dyDescent="0.2">
      <c r="A26" s="88" t="s">
        <v>12</v>
      </c>
      <c r="B26" s="87">
        <v>42078</v>
      </c>
      <c r="C26" s="87">
        <v>42170</v>
      </c>
      <c r="D26" s="87">
        <v>42262</v>
      </c>
      <c r="E26" s="87">
        <v>42353</v>
      </c>
      <c r="F26" s="87">
        <v>42444</v>
      </c>
      <c r="G26" s="87">
        <v>42536</v>
      </c>
      <c r="H26" s="87">
        <v>42628</v>
      </c>
      <c r="I26" s="87">
        <v>42719</v>
      </c>
      <c r="J26" s="87">
        <v>42809</v>
      </c>
      <c r="K26" s="87">
        <v>42901</v>
      </c>
      <c r="L26" s="87">
        <v>42995</v>
      </c>
      <c r="M26" s="87">
        <v>43086</v>
      </c>
      <c r="N26" s="87">
        <v>43174</v>
      </c>
      <c r="O26" s="87">
        <v>43268</v>
      </c>
      <c r="P26" s="87">
        <v>43359</v>
      </c>
      <c r="Q26" s="87">
        <v>43451</v>
      </c>
      <c r="R26" s="87">
        <v>43542</v>
      </c>
      <c r="S26" s="87">
        <v>43632</v>
      </c>
      <c r="T26" s="87">
        <v>43723</v>
      </c>
      <c r="U26" s="87">
        <v>43814</v>
      </c>
      <c r="V26" s="87">
        <v>43905</v>
      </c>
      <c r="W26" s="87">
        <v>43997</v>
      </c>
      <c r="X26" s="87">
        <v>44089</v>
      </c>
      <c r="Y26" s="87">
        <v>44180</v>
      </c>
      <c r="Z26" s="87">
        <v>44270</v>
      </c>
      <c r="AA26" s="87">
        <v>44362</v>
      </c>
      <c r="AB26" s="87">
        <v>44454</v>
      </c>
      <c r="AC26" s="87">
        <v>44545</v>
      </c>
      <c r="AD26" s="87">
        <v>44635</v>
      </c>
      <c r="AE26" s="87">
        <v>44727</v>
      </c>
      <c r="AF26" s="87">
        <v>44819</v>
      </c>
      <c r="AG26" s="87">
        <v>44910</v>
      </c>
      <c r="AH26" s="87"/>
      <c r="AI26" s="87"/>
      <c r="AJ26" s="87"/>
      <c r="AK26" s="87"/>
      <c r="AL26" s="87"/>
      <c r="AM26" s="87"/>
      <c r="AN26" s="87"/>
      <c r="AO26" s="87"/>
      <c r="AP26" s="87"/>
    </row>
    <row r="27" spans="1:245" x14ac:dyDescent="0.2">
      <c r="A27" s="3" t="s">
        <v>6</v>
      </c>
      <c r="B27" s="9">
        <f>D21</f>
        <v>13199502</v>
      </c>
      <c r="C27" s="4">
        <f>B33</f>
        <v>13199502</v>
      </c>
      <c r="D27" s="4">
        <f>C33</f>
        <v>13199502</v>
      </c>
      <c r="E27" s="4">
        <f>D33</f>
        <v>13199502</v>
      </c>
      <c r="F27" s="4">
        <f>E33</f>
        <v>12744346.758620691</v>
      </c>
      <c r="G27" s="4">
        <f>F33</f>
        <v>12289191.517241381</v>
      </c>
      <c r="H27" s="4">
        <f>G33+E20</f>
        <v>13074202.275862072</v>
      </c>
      <c r="I27" s="4">
        <f t="shared" ref="I27" si="0">H33</f>
        <v>12571348.342175068</v>
      </c>
      <c r="J27" s="4">
        <f t="shared" ref="J27" si="1">I33</f>
        <v>12068494.408488065</v>
      </c>
      <c r="K27" s="4">
        <f t="shared" ref="K27" si="2">J33</f>
        <v>11565640.474801062</v>
      </c>
      <c r="L27" s="4">
        <f t="shared" ref="L27" si="3">K33</f>
        <v>11062786.541114058</v>
      </c>
      <c r="M27" s="4">
        <f t="shared" ref="M27" si="4">L33</f>
        <v>10559932.607427055</v>
      </c>
      <c r="N27" s="4">
        <f t="shared" ref="N27" si="5">M33</f>
        <v>10057078.673740052</v>
      </c>
      <c r="O27" s="4">
        <f t="shared" ref="O27" si="6">N33</f>
        <v>9554224.7400530484</v>
      </c>
      <c r="P27" s="4">
        <f t="shared" ref="P27" si="7">O33</f>
        <v>9051370.806366045</v>
      </c>
      <c r="Q27" s="4">
        <f t="shared" ref="Q27" si="8">P33</f>
        <v>8548516.8726790417</v>
      </c>
      <c r="R27" s="4">
        <f t="shared" ref="R27" si="9">Q33</f>
        <v>8045662.9389920393</v>
      </c>
      <c r="S27" s="4">
        <f t="shared" ref="S27" si="10">R33</f>
        <v>7542809.0053050369</v>
      </c>
      <c r="T27" s="4">
        <f t="shared" ref="T27" si="11">S33</f>
        <v>7039955.0716180345</v>
      </c>
      <c r="U27" s="4">
        <f t="shared" ref="U27" si="12">T33</f>
        <v>6537101.1379310321</v>
      </c>
      <c r="V27" s="4">
        <f t="shared" ref="V27" si="13">U33</f>
        <v>6034247.2042440297</v>
      </c>
      <c r="W27" s="4">
        <f t="shared" ref="W27" si="14">V33</f>
        <v>5531393.2705570273</v>
      </c>
      <c r="X27" s="4">
        <f t="shared" ref="X27" si="15">W33</f>
        <v>5028539.3368700249</v>
      </c>
      <c r="Y27" s="4">
        <f t="shared" ref="Y27" si="16">X33</f>
        <v>4525685.4031830225</v>
      </c>
      <c r="Z27" s="4">
        <f t="shared" ref="Z27" si="17">Y33</f>
        <v>4022831.4694960197</v>
      </c>
      <c r="AA27" s="4">
        <f t="shared" ref="AA27" si="18">Z33</f>
        <v>3519977.5358090168</v>
      </c>
      <c r="AB27" s="4">
        <f t="shared" ref="AB27" si="19">AA33</f>
        <v>3017123.6021220139</v>
      </c>
      <c r="AC27" s="4">
        <f t="shared" ref="AC27" si="20">AB33</f>
        <v>2514269.6684350111</v>
      </c>
      <c r="AD27" s="4">
        <f t="shared" ref="AD27" si="21">AC33</f>
        <v>2011415.7347480082</v>
      </c>
      <c r="AE27" s="4">
        <f t="shared" ref="AE27" si="22">AD33</f>
        <v>1508561.8010610053</v>
      </c>
      <c r="AF27" s="4">
        <f t="shared" ref="AF27" si="23">AE33</f>
        <v>1005707.8673740026</v>
      </c>
      <c r="AG27" s="4">
        <f t="shared" ref="AG27" si="24">AF33</f>
        <v>502853.93368699984</v>
      </c>
      <c r="AH27" s="4"/>
      <c r="AI27" s="4"/>
      <c r="AJ27" s="4"/>
      <c r="AK27" s="4"/>
      <c r="AL27" s="4"/>
      <c r="AM27" s="4"/>
      <c r="AN27" s="4"/>
      <c r="AO27" s="4"/>
      <c r="AP27" s="4"/>
    </row>
    <row r="28" spans="1:245" s="8" customFormat="1" x14ac:dyDescent="0.2">
      <c r="A28" s="8" t="s">
        <v>7</v>
      </c>
      <c r="B28" s="4">
        <v>0</v>
      </c>
      <c r="C28" s="4">
        <f>D21*$C$10*(C26-D19)/360</f>
        <v>244190.78699999998</v>
      </c>
      <c r="D28" s="4">
        <f>C33*$C$10*(D26-C26)/360</f>
        <v>202392.36400000003</v>
      </c>
      <c r="E28" s="4">
        <f t="shared" ref="E28:AE28" si="25">D33*$C$10*(E26-D26)/360</f>
        <v>200192.44700000001</v>
      </c>
      <c r="F28" s="4">
        <f>E33*$C$10*(F26-E26)/360</f>
        <v>193289.25917241379</v>
      </c>
      <c r="G28" s="4">
        <f>F33*$C$10*(G26-F26)/360</f>
        <v>188434.26993103451</v>
      </c>
      <c r="H28" s="4">
        <f>G33*(E19-G26)*$C$10/360+H27*(H26-E19)*$C$10/360</f>
        <v>199644.3242298851</v>
      </c>
      <c r="I28" s="4">
        <f t="shared" si="25"/>
        <v>190665.44985632185</v>
      </c>
      <c r="J28" s="4">
        <f t="shared" si="25"/>
        <v>181027.41612732096</v>
      </c>
      <c r="K28" s="4">
        <f t="shared" si="25"/>
        <v>177339.82061361626</v>
      </c>
      <c r="L28" s="4">
        <f t="shared" si="25"/>
        <v>173316.98914412025</v>
      </c>
      <c r="M28" s="4">
        <f t="shared" si="25"/>
        <v>160158.97787931035</v>
      </c>
      <c r="N28" s="4">
        <f t="shared" si="25"/>
        <v>147503.82054818742</v>
      </c>
      <c r="O28" s="4">
        <f t="shared" si="25"/>
        <v>149682.85426083108</v>
      </c>
      <c r="P28" s="4">
        <f t="shared" si="25"/>
        <v>137279.12389655167</v>
      </c>
      <c r="Q28" s="4">
        <f t="shared" si="25"/>
        <v>131077.25871441196</v>
      </c>
      <c r="R28" s="4">
        <f t="shared" si="25"/>
        <v>122025.88790804593</v>
      </c>
      <c r="S28" s="4">
        <f t="shared" si="25"/>
        <v>113142.13507957554</v>
      </c>
      <c r="T28" s="4">
        <f t="shared" si="25"/>
        <v>106772.65191954018</v>
      </c>
      <c r="U28" s="4">
        <f t="shared" si="25"/>
        <v>99146.033925287324</v>
      </c>
      <c r="V28" s="4">
        <f t="shared" si="25"/>
        <v>91519.41593103444</v>
      </c>
      <c r="W28" s="4">
        <f t="shared" si="25"/>
        <v>84814.696815207761</v>
      </c>
      <c r="X28" s="4">
        <f t="shared" si="25"/>
        <v>77104.269832007049</v>
      </c>
      <c r="Y28" s="4">
        <f t="shared" si="25"/>
        <v>68639.561948275834</v>
      </c>
      <c r="Z28" s="4">
        <f t="shared" si="25"/>
        <v>60342.472042440291</v>
      </c>
      <c r="AA28" s="4">
        <f t="shared" si="25"/>
        <v>53972.988882404927</v>
      </c>
      <c r="AB28" s="4">
        <f t="shared" si="25"/>
        <v>46262.561899204207</v>
      </c>
      <c r="AC28" s="4">
        <f t="shared" si="25"/>
        <v>38133.08997126433</v>
      </c>
      <c r="AD28" s="4">
        <f t="shared" si="25"/>
        <v>30171.23602122012</v>
      </c>
      <c r="AE28" s="4">
        <f t="shared" si="25"/>
        <v>23131.280949602082</v>
      </c>
      <c r="AF28" s="4">
        <f t="shared" ref="AF28:AG28" si="26">AE33*$C$10*(AF26-AE26)/360</f>
        <v>15420.853966401373</v>
      </c>
      <c r="AG28" s="4">
        <f t="shared" si="26"/>
        <v>7626.6179942528306</v>
      </c>
    </row>
    <row r="29" spans="1:245" x14ac:dyDescent="0.2">
      <c r="A29" s="3" t="s">
        <v>13</v>
      </c>
      <c r="B29" s="4">
        <f>B28</f>
        <v>0</v>
      </c>
      <c r="C29" s="4">
        <f>B29+C28</f>
        <v>244190.78699999998</v>
      </c>
      <c r="D29" s="4">
        <f t="shared" ref="D29:E29" si="27">C29+D28</f>
        <v>446583.15100000001</v>
      </c>
      <c r="E29" s="4">
        <f t="shared" si="27"/>
        <v>646775.598</v>
      </c>
      <c r="F29" s="4">
        <f>F28+E29</f>
        <v>840064.85717241373</v>
      </c>
      <c r="G29" s="4">
        <f t="shared" ref="G29:H29" si="28">G28+F29</f>
        <v>1028499.1271034483</v>
      </c>
      <c r="H29" s="4">
        <f t="shared" si="28"/>
        <v>1228143.4513333333</v>
      </c>
      <c r="I29" s="4">
        <f t="shared" ref="I29" si="29">I28+H29</f>
        <v>1418808.9011896551</v>
      </c>
      <c r="J29" s="4">
        <f t="shared" ref="J29" si="30">J28+I29</f>
        <v>1599836.3173169759</v>
      </c>
      <c r="K29" s="4">
        <f t="shared" ref="K29" si="31">K28+J29</f>
        <v>1777176.1379305921</v>
      </c>
      <c r="L29" s="4">
        <f t="shared" ref="L29" si="32">L28+K29</f>
        <v>1950493.1270747124</v>
      </c>
      <c r="M29" s="4">
        <f t="shared" ref="M29" si="33">M28+L29</f>
        <v>2110652.1049540229</v>
      </c>
      <c r="N29" s="4">
        <f t="shared" ref="N29" si="34">N28+M29</f>
        <v>2258155.9255022104</v>
      </c>
      <c r="O29" s="4">
        <f t="shared" ref="O29" si="35">O28+N29</f>
        <v>2407838.7797630415</v>
      </c>
      <c r="P29" s="4">
        <f t="shared" ref="P29" si="36">P28+O29</f>
        <v>2545117.9036595933</v>
      </c>
      <c r="Q29" s="4">
        <f t="shared" ref="Q29" si="37">Q28+P29</f>
        <v>2676195.1623740052</v>
      </c>
      <c r="R29" s="4">
        <f t="shared" ref="R29" si="38">R28+Q29</f>
        <v>2798221.0502820513</v>
      </c>
      <c r="S29" s="4">
        <f t="shared" ref="S29" si="39">S28+R29</f>
        <v>2911363.185361627</v>
      </c>
      <c r="T29" s="4">
        <f t="shared" ref="T29" si="40">T28+S29</f>
        <v>3018135.837281167</v>
      </c>
      <c r="U29" s="4">
        <f t="shared" ref="U29" si="41">U28+T29</f>
        <v>3117281.8712064545</v>
      </c>
      <c r="V29" s="4">
        <f t="shared" ref="V29" si="42">V28+U29</f>
        <v>3208801.2871374888</v>
      </c>
      <c r="W29" s="4">
        <f t="shared" ref="W29" si="43">W28+V29</f>
        <v>3293615.9839526964</v>
      </c>
      <c r="X29" s="4">
        <f t="shared" ref="X29" si="44">X28+W29</f>
        <v>3370720.2537847036</v>
      </c>
      <c r="Y29" s="4">
        <f t="shared" ref="Y29" si="45">Y28+X29</f>
        <v>3439359.8157329792</v>
      </c>
      <c r="Z29" s="4">
        <f t="shared" ref="Z29" si="46">Z28+Y29</f>
        <v>3499702.2877754197</v>
      </c>
      <c r="AA29" s="4">
        <f t="shared" ref="AA29" si="47">AA28+Z29</f>
        <v>3553675.2766578244</v>
      </c>
      <c r="AB29" s="4">
        <f t="shared" ref="AB29" si="48">AB28+AA29</f>
        <v>3599937.8385570287</v>
      </c>
      <c r="AC29" s="4">
        <f t="shared" ref="AC29" si="49">AC28+AB29</f>
        <v>3638070.928528293</v>
      </c>
      <c r="AD29" s="4">
        <f t="shared" ref="AD29" si="50">AD28+AC29</f>
        <v>3668242.1645495133</v>
      </c>
      <c r="AE29" s="4">
        <f t="shared" ref="AE29" si="51">AE28+AD29</f>
        <v>3691373.4454991152</v>
      </c>
      <c r="AF29" s="4">
        <f t="shared" ref="AF29" si="52">AF28+AE29</f>
        <v>3706794.2994655166</v>
      </c>
      <c r="AG29" s="4">
        <f t="shared" ref="AG29" si="53">AG28+AF29</f>
        <v>3714420.9174597696</v>
      </c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</row>
    <row r="30" spans="1:245" x14ac:dyDescent="0.2">
      <c r="A30" s="3" t="s">
        <v>8</v>
      </c>
      <c r="B30" s="4">
        <v>0</v>
      </c>
      <c r="C30" s="4">
        <v>0</v>
      </c>
      <c r="D30" s="4">
        <v>0</v>
      </c>
      <c r="E30" s="4">
        <f>$E$27/29</f>
        <v>455155.24137931032</v>
      </c>
      <c r="F30" s="4">
        <f t="shared" ref="F30" si="54">$E$27/29</f>
        <v>455155.24137931032</v>
      </c>
      <c r="G30" s="4">
        <f>$E$27/29</f>
        <v>455155.24137931032</v>
      </c>
      <c r="H30" s="4">
        <f>$H$27/26</f>
        <v>502853.93368700275</v>
      </c>
      <c r="I30" s="4">
        <f t="shared" ref="I30:AG30" si="55">$H$27/26</f>
        <v>502853.93368700275</v>
      </c>
      <c r="J30" s="4">
        <f t="shared" si="55"/>
        <v>502853.93368700275</v>
      </c>
      <c r="K30" s="4">
        <f t="shared" si="55"/>
        <v>502853.93368700275</v>
      </c>
      <c r="L30" s="4">
        <f t="shared" si="55"/>
        <v>502853.93368700275</v>
      </c>
      <c r="M30" s="4">
        <f t="shared" si="55"/>
        <v>502853.93368700275</v>
      </c>
      <c r="N30" s="4">
        <f t="shared" si="55"/>
        <v>502853.93368700275</v>
      </c>
      <c r="O30" s="4">
        <f t="shared" si="55"/>
        <v>502853.93368700275</v>
      </c>
      <c r="P30" s="4">
        <f t="shared" si="55"/>
        <v>502853.93368700275</v>
      </c>
      <c r="Q30" s="4">
        <f t="shared" si="55"/>
        <v>502853.93368700275</v>
      </c>
      <c r="R30" s="4">
        <f t="shared" si="55"/>
        <v>502853.93368700275</v>
      </c>
      <c r="S30" s="4">
        <f t="shared" si="55"/>
        <v>502853.93368700275</v>
      </c>
      <c r="T30" s="4">
        <f t="shared" si="55"/>
        <v>502853.93368700275</v>
      </c>
      <c r="U30" s="4">
        <f t="shared" si="55"/>
        <v>502853.93368700275</v>
      </c>
      <c r="V30" s="4">
        <f t="shared" si="55"/>
        <v>502853.93368700275</v>
      </c>
      <c r="W30" s="4">
        <f t="shared" si="55"/>
        <v>502853.93368700275</v>
      </c>
      <c r="X30" s="4">
        <f t="shared" si="55"/>
        <v>502853.93368700275</v>
      </c>
      <c r="Y30" s="4">
        <f t="shared" si="55"/>
        <v>502853.93368700275</v>
      </c>
      <c r="Z30" s="4">
        <f t="shared" si="55"/>
        <v>502853.93368700275</v>
      </c>
      <c r="AA30" s="4">
        <f t="shared" si="55"/>
        <v>502853.93368700275</v>
      </c>
      <c r="AB30" s="4">
        <f t="shared" si="55"/>
        <v>502853.93368700275</v>
      </c>
      <c r="AC30" s="4">
        <f t="shared" si="55"/>
        <v>502853.93368700275</v>
      </c>
      <c r="AD30" s="4">
        <f t="shared" si="55"/>
        <v>502853.93368700275</v>
      </c>
      <c r="AE30" s="4">
        <f t="shared" si="55"/>
        <v>502853.93368700275</v>
      </c>
      <c r="AF30" s="4">
        <f t="shared" si="55"/>
        <v>502853.93368700275</v>
      </c>
      <c r="AG30" s="4">
        <f t="shared" si="55"/>
        <v>502853.93368700275</v>
      </c>
      <c r="AH30" s="4"/>
      <c r="AI30" s="4"/>
      <c r="AJ30" s="4"/>
      <c r="AK30" s="4"/>
      <c r="AL30" s="4"/>
      <c r="AM30" s="4"/>
      <c r="AN30" s="4"/>
      <c r="AO30" s="4"/>
      <c r="AP30" s="4"/>
    </row>
    <row r="31" spans="1:245" x14ac:dyDescent="0.2">
      <c r="A31" s="3" t="s">
        <v>14</v>
      </c>
      <c r="B31" s="4">
        <f>B30</f>
        <v>0</v>
      </c>
      <c r="C31" s="4">
        <f>C30+B31</f>
        <v>0</v>
      </c>
      <c r="D31" s="4">
        <f t="shared" ref="D31:H31" si="56">D30+C31</f>
        <v>0</v>
      </c>
      <c r="E31" s="4">
        <f>E30+D31</f>
        <v>455155.24137931032</v>
      </c>
      <c r="F31" s="4">
        <f>F30+E31</f>
        <v>910310.48275862064</v>
      </c>
      <c r="G31" s="4">
        <f t="shared" si="56"/>
        <v>1365465.7241379309</v>
      </c>
      <c r="H31" s="4">
        <f t="shared" si="56"/>
        <v>1868319.6578249335</v>
      </c>
      <c r="I31" s="4">
        <f t="shared" ref="I31" si="57">I30+H31</f>
        <v>2371173.5915119364</v>
      </c>
      <c r="J31" s="4">
        <f t="shared" ref="J31" si="58">J30+I31</f>
        <v>2874027.5251989393</v>
      </c>
      <c r="K31" s="4">
        <f t="shared" ref="K31" si="59">K30+J31</f>
        <v>3376881.4588859421</v>
      </c>
      <c r="L31" s="4">
        <f t="shared" ref="L31" si="60">L30+K31</f>
        <v>3879735.392572945</v>
      </c>
      <c r="M31" s="4">
        <f t="shared" ref="M31" si="61">M30+L31</f>
        <v>4382589.3262599474</v>
      </c>
      <c r="N31" s="4">
        <f t="shared" ref="N31" si="62">N30+M31</f>
        <v>4885443.2599469498</v>
      </c>
      <c r="O31" s="4">
        <f t="shared" ref="O31" si="63">O30+N31</f>
        <v>5388297.1936339522</v>
      </c>
      <c r="P31" s="4">
        <f t="shared" ref="P31" si="64">P30+O31</f>
        <v>5891151.1273209546</v>
      </c>
      <c r="Q31" s="4">
        <f t="shared" ref="Q31" si="65">Q30+P31</f>
        <v>6394005.061007957</v>
      </c>
      <c r="R31" s="4">
        <f t="shared" ref="R31" si="66">R30+Q31</f>
        <v>6896858.9946949594</v>
      </c>
      <c r="S31" s="4">
        <f t="shared" ref="S31" si="67">S30+R31</f>
        <v>7399712.9283819618</v>
      </c>
      <c r="T31" s="4">
        <f t="shared" ref="T31" si="68">T30+S31</f>
        <v>7902566.8620689642</v>
      </c>
      <c r="U31" s="4">
        <f t="shared" ref="U31" si="69">U30+T31</f>
        <v>8405420.7957559675</v>
      </c>
      <c r="V31" s="4">
        <f t="shared" ref="V31" si="70">V30+U31</f>
        <v>8908274.7294429708</v>
      </c>
      <c r="W31" s="4">
        <f t="shared" ref="W31" si="71">W30+V31</f>
        <v>9411128.6631299742</v>
      </c>
      <c r="X31" s="4">
        <f t="shared" ref="X31" si="72">X30+W31</f>
        <v>9913982.5968169775</v>
      </c>
      <c r="Y31" s="4">
        <f t="shared" ref="Y31" si="73">Y30+X31</f>
        <v>10416836.530503981</v>
      </c>
      <c r="Z31" s="4">
        <f t="shared" ref="Z31" si="74">Z30+Y31</f>
        <v>10919690.464190984</v>
      </c>
      <c r="AA31" s="4">
        <f t="shared" ref="AA31" si="75">AA30+Z31</f>
        <v>11422544.397877987</v>
      </c>
      <c r="AB31" s="4">
        <f t="shared" ref="AB31" si="76">AB30+AA31</f>
        <v>11925398.331564991</v>
      </c>
      <c r="AC31" s="4">
        <f t="shared" ref="AC31" si="77">AC30+AB31</f>
        <v>12428252.265251994</v>
      </c>
      <c r="AD31" s="4">
        <f t="shared" ref="AD31" si="78">AD30+AC31</f>
        <v>12931106.198938997</v>
      </c>
      <c r="AE31" s="4">
        <f t="shared" ref="AE31" si="79">AE30+AD31</f>
        <v>13433960.132626001</v>
      </c>
      <c r="AF31" s="4">
        <f t="shared" ref="AF31" si="80">AF30+AE31</f>
        <v>13936814.066313004</v>
      </c>
      <c r="AG31" s="4">
        <f t="shared" ref="AG31" si="81">AG30+AF31</f>
        <v>14439668.000000007</v>
      </c>
      <c r="AH31" s="4"/>
      <c r="AI31" s="4"/>
      <c r="AJ31" s="4"/>
      <c r="AK31" s="4"/>
      <c r="AL31" s="4"/>
      <c r="AM31" s="4"/>
      <c r="AN31" s="4"/>
      <c r="AO31" s="4"/>
      <c r="AP31" s="4"/>
    </row>
    <row r="32" spans="1:245" x14ac:dyDescent="0.2">
      <c r="A32" s="3" t="s">
        <v>9</v>
      </c>
      <c r="B32" s="9">
        <f t="shared" ref="B32:H32" si="82">B30+B28</f>
        <v>0</v>
      </c>
      <c r="C32" s="4">
        <f t="shared" si="82"/>
        <v>244190.78699999998</v>
      </c>
      <c r="D32" s="4">
        <f t="shared" si="82"/>
        <v>202392.36400000003</v>
      </c>
      <c r="E32" s="16">
        <f>E30+E28</f>
        <v>655347.6883793103</v>
      </c>
      <c r="F32" s="16">
        <f>F30+F28</f>
        <v>648444.50055172411</v>
      </c>
      <c r="G32" s="16">
        <f t="shared" si="82"/>
        <v>643589.51131034479</v>
      </c>
      <c r="H32" s="16">
        <f t="shared" si="82"/>
        <v>702498.25791688787</v>
      </c>
      <c r="I32" s="16">
        <f t="shared" ref="I32:AD32" si="83">I30+I28</f>
        <v>693519.38354332466</v>
      </c>
      <c r="J32" s="16">
        <f t="shared" si="83"/>
        <v>683881.34981432371</v>
      </c>
      <c r="K32" s="16">
        <f t="shared" si="83"/>
        <v>680193.75430061901</v>
      </c>
      <c r="L32" s="16">
        <f t="shared" si="83"/>
        <v>676170.922831123</v>
      </c>
      <c r="M32" s="16">
        <f t="shared" si="83"/>
        <v>663012.91156631312</v>
      </c>
      <c r="N32" s="16">
        <f t="shared" si="83"/>
        <v>650357.75423519011</v>
      </c>
      <c r="O32" s="16">
        <f t="shared" si="83"/>
        <v>652536.78794783377</v>
      </c>
      <c r="P32" s="16">
        <f t="shared" si="83"/>
        <v>640133.05758355442</v>
      </c>
      <c r="Q32" s="16">
        <f t="shared" si="83"/>
        <v>633931.19240141474</v>
      </c>
      <c r="R32" s="16">
        <f t="shared" si="83"/>
        <v>624879.82159504865</v>
      </c>
      <c r="S32" s="16">
        <f t="shared" si="83"/>
        <v>615996.06876657833</v>
      </c>
      <c r="T32" s="16">
        <f t="shared" si="83"/>
        <v>609626.58560654288</v>
      </c>
      <c r="U32" s="16">
        <f t="shared" si="83"/>
        <v>601999.96761229006</v>
      </c>
      <c r="V32" s="16">
        <f t="shared" si="83"/>
        <v>594373.34961803723</v>
      </c>
      <c r="W32" s="16">
        <f t="shared" si="83"/>
        <v>587668.63050221046</v>
      </c>
      <c r="X32" s="16">
        <f t="shared" si="83"/>
        <v>579958.20351900975</v>
      </c>
      <c r="Y32" s="16">
        <f t="shared" si="83"/>
        <v>571493.49563527852</v>
      </c>
      <c r="Z32" s="16">
        <f t="shared" si="83"/>
        <v>563196.40572944307</v>
      </c>
      <c r="AA32" s="16">
        <f t="shared" si="83"/>
        <v>556826.92256940762</v>
      </c>
      <c r="AB32" s="16">
        <f t="shared" si="83"/>
        <v>549116.4955862069</v>
      </c>
      <c r="AC32" s="16">
        <f t="shared" si="83"/>
        <v>540987.02365826711</v>
      </c>
      <c r="AD32" s="16">
        <f t="shared" si="83"/>
        <v>533025.16970822285</v>
      </c>
      <c r="AE32" s="16">
        <f t="shared" ref="AE32:AG32" si="84">AE30+AE28</f>
        <v>525985.21463660488</v>
      </c>
      <c r="AF32" s="16">
        <f t="shared" si="84"/>
        <v>518274.78765340411</v>
      </c>
      <c r="AG32" s="16">
        <f t="shared" si="84"/>
        <v>510480.55168125557</v>
      </c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ht="13.5" thickBot="1" x14ac:dyDescent="0.25">
      <c r="A33" s="6" t="s">
        <v>10</v>
      </c>
      <c r="B33" s="17">
        <f t="shared" ref="B33:D33" si="85">B27-B30</f>
        <v>13199502</v>
      </c>
      <c r="C33" s="17">
        <f t="shared" si="85"/>
        <v>13199502</v>
      </c>
      <c r="D33" s="17">
        <f t="shared" si="85"/>
        <v>13199502</v>
      </c>
      <c r="E33" s="17">
        <f>E27-E30</f>
        <v>12744346.758620691</v>
      </c>
      <c r="F33" s="17">
        <f>F27-F30</f>
        <v>12289191.517241381</v>
      </c>
      <c r="G33" s="17">
        <f>G27-G30</f>
        <v>11834036.275862072</v>
      </c>
      <c r="H33" s="17">
        <f t="shared" ref="H33" si="86">H27-H30</f>
        <v>12571348.342175068</v>
      </c>
      <c r="I33" s="17">
        <f t="shared" ref="I33:AD33" si="87">I27-I30</f>
        <v>12068494.408488065</v>
      </c>
      <c r="J33" s="17">
        <f t="shared" si="87"/>
        <v>11565640.474801062</v>
      </c>
      <c r="K33" s="17">
        <f t="shared" si="87"/>
        <v>11062786.541114058</v>
      </c>
      <c r="L33" s="17">
        <f t="shared" si="87"/>
        <v>10559932.607427055</v>
      </c>
      <c r="M33" s="17">
        <f t="shared" si="87"/>
        <v>10057078.673740052</v>
      </c>
      <c r="N33" s="17">
        <f t="shared" si="87"/>
        <v>9554224.7400530484</v>
      </c>
      <c r="O33" s="17">
        <f t="shared" si="87"/>
        <v>9051370.806366045</v>
      </c>
      <c r="P33" s="17">
        <f t="shared" si="87"/>
        <v>8548516.8726790417</v>
      </c>
      <c r="Q33" s="17">
        <f t="shared" si="87"/>
        <v>8045662.9389920393</v>
      </c>
      <c r="R33" s="17">
        <f t="shared" si="87"/>
        <v>7542809.0053050369</v>
      </c>
      <c r="S33" s="17">
        <f t="shared" si="87"/>
        <v>7039955.0716180345</v>
      </c>
      <c r="T33" s="17">
        <f t="shared" si="87"/>
        <v>6537101.1379310321</v>
      </c>
      <c r="U33" s="17">
        <f t="shared" si="87"/>
        <v>6034247.2042440297</v>
      </c>
      <c r="V33" s="17">
        <f t="shared" si="87"/>
        <v>5531393.2705570273</v>
      </c>
      <c r="W33" s="17">
        <f t="shared" si="87"/>
        <v>5028539.3368700249</v>
      </c>
      <c r="X33" s="17">
        <f t="shared" si="87"/>
        <v>4525685.4031830225</v>
      </c>
      <c r="Y33" s="17">
        <f t="shared" si="87"/>
        <v>4022831.4694960197</v>
      </c>
      <c r="Z33" s="17">
        <f t="shared" si="87"/>
        <v>3519977.5358090168</v>
      </c>
      <c r="AA33" s="17">
        <f t="shared" si="87"/>
        <v>3017123.6021220139</v>
      </c>
      <c r="AB33" s="17">
        <f t="shared" si="87"/>
        <v>2514269.6684350111</v>
      </c>
      <c r="AC33" s="17">
        <f t="shared" si="87"/>
        <v>2011415.7347480082</v>
      </c>
      <c r="AD33" s="17">
        <f t="shared" si="87"/>
        <v>1508561.8010610053</v>
      </c>
      <c r="AE33" s="17">
        <f t="shared" ref="AE33:AG33" si="88">AE27-AE30</f>
        <v>1005707.8673740026</v>
      </c>
      <c r="AF33" s="17">
        <f t="shared" si="88"/>
        <v>502853.93368699984</v>
      </c>
      <c r="AG33" s="17">
        <f t="shared" si="88"/>
        <v>-2.9103830456733704E-9</v>
      </c>
      <c r="AH33" s="17"/>
      <c r="AI33" s="17"/>
      <c r="AJ33" s="17"/>
      <c r="AK33" s="17"/>
      <c r="AL33" s="17"/>
      <c r="AM33" s="17"/>
      <c r="AN33" s="17"/>
      <c r="AO33" s="17"/>
      <c r="AP33" s="17"/>
    </row>
    <row r="34" spans="1:42" x14ac:dyDescent="0.2">
      <c r="C34" s="5"/>
      <c r="D34" s="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42" x14ac:dyDescent="0.2">
      <c r="A35" s="12" t="s">
        <v>71</v>
      </c>
      <c r="B35" s="85"/>
      <c r="C35" s="5"/>
      <c r="D35" s="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42" x14ac:dyDescent="0.2">
      <c r="A36" s="88"/>
      <c r="B36" s="87">
        <f>B26</f>
        <v>42078</v>
      </c>
      <c r="C36" s="87">
        <f t="shared" ref="C36:AG36" si="89">C26</f>
        <v>42170</v>
      </c>
      <c r="D36" s="87">
        <f t="shared" si="89"/>
        <v>42262</v>
      </c>
      <c r="E36" s="87">
        <f t="shared" si="89"/>
        <v>42353</v>
      </c>
      <c r="F36" s="87">
        <f t="shared" si="89"/>
        <v>42444</v>
      </c>
      <c r="G36" s="87">
        <f t="shared" si="89"/>
        <v>42536</v>
      </c>
      <c r="H36" s="87">
        <f t="shared" si="89"/>
        <v>42628</v>
      </c>
      <c r="I36" s="87">
        <f t="shared" si="89"/>
        <v>42719</v>
      </c>
      <c r="J36" s="87">
        <f t="shared" si="89"/>
        <v>42809</v>
      </c>
      <c r="K36" s="87">
        <f t="shared" si="89"/>
        <v>42901</v>
      </c>
      <c r="L36" s="87">
        <f t="shared" si="89"/>
        <v>42995</v>
      </c>
      <c r="M36" s="87">
        <f t="shared" si="89"/>
        <v>43086</v>
      </c>
      <c r="N36" s="87">
        <f t="shared" si="89"/>
        <v>43174</v>
      </c>
      <c r="O36" s="87">
        <f t="shared" si="89"/>
        <v>43268</v>
      </c>
      <c r="P36" s="87">
        <f t="shared" si="89"/>
        <v>43359</v>
      </c>
      <c r="Q36" s="87">
        <f t="shared" si="89"/>
        <v>43451</v>
      </c>
      <c r="R36" s="87">
        <f t="shared" si="89"/>
        <v>43542</v>
      </c>
      <c r="S36" s="87">
        <f t="shared" si="89"/>
        <v>43632</v>
      </c>
      <c r="T36" s="87">
        <f t="shared" si="89"/>
        <v>43723</v>
      </c>
      <c r="U36" s="87">
        <f t="shared" si="89"/>
        <v>43814</v>
      </c>
      <c r="V36" s="87">
        <f t="shared" si="89"/>
        <v>43905</v>
      </c>
      <c r="W36" s="87">
        <f t="shared" si="89"/>
        <v>43997</v>
      </c>
      <c r="X36" s="87">
        <f t="shared" si="89"/>
        <v>44089</v>
      </c>
      <c r="Y36" s="87">
        <f t="shared" si="89"/>
        <v>44180</v>
      </c>
      <c r="Z36" s="87">
        <f t="shared" si="89"/>
        <v>44270</v>
      </c>
      <c r="AA36" s="87">
        <f t="shared" si="89"/>
        <v>44362</v>
      </c>
      <c r="AB36" s="87">
        <f t="shared" si="89"/>
        <v>44454</v>
      </c>
      <c r="AC36" s="87">
        <f t="shared" si="89"/>
        <v>44545</v>
      </c>
      <c r="AD36" s="87">
        <f t="shared" si="89"/>
        <v>44635</v>
      </c>
      <c r="AE36" s="87">
        <f t="shared" si="89"/>
        <v>44727</v>
      </c>
      <c r="AF36" s="87">
        <f t="shared" si="89"/>
        <v>44819</v>
      </c>
      <c r="AG36" s="87">
        <f t="shared" si="89"/>
        <v>44910</v>
      </c>
      <c r="AH36" s="87"/>
      <c r="AI36" s="87"/>
      <c r="AJ36" s="87"/>
      <c r="AK36" s="87"/>
      <c r="AL36" s="87"/>
      <c r="AM36" s="87"/>
      <c r="AN36" s="87"/>
      <c r="AO36" s="87"/>
      <c r="AP36" s="87"/>
    </row>
    <row r="37" spans="1:42" x14ac:dyDescent="0.2">
      <c r="B37" s="9"/>
      <c r="C37" s="4">
        <f>AVERAGE(C32)</f>
        <v>244190.78699999998</v>
      </c>
      <c r="D37" s="4">
        <f>AVERAGE($C$32:D32)</f>
        <v>223291.57550000001</v>
      </c>
      <c r="E37" s="4">
        <f>AVERAGE($C$32:E32)</f>
        <v>367310.27979310346</v>
      </c>
      <c r="F37" s="4">
        <f>AVERAGE($C$32:F32)</f>
        <v>437593.83498275862</v>
      </c>
      <c r="G37" s="4">
        <f>AVERAGE($C$32:G32)</f>
        <v>478792.97024827579</v>
      </c>
      <c r="H37" s="4">
        <f>AVERAGE($C$32:H32)</f>
        <v>516077.18485971115</v>
      </c>
      <c r="I37" s="4">
        <f>AVERAGE($C$32:I32)</f>
        <v>541426.07038594165</v>
      </c>
      <c r="J37" s="4">
        <f>AVERAGE($C$32:J32)</f>
        <v>559232.98031448945</v>
      </c>
      <c r="K37" s="4">
        <f>AVERAGE($C$32:K32)</f>
        <v>572673.06631294824</v>
      </c>
      <c r="L37" s="4">
        <f>AVERAGE($C$32:L32)</f>
        <v>583022.85196476569</v>
      </c>
      <c r="M37" s="4">
        <f>AVERAGE($C$32:M32)</f>
        <v>590294.67556490644</v>
      </c>
      <c r="N37" s="4">
        <f>AVERAGE($C$32:N32)</f>
        <v>595299.93212076335</v>
      </c>
      <c r="O37" s="4">
        <f>AVERAGE($C$32:O32)</f>
        <v>599702.76718438417</v>
      </c>
      <c r="P37" s="4">
        <f>AVERAGE($C$32:P32)</f>
        <v>602590.64507003909</v>
      </c>
      <c r="Q37" s="4">
        <f>AVERAGE($C$32:Q32)</f>
        <v>604680.01489213086</v>
      </c>
      <c r="R37" s="4">
        <f>AVERAGE($C$32:R32)</f>
        <v>605942.5028110632</v>
      </c>
      <c r="S37" s="4">
        <f>AVERAGE($C$32:S32)</f>
        <v>606533.88904374058</v>
      </c>
      <c r="T37" s="4">
        <f>AVERAGE($C$32:T32)</f>
        <v>606705.70551945188</v>
      </c>
      <c r="U37" s="4">
        <f>AVERAGE($C$32:U32)</f>
        <v>606458.03510328545</v>
      </c>
      <c r="V37" s="4">
        <f>AVERAGE($C$32:V32)</f>
        <v>605853.80082902312</v>
      </c>
      <c r="W37" s="4">
        <f>AVERAGE($C$32:W32)</f>
        <v>604987.84033727017</v>
      </c>
      <c r="X37" s="4">
        <f>AVERAGE($C$32:X32)</f>
        <v>603850.12957280374</v>
      </c>
      <c r="Y37" s="4">
        <f>AVERAGE($C$32:Y32)</f>
        <v>602443.31940160703</v>
      </c>
      <c r="Z37" s="4">
        <f>AVERAGE($C$32:Z32)</f>
        <v>600808.03133193345</v>
      </c>
      <c r="AA37" s="4">
        <f>AVERAGE($C$32:AA32)</f>
        <v>599048.78698143247</v>
      </c>
      <c r="AB37" s="4">
        <f>AVERAGE($C$32:AB32)</f>
        <v>597128.31423546223</v>
      </c>
      <c r="AC37" s="4">
        <f>AVERAGE($C$32:AC32)</f>
        <v>595049.00717704755</v>
      </c>
      <c r="AD37" s="4">
        <f>AVERAGE($C$32:AD32)</f>
        <v>592833.87012458954</v>
      </c>
      <c r="AE37" s="4">
        <f>AVERAGE($C$32:AE32)</f>
        <v>590528.74407327967</v>
      </c>
      <c r="AF37" s="4">
        <f>AVERAGE($C$32:AF32)</f>
        <v>588120.27885928389</v>
      </c>
      <c r="AG37" s="4">
        <f>AVERAGE($C$32:AG32)</f>
        <v>585615.77153096034</v>
      </c>
    </row>
    <row r="38" spans="1:42" x14ac:dyDescent="0.2">
      <c r="B38" s="4"/>
      <c r="C38" s="5"/>
      <c r="D38" s="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42" x14ac:dyDescent="0.2">
      <c r="B39" s="126"/>
      <c r="C39" s="5"/>
      <c r="D39" s="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42" x14ac:dyDescent="0.2">
      <c r="G40" s="8"/>
    </row>
    <row r="42" spans="1:42" x14ac:dyDescent="0.2">
      <c r="B42" s="9"/>
    </row>
    <row r="43" spans="1:42" x14ac:dyDescent="0.2">
      <c r="B43" s="9"/>
    </row>
    <row r="44" spans="1:42" x14ac:dyDescent="0.2">
      <c r="A44" s="12"/>
      <c r="B44" s="134"/>
    </row>
    <row r="46" spans="1:42" x14ac:dyDescent="0.2">
      <c r="A46" s="12"/>
      <c r="B46" s="134"/>
    </row>
  </sheetData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4 B34 E34:U34 F27 H33 C21 G29:H29 G32:H32 C30 G31:H31 B32:C32 B30 C27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showGridLines="0" topLeftCell="D9" workbookViewId="0">
      <selection activeCell="R25" sqref="R25"/>
    </sheetView>
  </sheetViews>
  <sheetFormatPr defaultColWidth="9.5703125" defaultRowHeight="13.5" x14ac:dyDescent="0.25"/>
  <cols>
    <col min="1" max="1" width="29" style="23" bestFit="1" customWidth="1"/>
    <col min="2" max="2" width="13.42578125" style="23" customWidth="1"/>
    <col min="3" max="3" width="12" style="23" customWidth="1"/>
    <col min="4" max="4" width="10.85546875" style="23" customWidth="1"/>
    <col min="5" max="5" width="11.28515625" style="23" bestFit="1" customWidth="1"/>
    <col min="6" max="6" width="11.42578125" style="23" customWidth="1"/>
    <col min="7" max="7" width="11" style="23" customWidth="1"/>
    <col min="8" max="12" width="11" style="23" bestFit="1" customWidth="1"/>
    <col min="13" max="30" width="10.85546875" style="23" bestFit="1" customWidth="1"/>
    <col min="31" max="31" width="9.85546875" style="23" bestFit="1" customWidth="1"/>
    <col min="32" max="58" width="10.85546875" style="23" bestFit="1" customWidth="1"/>
    <col min="59" max="60" width="10.140625" style="23" bestFit="1" customWidth="1"/>
    <col min="61" max="74" width="9.5703125" style="23" bestFit="1" customWidth="1"/>
    <col min="75" max="96" width="9.85546875" style="23" bestFit="1" customWidth="1"/>
    <col min="97" max="217" width="9.5703125" style="23" bestFit="1" customWidth="1"/>
    <col min="218" max="16384" width="9.5703125" style="23"/>
  </cols>
  <sheetData>
    <row r="1" spans="1:74" s="19" customFormat="1" ht="16.5" x14ac:dyDescent="0.3">
      <c r="A1" s="18" t="s">
        <v>0</v>
      </c>
      <c r="B1" s="10" t="str">
        <f>GHEL_Loan!C1</f>
        <v>Green Housing Energy Ltd. (GHEL-15 SIPs)</v>
      </c>
    </row>
    <row r="3" spans="1:74" s="21" customFormat="1" ht="18.75" x14ac:dyDescent="0.3">
      <c r="A3" s="20" t="s">
        <v>1</v>
      </c>
    </row>
    <row r="4" spans="1:74" s="19" customFormat="1" ht="16.5" x14ac:dyDescent="0.3">
      <c r="A4" s="18"/>
    </row>
    <row r="5" spans="1:74" s="22" customFormat="1" ht="15" x14ac:dyDescent="0.3">
      <c r="A5" s="22" t="s">
        <v>4</v>
      </c>
      <c r="B5" s="74">
        <f>GHEL_Loan!C3</f>
        <v>42035</v>
      </c>
    </row>
    <row r="6" spans="1:74" x14ac:dyDescent="0.25">
      <c r="B6" s="55"/>
    </row>
    <row r="7" spans="1:74" ht="15" x14ac:dyDescent="0.3">
      <c r="A7" s="22" t="s">
        <v>2</v>
      </c>
      <c r="B7" s="79">
        <f>GHEL_Loan!C5</f>
        <v>15099668</v>
      </c>
      <c r="C7" s="22" t="s">
        <v>48</v>
      </c>
    </row>
    <row r="8" spans="1:74" ht="15" x14ac:dyDescent="0.3">
      <c r="A8" s="22"/>
      <c r="B8" s="55"/>
    </row>
    <row r="9" spans="1:74" ht="15" x14ac:dyDescent="0.3">
      <c r="A9" s="22" t="s">
        <v>5</v>
      </c>
      <c r="B9" s="74">
        <f>GHEL_Loan!C8</f>
        <v>42059</v>
      </c>
    </row>
    <row r="10" spans="1:74" ht="15" x14ac:dyDescent="0.3">
      <c r="A10" s="22"/>
      <c r="B10" s="55"/>
    </row>
    <row r="11" spans="1:74" ht="15" x14ac:dyDescent="0.3">
      <c r="A11" s="22" t="s">
        <v>3</v>
      </c>
      <c r="B11" s="80">
        <f>GHEL_Loan!C10</f>
        <v>0.06</v>
      </c>
    </row>
    <row r="12" spans="1:74" ht="15" x14ac:dyDescent="0.3">
      <c r="A12" s="22" t="s">
        <v>49</v>
      </c>
      <c r="B12" s="79">
        <f>GHEL_Loan!C11</f>
        <v>8</v>
      </c>
      <c r="C12" s="23" t="s">
        <v>59</v>
      </c>
    </row>
    <row r="13" spans="1:74" ht="15" x14ac:dyDescent="0.3">
      <c r="A13" s="22" t="s">
        <v>50</v>
      </c>
      <c r="B13" s="54">
        <v>360</v>
      </c>
      <c r="C13" s="23" t="s">
        <v>54</v>
      </c>
    </row>
    <row r="14" spans="1:74" ht="15" x14ac:dyDescent="0.3">
      <c r="A14" s="22" t="s">
        <v>24</v>
      </c>
      <c r="B14" s="55" t="str">
        <f>GHEL_Loan!C12</f>
        <v>Level Principal</v>
      </c>
    </row>
    <row r="15" spans="1:74" ht="15" x14ac:dyDescent="0.3">
      <c r="A15" s="22"/>
      <c r="B15" s="13"/>
    </row>
    <row r="16" spans="1:74" s="56" customFormat="1" x14ac:dyDescent="0.25">
      <c r="A16" s="63" t="s">
        <v>53</v>
      </c>
      <c r="B16" s="60"/>
      <c r="C16" s="62"/>
      <c r="D16" s="3"/>
      <c r="E16" s="3"/>
      <c r="F16" s="3"/>
      <c r="G16" s="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</row>
    <row r="17" spans="1:16384" x14ac:dyDescent="0.25">
      <c r="A17" s="64"/>
      <c r="B17" s="65">
        <f>GHEL_Loan!C19</f>
        <v>42059</v>
      </c>
      <c r="C17" s="65">
        <f>GHEL_Loan!D19</f>
        <v>42059</v>
      </c>
      <c r="D17" s="65">
        <f>GHEL_Loan!E19</f>
        <v>42540</v>
      </c>
      <c r="E17" s="65"/>
      <c r="F17" s="65"/>
      <c r="G17" s="65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</row>
    <row r="18" spans="1:16384" x14ac:dyDescent="0.25">
      <c r="A18" s="66"/>
      <c r="B18" s="70">
        <f>GHEL_Loan!C20</f>
        <v>8598240</v>
      </c>
      <c r="C18" s="70">
        <f>GHEL_Loan!D20</f>
        <v>4601262</v>
      </c>
      <c r="D18" s="70">
        <f>GHEL_Loan!E20</f>
        <v>1240166</v>
      </c>
      <c r="E18" s="70"/>
      <c r="F18" s="71"/>
      <c r="G18" s="71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31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31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</row>
    <row r="19" spans="1:16384" s="56" customFormat="1" ht="13.5" customHeight="1" x14ac:dyDescent="0.25">
      <c r="A19" s="68"/>
      <c r="B19" s="72">
        <f>B18</f>
        <v>8598240</v>
      </c>
      <c r="C19" s="72">
        <f>C18+B19</f>
        <v>13199502</v>
      </c>
      <c r="D19" s="72">
        <f>D18+C19</f>
        <v>14439668</v>
      </c>
      <c r="E19" s="72"/>
      <c r="F19" s="73"/>
      <c r="G19" s="73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</row>
    <row r="20" spans="1:16384" s="56" customFormat="1" ht="13.5" customHeight="1" x14ac:dyDescent="0.3">
      <c r="A20" s="22"/>
      <c r="B20" s="25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31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4"/>
      <c r="BH20" s="24"/>
      <c r="BI20" s="31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</row>
    <row r="21" spans="1:16384" s="56" customFormat="1" x14ac:dyDescent="0.25">
      <c r="A21" s="23"/>
      <c r="B21" s="26"/>
      <c r="C21" s="26"/>
      <c r="D21" s="26"/>
      <c r="E21" s="27"/>
      <c r="F21" s="28"/>
      <c r="G21" s="28"/>
      <c r="H21" s="28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</row>
    <row r="22" spans="1:16384" s="56" customFormat="1" ht="15" x14ac:dyDescent="0.3">
      <c r="A22" s="22" t="s">
        <v>15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</row>
    <row r="23" spans="1:16384" s="56" customFormat="1" ht="15" x14ac:dyDescent="0.3">
      <c r="A23" s="29" t="s">
        <v>16</v>
      </c>
      <c r="B23" s="30">
        <v>42064</v>
      </c>
      <c r="C23" s="30">
        <f>EDATE(B23,1)</f>
        <v>42095</v>
      </c>
      <c r="D23" s="30">
        <f t="shared" ref="D23:BO23" si="0">EDATE(C23,1)</f>
        <v>42125</v>
      </c>
      <c r="E23" s="30">
        <f t="shared" si="0"/>
        <v>42156</v>
      </c>
      <c r="F23" s="30">
        <f t="shared" si="0"/>
        <v>42186</v>
      </c>
      <c r="G23" s="30">
        <f t="shared" si="0"/>
        <v>42217</v>
      </c>
      <c r="H23" s="30">
        <f t="shared" si="0"/>
        <v>42248</v>
      </c>
      <c r="I23" s="30">
        <f t="shared" si="0"/>
        <v>42278</v>
      </c>
      <c r="J23" s="30">
        <f t="shared" si="0"/>
        <v>42309</v>
      </c>
      <c r="K23" s="30">
        <f t="shared" si="0"/>
        <v>42339</v>
      </c>
      <c r="L23" s="30">
        <f t="shared" si="0"/>
        <v>42370</v>
      </c>
      <c r="M23" s="30">
        <f t="shared" si="0"/>
        <v>42401</v>
      </c>
      <c r="N23" s="30">
        <f t="shared" si="0"/>
        <v>42430</v>
      </c>
      <c r="O23" s="30">
        <f t="shared" si="0"/>
        <v>42461</v>
      </c>
      <c r="P23" s="30">
        <f t="shared" si="0"/>
        <v>42491</v>
      </c>
      <c r="Q23" s="30">
        <f t="shared" si="0"/>
        <v>42522</v>
      </c>
      <c r="R23" s="30">
        <f t="shared" si="0"/>
        <v>42552</v>
      </c>
      <c r="S23" s="30">
        <f t="shared" si="0"/>
        <v>42583</v>
      </c>
      <c r="T23" s="30">
        <f t="shared" si="0"/>
        <v>42614</v>
      </c>
      <c r="U23" s="30">
        <f t="shared" si="0"/>
        <v>42644</v>
      </c>
      <c r="V23" s="30">
        <f t="shared" si="0"/>
        <v>42675</v>
      </c>
      <c r="W23" s="30">
        <f t="shared" si="0"/>
        <v>42705</v>
      </c>
      <c r="X23" s="30">
        <f t="shared" si="0"/>
        <v>42736</v>
      </c>
      <c r="Y23" s="30">
        <f t="shared" si="0"/>
        <v>42767</v>
      </c>
      <c r="Z23" s="30">
        <f t="shared" si="0"/>
        <v>42795</v>
      </c>
      <c r="AA23" s="30">
        <f t="shared" si="0"/>
        <v>42826</v>
      </c>
      <c r="AB23" s="30">
        <f t="shared" si="0"/>
        <v>42856</v>
      </c>
      <c r="AC23" s="30">
        <f t="shared" si="0"/>
        <v>42887</v>
      </c>
      <c r="AD23" s="30">
        <f t="shared" si="0"/>
        <v>42917</v>
      </c>
      <c r="AE23" s="30">
        <f t="shared" si="0"/>
        <v>42948</v>
      </c>
      <c r="AF23" s="30">
        <f t="shared" si="0"/>
        <v>42979</v>
      </c>
      <c r="AG23" s="30">
        <f t="shared" si="0"/>
        <v>43009</v>
      </c>
      <c r="AH23" s="30">
        <f t="shared" si="0"/>
        <v>43040</v>
      </c>
      <c r="AI23" s="30">
        <f t="shared" si="0"/>
        <v>43070</v>
      </c>
      <c r="AJ23" s="30">
        <f t="shared" si="0"/>
        <v>43101</v>
      </c>
      <c r="AK23" s="30">
        <f t="shared" si="0"/>
        <v>43132</v>
      </c>
      <c r="AL23" s="30">
        <f t="shared" si="0"/>
        <v>43160</v>
      </c>
      <c r="AM23" s="30">
        <f t="shared" si="0"/>
        <v>43191</v>
      </c>
      <c r="AN23" s="30">
        <f t="shared" si="0"/>
        <v>43221</v>
      </c>
      <c r="AO23" s="30">
        <f t="shared" si="0"/>
        <v>43252</v>
      </c>
      <c r="AP23" s="30">
        <f t="shared" si="0"/>
        <v>43282</v>
      </c>
      <c r="AQ23" s="30">
        <f t="shared" si="0"/>
        <v>43313</v>
      </c>
      <c r="AR23" s="30">
        <f t="shared" si="0"/>
        <v>43344</v>
      </c>
      <c r="AS23" s="30">
        <f t="shared" si="0"/>
        <v>43374</v>
      </c>
      <c r="AT23" s="30">
        <f t="shared" si="0"/>
        <v>43405</v>
      </c>
      <c r="AU23" s="30">
        <f t="shared" si="0"/>
        <v>43435</v>
      </c>
      <c r="AV23" s="30">
        <f t="shared" si="0"/>
        <v>43466</v>
      </c>
      <c r="AW23" s="30">
        <f t="shared" si="0"/>
        <v>43497</v>
      </c>
      <c r="AX23" s="30">
        <f t="shared" si="0"/>
        <v>43525</v>
      </c>
      <c r="AY23" s="30">
        <f t="shared" si="0"/>
        <v>43556</v>
      </c>
      <c r="AZ23" s="30">
        <f t="shared" si="0"/>
        <v>43586</v>
      </c>
      <c r="BA23" s="30">
        <f t="shared" si="0"/>
        <v>43617</v>
      </c>
      <c r="BB23" s="30">
        <f t="shared" si="0"/>
        <v>43647</v>
      </c>
      <c r="BC23" s="30">
        <f t="shared" si="0"/>
        <v>43678</v>
      </c>
      <c r="BD23" s="30">
        <f t="shared" si="0"/>
        <v>43709</v>
      </c>
      <c r="BE23" s="30">
        <f t="shared" si="0"/>
        <v>43739</v>
      </c>
      <c r="BF23" s="30">
        <f t="shared" si="0"/>
        <v>43770</v>
      </c>
      <c r="BG23" s="30">
        <f t="shared" si="0"/>
        <v>43800</v>
      </c>
      <c r="BH23" s="30">
        <f t="shared" si="0"/>
        <v>43831</v>
      </c>
      <c r="BI23" s="30">
        <f t="shared" si="0"/>
        <v>43862</v>
      </c>
      <c r="BJ23" s="30">
        <f t="shared" si="0"/>
        <v>43891</v>
      </c>
      <c r="BK23" s="30">
        <f t="shared" si="0"/>
        <v>43922</v>
      </c>
      <c r="BL23" s="30">
        <f t="shared" si="0"/>
        <v>43952</v>
      </c>
      <c r="BM23" s="30">
        <f t="shared" si="0"/>
        <v>43983</v>
      </c>
      <c r="BN23" s="30">
        <f t="shared" si="0"/>
        <v>44013</v>
      </c>
      <c r="BO23" s="30">
        <f t="shared" si="0"/>
        <v>44044</v>
      </c>
      <c r="BP23" s="30">
        <f t="shared" ref="BP23:EA23" si="1">EDATE(BO23,1)</f>
        <v>44075</v>
      </c>
      <c r="BQ23" s="30">
        <f t="shared" si="1"/>
        <v>44105</v>
      </c>
      <c r="BR23" s="30">
        <f t="shared" si="1"/>
        <v>44136</v>
      </c>
      <c r="BS23" s="30">
        <f t="shared" si="1"/>
        <v>44166</v>
      </c>
      <c r="BT23" s="30">
        <f t="shared" si="1"/>
        <v>44197</v>
      </c>
      <c r="BU23" s="30">
        <f t="shared" si="1"/>
        <v>44228</v>
      </c>
      <c r="BV23" s="30">
        <f t="shared" si="1"/>
        <v>44256</v>
      </c>
      <c r="BW23" s="30">
        <f t="shared" si="1"/>
        <v>44287</v>
      </c>
      <c r="BX23" s="30">
        <f t="shared" si="1"/>
        <v>44317</v>
      </c>
      <c r="BY23" s="30">
        <f t="shared" si="1"/>
        <v>44348</v>
      </c>
      <c r="BZ23" s="30">
        <f t="shared" si="1"/>
        <v>44378</v>
      </c>
      <c r="CA23" s="30">
        <f t="shared" si="1"/>
        <v>44409</v>
      </c>
      <c r="CB23" s="30">
        <f t="shared" si="1"/>
        <v>44440</v>
      </c>
      <c r="CC23" s="30">
        <f t="shared" si="1"/>
        <v>44470</v>
      </c>
      <c r="CD23" s="30">
        <f t="shared" si="1"/>
        <v>44501</v>
      </c>
      <c r="CE23" s="30">
        <f t="shared" si="1"/>
        <v>44531</v>
      </c>
      <c r="CF23" s="30">
        <f t="shared" si="1"/>
        <v>44562</v>
      </c>
      <c r="CG23" s="30">
        <f t="shared" si="1"/>
        <v>44593</v>
      </c>
      <c r="CH23" s="30">
        <f t="shared" si="1"/>
        <v>44621</v>
      </c>
      <c r="CI23" s="30">
        <f t="shared" si="1"/>
        <v>44652</v>
      </c>
      <c r="CJ23" s="30">
        <f t="shared" si="1"/>
        <v>44682</v>
      </c>
      <c r="CK23" s="30">
        <f t="shared" si="1"/>
        <v>44713</v>
      </c>
      <c r="CL23" s="30">
        <f t="shared" si="1"/>
        <v>44743</v>
      </c>
      <c r="CM23" s="30">
        <f t="shared" si="1"/>
        <v>44774</v>
      </c>
      <c r="CN23" s="30">
        <f t="shared" si="1"/>
        <v>44805</v>
      </c>
      <c r="CO23" s="30">
        <f t="shared" si="1"/>
        <v>44835</v>
      </c>
      <c r="CP23" s="30">
        <f t="shared" si="1"/>
        <v>44866</v>
      </c>
      <c r="CQ23" s="30">
        <f t="shared" si="1"/>
        <v>44896</v>
      </c>
      <c r="CR23" s="30">
        <f t="shared" si="1"/>
        <v>44927</v>
      </c>
      <c r="CS23" s="30">
        <f t="shared" si="1"/>
        <v>44958</v>
      </c>
      <c r="CT23" s="30">
        <f t="shared" si="1"/>
        <v>44986</v>
      </c>
      <c r="CU23" s="30">
        <f t="shared" si="1"/>
        <v>45017</v>
      </c>
      <c r="CV23" s="30">
        <f t="shared" si="1"/>
        <v>45047</v>
      </c>
      <c r="CW23" s="30">
        <f t="shared" si="1"/>
        <v>45078</v>
      </c>
      <c r="CX23" s="30">
        <f t="shared" si="1"/>
        <v>45108</v>
      </c>
      <c r="CY23" s="30">
        <f t="shared" si="1"/>
        <v>45139</v>
      </c>
      <c r="CZ23" s="30">
        <f t="shared" si="1"/>
        <v>45170</v>
      </c>
      <c r="DA23" s="30">
        <f t="shared" si="1"/>
        <v>45200</v>
      </c>
      <c r="DB23" s="30">
        <f t="shared" si="1"/>
        <v>45231</v>
      </c>
      <c r="DC23" s="30">
        <f t="shared" si="1"/>
        <v>45261</v>
      </c>
      <c r="DD23" s="30">
        <f t="shared" si="1"/>
        <v>45292</v>
      </c>
      <c r="DE23" s="30">
        <f t="shared" si="1"/>
        <v>45323</v>
      </c>
      <c r="DF23" s="30">
        <f t="shared" si="1"/>
        <v>45352</v>
      </c>
      <c r="DG23" s="30">
        <f t="shared" si="1"/>
        <v>45383</v>
      </c>
      <c r="DH23" s="30">
        <f t="shared" si="1"/>
        <v>45413</v>
      </c>
      <c r="DI23" s="30">
        <f t="shared" si="1"/>
        <v>45444</v>
      </c>
      <c r="DJ23" s="30">
        <f t="shared" si="1"/>
        <v>45474</v>
      </c>
      <c r="DK23" s="30">
        <f t="shared" si="1"/>
        <v>45505</v>
      </c>
      <c r="DL23" s="30">
        <f t="shared" si="1"/>
        <v>45536</v>
      </c>
      <c r="DM23" s="30">
        <f t="shared" si="1"/>
        <v>45566</v>
      </c>
      <c r="DN23" s="30">
        <f t="shared" si="1"/>
        <v>45597</v>
      </c>
      <c r="DO23" s="30">
        <f t="shared" si="1"/>
        <v>45627</v>
      </c>
      <c r="DP23" s="30">
        <f t="shared" si="1"/>
        <v>45658</v>
      </c>
      <c r="DQ23" s="30">
        <f t="shared" si="1"/>
        <v>45689</v>
      </c>
      <c r="DR23" s="30">
        <f t="shared" si="1"/>
        <v>45717</v>
      </c>
      <c r="DS23" s="30">
        <f t="shared" si="1"/>
        <v>45748</v>
      </c>
      <c r="DT23" s="30">
        <f t="shared" si="1"/>
        <v>45778</v>
      </c>
      <c r="DU23" s="30">
        <f t="shared" si="1"/>
        <v>45809</v>
      </c>
      <c r="DV23" s="30">
        <f t="shared" si="1"/>
        <v>45839</v>
      </c>
      <c r="DW23" s="30">
        <f t="shared" si="1"/>
        <v>45870</v>
      </c>
      <c r="DX23" s="30">
        <f t="shared" si="1"/>
        <v>45901</v>
      </c>
      <c r="DY23" s="30">
        <f t="shared" si="1"/>
        <v>45931</v>
      </c>
      <c r="DZ23" s="30">
        <f t="shared" si="1"/>
        <v>45962</v>
      </c>
      <c r="EA23" s="30">
        <f t="shared" si="1"/>
        <v>45992</v>
      </c>
      <c r="EB23" s="30">
        <f t="shared" ref="EB23:GM23" si="2">EDATE(EA23,1)</f>
        <v>46023</v>
      </c>
      <c r="EC23" s="30">
        <f t="shared" si="2"/>
        <v>46054</v>
      </c>
      <c r="ED23" s="30">
        <f t="shared" si="2"/>
        <v>46082</v>
      </c>
      <c r="EE23" s="30">
        <f t="shared" si="2"/>
        <v>46113</v>
      </c>
      <c r="EF23" s="30">
        <f t="shared" si="2"/>
        <v>46143</v>
      </c>
      <c r="EG23" s="30">
        <f t="shared" si="2"/>
        <v>46174</v>
      </c>
      <c r="EH23" s="30">
        <f t="shared" si="2"/>
        <v>46204</v>
      </c>
      <c r="EI23" s="30">
        <f t="shared" si="2"/>
        <v>46235</v>
      </c>
      <c r="EJ23" s="30">
        <f t="shared" si="2"/>
        <v>46266</v>
      </c>
      <c r="EK23" s="30">
        <f t="shared" si="2"/>
        <v>46296</v>
      </c>
      <c r="EL23" s="30">
        <f t="shared" si="2"/>
        <v>46327</v>
      </c>
      <c r="EM23" s="30">
        <f t="shared" si="2"/>
        <v>46357</v>
      </c>
      <c r="EN23" s="30">
        <f t="shared" si="2"/>
        <v>46388</v>
      </c>
      <c r="EO23" s="30">
        <f t="shared" si="2"/>
        <v>46419</v>
      </c>
      <c r="EP23" s="30">
        <f t="shared" si="2"/>
        <v>46447</v>
      </c>
      <c r="EQ23" s="30">
        <f t="shared" si="2"/>
        <v>46478</v>
      </c>
      <c r="ER23" s="30">
        <f t="shared" si="2"/>
        <v>46508</v>
      </c>
      <c r="ES23" s="30">
        <f t="shared" si="2"/>
        <v>46539</v>
      </c>
      <c r="ET23" s="30">
        <f t="shared" si="2"/>
        <v>46569</v>
      </c>
      <c r="EU23" s="30">
        <f t="shared" si="2"/>
        <v>46600</v>
      </c>
      <c r="EV23" s="30">
        <f t="shared" si="2"/>
        <v>46631</v>
      </c>
      <c r="EW23" s="30">
        <f t="shared" si="2"/>
        <v>46661</v>
      </c>
      <c r="EX23" s="30">
        <f t="shared" si="2"/>
        <v>46692</v>
      </c>
      <c r="EY23" s="30">
        <f t="shared" si="2"/>
        <v>46722</v>
      </c>
      <c r="EZ23" s="30">
        <f t="shared" si="2"/>
        <v>46753</v>
      </c>
      <c r="FA23" s="30">
        <f t="shared" si="2"/>
        <v>46784</v>
      </c>
      <c r="FB23" s="30">
        <f t="shared" si="2"/>
        <v>46813</v>
      </c>
      <c r="FC23" s="30">
        <f t="shared" si="2"/>
        <v>46844</v>
      </c>
      <c r="FD23" s="30">
        <f t="shared" si="2"/>
        <v>46874</v>
      </c>
      <c r="FE23" s="30">
        <f t="shared" si="2"/>
        <v>46905</v>
      </c>
      <c r="FF23" s="30">
        <f t="shared" si="2"/>
        <v>46935</v>
      </c>
      <c r="FG23" s="30">
        <f t="shared" si="2"/>
        <v>46966</v>
      </c>
      <c r="FH23" s="30">
        <f t="shared" si="2"/>
        <v>46997</v>
      </c>
      <c r="FI23" s="30">
        <f t="shared" si="2"/>
        <v>47027</v>
      </c>
      <c r="FJ23" s="30">
        <f t="shared" si="2"/>
        <v>47058</v>
      </c>
      <c r="FK23" s="30">
        <f t="shared" si="2"/>
        <v>47088</v>
      </c>
      <c r="FL23" s="30">
        <f t="shared" si="2"/>
        <v>47119</v>
      </c>
      <c r="FM23" s="30">
        <f t="shared" si="2"/>
        <v>47150</v>
      </c>
      <c r="FN23" s="30">
        <f t="shared" si="2"/>
        <v>47178</v>
      </c>
      <c r="FO23" s="30">
        <f t="shared" si="2"/>
        <v>47209</v>
      </c>
      <c r="FP23" s="30">
        <f t="shared" si="2"/>
        <v>47239</v>
      </c>
      <c r="FQ23" s="30">
        <f t="shared" si="2"/>
        <v>47270</v>
      </c>
      <c r="FR23" s="30">
        <f t="shared" si="2"/>
        <v>47300</v>
      </c>
      <c r="FS23" s="30">
        <f t="shared" si="2"/>
        <v>47331</v>
      </c>
      <c r="FT23" s="30">
        <f t="shared" si="2"/>
        <v>47362</v>
      </c>
      <c r="FU23" s="30">
        <f t="shared" si="2"/>
        <v>47392</v>
      </c>
      <c r="FV23" s="30">
        <f t="shared" si="2"/>
        <v>47423</v>
      </c>
      <c r="FW23" s="30">
        <f t="shared" si="2"/>
        <v>47453</v>
      </c>
      <c r="FX23" s="30">
        <f t="shared" si="2"/>
        <v>47484</v>
      </c>
      <c r="FY23" s="30">
        <f t="shared" si="2"/>
        <v>47515</v>
      </c>
      <c r="FZ23" s="30">
        <f t="shared" si="2"/>
        <v>47543</v>
      </c>
      <c r="GA23" s="30">
        <f t="shared" si="2"/>
        <v>47574</v>
      </c>
      <c r="GB23" s="30">
        <f t="shared" si="2"/>
        <v>47604</v>
      </c>
      <c r="GC23" s="30">
        <f t="shared" si="2"/>
        <v>47635</v>
      </c>
      <c r="GD23" s="30">
        <f t="shared" si="2"/>
        <v>47665</v>
      </c>
      <c r="GE23" s="30">
        <f t="shared" si="2"/>
        <v>47696</v>
      </c>
      <c r="GF23" s="30">
        <f t="shared" si="2"/>
        <v>47727</v>
      </c>
      <c r="GG23" s="30">
        <f t="shared" si="2"/>
        <v>47757</v>
      </c>
      <c r="GH23" s="30">
        <f t="shared" si="2"/>
        <v>47788</v>
      </c>
      <c r="GI23" s="30">
        <f t="shared" si="2"/>
        <v>47818</v>
      </c>
      <c r="GJ23" s="30">
        <f t="shared" si="2"/>
        <v>47849</v>
      </c>
      <c r="GK23" s="30">
        <f t="shared" si="2"/>
        <v>47880</v>
      </c>
      <c r="GL23" s="30">
        <f t="shared" si="2"/>
        <v>47908</v>
      </c>
      <c r="GM23" s="30">
        <f t="shared" si="2"/>
        <v>47939</v>
      </c>
      <c r="GN23" s="30">
        <f t="shared" ref="GN23:IY23" si="3">EDATE(GM23,1)</f>
        <v>47969</v>
      </c>
      <c r="GO23" s="30">
        <f t="shared" si="3"/>
        <v>48000</v>
      </c>
      <c r="GP23" s="30">
        <f t="shared" si="3"/>
        <v>48030</v>
      </c>
      <c r="GQ23" s="30">
        <f t="shared" si="3"/>
        <v>48061</v>
      </c>
      <c r="GR23" s="30">
        <f t="shared" si="3"/>
        <v>48092</v>
      </c>
      <c r="GS23" s="30">
        <f t="shared" si="3"/>
        <v>48122</v>
      </c>
      <c r="GT23" s="30">
        <f t="shared" si="3"/>
        <v>48153</v>
      </c>
      <c r="GU23" s="30">
        <f t="shared" si="3"/>
        <v>48183</v>
      </c>
      <c r="GV23" s="30">
        <f t="shared" si="3"/>
        <v>48214</v>
      </c>
      <c r="GW23" s="30">
        <f t="shared" si="3"/>
        <v>48245</v>
      </c>
      <c r="GX23" s="30">
        <f t="shared" si="3"/>
        <v>48274</v>
      </c>
      <c r="GY23" s="30">
        <f t="shared" si="3"/>
        <v>48305</v>
      </c>
      <c r="GZ23" s="30">
        <f t="shared" si="3"/>
        <v>48335</v>
      </c>
      <c r="HA23" s="30">
        <f t="shared" si="3"/>
        <v>48366</v>
      </c>
      <c r="HB23" s="30">
        <f t="shared" si="3"/>
        <v>48396</v>
      </c>
      <c r="HC23" s="30">
        <f t="shared" si="3"/>
        <v>48427</v>
      </c>
      <c r="HD23" s="30">
        <f t="shared" si="3"/>
        <v>48458</v>
      </c>
      <c r="HE23" s="30">
        <f t="shared" si="3"/>
        <v>48488</v>
      </c>
      <c r="HF23" s="30">
        <f t="shared" si="3"/>
        <v>48519</v>
      </c>
      <c r="HG23" s="30">
        <f t="shared" si="3"/>
        <v>48549</v>
      </c>
      <c r="HH23" s="30">
        <f t="shared" si="3"/>
        <v>48580</v>
      </c>
      <c r="HI23" s="30">
        <f t="shared" si="3"/>
        <v>48611</v>
      </c>
      <c r="HJ23" s="30">
        <f t="shared" si="3"/>
        <v>48639</v>
      </c>
      <c r="HK23" s="30">
        <f t="shared" si="3"/>
        <v>48670</v>
      </c>
      <c r="HL23" s="30">
        <f t="shared" si="3"/>
        <v>48700</v>
      </c>
      <c r="HM23" s="30">
        <f t="shared" si="3"/>
        <v>48731</v>
      </c>
      <c r="HN23" s="30">
        <f t="shared" si="3"/>
        <v>48761</v>
      </c>
      <c r="HO23" s="30">
        <f t="shared" si="3"/>
        <v>48792</v>
      </c>
      <c r="HP23" s="30">
        <f t="shared" si="3"/>
        <v>48823</v>
      </c>
      <c r="HQ23" s="30">
        <f t="shared" si="3"/>
        <v>48853</v>
      </c>
      <c r="HR23" s="30">
        <f t="shared" si="3"/>
        <v>48884</v>
      </c>
      <c r="HS23" s="30">
        <f t="shared" si="3"/>
        <v>48914</v>
      </c>
      <c r="HT23" s="30">
        <f t="shared" si="3"/>
        <v>48945</v>
      </c>
      <c r="HU23" s="30">
        <f t="shared" si="3"/>
        <v>48976</v>
      </c>
      <c r="HV23" s="30">
        <f t="shared" si="3"/>
        <v>49004</v>
      </c>
      <c r="HW23" s="30">
        <f t="shared" si="3"/>
        <v>49035</v>
      </c>
      <c r="HX23" s="30">
        <f t="shared" si="3"/>
        <v>49065</v>
      </c>
      <c r="HY23" s="30">
        <f t="shared" si="3"/>
        <v>49096</v>
      </c>
      <c r="HZ23" s="30">
        <f t="shared" si="3"/>
        <v>49126</v>
      </c>
      <c r="IA23" s="30">
        <f t="shared" si="3"/>
        <v>49157</v>
      </c>
      <c r="IB23" s="30">
        <f t="shared" si="3"/>
        <v>49188</v>
      </c>
      <c r="IC23" s="30">
        <f t="shared" si="3"/>
        <v>49218</v>
      </c>
      <c r="ID23" s="30">
        <f t="shared" si="3"/>
        <v>49249</v>
      </c>
      <c r="IE23" s="30">
        <f t="shared" si="3"/>
        <v>49279</v>
      </c>
      <c r="IF23" s="30">
        <f t="shared" si="3"/>
        <v>49310</v>
      </c>
      <c r="IG23" s="30">
        <f t="shared" si="3"/>
        <v>49341</v>
      </c>
      <c r="IH23" s="30">
        <f t="shared" si="3"/>
        <v>49369</v>
      </c>
      <c r="II23" s="30">
        <f t="shared" si="3"/>
        <v>49400</v>
      </c>
      <c r="IJ23" s="30">
        <f t="shared" si="3"/>
        <v>49430</v>
      </c>
      <c r="IK23" s="30">
        <f t="shared" si="3"/>
        <v>49461</v>
      </c>
      <c r="IL23" s="30">
        <f t="shared" si="3"/>
        <v>49491</v>
      </c>
      <c r="IM23" s="30">
        <f t="shared" si="3"/>
        <v>49522</v>
      </c>
      <c r="IN23" s="30">
        <f t="shared" si="3"/>
        <v>49553</v>
      </c>
      <c r="IO23" s="30">
        <f t="shared" si="3"/>
        <v>49583</v>
      </c>
      <c r="IP23" s="30">
        <f t="shared" si="3"/>
        <v>49614</v>
      </c>
      <c r="IQ23" s="30">
        <f t="shared" si="3"/>
        <v>49644</v>
      </c>
      <c r="IR23" s="30">
        <f t="shared" si="3"/>
        <v>49675</v>
      </c>
      <c r="IS23" s="30">
        <f t="shared" si="3"/>
        <v>49706</v>
      </c>
      <c r="IT23" s="30">
        <f t="shared" si="3"/>
        <v>49735</v>
      </c>
      <c r="IU23" s="30">
        <f t="shared" si="3"/>
        <v>49766</v>
      </c>
      <c r="IV23" s="30">
        <f t="shared" si="3"/>
        <v>49796</v>
      </c>
      <c r="IW23" s="30">
        <f t="shared" si="3"/>
        <v>49827</v>
      </c>
      <c r="IX23" s="30">
        <f t="shared" si="3"/>
        <v>49857</v>
      </c>
      <c r="IY23" s="30">
        <f t="shared" si="3"/>
        <v>49888</v>
      </c>
      <c r="IZ23" s="30">
        <f t="shared" ref="IZ23:LK23" si="4">EDATE(IY23,1)</f>
        <v>49919</v>
      </c>
      <c r="JA23" s="30">
        <f t="shared" si="4"/>
        <v>49949</v>
      </c>
      <c r="JB23" s="30">
        <f t="shared" si="4"/>
        <v>49980</v>
      </c>
      <c r="JC23" s="30">
        <f t="shared" si="4"/>
        <v>50010</v>
      </c>
      <c r="JD23" s="30">
        <f t="shared" si="4"/>
        <v>50041</v>
      </c>
      <c r="JE23" s="30">
        <f t="shared" si="4"/>
        <v>50072</v>
      </c>
      <c r="JF23" s="30">
        <f t="shared" si="4"/>
        <v>50100</v>
      </c>
      <c r="JG23" s="30">
        <f t="shared" si="4"/>
        <v>50131</v>
      </c>
      <c r="JH23" s="30">
        <f t="shared" si="4"/>
        <v>50161</v>
      </c>
      <c r="JI23" s="30">
        <f t="shared" si="4"/>
        <v>50192</v>
      </c>
      <c r="JJ23" s="30">
        <f t="shared" si="4"/>
        <v>50222</v>
      </c>
      <c r="JK23" s="30">
        <f t="shared" si="4"/>
        <v>50253</v>
      </c>
      <c r="JL23" s="30">
        <f t="shared" si="4"/>
        <v>50284</v>
      </c>
      <c r="JM23" s="30">
        <f t="shared" si="4"/>
        <v>50314</v>
      </c>
      <c r="JN23" s="30">
        <f t="shared" si="4"/>
        <v>50345</v>
      </c>
      <c r="JO23" s="30">
        <f t="shared" si="4"/>
        <v>50375</v>
      </c>
      <c r="JP23" s="30">
        <f t="shared" si="4"/>
        <v>50406</v>
      </c>
      <c r="JQ23" s="30">
        <f t="shared" si="4"/>
        <v>50437</v>
      </c>
      <c r="JR23" s="30">
        <f t="shared" si="4"/>
        <v>50465</v>
      </c>
      <c r="JS23" s="30">
        <f t="shared" si="4"/>
        <v>50496</v>
      </c>
      <c r="JT23" s="30">
        <f t="shared" si="4"/>
        <v>50526</v>
      </c>
      <c r="JU23" s="30">
        <f t="shared" si="4"/>
        <v>50557</v>
      </c>
      <c r="JV23" s="30">
        <f t="shared" si="4"/>
        <v>50587</v>
      </c>
      <c r="JW23" s="30">
        <f t="shared" si="4"/>
        <v>50618</v>
      </c>
      <c r="JX23" s="30">
        <f t="shared" si="4"/>
        <v>50649</v>
      </c>
      <c r="JY23" s="30">
        <f t="shared" si="4"/>
        <v>50679</v>
      </c>
      <c r="JZ23" s="30">
        <f t="shared" si="4"/>
        <v>50710</v>
      </c>
      <c r="KA23" s="30">
        <f t="shared" si="4"/>
        <v>50740</v>
      </c>
      <c r="KB23" s="30">
        <f t="shared" si="4"/>
        <v>50771</v>
      </c>
      <c r="KC23" s="30">
        <f t="shared" si="4"/>
        <v>50802</v>
      </c>
      <c r="KD23" s="30">
        <f t="shared" si="4"/>
        <v>50830</v>
      </c>
      <c r="KE23" s="30">
        <f t="shared" si="4"/>
        <v>50861</v>
      </c>
      <c r="KF23" s="30">
        <f t="shared" si="4"/>
        <v>50891</v>
      </c>
      <c r="KG23" s="30">
        <f t="shared" si="4"/>
        <v>50922</v>
      </c>
      <c r="KH23" s="30">
        <f t="shared" si="4"/>
        <v>50952</v>
      </c>
      <c r="KI23" s="30">
        <f t="shared" si="4"/>
        <v>50983</v>
      </c>
      <c r="KJ23" s="30">
        <f t="shared" si="4"/>
        <v>51014</v>
      </c>
      <c r="KK23" s="30">
        <f t="shared" si="4"/>
        <v>51044</v>
      </c>
      <c r="KL23" s="30">
        <f t="shared" si="4"/>
        <v>51075</v>
      </c>
      <c r="KM23" s="30">
        <f t="shared" si="4"/>
        <v>51105</v>
      </c>
      <c r="KN23" s="30">
        <f t="shared" si="4"/>
        <v>51136</v>
      </c>
      <c r="KO23" s="30">
        <f t="shared" si="4"/>
        <v>51167</v>
      </c>
      <c r="KP23" s="30">
        <f t="shared" si="4"/>
        <v>51196</v>
      </c>
      <c r="KQ23" s="30">
        <f t="shared" si="4"/>
        <v>51227</v>
      </c>
      <c r="KR23" s="30">
        <f t="shared" si="4"/>
        <v>51257</v>
      </c>
      <c r="KS23" s="30">
        <f t="shared" si="4"/>
        <v>51288</v>
      </c>
      <c r="KT23" s="30">
        <f t="shared" si="4"/>
        <v>51318</v>
      </c>
      <c r="KU23" s="30">
        <f t="shared" si="4"/>
        <v>51349</v>
      </c>
      <c r="KV23" s="30">
        <f t="shared" si="4"/>
        <v>51380</v>
      </c>
      <c r="KW23" s="30">
        <f t="shared" si="4"/>
        <v>51410</v>
      </c>
      <c r="KX23" s="30">
        <f t="shared" si="4"/>
        <v>51441</v>
      </c>
      <c r="KY23" s="30">
        <f t="shared" si="4"/>
        <v>51471</v>
      </c>
      <c r="KZ23" s="30">
        <f t="shared" si="4"/>
        <v>51502</v>
      </c>
      <c r="LA23" s="30">
        <f t="shared" si="4"/>
        <v>51533</v>
      </c>
      <c r="LB23" s="30">
        <f t="shared" si="4"/>
        <v>51561</v>
      </c>
      <c r="LC23" s="30">
        <f t="shared" si="4"/>
        <v>51592</v>
      </c>
      <c r="LD23" s="30">
        <f t="shared" si="4"/>
        <v>51622</v>
      </c>
      <c r="LE23" s="30">
        <f t="shared" si="4"/>
        <v>51653</v>
      </c>
      <c r="LF23" s="30">
        <f t="shared" si="4"/>
        <v>51683</v>
      </c>
      <c r="LG23" s="30">
        <f t="shared" si="4"/>
        <v>51714</v>
      </c>
      <c r="LH23" s="30">
        <f t="shared" si="4"/>
        <v>51745</v>
      </c>
      <c r="LI23" s="30">
        <f t="shared" si="4"/>
        <v>51775</v>
      </c>
      <c r="LJ23" s="30">
        <f t="shared" si="4"/>
        <v>51806</v>
      </c>
      <c r="LK23" s="30">
        <f t="shared" si="4"/>
        <v>51836</v>
      </c>
      <c r="LL23" s="30">
        <f t="shared" ref="LL23:NW23" si="5">EDATE(LK23,1)</f>
        <v>51867</v>
      </c>
      <c r="LM23" s="30">
        <f t="shared" si="5"/>
        <v>51898</v>
      </c>
      <c r="LN23" s="30">
        <f t="shared" si="5"/>
        <v>51926</v>
      </c>
      <c r="LO23" s="30">
        <f t="shared" si="5"/>
        <v>51957</v>
      </c>
      <c r="LP23" s="30">
        <f t="shared" si="5"/>
        <v>51987</v>
      </c>
      <c r="LQ23" s="30">
        <f t="shared" si="5"/>
        <v>52018</v>
      </c>
      <c r="LR23" s="30">
        <f t="shared" si="5"/>
        <v>52048</v>
      </c>
      <c r="LS23" s="30">
        <f t="shared" si="5"/>
        <v>52079</v>
      </c>
      <c r="LT23" s="30">
        <f t="shared" si="5"/>
        <v>52110</v>
      </c>
      <c r="LU23" s="30">
        <f t="shared" si="5"/>
        <v>52140</v>
      </c>
      <c r="LV23" s="30">
        <f t="shared" si="5"/>
        <v>52171</v>
      </c>
      <c r="LW23" s="30">
        <f t="shared" si="5"/>
        <v>52201</v>
      </c>
      <c r="LX23" s="30">
        <f t="shared" si="5"/>
        <v>52232</v>
      </c>
      <c r="LY23" s="30">
        <f t="shared" si="5"/>
        <v>52263</v>
      </c>
      <c r="LZ23" s="30">
        <f t="shared" si="5"/>
        <v>52291</v>
      </c>
      <c r="MA23" s="30">
        <f t="shared" si="5"/>
        <v>52322</v>
      </c>
      <c r="MB23" s="30">
        <f t="shared" si="5"/>
        <v>52352</v>
      </c>
      <c r="MC23" s="30">
        <f t="shared" si="5"/>
        <v>52383</v>
      </c>
      <c r="MD23" s="30">
        <f t="shared" si="5"/>
        <v>52413</v>
      </c>
      <c r="ME23" s="30">
        <f t="shared" si="5"/>
        <v>52444</v>
      </c>
      <c r="MF23" s="30">
        <f t="shared" si="5"/>
        <v>52475</v>
      </c>
      <c r="MG23" s="30">
        <f t="shared" si="5"/>
        <v>52505</v>
      </c>
      <c r="MH23" s="30">
        <f t="shared" si="5"/>
        <v>52536</v>
      </c>
      <c r="MI23" s="30">
        <f t="shared" si="5"/>
        <v>52566</v>
      </c>
      <c r="MJ23" s="30">
        <f t="shared" si="5"/>
        <v>52597</v>
      </c>
      <c r="MK23" s="30">
        <f t="shared" si="5"/>
        <v>52628</v>
      </c>
      <c r="ML23" s="30">
        <f t="shared" si="5"/>
        <v>52657</v>
      </c>
      <c r="MM23" s="30">
        <f t="shared" si="5"/>
        <v>52688</v>
      </c>
      <c r="MN23" s="30">
        <f t="shared" si="5"/>
        <v>52718</v>
      </c>
      <c r="MO23" s="30">
        <f t="shared" si="5"/>
        <v>52749</v>
      </c>
      <c r="MP23" s="30">
        <f t="shared" si="5"/>
        <v>52779</v>
      </c>
      <c r="MQ23" s="30">
        <f t="shared" si="5"/>
        <v>52810</v>
      </c>
      <c r="MR23" s="30">
        <f t="shared" si="5"/>
        <v>52841</v>
      </c>
      <c r="MS23" s="30">
        <f t="shared" si="5"/>
        <v>52871</v>
      </c>
      <c r="MT23" s="30">
        <f t="shared" si="5"/>
        <v>52902</v>
      </c>
      <c r="MU23" s="30">
        <f t="shared" si="5"/>
        <v>52932</v>
      </c>
      <c r="MV23" s="30">
        <f t="shared" si="5"/>
        <v>52963</v>
      </c>
      <c r="MW23" s="30">
        <f t="shared" si="5"/>
        <v>52994</v>
      </c>
      <c r="MX23" s="30">
        <f t="shared" si="5"/>
        <v>53022</v>
      </c>
      <c r="MY23" s="30">
        <f t="shared" si="5"/>
        <v>53053</v>
      </c>
      <c r="MZ23" s="30">
        <f t="shared" si="5"/>
        <v>53083</v>
      </c>
      <c r="NA23" s="30">
        <f t="shared" si="5"/>
        <v>53114</v>
      </c>
      <c r="NB23" s="30">
        <f t="shared" si="5"/>
        <v>53144</v>
      </c>
      <c r="NC23" s="30">
        <f t="shared" si="5"/>
        <v>53175</v>
      </c>
      <c r="ND23" s="30">
        <f t="shared" si="5"/>
        <v>53206</v>
      </c>
      <c r="NE23" s="30">
        <f t="shared" si="5"/>
        <v>53236</v>
      </c>
      <c r="NF23" s="30">
        <f t="shared" si="5"/>
        <v>53267</v>
      </c>
      <c r="NG23" s="30">
        <f t="shared" si="5"/>
        <v>53297</v>
      </c>
      <c r="NH23" s="30">
        <f t="shared" si="5"/>
        <v>53328</v>
      </c>
      <c r="NI23" s="30">
        <f t="shared" si="5"/>
        <v>53359</v>
      </c>
      <c r="NJ23" s="30">
        <f t="shared" si="5"/>
        <v>53387</v>
      </c>
      <c r="NK23" s="30">
        <f t="shared" si="5"/>
        <v>53418</v>
      </c>
      <c r="NL23" s="30">
        <f t="shared" si="5"/>
        <v>53448</v>
      </c>
      <c r="NM23" s="30">
        <f t="shared" si="5"/>
        <v>53479</v>
      </c>
      <c r="NN23" s="30">
        <f t="shared" si="5"/>
        <v>53509</v>
      </c>
      <c r="NO23" s="30">
        <f t="shared" si="5"/>
        <v>53540</v>
      </c>
      <c r="NP23" s="30">
        <f t="shared" si="5"/>
        <v>53571</v>
      </c>
      <c r="NQ23" s="30">
        <f t="shared" si="5"/>
        <v>53601</v>
      </c>
      <c r="NR23" s="30">
        <f t="shared" si="5"/>
        <v>53632</v>
      </c>
      <c r="NS23" s="30">
        <f t="shared" si="5"/>
        <v>53662</v>
      </c>
      <c r="NT23" s="30">
        <f t="shared" si="5"/>
        <v>53693</v>
      </c>
      <c r="NU23" s="30">
        <f t="shared" si="5"/>
        <v>53724</v>
      </c>
      <c r="NV23" s="30">
        <f t="shared" si="5"/>
        <v>53752</v>
      </c>
      <c r="NW23" s="30">
        <f t="shared" si="5"/>
        <v>53783</v>
      </c>
      <c r="NX23" s="30">
        <f t="shared" ref="NX23:QI23" si="6">EDATE(NW23,1)</f>
        <v>53813</v>
      </c>
      <c r="NY23" s="30">
        <f t="shared" si="6"/>
        <v>53844</v>
      </c>
      <c r="NZ23" s="30">
        <f t="shared" si="6"/>
        <v>53874</v>
      </c>
      <c r="OA23" s="30">
        <f t="shared" si="6"/>
        <v>53905</v>
      </c>
      <c r="OB23" s="30">
        <f t="shared" si="6"/>
        <v>53936</v>
      </c>
      <c r="OC23" s="30">
        <f t="shared" si="6"/>
        <v>53966</v>
      </c>
      <c r="OD23" s="30">
        <f t="shared" si="6"/>
        <v>53997</v>
      </c>
      <c r="OE23" s="30">
        <f t="shared" si="6"/>
        <v>54027</v>
      </c>
      <c r="OF23" s="30">
        <f t="shared" si="6"/>
        <v>54058</v>
      </c>
      <c r="OG23" s="30">
        <f t="shared" si="6"/>
        <v>54089</v>
      </c>
      <c r="OH23" s="30">
        <f t="shared" si="6"/>
        <v>54118</v>
      </c>
      <c r="OI23" s="30">
        <f t="shared" si="6"/>
        <v>54149</v>
      </c>
      <c r="OJ23" s="30">
        <f t="shared" si="6"/>
        <v>54179</v>
      </c>
      <c r="OK23" s="30">
        <f t="shared" si="6"/>
        <v>54210</v>
      </c>
      <c r="OL23" s="30">
        <f t="shared" si="6"/>
        <v>54240</v>
      </c>
      <c r="OM23" s="30">
        <f t="shared" si="6"/>
        <v>54271</v>
      </c>
      <c r="ON23" s="30">
        <f t="shared" si="6"/>
        <v>54302</v>
      </c>
      <c r="OO23" s="30">
        <f t="shared" si="6"/>
        <v>54332</v>
      </c>
      <c r="OP23" s="30">
        <f t="shared" si="6"/>
        <v>54363</v>
      </c>
      <c r="OQ23" s="30">
        <f t="shared" si="6"/>
        <v>54393</v>
      </c>
      <c r="OR23" s="30">
        <f t="shared" si="6"/>
        <v>54424</v>
      </c>
      <c r="OS23" s="30">
        <f t="shared" si="6"/>
        <v>54455</v>
      </c>
      <c r="OT23" s="30">
        <f t="shared" si="6"/>
        <v>54483</v>
      </c>
      <c r="OU23" s="30">
        <f t="shared" si="6"/>
        <v>54514</v>
      </c>
      <c r="OV23" s="30">
        <f t="shared" si="6"/>
        <v>54544</v>
      </c>
      <c r="OW23" s="30">
        <f t="shared" si="6"/>
        <v>54575</v>
      </c>
      <c r="OX23" s="30">
        <f t="shared" si="6"/>
        <v>54605</v>
      </c>
      <c r="OY23" s="30">
        <f t="shared" si="6"/>
        <v>54636</v>
      </c>
      <c r="OZ23" s="30">
        <f t="shared" si="6"/>
        <v>54667</v>
      </c>
      <c r="PA23" s="30">
        <f t="shared" si="6"/>
        <v>54697</v>
      </c>
      <c r="PB23" s="30">
        <f t="shared" si="6"/>
        <v>54728</v>
      </c>
      <c r="PC23" s="30">
        <f t="shared" si="6"/>
        <v>54758</v>
      </c>
      <c r="PD23" s="30">
        <f t="shared" si="6"/>
        <v>54789</v>
      </c>
      <c r="PE23" s="30">
        <f t="shared" si="6"/>
        <v>54820</v>
      </c>
      <c r="PF23" s="30">
        <f t="shared" si="6"/>
        <v>54848</v>
      </c>
      <c r="PG23" s="30">
        <f t="shared" si="6"/>
        <v>54879</v>
      </c>
      <c r="PH23" s="30">
        <f t="shared" si="6"/>
        <v>54909</v>
      </c>
      <c r="PI23" s="30">
        <f t="shared" si="6"/>
        <v>54940</v>
      </c>
      <c r="PJ23" s="30">
        <f t="shared" si="6"/>
        <v>54970</v>
      </c>
      <c r="PK23" s="30">
        <f t="shared" si="6"/>
        <v>55001</v>
      </c>
      <c r="PL23" s="30">
        <f t="shared" si="6"/>
        <v>55032</v>
      </c>
      <c r="PM23" s="30">
        <f t="shared" si="6"/>
        <v>55062</v>
      </c>
      <c r="PN23" s="30">
        <f t="shared" si="6"/>
        <v>55093</v>
      </c>
      <c r="PO23" s="30">
        <f t="shared" si="6"/>
        <v>55123</v>
      </c>
      <c r="PP23" s="30">
        <f t="shared" si="6"/>
        <v>55154</v>
      </c>
      <c r="PQ23" s="30">
        <f t="shared" si="6"/>
        <v>55185</v>
      </c>
      <c r="PR23" s="30">
        <f t="shared" si="6"/>
        <v>55213</v>
      </c>
      <c r="PS23" s="30">
        <f t="shared" si="6"/>
        <v>55244</v>
      </c>
      <c r="PT23" s="30">
        <f t="shared" si="6"/>
        <v>55274</v>
      </c>
      <c r="PU23" s="30">
        <f t="shared" si="6"/>
        <v>55305</v>
      </c>
      <c r="PV23" s="30">
        <f t="shared" si="6"/>
        <v>55335</v>
      </c>
      <c r="PW23" s="30">
        <f t="shared" si="6"/>
        <v>55366</v>
      </c>
      <c r="PX23" s="30">
        <f t="shared" si="6"/>
        <v>55397</v>
      </c>
      <c r="PY23" s="30">
        <f t="shared" si="6"/>
        <v>55427</v>
      </c>
      <c r="PZ23" s="30">
        <f t="shared" si="6"/>
        <v>55458</v>
      </c>
      <c r="QA23" s="30">
        <f t="shared" si="6"/>
        <v>55488</v>
      </c>
      <c r="QB23" s="30">
        <f t="shared" si="6"/>
        <v>55519</v>
      </c>
      <c r="QC23" s="30">
        <f t="shared" si="6"/>
        <v>55550</v>
      </c>
      <c r="QD23" s="30">
        <f t="shared" si="6"/>
        <v>55579</v>
      </c>
      <c r="QE23" s="30">
        <f t="shared" si="6"/>
        <v>55610</v>
      </c>
      <c r="QF23" s="30">
        <f t="shared" si="6"/>
        <v>55640</v>
      </c>
      <c r="QG23" s="30">
        <f t="shared" si="6"/>
        <v>55671</v>
      </c>
      <c r="QH23" s="30">
        <f t="shared" si="6"/>
        <v>55701</v>
      </c>
      <c r="QI23" s="30">
        <f t="shared" si="6"/>
        <v>55732</v>
      </c>
      <c r="QJ23" s="30">
        <f t="shared" ref="QJ23:SU23" si="7">EDATE(QI23,1)</f>
        <v>55763</v>
      </c>
      <c r="QK23" s="30">
        <f t="shared" si="7"/>
        <v>55793</v>
      </c>
      <c r="QL23" s="30">
        <f t="shared" si="7"/>
        <v>55824</v>
      </c>
      <c r="QM23" s="30">
        <f t="shared" si="7"/>
        <v>55854</v>
      </c>
      <c r="QN23" s="30">
        <f t="shared" si="7"/>
        <v>55885</v>
      </c>
      <c r="QO23" s="30">
        <f t="shared" si="7"/>
        <v>55916</v>
      </c>
      <c r="QP23" s="30">
        <f t="shared" si="7"/>
        <v>55944</v>
      </c>
      <c r="QQ23" s="30">
        <f t="shared" si="7"/>
        <v>55975</v>
      </c>
      <c r="QR23" s="30">
        <f t="shared" si="7"/>
        <v>56005</v>
      </c>
      <c r="QS23" s="30">
        <f t="shared" si="7"/>
        <v>56036</v>
      </c>
      <c r="QT23" s="30">
        <f t="shared" si="7"/>
        <v>56066</v>
      </c>
      <c r="QU23" s="30">
        <f t="shared" si="7"/>
        <v>56097</v>
      </c>
      <c r="QV23" s="30">
        <f t="shared" si="7"/>
        <v>56128</v>
      </c>
      <c r="QW23" s="30">
        <f t="shared" si="7"/>
        <v>56158</v>
      </c>
      <c r="QX23" s="30">
        <f t="shared" si="7"/>
        <v>56189</v>
      </c>
      <c r="QY23" s="30">
        <f t="shared" si="7"/>
        <v>56219</v>
      </c>
      <c r="QZ23" s="30">
        <f t="shared" si="7"/>
        <v>56250</v>
      </c>
      <c r="RA23" s="30">
        <f t="shared" si="7"/>
        <v>56281</v>
      </c>
      <c r="RB23" s="30">
        <f t="shared" si="7"/>
        <v>56309</v>
      </c>
      <c r="RC23" s="30">
        <f t="shared" si="7"/>
        <v>56340</v>
      </c>
      <c r="RD23" s="30">
        <f t="shared" si="7"/>
        <v>56370</v>
      </c>
      <c r="RE23" s="30">
        <f t="shared" si="7"/>
        <v>56401</v>
      </c>
      <c r="RF23" s="30">
        <f t="shared" si="7"/>
        <v>56431</v>
      </c>
      <c r="RG23" s="30">
        <f t="shared" si="7"/>
        <v>56462</v>
      </c>
      <c r="RH23" s="30">
        <f t="shared" si="7"/>
        <v>56493</v>
      </c>
      <c r="RI23" s="30">
        <f t="shared" si="7"/>
        <v>56523</v>
      </c>
      <c r="RJ23" s="30">
        <f t="shared" si="7"/>
        <v>56554</v>
      </c>
      <c r="RK23" s="30">
        <f t="shared" si="7"/>
        <v>56584</v>
      </c>
      <c r="RL23" s="30">
        <f t="shared" si="7"/>
        <v>56615</v>
      </c>
      <c r="RM23" s="30">
        <f t="shared" si="7"/>
        <v>56646</v>
      </c>
      <c r="RN23" s="30">
        <f t="shared" si="7"/>
        <v>56674</v>
      </c>
      <c r="RO23" s="30">
        <f t="shared" si="7"/>
        <v>56705</v>
      </c>
      <c r="RP23" s="30">
        <f t="shared" si="7"/>
        <v>56735</v>
      </c>
      <c r="RQ23" s="30">
        <f t="shared" si="7"/>
        <v>56766</v>
      </c>
      <c r="RR23" s="30">
        <f t="shared" si="7"/>
        <v>56796</v>
      </c>
      <c r="RS23" s="30">
        <f t="shared" si="7"/>
        <v>56827</v>
      </c>
      <c r="RT23" s="30">
        <f t="shared" si="7"/>
        <v>56858</v>
      </c>
      <c r="RU23" s="30">
        <f t="shared" si="7"/>
        <v>56888</v>
      </c>
      <c r="RV23" s="30">
        <f t="shared" si="7"/>
        <v>56919</v>
      </c>
      <c r="RW23" s="30">
        <f t="shared" si="7"/>
        <v>56949</v>
      </c>
      <c r="RX23" s="30">
        <f t="shared" si="7"/>
        <v>56980</v>
      </c>
      <c r="RY23" s="30">
        <f t="shared" si="7"/>
        <v>57011</v>
      </c>
      <c r="RZ23" s="30">
        <f t="shared" si="7"/>
        <v>57040</v>
      </c>
      <c r="SA23" s="30">
        <f t="shared" si="7"/>
        <v>57071</v>
      </c>
      <c r="SB23" s="30">
        <f t="shared" si="7"/>
        <v>57101</v>
      </c>
      <c r="SC23" s="30">
        <f t="shared" si="7"/>
        <v>57132</v>
      </c>
      <c r="SD23" s="30">
        <f t="shared" si="7"/>
        <v>57162</v>
      </c>
      <c r="SE23" s="30">
        <f t="shared" si="7"/>
        <v>57193</v>
      </c>
      <c r="SF23" s="30">
        <f t="shared" si="7"/>
        <v>57224</v>
      </c>
      <c r="SG23" s="30">
        <f t="shared" si="7"/>
        <v>57254</v>
      </c>
      <c r="SH23" s="30">
        <f t="shared" si="7"/>
        <v>57285</v>
      </c>
      <c r="SI23" s="30">
        <f t="shared" si="7"/>
        <v>57315</v>
      </c>
      <c r="SJ23" s="30">
        <f t="shared" si="7"/>
        <v>57346</v>
      </c>
      <c r="SK23" s="30">
        <f t="shared" si="7"/>
        <v>57377</v>
      </c>
      <c r="SL23" s="30">
        <f t="shared" si="7"/>
        <v>57405</v>
      </c>
      <c r="SM23" s="30">
        <f t="shared" si="7"/>
        <v>57436</v>
      </c>
      <c r="SN23" s="30">
        <f t="shared" si="7"/>
        <v>57466</v>
      </c>
      <c r="SO23" s="30">
        <f t="shared" si="7"/>
        <v>57497</v>
      </c>
      <c r="SP23" s="30">
        <f t="shared" si="7"/>
        <v>57527</v>
      </c>
      <c r="SQ23" s="30">
        <f t="shared" si="7"/>
        <v>57558</v>
      </c>
      <c r="SR23" s="30">
        <f t="shared" si="7"/>
        <v>57589</v>
      </c>
      <c r="SS23" s="30">
        <f t="shared" si="7"/>
        <v>57619</v>
      </c>
      <c r="ST23" s="30">
        <f t="shared" si="7"/>
        <v>57650</v>
      </c>
      <c r="SU23" s="30">
        <f t="shared" si="7"/>
        <v>57680</v>
      </c>
      <c r="SV23" s="30">
        <f t="shared" ref="SV23:VG23" si="8">EDATE(SU23,1)</f>
        <v>57711</v>
      </c>
      <c r="SW23" s="30">
        <f t="shared" si="8"/>
        <v>57742</v>
      </c>
      <c r="SX23" s="30">
        <f t="shared" si="8"/>
        <v>57770</v>
      </c>
      <c r="SY23" s="30">
        <f t="shared" si="8"/>
        <v>57801</v>
      </c>
      <c r="SZ23" s="30">
        <f t="shared" si="8"/>
        <v>57831</v>
      </c>
      <c r="TA23" s="30">
        <f t="shared" si="8"/>
        <v>57862</v>
      </c>
      <c r="TB23" s="30">
        <f t="shared" si="8"/>
        <v>57892</v>
      </c>
      <c r="TC23" s="30">
        <f t="shared" si="8"/>
        <v>57923</v>
      </c>
      <c r="TD23" s="30">
        <f t="shared" si="8"/>
        <v>57954</v>
      </c>
      <c r="TE23" s="30">
        <f t="shared" si="8"/>
        <v>57984</v>
      </c>
      <c r="TF23" s="30">
        <f t="shared" si="8"/>
        <v>58015</v>
      </c>
      <c r="TG23" s="30">
        <f t="shared" si="8"/>
        <v>58045</v>
      </c>
      <c r="TH23" s="30">
        <f t="shared" si="8"/>
        <v>58076</v>
      </c>
      <c r="TI23" s="30">
        <f t="shared" si="8"/>
        <v>58107</v>
      </c>
      <c r="TJ23" s="30">
        <f t="shared" si="8"/>
        <v>58135</v>
      </c>
      <c r="TK23" s="30">
        <f t="shared" si="8"/>
        <v>58166</v>
      </c>
      <c r="TL23" s="30">
        <f t="shared" si="8"/>
        <v>58196</v>
      </c>
      <c r="TM23" s="30">
        <f t="shared" si="8"/>
        <v>58227</v>
      </c>
      <c r="TN23" s="30">
        <f t="shared" si="8"/>
        <v>58257</v>
      </c>
      <c r="TO23" s="30">
        <f t="shared" si="8"/>
        <v>58288</v>
      </c>
      <c r="TP23" s="30">
        <f t="shared" si="8"/>
        <v>58319</v>
      </c>
      <c r="TQ23" s="30">
        <f t="shared" si="8"/>
        <v>58349</v>
      </c>
      <c r="TR23" s="30">
        <f t="shared" si="8"/>
        <v>58380</v>
      </c>
      <c r="TS23" s="30">
        <f t="shared" si="8"/>
        <v>58410</v>
      </c>
      <c r="TT23" s="30">
        <f t="shared" si="8"/>
        <v>58441</v>
      </c>
      <c r="TU23" s="30">
        <f t="shared" si="8"/>
        <v>58472</v>
      </c>
      <c r="TV23" s="30">
        <f t="shared" si="8"/>
        <v>58501</v>
      </c>
      <c r="TW23" s="30">
        <f t="shared" si="8"/>
        <v>58532</v>
      </c>
      <c r="TX23" s="30">
        <f t="shared" si="8"/>
        <v>58562</v>
      </c>
      <c r="TY23" s="30">
        <f t="shared" si="8"/>
        <v>58593</v>
      </c>
      <c r="TZ23" s="30">
        <f t="shared" si="8"/>
        <v>58623</v>
      </c>
      <c r="UA23" s="30">
        <f t="shared" si="8"/>
        <v>58654</v>
      </c>
      <c r="UB23" s="30">
        <f t="shared" si="8"/>
        <v>58685</v>
      </c>
      <c r="UC23" s="30">
        <f t="shared" si="8"/>
        <v>58715</v>
      </c>
      <c r="UD23" s="30">
        <f t="shared" si="8"/>
        <v>58746</v>
      </c>
      <c r="UE23" s="30">
        <f t="shared" si="8"/>
        <v>58776</v>
      </c>
      <c r="UF23" s="30">
        <f t="shared" si="8"/>
        <v>58807</v>
      </c>
      <c r="UG23" s="30">
        <f t="shared" si="8"/>
        <v>58838</v>
      </c>
      <c r="UH23" s="30">
        <f t="shared" si="8"/>
        <v>58866</v>
      </c>
      <c r="UI23" s="30">
        <f t="shared" si="8"/>
        <v>58897</v>
      </c>
      <c r="UJ23" s="30">
        <f t="shared" si="8"/>
        <v>58927</v>
      </c>
      <c r="UK23" s="30">
        <f t="shared" si="8"/>
        <v>58958</v>
      </c>
      <c r="UL23" s="30">
        <f t="shared" si="8"/>
        <v>58988</v>
      </c>
      <c r="UM23" s="30">
        <f t="shared" si="8"/>
        <v>59019</v>
      </c>
      <c r="UN23" s="30">
        <f t="shared" si="8"/>
        <v>59050</v>
      </c>
      <c r="UO23" s="30">
        <f t="shared" si="8"/>
        <v>59080</v>
      </c>
      <c r="UP23" s="30">
        <f t="shared" si="8"/>
        <v>59111</v>
      </c>
      <c r="UQ23" s="30">
        <f t="shared" si="8"/>
        <v>59141</v>
      </c>
      <c r="UR23" s="30">
        <f t="shared" si="8"/>
        <v>59172</v>
      </c>
      <c r="US23" s="30">
        <f t="shared" si="8"/>
        <v>59203</v>
      </c>
      <c r="UT23" s="30">
        <f t="shared" si="8"/>
        <v>59231</v>
      </c>
      <c r="UU23" s="30">
        <f t="shared" si="8"/>
        <v>59262</v>
      </c>
      <c r="UV23" s="30">
        <f t="shared" si="8"/>
        <v>59292</v>
      </c>
      <c r="UW23" s="30">
        <f t="shared" si="8"/>
        <v>59323</v>
      </c>
      <c r="UX23" s="30">
        <f t="shared" si="8"/>
        <v>59353</v>
      </c>
      <c r="UY23" s="30">
        <f t="shared" si="8"/>
        <v>59384</v>
      </c>
      <c r="UZ23" s="30">
        <f t="shared" si="8"/>
        <v>59415</v>
      </c>
      <c r="VA23" s="30">
        <f t="shared" si="8"/>
        <v>59445</v>
      </c>
      <c r="VB23" s="30">
        <f t="shared" si="8"/>
        <v>59476</v>
      </c>
      <c r="VC23" s="30">
        <f t="shared" si="8"/>
        <v>59506</v>
      </c>
      <c r="VD23" s="30">
        <f t="shared" si="8"/>
        <v>59537</v>
      </c>
      <c r="VE23" s="30">
        <f t="shared" si="8"/>
        <v>59568</v>
      </c>
      <c r="VF23" s="30">
        <f t="shared" si="8"/>
        <v>59596</v>
      </c>
      <c r="VG23" s="30">
        <f t="shared" si="8"/>
        <v>59627</v>
      </c>
      <c r="VH23" s="30">
        <f t="shared" ref="VH23:XS23" si="9">EDATE(VG23,1)</f>
        <v>59657</v>
      </c>
      <c r="VI23" s="30">
        <f t="shared" si="9"/>
        <v>59688</v>
      </c>
      <c r="VJ23" s="30">
        <f t="shared" si="9"/>
        <v>59718</v>
      </c>
      <c r="VK23" s="30">
        <f t="shared" si="9"/>
        <v>59749</v>
      </c>
      <c r="VL23" s="30">
        <f t="shared" si="9"/>
        <v>59780</v>
      </c>
      <c r="VM23" s="30">
        <f t="shared" si="9"/>
        <v>59810</v>
      </c>
      <c r="VN23" s="30">
        <f t="shared" si="9"/>
        <v>59841</v>
      </c>
      <c r="VO23" s="30">
        <f t="shared" si="9"/>
        <v>59871</v>
      </c>
      <c r="VP23" s="30">
        <f t="shared" si="9"/>
        <v>59902</v>
      </c>
      <c r="VQ23" s="30">
        <f t="shared" si="9"/>
        <v>59933</v>
      </c>
      <c r="VR23" s="30">
        <f t="shared" si="9"/>
        <v>59962</v>
      </c>
      <c r="VS23" s="30">
        <f t="shared" si="9"/>
        <v>59993</v>
      </c>
      <c r="VT23" s="30">
        <f t="shared" si="9"/>
        <v>60023</v>
      </c>
      <c r="VU23" s="30">
        <f t="shared" si="9"/>
        <v>60054</v>
      </c>
      <c r="VV23" s="30">
        <f t="shared" si="9"/>
        <v>60084</v>
      </c>
      <c r="VW23" s="30">
        <f t="shared" si="9"/>
        <v>60115</v>
      </c>
      <c r="VX23" s="30">
        <f t="shared" si="9"/>
        <v>60146</v>
      </c>
      <c r="VY23" s="30">
        <f t="shared" si="9"/>
        <v>60176</v>
      </c>
      <c r="VZ23" s="30">
        <f t="shared" si="9"/>
        <v>60207</v>
      </c>
      <c r="WA23" s="30">
        <f t="shared" si="9"/>
        <v>60237</v>
      </c>
      <c r="WB23" s="30">
        <f t="shared" si="9"/>
        <v>60268</v>
      </c>
      <c r="WC23" s="30">
        <f t="shared" si="9"/>
        <v>60299</v>
      </c>
      <c r="WD23" s="30">
        <f t="shared" si="9"/>
        <v>60327</v>
      </c>
      <c r="WE23" s="30">
        <f t="shared" si="9"/>
        <v>60358</v>
      </c>
      <c r="WF23" s="30">
        <f t="shared" si="9"/>
        <v>60388</v>
      </c>
      <c r="WG23" s="30">
        <f t="shared" si="9"/>
        <v>60419</v>
      </c>
      <c r="WH23" s="30">
        <f t="shared" si="9"/>
        <v>60449</v>
      </c>
      <c r="WI23" s="30">
        <f t="shared" si="9"/>
        <v>60480</v>
      </c>
      <c r="WJ23" s="30">
        <f t="shared" si="9"/>
        <v>60511</v>
      </c>
      <c r="WK23" s="30">
        <f t="shared" si="9"/>
        <v>60541</v>
      </c>
      <c r="WL23" s="30">
        <f t="shared" si="9"/>
        <v>60572</v>
      </c>
      <c r="WM23" s="30">
        <f t="shared" si="9"/>
        <v>60602</v>
      </c>
      <c r="WN23" s="30">
        <f t="shared" si="9"/>
        <v>60633</v>
      </c>
      <c r="WO23" s="30">
        <f t="shared" si="9"/>
        <v>60664</v>
      </c>
      <c r="WP23" s="30">
        <f t="shared" si="9"/>
        <v>60692</v>
      </c>
      <c r="WQ23" s="30">
        <f t="shared" si="9"/>
        <v>60723</v>
      </c>
      <c r="WR23" s="30">
        <f t="shared" si="9"/>
        <v>60753</v>
      </c>
      <c r="WS23" s="30">
        <f t="shared" si="9"/>
        <v>60784</v>
      </c>
      <c r="WT23" s="30">
        <f t="shared" si="9"/>
        <v>60814</v>
      </c>
      <c r="WU23" s="30">
        <f t="shared" si="9"/>
        <v>60845</v>
      </c>
      <c r="WV23" s="30">
        <f t="shared" si="9"/>
        <v>60876</v>
      </c>
      <c r="WW23" s="30">
        <f t="shared" si="9"/>
        <v>60906</v>
      </c>
      <c r="WX23" s="30">
        <f t="shared" si="9"/>
        <v>60937</v>
      </c>
      <c r="WY23" s="30">
        <f t="shared" si="9"/>
        <v>60967</v>
      </c>
      <c r="WZ23" s="30">
        <f t="shared" si="9"/>
        <v>60998</v>
      </c>
      <c r="XA23" s="30">
        <f t="shared" si="9"/>
        <v>61029</v>
      </c>
      <c r="XB23" s="30">
        <f t="shared" si="9"/>
        <v>61057</v>
      </c>
      <c r="XC23" s="30">
        <f t="shared" si="9"/>
        <v>61088</v>
      </c>
      <c r="XD23" s="30">
        <f t="shared" si="9"/>
        <v>61118</v>
      </c>
      <c r="XE23" s="30">
        <f t="shared" si="9"/>
        <v>61149</v>
      </c>
      <c r="XF23" s="30">
        <f t="shared" si="9"/>
        <v>61179</v>
      </c>
      <c r="XG23" s="30">
        <f t="shared" si="9"/>
        <v>61210</v>
      </c>
      <c r="XH23" s="30">
        <f t="shared" si="9"/>
        <v>61241</v>
      </c>
      <c r="XI23" s="30">
        <f t="shared" si="9"/>
        <v>61271</v>
      </c>
      <c r="XJ23" s="30">
        <f t="shared" si="9"/>
        <v>61302</v>
      </c>
      <c r="XK23" s="30">
        <f t="shared" si="9"/>
        <v>61332</v>
      </c>
      <c r="XL23" s="30">
        <f t="shared" si="9"/>
        <v>61363</v>
      </c>
      <c r="XM23" s="30">
        <f t="shared" si="9"/>
        <v>61394</v>
      </c>
      <c r="XN23" s="30">
        <f t="shared" si="9"/>
        <v>61423</v>
      </c>
      <c r="XO23" s="30">
        <f t="shared" si="9"/>
        <v>61454</v>
      </c>
      <c r="XP23" s="30">
        <f t="shared" si="9"/>
        <v>61484</v>
      </c>
      <c r="XQ23" s="30">
        <f t="shared" si="9"/>
        <v>61515</v>
      </c>
      <c r="XR23" s="30">
        <f t="shared" si="9"/>
        <v>61545</v>
      </c>
      <c r="XS23" s="30">
        <f t="shared" si="9"/>
        <v>61576</v>
      </c>
      <c r="XT23" s="30">
        <f t="shared" ref="XT23:AAE23" si="10">EDATE(XS23,1)</f>
        <v>61607</v>
      </c>
      <c r="XU23" s="30">
        <f t="shared" si="10"/>
        <v>61637</v>
      </c>
      <c r="XV23" s="30">
        <f t="shared" si="10"/>
        <v>61668</v>
      </c>
      <c r="XW23" s="30">
        <f t="shared" si="10"/>
        <v>61698</v>
      </c>
      <c r="XX23" s="30">
        <f t="shared" si="10"/>
        <v>61729</v>
      </c>
      <c r="XY23" s="30">
        <f t="shared" si="10"/>
        <v>61760</v>
      </c>
      <c r="XZ23" s="30">
        <f t="shared" si="10"/>
        <v>61788</v>
      </c>
      <c r="YA23" s="30">
        <f t="shared" si="10"/>
        <v>61819</v>
      </c>
      <c r="YB23" s="30">
        <f t="shared" si="10"/>
        <v>61849</v>
      </c>
      <c r="YC23" s="30">
        <f t="shared" si="10"/>
        <v>61880</v>
      </c>
      <c r="YD23" s="30">
        <f t="shared" si="10"/>
        <v>61910</v>
      </c>
      <c r="YE23" s="30">
        <f t="shared" si="10"/>
        <v>61941</v>
      </c>
      <c r="YF23" s="30">
        <f t="shared" si="10"/>
        <v>61972</v>
      </c>
      <c r="YG23" s="30">
        <f t="shared" si="10"/>
        <v>62002</v>
      </c>
      <c r="YH23" s="30">
        <f t="shared" si="10"/>
        <v>62033</v>
      </c>
      <c r="YI23" s="30">
        <f t="shared" si="10"/>
        <v>62063</v>
      </c>
      <c r="YJ23" s="30">
        <f t="shared" si="10"/>
        <v>62094</v>
      </c>
      <c r="YK23" s="30">
        <f t="shared" si="10"/>
        <v>62125</v>
      </c>
      <c r="YL23" s="30">
        <f t="shared" si="10"/>
        <v>62153</v>
      </c>
      <c r="YM23" s="30">
        <f t="shared" si="10"/>
        <v>62184</v>
      </c>
      <c r="YN23" s="30">
        <f t="shared" si="10"/>
        <v>62214</v>
      </c>
      <c r="YO23" s="30">
        <f t="shared" si="10"/>
        <v>62245</v>
      </c>
      <c r="YP23" s="30">
        <f t="shared" si="10"/>
        <v>62275</v>
      </c>
      <c r="YQ23" s="30">
        <f t="shared" si="10"/>
        <v>62306</v>
      </c>
      <c r="YR23" s="30">
        <f t="shared" si="10"/>
        <v>62337</v>
      </c>
      <c r="YS23" s="30">
        <f t="shared" si="10"/>
        <v>62367</v>
      </c>
      <c r="YT23" s="30">
        <f t="shared" si="10"/>
        <v>62398</v>
      </c>
      <c r="YU23" s="30">
        <f t="shared" si="10"/>
        <v>62428</v>
      </c>
      <c r="YV23" s="30">
        <f t="shared" si="10"/>
        <v>62459</v>
      </c>
      <c r="YW23" s="30">
        <f t="shared" si="10"/>
        <v>62490</v>
      </c>
      <c r="YX23" s="30">
        <f t="shared" si="10"/>
        <v>62518</v>
      </c>
      <c r="YY23" s="30">
        <f t="shared" si="10"/>
        <v>62549</v>
      </c>
      <c r="YZ23" s="30">
        <f t="shared" si="10"/>
        <v>62579</v>
      </c>
      <c r="ZA23" s="30">
        <f t="shared" si="10"/>
        <v>62610</v>
      </c>
      <c r="ZB23" s="30">
        <f t="shared" si="10"/>
        <v>62640</v>
      </c>
      <c r="ZC23" s="30">
        <f t="shared" si="10"/>
        <v>62671</v>
      </c>
      <c r="ZD23" s="30">
        <f t="shared" si="10"/>
        <v>62702</v>
      </c>
      <c r="ZE23" s="30">
        <f t="shared" si="10"/>
        <v>62732</v>
      </c>
      <c r="ZF23" s="30">
        <f t="shared" si="10"/>
        <v>62763</v>
      </c>
      <c r="ZG23" s="30">
        <f t="shared" si="10"/>
        <v>62793</v>
      </c>
      <c r="ZH23" s="30">
        <f t="shared" si="10"/>
        <v>62824</v>
      </c>
      <c r="ZI23" s="30">
        <f t="shared" si="10"/>
        <v>62855</v>
      </c>
      <c r="ZJ23" s="30">
        <f t="shared" si="10"/>
        <v>62884</v>
      </c>
      <c r="ZK23" s="30">
        <f t="shared" si="10"/>
        <v>62915</v>
      </c>
      <c r="ZL23" s="30">
        <f t="shared" si="10"/>
        <v>62945</v>
      </c>
      <c r="ZM23" s="30">
        <f t="shared" si="10"/>
        <v>62976</v>
      </c>
      <c r="ZN23" s="30">
        <f t="shared" si="10"/>
        <v>63006</v>
      </c>
      <c r="ZO23" s="30">
        <f t="shared" si="10"/>
        <v>63037</v>
      </c>
      <c r="ZP23" s="30">
        <f t="shared" si="10"/>
        <v>63068</v>
      </c>
      <c r="ZQ23" s="30">
        <f t="shared" si="10"/>
        <v>63098</v>
      </c>
      <c r="ZR23" s="30">
        <f t="shared" si="10"/>
        <v>63129</v>
      </c>
      <c r="ZS23" s="30">
        <f t="shared" si="10"/>
        <v>63159</v>
      </c>
      <c r="ZT23" s="30">
        <f t="shared" si="10"/>
        <v>63190</v>
      </c>
      <c r="ZU23" s="30">
        <f t="shared" si="10"/>
        <v>63221</v>
      </c>
      <c r="ZV23" s="30">
        <f t="shared" si="10"/>
        <v>63249</v>
      </c>
      <c r="ZW23" s="30">
        <f t="shared" si="10"/>
        <v>63280</v>
      </c>
      <c r="ZX23" s="30">
        <f t="shared" si="10"/>
        <v>63310</v>
      </c>
      <c r="ZY23" s="30">
        <f t="shared" si="10"/>
        <v>63341</v>
      </c>
      <c r="ZZ23" s="30">
        <f t="shared" si="10"/>
        <v>63371</v>
      </c>
      <c r="AAA23" s="30">
        <f t="shared" si="10"/>
        <v>63402</v>
      </c>
      <c r="AAB23" s="30">
        <f t="shared" si="10"/>
        <v>63433</v>
      </c>
      <c r="AAC23" s="30">
        <f t="shared" si="10"/>
        <v>63463</v>
      </c>
      <c r="AAD23" s="30">
        <f t="shared" si="10"/>
        <v>63494</v>
      </c>
      <c r="AAE23" s="30">
        <f t="shared" si="10"/>
        <v>63524</v>
      </c>
      <c r="AAF23" s="30">
        <f t="shared" ref="AAF23:ACQ23" si="11">EDATE(AAE23,1)</f>
        <v>63555</v>
      </c>
      <c r="AAG23" s="30">
        <f t="shared" si="11"/>
        <v>63586</v>
      </c>
      <c r="AAH23" s="30">
        <f t="shared" si="11"/>
        <v>63614</v>
      </c>
      <c r="AAI23" s="30">
        <f t="shared" si="11"/>
        <v>63645</v>
      </c>
      <c r="AAJ23" s="30">
        <f t="shared" si="11"/>
        <v>63675</v>
      </c>
      <c r="AAK23" s="30">
        <f t="shared" si="11"/>
        <v>63706</v>
      </c>
      <c r="AAL23" s="30">
        <f t="shared" si="11"/>
        <v>63736</v>
      </c>
      <c r="AAM23" s="30">
        <f t="shared" si="11"/>
        <v>63767</v>
      </c>
      <c r="AAN23" s="30">
        <f t="shared" si="11"/>
        <v>63798</v>
      </c>
      <c r="AAO23" s="30">
        <f t="shared" si="11"/>
        <v>63828</v>
      </c>
      <c r="AAP23" s="30">
        <f t="shared" si="11"/>
        <v>63859</v>
      </c>
      <c r="AAQ23" s="30">
        <f t="shared" si="11"/>
        <v>63889</v>
      </c>
      <c r="AAR23" s="30">
        <f t="shared" si="11"/>
        <v>63920</v>
      </c>
      <c r="AAS23" s="30">
        <f t="shared" si="11"/>
        <v>63951</v>
      </c>
      <c r="AAT23" s="30">
        <f t="shared" si="11"/>
        <v>63979</v>
      </c>
      <c r="AAU23" s="30">
        <f t="shared" si="11"/>
        <v>64010</v>
      </c>
      <c r="AAV23" s="30">
        <f t="shared" si="11"/>
        <v>64040</v>
      </c>
      <c r="AAW23" s="30">
        <f t="shared" si="11"/>
        <v>64071</v>
      </c>
      <c r="AAX23" s="30">
        <f t="shared" si="11"/>
        <v>64101</v>
      </c>
      <c r="AAY23" s="30">
        <f t="shared" si="11"/>
        <v>64132</v>
      </c>
      <c r="AAZ23" s="30">
        <f t="shared" si="11"/>
        <v>64163</v>
      </c>
      <c r="ABA23" s="30">
        <f t="shared" si="11"/>
        <v>64193</v>
      </c>
      <c r="ABB23" s="30">
        <f t="shared" si="11"/>
        <v>64224</v>
      </c>
      <c r="ABC23" s="30">
        <f t="shared" si="11"/>
        <v>64254</v>
      </c>
      <c r="ABD23" s="30">
        <f t="shared" si="11"/>
        <v>64285</v>
      </c>
      <c r="ABE23" s="30">
        <f t="shared" si="11"/>
        <v>64316</v>
      </c>
      <c r="ABF23" s="30">
        <f t="shared" si="11"/>
        <v>64345</v>
      </c>
      <c r="ABG23" s="30">
        <f t="shared" si="11"/>
        <v>64376</v>
      </c>
      <c r="ABH23" s="30">
        <f t="shared" si="11"/>
        <v>64406</v>
      </c>
      <c r="ABI23" s="30">
        <f t="shared" si="11"/>
        <v>64437</v>
      </c>
      <c r="ABJ23" s="30">
        <f t="shared" si="11"/>
        <v>64467</v>
      </c>
      <c r="ABK23" s="30">
        <f t="shared" si="11"/>
        <v>64498</v>
      </c>
      <c r="ABL23" s="30">
        <f t="shared" si="11"/>
        <v>64529</v>
      </c>
      <c r="ABM23" s="30">
        <f t="shared" si="11"/>
        <v>64559</v>
      </c>
      <c r="ABN23" s="30">
        <f t="shared" si="11"/>
        <v>64590</v>
      </c>
      <c r="ABO23" s="30">
        <f t="shared" si="11"/>
        <v>64620</v>
      </c>
      <c r="ABP23" s="30">
        <f t="shared" si="11"/>
        <v>64651</v>
      </c>
      <c r="ABQ23" s="30">
        <f t="shared" si="11"/>
        <v>64682</v>
      </c>
      <c r="ABR23" s="30">
        <f t="shared" si="11"/>
        <v>64710</v>
      </c>
      <c r="ABS23" s="30">
        <f t="shared" si="11"/>
        <v>64741</v>
      </c>
      <c r="ABT23" s="30">
        <f t="shared" si="11"/>
        <v>64771</v>
      </c>
      <c r="ABU23" s="30">
        <f t="shared" si="11"/>
        <v>64802</v>
      </c>
      <c r="ABV23" s="30">
        <f t="shared" si="11"/>
        <v>64832</v>
      </c>
      <c r="ABW23" s="30">
        <f t="shared" si="11"/>
        <v>64863</v>
      </c>
      <c r="ABX23" s="30">
        <f t="shared" si="11"/>
        <v>64894</v>
      </c>
      <c r="ABY23" s="30">
        <f t="shared" si="11"/>
        <v>64924</v>
      </c>
      <c r="ABZ23" s="30">
        <f t="shared" si="11"/>
        <v>64955</v>
      </c>
      <c r="ACA23" s="30">
        <f t="shared" si="11"/>
        <v>64985</v>
      </c>
      <c r="ACB23" s="30">
        <f t="shared" si="11"/>
        <v>65016</v>
      </c>
      <c r="ACC23" s="30">
        <f t="shared" si="11"/>
        <v>65047</v>
      </c>
      <c r="ACD23" s="30">
        <f t="shared" si="11"/>
        <v>65075</v>
      </c>
      <c r="ACE23" s="30">
        <f t="shared" si="11"/>
        <v>65106</v>
      </c>
      <c r="ACF23" s="30">
        <f t="shared" si="11"/>
        <v>65136</v>
      </c>
      <c r="ACG23" s="30">
        <f t="shared" si="11"/>
        <v>65167</v>
      </c>
      <c r="ACH23" s="30">
        <f t="shared" si="11"/>
        <v>65197</v>
      </c>
      <c r="ACI23" s="30">
        <f t="shared" si="11"/>
        <v>65228</v>
      </c>
      <c r="ACJ23" s="30">
        <f t="shared" si="11"/>
        <v>65259</v>
      </c>
      <c r="ACK23" s="30">
        <f t="shared" si="11"/>
        <v>65289</v>
      </c>
      <c r="ACL23" s="30">
        <f t="shared" si="11"/>
        <v>65320</v>
      </c>
      <c r="ACM23" s="30">
        <f t="shared" si="11"/>
        <v>65350</v>
      </c>
      <c r="ACN23" s="30">
        <f t="shared" si="11"/>
        <v>65381</v>
      </c>
      <c r="ACO23" s="30">
        <f t="shared" si="11"/>
        <v>65412</v>
      </c>
      <c r="ACP23" s="30">
        <f t="shared" si="11"/>
        <v>65440</v>
      </c>
      <c r="ACQ23" s="30">
        <f t="shared" si="11"/>
        <v>65471</v>
      </c>
      <c r="ACR23" s="30">
        <f t="shared" ref="ACR23:AFC23" si="12">EDATE(ACQ23,1)</f>
        <v>65501</v>
      </c>
      <c r="ACS23" s="30">
        <f t="shared" si="12"/>
        <v>65532</v>
      </c>
      <c r="ACT23" s="30">
        <f t="shared" si="12"/>
        <v>65562</v>
      </c>
      <c r="ACU23" s="30">
        <f t="shared" si="12"/>
        <v>65593</v>
      </c>
      <c r="ACV23" s="30">
        <f t="shared" si="12"/>
        <v>65624</v>
      </c>
      <c r="ACW23" s="30">
        <f t="shared" si="12"/>
        <v>65654</v>
      </c>
      <c r="ACX23" s="30">
        <f t="shared" si="12"/>
        <v>65685</v>
      </c>
      <c r="ACY23" s="30">
        <f t="shared" si="12"/>
        <v>65715</v>
      </c>
      <c r="ACZ23" s="30">
        <f t="shared" si="12"/>
        <v>65746</v>
      </c>
      <c r="ADA23" s="30">
        <f t="shared" si="12"/>
        <v>65777</v>
      </c>
      <c r="ADB23" s="30">
        <f t="shared" si="12"/>
        <v>65806</v>
      </c>
      <c r="ADC23" s="30">
        <f t="shared" si="12"/>
        <v>65837</v>
      </c>
      <c r="ADD23" s="30">
        <f t="shared" si="12"/>
        <v>65867</v>
      </c>
      <c r="ADE23" s="30">
        <f t="shared" si="12"/>
        <v>65898</v>
      </c>
      <c r="ADF23" s="30">
        <f t="shared" si="12"/>
        <v>65928</v>
      </c>
      <c r="ADG23" s="30">
        <f t="shared" si="12"/>
        <v>65959</v>
      </c>
      <c r="ADH23" s="30">
        <f t="shared" si="12"/>
        <v>65990</v>
      </c>
      <c r="ADI23" s="30">
        <f t="shared" si="12"/>
        <v>66020</v>
      </c>
      <c r="ADJ23" s="30">
        <f t="shared" si="12"/>
        <v>66051</v>
      </c>
      <c r="ADK23" s="30">
        <f t="shared" si="12"/>
        <v>66081</v>
      </c>
      <c r="ADL23" s="30">
        <f t="shared" si="12"/>
        <v>66112</v>
      </c>
      <c r="ADM23" s="30">
        <f t="shared" si="12"/>
        <v>66143</v>
      </c>
      <c r="ADN23" s="30">
        <f t="shared" si="12"/>
        <v>66171</v>
      </c>
      <c r="ADO23" s="30">
        <f t="shared" si="12"/>
        <v>66202</v>
      </c>
      <c r="ADP23" s="30">
        <f t="shared" si="12"/>
        <v>66232</v>
      </c>
      <c r="ADQ23" s="30">
        <f t="shared" si="12"/>
        <v>66263</v>
      </c>
      <c r="ADR23" s="30">
        <f t="shared" si="12"/>
        <v>66293</v>
      </c>
      <c r="ADS23" s="30">
        <f t="shared" si="12"/>
        <v>66324</v>
      </c>
      <c r="ADT23" s="30">
        <f t="shared" si="12"/>
        <v>66355</v>
      </c>
      <c r="ADU23" s="30">
        <f t="shared" si="12"/>
        <v>66385</v>
      </c>
      <c r="ADV23" s="30">
        <f t="shared" si="12"/>
        <v>66416</v>
      </c>
      <c r="ADW23" s="30">
        <f t="shared" si="12"/>
        <v>66446</v>
      </c>
      <c r="ADX23" s="30">
        <f t="shared" si="12"/>
        <v>66477</v>
      </c>
      <c r="ADY23" s="30">
        <f t="shared" si="12"/>
        <v>66508</v>
      </c>
      <c r="ADZ23" s="30">
        <f t="shared" si="12"/>
        <v>66536</v>
      </c>
      <c r="AEA23" s="30">
        <f t="shared" si="12"/>
        <v>66567</v>
      </c>
      <c r="AEB23" s="30">
        <f t="shared" si="12"/>
        <v>66597</v>
      </c>
      <c r="AEC23" s="30">
        <f t="shared" si="12"/>
        <v>66628</v>
      </c>
      <c r="AED23" s="30">
        <f t="shared" si="12"/>
        <v>66658</v>
      </c>
      <c r="AEE23" s="30">
        <f t="shared" si="12"/>
        <v>66689</v>
      </c>
      <c r="AEF23" s="30">
        <f t="shared" si="12"/>
        <v>66720</v>
      </c>
      <c r="AEG23" s="30">
        <f t="shared" si="12"/>
        <v>66750</v>
      </c>
      <c r="AEH23" s="30">
        <f t="shared" si="12"/>
        <v>66781</v>
      </c>
      <c r="AEI23" s="30">
        <f t="shared" si="12"/>
        <v>66811</v>
      </c>
      <c r="AEJ23" s="30">
        <f t="shared" si="12"/>
        <v>66842</v>
      </c>
      <c r="AEK23" s="30">
        <f t="shared" si="12"/>
        <v>66873</v>
      </c>
      <c r="AEL23" s="30">
        <f t="shared" si="12"/>
        <v>66901</v>
      </c>
      <c r="AEM23" s="30">
        <f t="shared" si="12"/>
        <v>66932</v>
      </c>
      <c r="AEN23" s="30">
        <f t="shared" si="12"/>
        <v>66962</v>
      </c>
      <c r="AEO23" s="30">
        <f t="shared" si="12"/>
        <v>66993</v>
      </c>
      <c r="AEP23" s="30">
        <f t="shared" si="12"/>
        <v>67023</v>
      </c>
      <c r="AEQ23" s="30">
        <f t="shared" si="12"/>
        <v>67054</v>
      </c>
      <c r="AER23" s="30">
        <f t="shared" si="12"/>
        <v>67085</v>
      </c>
      <c r="AES23" s="30">
        <f t="shared" si="12"/>
        <v>67115</v>
      </c>
      <c r="AET23" s="30">
        <f t="shared" si="12"/>
        <v>67146</v>
      </c>
      <c r="AEU23" s="30">
        <f t="shared" si="12"/>
        <v>67176</v>
      </c>
      <c r="AEV23" s="30">
        <f t="shared" si="12"/>
        <v>67207</v>
      </c>
      <c r="AEW23" s="30">
        <f t="shared" si="12"/>
        <v>67238</v>
      </c>
      <c r="AEX23" s="30">
        <f t="shared" si="12"/>
        <v>67267</v>
      </c>
      <c r="AEY23" s="30">
        <f t="shared" si="12"/>
        <v>67298</v>
      </c>
      <c r="AEZ23" s="30">
        <f t="shared" si="12"/>
        <v>67328</v>
      </c>
      <c r="AFA23" s="30">
        <f t="shared" si="12"/>
        <v>67359</v>
      </c>
      <c r="AFB23" s="30">
        <f t="shared" si="12"/>
        <v>67389</v>
      </c>
      <c r="AFC23" s="30">
        <f t="shared" si="12"/>
        <v>67420</v>
      </c>
      <c r="AFD23" s="30">
        <f t="shared" ref="AFD23:AHO23" si="13">EDATE(AFC23,1)</f>
        <v>67451</v>
      </c>
      <c r="AFE23" s="30">
        <f t="shared" si="13"/>
        <v>67481</v>
      </c>
      <c r="AFF23" s="30">
        <f t="shared" si="13"/>
        <v>67512</v>
      </c>
      <c r="AFG23" s="30">
        <f t="shared" si="13"/>
        <v>67542</v>
      </c>
      <c r="AFH23" s="30">
        <f t="shared" si="13"/>
        <v>67573</v>
      </c>
      <c r="AFI23" s="30">
        <f t="shared" si="13"/>
        <v>67604</v>
      </c>
      <c r="AFJ23" s="30">
        <f t="shared" si="13"/>
        <v>67632</v>
      </c>
      <c r="AFK23" s="30">
        <f t="shared" si="13"/>
        <v>67663</v>
      </c>
      <c r="AFL23" s="30">
        <f t="shared" si="13"/>
        <v>67693</v>
      </c>
      <c r="AFM23" s="30">
        <f t="shared" si="13"/>
        <v>67724</v>
      </c>
      <c r="AFN23" s="30">
        <f t="shared" si="13"/>
        <v>67754</v>
      </c>
      <c r="AFO23" s="30">
        <f t="shared" si="13"/>
        <v>67785</v>
      </c>
      <c r="AFP23" s="30">
        <f t="shared" si="13"/>
        <v>67816</v>
      </c>
      <c r="AFQ23" s="30">
        <f t="shared" si="13"/>
        <v>67846</v>
      </c>
      <c r="AFR23" s="30">
        <f t="shared" si="13"/>
        <v>67877</v>
      </c>
      <c r="AFS23" s="30">
        <f t="shared" si="13"/>
        <v>67907</v>
      </c>
      <c r="AFT23" s="30">
        <f t="shared" si="13"/>
        <v>67938</v>
      </c>
      <c r="AFU23" s="30">
        <f t="shared" si="13"/>
        <v>67969</v>
      </c>
      <c r="AFV23" s="30">
        <f t="shared" si="13"/>
        <v>67997</v>
      </c>
      <c r="AFW23" s="30">
        <f t="shared" si="13"/>
        <v>68028</v>
      </c>
      <c r="AFX23" s="30">
        <f t="shared" si="13"/>
        <v>68058</v>
      </c>
      <c r="AFY23" s="30">
        <f t="shared" si="13"/>
        <v>68089</v>
      </c>
      <c r="AFZ23" s="30">
        <f t="shared" si="13"/>
        <v>68119</v>
      </c>
      <c r="AGA23" s="30">
        <f t="shared" si="13"/>
        <v>68150</v>
      </c>
      <c r="AGB23" s="30">
        <f t="shared" si="13"/>
        <v>68181</v>
      </c>
      <c r="AGC23" s="30">
        <f t="shared" si="13"/>
        <v>68211</v>
      </c>
      <c r="AGD23" s="30">
        <f t="shared" si="13"/>
        <v>68242</v>
      </c>
      <c r="AGE23" s="30">
        <f t="shared" si="13"/>
        <v>68272</v>
      </c>
      <c r="AGF23" s="30">
        <f t="shared" si="13"/>
        <v>68303</v>
      </c>
      <c r="AGG23" s="30">
        <f t="shared" si="13"/>
        <v>68334</v>
      </c>
      <c r="AGH23" s="30">
        <f t="shared" si="13"/>
        <v>68362</v>
      </c>
      <c r="AGI23" s="30">
        <f t="shared" si="13"/>
        <v>68393</v>
      </c>
      <c r="AGJ23" s="30">
        <f t="shared" si="13"/>
        <v>68423</v>
      </c>
      <c r="AGK23" s="30">
        <f t="shared" si="13"/>
        <v>68454</v>
      </c>
      <c r="AGL23" s="30">
        <f t="shared" si="13"/>
        <v>68484</v>
      </c>
      <c r="AGM23" s="30">
        <f t="shared" si="13"/>
        <v>68515</v>
      </c>
      <c r="AGN23" s="30">
        <f t="shared" si="13"/>
        <v>68546</v>
      </c>
      <c r="AGO23" s="30">
        <f t="shared" si="13"/>
        <v>68576</v>
      </c>
      <c r="AGP23" s="30">
        <f t="shared" si="13"/>
        <v>68607</v>
      </c>
      <c r="AGQ23" s="30">
        <f t="shared" si="13"/>
        <v>68637</v>
      </c>
      <c r="AGR23" s="30">
        <f t="shared" si="13"/>
        <v>68668</v>
      </c>
      <c r="AGS23" s="30">
        <f t="shared" si="13"/>
        <v>68699</v>
      </c>
      <c r="AGT23" s="30">
        <f t="shared" si="13"/>
        <v>68728</v>
      </c>
      <c r="AGU23" s="30">
        <f t="shared" si="13"/>
        <v>68759</v>
      </c>
      <c r="AGV23" s="30">
        <f t="shared" si="13"/>
        <v>68789</v>
      </c>
      <c r="AGW23" s="30">
        <f t="shared" si="13"/>
        <v>68820</v>
      </c>
      <c r="AGX23" s="30">
        <f t="shared" si="13"/>
        <v>68850</v>
      </c>
      <c r="AGY23" s="30">
        <f t="shared" si="13"/>
        <v>68881</v>
      </c>
      <c r="AGZ23" s="30">
        <f t="shared" si="13"/>
        <v>68912</v>
      </c>
      <c r="AHA23" s="30">
        <f t="shared" si="13"/>
        <v>68942</v>
      </c>
      <c r="AHB23" s="30">
        <f t="shared" si="13"/>
        <v>68973</v>
      </c>
      <c r="AHC23" s="30">
        <f t="shared" si="13"/>
        <v>69003</v>
      </c>
      <c r="AHD23" s="30">
        <f t="shared" si="13"/>
        <v>69034</v>
      </c>
      <c r="AHE23" s="30">
        <f t="shared" si="13"/>
        <v>69065</v>
      </c>
      <c r="AHF23" s="30">
        <f t="shared" si="13"/>
        <v>69093</v>
      </c>
      <c r="AHG23" s="30">
        <f t="shared" si="13"/>
        <v>69124</v>
      </c>
      <c r="AHH23" s="30">
        <f t="shared" si="13"/>
        <v>69154</v>
      </c>
      <c r="AHI23" s="30">
        <f t="shared" si="13"/>
        <v>69185</v>
      </c>
      <c r="AHJ23" s="30">
        <f t="shared" si="13"/>
        <v>69215</v>
      </c>
      <c r="AHK23" s="30">
        <f t="shared" si="13"/>
        <v>69246</v>
      </c>
      <c r="AHL23" s="30">
        <f t="shared" si="13"/>
        <v>69277</v>
      </c>
      <c r="AHM23" s="30">
        <f t="shared" si="13"/>
        <v>69307</v>
      </c>
      <c r="AHN23" s="30">
        <f t="shared" si="13"/>
        <v>69338</v>
      </c>
      <c r="AHO23" s="30">
        <f t="shared" si="13"/>
        <v>69368</v>
      </c>
      <c r="AHP23" s="30">
        <f t="shared" ref="AHP23:AKA23" si="14">EDATE(AHO23,1)</f>
        <v>69399</v>
      </c>
      <c r="AHQ23" s="30">
        <f t="shared" si="14"/>
        <v>69430</v>
      </c>
      <c r="AHR23" s="30">
        <f t="shared" si="14"/>
        <v>69458</v>
      </c>
      <c r="AHS23" s="30">
        <f t="shared" si="14"/>
        <v>69489</v>
      </c>
      <c r="AHT23" s="30">
        <f t="shared" si="14"/>
        <v>69519</v>
      </c>
      <c r="AHU23" s="30">
        <f t="shared" si="14"/>
        <v>69550</v>
      </c>
      <c r="AHV23" s="30">
        <f t="shared" si="14"/>
        <v>69580</v>
      </c>
      <c r="AHW23" s="30">
        <f t="shared" si="14"/>
        <v>69611</v>
      </c>
      <c r="AHX23" s="30">
        <f t="shared" si="14"/>
        <v>69642</v>
      </c>
      <c r="AHY23" s="30">
        <f t="shared" si="14"/>
        <v>69672</v>
      </c>
      <c r="AHZ23" s="30">
        <f t="shared" si="14"/>
        <v>69703</v>
      </c>
      <c r="AIA23" s="30">
        <f t="shared" si="14"/>
        <v>69733</v>
      </c>
      <c r="AIB23" s="30">
        <f t="shared" si="14"/>
        <v>69764</v>
      </c>
      <c r="AIC23" s="30">
        <f t="shared" si="14"/>
        <v>69795</v>
      </c>
      <c r="AID23" s="30">
        <f t="shared" si="14"/>
        <v>69823</v>
      </c>
      <c r="AIE23" s="30">
        <f t="shared" si="14"/>
        <v>69854</v>
      </c>
      <c r="AIF23" s="30">
        <f t="shared" si="14"/>
        <v>69884</v>
      </c>
      <c r="AIG23" s="30">
        <f t="shared" si="14"/>
        <v>69915</v>
      </c>
      <c r="AIH23" s="30">
        <f t="shared" si="14"/>
        <v>69945</v>
      </c>
      <c r="AII23" s="30">
        <f t="shared" si="14"/>
        <v>69976</v>
      </c>
      <c r="AIJ23" s="30">
        <f t="shared" si="14"/>
        <v>70007</v>
      </c>
      <c r="AIK23" s="30">
        <f t="shared" si="14"/>
        <v>70037</v>
      </c>
      <c r="AIL23" s="30">
        <f t="shared" si="14"/>
        <v>70068</v>
      </c>
      <c r="AIM23" s="30">
        <f t="shared" si="14"/>
        <v>70098</v>
      </c>
      <c r="AIN23" s="30">
        <f t="shared" si="14"/>
        <v>70129</v>
      </c>
      <c r="AIO23" s="30">
        <f t="shared" si="14"/>
        <v>70160</v>
      </c>
      <c r="AIP23" s="30">
        <f t="shared" si="14"/>
        <v>70189</v>
      </c>
      <c r="AIQ23" s="30">
        <f t="shared" si="14"/>
        <v>70220</v>
      </c>
      <c r="AIR23" s="30">
        <f t="shared" si="14"/>
        <v>70250</v>
      </c>
      <c r="AIS23" s="30">
        <f t="shared" si="14"/>
        <v>70281</v>
      </c>
      <c r="AIT23" s="30">
        <f t="shared" si="14"/>
        <v>70311</v>
      </c>
      <c r="AIU23" s="30">
        <f t="shared" si="14"/>
        <v>70342</v>
      </c>
      <c r="AIV23" s="30">
        <f t="shared" si="14"/>
        <v>70373</v>
      </c>
      <c r="AIW23" s="30">
        <f t="shared" si="14"/>
        <v>70403</v>
      </c>
      <c r="AIX23" s="30">
        <f t="shared" si="14"/>
        <v>70434</v>
      </c>
      <c r="AIY23" s="30">
        <f t="shared" si="14"/>
        <v>70464</v>
      </c>
      <c r="AIZ23" s="30">
        <f t="shared" si="14"/>
        <v>70495</v>
      </c>
      <c r="AJA23" s="30">
        <f t="shared" si="14"/>
        <v>70526</v>
      </c>
      <c r="AJB23" s="30">
        <f t="shared" si="14"/>
        <v>70554</v>
      </c>
      <c r="AJC23" s="30">
        <f t="shared" si="14"/>
        <v>70585</v>
      </c>
      <c r="AJD23" s="30">
        <f t="shared" si="14"/>
        <v>70615</v>
      </c>
      <c r="AJE23" s="30">
        <f t="shared" si="14"/>
        <v>70646</v>
      </c>
      <c r="AJF23" s="30">
        <f t="shared" si="14"/>
        <v>70676</v>
      </c>
      <c r="AJG23" s="30">
        <f t="shared" si="14"/>
        <v>70707</v>
      </c>
      <c r="AJH23" s="30">
        <f t="shared" si="14"/>
        <v>70738</v>
      </c>
      <c r="AJI23" s="30">
        <f t="shared" si="14"/>
        <v>70768</v>
      </c>
      <c r="AJJ23" s="30">
        <f t="shared" si="14"/>
        <v>70799</v>
      </c>
      <c r="AJK23" s="30">
        <f t="shared" si="14"/>
        <v>70829</v>
      </c>
      <c r="AJL23" s="30">
        <f t="shared" si="14"/>
        <v>70860</v>
      </c>
      <c r="AJM23" s="30">
        <f t="shared" si="14"/>
        <v>70891</v>
      </c>
      <c r="AJN23" s="30">
        <f t="shared" si="14"/>
        <v>70919</v>
      </c>
      <c r="AJO23" s="30">
        <f t="shared" si="14"/>
        <v>70950</v>
      </c>
      <c r="AJP23" s="30">
        <f t="shared" si="14"/>
        <v>70980</v>
      </c>
      <c r="AJQ23" s="30">
        <f t="shared" si="14"/>
        <v>71011</v>
      </c>
      <c r="AJR23" s="30">
        <f t="shared" si="14"/>
        <v>71041</v>
      </c>
      <c r="AJS23" s="30">
        <f t="shared" si="14"/>
        <v>71072</v>
      </c>
      <c r="AJT23" s="30">
        <f t="shared" si="14"/>
        <v>71103</v>
      </c>
      <c r="AJU23" s="30">
        <f t="shared" si="14"/>
        <v>71133</v>
      </c>
      <c r="AJV23" s="30">
        <f t="shared" si="14"/>
        <v>71164</v>
      </c>
      <c r="AJW23" s="30">
        <f t="shared" si="14"/>
        <v>71194</v>
      </c>
      <c r="AJX23" s="30">
        <f t="shared" si="14"/>
        <v>71225</v>
      </c>
      <c r="AJY23" s="30">
        <f t="shared" si="14"/>
        <v>71256</v>
      </c>
      <c r="AJZ23" s="30">
        <f t="shared" si="14"/>
        <v>71284</v>
      </c>
      <c r="AKA23" s="30">
        <f t="shared" si="14"/>
        <v>71315</v>
      </c>
      <c r="AKB23" s="30">
        <f t="shared" ref="AKB23:AMM23" si="15">EDATE(AKA23,1)</f>
        <v>71345</v>
      </c>
      <c r="AKC23" s="30">
        <f t="shared" si="15"/>
        <v>71376</v>
      </c>
      <c r="AKD23" s="30">
        <f t="shared" si="15"/>
        <v>71406</v>
      </c>
      <c r="AKE23" s="30">
        <f t="shared" si="15"/>
        <v>71437</v>
      </c>
      <c r="AKF23" s="30">
        <f t="shared" si="15"/>
        <v>71468</v>
      </c>
      <c r="AKG23" s="30">
        <f t="shared" si="15"/>
        <v>71498</v>
      </c>
      <c r="AKH23" s="30">
        <f t="shared" si="15"/>
        <v>71529</v>
      </c>
      <c r="AKI23" s="30">
        <f t="shared" si="15"/>
        <v>71559</v>
      </c>
      <c r="AKJ23" s="30">
        <f t="shared" si="15"/>
        <v>71590</v>
      </c>
      <c r="AKK23" s="30">
        <f t="shared" si="15"/>
        <v>71621</v>
      </c>
      <c r="AKL23" s="30">
        <f t="shared" si="15"/>
        <v>71650</v>
      </c>
      <c r="AKM23" s="30">
        <f t="shared" si="15"/>
        <v>71681</v>
      </c>
      <c r="AKN23" s="30">
        <f t="shared" si="15"/>
        <v>71711</v>
      </c>
      <c r="AKO23" s="30">
        <f t="shared" si="15"/>
        <v>71742</v>
      </c>
      <c r="AKP23" s="30">
        <f t="shared" si="15"/>
        <v>71772</v>
      </c>
      <c r="AKQ23" s="30">
        <f t="shared" si="15"/>
        <v>71803</v>
      </c>
      <c r="AKR23" s="30">
        <f t="shared" si="15"/>
        <v>71834</v>
      </c>
      <c r="AKS23" s="30">
        <f t="shared" si="15"/>
        <v>71864</v>
      </c>
      <c r="AKT23" s="30">
        <f t="shared" si="15"/>
        <v>71895</v>
      </c>
      <c r="AKU23" s="30">
        <f t="shared" si="15"/>
        <v>71925</v>
      </c>
      <c r="AKV23" s="30">
        <f t="shared" si="15"/>
        <v>71956</v>
      </c>
      <c r="AKW23" s="30">
        <f t="shared" si="15"/>
        <v>71987</v>
      </c>
      <c r="AKX23" s="30">
        <f t="shared" si="15"/>
        <v>72015</v>
      </c>
      <c r="AKY23" s="30">
        <f t="shared" si="15"/>
        <v>72046</v>
      </c>
      <c r="AKZ23" s="30">
        <f t="shared" si="15"/>
        <v>72076</v>
      </c>
      <c r="ALA23" s="30">
        <f t="shared" si="15"/>
        <v>72107</v>
      </c>
      <c r="ALB23" s="30">
        <f t="shared" si="15"/>
        <v>72137</v>
      </c>
      <c r="ALC23" s="30">
        <f t="shared" si="15"/>
        <v>72168</v>
      </c>
      <c r="ALD23" s="30">
        <f t="shared" si="15"/>
        <v>72199</v>
      </c>
      <c r="ALE23" s="30">
        <f t="shared" si="15"/>
        <v>72229</v>
      </c>
      <c r="ALF23" s="30">
        <f t="shared" si="15"/>
        <v>72260</v>
      </c>
      <c r="ALG23" s="30">
        <f t="shared" si="15"/>
        <v>72290</v>
      </c>
      <c r="ALH23" s="30">
        <f t="shared" si="15"/>
        <v>72321</v>
      </c>
      <c r="ALI23" s="30">
        <f t="shared" si="15"/>
        <v>72352</v>
      </c>
      <c r="ALJ23" s="30">
        <f t="shared" si="15"/>
        <v>72380</v>
      </c>
      <c r="ALK23" s="30">
        <f t="shared" si="15"/>
        <v>72411</v>
      </c>
      <c r="ALL23" s="30">
        <f t="shared" si="15"/>
        <v>72441</v>
      </c>
      <c r="ALM23" s="30">
        <f t="shared" si="15"/>
        <v>72472</v>
      </c>
      <c r="ALN23" s="30">
        <f t="shared" si="15"/>
        <v>72502</v>
      </c>
      <c r="ALO23" s="30">
        <f t="shared" si="15"/>
        <v>72533</v>
      </c>
      <c r="ALP23" s="30">
        <f t="shared" si="15"/>
        <v>72564</v>
      </c>
      <c r="ALQ23" s="30">
        <f t="shared" si="15"/>
        <v>72594</v>
      </c>
      <c r="ALR23" s="30">
        <f t="shared" si="15"/>
        <v>72625</v>
      </c>
      <c r="ALS23" s="30">
        <f t="shared" si="15"/>
        <v>72655</v>
      </c>
      <c r="ALT23" s="30">
        <f t="shared" si="15"/>
        <v>72686</v>
      </c>
      <c r="ALU23" s="30">
        <f t="shared" si="15"/>
        <v>72717</v>
      </c>
      <c r="ALV23" s="30">
        <f t="shared" si="15"/>
        <v>72745</v>
      </c>
      <c r="ALW23" s="30">
        <f t="shared" si="15"/>
        <v>72776</v>
      </c>
      <c r="ALX23" s="30">
        <f t="shared" si="15"/>
        <v>72806</v>
      </c>
      <c r="ALY23" s="30">
        <f t="shared" si="15"/>
        <v>72837</v>
      </c>
      <c r="ALZ23" s="30">
        <f t="shared" si="15"/>
        <v>72867</v>
      </c>
      <c r="AMA23" s="30">
        <f t="shared" si="15"/>
        <v>72898</v>
      </c>
      <c r="AMB23" s="30">
        <f t="shared" si="15"/>
        <v>72929</v>
      </c>
      <c r="AMC23" s="30">
        <f t="shared" si="15"/>
        <v>72959</v>
      </c>
      <c r="AMD23" s="30">
        <f t="shared" si="15"/>
        <v>72990</v>
      </c>
      <c r="AME23" s="30">
        <f t="shared" si="15"/>
        <v>73020</v>
      </c>
      <c r="AMF23" s="30">
        <f t="shared" si="15"/>
        <v>73051</v>
      </c>
      <c r="AMG23" s="30">
        <f t="shared" si="15"/>
        <v>73082</v>
      </c>
      <c r="AMH23" s="30">
        <f t="shared" si="15"/>
        <v>73110</v>
      </c>
      <c r="AMI23" s="30">
        <f t="shared" si="15"/>
        <v>73141</v>
      </c>
      <c r="AMJ23" s="30">
        <f t="shared" si="15"/>
        <v>73171</v>
      </c>
      <c r="AMK23" s="30">
        <f t="shared" si="15"/>
        <v>73202</v>
      </c>
      <c r="AML23" s="30">
        <f t="shared" si="15"/>
        <v>73232</v>
      </c>
      <c r="AMM23" s="30">
        <f t="shared" si="15"/>
        <v>73263</v>
      </c>
      <c r="AMN23" s="30">
        <f t="shared" ref="AMN23:AOY23" si="16">EDATE(AMM23,1)</f>
        <v>73294</v>
      </c>
      <c r="AMO23" s="30">
        <f t="shared" si="16"/>
        <v>73324</v>
      </c>
      <c r="AMP23" s="30">
        <f t="shared" si="16"/>
        <v>73355</v>
      </c>
      <c r="AMQ23" s="30">
        <f t="shared" si="16"/>
        <v>73385</v>
      </c>
      <c r="AMR23" s="30">
        <f t="shared" si="16"/>
        <v>73416</v>
      </c>
      <c r="AMS23" s="30">
        <f t="shared" si="16"/>
        <v>73447</v>
      </c>
      <c r="AMT23" s="30">
        <f t="shared" si="16"/>
        <v>73475</v>
      </c>
      <c r="AMU23" s="30">
        <f t="shared" si="16"/>
        <v>73506</v>
      </c>
      <c r="AMV23" s="30">
        <f t="shared" si="16"/>
        <v>73536</v>
      </c>
      <c r="AMW23" s="30">
        <f t="shared" si="16"/>
        <v>73567</v>
      </c>
      <c r="AMX23" s="30">
        <f t="shared" si="16"/>
        <v>73597</v>
      </c>
      <c r="AMY23" s="30">
        <f t="shared" si="16"/>
        <v>73628</v>
      </c>
      <c r="AMZ23" s="30">
        <f t="shared" si="16"/>
        <v>73659</v>
      </c>
      <c r="ANA23" s="30">
        <f t="shared" si="16"/>
        <v>73689</v>
      </c>
      <c r="ANB23" s="30">
        <f t="shared" si="16"/>
        <v>73720</v>
      </c>
      <c r="ANC23" s="30">
        <f t="shared" si="16"/>
        <v>73750</v>
      </c>
      <c r="AND23" s="30">
        <f t="shared" si="16"/>
        <v>73781</v>
      </c>
      <c r="ANE23" s="30">
        <f t="shared" si="16"/>
        <v>73812</v>
      </c>
      <c r="ANF23" s="30">
        <f t="shared" si="16"/>
        <v>73840</v>
      </c>
      <c r="ANG23" s="30">
        <f t="shared" si="16"/>
        <v>73871</v>
      </c>
      <c r="ANH23" s="30">
        <f t="shared" si="16"/>
        <v>73901</v>
      </c>
      <c r="ANI23" s="30">
        <f t="shared" si="16"/>
        <v>73932</v>
      </c>
      <c r="ANJ23" s="30">
        <f t="shared" si="16"/>
        <v>73962</v>
      </c>
      <c r="ANK23" s="30">
        <f t="shared" si="16"/>
        <v>73993</v>
      </c>
      <c r="ANL23" s="30">
        <f t="shared" si="16"/>
        <v>74024</v>
      </c>
      <c r="ANM23" s="30">
        <f t="shared" si="16"/>
        <v>74054</v>
      </c>
      <c r="ANN23" s="30">
        <f t="shared" si="16"/>
        <v>74085</v>
      </c>
      <c r="ANO23" s="30">
        <f t="shared" si="16"/>
        <v>74115</v>
      </c>
      <c r="ANP23" s="30">
        <f t="shared" si="16"/>
        <v>74146</v>
      </c>
      <c r="ANQ23" s="30">
        <f t="shared" si="16"/>
        <v>74177</v>
      </c>
      <c r="ANR23" s="30">
        <f t="shared" si="16"/>
        <v>74205</v>
      </c>
      <c r="ANS23" s="30">
        <f t="shared" si="16"/>
        <v>74236</v>
      </c>
      <c r="ANT23" s="30">
        <f t="shared" si="16"/>
        <v>74266</v>
      </c>
      <c r="ANU23" s="30">
        <f t="shared" si="16"/>
        <v>74297</v>
      </c>
      <c r="ANV23" s="30">
        <f t="shared" si="16"/>
        <v>74327</v>
      </c>
      <c r="ANW23" s="30">
        <f t="shared" si="16"/>
        <v>74358</v>
      </c>
      <c r="ANX23" s="30">
        <f t="shared" si="16"/>
        <v>74389</v>
      </c>
      <c r="ANY23" s="30">
        <f t="shared" si="16"/>
        <v>74419</v>
      </c>
      <c r="ANZ23" s="30">
        <f t="shared" si="16"/>
        <v>74450</v>
      </c>
      <c r="AOA23" s="30">
        <f t="shared" si="16"/>
        <v>74480</v>
      </c>
      <c r="AOB23" s="30">
        <f t="shared" si="16"/>
        <v>74511</v>
      </c>
      <c r="AOC23" s="30">
        <f t="shared" si="16"/>
        <v>74542</v>
      </c>
      <c r="AOD23" s="30">
        <f t="shared" si="16"/>
        <v>74571</v>
      </c>
      <c r="AOE23" s="30">
        <f t="shared" si="16"/>
        <v>74602</v>
      </c>
      <c r="AOF23" s="30">
        <f t="shared" si="16"/>
        <v>74632</v>
      </c>
      <c r="AOG23" s="30">
        <f t="shared" si="16"/>
        <v>74663</v>
      </c>
      <c r="AOH23" s="30">
        <f t="shared" si="16"/>
        <v>74693</v>
      </c>
      <c r="AOI23" s="30">
        <f t="shared" si="16"/>
        <v>74724</v>
      </c>
      <c r="AOJ23" s="30">
        <f t="shared" si="16"/>
        <v>74755</v>
      </c>
      <c r="AOK23" s="30">
        <f t="shared" si="16"/>
        <v>74785</v>
      </c>
      <c r="AOL23" s="30">
        <f t="shared" si="16"/>
        <v>74816</v>
      </c>
      <c r="AOM23" s="30">
        <f t="shared" si="16"/>
        <v>74846</v>
      </c>
      <c r="AON23" s="30">
        <f t="shared" si="16"/>
        <v>74877</v>
      </c>
      <c r="AOO23" s="30">
        <f t="shared" si="16"/>
        <v>74908</v>
      </c>
      <c r="AOP23" s="30">
        <f t="shared" si="16"/>
        <v>74936</v>
      </c>
      <c r="AOQ23" s="30">
        <f t="shared" si="16"/>
        <v>74967</v>
      </c>
      <c r="AOR23" s="30">
        <f t="shared" si="16"/>
        <v>74997</v>
      </c>
      <c r="AOS23" s="30">
        <f t="shared" si="16"/>
        <v>75028</v>
      </c>
      <c r="AOT23" s="30">
        <f t="shared" si="16"/>
        <v>75058</v>
      </c>
      <c r="AOU23" s="30">
        <f t="shared" si="16"/>
        <v>75089</v>
      </c>
      <c r="AOV23" s="30">
        <f t="shared" si="16"/>
        <v>75120</v>
      </c>
      <c r="AOW23" s="30">
        <f t="shared" si="16"/>
        <v>75150</v>
      </c>
      <c r="AOX23" s="30">
        <f t="shared" si="16"/>
        <v>75181</v>
      </c>
      <c r="AOY23" s="30">
        <f t="shared" si="16"/>
        <v>75211</v>
      </c>
      <c r="AOZ23" s="30">
        <f t="shared" ref="AOZ23:ARK23" si="17">EDATE(AOY23,1)</f>
        <v>75242</v>
      </c>
      <c r="APA23" s="30">
        <f t="shared" si="17"/>
        <v>75273</v>
      </c>
      <c r="APB23" s="30">
        <f t="shared" si="17"/>
        <v>75301</v>
      </c>
      <c r="APC23" s="30">
        <f t="shared" si="17"/>
        <v>75332</v>
      </c>
      <c r="APD23" s="30">
        <f t="shared" si="17"/>
        <v>75362</v>
      </c>
      <c r="APE23" s="30">
        <f t="shared" si="17"/>
        <v>75393</v>
      </c>
      <c r="APF23" s="30">
        <f t="shared" si="17"/>
        <v>75423</v>
      </c>
      <c r="APG23" s="30">
        <f t="shared" si="17"/>
        <v>75454</v>
      </c>
      <c r="APH23" s="30">
        <f t="shared" si="17"/>
        <v>75485</v>
      </c>
      <c r="API23" s="30">
        <f t="shared" si="17"/>
        <v>75515</v>
      </c>
      <c r="APJ23" s="30">
        <f t="shared" si="17"/>
        <v>75546</v>
      </c>
      <c r="APK23" s="30">
        <f t="shared" si="17"/>
        <v>75576</v>
      </c>
      <c r="APL23" s="30">
        <f t="shared" si="17"/>
        <v>75607</v>
      </c>
      <c r="APM23" s="30">
        <f t="shared" si="17"/>
        <v>75638</v>
      </c>
      <c r="APN23" s="30">
        <f t="shared" si="17"/>
        <v>75666</v>
      </c>
      <c r="APO23" s="30">
        <f t="shared" si="17"/>
        <v>75697</v>
      </c>
      <c r="APP23" s="30">
        <f t="shared" si="17"/>
        <v>75727</v>
      </c>
      <c r="APQ23" s="30">
        <f t="shared" si="17"/>
        <v>75758</v>
      </c>
      <c r="APR23" s="30">
        <f t="shared" si="17"/>
        <v>75788</v>
      </c>
      <c r="APS23" s="30">
        <f t="shared" si="17"/>
        <v>75819</v>
      </c>
      <c r="APT23" s="30">
        <f t="shared" si="17"/>
        <v>75850</v>
      </c>
      <c r="APU23" s="30">
        <f t="shared" si="17"/>
        <v>75880</v>
      </c>
      <c r="APV23" s="30">
        <f t="shared" si="17"/>
        <v>75911</v>
      </c>
      <c r="APW23" s="30">
        <f t="shared" si="17"/>
        <v>75941</v>
      </c>
      <c r="APX23" s="30">
        <f t="shared" si="17"/>
        <v>75972</v>
      </c>
      <c r="APY23" s="30">
        <f t="shared" si="17"/>
        <v>76003</v>
      </c>
      <c r="APZ23" s="30">
        <f t="shared" si="17"/>
        <v>76032</v>
      </c>
      <c r="AQA23" s="30">
        <f t="shared" si="17"/>
        <v>76063</v>
      </c>
      <c r="AQB23" s="30">
        <f t="shared" si="17"/>
        <v>76093</v>
      </c>
      <c r="AQC23" s="30">
        <f t="shared" si="17"/>
        <v>76124</v>
      </c>
      <c r="AQD23" s="30">
        <f t="shared" si="17"/>
        <v>76154</v>
      </c>
      <c r="AQE23" s="30">
        <f t="shared" si="17"/>
        <v>76185</v>
      </c>
      <c r="AQF23" s="30">
        <f t="shared" si="17"/>
        <v>76216</v>
      </c>
      <c r="AQG23" s="30">
        <f t="shared" si="17"/>
        <v>76246</v>
      </c>
      <c r="AQH23" s="30">
        <f t="shared" si="17"/>
        <v>76277</v>
      </c>
      <c r="AQI23" s="30">
        <f t="shared" si="17"/>
        <v>76307</v>
      </c>
      <c r="AQJ23" s="30">
        <f t="shared" si="17"/>
        <v>76338</v>
      </c>
      <c r="AQK23" s="30">
        <f t="shared" si="17"/>
        <v>76369</v>
      </c>
      <c r="AQL23" s="30">
        <f t="shared" si="17"/>
        <v>76397</v>
      </c>
      <c r="AQM23" s="30">
        <f t="shared" si="17"/>
        <v>76428</v>
      </c>
      <c r="AQN23" s="30">
        <f t="shared" si="17"/>
        <v>76458</v>
      </c>
      <c r="AQO23" s="30">
        <f t="shared" si="17"/>
        <v>76489</v>
      </c>
      <c r="AQP23" s="30">
        <f t="shared" si="17"/>
        <v>76519</v>
      </c>
      <c r="AQQ23" s="30">
        <f t="shared" si="17"/>
        <v>76550</v>
      </c>
      <c r="AQR23" s="30">
        <f t="shared" si="17"/>
        <v>76581</v>
      </c>
      <c r="AQS23" s="30">
        <f t="shared" si="17"/>
        <v>76611</v>
      </c>
      <c r="AQT23" s="30">
        <f t="shared" si="17"/>
        <v>76642</v>
      </c>
      <c r="AQU23" s="30">
        <f t="shared" si="17"/>
        <v>76672</v>
      </c>
      <c r="AQV23" s="30">
        <f t="shared" si="17"/>
        <v>76703</v>
      </c>
      <c r="AQW23" s="30">
        <f t="shared" si="17"/>
        <v>76734</v>
      </c>
      <c r="AQX23" s="30">
        <f t="shared" si="17"/>
        <v>76762</v>
      </c>
      <c r="AQY23" s="30">
        <f t="shared" si="17"/>
        <v>76793</v>
      </c>
      <c r="AQZ23" s="30">
        <f t="shared" si="17"/>
        <v>76823</v>
      </c>
      <c r="ARA23" s="30">
        <f t="shared" si="17"/>
        <v>76854</v>
      </c>
      <c r="ARB23" s="30">
        <f t="shared" si="17"/>
        <v>76884</v>
      </c>
      <c r="ARC23" s="30">
        <f t="shared" si="17"/>
        <v>76915</v>
      </c>
      <c r="ARD23" s="30">
        <f t="shared" si="17"/>
        <v>76946</v>
      </c>
      <c r="ARE23" s="30">
        <f t="shared" si="17"/>
        <v>76976</v>
      </c>
      <c r="ARF23" s="30">
        <f t="shared" si="17"/>
        <v>77007</v>
      </c>
      <c r="ARG23" s="30">
        <f t="shared" si="17"/>
        <v>77037</v>
      </c>
      <c r="ARH23" s="30">
        <f t="shared" si="17"/>
        <v>77068</v>
      </c>
      <c r="ARI23" s="30">
        <f t="shared" si="17"/>
        <v>77099</v>
      </c>
      <c r="ARJ23" s="30">
        <f t="shared" si="17"/>
        <v>77127</v>
      </c>
      <c r="ARK23" s="30">
        <f t="shared" si="17"/>
        <v>77158</v>
      </c>
      <c r="ARL23" s="30">
        <f t="shared" ref="ARL23:ATW23" si="18">EDATE(ARK23,1)</f>
        <v>77188</v>
      </c>
      <c r="ARM23" s="30">
        <f t="shared" si="18"/>
        <v>77219</v>
      </c>
      <c r="ARN23" s="30">
        <f t="shared" si="18"/>
        <v>77249</v>
      </c>
      <c r="ARO23" s="30">
        <f t="shared" si="18"/>
        <v>77280</v>
      </c>
      <c r="ARP23" s="30">
        <f t="shared" si="18"/>
        <v>77311</v>
      </c>
      <c r="ARQ23" s="30">
        <f t="shared" si="18"/>
        <v>77341</v>
      </c>
      <c r="ARR23" s="30">
        <f t="shared" si="18"/>
        <v>77372</v>
      </c>
      <c r="ARS23" s="30">
        <f t="shared" si="18"/>
        <v>77402</v>
      </c>
      <c r="ART23" s="30">
        <f t="shared" si="18"/>
        <v>77433</v>
      </c>
      <c r="ARU23" s="30">
        <f t="shared" si="18"/>
        <v>77464</v>
      </c>
      <c r="ARV23" s="30">
        <f t="shared" si="18"/>
        <v>77493</v>
      </c>
      <c r="ARW23" s="30">
        <f t="shared" si="18"/>
        <v>77524</v>
      </c>
      <c r="ARX23" s="30">
        <f t="shared" si="18"/>
        <v>77554</v>
      </c>
      <c r="ARY23" s="30">
        <f t="shared" si="18"/>
        <v>77585</v>
      </c>
      <c r="ARZ23" s="30">
        <f t="shared" si="18"/>
        <v>77615</v>
      </c>
      <c r="ASA23" s="30">
        <f t="shared" si="18"/>
        <v>77646</v>
      </c>
      <c r="ASB23" s="30">
        <f t="shared" si="18"/>
        <v>77677</v>
      </c>
      <c r="ASC23" s="30">
        <f t="shared" si="18"/>
        <v>77707</v>
      </c>
      <c r="ASD23" s="30">
        <f t="shared" si="18"/>
        <v>77738</v>
      </c>
      <c r="ASE23" s="30">
        <f t="shared" si="18"/>
        <v>77768</v>
      </c>
      <c r="ASF23" s="30">
        <f t="shared" si="18"/>
        <v>77799</v>
      </c>
      <c r="ASG23" s="30">
        <f t="shared" si="18"/>
        <v>77830</v>
      </c>
      <c r="ASH23" s="30">
        <f t="shared" si="18"/>
        <v>77858</v>
      </c>
      <c r="ASI23" s="30">
        <f t="shared" si="18"/>
        <v>77889</v>
      </c>
      <c r="ASJ23" s="30">
        <f t="shared" si="18"/>
        <v>77919</v>
      </c>
      <c r="ASK23" s="30">
        <f t="shared" si="18"/>
        <v>77950</v>
      </c>
      <c r="ASL23" s="30">
        <f t="shared" si="18"/>
        <v>77980</v>
      </c>
      <c r="ASM23" s="30">
        <f t="shared" si="18"/>
        <v>78011</v>
      </c>
      <c r="ASN23" s="30">
        <f t="shared" si="18"/>
        <v>78042</v>
      </c>
      <c r="ASO23" s="30">
        <f t="shared" si="18"/>
        <v>78072</v>
      </c>
      <c r="ASP23" s="30">
        <f t="shared" si="18"/>
        <v>78103</v>
      </c>
      <c r="ASQ23" s="30">
        <f t="shared" si="18"/>
        <v>78133</v>
      </c>
      <c r="ASR23" s="30">
        <f t="shared" si="18"/>
        <v>78164</v>
      </c>
      <c r="ASS23" s="30">
        <f t="shared" si="18"/>
        <v>78195</v>
      </c>
      <c r="AST23" s="30">
        <f t="shared" si="18"/>
        <v>78223</v>
      </c>
      <c r="ASU23" s="30">
        <f t="shared" si="18"/>
        <v>78254</v>
      </c>
      <c r="ASV23" s="30">
        <f t="shared" si="18"/>
        <v>78284</v>
      </c>
      <c r="ASW23" s="30">
        <f t="shared" si="18"/>
        <v>78315</v>
      </c>
      <c r="ASX23" s="30">
        <f t="shared" si="18"/>
        <v>78345</v>
      </c>
      <c r="ASY23" s="30">
        <f t="shared" si="18"/>
        <v>78376</v>
      </c>
      <c r="ASZ23" s="30">
        <f t="shared" si="18"/>
        <v>78407</v>
      </c>
      <c r="ATA23" s="30">
        <f t="shared" si="18"/>
        <v>78437</v>
      </c>
      <c r="ATB23" s="30">
        <f t="shared" si="18"/>
        <v>78468</v>
      </c>
      <c r="ATC23" s="30">
        <f t="shared" si="18"/>
        <v>78498</v>
      </c>
      <c r="ATD23" s="30">
        <f t="shared" si="18"/>
        <v>78529</v>
      </c>
      <c r="ATE23" s="30">
        <f t="shared" si="18"/>
        <v>78560</v>
      </c>
      <c r="ATF23" s="30">
        <f t="shared" si="18"/>
        <v>78588</v>
      </c>
      <c r="ATG23" s="30">
        <f t="shared" si="18"/>
        <v>78619</v>
      </c>
      <c r="ATH23" s="30">
        <f t="shared" si="18"/>
        <v>78649</v>
      </c>
      <c r="ATI23" s="30">
        <f t="shared" si="18"/>
        <v>78680</v>
      </c>
      <c r="ATJ23" s="30">
        <f t="shared" si="18"/>
        <v>78710</v>
      </c>
      <c r="ATK23" s="30">
        <f t="shared" si="18"/>
        <v>78741</v>
      </c>
      <c r="ATL23" s="30">
        <f t="shared" si="18"/>
        <v>78772</v>
      </c>
      <c r="ATM23" s="30">
        <f t="shared" si="18"/>
        <v>78802</v>
      </c>
      <c r="ATN23" s="30">
        <f t="shared" si="18"/>
        <v>78833</v>
      </c>
      <c r="ATO23" s="30">
        <f t="shared" si="18"/>
        <v>78863</v>
      </c>
      <c r="ATP23" s="30">
        <f t="shared" si="18"/>
        <v>78894</v>
      </c>
      <c r="ATQ23" s="30">
        <f t="shared" si="18"/>
        <v>78925</v>
      </c>
      <c r="ATR23" s="30">
        <f t="shared" si="18"/>
        <v>78954</v>
      </c>
      <c r="ATS23" s="30">
        <f t="shared" si="18"/>
        <v>78985</v>
      </c>
      <c r="ATT23" s="30">
        <f t="shared" si="18"/>
        <v>79015</v>
      </c>
      <c r="ATU23" s="30">
        <f t="shared" si="18"/>
        <v>79046</v>
      </c>
      <c r="ATV23" s="30">
        <f t="shared" si="18"/>
        <v>79076</v>
      </c>
      <c r="ATW23" s="30">
        <f t="shared" si="18"/>
        <v>79107</v>
      </c>
      <c r="ATX23" s="30">
        <f t="shared" ref="ATX23:AWI23" si="19">EDATE(ATW23,1)</f>
        <v>79138</v>
      </c>
      <c r="ATY23" s="30">
        <f t="shared" si="19"/>
        <v>79168</v>
      </c>
      <c r="ATZ23" s="30">
        <f t="shared" si="19"/>
        <v>79199</v>
      </c>
      <c r="AUA23" s="30">
        <f t="shared" si="19"/>
        <v>79229</v>
      </c>
      <c r="AUB23" s="30">
        <f t="shared" si="19"/>
        <v>79260</v>
      </c>
      <c r="AUC23" s="30">
        <f t="shared" si="19"/>
        <v>79291</v>
      </c>
      <c r="AUD23" s="30">
        <f t="shared" si="19"/>
        <v>79319</v>
      </c>
      <c r="AUE23" s="30">
        <f t="shared" si="19"/>
        <v>79350</v>
      </c>
      <c r="AUF23" s="30">
        <f t="shared" si="19"/>
        <v>79380</v>
      </c>
      <c r="AUG23" s="30">
        <f t="shared" si="19"/>
        <v>79411</v>
      </c>
      <c r="AUH23" s="30">
        <f t="shared" si="19"/>
        <v>79441</v>
      </c>
      <c r="AUI23" s="30">
        <f t="shared" si="19"/>
        <v>79472</v>
      </c>
      <c r="AUJ23" s="30">
        <f t="shared" si="19"/>
        <v>79503</v>
      </c>
      <c r="AUK23" s="30">
        <f t="shared" si="19"/>
        <v>79533</v>
      </c>
      <c r="AUL23" s="30">
        <f t="shared" si="19"/>
        <v>79564</v>
      </c>
      <c r="AUM23" s="30">
        <f t="shared" si="19"/>
        <v>79594</v>
      </c>
      <c r="AUN23" s="30">
        <f t="shared" si="19"/>
        <v>79625</v>
      </c>
      <c r="AUO23" s="30">
        <f t="shared" si="19"/>
        <v>79656</v>
      </c>
      <c r="AUP23" s="30">
        <f t="shared" si="19"/>
        <v>79684</v>
      </c>
      <c r="AUQ23" s="30">
        <f t="shared" si="19"/>
        <v>79715</v>
      </c>
      <c r="AUR23" s="30">
        <f t="shared" si="19"/>
        <v>79745</v>
      </c>
      <c r="AUS23" s="30">
        <f t="shared" si="19"/>
        <v>79776</v>
      </c>
      <c r="AUT23" s="30">
        <f t="shared" si="19"/>
        <v>79806</v>
      </c>
      <c r="AUU23" s="30">
        <f t="shared" si="19"/>
        <v>79837</v>
      </c>
      <c r="AUV23" s="30">
        <f t="shared" si="19"/>
        <v>79868</v>
      </c>
      <c r="AUW23" s="30">
        <f t="shared" si="19"/>
        <v>79898</v>
      </c>
      <c r="AUX23" s="30">
        <f t="shared" si="19"/>
        <v>79929</v>
      </c>
      <c r="AUY23" s="30">
        <f t="shared" si="19"/>
        <v>79959</v>
      </c>
      <c r="AUZ23" s="30">
        <f t="shared" si="19"/>
        <v>79990</v>
      </c>
      <c r="AVA23" s="30">
        <f t="shared" si="19"/>
        <v>80021</v>
      </c>
      <c r="AVB23" s="30">
        <f t="shared" si="19"/>
        <v>80049</v>
      </c>
      <c r="AVC23" s="30">
        <f t="shared" si="19"/>
        <v>80080</v>
      </c>
      <c r="AVD23" s="30">
        <f t="shared" si="19"/>
        <v>80110</v>
      </c>
      <c r="AVE23" s="30">
        <f t="shared" si="19"/>
        <v>80141</v>
      </c>
      <c r="AVF23" s="30">
        <f t="shared" si="19"/>
        <v>80171</v>
      </c>
      <c r="AVG23" s="30">
        <f t="shared" si="19"/>
        <v>80202</v>
      </c>
      <c r="AVH23" s="30">
        <f t="shared" si="19"/>
        <v>80233</v>
      </c>
      <c r="AVI23" s="30">
        <f t="shared" si="19"/>
        <v>80263</v>
      </c>
      <c r="AVJ23" s="30">
        <f t="shared" si="19"/>
        <v>80294</v>
      </c>
      <c r="AVK23" s="30">
        <f t="shared" si="19"/>
        <v>80324</v>
      </c>
      <c r="AVL23" s="30">
        <f t="shared" si="19"/>
        <v>80355</v>
      </c>
      <c r="AVM23" s="30">
        <f t="shared" si="19"/>
        <v>80386</v>
      </c>
      <c r="AVN23" s="30">
        <f t="shared" si="19"/>
        <v>80415</v>
      </c>
      <c r="AVO23" s="30">
        <f t="shared" si="19"/>
        <v>80446</v>
      </c>
      <c r="AVP23" s="30">
        <f t="shared" si="19"/>
        <v>80476</v>
      </c>
      <c r="AVQ23" s="30">
        <f t="shared" si="19"/>
        <v>80507</v>
      </c>
      <c r="AVR23" s="30">
        <f t="shared" si="19"/>
        <v>80537</v>
      </c>
      <c r="AVS23" s="30">
        <f t="shared" si="19"/>
        <v>80568</v>
      </c>
      <c r="AVT23" s="30">
        <f t="shared" si="19"/>
        <v>80599</v>
      </c>
      <c r="AVU23" s="30">
        <f t="shared" si="19"/>
        <v>80629</v>
      </c>
      <c r="AVV23" s="30">
        <f t="shared" si="19"/>
        <v>80660</v>
      </c>
      <c r="AVW23" s="30">
        <f t="shared" si="19"/>
        <v>80690</v>
      </c>
      <c r="AVX23" s="30">
        <f t="shared" si="19"/>
        <v>80721</v>
      </c>
      <c r="AVY23" s="30">
        <f t="shared" si="19"/>
        <v>80752</v>
      </c>
      <c r="AVZ23" s="30">
        <f t="shared" si="19"/>
        <v>80780</v>
      </c>
      <c r="AWA23" s="30">
        <f t="shared" si="19"/>
        <v>80811</v>
      </c>
      <c r="AWB23" s="30">
        <f t="shared" si="19"/>
        <v>80841</v>
      </c>
      <c r="AWC23" s="30">
        <f t="shared" si="19"/>
        <v>80872</v>
      </c>
      <c r="AWD23" s="30">
        <f t="shared" si="19"/>
        <v>80902</v>
      </c>
      <c r="AWE23" s="30">
        <f t="shared" si="19"/>
        <v>80933</v>
      </c>
      <c r="AWF23" s="30">
        <f t="shared" si="19"/>
        <v>80964</v>
      </c>
      <c r="AWG23" s="30">
        <f t="shared" si="19"/>
        <v>80994</v>
      </c>
      <c r="AWH23" s="30">
        <f t="shared" si="19"/>
        <v>81025</v>
      </c>
      <c r="AWI23" s="30">
        <f t="shared" si="19"/>
        <v>81055</v>
      </c>
      <c r="AWJ23" s="30">
        <f t="shared" ref="AWJ23:AYU23" si="20">EDATE(AWI23,1)</f>
        <v>81086</v>
      </c>
      <c r="AWK23" s="30">
        <f t="shared" si="20"/>
        <v>81117</v>
      </c>
      <c r="AWL23" s="30">
        <f t="shared" si="20"/>
        <v>81145</v>
      </c>
      <c r="AWM23" s="30">
        <f t="shared" si="20"/>
        <v>81176</v>
      </c>
      <c r="AWN23" s="30">
        <f t="shared" si="20"/>
        <v>81206</v>
      </c>
      <c r="AWO23" s="30">
        <f t="shared" si="20"/>
        <v>81237</v>
      </c>
      <c r="AWP23" s="30">
        <f t="shared" si="20"/>
        <v>81267</v>
      </c>
      <c r="AWQ23" s="30">
        <f t="shared" si="20"/>
        <v>81298</v>
      </c>
      <c r="AWR23" s="30">
        <f t="shared" si="20"/>
        <v>81329</v>
      </c>
      <c r="AWS23" s="30">
        <f t="shared" si="20"/>
        <v>81359</v>
      </c>
      <c r="AWT23" s="30">
        <f t="shared" si="20"/>
        <v>81390</v>
      </c>
      <c r="AWU23" s="30">
        <f t="shared" si="20"/>
        <v>81420</v>
      </c>
      <c r="AWV23" s="30">
        <f t="shared" si="20"/>
        <v>81451</v>
      </c>
      <c r="AWW23" s="30">
        <f t="shared" si="20"/>
        <v>81482</v>
      </c>
      <c r="AWX23" s="30">
        <f t="shared" si="20"/>
        <v>81510</v>
      </c>
      <c r="AWY23" s="30">
        <f t="shared" si="20"/>
        <v>81541</v>
      </c>
      <c r="AWZ23" s="30">
        <f t="shared" si="20"/>
        <v>81571</v>
      </c>
      <c r="AXA23" s="30">
        <f t="shared" si="20"/>
        <v>81602</v>
      </c>
      <c r="AXB23" s="30">
        <f t="shared" si="20"/>
        <v>81632</v>
      </c>
      <c r="AXC23" s="30">
        <f t="shared" si="20"/>
        <v>81663</v>
      </c>
      <c r="AXD23" s="30">
        <f t="shared" si="20"/>
        <v>81694</v>
      </c>
      <c r="AXE23" s="30">
        <f t="shared" si="20"/>
        <v>81724</v>
      </c>
      <c r="AXF23" s="30">
        <f t="shared" si="20"/>
        <v>81755</v>
      </c>
      <c r="AXG23" s="30">
        <f t="shared" si="20"/>
        <v>81785</v>
      </c>
      <c r="AXH23" s="30">
        <f t="shared" si="20"/>
        <v>81816</v>
      </c>
      <c r="AXI23" s="30">
        <f t="shared" si="20"/>
        <v>81847</v>
      </c>
      <c r="AXJ23" s="30">
        <f t="shared" si="20"/>
        <v>81876</v>
      </c>
      <c r="AXK23" s="30">
        <f t="shared" si="20"/>
        <v>81907</v>
      </c>
      <c r="AXL23" s="30">
        <f t="shared" si="20"/>
        <v>81937</v>
      </c>
      <c r="AXM23" s="30">
        <f t="shared" si="20"/>
        <v>81968</v>
      </c>
      <c r="AXN23" s="30">
        <f t="shared" si="20"/>
        <v>81998</v>
      </c>
      <c r="AXO23" s="30">
        <f t="shared" si="20"/>
        <v>82029</v>
      </c>
      <c r="AXP23" s="30">
        <f t="shared" si="20"/>
        <v>82060</v>
      </c>
      <c r="AXQ23" s="30">
        <f t="shared" si="20"/>
        <v>82090</v>
      </c>
      <c r="AXR23" s="30">
        <f t="shared" si="20"/>
        <v>82121</v>
      </c>
      <c r="AXS23" s="30">
        <f t="shared" si="20"/>
        <v>82151</v>
      </c>
      <c r="AXT23" s="30">
        <f t="shared" si="20"/>
        <v>82182</v>
      </c>
      <c r="AXU23" s="30">
        <f t="shared" si="20"/>
        <v>82213</v>
      </c>
      <c r="AXV23" s="30">
        <f t="shared" si="20"/>
        <v>82241</v>
      </c>
      <c r="AXW23" s="30">
        <f t="shared" si="20"/>
        <v>82272</v>
      </c>
      <c r="AXX23" s="30">
        <f t="shared" si="20"/>
        <v>82302</v>
      </c>
      <c r="AXY23" s="30">
        <f t="shared" si="20"/>
        <v>82333</v>
      </c>
      <c r="AXZ23" s="30">
        <f t="shared" si="20"/>
        <v>82363</v>
      </c>
      <c r="AYA23" s="30">
        <f t="shared" si="20"/>
        <v>82394</v>
      </c>
      <c r="AYB23" s="30">
        <f t="shared" si="20"/>
        <v>82425</v>
      </c>
      <c r="AYC23" s="30">
        <f t="shared" si="20"/>
        <v>82455</v>
      </c>
      <c r="AYD23" s="30">
        <f t="shared" si="20"/>
        <v>82486</v>
      </c>
      <c r="AYE23" s="30">
        <f t="shared" si="20"/>
        <v>82516</v>
      </c>
      <c r="AYF23" s="30">
        <f t="shared" si="20"/>
        <v>82547</v>
      </c>
      <c r="AYG23" s="30">
        <f t="shared" si="20"/>
        <v>82578</v>
      </c>
      <c r="AYH23" s="30">
        <f t="shared" si="20"/>
        <v>82606</v>
      </c>
      <c r="AYI23" s="30">
        <f t="shared" si="20"/>
        <v>82637</v>
      </c>
      <c r="AYJ23" s="30">
        <f t="shared" si="20"/>
        <v>82667</v>
      </c>
      <c r="AYK23" s="30">
        <f t="shared" si="20"/>
        <v>82698</v>
      </c>
      <c r="AYL23" s="30">
        <f t="shared" si="20"/>
        <v>82728</v>
      </c>
      <c r="AYM23" s="30">
        <f t="shared" si="20"/>
        <v>82759</v>
      </c>
      <c r="AYN23" s="30">
        <f t="shared" si="20"/>
        <v>82790</v>
      </c>
      <c r="AYO23" s="30">
        <f t="shared" si="20"/>
        <v>82820</v>
      </c>
      <c r="AYP23" s="30">
        <f t="shared" si="20"/>
        <v>82851</v>
      </c>
      <c r="AYQ23" s="30">
        <f t="shared" si="20"/>
        <v>82881</v>
      </c>
      <c r="AYR23" s="30">
        <f t="shared" si="20"/>
        <v>82912</v>
      </c>
      <c r="AYS23" s="30">
        <f t="shared" si="20"/>
        <v>82943</v>
      </c>
      <c r="AYT23" s="30">
        <f t="shared" si="20"/>
        <v>82971</v>
      </c>
      <c r="AYU23" s="30">
        <f t="shared" si="20"/>
        <v>83002</v>
      </c>
      <c r="AYV23" s="30">
        <f t="shared" ref="AYV23:BBG23" si="21">EDATE(AYU23,1)</f>
        <v>83032</v>
      </c>
      <c r="AYW23" s="30">
        <f t="shared" si="21"/>
        <v>83063</v>
      </c>
      <c r="AYX23" s="30">
        <f t="shared" si="21"/>
        <v>83093</v>
      </c>
      <c r="AYY23" s="30">
        <f t="shared" si="21"/>
        <v>83124</v>
      </c>
      <c r="AYZ23" s="30">
        <f t="shared" si="21"/>
        <v>83155</v>
      </c>
      <c r="AZA23" s="30">
        <f t="shared" si="21"/>
        <v>83185</v>
      </c>
      <c r="AZB23" s="30">
        <f t="shared" si="21"/>
        <v>83216</v>
      </c>
      <c r="AZC23" s="30">
        <f t="shared" si="21"/>
        <v>83246</v>
      </c>
      <c r="AZD23" s="30">
        <f t="shared" si="21"/>
        <v>83277</v>
      </c>
      <c r="AZE23" s="30">
        <f t="shared" si="21"/>
        <v>83308</v>
      </c>
      <c r="AZF23" s="30">
        <f t="shared" si="21"/>
        <v>83337</v>
      </c>
      <c r="AZG23" s="30">
        <f t="shared" si="21"/>
        <v>83368</v>
      </c>
      <c r="AZH23" s="30">
        <f t="shared" si="21"/>
        <v>83398</v>
      </c>
      <c r="AZI23" s="30">
        <f t="shared" si="21"/>
        <v>83429</v>
      </c>
      <c r="AZJ23" s="30">
        <f t="shared" si="21"/>
        <v>83459</v>
      </c>
      <c r="AZK23" s="30">
        <f t="shared" si="21"/>
        <v>83490</v>
      </c>
      <c r="AZL23" s="30">
        <f t="shared" si="21"/>
        <v>83521</v>
      </c>
      <c r="AZM23" s="30">
        <f t="shared" si="21"/>
        <v>83551</v>
      </c>
      <c r="AZN23" s="30">
        <f t="shared" si="21"/>
        <v>83582</v>
      </c>
      <c r="AZO23" s="30">
        <f t="shared" si="21"/>
        <v>83612</v>
      </c>
      <c r="AZP23" s="30">
        <f t="shared" si="21"/>
        <v>83643</v>
      </c>
      <c r="AZQ23" s="30">
        <f t="shared" si="21"/>
        <v>83674</v>
      </c>
      <c r="AZR23" s="30">
        <f t="shared" si="21"/>
        <v>83702</v>
      </c>
      <c r="AZS23" s="30">
        <f t="shared" si="21"/>
        <v>83733</v>
      </c>
      <c r="AZT23" s="30">
        <f t="shared" si="21"/>
        <v>83763</v>
      </c>
      <c r="AZU23" s="30">
        <f t="shared" si="21"/>
        <v>83794</v>
      </c>
      <c r="AZV23" s="30">
        <f t="shared" si="21"/>
        <v>83824</v>
      </c>
      <c r="AZW23" s="30">
        <f t="shared" si="21"/>
        <v>83855</v>
      </c>
      <c r="AZX23" s="30">
        <f t="shared" si="21"/>
        <v>83886</v>
      </c>
      <c r="AZY23" s="30">
        <f t="shared" si="21"/>
        <v>83916</v>
      </c>
      <c r="AZZ23" s="30">
        <f t="shared" si="21"/>
        <v>83947</v>
      </c>
      <c r="BAA23" s="30">
        <f t="shared" si="21"/>
        <v>83977</v>
      </c>
      <c r="BAB23" s="30">
        <f t="shared" si="21"/>
        <v>84008</v>
      </c>
      <c r="BAC23" s="30">
        <f t="shared" si="21"/>
        <v>84039</v>
      </c>
      <c r="BAD23" s="30">
        <f t="shared" si="21"/>
        <v>84067</v>
      </c>
      <c r="BAE23" s="30">
        <f t="shared" si="21"/>
        <v>84098</v>
      </c>
      <c r="BAF23" s="30">
        <f t="shared" si="21"/>
        <v>84128</v>
      </c>
      <c r="BAG23" s="30">
        <f t="shared" si="21"/>
        <v>84159</v>
      </c>
      <c r="BAH23" s="30">
        <f t="shared" si="21"/>
        <v>84189</v>
      </c>
      <c r="BAI23" s="30">
        <f t="shared" si="21"/>
        <v>84220</v>
      </c>
      <c r="BAJ23" s="30">
        <f t="shared" si="21"/>
        <v>84251</v>
      </c>
      <c r="BAK23" s="30">
        <f t="shared" si="21"/>
        <v>84281</v>
      </c>
      <c r="BAL23" s="30">
        <f t="shared" si="21"/>
        <v>84312</v>
      </c>
      <c r="BAM23" s="30">
        <f t="shared" si="21"/>
        <v>84342</v>
      </c>
      <c r="BAN23" s="30">
        <f t="shared" si="21"/>
        <v>84373</v>
      </c>
      <c r="BAO23" s="30">
        <f t="shared" si="21"/>
        <v>84404</v>
      </c>
      <c r="BAP23" s="30">
        <f t="shared" si="21"/>
        <v>84432</v>
      </c>
      <c r="BAQ23" s="30">
        <f t="shared" si="21"/>
        <v>84463</v>
      </c>
      <c r="BAR23" s="30">
        <f t="shared" si="21"/>
        <v>84493</v>
      </c>
      <c r="BAS23" s="30">
        <f t="shared" si="21"/>
        <v>84524</v>
      </c>
      <c r="BAT23" s="30">
        <f t="shared" si="21"/>
        <v>84554</v>
      </c>
      <c r="BAU23" s="30">
        <f t="shared" si="21"/>
        <v>84585</v>
      </c>
      <c r="BAV23" s="30">
        <f t="shared" si="21"/>
        <v>84616</v>
      </c>
      <c r="BAW23" s="30">
        <f t="shared" si="21"/>
        <v>84646</v>
      </c>
      <c r="BAX23" s="30">
        <f t="shared" si="21"/>
        <v>84677</v>
      </c>
      <c r="BAY23" s="30">
        <f t="shared" si="21"/>
        <v>84707</v>
      </c>
      <c r="BAZ23" s="30">
        <f t="shared" si="21"/>
        <v>84738</v>
      </c>
      <c r="BBA23" s="30">
        <f t="shared" si="21"/>
        <v>84769</v>
      </c>
      <c r="BBB23" s="30">
        <f t="shared" si="21"/>
        <v>84798</v>
      </c>
      <c r="BBC23" s="30">
        <f t="shared" si="21"/>
        <v>84829</v>
      </c>
      <c r="BBD23" s="30">
        <f t="shared" si="21"/>
        <v>84859</v>
      </c>
      <c r="BBE23" s="30">
        <f t="shared" si="21"/>
        <v>84890</v>
      </c>
      <c r="BBF23" s="30">
        <f t="shared" si="21"/>
        <v>84920</v>
      </c>
      <c r="BBG23" s="30">
        <f t="shared" si="21"/>
        <v>84951</v>
      </c>
      <c r="BBH23" s="30">
        <f t="shared" ref="BBH23:BDS23" si="22">EDATE(BBG23,1)</f>
        <v>84982</v>
      </c>
      <c r="BBI23" s="30">
        <f t="shared" si="22"/>
        <v>85012</v>
      </c>
      <c r="BBJ23" s="30">
        <f t="shared" si="22"/>
        <v>85043</v>
      </c>
      <c r="BBK23" s="30">
        <f t="shared" si="22"/>
        <v>85073</v>
      </c>
      <c r="BBL23" s="30">
        <f t="shared" si="22"/>
        <v>85104</v>
      </c>
      <c r="BBM23" s="30">
        <f t="shared" si="22"/>
        <v>85135</v>
      </c>
      <c r="BBN23" s="30">
        <f t="shared" si="22"/>
        <v>85163</v>
      </c>
      <c r="BBO23" s="30">
        <f t="shared" si="22"/>
        <v>85194</v>
      </c>
      <c r="BBP23" s="30">
        <f t="shared" si="22"/>
        <v>85224</v>
      </c>
      <c r="BBQ23" s="30">
        <f t="shared" si="22"/>
        <v>85255</v>
      </c>
      <c r="BBR23" s="30">
        <f t="shared" si="22"/>
        <v>85285</v>
      </c>
      <c r="BBS23" s="30">
        <f t="shared" si="22"/>
        <v>85316</v>
      </c>
      <c r="BBT23" s="30">
        <f t="shared" si="22"/>
        <v>85347</v>
      </c>
      <c r="BBU23" s="30">
        <f t="shared" si="22"/>
        <v>85377</v>
      </c>
      <c r="BBV23" s="30">
        <f t="shared" si="22"/>
        <v>85408</v>
      </c>
      <c r="BBW23" s="30">
        <f t="shared" si="22"/>
        <v>85438</v>
      </c>
      <c r="BBX23" s="30">
        <f t="shared" si="22"/>
        <v>85469</v>
      </c>
      <c r="BBY23" s="30">
        <f t="shared" si="22"/>
        <v>85500</v>
      </c>
      <c r="BBZ23" s="30">
        <f t="shared" si="22"/>
        <v>85528</v>
      </c>
      <c r="BCA23" s="30">
        <f t="shared" si="22"/>
        <v>85559</v>
      </c>
      <c r="BCB23" s="30">
        <f t="shared" si="22"/>
        <v>85589</v>
      </c>
      <c r="BCC23" s="30">
        <f t="shared" si="22"/>
        <v>85620</v>
      </c>
      <c r="BCD23" s="30">
        <f t="shared" si="22"/>
        <v>85650</v>
      </c>
      <c r="BCE23" s="30">
        <f t="shared" si="22"/>
        <v>85681</v>
      </c>
      <c r="BCF23" s="30">
        <f t="shared" si="22"/>
        <v>85712</v>
      </c>
      <c r="BCG23" s="30">
        <f t="shared" si="22"/>
        <v>85742</v>
      </c>
      <c r="BCH23" s="30">
        <f t="shared" si="22"/>
        <v>85773</v>
      </c>
      <c r="BCI23" s="30">
        <f t="shared" si="22"/>
        <v>85803</v>
      </c>
      <c r="BCJ23" s="30">
        <f t="shared" si="22"/>
        <v>85834</v>
      </c>
      <c r="BCK23" s="30">
        <f t="shared" si="22"/>
        <v>85865</v>
      </c>
      <c r="BCL23" s="30">
        <f t="shared" si="22"/>
        <v>85893</v>
      </c>
      <c r="BCM23" s="30">
        <f t="shared" si="22"/>
        <v>85924</v>
      </c>
      <c r="BCN23" s="30">
        <f t="shared" si="22"/>
        <v>85954</v>
      </c>
      <c r="BCO23" s="30">
        <f t="shared" si="22"/>
        <v>85985</v>
      </c>
      <c r="BCP23" s="30">
        <f t="shared" si="22"/>
        <v>86015</v>
      </c>
      <c r="BCQ23" s="30">
        <f t="shared" si="22"/>
        <v>86046</v>
      </c>
      <c r="BCR23" s="30">
        <f t="shared" si="22"/>
        <v>86077</v>
      </c>
      <c r="BCS23" s="30">
        <f t="shared" si="22"/>
        <v>86107</v>
      </c>
      <c r="BCT23" s="30">
        <f t="shared" si="22"/>
        <v>86138</v>
      </c>
      <c r="BCU23" s="30">
        <f t="shared" si="22"/>
        <v>86168</v>
      </c>
      <c r="BCV23" s="30">
        <f t="shared" si="22"/>
        <v>86199</v>
      </c>
      <c r="BCW23" s="30">
        <f t="shared" si="22"/>
        <v>86230</v>
      </c>
      <c r="BCX23" s="30">
        <f t="shared" si="22"/>
        <v>86259</v>
      </c>
      <c r="BCY23" s="30">
        <f t="shared" si="22"/>
        <v>86290</v>
      </c>
      <c r="BCZ23" s="30">
        <f t="shared" si="22"/>
        <v>86320</v>
      </c>
      <c r="BDA23" s="30">
        <f t="shared" si="22"/>
        <v>86351</v>
      </c>
      <c r="BDB23" s="30">
        <f t="shared" si="22"/>
        <v>86381</v>
      </c>
      <c r="BDC23" s="30">
        <f t="shared" si="22"/>
        <v>86412</v>
      </c>
      <c r="BDD23" s="30">
        <f t="shared" si="22"/>
        <v>86443</v>
      </c>
      <c r="BDE23" s="30">
        <f t="shared" si="22"/>
        <v>86473</v>
      </c>
      <c r="BDF23" s="30">
        <f t="shared" si="22"/>
        <v>86504</v>
      </c>
      <c r="BDG23" s="30">
        <f t="shared" si="22"/>
        <v>86534</v>
      </c>
      <c r="BDH23" s="30">
        <f t="shared" si="22"/>
        <v>86565</v>
      </c>
      <c r="BDI23" s="30">
        <f t="shared" si="22"/>
        <v>86596</v>
      </c>
      <c r="BDJ23" s="30">
        <f t="shared" si="22"/>
        <v>86624</v>
      </c>
      <c r="BDK23" s="30">
        <f t="shared" si="22"/>
        <v>86655</v>
      </c>
      <c r="BDL23" s="30">
        <f t="shared" si="22"/>
        <v>86685</v>
      </c>
      <c r="BDM23" s="30">
        <f t="shared" si="22"/>
        <v>86716</v>
      </c>
      <c r="BDN23" s="30">
        <f t="shared" si="22"/>
        <v>86746</v>
      </c>
      <c r="BDO23" s="30">
        <f t="shared" si="22"/>
        <v>86777</v>
      </c>
      <c r="BDP23" s="30">
        <f t="shared" si="22"/>
        <v>86808</v>
      </c>
      <c r="BDQ23" s="30">
        <f t="shared" si="22"/>
        <v>86838</v>
      </c>
      <c r="BDR23" s="30">
        <f t="shared" si="22"/>
        <v>86869</v>
      </c>
      <c r="BDS23" s="30">
        <f t="shared" si="22"/>
        <v>86899</v>
      </c>
      <c r="BDT23" s="30">
        <f t="shared" ref="BDT23:BGE23" si="23">EDATE(BDS23,1)</f>
        <v>86930</v>
      </c>
      <c r="BDU23" s="30">
        <f t="shared" si="23"/>
        <v>86961</v>
      </c>
      <c r="BDV23" s="30">
        <f t="shared" si="23"/>
        <v>86989</v>
      </c>
      <c r="BDW23" s="30">
        <f t="shared" si="23"/>
        <v>87020</v>
      </c>
      <c r="BDX23" s="30">
        <f t="shared" si="23"/>
        <v>87050</v>
      </c>
      <c r="BDY23" s="30">
        <f t="shared" si="23"/>
        <v>87081</v>
      </c>
      <c r="BDZ23" s="30">
        <f t="shared" si="23"/>
        <v>87111</v>
      </c>
      <c r="BEA23" s="30">
        <f t="shared" si="23"/>
        <v>87142</v>
      </c>
      <c r="BEB23" s="30">
        <f t="shared" si="23"/>
        <v>87173</v>
      </c>
      <c r="BEC23" s="30">
        <f t="shared" si="23"/>
        <v>87203</v>
      </c>
      <c r="BED23" s="30">
        <f t="shared" si="23"/>
        <v>87234</v>
      </c>
      <c r="BEE23" s="30">
        <f t="shared" si="23"/>
        <v>87264</v>
      </c>
      <c r="BEF23" s="30">
        <f t="shared" si="23"/>
        <v>87295</v>
      </c>
      <c r="BEG23" s="30">
        <f t="shared" si="23"/>
        <v>87326</v>
      </c>
      <c r="BEH23" s="30">
        <f t="shared" si="23"/>
        <v>87354</v>
      </c>
      <c r="BEI23" s="30">
        <f t="shared" si="23"/>
        <v>87385</v>
      </c>
      <c r="BEJ23" s="30">
        <f t="shared" si="23"/>
        <v>87415</v>
      </c>
      <c r="BEK23" s="30">
        <f t="shared" si="23"/>
        <v>87446</v>
      </c>
      <c r="BEL23" s="30">
        <f t="shared" si="23"/>
        <v>87476</v>
      </c>
      <c r="BEM23" s="30">
        <f t="shared" si="23"/>
        <v>87507</v>
      </c>
      <c r="BEN23" s="30">
        <f t="shared" si="23"/>
        <v>87538</v>
      </c>
      <c r="BEO23" s="30">
        <f t="shared" si="23"/>
        <v>87568</v>
      </c>
      <c r="BEP23" s="30">
        <f t="shared" si="23"/>
        <v>87599</v>
      </c>
      <c r="BEQ23" s="30">
        <f t="shared" si="23"/>
        <v>87629</v>
      </c>
      <c r="BER23" s="30">
        <f t="shared" si="23"/>
        <v>87660</v>
      </c>
      <c r="BES23" s="30">
        <f t="shared" si="23"/>
        <v>87691</v>
      </c>
      <c r="BET23" s="30">
        <f t="shared" si="23"/>
        <v>87720</v>
      </c>
      <c r="BEU23" s="30">
        <f t="shared" si="23"/>
        <v>87751</v>
      </c>
      <c r="BEV23" s="30">
        <f t="shared" si="23"/>
        <v>87781</v>
      </c>
      <c r="BEW23" s="30">
        <f t="shared" si="23"/>
        <v>87812</v>
      </c>
      <c r="BEX23" s="30">
        <f t="shared" si="23"/>
        <v>87842</v>
      </c>
      <c r="BEY23" s="30">
        <f t="shared" si="23"/>
        <v>87873</v>
      </c>
      <c r="BEZ23" s="30">
        <f t="shared" si="23"/>
        <v>87904</v>
      </c>
      <c r="BFA23" s="30">
        <f t="shared" si="23"/>
        <v>87934</v>
      </c>
      <c r="BFB23" s="30">
        <f t="shared" si="23"/>
        <v>87965</v>
      </c>
      <c r="BFC23" s="30">
        <f t="shared" si="23"/>
        <v>87995</v>
      </c>
      <c r="BFD23" s="30">
        <f t="shared" si="23"/>
        <v>88026</v>
      </c>
      <c r="BFE23" s="30">
        <f t="shared" si="23"/>
        <v>88057</v>
      </c>
      <c r="BFF23" s="30">
        <f t="shared" si="23"/>
        <v>88085</v>
      </c>
      <c r="BFG23" s="30">
        <f t="shared" si="23"/>
        <v>88116</v>
      </c>
      <c r="BFH23" s="30">
        <f t="shared" si="23"/>
        <v>88146</v>
      </c>
      <c r="BFI23" s="30">
        <f t="shared" si="23"/>
        <v>88177</v>
      </c>
      <c r="BFJ23" s="30">
        <f t="shared" si="23"/>
        <v>88207</v>
      </c>
      <c r="BFK23" s="30">
        <f t="shared" si="23"/>
        <v>88238</v>
      </c>
      <c r="BFL23" s="30">
        <f t="shared" si="23"/>
        <v>88269</v>
      </c>
      <c r="BFM23" s="30">
        <f t="shared" si="23"/>
        <v>88299</v>
      </c>
      <c r="BFN23" s="30">
        <f t="shared" si="23"/>
        <v>88330</v>
      </c>
      <c r="BFO23" s="30">
        <f t="shared" si="23"/>
        <v>88360</v>
      </c>
      <c r="BFP23" s="30">
        <f t="shared" si="23"/>
        <v>88391</v>
      </c>
      <c r="BFQ23" s="30">
        <f t="shared" si="23"/>
        <v>88422</v>
      </c>
      <c r="BFR23" s="30">
        <f t="shared" si="23"/>
        <v>88450</v>
      </c>
      <c r="BFS23" s="30">
        <f t="shared" si="23"/>
        <v>88481</v>
      </c>
      <c r="BFT23" s="30">
        <f t="shared" si="23"/>
        <v>88511</v>
      </c>
      <c r="BFU23" s="30">
        <f t="shared" si="23"/>
        <v>88542</v>
      </c>
      <c r="BFV23" s="30">
        <f t="shared" si="23"/>
        <v>88572</v>
      </c>
      <c r="BFW23" s="30">
        <f t="shared" si="23"/>
        <v>88603</v>
      </c>
      <c r="BFX23" s="30">
        <f t="shared" si="23"/>
        <v>88634</v>
      </c>
      <c r="BFY23" s="30">
        <f t="shared" si="23"/>
        <v>88664</v>
      </c>
      <c r="BFZ23" s="30">
        <f t="shared" si="23"/>
        <v>88695</v>
      </c>
      <c r="BGA23" s="30">
        <f t="shared" si="23"/>
        <v>88725</v>
      </c>
      <c r="BGB23" s="30">
        <f t="shared" si="23"/>
        <v>88756</v>
      </c>
      <c r="BGC23" s="30">
        <f t="shared" si="23"/>
        <v>88787</v>
      </c>
      <c r="BGD23" s="30">
        <f t="shared" si="23"/>
        <v>88815</v>
      </c>
      <c r="BGE23" s="30">
        <f t="shared" si="23"/>
        <v>88846</v>
      </c>
      <c r="BGF23" s="30">
        <f t="shared" ref="BGF23:BIQ23" si="24">EDATE(BGE23,1)</f>
        <v>88876</v>
      </c>
      <c r="BGG23" s="30">
        <f t="shared" si="24"/>
        <v>88907</v>
      </c>
      <c r="BGH23" s="30">
        <f t="shared" si="24"/>
        <v>88937</v>
      </c>
      <c r="BGI23" s="30">
        <f t="shared" si="24"/>
        <v>88968</v>
      </c>
      <c r="BGJ23" s="30">
        <f t="shared" si="24"/>
        <v>88999</v>
      </c>
      <c r="BGK23" s="30">
        <f t="shared" si="24"/>
        <v>89029</v>
      </c>
      <c r="BGL23" s="30">
        <f t="shared" si="24"/>
        <v>89060</v>
      </c>
      <c r="BGM23" s="30">
        <f t="shared" si="24"/>
        <v>89090</v>
      </c>
      <c r="BGN23" s="30">
        <f t="shared" si="24"/>
        <v>89121</v>
      </c>
      <c r="BGO23" s="30">
        <f t="shared" si="24"/>
        <v>89152</v>
      </c>
      <c r="BGP23" s="30">
        <f t="shared" si="24"/>
        <v>89181</v>
      </c>
      <c r="BGQ23" s="30">
        <f t="shared" si="24"/>
        <v>89212</v>
      </c>
      <c r="BGR23" s="30">
        <f t="shared" si="24"/>
        <v>89242</v>
      </c>
      <c r="BGS23" s="30">
        <f t="shared" si="24"/>
        <v>89273</v>
      </c>
      <c r="BGT23" s="30">
        <f t="shared" si="24"/>
        <v>89303</v>
      </c>
      <c r="BGU23" s="30">
        <f t="shared" si="24"/>
        <v>89334</v>
      </c>
      <c r="BGV23" s="30">
        <f t="shared" si="24"/>
        <v>89365</v>
      </c>
      <c r="BGW23" s="30">
        <f t="shared" si="24"/>
        <v>89395</v>
      </c>
      <c r="BGX23" s="30">
        <f t="shared" si="24"/>
        <v>89426</v>
      </c>
      <c r="BGY23" s="30">
        <f t="shared" si="24"/>
        <v>89456</v>
      </c>
      <c r="BGZ23" s="30">
        <f t="shared" si="24"/>
        <v>89487</v>
      </c>
      <c r="BHA23" s="30">
        <f t="shared" si="24"/>
        <v>89518</v>
      </c>
      <c r="BHB23" s="30">
        <f t="shared" si="24"/>
        <v>89546</v>
      </c>
      <c r="BHC23" s="30">
        <f t="shared" si="24"/>
        <v>89577</v>
      </c>
      <c r="BHD23" s="30">
        <f t="shared" si="24"/>
        <v>89607</v>
      </c>
      <c r="BHE23" s="30">
        <f t="shared" si="24"/>
        <v>89638</v>
      </c>
      <c r="BHF23" s="30">
        <f t="shared" si="24"/>
        <v>89668</v>
      </c>
      <c r="BHG23" s="30">
        <f t="shared" si="24"/>
        <v>89699</v>
      </c>
      <c r="BHH23" s="30">
        <f t="shared" si="24"/>
        <v>89730</v>
      </c>
      <c r="BHI23" s="30">
        <f t="shared" si="24"/>
        <v>89760</v>
      </c>
      <c r="BHJ23" s="30">
        <f t="shared" si="24"/>
        <v>89791</v>
      </c>
      <c r="BHK23" s="30">
        <f t="shared" si="24"/>
        <v>89821</v>
      </c>
      <c r="BHL23" s="30">
        <f t="shared" si="24"/>
        <v>89852</v>
      </c>
      <c r="BHM23" s="30">
        <f t="shared" si="24"/>
        <v>89883</v>
      </c>
      <c r="BHN23" s="30">
        <f t="shared" si="24"/>
        <v>89911</v>
      </c>
      <c r="BHO23" s="30">
        <f t="shared" si="24"/>
        <v>89942</v>
      </c>
      <c r="BHP23" s="30">
        <f t="shared" si="24"/>
        <v>89972</v>
      </c>
      <c r="BHQ23" s="30">
        <f t="shared" si="24"/>
        <v>90003</v>
      </c>
      <c r="BHR23" s="30">
        <f t="shared" si="24"/>
        <v>90033</v>
      </c>
      <c r="BHS23" s="30">
        <f t="shared" si="24"/>
        <v>90064</v>
      </c>
      <c r="BHT23" s="30">
        <f t="shared" si="24"/>
        <v>90095</v>
      </c>
      <c r="BHU23" s="30">
        <f t="shared" si="24"/>
        <v>90125</v>
      </c>
      <c r="BHV23" s="30">
        <f t="shared" si="24"/>
        <v>90156</v>
      </c>
      <c r="BHW23" s="30">
        <f t="shared" si="24"/>
        <v>90186</v>
      </c>
      <c r="BHX23" s="30">
        <f t="shared" si="24"/>
        <v>90217</v>
      </c>
      <c r="BHY23" s="30">
        <f t="shared" si="24"/>
        <v>90248</v>
      </c>
      <c r="BHZ23" s="30">
        <f t="shared" si="24"/>
        <v>90276</v>
      </c>
      <c r="BIA23" s="30">
        <f t="shared" si="24"/>
        <v>90307</v>
      </c>
      <c r="BIB23" s="30">
        <f t="shared" si="24"/>
        <v>90337</v>
      </c>
      <c r="BIC23" s="30">
        <f t="shared" si="24"/>
        <v>90368</v>
      </c>
      <c r="BID23" s="30">
        <f t="shared" si="24"/>
        <v>90398</v>
      </c>
      <c r="BIE23" s="30">
        <f t="shared" si="24"/>
        <v>90429</v>
      </c>
      <c r="BIF23" s="30">
        <f t="shared" si="24"/>
        <v>90460</v>
      </c>
      <c r="BIG23" s="30">
        <f t="shared" si="24"/>
        <v>90490</v>
      </c>
      <c r="BIH23" s="30">
        <f t="shared" si="24"/>
        <v>90521</v>
      </c>
      <c r="BII23" s="30">
        <f t="shared" si="24"/>
        <v>90551</v>
      </c>
      <c r="BIJ23" s="30">
        <f t="shared" si="24"/>
        <v>90582</v>
      </c>
      <c r="BIK23" s="30">
        <f t="shared" si="24"/>
        <v>90613</v>
      </c>
      <c r="BIL23" s="30">
        <f t="shared" si="24"/>
        <v>90642</v>
      </c>
      <c r="BIM23" s="30">
        <f t="shared" si="24"/>
        <v>90673</v>
      </c>
      <c r="BIN23" s="30">
        <f t="shared" si="24"/>
        <v>90703</v>
      </c>
      <c r="BIO23" s="30">
        <f t="shared" si="24"/>
        <v>90734</v>
      </c>
      <c r="BIP23" s="30">
        <f t="shared" si="24"/>
        <v>90764</v>
      </c>
      <c r="BIQ23" s="30">
        <f t="shared" si="24"/>
        <v>90795</v>
      </c>
      <c r="BIR23" s="30">
        <f t="shared" ref="BIR23:BLC23" si="25">EDATE(BIQ23,1)</f>
        <v>90826</v>
      </c>
      <c r="BIS23" s="30">
        <f t="shared" si="25"/>
        <v>90856</v>
      </c>
      <c r="BIT23" s="30">
        <f t="shared" si="25"/>
        <v>90887</v>
      </c>
      <c r="BIU23" s="30">
        <f t="shared" si="25"/>
        <v>90917</v>
      </c>
      <c r="BIV23" s="30">
        <f t="shared" si="25"/>
        <v>90948</v>
      </c>
      <c r="BIW23" s="30">
        <f t="shared" si="25"/>
        <v>90979</v>
      </c>
      <c r="BIX23" s="30">
        <f t="shared" si="25"/>
        <v>91007</v>
      </c>
      <c r="BIY23" s="30">
        <f t="shared" si="25"/>
        <v>91038</v>
      </c>
      <c r="BIZ23" s="30">
        <f t="shared" si="25"/>
        <v>91068</v>
      </c>
      <c r="BJA23" s="30">
        <f t="shared" si="25"/>
        <v>91099</v>
      </c>
      <c r="BJB23" s="30">
        <f t="shared" si="25"/>
        <v>91129</v>
      </c>
      <c r="BJC23" s="30">
        <f t="shared" si="25"/>
        <v>91160</v>
      </c>
      <c r="BJD23" s="30">
        <f t="shared" si="25"/>
        <v>91191</v>
      </c>
      <c r="BJE23" s="30">
        <f t="shared" si="25"/>
        <v>91221</v>
      </c>
      <c r="BJF23" s="30">
        <f t="shared" si="25"/>
        <v>91252</v>
      </c>
      <c r="BJG23" s="30">
        <f t="shared" si="25"/>
        <v>91282</v>
      </c>
      <c r="BJH23" s="30">
        <f t="shared" si="25"/>
        <v>91313</v>
      </c>
      <c r="BJI23" s="30">
        <f t="shared" si="25"/>
        <v>91344</v>
      </c>
      <c r="BJJ23" s="30">
        <f t="shared" si="25"/>
        <v>91372</v>
      </c>
      <c r="BJK23" s="30">
        <f t="shared" si="25"/>
        <v>91403</v>
      </c>
      <c r="BJL23" s="30">
        <f t="shared" si="25"/>
        <v>91433</v>
      </c>
      <c r="BJM23" s="30">
        <f t="shared" si="25"/>
        <v>91464</v>
      </c>
      <c r="BJN23" s="30">
        <f t="shared" si="25"/>
        <v>91494</v>
      </c>
      <c r="BJO23" s="30">
        <f t="shared" si="25"/>
        <v>91525</v>
      </c>
      <c r="BJP23" s="30">
        <f t="shared" si="25"/>
        <v>91556</v>
      </c>
      <c r="BJQ23" s="30">
        <f t="shared" si="25"/>
        <v>91586</v>
      </c>
      <c r="BJR23" s="30">
        <f t="shared" si="25"/>
        <v>91617</v>
      </c>
      <c r="BJS23" s="30">
        <f t="shared" si="25"/>
        <v>91647</v>
      </c>
      <c r="BJT23" s="30">
        <f t="shared" si="25"/>
        <v>91678</v>
      </c>
      <c r="BJU23" s="30">
        <f t="shared" si="25"/>
        <v>91709</v>
      </c>
      <c r="BJV23" s="30">
        <f t="shared" si="25"/>
        <v>91737</v>
      </c>
      <c r="BJW23" s="30">
        <f t="shared" si="25"/>
        <v>91768</v>
      </c>
      <c r="BJX23" s="30">
        <f t="shared" si="25"/>
        <v>91798</v>
      </c>
      <c r="BJY23" s="30">
        <f t="shared" si="25"/>
        <v>91829</v>
      </c>
      <c r="BJZ23" s="30">
        <f t="shared" si="25"/>
        <v>91859</v>
      </c>
      <c r="BKA23" s="30">
        <f t="shared" si="25"/>
        <v>91890</v>
      </c>
      <c r="BKB23" s="30">
        <f t="shared" si="25"/>
        <v>91921</v>
      </c>
      <c r="BKC23" s="30">
        <f t="shared" si="25"/>
        <v>91951</v>
      </c>
      <c r="BKD23" s="30">
        <f t="shared" si="25"/>
        <v>91982</v>
      </c>
      <c r="BKE23" s="30">
        <f t="shared" si="25"/>
        <v>92012</v>
      </c>
      <c r="BKF23" s="30">
        <f t="shared" si="25"/>
        <v>92043</v>
      </c>
      <c r="BKG23" s="30">
        <f t="shared" si="25"/>
        <v>92074</v>
      </c>
      <c r="BKH23" s="30">
        <f t="shared" si="25"/>
        <v>92103</v>
      </c>
      <c r="BKI23" s="30">
        <f t="shared" si="25"/>
        <v>92134</v>
      </c>
      <c r="BKJ23" s="30">
        <f t="shared" si="25"/>
        <v>92164</v>
      </c>
      <c r="BKK23" s="30">
        <f t="shared" si="25"/>
        <v>92195</v>
      </c>
      <c r="BKL23" s="30">
        <f t="shared" si="25"/>
        <v>92225</v>
      </c>
      <c r="BKM23" s="30">
        <f t="shared" si="25"/>
        <v>92256</v>
      </c>
      <c r="BKN23" s="30">
        <f t="shared" si="25"/>
        <v>92287</v>
      </c>
      <c r="BKO23" s="30">
        <f t="shared" si="25"/>
        <v>92317</v>
      </c>
      <c r="BKP23" s="30">
        <f t="shared" si="25"/>
        <v>92348</v>
      </c>
      <c r="BKQ23" s="30">
        <f t="shared" si="25"/>
        <v>92378</v>
      </c>
      <c r="BKR23" s="30">
        <f t="shared" si="25"/>
        <v>92409</v>
      </c>
      <c r="BKS23" s="30">
        <f t="shared" si="25"/>
        <v>92440</v>
      </c>
      <c r="BKT23" s="30">
        <f t="shared" si="25"/>
        <v>92468</v>
      </c>
      <c r="BKU23" s="30">
        <f t="shared" si="25"/>
        <v>92499</v>
      </c>
      <c r="BKV23" s="30">
        <f t="shared" si="25"/>
        <v>92529</v>
      </c>
      <c r="BKW23" s="30">
        <f t="shared" si="25"/>
        <v>92560</v>
      </c>
      <c r="BKX23" s="30">
        <f t="shared" si="25"/>
        <v>92590</v>
      </c>
      <c r="BKY23" s="30">
        <f t="shared" si="25"/>
        <v>92621</v>
      </c>
      <c r="BKZ23" s="30">
        <f t="shared" si="25"/>
        <v>92652</v>
      </c>
      <c r="BLA23" s="30">
        <f t="shared" si="25"/>
        <v>92682</v>
      </c>
      <c r="BLB23" s="30">
        <f t="shared" si="25"/>
        <v>92713</v>
      </c>
      <c r="BLC23" s="30">
        <f t="shared" si="25"/>
        <v>92743</v>
      </c>
      <c r="BLD23" s="30">
        <f t="shared" ref="BLD23:BNO23" si="26">EDATE(BLC23,1)</f>
        <v>92774</v>
      </c>
      <c r="BLE23" s="30">
        <f t="shared" si="26"/>
        <v>92805</v>
      </c>
      <c r="BLF23" s="30">
        <f t="shared" si="26"/>
        <v>92833</v>
      </c>
      <c r="BLG23" s="30">
        <f t="shared" si="26"/>
        <v>92864</v>
      </c>
      <c r="BLH23" s="30">
        <f t="shared" si="26"/>
        <v>92894</v>
      </c>
      <c r="BLI23" s="30">
        <f t="shared" si="26"/>
        <v>92925</v>
      </c>
      <c r="BLJ23" s="30">
        <f t="shared" si="26"/>
        <v>92955</v>
      </c>
      <c r="BLK23" s="30">
        <f t="shared" si="26"/>
        <v>92986</v>
      </c>
      <c r="BLL23" s="30">
        <f t="shared" si="26"/>
        <v>93017</v>
      </c>
      <c r="BLM23" s="30">
        <f t="shared" si="26"/>
        <v>93047</v>
      </c>
      <c r="BLN23" s="30">
        <f t="shared" si="26"/>
        <v>93078</v>
      </c>
      <c r="BLO23" s="30">
        <f t="shared" si="26"/>
        <v>93108</v>
      </c>
      <c r="BLP23" s="30">
        <f t="shared" si="26"/>
        <v>93139</v>
      </c>
      <c r="BLQ23" s="30">
        <f t="shared" si="26"/>
        <v>93170</v>
      </c>
      <c r="BLR23" s="30">
        <f t="shared" si="26"/>
        <v>93198</v>
      </c>
      <c r="BLS23" s="30">
        <f t="shared" si="26"/>
        <v>93229</v>
      </c>
      <c r="BLT23" s="30">
        <f t="shared" si="26"/>
        <v>93259</v>
      </c>
      <c r="BLU23" s="30">
        <f t="shared" si="26"/>
        <v>93290</v>
      </c>
      <c r="BLV23" s="30">
        <f t="shared" si="26"/>
        <v>93320</v>
      </c>
      <c r="BLW23" s="30">
        <f t="shared" si="26"/>
        <v>93351</v>
      </c>
      <c r="BLX23" s="30">
        <f t="shared" si="26"/>
        <v>93382</v>
      </c>
      <c r="BLY23" s="30">
        <f t="shared" si="26"/>
        <v>93412</v>
      </c>
      <c r="BLZ23" s="30">
        <f t="shared" si="26"/>
        <v>93443</v>
      </c>
      <c r="BMA23" s="30">
        <f t="shared" si="26"/>
        <v>93473</v>
      </c>
      <c r="BMB23" s="30">
        <f t="shared" si="26"/>
        <v>93504</v>
      </c>
      <c r="BMC23" s="30">
        <f t="shared" si="26"/>
        <v>93535</v>
      </c>
      <c r="BMD23" s="30">
        <f t="shared" si="26"/>
        <v>93564</v>
      </c>
      <c r="BME23" s="30">
        <f t="shared" si="26"/>
        <v>93595</v>
      </c>
      <c r="BMF23" s="30">
        <f t="shared" si="26"/>
        <v>93625</v>
      </c>
      <c r="BMG23" s="30">
        <f t="shared" si="26"/>
        <v>93656</v>
      </c>
      <c r="BMH23" s="30">
        <f t="shared" si="26"/>
        <v>93686</v>
      </c>
      <c r="BMI23" s="30">
        <f t="shared" si="26"/>
        <v>93717</v>
      </c>
      <c r="BMJ23" s="30">
        <f t="shared" si="26"/>
        <v>93748</v>
      </c>
      <c r="BMK23" s="30">
        <f t="shared" si="26"/>
        <v>93778</v>
      </c>
      <c r="BML23" s="30">
        <f t="shared" si="26"/>
        <v>93809</v>
      </c>
      <c r="BMM23" s="30">
        <f t="shared" si="26"/>
        <v>93839</v>
      </c>
      <c r="BMN23" s="30">
        <f t="shared" si="26"/>
        <v>93870</v>
      </c>
      <c r="BMO23" s="30">
        <f t="shared" si="26"/>
        <v>93901</v>
      </c>
      <c r="BMP23" s="30">
        <f t="shared" si="26"/>
        <v>93929</v>
      </c>
      <c r="BMQ23" s="30">
        <f t="shared" si="26"/>
        <v>93960</v>
      </c>
      <c r="BMR23" s="30">
        <f t="shared" si="26"/>
        <v>93990</v>
      </c>
      <c r="BMS23" s="30">
        <f t="shared" si="26"/>
        <v>94021</v>
      </c>
      <c r="BMT23" s="30">
        <f t="shared" si="26"/>
        <v>94051</v>
      </c>
      <c r="BMU23" s="30">
        <f t="shared" si="26"/>
        <v>94082</v>
      </c>
      <c r="BMV23" s="30">
        <f t="shared" si="26"/>
        <v>94113</v>
      </c>
      <c r="BMW23" s="30">
        <f t="shared" si="26"/>
        <v>94143</v>
      </c>
      <c r="BMX23" s="30">
        <f t="shared" si="26"/>
        <v>94174</v>
      </c>
      <c r="BMY23" s="30">
        <f t="shared" si="26"/>
        <v>94204</v>
      </c>
      <c r="BMZ23" s="30">
        <f t="shared" si="26"/>
        <v>94235</v>
      </c>
      <c r="BNA23" s="30">
        <f t="shared" si="26"/>
        <v>94266</v>
      </c>
      <c r="BNB23" s="30">
        <f t="shared" si="26"/>
        <v>94294</v>
      </c>
      <c r="BNC23" s="30">
        <f t="shared" si="26"/>
        <v>94325</v>
      </c>
      <c r="BND23" s="30">
        <f t="shared" si="26"/>
        <v>94355</v>
      </c>
      <c r="BNE23" s="30">
        <f t="shared" si="26"/>
        <v>94386</v>
      </c>
      <c r="BNF23" s="30">
        <f t="shared" si="26"/>
        <v>94416</v>
      </c>
      <c r="BNG23" s="30">
        <f t="shared" si="26"/>
        <v>94447</v>
      </c>
      <c r="BNH23" s="30">
        <f t="shared" si="26"/>
        <v>94478</v>
      </c>
      <c r="BNI23" s="30">
        <f t="shared" si="26"/>
        <v>94508</v>
      </c>
      <c r="BNJ23" s="30">
        <f t="shared" si="26"/>
        <v>94539</v>
      </c>
      <c r="BNK23" s="30">
        <f t="shared" si="26"/>
        <v>94569</v>
      </c>
      <c r="BNL23" s="30">
        <f t="shared" si="26"/>
        <v>94600</v>
      </c>
      <c r="BNM23" s="30">
        <f t="shared" si="26"/>
        <v>94631</v>
      </c>
      <c r="BNN23" s="30">
        <f t="shared" si="26"/>
        <v>94659</v>
      </c>
      <c r="BNO23" s="30">
        <f t="shared" si="26"/>
        <v>94690</v>
      </c>
      <c r="BNP23" s="30">
        <f t="shared" ref="BNP23:BQA23" si="27">EDATE(BNO23,1)</f>
        <v>94720</v>
      </c>
      <c r="BNQ23" s="30">
        <f t="shared" si="27"/>
        <v>94751</v>
      </c>
      <c r="BNR23" s="30">
        <f t="shared" si="27"/>
        <v>94781</v>
      </c>
      <c r="BNS23" s="30">
        <f t="shared" si="27"/>
        <v>94812</v>
      </c>
      <c r="BNT23" s="30">
        <f t="shared" si="27"/>
        <v>94843</v>
      </c>
      <c r="BNU23" s="30">
        <f t="shared" si="27"/>
        <v>94873</v>
      </c>
      <c r="BNV23" s="30">
        <f t="shared" si="27"/>
        <v>94904</v>
      </c>
      <c r="BNW23" s="30">
        <f t="shared" si="27"/>
        <v>94934</v>
      </c>
      <c r="BNX23" s="30">
        <f t="shared" si="27"/>
        <v>94965</v>
      </c>
      <c r="BNY23" s="30">
        <f t="shared" si="27"/>
        <v>94996</v>
      </c>
      <c r="BNZ23" s="30">
        <f t="shared" si="27"/>
        <v>95025</v>
      </c>
      <c r="BOA23" s="30">
        <f t="shared" si="27"/>
        <v>95056</v>
      </c>
      <c r="BOB23" s="30">
        <f t="shared" si="27"/>
        <v>95086</v>
      </c>
      <c r="BOC23" s="30">
        <f t="shared" si="27"/>
        <v>95117</v>
      </c>
      <c r="BOD23" s="30">
        <f t="shared" si="27"/>
        <v>95147</v>
      </c>
      <c r="BOE23" s="30">
        <f t="shared" si="27"/>
        <v>95178</v>
      </c>
      <c r="BOF23" s="30">
        <f t="shared" si="27"/>
        <v>95209</v>
      </c>
      <c r="BOG23" s="30">
        <f t="shared" si="27"/>
        <v>95239</v>
      </c>
      <c r="BOH23" s="30">
        <f t="shared" si="27"/>
        <v>95270</v>
      </c>
      <c r="BOI23" s="30">
        <f t="shared" si="27"/>
        <v>95300</v>
      </c>
      <c r="BOJ23" s="30">
        <f t="shared" si="27"/>
        <v>95331</v>
      </c>
      <c r="BOK23" s="30">
        <f t="shared" si="27"/>
        <v>95362</v>
      </c>
      <c r="BOL23" s="30">
        <f t="shared" si="27"/>
        <v>95390</v>
      </c>
      <c r="BOM23" s="30">
        <f t="shared" si="27"/>
        <v>95421</v>
      </c>
      <c r="BON23" s="30">
        <f t="shared" si="27"/>
        <v>95451</v>
      </c>
      <c r="BOO23" s="30">
        <f t="shared" si="27"/>
        <v>95482</v>
      </c>
      <c r="BOP23" s="30">
        <f t="shared" si="27"/>
        <v>95512</v>
      </c>
      <c r="BOQ23" s="30">
        <f t="shared" si="27"/>
        <v>95543</v>
      </c>
      <c r="BOR23" s="30">
        <f t="shared" si="27"/>
        <v>95574</v>
      </c>
      <c r="BOS23" s="30">
        <f t="shared" si="27"/>
        <v>95604</v>
      </c>
      <c r="BOT23" s="30">
        <f t="shared" si="27"/>
        <v>95635</v>
      </c>
      <c r="BOU23" s="30">
        <f t="shared" si="27"/>
        <v>95665</v>
      </c>
      <c r="BOV23" s="30">
        <f t="shared" si="27"/>
        <v>95696</v>
      </c>
      <c r="BOW23" s="30">
        <f t="shared" si="27"/>
        <v>95727</v>
      </c>
      <c r="BOX23" s="30">
        <f t="shared" si="27"/>
        <v>95755</v>
      </c>
      <c r="BOY23" s="30">
        <f t="shared" si="27"/>
        <v>95786</v>
      </c>
      <c r="BOZ23" s="30">
        <f t="shared" si="27"/>
        <v>95816</v>
      </c>
      <c r="BPA23" s="30">
        <f t="shared" si="27"/>
        <v>95847</v>
      </c>
      <c r="BPB23" s="30">
        <f t="shared" si="27"/>
        <v>95877</v>
      </c>
      <c r="BPC23" s="30">
        <f t="shared" si="27"/>
        <v>95908</v>
      </c>
      <c r="BPD23" s="30">
        <f t="shared" si="27"/>
        <v>95939</v>
      </c>
      <c r="BPE23" s="30">
        <f t="shared" si="27"/>
        <v>95969</v>
      </c>
      <c r="BPF23" s="30">
        <f t="shared" si="27"/>
        <v>96000</v>
      </c>
      <c r="BPG23" s="30">
        <f t="shared" si="27"/>
        <v>96030</v>
      </c>
      <c r="BPH23" s="30">
        <f t="shared" si="27"/>
        <v>96061</v>
      </c>
      <c r="BPI23" s="30">
        <f t="shared" si="27"/>
        <v>96092</v>
      </c>
      <c r="BPJ23" s="30">
        <f t="shared" si="27"/>
        <v>96120</v>
      </c>
      <c r="BPK23" s="30">
        <f t="shared" si="27"/>
        <v>96151</v>
      </c>
      <c r="BPL23" s="30">
        <f t="shared" si="27"/>
        <v>96181</v>
      </c>
      <c r="BPM23" s="30">
        <f t="shared" si="27"/>
        <v>96212</v>
      </c>
      <c r="BPN23" s="30">
        <f t="shared" si="27"/>
        <v>96242</v>
      </c>
      <c r="BPO23" s="30">
        <f t="shared" si="27"/>
        <v>96273</v>
      </c>
      <c r="BPP23" s="30">
        <f t="shared" si="27"/>
        <v>96304</v>
      </c>
      <c r="BPQ23" s="30">
        <f t="shared" si="27"/>
        <v>96334</v>
      </c>
      <c r="BPR23" s="30">
        <f t="shared" si="27"/>
        <v>96365</v>
      </c>
      <c r="BPS23" s="30">
        <f t="shared" si="27"/>
        <v>96395</v>
      </c>
      <c r="BPT23" s="30">
        <f t="shared" si="27"/>
        <v>96426</v>
      </c>
      <c r="BPU23" s="30">
        <f t="shared" si="27"/>
        <v>96457</v>
      </c>
      <c r="BPV23" s="30">
        <f t="shared" si="27"/>
        <v>96486</v>
      </c>
      <c r="BPW23" s="30">
        <f t="shared" si="27"/>
        <v>96517</v>
      </c>
      <c r="BPX23" s="30">
        <f t="shared" si="27"/>
        <v>96547</v>
      </c>
      <c r="BPY23" s="30">
        <f t="shared" si="27"/>
        <v>96578</v>
      </c>
      <c r="BPZ23" s="30">
        <f t="shared" si="27"/>
        <v>96608</v>
      </c>
      <c r="BQA23" s="30">
        <f t="shared" si="27"/>
        <v>96639</v>
      </c>
      <c r="BQB23" s="30">
        <f t="shared" ref="BQB23:BSM23" si="28">EDATE(BQA23,1)</f>
        <v>96670</v>
      </c>
      <c r="BQC23" s="30">
        <f t="shared" si="28"/>
        <v>96700</v>
      </c>
      <c r="BQD23" s="30">
        <f t="shared" si="28"/>
        <v>96731</v>
      </c>
      <c r="BQE23" s="30">
        <f t="shared" si="28"/>
        <v>96761</v>
      </c>
      <c r="BQF23" s="30">
        <f t="shared" si="28"/>
        <v>96792</v>
      </c>
      <c r="BQG23" s="30">
        <f t="shared" si="28"/>
        <v>96823</v>
      </c>
      <c r="BQH23" s="30">
        <f t="shared" si="28"/>
        <v>96851</v>
      </c>
      <c r="BQI23" s="30">
        <f t="shared" si="28"/>
        <v>96882</v>
      </c>
      <c r="BQJ23" s="30">
        <f t="shared" si="28"/>
        <v>96912</v>
      </c>
      <c r="BQK23" s="30">
        <f t="shared" si="28"/>
        <v>96943</v>
      </c>
      <c r="BQL23" s="30">
        <f t="shared" si="28"/>
        <v>96973</v>
      </c>
      <c r="BQM23" s="30">
        <f t="shared" si="28"/>
        <v>97004</v>
      </c>
      <c r="BQN23" s="30">
        <f t="shared" si="28"/>
        <v>97035</v>
      </c>
      <c r="BQO23" s="30">
        <f t="shared" si="28"/>
        <v>97065</v>
      </c>
      <c r="BQP23" s="30">
        <f t="shared" si="28"/>
        <v>97096</v>
      </c>
      <c r="BQQ23" s="30">
        <f t="shared" si="28"/>
        <v>97126</v>
      </c>
      <c r="BQR23" s="30">
        <f t="shared" si="28"/>
        <v>97157</v>
      </c>
      <c r="BQS23" s="30">
        <f t="shared" si="28"/>
        <v>97188</v>
      </c>
      <c r="BQT23" s="30">
        <f t="shared" si="28"/>
        <v>97216</v>
      </c>
      <c r="BQU23" s="30">
        <f t="shared" si="28"/>
        <v>97247</v>
      </c>
      <c r="BQV23" s="30">
        <f t="shared" si="28"/>
        <v>97277</v>
      </c>
      <c r="BQW23" s="30">
        <f t="shared" si="28"/>
        <v>97308</v>
      </c>
      <c r="BQX23" s="30">
        <f t="shared" si="28"/>
        <v>97338</v>
      </c>
      <c r="BQY23" s="30">
        <f t="shared" si="28"/>
        <v>97369</v>
      </c>
      <c r="BQZ23" s="30">
        <f t="shared" si="28"/>
        <v>97400</v>
      </c>
      <c r="BRA23" s="30">
        <f t="shared" si="28"/>
        <v>97430</v>
      </c>
      <c r="BRB23" s="30">
        <f t="shared" si="28"/>
        <v>97461</v>
      </c>
      <c r="BRC23" s="30">
        <f t="shared" si="28"/>
        <v>97491</v>
      </c>
      <c r="BRD23" s="30">
        <f t="shared" si="28"/>
        <v>97522</v>
      </c>
      <c r="BRE23" s="30">
        <f t="shared" si="28"/>
        <v>97553</v>
      </c>
      <c r="BRF23" s="30">
        <f t="shared" si="28"/>
        <v>97581</v>
      </c>
      <c r="BRG23" s="30">
        <f t="shared" si="28"/>
        <v>97612</v>
      </c>
      <c r="BRH23" s="30">
        <f t="shared" si="28"/>
        <v>97642</v>
      </c>
      <c r="BRI23" s="30">
        <f t="shared" si="28"/>
        <v>97673</v>
      </c>
      <c r="BRJ23" s="30">
        <f t="shared" si="28"/>
        <v>97703</v>
      </c>
      <c r="BRK23" s="30">
        <f t="shared" si="28"/>
        <v>97734</v>
      </c>
      <c r="BRL23" s="30">
        <f t="shared" si="28"/>
        <v>97765</v>
      </c>
      <c r="BRM23" s="30">
        <f t="shared" si="28"/>
        <v>97795</v>
      </c>
      <c r="BRN23" s="30">
        <f t="shared" si="28"/>
        <v>97826</v>
      </c>
      <c r="BRO23" s="30">
        <f t="shared" si="28"/>
        <v>97856</v>
      </c>
      <c r="BRP23" s="30">
        <f t="shared" si="28"/>
        <v>97887</v>
      </c>
      <c r="BRQ23" s="30">
        <f t="shared" si="28"/>
        <v>97918</v>
      </c>
      <c r="BRR23" s="30">
        <f t="shared" si="28"/>
        <v>97947</v>
      </c>
      <c r="BRS23" s="30">
        <f t="shared" si="28"/>
        <v>97978</v>
      </c>
      <c r="BRT23" s="30">
        <f t="shared" si="28"/>
        <v>98008</v>
      </c>
      <c r="BRU23" s="30">
        <f t="shared" si="28"/>
        <v>98039</v>
      </c>
      <c r="BRV23" s="30">
        <f t="shared" si="28"/>
        <v>98069</v>
      </c>
      <c r="BRW23" s="30">
        <f t="shared" si="28"/>
        <v>98100</v>
      </c>
      <c r="BRX23" s="30">
        <f t="shared" si="28"/>
        <v>98131</v>
      </c>
      <c r="BRY23" s="30">
        <f t="shared" si="28"/>
        <v>98161</v>
      </c>
      <c r="BRZ23" s="30">
        <f t="shared" si="28"/>
        <v>98192</v>
      </c>
      <c r="BSA23" s="30">
        <f t="shared" si="28"/>
        <v>98222</v>
      </c>
      <c r="BSB23" s="30">
        <f t="shared" si="28"/>
        <v>98253</v>
      </c>
      <c r="BSC23" s="30">
        <f t="shared" si="28"/>
        <v>98284</v>
      </c>
      <c r="BSD23" s="30">
        <f t="shared" si="28"/>
        <v>98312</v>
      </c>
      <c r="BSE23" s="30">
        <f t="shared" si="28"/>
        <v>98343</v>
      </c>
      <c r="BSF23" s="30">
        <f t="shared" si="28"/>
        <v>98373</v>
      </c>
      <c r="BSG23" s="30">
        <f t="shared" si="28"/>
        <v>98404</v>
      </c>
      <c r="BSH23" s="30">
        <f t="shared" si="28"/>
        <v>98434</v>
      </c>
      <c r="BSI23" s="30">
        <f t="shared" si="28"/>
        <v>98465</v>
      </c>
      <c r="BSJ23" s="30">
        <f t="shared" si="28"/>
        <v>98496</v>
      </c>
      <c r="BSK23" s="30">
        <f t="shared" si="28"/>
        <v>98526</v>
      </c>
      <c r="BSL23" s="30">
        <f t="shared" si="28"/>
        <v>98557</v>
      </c>
      <c r="BSM23" s="30">
        <f t="shared" si="28"/>
        <v>98587</v>
      </c>
      <c r="BSN23" s="30">
        <f t="shared" ref="BSN23:BUY23" si="29">EDATE(BSM23,1)</f>
        <v>98618</v>
      </c>
      <c r="BSO23" s="30">
        <f t="shared" si="29"/>
        <v>98649</v>
      </c>
      <c r="BSP23" s="30">
        <f t="shared" si="29"/>
        <v>98677</v>
      </c>
      <c r="BSQ23" s="30">
        <f t="shared" si="29"/>
        <v>98708</v>
      </c>
      <c r="BSR23" s="30">
        <f t="shared" si="29"/>
        <v>98738</v>
      </c>
      <c r="BSS23" s="30">
        <f t="shared" si="29"/>
        <v>98769</v>
      </c>
      <c r="BST23" s="30">
        <f t="shared" si="29"/>
        <v>98799</v>
      </c>
      <c r="BSU23" s="30">
        <f t="shared" si="29"/>
        <v>98830</v>
      </c>
      <c r="BSV23" s="30">
        <f t="shared" si="29"/>
        <v>98861</v>
      </c>
      <c r="BSW23" s="30">
        <f t="shared" si="29"/>
        <v>98891</v>
      </c>
      <c r="BSX23" s="30">
        <f t="shared" si="29"/>
        <v>98922</v>
      </c>
      <c r="BSY23" s="30">
        <f t="shared" si="29"/>
        <v>98952</v>
      </c>
      <c r="BSZ23" s="30">
        <f t="shared" si="29"/>
        <v>98983</v>
      </c>
      <c r="BTA23" s="30">
        <f t="shared" si="29"/>
        <v>99014</v>
      </c>
      <c r="BTB23" s="30">
        <f t="shared" si="29"/>
        <v>99042</v>
      </c>
      <c r="BTC23" s="30">
        <f t="shared" si="29"/>
        <v>99073</v>
      </c>
      <c r="BTD23" s="30">
        <f t="shared" si="29"/>
        <v>99103</v>
      </c>
      <c r="BTE23" s="30">
        <f t="shared" si="29"/>
        <v>99134</v>
      </c>
      <c r="BTF23" s="30">
        <f t="shared" si="29"/>
        <v>99164</v>
      </c>
      <c r="BTG23" s="30">
        <f t="shared" si="29"/>
        <v>99195</v>
      </c>
      <c r="BTH23" s="30">
        <f t="shared" si="29"/>
        <v>99226</v>
      </c>
      <c r="BTI23" s="30">
        <f t="shared" si="29"/>
        <v>99256</v>
      </c>
      <c r="BTJ23" s="30">
        <f t="shared" si="29"/>
        <v>99287</v>
      </c>
      <c r="BTK23" s="30">
        <f t="shared" si="29"/>
        <v>99317</v>
      </c>
      <c r="BTL23" s="30">
        <f t="shared" si="29"/>
        <v>99348</v>
      </c>
      <c r="BTM23" s="30">
        <f t="shared" si="29"/>
        <v>99379</v>
      </c>
      <c r="BTN23" s="30">
        <f t="shared" si="29"/>
        <v>99408</v>
      </c>
      <c r="BTO23" s="30">
        <f t="shared" si="29"/>
        <v>99439</v>
      </c>
      <c r="BTP23" s="30">
        <f t="shared" si="29"/>
        <v>99469</v>
      </c>
      <c r="BTQ23" s="30">
        <f t="shared" si="29"/>
        <v>99500</v>
      </c>
      <c r="BTR23" s="30">
        <f t="shared" si="29"/>
        <v>99530</v>
      </c>
      <c r="BTS23" s="30">
        <f t="shared" si="29"/>
        <v>99561</v>
      </c>
      <c r="BTT23" s="30">
        <f t="shared" si="29"/>
        <v>99592</v>
      </c>
      <c r="BTU23" s="30">
        <f t="shared" si="29"/>
        <v>99622</v>
      </c>
      <c r="BTV23" s="30">
        <f t="shared" si="29"/>
        <v>99653</v>
      </c>
      <c r="BTW23" s="30">
        <f t="shared" si="29"/>
        <v>99683</v>
      </c>
      <c r="BTX23" s="30">
        <f t="shared" si="29"/>
        <v>99714</v>
      </c>
      <c r="BTY23" s="30">
        <f t="shared" si="29"/>
        <v>99745</v>
      </c>
      <c r="BTZ23" s="30">
        <f t="shared" si="29"/>
        <v>99773</v>
      </c>
      <c r="BUA23" s="30">
        <f t="shared" si="29"/>
        <v>99804</v>
      </c>
      <c r="BUB23" s="30">
        <f t="shared" si="29"/>
        <v>99834</v>
      </c>
      <c r="BUC23" s="30">
        <f t="shared" si="29"/>
        <v>99865</v>
      </c>
      <c r="BUD23" s="30">
        <f t="shared" si="29"/>
        <v>99895</v>
      </c>
      <c r="BUE23" s="30">
        <f t="shared" si="29"/>
        <v>99926</v>
      </c>
      <c r="BUF23" s="30">
        <f t="shared" si="29"/>
        <v>99957</v>
      </c>
      <c r="BUG23" s="30">
        <f t="shared" si="29"/>
        <v>99987</v>
      </c>
      <c r="BUH23" s="30">
        <f t="shared" si="29"/>
        <v>100018</v>
      </c>
      <c r="BUI23" s="30">
        <f t="shared" si="29"/>
        <v>100048</v>
      </c>
      <c r="BUJ23" s="30">
        <f t="shared" si="29"/>
        <v>100079</v>
      </c>
      <c r="BUK23" s="30">
        <f t="shared" si="29"/>
        <v>100110</v>
      </c>
      <c r="BUL23" s="30">
        <f t="shared" si="29"/>
        <v>100138</v>
      </c>
      <c r="BUM23" s="30">
        <f t="shared" si="29"/>
        <v>100169</v>
      </c>
      <c r="BUN23" s="30">
        <f t="shared" si="29"/>
        <v>100199</v>
      </c>
      <c r="BUO23" s="30">
        <f t="shared" si="29"/>
        <v>100230</v>
      </c>
      <c r="BUP23" s="30">
        <f t="shared" si="29"/>
        <v>100260</v>
      </c>
      <c r="BUQ23" s="30">
        <f t="shared" si="29"/>
        <v>100291</v>
      </c>
      <c r="BUR23" s="30">
        <f t="shared" si="29"/>
        <v>100322</v>
      </c>
      <c r="BUS23" s="30">
        <f t="shared" si="29"/>
        <v>100352</v>
      </c>
      <c r="BUT23" s="30">
        <f t="shared" si="29"/>
        <v>100383</v>
      </c>
      <c r="BUU23" s="30">
        <f t="shared" si="29"/>
        <v>100413</v>
      </c>
      <c r="BUV23" s="30">
        <f t="shared" si="29"/>
        <v>100444</v>
      </c>
      <c r="BUW23" s="30">
        <f t="shared" si="29"/>
        <v>100475</v>
      </c>
      <c r="BUX23" s="30">
        <f t="shared" si="29"/>
        <v>100503</v>
      </c>
      <c r="BUY23" s="30">
        <f t="shared" si="29"/>
        <v>100534</v>
      </c>
      <c r="BUZ23" s="30">
        <f t="shared" ref="BUZ23:BXK23" si="30">EDATE(BUY23,1)</f>
        <v>100564</v>
      </c>
      <c r="BVA23" s="30">
        <f t="shared" si="30"/>
        <v>100595</v>
      </c>
      <c r="BVB23" s="30">
        <f t="shared" si="30"/>
        <v>100625</v>
      </c>
      <c r="BVC23" s="30">
        <f t="shared" si="30"/>
        <v>100656</v>
      </c>
      <c r="BVD23" s="30">
        <f t="shared" si="30"/>
        <v>100687</v>
      </c>
      <c r="BVE23" s="30">
        <f t="shared" si="30"/>
        <v>100717</v>
      </c>
      <c r="BVF23" s="30">
        <f t="shared" si="30"/>
        <v>100748</v>
      </c>
      <c r="BVG23" s="30">
        <f t="shared" si="30"/>
        <v>100778</v>
      </c>
      <c r="BVH23" s="30">
        <f t="shared" si="30"/>
        <v>100809</v>
      </c>
      <c r="BVI23" s="30">
        <f t="shared" si="30"/>
        <v>100840</v>
      </c>
      <c r="BVJ23" s="30">
        <f t="shared" si="30"/>
        <v>100869</v>
      </c>
      <c r="BVK23" s="30">
        <f t="shared" si="30"/>
        <v>100900</v>
      </c>
      <c r="BVL23" s="30">
        <f t="shared" si="30"/>
        <v>100930</v>
      </c>
      <c r="BVM23" s="30">
        <f t="shared" si="30"/>
        <v>100961</v>
      </c>
      <c r="BVN23" s="30">
        <f t="shared" si="30"/>
        <v>100991</v>
      </c>
      <c r="BVO23" s="30">
        <f t="shared" si="30"/>
        <v>101022</v>
      </c>
      <c r="BVP23" s="30">
        <f t="shared" si="30"/>
        <v>101053</v>
      </c>
      <c r="BVQ23" s="30">
        <f t="shared" si="30"/>
        <v>101083</v>
      </c>
      <c r="BVR23" s="30">
        <f t="shared" si="30"/>
        <v>101114</v>
      </c>
      <c r="BVS23" s="30">
        <f t="shared" si="30"/>
        <v>101144</v>
      </c>
      <c r="BVT23" s="30">
        <f t="shared" si="30"/>
        <v>101175</v>
      </c>
      <c r="BVU23" s="30">
        <f t="shared" si="30"/>
        <v>101206</v>
      </c>
      <c r="BVV23" s="30">
        <f t="shared" si="30"/>
        <v>101234</v>
      </c>
      <c r="BVW23" s="30">
        <f t="shared" si="30"/>
        <v>101265</v>
      </c>
      <c r="BVX23" s="30">
        <f t="shared" si="30"/>
        <v>101295</v>
      </c>
      <c r="BVY23" s="30">
        <f t="shared" si="30"/>
        <v>101326</v>
      </c>
      <c r="BVZ23" s="30">
        <f t="shared" si="30"/>
        <v>101356</v>
      </c>
      <c r="BWA23" s="30">
        <f t="shared" si="30"/>
        <v>101387</v>
      </c>
      <c r="BWB23" s="30">
        <f t="shared" si="30"/>
        <v>101418</v>
      </c>
      <c r="BWC23" s="30">
        <f t="shared" si="30"/>
        <v>101448</v>
      </c>
      <c r="BWD23" s="30">
        <f t="shared" si="30"/>
        <v>101479</v>
      </c>
      <c r="BWE23" s="30">
        <f t="shared" si="30"/>
        <v>101509</v>
      </c>
      <c r="BWF23" s="30">
        <f t="shared" si="30"/>
        <v>101540</v>
      </c>
      <c r="BWG23" s="30">
        <f t="shared" si="30"/>
        <v>101571</v>
      </c>
      <c r="BWH23" s="30">
        <f t="shared" si="30"/>
        <v>101599</v>
      </c>
      <c r="BWI23" s="30">
        <f t="shared" si="30"/>
        <v>101630</v>
      </c>
      <c r="BWJ23" s="30">
        <f t="shared" si="30"/>
        <v>101660</v>
      </c>
      <c r="BWK23" s="30">
        <f t="shared" si="30"/>
        <v>101691</v>
      </c>
      <c r="BWL23" s="30">
        <f t="shared" si="30"/>
        <v>101721</v>
      </c>
      <c r="BWM23" s="30">
        <f t="shared" si="30"/>
        <v>101752</v>
      </c>
      <c r="BWN23" s="30">
        <f t="shared" si="30"/>
        <v>101783</v>
      </c>
      <c r="BWO23" s="30">
        <f t="shared" si="30"/>
        <v>101813</v>
      </c>
      <c r="BWP23" s="30">
        <f t="shared" si="30"/>
        <v>101844</v>
      </c>
      <c r="BWQ23" s="30">
        <f t="shared" si="30"/>
        <v>101874</v>
      </c>
      <c r="BWR23" s="30">
        <f t="shared" si="30"/>
        <v>101905</v>
      </c>
      <c r="BWS23" s="30">
        <f t="shared" si="30"/>
        <v>101936</v>
      </c>
      <c r="BWT23" s="30">
        <f t="shared" si="30"/>
        <v>101964</v>
      </c>
      <c r="BWU23" s="30">
        <f t="shared" si="30"/>
        <v>101995</v>
      </c>
      <c r="BWV23" s="30">
        <f t="shared" si="30"/>
        <v>102025</v>
      </c>
      <c r="BWW23" s="30">
        <f t="shared" si="30"/>
        <v>102056</v>
      </c>
      <c r="BWX23" s="30">
        <f t="shared" si="30"/>
        <v>102086</v>
      </c>
      <c r="BWY23" s="30">
        <f t="shared" si="30"/>
        <v>102117</v>
      </c>
      <c r="BWZ23" s="30">
        <f t="shared" si="30"/>
        <v>102148</v>
      </c>
      <c r="BXA23" s="30">
        <f t="shared" si="30"/>
        <v>102178</v>
      </c>
      <c r="BXB23" s="30">
        <f t="shared" si="30"/>
        <v>102209</v>
      </c>
      <c r="BXC23" s="30">
        <f t="shared" si="30"/>
        <v>102239</v>
      </c>
      <c r="BXD23" s="30">
        <f t="shared" si="30"/>
        <v>102270</v>
      </c>
      <c r="BXE23" s="30">
        <f t="shared" si="30"/>
        <v>102301</v>
      </c>
      <c r="BXF23" s="30">
        <f t="shared" si="30"/>
        <v>102330</v>
      </c>
      <c r="BXG23" s="30">
        <f t="shared" si="30"/>
        <v>102361</v>
      </c>
      <c r="BXH23" s="30">
        <f t="shared" si="30"/>
        <v>102391</v>
      </c>
      <c r="BXI23" s="30">
        <f t="shared" si="30"/>
        <v>102422</v>
      </c>
      <c r="BXJ23" s="30">
        <f t="shared" si="30"/>
        <v>102452</v>
      </c>
      <c r="BXK23" s="30">
        <f t="shared" si="30"/>
        <v>102483</v>
      </c>
      <c r="BXL23" s="30">
        <f t="shared" ref="BXL23:BZW23" si="31">EDATE(BXK23,1)</f>
        <v>102514</v>
      </c>
      <c r="BXM23" s="30">
        <f t="shared" si="31"/>
        <v>102544</v>
      </c>
      <c r="BXN23" s="30">
        <f t="shared" si="31"/>
        <v>102575</v>
      </c>
      <c r="BXO23" s="30">
        <f t="shared" si="31"/>
        <v>102605</v>
      </c>
      <c r="BXP23" s="30">
        <f t="shared" si="31"/>
        <v>102636</v>
      </c>
      <c r="BXQ23" s="30">
        <f t="shared" si="31"/>
        <v>102667</v>
      </c>
      <c r="BXR23" s="30">
        <f t="shared" si="31"/>
        <v>102695</v>
      </c>
      <c r="BXS23" s="30">
        <f t="shared" si="31"/>
        <v>102726</v>
      </c>
      <c r="BXT23" s="30">
        <f t="shared" si="31"/>
        <v>102756</v>
      </c>
      <c r="BXU23" s="30">
        <f t="shared" si="31"/>
        <v>102787</v>
      </c>
      <c r="BXV23" s="30">
        <f t="shared" si="31"/>
        <v>102817</v>
      </c>
      <c r="BXW23" s="30">
        <f t="shared" si="31"/>
        <v>102848</v>
      </c>
      <c r="BXX23" s="30">
        <f t="shared" si="31"/>
        <v>102879</v>
      </c>
      <c r="BXY23" s="30">
        <f t="shared" si="31"/>
        <v>102909</v>
      </c>
      <c r="BXZ23" s="30">
        <f t="shared" si="31"/>
        <v>102940</v>
      </c>
      <c r="BYA23" s="30">
        <f t="shared" si="31"/>
        <v>102970</v>
      </c>
      <c r="BYB23" s="30">
        <f t="shared" si="31"/>
        <v>103001</v>
      </c>
      <c r="BYC23" s="30">
        <f t="shared" si="31"/>
        <v>103032</v>
      </c>
      <c r="BYD23" s="30">
        <f t="shared" si="31"/>
        <v>103060</v>
      </c>
      <c r="BYE23" s="30">
        <f t="shared" si="31"/>
        <v>103091</v>
      </c>
      <c r="BYF23" s="30">
        <f t="shared" si="31"/>
        <v>103121</v>
      </c>
      <c r="BYG23" s="30">
        <f t="shared" si="31"/>
        <v>103152</v>
      </c>
      <c r="BYH23" s="30">
        <f t="shared" si="31"/>
        <v>103182</v>
      </c>
      <c r="BYI23" s="30">
        <f t="shared" si="31"/>
        <v>103213</v>
      </c>
      <c r="BYJ23" s="30">
        <f t="shared" si="31"/>
        <v>103244</v>
      </c>
      <c r="BYK23" s="30">
        <f t="shared" si="31"/>
        <v>103274</v>
      </c>
      <c r="BYL23" s="30">
        <f t="shared" si="31"/>
        <v>103305</v>
      </c>
      <c r="BYM23" s="30">
        <f t="shared" si="31"/>
        <v>103335</v>
      </c>
      <c r="BYN23" s="30">
        <f t="shared" si="31"/>
        <v>103366</v>
      </c>
      <c r="BYO23" s="30">
        <f t="shared" si="31"/>
        <v>103397</v>
      </c>
      <c r="BYP23" s="30">
        <f t="shared" si="31"/>
        <v>103425</v>
      </c>
      <c r="BYQ23" s="30">
        <f t="shared" si="31"/>
        <v>103456</v>
      </c>
      <c r="BYR23" s="30">
        <f t="shared" si="31"/>
        <v>103486</v>
      </c>
      <c r="BYS23" s="30">
        <f t="shared" si="31"/>
        <v>103517</v>
      </c>
      <c r="BYT23" s="30">
        <f t="shared" si="31"/>
        <v>103547</v>
      </c>
      <c r="BYU23" s="30">
        <f t="shared" si="31"/>
        <v>103578</v>
      </c>
      <c r="BYV23" s="30">
        <f t="shared" si="31"/>
        <v>103609</v>
      </c>
      <c r="BYW23" s="30">
        <f t="shared" si="31"/>
        <v>103639</v>
      </c>
      <c r="BYX23" s="30">
        <f t="shared" si="31"/>
        <v>103670</v>
      </c>
      <c r="BYY23" s="30">
        <f t="shared" si="31"/>
        <v>103700</v>
      </c>
      <c r="BYZ23" s="30">
        <f t="shared" si="31"/>
        <v>103731</v>
      </c>
      <c r="BZA23" s="30">
        <f t="shared" si="31"/>
        <v>103762</v>
      </c>
      <c r="BZB23" s="30">
        <f t="shared" si="31"/>
        <v>103791</v>
      </c>
      <c r="BZC23" s="30">
        <f t="shared" si="31"/>
        <v>103822</v>
      </c>
      <c r="BZD23" s="30">
        <f t="shared" si="31"/>
        <v>103852</v>
      </c>
      <c r="BZE23" s="30">
        <f t="shared" si="31"/>
        <v>103883</v>
      </c>
      <c r="BZF23" s="30">
        <f t="shared" si="31"/>
        <v>103913</v>
      </c>
      <c r="BZG23" s="30">
        <f t="shared" si="31"/>
        <v>103944</v>
      </c>
      <c r="BZH23" s="30">
        <f t="shared" si="31"/>
        <v>103975</v>
      </c>
      <c r="BZI23" s="30">
        <f t="shared" si="31"/>
        <v>104005</v>
      </c>
      <c r="BZJ23" s="30">
        <f t="shared" si="31"/>
        <v>104036</v>
      </c>
      <c r="BZK23" s="30">
        <f t="shared" si="31"/>
        <v>104066</v>
      </c>
      <c r="BZL23" s="30">
        <f t="shared" si="31"/>
        <v>104097</v>
      </c>
      <c r="BZM23" s="30">
        <f t="shared" si="31"/>
        <v>104128</v>
      </c>
      <c r="BZN23" s="30">
        <f t="shared" si="31"/>
        <v>104156</v>
      </c>
      <c r="BZO23" s="30">
        <f t="shared" si="31"/>
        <v>104187</v>
      </c>
      <c r="BZP23" s="30">
        <f t="shared" si="31"/>
        <v>104217</v>
      </c>
      <c r="BZQ23" s="30">
        <f t="shared" si="31"/>
        <v>104248</v>
      </c>
      <c r="BZR23" s="30">
        <f t="shared" si="31"/>
        <v>104278</v>
      </c>
      <c r="BZS23" s="30">
        <f t="shared" si="31"/>
        <v>104309</v>
      </c>
      <c r="BZT23" s="30">
        <f t="shared" si="31"/>
        <v>104340</v>
      </c>
      <c r="BZU23" s="30">
        <f t="shared" si="31"/>
        <v>104370</v>
      </c>
      <c r="BZV23" s="30">
        <f t="shared" si="31"/>
        <v>104401</v>
      </c>
      <c r="BZW23" s="30">
        <f t="shared" si="31"/>
        <v>104431</v>
      </c>
      <c r="BZX23" s="30">
        <f t="shared" ref="BZX23:CCI23" si="32">EDATE(BZW23,1)</f>
        <v>104462</v>
      </c>
      <c r="BZY23" s="30">
        <f t="shared" si="32"/>
        <v>104493</v>
      </c>
      <c r="BZZ23" s="30">
        <f t="shared" si="32"/>
        <v>104521</v>
      </c>
      <c r="CAA23" s="30">
        <f t="shared" si="32"/>
        <v>104552</v>
      </c>
      <c r="CAB23" s="30">
        <f t="shared" si="32"/>
        <v>104582</v>
      </c>
      <c r="CAC23" s="30">
        <f t="shared" si="32"/>
        <v>104613</v>
      </c>
      <c r="CAD23" s="30">
        <f t="shared" si="32"/>
        <v>104643</v>
      </c>
      <c r="CAE23" s="30">
        <f t="shared" si="32"/>
        <v>104674</v>
      </c>
      <c r="CAF23" s="30">
        <f t="shared" si="32"/>
        <v>104705</v>
      </c>
      <c r="CAG23" s="30">
        <f t="shared" si="32"/>
        <v>104735</v>
      </c>
      <c r="CAH23" s="30">
        <f t="shared" si="32"/>
        <v>104766</v>
      </c>
      <c r="CAI23" s="30">
        <f t="shared" si="32"/>
        <v>104796</v>
      </c>
      <c r="CAJ23" s="30">
        <f t="shared" si="32"/>
        <v>104827</v>
      </c>
      <c r="CAK23" s="30">
        <f t="shared" si="32"/>
        <v>104858</v>
      </c>
      <c r="CAL23" s="30">
        <f t="shared" si="32"/>
        <v>104886</v>
      </c>
      <c r="CAM23" s="30">
        <f t="shared" si="32"/>
        <v>104917</v>
      </c>
      <c r="CAN23" s="30">
        <f t="shared" si="32"/>
        <v>104947</v>
      </c>
      <c r="CAO23" s="30">
        <f t="shared" si="32"/>
        <v>104978</v>
      </c>
      <c r="CAP23" s="30">
        <f t="shared" si="32"/>
        <v>105008</v>
      </c>
      <c r="CAQ23" s="30">
        <f t="shared" si="32"/>
        <v>105039</v>
      </c>
      <c r="CAR23" s="30">
        <f t="shared" si="32"/>
        <v>105070</v>
      </c>
      <c r="CAS23" s="30">
        <f t="shared" si="32"/>
        <v>105100</v>
      </c>
      <c r="CAT23" s="30">
        <f t="shared" si="32"/>
        <v>105131</v>
      </c>
      <c r="CAU23" s="30">
        <f t="shared" si="32"/>
        <v>105161</v>
      </c>
      <c r="CAV23" s="30">
        <f t="shared" si="32"/>
        <v>105192</v>
      </c>
      <c r="CAW23" s="30">
        <f t="shared" si="32"/>
        <v>105223</v>
      </c>
      <c r="CAX23" s="30">
        <f t="shared" si="32"/>
        <v>105252</v>
      </c>
      <c r="CAY23" s="30">
        <f t="shared" si="32"/>
        <v>105283</v>
      </c>
      <c r="CAZ23" s="30">
        <f t="shared" si="32"/>
        <v>105313</v>
      </c>
      <c r="CBA23" s="30">
        <f t="shared" si="32"/>
        <v>105344</v>
      </c>
      <c r="CBB23" s="30">
        <f t="shared" si="32"/>
        <v>105374</v>
      </c>
      <c r="CBC23" s="30">
        <f t="shared" si="32"/>
        <v>105405</v>
      </c>
      <c r="CBD23" s="30">
        <f t="shared" si="32"/>
        <v>105436</v>
      </c>
      <c r="CBE23" s="30">
        <f t="shared" si="32"/>
        <v>105466</v>
      </c>
      <c r="CBF23" s="30">
        <f t="shared" si="32"/>
        <v>105497</v>
      </c>
      <c r="CBG23" s="30">
        <f t="shared" si="32"/>
        <v>105527</v>
      </c>
      <c r="CBH23" s="30">
        <f t="shared" si="32"/>
        <v>105558</v>
      </c>
      <c r="CBI23" s="30">
        <f t="shared" si="32"/>
        <v>105589</v>
      </c>
      <c r="CBJ23" s="30">
        <f t="shared" si="32"/>
        <v>105617</v>
      </c>
      <c r="CBK23" s="30">
        <f t="shared" si="32"/>
        <v>105648</v>
      </c>
      <c r="CBL23" s="30">
        <f t="shared" si="32"/>
        <v>105678</v>
      </c>
      <c r="CBM23" s="30">
        <f t="shared" si="32"/>
        <v>105709</v>
      </c>
      <c r="CBN23" s="30">
        <f t="shared" si="32"/>
        <v>105739</v>
      </c>
      <c r="CBO23" s="30">
        <f t="shared" si="32"/>
        <v>105770</v>
      </c>
      <c r="CBP23" s="30">
        <f t="shared" si="32"/>
        <v>105801</v>
      </c>
      <c r="CBQ23" s="30">
        <f t="shared" si="32"/>
        <v>105831</v>
      </c>
      <c r="CBR23" s="30">
        <f t="shared" si="32"/>
        <v>105862</v>
      </c>
      <c r="CBS23" s="30">
        <f t="shared" si="32"/>
        <v>105892</v>
      </c>
      <c r="CBT23" s="30">
        <f t="shared" si="32"/>
        <v>105923</v>
      </c>
      <c r="CBU23" s="30">
        <f t="shared" si="32"/>
        <v>105954</v>
      </c>
      <c r="CBV23" s="30">
        <f t="shared" si="32"/>
        <v>105982</v>
      </c>
      <c r="CBW23" s="30">
        <f t="shared" si="32"/>
        <v>106013</v>
      </c>
      <c r="CBX23" s="30">
        <f t="shared" si="32"/>
        <v>106043</v>
      </c>
      <c r="CBY23" s="30">
        <f t="shared" si="32"/>
        <v>106074</v>
      </c>
      <c r="CBZ23" s="30">
        <f t="shared" si="32"/>
        <v>106104</v>
      </c>
      <c r="CCA23" s="30">
        <f t="shared" si="32"/>
        <v>106135</v>
      </c>
      <c r="CCB23" s="30">
        <f t="shared" si="32"/>
        <v>106166</v>
      </c>
      <c r="CCC23" s="30">
        <f t="shared" si="32"/>
        <v>106196</v>
      </c>
      <c r="CCD23" s="30">
        <f t="shared" si="32"/>
        <v>106227</v>
      </c>
      <c r="CCE23" s="30">
        <f t="shared" si="32"/>
        <v>106257</v>
      </c>
      <c r="CCF23" s="30">
        <f t="shared" si="32"/>
        <v>106288</v>
      </c>
      <c r="CCG23" s="30">
        <f t="shared" si="32"/>
        <v>106319</v>
      </c>
      <c r="CCH23" s="30">
        <f t="shared" si="32"/>
        <v>106347</v>
      </c>
      <c r="CCI23" s="30">
        <f t="shared" si="32"/>
        <v>106378</v>
      </c>
      <c r="CCJ23" s="30">
        <f t="shared" ref="CCJ23:CEU23" si="33">EDATE(CCI23,1)</f>
        <v>106408</v>
      </c>
      <c r="CCK23" s="30">
        <f t="shared" si="33"/>
        <v>106439</v>
      </c>
      <c r="CCL23" s="30">
        <f t="shared" si="33"/>
        <v>106469</v>
      </c>
      <c r="CCM23" s="30">
        <f t="shared" si="33"/>
        <v>106500</v>
      </c>
      <c r="CCN23" s="30">
        <f t="shared" si="33"/>
        <v>106531</v>
      </c>
      <c r="CCO23" s="30">
        <f t="shared" si="33"/>
        <v>106561</v>
      </c>
      <c r="CCP23" s="30">
        <f t="shared" si="33"/>
        <v>106592</v>
      </c>
      <c r="CCQ23" s="30">
        <f t="shared" si="33"/>
        <v>106622</v>
      </c>
      <c r="CCR23" s="30">
        <f t="shared" si="33"/>
        <v>106653</v>
      </c>
      <c r="CCS23" s="30">
        <f t="shared" si="33"/>
        <v>106684</v>
      </c>
      <c r="CCT23" s="30">
        <f t="shared" si="33"/>
        <v>106713</v>
      </c>
      <c r="CCU23" s="30">
        <f t="shared" si="33"/>
        <v>106744</v>
      </c>
      <c r="CCV23" s="30">
        <f t="shared" si="33"/>
        <v>106774</v>
      </c>
      <c r="CCW23" s="30">
        <f t="shared" si="33"/>
        <v>106805</v>
      </c>
      <c r="CCX23" s="30">
        <f t="shared" si="33"/>
        <v>106835</v>
      </c>
      <c r="CCY23" s="30">
        <f t="shared" si="33"/>
        <v>106866</v>
      </c>
      <c r="CCZ23" s="30">
        <f t="shared" si="33"/>
        <v>106897</v>
      </c>
      <c r="CDA23" s="30">
        <f t="shared" si="33"/>
        <v>106927</v>
      </c>
      <c r="CDB23" s="30">
        <f t="shared" si="33"/>
        <v>106958</v>
      </c>
      <c r="CDC23" s="30">
        <f t="shared" si="33"/>
        <v>106988</v>
      </c>
      <c r="CDD23" s="30">
        <f t="shared" si="33"/>
        <v>107019</v>
      </c>
      <c r="CDE23" s="30">
        <f t="shared" si="33"/>
        <v>107050</v>
      </c>
      <c r="CDF23" s="30">
        <f t="shared" si="33"/>
        <v>107078</v>
      </c>
      <c r="CDG23" s="30">
        <f t="shared" si="33"/>
        <v>107109</v>
      </c>
      <c r="CDH23" s="30">
        <f t="shared" si="33"/>
        <v>107139</v>
      </c>
      <c r="CDI23" s="30">
        <f t="shared" si="33"/>
        <v>107170</v>
      </c>
      <c r="CDJ23" s="30">
        <f t="shared" si="33"/>
        <v>107200</v>
      </c>
      <c r="CDK23" s="30">
        <f t="shared" si="33"/>
        <v>107231</v>
      </c>
      <c r="CDL23" s="30">
        <f t="shared" si="33"/>
        <v>107262</v>
      </c>
      <c r="CDM23" s="30">
        <f t="shared" si="33"/>
        <v>107292</v>
      </c>
      <c r="CDN23" s="30">
        <f t="shared" si="33"/>
        <v>107323</v>
      </c>
      <c r="CDO23" s="30">
        <f t="shared" si="33"/>
        <v>107353</v>
      </c>
      <c r="CDP23" s="30">
        <f t="shared" si="33"/>
        <v>107384</v>
      </c>
      <c r="CDQ23" s="30">
        <f t="shared" si="33"/>
        <v>107415</v>
      </c>
      <c r="CDR23" s="30">
        <f t="shared" si="33"/>
        <v>107443</v>
      </c>
      <c r="CDS23" s="30">
        <f t="shared" si="33"/>
        <v>107474</v>
      </c>
      <c r="CDT23" s="30">
        <f t="shared" si="33"/>
        <v>107504</v>
      </c>
      <c r="CDU23" s="30">
        <f t="shared" si="33"/>
        <v>107535</v>
      </c>
      <c r="CDV23" s="30">
        <f t="shared" si="33"/>
        <v>107565</v>
      </c>
      <c r="CDW23" s="30">
        <f t="shared" si="33"/>
        <v>107596</v>
      </c>
      <c r="CDX23" s="30">
        <f t="shared" si="33"/>
        <v>107627</v>
      </c>
      <c r="CDY23" s="30">
        <f t="shared" si="33"/>
        <v>107657</v>
      </c>
      <c r="CDZ23" s="30">
        <f t="shared" si="33"/>
        <v>107688</v>
      </c>
      <c r="CEA23" s="30">
        <f t="shared" si="33"/>
        <v>107718</v>
      </c>
      <c r="CEB23" s="30">
        <f t="shared" si="33"/>
        <v>107749</v>
      </c>
      <c r="CEC23" s="30">
        <f t="shared" si="33"/>
        <v>107780</v>
      </c>
      <c r="CED23" s="30">
        <f t="shared" si="33"/>
        <v>107808</v>
      </c>
      <c r="CEE23" s="30">
        <f t="shared" si="33"/>
        <v>107839</v>
      </c>
      <c r="CEF23" s="30">
        <f t="shared" si="33"/>
        <v>107869</v>
      </c>
      <c r="CEG23" s="30">
        <f t="shared" si="33"/>
        <v>107900</v>
      </c>
      <c r="CEH23" s="30">
        <f t="shared" si="33"/>
        <v>107930</v>
      </c>
      <c r="CEI23" s="30">
        <f t="shared" si="33"/>
        <v>107961</v>
      </c>
      <c r="CEJ23" s="30">
        <f t="shared" si="33"/>
        <v>107992</v>
      </c>
      <c r="CEK23" s="30">
        <f t="shared" si="33"/>
        <v>108022</v>
      </c>
      <c r="CEL23" s="30">
        <f t="shared" si="33"/>
        <v>108053</v>
      </c>
      <c r="CEM23" s="30">
        <f t="shared" si="33"/>
        <v>108083</v>
      </c>
      <c r="CEN23" s="30">
        <f t="shared" si="33"/>
        <v>108114</v>
      </c>
      <c r="CEO23" s="30">
        <f t="shared" si="33"/>
        <v>108145</v>
      </c>
      <c r="CEP23" s="30">
        <f t="shared" si="33"/>
        <v>108174</v>
      </c>
      <c r="CEQ23" s="30">
        <f t="shared" si="33"/>
        <v>108205</v>
      </c>
      <c r="CER23" s="30">
        <f t="shared" si="33"/>
        <v>108235</v>
      </c>
      <c r="CES23" s="30">
        <f t="shared" si="33"/>
        <v>108266</v>
      </c>
      <c r="CET23" s="30">
        <f t="shared" si="33"/>
        <v>108296</v>
      </c>
      <c r="CEU23" s="30">
        <f t="shared" si="33"/>
        <v>108327</v>
      </c>
      <c r="CEV23" s="30">
        <f t="shared" ref="CEV23:CHG23" si="34">EDATE(CEU23,1)</f>
        <v>108358</v>
      </c>
      <c r="CEW23" s="30">
        <f t="shared" si="34"/>
        <v>108388</v>
      </c>
      <c r="CEX23" s="30">
        <f t="shared" si="34"/>
        <v>108419</v>
      </c>
      <c r="CEY23" s="30">
        <f t="shared" si="34"/>
        <v>108449</v>
      </c>
      <c r="CEZ23" s="30">
        <f t="shared" si="34"/>
        <v>108480</v>
      </c>
      <c r="CFA23" s="30">
        <f t="shared" si="34"/>
        <v>108511</v>
      </c>
      <c r="CFB23" s="30">
        <f t="shared" si="34"/>
        <v>108539</v>
      </c>
      <c r="CFC23" s="30">
        <f t="shared" si="34"/>
        <v>108570</v>
      </c>
      <c r="CFD23" s="30">
        <f t="shared" si="34"/>
        <v>108600</v>
      </c>
      <c r="CFE23" s="30">
        <f t="shared" si="34"/>
        <v>108631</v>
      </c>
      <c r="CFF23" s="30">
        <f t="shared" si="34"/>
        <v>108661</v>
      </c>
      <c r="CFG23" s="30">
        <f t="shared" si="34"/>
        <v>108692</v>
      </c>
      <c r="CFH23" s="30">
        <f t="shared" si="34"/>
        <v>108723</v>
      </c>
      <c r="CFI23" s="30">
        <f t="shared" si="34"/>
        <v>108753</v>
      </c>
      <c r="CFJ23" s="30">
        <f t="shared" si="34"/>
        <v>108784</v>
      </c>
      <c r="CFK23" s="30">
        <f t="shared" si="34"/>
        <v>108814</v>
      </c>
      <c r="CFL23" s="30">
        <f t="shared" si="34"/>
        <v>108845</v>
      </c>
      <c r="CFM23" s="30">
        <f t="shared" si="34"/>
        <v>108876</v>
      </c>
      <c r="CFN23" s="30">
        <f t="shared" si="34"/>
        <v>108904</v>
      </c>
      <c r="CFO23" s="30">
        <f t="shared" si="34"/>
        <v>108935</v>
      </c>
      <c r="CFP23" s="30">
        <f t="shared" si="34"/>
        <v>108965</v>
      </c>
      <c r="CFQ23" s="30">
        <f t="shared" si="34"/>
        <v>108996</v>
      </c>
      <c r="CFR23" s="30">
        <f t="shared" si="34"/>
        <v>109026</v>
      </c>
      <c r="CFS23" s="30">
        <f t="shared" si="34"/>
        <v>109057</v>
      </c>
      <c r="CFT23" s="30">
        <f t="shared" si="34"/>
        <v>109088</v>
      </c>
      <c r="CFU23" s="30">
        <f t="shared" si="34"/>
        <v>109118</v>
      </c>
      <c r="CFV23" s="30">
        <f t="shared" si="34"/>
        <v>109149</v>
      </c>
      <c r="CFW23" s="30">
        <f t="shared" si="34"/>
        <v>109179</v>
      </c>
      <c r="CFX23" s="30">
        <f t="shared" si="34"/>
        <v>109210</v>
      </c>
      <c r="CFY23" s="30">
        <f t="shared" si="34"/>
        <v>109241</v>
      </c>
      <c r="CFZ23" s="30">
        <f t="shared" si="34"/>
        <v>109269</v>
      </c>
      <c r="CGA23" s="30">
        <f t="shared" si="34"/>
        <v>109300</v>
      </c>
      <c r="CGB23" s="30">
        <f t="shared" si="34"/>
        <v>109330</v>
      </c>
      <c r="CGC23" s="30">
        <f t="shared" si="34"/>
        <v>109361</v>
      </c>
      <c r="CGD23" s="30">
        <f t="shared" si="34"/>
        <v>109391</v>
      </c>
      <c r="CGE23" s="30">
        <f t="shared" si="34"/>
        <v>109422</v>
      </c>
      <c r="CGF23" s="30">
        <f t="shared" si="34"/>
        <v>109453</v>
      </c>
      <c r="CGG23" s="30">
        <f t="shared" si="34"/>
        <v>109483</v>
      </c>
      <c r="CGH23" s="30">
        <f t="shared" si="34"/>
        <v>109514</v>
      </c>
      <c r="CGI23" s="30">
        <f t="shared" si="34"/>
        <v>109544</v>
      </c>
      <c r="CGJ23" s="30">
        <f t="shared" si="34"/>
        <v>109575</v>
      </c>
      <c r="CGK23" s="30">
        <f t="shared" si="34"/>
        <v>109606</v>
      </c>
      <c r="CGL23" s="30">
        <f t="shared" si="34"/>
        <v>109634</v>
      </c>
      <c r="CGM23" s="30">
        <f t="shared" si="34"/>
        <v>109665</v>
      </c>
      <c r="CGN23" s="30">
        <f t="shared" si="34"/>
        <v>109695</v>
      </c>
      <c r="CGO23" s="30">
        <f t="shared" si="34"/>
        <v>109726</v>
      </c>
      <c r="CGP23" s="30">
        <f t="shared" si="34"/>
        <v>109756</v>
      </c>
      <c r="CGQ23" s="30">
        <f t="shared" si="34"/>
        <v>109787</v>
      </c>
      <c r="CGR23" s="30">
        <f t="shared" si="34"/>
        <v>109818</v>
      </c>
      <c r="CGS23" s="30">
        <f t="shared" si="34"/>
        <v>109848</v>
      </c>
      <c r="CGT23" s="30">
        <f t="shared" si="34"/>
        <v>109879</v>
      </c>
      <c r="CGU23" s="30">
        <f t="shared" si="34"/>
        <v>109909</v>
      </c>
      <c r="CGV23" s="30">
        <f t="shared" si="34"/>
        <v>109940</v>
      </c>
      <c r="CGW23" s="30">
        <f t="shared" si="34"/>
        <v>109971</v>
      </c>
      <c r="CGX23" s="30">
        <f t="shared" si="34"/>
        <v>109999</v>
      </c>
      <c r="CGY23" s="30">
        <f t="shared" si="34"/>
        <v>110030</v>
      </c>
      <c r="CGZ23" s="30">
        <f t="shared" si="34"/>
        <v>110060</v>
      </c>
      <c r="CHA23" s="30">
        <f t="shared" si="34"/>
        <v>110091</v>
      </c>
      <c r="CHB23" s="30">
        <f t="shared" si="34"/>
        <v>110121</v>
      </c>
      <c r="CHC23" s="30">
        <f t="shared" si="34"/>
        <v>110152</v>
      </c>
      <c r="CHD23" s="30">
        <f t="shared" si="34"/>
        <v>110183</v>
      </c>
      <c r="CHE23" s="30">
        <f t="shared" si="34"/>
        <v>110213</v>
      </c>
      <c r="CHF23" s="30">
        <f t="shared" si="34"/>
        <v>110244</v>
      </c>
      <c r="CHG23" s="30">
        <f t="shared" si="34"/>
        <v>110274</v>
      </c>
      <c r="CHH23" s="30">
        <f t="shared" ref="CHH23:CJS23" si="35">EDATE(CHG23,1)</f>
        <v>110305</v>
      </c>
      <c r="CHI23" s="30">
        <f t="shared" si="35"/>
        <v>110336</v>
      </c>
      <c r="CHJ23" s="30">
        <f t="shared" si="35"/>
        <v>110364</v>
      </c>
      <c r="CHK23" s="30">
        <f t="shared" si="35"/>
        <v>110395</v>
      </c>
      <c r="CHL23" s="30">
        <f t="shared" si="35"/>
        <v>110425</v>
      </c>
      <c r="CHM23" s="30">
        <f t="shared" si="35"/>
        <v>110456</v>
      </c>
      <c r="CHN23" s="30">
        <f t="shared" si="35"/>
        <v>110486</v>
      </c>
      <c r="CHO23" s="30">
        <f t="shared" si="35"/>
        <v>110517</v>
      </c>
      <c r="CHP23" s="30">
        <f t="shared" si="35"/>
        <v>110548</v>
      </c>
      <c r="CHQ23" s="30">
        <f t="shared" si="35"/>
        <v>110578</v>
      </c>
      <c r="CHR23" s="30">
        <f t="shared" si="35"/>
        <v>110609</v>
      </c>
      <c r="CHS23" s="30">
        <f t="shared" si="35"/>
        <v>110639</v>
      </c>
      <c r="CHT23" s="30">
        <f t="shared" si="35"/>
        <v>110670</v>
      </c>
      <c r="CHU23" s="30">
        <f t="shared" si="35"/>
        <v>110701</v>
      </c>
      <c r="CHV23" s="30">
        <f t="shared" si="35"/>
        <v>110729</v>
      </c>
      <c r="CHW23" s="30">
        <f t="shared" si="35"/>
        <v>110760</v>
      </c>
      <c r="CHX23" s="30">
        <f t="shared" si="35"/>
        <v>110790</v>
      </c>
      <c r="CHY23" s="30">
        <f t="shared" si="35"/>
        <v>110821</v>
      </c>
      <c r="CHZ23" s="30">
        <f t="shared" si="35"/>
        <v>110851</v>
      </c>
      <c r="CIA23" s="30">
        <f t="shared" si="35"/>
        <v>110882</v>
      </c>
      <c r="CIB23" s="30">
        <f t="shared" si="35"/>
        <v>110913</v>
      </c>
      <c r="CIC23" s="30">
        <f t="shared" si="35"/>
        <v>110943</v>
      </c>
      <c r="CID23" s="30">
        <f t="shared" si="35"/>
        <v>110974</v>
      </c>
      <c r="CIE23" s="30">
        <f t="shared" si="35"/>
        <v>111004</v>
      </c>
      <c r="CIF23" s="30">
        <f t="shared" si="35"/>
        <v>111035</v>
      </c>
      <c r="CIG23" s="30">
        <f t="shared" si="35"/>
        <v>111066</v>
      </c>
      <c r="CIH23" s="30">
        <f t="shared" si="35"/>
        <v>111095</v>
      </c>
      <c r="CII23" s="30">
        <f t="shared" si="35"/>
        <v>111126</v>
      </c>
      <c r="CIJ23" s="30">
        <f t="shared" si="35"/>
        <v>111156</v>
      </c>
      <c r="CIK23" s="30">
        <f t="shared" si="35"/>
        <v>111187</v>
      </c>
      <c r="CIL23" s="30">
        <f t="shared" si="35"/>
        <v>111217</v>
      </c>
      <c r="CIM23" s="30">
        <f t="shared" si="35"/>
        <v>111248</v>
      </c>
      <c r="CIN23" s="30">
        <f t="shared" si="35"/>
        <v>111279</v>
      </c>
      <c r="CIO23" s="30">
        <f t="shared" si="35"/>
        <v>111309</v>
      </c>
      <c r="CIP23" s="30">
        <f t="shared" si="35"/>
        <v>111340</v>
      </c>
      <c r="CIQ23" s="30">
        <f t="shared" si="35"/>
        <v>111370</v>
      </c>
      <c r="CIR23" s="30">
        <f t="shared" si="35"/>
        <v>111401</v>
      </c>
      <c r="CIS23" s="30">
        <f t="shared" si="35"/>
        <v>111432</v>
      </c>
      <c r="CIT23" s="30">
        <f t="shared" si="35"/>
        <v>111460</v>
      </c>
      <c r="CIU23" s="30">
        <f t="shared" si="35"/>
        <v>111491</v>
      </c>
      <c r="CIV23" s="30">
        <f t="shared" si="35"/>
        <v>111521</v>
      </c>
      <c r="CIW23" s="30">
        <f t="shared" si="35"/>
        <v>111552</v>
      </c>
      <c r="CIX23" s="30">
        <f t="shared" si="35"/>
        <v>111582</v>
      </c>
      <c r="CIY23" s="30">
        <f t="shared" si="35"/>
        <v>111613</v>
      </c>
      <c r="CIZ23" s="30">
        <f t="shared" si="35"/>
        <v>111644</v>
      </c>
      <c r="CJA23" s="30">
        <f t="shared" si="35"/>
        <v>111674</v>
      </c>
      <c r="CJB23" s="30">
        <f t="shared" si="35"/>
        <v>111705</v>
      </c>
      <c r="CJC23" s="30">
        <f t="shared" si="35"/>
        <v>111735</v>
      </c>
      <c r="CJD23" s="30">
        <f t="shared" si="35"/>
        <v>111766</v>
      </c>
      <c r="CJE23" s="30">
        <f t="shared" si="35"/>
        <v>111797</v>
      </c>
      <c r="CJF23" s="30">
        <f t="shared" si="35"/>
        <v>111825</v>
      </c>
      <c r="CJG23" s="30">
        <f t="shared" si="35"/>
        <v>111856</v>
      </c>
      <c r="CJH23" s="30">
        <f t="shared" si="35"/>
        <v>111886</v>
      </c>
      <c r="CJI23" s="30">
        <f t="shared" si="35"/>
        <v>111917</v>
      </c>
      <c r="CJJ23" s="30">
        <f t="shared" si="35"/>
        <v>111947</v>
      </c>
      <c r="CJK23" s="30">
        <f t="shared" si="35"/>
        <v>111978</v>
      </c>
      <c r="CJL23" s="30">
        <f t="shared" si="35"/>
        <v>112009</v>
      </c>
      <c r="CJM23" s="30">
        <f t="shared" si="35"/>
        <v>112039</v>
      </c>
      <c r="CJN23" s="30">
        <f t="shared" si="35"/>
        <v>112070</v>
      </c>
      <c r="CJO23" s="30">
        <f t="shared" si="35"/>
        <v>112100</v>
      </c>
      <c r="CJP23" s="30">
        <f t="shared" si="35"/>
        <v>112131</v>
      </c>
      <c r="CJQ23" s="30">
        <f t="shared" si="35"/>
        <v>112162</v>
      </c>
      <c r="CJR23" s="30">
        <f t="shared" si="35"/>
        <v>112190</v>
      </c>
      <c r="CJS23" s="30">
        <f t="shared" si="35"/>
        <v>112221</v>
      </c>
      <c r="CJT23" s="30">
        <f t="shared" ref="CJT23:CME23" si="36">EDATE(CJS23,1)</f>
        <v>112251</v>
      </c>
      <c r="CJU23" s="30">
        <f t="shared" si="36"/>
        <v>112282</v>
      </c>
      <c r="CJV23" s="30">
        <f t="shared" si="36"/>
        <v>112312</v>
      </c>
      <c r="CJW23" s="30">
        <f t="shared" si="36"/>
        <v>112343</v>
      </c>
      <c r="CJX23" s="30">
        <f t="shared" si="36"/>
        <v>112374</v>
      </c>
      <c r="CJY23" s="30">
        <f t="shared" si="36"/>
        <v>112404</v>
      </c>
      <c r="CJZ23" s="30">
        <f t="shared" si="36"/>
        <v>112435</v>
      </c>
      <c r="CKA23" s="30">
        <f t="shared" si="36"/>
        <v>112465</v>
      </c>
      <c r="CKB23" s="30">
        <f t="shared" si="36"/>
        <v>112496</v>
      </c>
      <c r="CKC23" s="30">
        <f t="shared" si="36"/>
        <v>112527</v>
      </c>
      <c r="CKD23" s="30">
        <f t="shared" si="36"/>
        <v>112556</v>
      </c>
      <c r="CKE23" s="30">
        <f t="shared" si="36"/>
        <v>112587</v>
      </c>
      <c r="CKF23" s="30">
        <f t="shared" si="36"/>
        <v>112617</v>
      </c>
      <c r="CKG23" s="30">
        <f t="shared" si="36"/>
        <v>112648</v>
      </c>
      <c r="CKH23" s="30">
        <f t="shared" si="36"/>
        <v>112678</v>
      </c>
      <c r="CKI23" s="30">
        <f t="shared" si="36"/>
        <v>112709</v>
      </c>
      <c r="CKJ23" s="30">
        <f t="shared" si="36"/>
        <v>112740</v>
      </c>
      <c r="CKK23" s="30">
        <f t="shared" si="36"/>
        <v>112770</v>
      </c>
      <c r="CKL23" s="30">
        <f t="shared" si="36"/>
        <v>112801</v>
      </c>
      <c r="CKM23" s="30">
        <f t="shared" si="36"/>
        <v>112831</v>
      </c>
      <c r="CKN23" s="30">
        <f t="shared" si="36"/>
        <v>112862</v>
      </c>
      <c r="CKO23" s="30">
        <f t="shared" si="36"/>
        <v>112893</v>
      </c>
      <c r="CKP23" s="30">
        <f t="shared" si="36"/>
        <v>112921</v>
      </c>
      <c r="CKQ23" s="30">
        <f t="shared" si="36"/>
        <v>112952</v>
      </c>
      <c r="CKR23" s="30">
        <f t="shared" si="36"/>
        <v>112982</v>
      </c>
      <c r="CKS23" s="30">
        <f t="shared" si="36"/>
        <v>113013</v>
      </c>
      <c r="CKT23" s="30">
        <f t="shared" si="36"/>
        <v>113043</v>
      </c>
      <c r="CKU23" s="30">
        <f t="shared" si="36"/>
        <v>113074</v>
      </c>
      <c r="CKV23" s="30">
        <f t="shared" si="36"/>
        <v>113105</v>
      </c>
      <c r="CKW23" s="30">
        <f t="shared" si="36"/>
        <v>113135</v>
      </c>
      <c r="CKX23" s="30">
        <f t="shared" si="36"/>
        <v>113166</v>
      </c>
      <c r="CKY23" s="30">
        <f t="shared" si="36"/>
        <v>113196</v>
      </c>
      <c r="CKZ23" s="30">
        <f t="shared" si="36"/>
        <v>113227</v>
      </c>
      <c r="CLA23" s="30">
        <f t="shared" si="36"/>
        <v>113258</v>
      </c>
      <c r="CLB23" s="30">
        <f t="shared" si="36"/>
        <v>113286</v>
      </c>
      <c r="CLC23" s="30">
        <f t="shared" si="36"/>
        <v>113317</v>
      </c>
      <c r="CLD23" s="30">
        <f t="shared" si="36"/>
        <v>113347</v>
      </c>
      <c r="CLE23" s="30">
        <f t="shared" si="36"/>
        <v>113378</v>
      </c>
      <c r="CLF23" s="30">
        <f t="shared" si="36"/>
        <v>113408</v>
      </c>
      <c r="CLG23" s="30">
        <f t="shared" si="36"/>
        <v>113439</v>
      </c>
      <c r="CLH23" s="30">
        <f t="shared" si="36"/>
        <v>113470</v>
      </c>
      <c r="CLI23" s="30">
        <f t="shared" si="36"/>
        <v>113500</v>
      </c>
      <c r="CLJ23" s="30">
        <f t="shared" si="36"/>
        <v>113531</v>
      </c>
      <c r="CLK23" s="30">
        <f t="shared" si="36"/>
        <v>113561</v>
      </c>
      <c r="CLL23" s="30">
        <f t="shared" si="36"/>
        <v>113592</v>
      </c>
      <c r="CLM23" s="30">
        <f t="shared" si="36"/>
        <v>113623</v>
      </c>
      <c r="CLN23" s="30">
        <f t="shared" si="36"/>
        <v>113651</v>
      </c>
      <c r="CLO23" s="30">
        <f t="shared" si="36"/>
        <v>113682</v>
      </c>
      <c r="CLP23" s="30">
        <f t="shared" si="36"/>
        <v>113712</v>
      </c>
      <c r="CLQ23" s="30">
        <f t="shared" si="36"/>
        <v>113743</v>
      </c>
      <c r="CLR23" s="30">
        <f t="shared" si="36"/>
        <v>113773</v>
      </c>
      <c r="CLS23" s="30">
        <f t="shared" si="36"/>
        <v>113804</v>
      </c>
      <c r="CLT23" s="30">
        <f t="shared" si="36"/>
        <v>113835</v>
      </c>
      <c r="CLU23" s="30">
        <f t="shared" si="36"/>
        <v>113865</v>
      </c>
      <c r="CLV23" s="30">
        <f t="shared" si="36"/>
        <v>113896</v>
      </c>
      <c r="CLW23" s="30">
        <f t="shared" si="36"/>
        <v>113926</v>
      </c>
      <c r="CLX23" s="30">
        <f t="shared" si="36"/>
        <v>113957</v>
      </c>
      <c r="CLY23" s="30">
        <f t="shared" si="36"/>
        <v>113988</v>
      </c>
      <c r="CLZ23" s="30">
        <f t="shared" si="36"/>
        <v>114017</v>
      </c>
      <c r="CMA23" s="30">
        <f t="shared" si="36"/>
        <v>114048</v>
      </c>
      <c r="CMB23" s="30">
        <f t="shared" si="36"/>
        <v>114078</v>
      </c>
      <c r="CMC23" s="30">
        <f t="shared" si="36"/>
        <v>114109</v>
      </c>
      <c r="CMD23" s="30">
        <f t="shared" si="36"/>
        <v>114139</v>
      </c>
      <c r="CME23" s="30">
        <f t="shared" si="36"/>
        <v>114170</v>
      </c>
      <c r="CMF23" s="30">
        <f t="shared" ref="CMF23:COQ23" si="37">EDATE(CME23,1)</f>
        <v>114201</v>
      </c>
      <c r="CMG23" s="30">
        <f t="shared" si="37"/>
        <v>114231</v>
      </c>
      <c r="CMH23" s="30">
        <f t="shared" si="37"/>
        <v>114262</v>
      </c>
      <c r="CMI23" s="30">
        <f t="shared" si="37"/>
        <v>114292</v>
      </c>
      <c r="CMJ23" s="30">
        <f t="shared" si="37"/>
        <v>114323</v>
      </c>
      <c r="CMK23" s="30">
        <f t="shared" si="37"/>
        <v>114354</v>
      </c>
      <c r="CML23" s="30">
        <f t="shared" si="37"/>
        <v>114382</v>
      </c>
      <c r="CMM23" s="30">
        <f t="shared" si="37"/>
        <v>114413</v>
      </c>
      <c r="CMN23" s="30">
        <f t="shared" si="37"/>
        <v>114443</v>
      </c>
      <c r="CMO23" s="30">
        <f t="shared" si="37"/>
        <v>114474</v>
      </c>
      <c r="CMP23" s="30">
        <f t="shared" si="37"/>
        <v>114504</v>
      </c>
      <c r="CMQ23" s="30">
        <f t="shared" si="37"/>
        <v>114535</v>
      </c>
      <c r="CMR23" s="30">
        <f t="shared" si="37"/>
        <v>114566</v>
      </c>
      <c r="CMS23" s="30">
        <f t="shared" si="37"/>
        <v>114596</v>
      </c>
      <c r="CMT23" s="30">
        <f t="shared" si="37"/>
        <v>114627</v>
      </c>
      <c r="CMU23" s="30">
        <f t="shared" si="37"/>
        <v>114657</v>
      </c>
      <c r="CMV23" s="30">
        <f t="shared" si="37"/>
        <v>114688</v>
      </c>
      <c r="CMW23" s="30">
        <f t="shared" si="37"/>
        <v>114719</v>
      </c>
      <c r="CMX23" s="30">
        <f t="shared" si="37"/>
        <v>114747</v>
      </c>
      <c r="CMY23" s="30">
        <f t="shared" si="37"/>
        <v>114778</v>
      </c>
      <c r="CMZ23" s="30">
        <f t="shared" si="37"/>
        <v>114808</v>
      </c>
      <c r="CNA23" s="30">
        <f t="shared" si="37"/>
        <v>114839</v>
      </c>
      <c r="CNB23" s="30">
        <f t="shared" si="37"/>
        <v>114869</v>
      </c>
      <c r="CNC23" s="30">
        <f t="shared" si="37"/>
        <v>114900</v>
      </c>
      <c r="CND23" s="30">
        <f t="shared" si="37"/>
        <v>114931</v>
      </c>
      <c r="CNE23" s="30">
        <f t="shared" si="37"/>
        <v>114961</v>
      </c>
      <c r="CNF23" s="30">
        <f t="shared" si="37"/>
        <v>114992</v>
      </c>
      <c r="CNG23" s="30">
        <f t="shared" si="37"/>
        <v>115022</v>
      </c>
      <c r="CNH23" s="30">
        <f t="shared" si="37"/>
        <v>115053</v>
      </c>
      <c r="CNI23" s="30">
        <f t="shared" si="37"/>
        <v>115084</v>
      </c>
      <c r="CNJ23" s="30">
        <f t="shared" si="37"/>
        <v>115112</v>
      </c>
      <c r="CNK23" s="30">
        <f t="shared" si="37"/>
        <v>115143</v>
      </c>
      <c r="CNL23" s="30">
        <f t="shared" si="37"/>
        <v>115173</v>
      </c>
      <c r="CNM23" s="30">
        <f t="shared" si="37"/>
        <v>115204</v>
      </c>
      <c r="CNN23" s="30">
        <f t="shared" si="37"/>
        <v>115234</v>
      </c>
      <c r="CNO23" s="30">
        <f t="shared" si="37"/>
        <v>115265</v>
      </c>
      <c r="CNP23" s="30">
        <f t="shared" si="37"/>
        <v>115296</v>
      </c>
      <c r="CNQ23" s="30">
        <f t="shared" si="37"/>
        <v>115326</v>
      </c>
      <c r="CNR23" s="30">
        <f t="shared" si="37"/>
        <v>115357</v>
      </c>
      <c r="CNS23" s="30">
        <f t="shared" si="37"/>
        <v>115387</v>
      </c>
      <c r="CNT23" s="30">
        <f t="shared" si="37"/>
        <v>115418</v>
      </c>
      <c r="CNU23" s="30">
        <f t="shared" si="37"/>
        <v>115449</v>
      </c>
      <c r="CNV23" s="30">
        <f t="shared" si="37"/>
        <v>115478</v>
      </c>
      <c r="CNW23" s="30">
        <f t="shared" si="37"/>
        <v>115509</v>
      </c>
      <c r="CNX23" s="30">
        <f t="shared" si="37"/>
        <v>115539</v>
      </c>
      <c r="CNY23" s="30">
        <f t="shared" si="37"/>
        <v>115570</v>
      </c>
      <c r="CNZ23" s="30">
        <f t="shared" si="37"/>
        <v>115600</v>
      </c>
      <c r="COA23" s="30">
        <f t="shared" si="37"/>
        <v>115631</v>
      </c>
      <c r="COB23" s="30">
        <f t="shared" si="37"/>
        <v>115662</v>
      </c>
      <c r="COC23" s="30">
        <f t="shared" si="37"/>
        <v>115692</v>
      </c>
      <c r="COD23" s="30">
        <f t="shared" si="37"/>
        <v>115723</v>
      </c>
      <c r="COE23" s="30">
        <f t="shared" si="37"/>
        <v>115753</v>
      </c>
      <c r="COF23" s="30">
        <f t="shared" si="37"/>
        <v>115784</v>
      </c>
      <c r="COG23" s="30">
        <f t="shared" si="37"/>
        <v>115815</v>
      </c>
      <c r="COH23" s="30">
        <f t="shared" si="37"/>
        <v>115843</v>
      </c>
      <c r="COI23" s="30">
        <f t="shared" si="37"/>
        <v>115874</v>
      </c>
      <c r="COJ23" s="30">
        <f t="shared" si="37"/>
        <v>115904</v>
      </c>
      <c r="COK23" s="30">
        <f t="shared" si="37"/>
        <v>115935</v>
      </c>
      <c r="COL23" s="30">
        <f t="shared" si="37"/>
        <v>115965</v>
      </c>
      <c r="COM23" s="30">
        <f t="shared" si="37"/>
        <v>115996</v>
      </c>
      <c r="CON23" s="30">
        <f t="shared" si="37"/>
        <v>116027</v>
      </c>
      <c r="COO23" s="30">
        <f t="shared" si="37"/>
        <v>116057</v>
      </c>
      <c r="COP23" s="30">
        <f t="shared" si="37"/>
        <v>116088</v>
      </c>
      <c r="COQ23" s="30">
        <f t="shared" si="37"/>
        <v>116118</v>
      </c>
      <c r="COR23" s="30">
        <f t="shared" ref="COR23:CRC23" si="38">EDATE(COQ23,1)</f>
        <v>116149</v>
      </c>
      <c r="COS23" s="30">
        <f t="shared" si="38"/>
        <v>116180</v>
      </c>
      <c r="COT23" s="30">
        <f t="shared" si="38"/>
        <v>116208</v>
      </c>
      <c r="COU23" s="30">
        <f t="shared" si="38"/>
        <v>116239</v>
      </c>
      <c r="COV23" s="30">
        <f t="shared" si="38"/>
        <v>116269</v>
      </c>
      <c r="COW23" s="30">
        <f t="shared" si="38"/>
        <v>116300</v>
      </c>
      <c r="COX23" s="30">
        <f t="shared" si="38"/>
        <v>116330</v>
      </c>
      <c r="COY23" s="30">
        <f t="shared" si="38"/>
        <v>116361</v>
      </c>
      <c r="COZ23" s="30">
        <f t="shared" si="38"/>
        <v>116392</v>
      </c>
      <c r="CPA23" s="30">
        <f t="shared" si="38"/>
        <v>116422</v>
      </c>
      <c r="CPB23" s="30">
        <f t="shared" si="38"/>
        <v>116453</v>
      </c>
      <c r="CPC23" s="30">
        <f t="shared" si="38"/>
        <v>116483</v>
      </c>
      <c r="CPD23" s="30">
        <f t="shared" si="38"/>
        <v>116514</v>
      </c>
      <c r="CPE23" s="30">
        <f t="shared" si="38"/>
        <v>116545</v>
      </c>
      <c r="CPF23" s="30">
        <f t="shared" si="38"/>
        <v>116573</v>
      </c>
      <c r="CPG23" s="30">
        <f t="shared" si="38"/>
        <v>116604</v>
      </c>
      <c r="CPH23" s="30">
        <f t="shared" si="38"/>
        <v>116634</v>
      </c>
      <c r="CPI23" s="30">
        <f t="shared" si="38"/>
        <v>116665</v>
      </c>
      <c r="CPJ23" s="30">
        <f t="shared" si="38"/>
        <v>116695</v>
      </c>
      <c r="CPK23" s="30">
        <f t="shared" si="38"/>
        <v>116726</v>
      </c>
      <c r="CPL23" s="30">
        <f t="shared" si="38"/>
        <v>116757</v>
      </c>
      <c r="CPM23" s="30">
        <f t="shared" si="38"/>
        <v>116787</v>
      </c>
      <c r="CPN23" s="30">
        <f t="shared" si="38"/>
        <v>116818</v>
      </c>
      <c r="CPO23" s="30">
        <f t="shared" si="38"/>
        <v>116848</v>
      </c>
      <c r="CPP23" s="30">
        <f t="shared" si="38"/>
        <v>116879</v>
      </c>
      <c r="CPQ23" s="30">
        <f t="shared" si="38"/>
        <v>116910</v>
      </c>
      <c r="CPR23" s="30">
        <f t="shared" si="38"/>
        <v>116939</v>
      </c>
      <c r="CPS23" s="30">
        <f t="shared" si="38"/>
        <v>116970</v>
      </c>
      <c r="CPT23" s="30">
        <f t="shared" si="38"/>
        <v>117000</v>
      </c>
      <c r="CPU23" s="30">
        <f t="shared" si="38"/>
        <v>117031</v>
      </c>
      <c r="CPV23" s="30">
        <f t="shared" si="38"/>
        <v>117061</v>
      </c>
      <c r="CPW23" s="30">
        <f t="shared" si="38"/>
        <v>117092</v>
      </c>
      <c r="CPX23" s="30">
        <f t="shared" si="38"/>
        <v>117123</v>
      </c>
      <c r="CPY23" s="30">
        <f t="shared" si="38"/>
        <v>117153</v>
      </c>
      <c r="CPZ23" s="30">
        <f t="shared" si="38"/>
        <v>117184</v>
      </c>
      <c r="CQA23" s="30">
        <f t="shared" si="38"/>
        <v>117214</v>
      </c>
      <c r="CQB23" s="30">
        <f t="shared" si="38"/>
        <v>117245</v>
      </c>
      <c r="CQC23" s="30">
        <f t="shared" si="38"/>
        <v>117276</v>
      </c>
      <c r="CQD23" s="30">
        <f t="shared" si="38"/>
        <v>117304</v>
      </c>
      <c r="CQE23" s="30">
        <f t="shared" si="38"/>
        <v>117335</v>
      </c>
      <c r="CQF23" s="30">
        <f t="shared" si="38"/>
        <v>117365</v>
      </c>
      <c r="CQG23" s="30">
        <f t="shared" si="38"/>
        <v>117396</v>
      </c>
      <c r="CQH23" s="30">
        <f t="shared" si="38"/>
        <v>117426</v>
      </c>
      <c r="CQI23" s="30">
        <f t="shared" si="38"/>
        <v>117457</v>
      </c>
      <c r="CQJ23" s="30">
        <f t="shared" si="38"/>
        <v>117488</v>
      </c>
      <c r="CQK23" s="30">
        <f t="shared" si="38"/>
        <v>117518</v>
      </c>
      <c r="CQL23" s="30">
        <f t="shared" si="38"/>
        <v>117549</v>
      </c>
      <c r="CQM23" s="30">
        <f t="shared" si="38"/>
        <v>117579</v>
      </c>
      <c r="CQN23" s="30">
        <f t="shared" si="38"/>
        <v>117610</v>
      </c>
      <c r="CQO23" s="30">
        <f t="shared" si="38"/>
        <v>117641</v>
      </c>
      <c r="CQP23" s="30">
        <f t="shared" si="38"/>
        <v>117669</v>
      </c>
      <c r="CQQ23" s="30">
        <f t="shared" si="38"/>
        <v>117700</v>
      </c>
      <c r="CQR23" s="30">
        <f t="shared" si="38"/>
        <v>117730</v>
      </c>
      <c r="CQS23" s="30">
        <f t="shared" si="38"/>
        <v>117761</v>
      </c>
      <c r="CQT23" s="30">
        <f t="shared" si="38"/>
        <v>117791</v>
      </c>
      <c r="CQU23" s="30">
        <f t="shared" si="38"/>
        <v>117822</v>
      </c>
      <c r="CQV23" s="30">
        <f t="shared" si="38"/>
        <v>117853</v>
      </c>
      <c r="CQW23" s="30">
        <f t="shared" si="38"/>
        <v>117883</v>
      </c>
      <c r="CQX23" s="30">
        <f t="shared" si="38"/>
        <v>117914</v>
      </c>
      <c r="CQY23" s="30">
        <f t="shared" si="38"/>
        <v>117944</v>
      </c>
      <c r="CQZ23" s="30">
        <f t="shared" si="38"/>
        <v>117975</v>
      </c>
      <c r="CRA23" s="30">
        <f t="shared" si="38"/>
        <v>118006</v>
      </c>
      <c r="CRB23" s="30">
        <f t="shared" si="38"/>
        <v>118034</v>
      </c>
      <c r="CRC23" s="30">
        <f t="shared" si="38"/>
        <v>118065</v>
      </c>
      <c r="CRD23" s="30">
        <f t="shared" ref="CRD23:CTO23" si="39">EDATE(CRC23,1)</f>
        <v>118095</v>
      </c>
      <c r="CRE23" s="30">
        <f t="shared" si="39"/>
        <v>118126</v>
      </c>
      <c r="CRF23" s="30">
        <f t="shared" si="39"/>
        <v>118156</v>
      </c>
      <c r="CRG23" s="30">
        <f t="shared" si="39"/>
        <v>118187</v>
      </c>
      <c r="CRH23" s="30">
        <f t="shared" si="39"/>
        <v>118218</v>
      </c>
      <c r="CRI23" s="30">
        <f t="shared" si="39"/>
        <v>118248</v>
      </c>
      <c r="CRJ23" s="30">
        <f t="shared" si="39"/>
        <v>118279</v>
      </c>
      <c r="CRK23" s="30">
        <f t="shared" si="39"/>
        <v>118309</v>
      </c>
      <c r="CRL23" s="30">
        <f t="shared" si="39"/>
        <v>118340</v>
      </c>
      <c r="CRM23" s="30">
        <f t="shared" si="39"/>
        <v>118371</v>
      </c>
      <c r="CRN23" s="30">
        <f t="shared" si="39"/>
        <v>118400</v>
      </c>
      <c r="CRO23" s="30">
        <f t="shared" si="39"/>
        <v>118431</v>
      </c>
      <c r="CRP23" s="30">
        <f t="shared" si="39"/>
        <v>118461</v>
      </c>
      <c r="CRQ23" s="30">
        <f t="shared" si="39"/>
        <v>118492</v>
      </c>
      <c r="CRR23" s="30">
        <f t="shared" si="39"/>
        <v>118522</v>
      </c>
      <c r="CRS23" s="30">
        <f t="shared" si="39"/>
        <v>118553</v>
      </c>
      <c r="CRT23" s="30">
        <f t="shared" si="39"/>
        <v>118584</v>
      </c>
      <c r="CRU23" s="30">
        <f t="shared" si="39"/>
        <v>118614</v>
      </c>
      <c r="CRV23" s="30">
        <f t="shared" si="39"/>
        <v>118645</v>
      </c>
      <c r="CRW23" s="30">
        <f t="shared" si="39"/>
        <v>118675</v>
      </c>
      <c r="CRX23" s="30">
        <f t="shared" si="39"/>
        <v>118706</v>
      </c>
      <c r="CRY23" s="30">
        <f t="shared" si="39"/>
        <v>118737</v>
      </c>
      <c r="CRZ23" s="30">
        <f t="shared" si="39"/>
        <v>118765</v>
      </c>
      <c r="CSA23" s="30">
        <f t="shared" si="39"/>
        <v>118796</v>
      </c>
      <c r="CSB23" s="30">
        <f t="shared" si="39"/>
        <v>118826</v>
      </c>
      <c r="CSC23" s="30">
        <f t="shared" si="39"/>
        <v>118857</v>
      </c>
      <c r="CSD23" s="30">
        <f t="shared" si="39"/>
        <v>118887</v>
      </c>
      <c r="CSE23" s="30">
        <f t="shared" si="39"/>
        <v>118918</v>
      </c>
      <c r="CSF23" s="30">
        <f t="shared" si="39"/>
        <v>118949</v>
      </c>
      <c r="CSG23" s="30">
        <f t="shared" si="39"/>
        <v>118979</v>
      </c>
      <c r="CSH23" s="30">
        <f t="shared" si="39"/>
        <v>119010</v>
      </c>
      <c r="CSI23" s="30">
        <f t="shared" si="39"/>
        <v>119040</v>
      </c>
      <c r="CSJ23" s="30">
        <f t="shared" si="39"/>
        <v>119071</v>
      </c>
      <c r="CSK23" s="30">
        <f t="shared" si="39"/>
        <v>119102</v>
      </c>
      <c r="CSL23" s="30">
        <f t="shared" si="39"/>
        <v>119130</v>
      </c>
      <c r="CSM23" s="30">
        <f t="shared" si="39"/>
        <v>119161</v>
      </c>
      <c r="CSN23" s="30">
        <f t="shared" si="39"/>
        <v>119191</v>
      </c>
      <c r="CSO23" s="30">
        <f t="shared" si="39"/>
        <v>119222</v>
      </c>
      <c r="CSP23" s="30">
        <f t="shared" si="39"/>
        <v>119252</v>
      </c>
      <c r="CSQ23" s="30">
        <f t="shared" si="39"/>
        <v>119283</v>
      </c>
      <c r="CSR23" s="30">
        <f t="shared" si="39"/>
        <v>119314</v>
      </c>
      <c r="CSS23" s="30">
        <f t="shared" si="39"/>
        <v>119344</v>
      </c>
      <c r="CST23" s="30">
        <f t="shared" si="39"/>
        <v>119375</v>
      </c>
      <c r="CSU23" s="30">
        <f t="shared" si="39"/>
        <v>119405</v>
      </c>
      <c r="CSV23" s="30">
        <f t="shared" si="39"/>
        <v>119436</v>
      </c>
      <c r="CSW23" s="30">
        <f t="shared" si="39"/>
        <v>119467</v>
      </c>
      <c r="CSX23" s="30">
        <f t="shared" si="39"/>
        <v>119495</v>
      </c>
      <c r="CSY23" s="30">
        <f t="shared" si="39"/>
        <v>119526</v>
      </c>
      <c r="CSZ23" s="30">
        <f t="shared" si="39"/>
        <v>119556</v>
      </c>
      <c r="CTA23" s="30">
        <f t="shared" si="39"/>
        <v>119587</v>
      </c>
      <c r="CTB23" s="30">
        <f t="shared" si="39"/>
        <v>119617</v>
      </c>
      <c r="CTC23" s="30">
        <f t="shared" si="39"/>
        <v>119648</v>
      </c>
      <c r="CTD23" s="30">
        <f t="shared" si="39"/>
        <v>119679</v>
      </c>
      <c r="CTE23" s="30">
        <f t="shared" si="39"/>
        <v>119709</v>
      </c>
      <c r="CTF23" s="30">
        <f t="shared" si="39"/>
        <v>119740</v>
      </c>
      <c r="CTG23" s="30">
        <f t="shared" si="39"/>
        <v>119770</v>
      </c>
      <c r="CTH23" s="30">
        <f t="shared" si="39"/>
        <v>119801</v>
      </c>
      <c r="CTI23" s="30">
        <f t="shared" si="39"/>
        <v>119832</v>
      </c>
      <c r="CTJ23" s="30">
        <f t="shared" si="39"/>
        <v>119861</v>
      </c>
      <c r="CTK23" s="30">
        <f t="shared" si="39"/>
        <v>119892</v>
      </c>
      <c r="CTL23" s="30">
        <f t="shared" si="39"/>
        <v>119922</v>
      </c>
      <c r="CTM23" s="30">
        <f t="shared" si="39"/>
        <v>119953</v>
      </c>
      <c r="CTN23" s="30">
        <f t="shared" si="39"/>
        <v>119983</v>
      </c>
      <c r="CTO23" s="30">
        <f t="shared" si="39"/>
        <v>120014</v>
      </c>
      <c r="CTP23" s="30">
        <f t="shared" ref="CTP23:CWA23" si="40">EDATE(CTO23,1)</f>
        <v>120045</v>
      </c>
      <c r="CTQ23" s="30">
        <f t="shared" si="40"/>
        <v>120075</v>
      </c>
      <c r="CTR23" s="30">
        <f t="shared" si="40"/>
        <v>120106</v>
      </c>
      <c r="CTS23" s="30">
        <f t="shared" si="40"/>
        <v>120136</v>
      </c>
      <c r="CTT23" s="30">
        <f t="shared" si="40"/>
        <v>120167</v>
      </c>
      <c r="CTU23" s="30">
        <f t="shared" si="40"/>
        <v>120198</v>
      </c>
      <c r="CTV23" s="30">
        <f t="shared" si="40"/>
        <v>120226</v>
      </c>
      <c r="CTW23" s="30">
        <f t="shared" si="40"/>
        <v>120257</v>
      </c>
      <c r="CTX23" s="30">
        <f t="shared" si="40"/>
        <v>120287</v>
      </c>
      <c r="CTY23" s="30">
        <f t="shared" si="40"/>
        <v>120318</v>
      </c>
      <c r="CTZ23" s="30">
        <f t="shared" si="40"/>
        <v>120348</v>
      </c>
      <c r="CUA23" s="30">
        <f t="shared" si="40"/>
        <v>120379</v>
      </c>
      <c r="CUB23" s="30">
        <f t="shared" si="40"/>
        <v>120410</v>
      </c>
      <c r="CUC23" s="30">
        <f t="shared" si="40"/>
        <v>120440</v>
      </c>
      <c r="CUD23" s="30">
        <f t="shared" si="40"/>
        <v>120471</v>
      </c>
      <c r="CUE23" s="30">
        <f t="shared" si="40"/>
        <v>120501</v>
      </c>
      <c r="CUF23" s="30">
        <f t="shared" si="40"/>
        <v>120532</v>
      </c>
      <c r="CUG23" s="30">
        <f t="shared" si="40"/>
        <v>120563</v>
      </c>
      <c r="CUH23" s="30">
        <f t="shared" si="40"/>
        <v>120591</v>
      </c>
      <c r="CUI23" s="30">
        <f t="shared" si="40"/>
        <v>120622</v>
      </c>
      <c r="CUJ23" s="30">
        <f t="shared" si="40"/>
        <v>120652</v>
      </c>
      <c r="CUK23" s="30">
        <f t="shared" si="40"/>
        <v>120683</v>
      </c>
      <c r="CUL23" s="30">
        <f t="shared" si="40"/>
        <v>120713</v>
      </c>
      <c r="CUM23" s="30">
        <f t="shared" si="40"/>
        <v>120744</v>
      </c>
      <c r="CUN23" s="30">
        <f t="shared" si="40"/>
        <v>120775</v>
      </c>
      <c r="CUO23" s="30">
        <f t="shared" si="40"/>
        <v>120805</v>
      </c>
      <c r="CUP23" s="30">
        <f t="shared" si="40"/>
        <v>120836</v>
      </c>
      <c r="CUQ23" s="30">
        <f t="shared" si="40"/>
        <v>120866</v>
      </c>
      <c r="CUR23" s="30">
        <f t="shared" si="40"/>
        <v>120897</v>
      </c>
      <c r="CUS23" s="30">
        <f t="shared" si="40"/>
        <v>120928</v>
      </c>
      <c r="CUT23" s="30">
        <f t="shared" si="40"/>
        <v>120956</v>
      </c>
      <c r="CUU23" s="30">
        <f t="shared" si="40"/>
        <v>120987</v>
      </c>
      <c r="CUV23" s="30">
        <f t="shared" si="40"/>
        <v>121017</v>
      </c>
      <c r="CUW23" s="30">
        <f t="shared" si="40"/>
        <v>121048</v>
      </c>
      <c r="CUX23" s="30">
        <f t="shared" si="40"/>
        <v>121078</v>
      </c>
      <c r="CUY23" s="30">
        <f t="shared" si="40"/>
        <v>121109</v>
      </c>
      <c r="CUZ23" s="30">
        <f t="shared" si="40"/>
        <v>121140</v>
      </c>
      <c r="CVA23" s="30">
        <f t="shared" si="40"/>
        <v>121170</v>
      </c>
      <c r="CVB23" s="30">
        <f t="shared" si="40"/>
        <v>121201</v>
      </c>
      <c r="CVC23" s="30">
        <f t="shared" si="40"/>
        <v>121231</v>
      </c>
      <c r="CVD23" s="30">
        <f t="shared" si="40"/>
        <v>121262</v>
      </c>
      <c r="CVE23" s="30">
        <f t="shared" si="40"/>
        <v>121293</v>
      </c>
      <c r="CVF23" s="30">
        <f t="shared" si="40"/>
        <v>121322</v>
      </c>
      <c r="CVG23" s="30">
        <f t="shared" si="40"/>
        <v>121353</v>
      </c>
      <c r="CVH23" s="30">
        <f t="shared" si="40"/>
        <v>121383</v>
      </c>
      <c r="CVI23" s="30">
        <f t="shared" si="40"/>
        <v>121414</v>
      </c>
      <c r="CVJ23" s="30">
        <f t="shared" si="40"/>
        <v>121444</v>
      </c>
      <c r="CVK23" s="30">
        <f t="shared" si="40"/>
        <v>121475</v>
      </c>
      <c r="CVL23" s="30">
        <f t="shared" si="40"/>
        <v>121506</v>
      </c>
      <c r="CVM23" s="30">
        <f t="shared" si="40"/>
        <v>121536</v>
      </c>
      <c r="CVN23" s="30">
        <f t="shared" si="40"/>
        <v>121567</v>
      </c>
      <c r="CVO23" s="30">
        <f t="shared" si="40"/>
        <v>121597</v>
      </c>
      <c r="CVP23" s="30">
        <f t="shared" si="40"/>
        <v>121628</v>
      </c>
      <c r="CVQ23" s="30">
        <f t="shared" si="40"/>
        <v>121659</v>
      </c>
      <c r="CVR23" s="30">
        <f t="shared" si="40"/>
        <v>121687</v>
      </c>
      <c r="CVS23" s="30">
        <f t="shared" si="40"/>
        <v>121718</v>
      </c>
      <c r="CVT23" s="30">
        <f t="shared" si="40"/>
        <v>121748</v>
      </c>
      <c r="CVU23" s="30">
        <f t="shared" si="40"/>
        <v>121779</v>
      </c>
      <c r="CVV23" s="30">
        <f t="shared" si="40"/>
        <v>121809</v>
      </c>
      <c r="CVW23" s="30">
        <f t="shared" si="40"/>
        <v>121840</v>
      </c>
      <c r="CVX23" s="30">
        <f t="shared" si="40"/>
        <v>121871</v>
      </c>
      <c r="CVY23" s="30">
        <f t="shared" si="40"/>
        <v>121901</v>
      </c>
      <c r="CVZ23" s="30">
        <f t="shared" si="40"/>
        <v>121932</v>
      </c>
      <c r="CWA23" s="30">
        <f t="shared" si="40"/>
        <v>121962</v>
      </c>
      <c r="CWB23" s="30">
        <f t="shared" ref="CWB23:CYM23" si="41">EDATE(CWA23,1)</f>
        <v>121993</v>
      </c>
      <c r="CWC23" s="30">
        <f t="shared" si="41"/>
        <v>122024</v>
      </c>
      <c r="CWD23" s="30">
        <f t="shared" si="41"/>
        <v>122052</v>
      </c>
      <c r="CWE23" s="30">
        <f t="shared" si="41"/>
        <v>122083</v>
      </c>
      <c r="CWF23" s="30">
        <f t="shared" si="41"/>
        <v>122113</v>
      </c>
      <c r="CWG23" s="30">
        <f t="shared" si="41"/>
        <v>122144</v>
      </c>
      <c r="CWH23" s="30">
        <f t="shared" si="41"/>
        <v>122174</v>
      </c>
      <c r="CWI23" s="30">
        <f t="shared" si="41"/>
        <v>122205</v>
      </c>
      <c r="CWJ23" s="30">
        <f t="shared" si="41"/>
        <v>122236</v>
      </c>
      <c r="CWK23" s="30">
        <f t="shared" si="41"/>
        <v>122266</v>
      </c>
      <c r="CWL23" s="30">
        <f t="shared" si="41"/>
        <v>122297</v>
      </c>
      <c r="CWM23" s="30">
        <f t="shared" si="41"/>
        <v>122327</v>
      </c>
      <c r="CWN23" s="30">
        <f t="shared" si="41"/>
        <v>122358</v>
      </c>
      <c r="CWO23" s="30">
        <f t="shared" si="41"/>
        <v>122389</v>
      </c>
      <c r="CWP23" s="30">
        <f t="shared" si="41"/>
        <v>122417</v>
      </c>
      <c r="CWQ23" s="30">
        <f t="shared" si="41"/>
        <v>122448</v>
      </c>
      <c r="CWR23" s="30">
        <f t="shared" si="41"/>
        <v>122478</v>
      </c>
      <c r="CWS23" s="30">
        <f t="shared" si="41"/>
        <v>122509</v>
      </c>
      <c r="CWT23" s="30">
        <f t="shared" si="41"/>
        <v>122539</v>
      </c>
      <c r="CWU23" s="30">
        <f t="shared" si="41"/>
        <v>122570</v>
      </c>
      <c r="CWV23" s="30">
        <f t="shared" si="41"/>
        <v>122601</v>
      </c>
      <c r="CWW23" s="30">
        <f t="shared" si="41"/>
        <v>122631</v>
      </c>
      <c r="CWX23" s="30">
        <f t="shared" si="41"/>
        <v>122662</v>
      </c>
      <c r="CWY23" s="30">
        <f t="shared" si="41"/>
        <v>122692</v>
      </c>
      <c r="CWZ23" s="30">
        <f t="shared" si="41"/>
        <v>122723</v>
      </c>
      <c r="CXA23" s="30">
        <f t="shared" si="41"/>
        <v>122754</v>
      </c>
      <c r="CXB23" s="30">
        <f t="shared" si="41"/>
        <v>122783</v>
      </c>
      <c r="CXC23" s="30">
        <f t="shared" si="41"/>
        <v>122814</v>
      </c>
      <c r="CXD23" s="30">
        <f t="shared" si="41"/>
        <v>122844</v>
      </c>
      <c r="CXE23" s="30">
        <f t="shared" si="41"/>
        <v>122875</v>
      </c>
      <c r="CXF23" s="30">
        <f t="shared" si="41"/>
        <v>122905</v>
      </c>
      <c r="CXG23" s="30">
        <f t="shared" si="41"/>
        <v>122936</v>
      </c>
      <c r="CXH23" s="30">
        <f t="shared" si="41"/>
        <v>122967</v>
      </c>
      <c r="CXI23" s="30">
        <f t="shared" si="41"/>
        <v>122997</v>
      </c>
      <c r="CXJ23" s="30">
        <f t="shared" si="41"/>
        <v>123028</v>
      </c>
      <c r="CXK23" s="30">
        <f t="shared" si="41"/>
        <v>123058</v>
      </c>
      <c r="CXL23" s="30">
        <f t="shared" si="41"/>
        <v>123089</v>
      </c>
      <c r="CXM23" s="30">
        <f t="shared" si="41"/>
        <v>123120</v>
      </c>
      <c r="CXN23" s="30">
        <f t="shared" si="41"/>
        <v>123148</v>
      </c>
      <c r="CXO23" s="30">
        <f t="shared" si="41"/>
        <v>123179</v>
      </c>
      <c r="CXP23" s="30">
        <f t="shared" si="41"/>
        <v>123209</v>
      </c>
      <c r="CXQ23" s="30">
        <f t="shared" si="41"/>
        <v>123240</v>
      </c>
      <c r="CXR23" s="30">
        <f t="shared" si="41"/>
        <v>123270</v>
      </c>
      <c r="CXS23" s="30">
        <f t="shared" si="41"/>
        <v>123301</v>
      </c>
      <c r="CXT23" s="30">
        <f t="shared" si="41"/>
        <v>123332</v>
      </c>
      <c r="CXU23" s="30">
        <f t="shared" si="41"/>
        <v>123362</v>
      </c>
      <c r="CXV23" s="30">
        <f t="shared" si="41"/>
        <v>123393</v>
      </c>
      <c r="CXW23" s="30">
        <f t="shared" si="41"/>
        <v>123423</v>
      </c>
      <c r="CXX23" s="30">
        <f t="shared" si="41"/>
        <v>123454</v>
      </c>
      <c r="CXY23" s="30">
        <f t="shared" si="41"/>
        <v>123485</v>
      </c>
      <c r="CXZ23" s="30">
        <f t="shared" si="41"/>
        <v>123513</v>
      </c>
      <c r="CYA23" s="30">
        <f t="shared" si="41"/>
        <v>123544</v>
      </c>
      <c r="CYB23" s="30">
        <f t="shared" si="41"/>
        <v>123574</v>
      </c>
      <c r="CYC23" s="30">
        <f t="shared" si="41"/>
        <v>123605</v>
      </c>
      <c r="CYD23" s="30">
        <f t="shared" si="41"/>
        <v>123635</v>
      </c>
      <c r="CYE23" s="30">
        <f t="shared" si="41"/>
        <v>123666</v>
      </c>
      <c r="CYF23" s="30">
        <f t="shared" si="41"/>
        <v>123697</v>
      </c>
      <c r="CYG23" s="30">
        <f t="shared" si="41"/>
        <v>123727</v>
      </c>
      <c r="CYH23" s="30">
        <f t="shared" si="41"/>
        <v>123758</v>
      </c>
      <c r="CYI23" s="30">
        <f t="shared" si="41"/>
        <v>123788</v>
      </c>
      <c r="CYJ23" s="30">
        <f t="shared" si="41"/>
        <v>123819</v>
      </c>
      <c r="CYK23" s="30">
        <f t="shared" si="41"/>
        <v>123850</v>
      </c>
      <c r="CYL23" s="30">
        <f t="shared" si="41"/>
        <v>123878</v>
      </c>
      <c r="CYM23" s="30">
        <f t="shared" si="41"/>
        <v>123909</v>
      </c>
      <c r="CYN23" s="30">
        <f t="shared" ref="CYN23:DAY23" si="42">EDATE(CYM23,1)</f>
        <v>123939</v>
      </c>
      <c r="CYO23" s="30">
        <f t="shared" si="42"/>
        <v>123970</v>
      </c>
      <c r="CYP23" s="30">
        <f t="shared" si="42"/>
        <v>124000</v>
      </c>
      <c r="CYQ23" s="30">
        <f t="shared" si="42"/>
        <v>124031</v>
      </c>
      <c r="CYR23" s="30">
        <f t="shared" si="42"/>
        <v>124062</v>
      </c>
      <c r="CYS23" s="30">
        <f t="shared" si="42"/>
        <v>124092</v>
      </c>
      <c r="CYT23" s="30">
        <f t="shared" si="42"/>
        <v>124123</v>
      </c>
      <c r="CYU23" s="30">
        <f t="shared" si="42"/>
        <v>124153</v>
      </c>
      <c r="CYV23" s="30">
        <f t="shared" si="42"/>
        <v>124184</v>
      </c>
      <c r="CYW23" s="30">
        <f t="shared" si="42"/>
        <v>124215</v>
      </c>
      <c r="CYX23" s="30">
        <f t="shared" si="42"/>
        <v>124244</v>
      </c>
      <c r="CYY23" s="30">
        <f t="shared" si="42"/>
        <v>124275</v>
      </c>
      <c r="CYZ23" s="30">
        <f t="shared" si="42"/>
        <v>124305</v>
      </c>
      <c r="CZA23" s="30">
        <f t="shared" si="42"/>
        <v>124336</v>
      </c>
      <c r="CZB23" s="30">
        <f t="shared" si="42"/>
        <v>124366</v>
      </c>
      <c r="CZC23" s="30">
        <f t="shared" si="42"/>
        <v>124397</v>
      </c>
      <c r="CZD23" s="30">
        <f t="shared" si="42"/>
        <v>124428</v>
      </c>
      <c r="CZE23" s="30">
        <f t="shared" si="42"/>
        <v>124458</v>
      </c>
      <c r="CZF23" s="30">
        <f t="shared" si="42"/>
        <v>124489</v>
      </c>
      <c r="CZG23" s="30">
        <f t="shared" si="42"/>
        <v>124519</v>
      </c>
      <c r="CZH23" s="30">
        <f t="shared" si="42"/>
        <v>124550</v>
      </c>
      <c r="CZI23" s="30">
        <f t="shared" si="42"/>
        <v>124581</v>
      </c>
      <c r="CZJ23" s="30">
        <f t="shared" si="42"/>
        <v>124609</v>
      </c>
      <c r="CZK23" s="30">
        <f t="shared" si="42"/>
        <v>124640</v>
      </c>
      <c r="CZL23" s="30">
        <f t="shared" si="42"/>
        <v>124670</v>
      </c>
      <c r="CZM23" s="30">
        <f t="shared" si="42"/>
        <v>124701</v>
      </c>
      <c r="CZN23" s="30">
        <f t="shared" si="42"/>
        <v>124731</v>
      </c>
      <c r="CZO23" s="30">
        <f t="shared" si="42"/>
        <v>124762</v>
      </c>
      <c r="CZP23" s="30">
        <f t="shared" si="42"/>
        <v>124793</v>
      </c>
      <c r="CZQ23" s="30">
        <f t="shared" si="42"/>
        <v>124823</v>
      </c>
      <c r="CZR23" s="30">
        <f t="shared" si="42"/>
        <v>124854</v>
      </c>
      <c r="CZS23" s="30">
        <f t="shared" si="42"/>
        <v>124884</v>
      </c>
      <c r="CZT23" s="30">
        <f t="shared" si="42"/>
        <v>124915</v>
      </c>
      <c r="CZU23" s="30">
        <f t="shared" si="42"/>
        <v>124946</v>
      </c>
      <c r="CZV23" s="30">
        <f t="shared" si="42"/>
        <v>124974</v>
      </c>
      <c r="CZW23" s="30">
        <f t="shared" si="42"/>
        <v>125005</v>
      </c>
      <c r="CZX23" s="30">
        <f t="shared" si="42"/>
        <v>125035</v>
      </c>
      <c r="CZY23" s="30">
        <f t="shared" si="42"/>
        <v>125066</v>
      </c>
      <c r="CZZ23" s="30">
        <f t="shared" si="42"/>
        <v>125096</v>
      </c>
      <c r="DAA23" s="30">
        <f t="shared" si="42"/>
        <v>125127</v>
      </c>
      <c r="DAB23" s="30">
        <f t="shared" si="42"/>
        <v>125158</v>
      </c>
      <c r="DAC23" s="30">
        <f t="shared" si="42"/>
        <v>125188</v>
      </c>
      <c r="DAD23" s="30">
        <f t="shared" si="42"/>
        <v>125219</v>
      </c>
      <c r="DAE23" s="30">
        <f t="shared" si="42"/>
        <v>125249</v>
      </c>
      <c r="DAF23" s="30">
        <f t="shared" si="42"/>
        <v>125280</v>
      </c>
      <c r="DAG23" s="30">
        <f t="shared" si="42"/>
        <v>125311</v>
      </c>
      <c r="DAH23" s="30">
        <f t="shared" si="42"/>
        <v>125339</v>
      </c>
      <c r="DAI23" s="30">
        <f t="shared" si="42"/>
        <v>125370</v>
      </c>
      <c r="DAJ23" s="30">
        <f t="shared" si="42"/>
        <v>125400</v>
      </c>
      <c r="DAK23" s="30">
        <f t="shared" si="42"/>
        <v>125431</v>
      </c>
      <c r="DAL23" s="30">
        <f t="shared" si="42"/>
        <v>125461</v>
      </c>
      <c r="DAM23" s="30">
        <f t="shared" si="42"/>
        <v>125492</v>
      </c>
      <c r="DAN23" s="30">
        <f t="shared" si="42"/>
        <v>125523</v>
      </c>
      <c r="DAO23" s="30">
        <f t="shared" si="42"/>
        <v>125553</v>
      </c>
      <c r="DAP23" s="30">
        <f t="shared" si="42"/>
        <v>125584</v>
      </c>
      <c r="DAQ23" s="30">
        <f t="shared" si="42"/>
        <v>125614</v>
      </c>
      <c r="DAR23" s="30">
        <f t="shared" si="42"/>
        <v>125645</v>
      </c>
      <c r="DAS23" s="30">
        <f t="shared" si="42"/>
        <v>125676</v>
      </c>
      <c r="DAT23" s="30">
        <f t="shared" si="42"/>
        <v>125705</v>
      </c>
      <c r="DAU23" s="30">
        <f t="shared" si="42"/>
        <v>125736</v>
      </c>
      <c r="DAV23" s="30">
        <f t="shared" si="42"/>
        <v>125766</v>
      </c>
      <c r="DAW23" s="30">
        <f t="shared" si="42"/>
        <v>125797</v>
      </c>
      <c r="DAX23" s="30">
        <f t="shared" si="42"/>
        <v>125827</v>
      </c>
      <c r="DAY23" s="30">
        <f t="shared" si="42"/>
        <v>125858</v>
      </c>
      <c r="DAZ23" s="30">
        <f t="shared" ref="DAZ23:DDK23" si="43">EDATE(DAY23,1)</f>
        <v>125889</v>
      </c>
      <c r="DBA23" s="30">
        <f t="shared" si="43"/>
        <v>125919</v>
      </c>
      <c r="DBB23" s="30">
        <f t="shared" si="43"/>
        <v>125950</v>
      </c>
      <c r="DBC23" s="30">
        <f t="shared" si="43"/>
        <v>125980</v>
      </c>
      <c r="DBD23" s="30">
        <f t="shared" si="43"/>
        <v>126011</v>
      </c>
      <c r="DBE23" s="30">
        <f t="shared" si="43"/>
        <v>126042</v>
      </c>
      <c r="DBF23" s="30">
        <f t="shared" si="43"/>
        <v>126070</v>
      </c>
      <c r="DBG23" s="30">
        <f t="shared" si="43"/>
        <v>126101</v>
      </c>
      <c r="DBH23" s="30">
        <f t="shared" si="43"/>
        <v>126131</v>
      </c>
      <c r="DBI23" s="30">
        <f t="shared" si="43"/>
        <v>126162</v>
      </c>
      <c r="DBJ23" s="30">
        <f t="shared" si="43"/>
        <v>126192</v>
      </c>
      <c r="DBK23" s="30">
        <f t="shared" si="43"/>
        <v>126223</v>
      </c>
      <c r="DBL23" s="30">
        <f t="shared" si="43"/>
        <v>126254</v>
      </c>
      <c r="DBM23" s="30">
        <f t="shared" si="43"/>
        <v>126284</v>
      </c>
      <c r="DBN23" s="30">
        <f t="shared" si="43"/>
        <v>126315</v>
      </c>
      <c r="DBO23" s="30">
        <f t="shared" si="43"/>
        <v>126345</v>
      </c>
      <c r="DBP23" s="30">
        <f t="shared" si="43"/>
        <v>126376</v>
      </c>
      <c r="DBQ23" s="30">
        <f t="shared" si="43"/>
        <v>126407</v>
      </c>
      <c r="DBR23" s="30">
        <f t="shared" si="43"/>
        <v>126435</v>
      </c>
      <c r="DBS23" s="30">
        <f t="shared" si="43"/>
        <v>126466</v>
      </c>
      <c r="DBT23" s="30">
        <f t="shared" si="43"/>
        <v>126496</v>
      </c>
      <c r="DBU23" s="30">
        <f t="shared" si="43"/>
        <v>126527</v>
      </c>
      <c r="DBV23" s="30">
        <f t="shared" si="43"/>
        <v>126557</v>
      </c>
      <c r="DBW23" s="30">
        <f t="shared" si="43"/>
        <v>126588</v>
      </c>
      <c r="DBX23" s="30">
        <f t="shared" si="43"/>
        <v>126619</v>
      </c>
      <c r="DBY23" s="30">
        <f t="shared" si="43"/>
        <v>126649</v>
      </c>
      <c r="DBZ23" s="30">
        <f t="shared" si="43"/>
        <v>126680</v>
      </c>
      <c r="DCA23" s="30">
        <f t="shared" si="43"/>
        <v>126710</v>
      </c>
      <c r="DCB23" s="30">
        <f t="shared" si="43"/>
        <v>126741</v>
      </c>
      <c r="DCC23" s="30">
        <f t="shared" si="43"/>
        <v>126772</v>
      </c>
      <c r="DCD23" s="30">
        <f t="shared" si="43"/>
        <v>126800</v>
      </c>
      <c r="DCE23" s="30">
        <f t="shared" si="43"/>
        <v>126831</v>
      </c>
      <c r="DCF23" s="30">
        <f t="shared" si="43"/>
        <v>126861</v>
      </c>
      <c r="DCG23" s="30">
        <f t="shared" si="43"/>
        <v>126892</v>
      </c>
      <c r="DCH23" s="30">
        <f t="shared" si="43"/>
        <v>126922</v>
      </c>
      <c r="DCI23" s="30">
        <f t="shared" si="43"/>
        <v>126953</v>
      </c>
      <c r="DCJ23" s="30">
        <f t="shared" si="43"/>
        <v>126984</v>
      </c>
      <c r="DCK23" s="30">
        <f t="shared" si="43"/>
        <v>127014</v>
      </c>
      <c r="DCL23" s="30">
        <f t="shared" si="43"/>
        <v>127045</v>
      </c>
      <c r="DCM23" s="30">
        <f t="shared" si="43"/>
        <v>127075</v>
      </c>
      <c r="DCN23" s="30">
        <f t="shared" si="43"/>
        <v>127106</v>
      </c>
      <c r="DCO23" s="30">
        <f t="shared" si="43"/>
        <v>127137</v>
      </c>
      <c r="DCP23" s="30">
        <f t="shared" si="43"/>
        <v>127166</v>
      </c>
      <c r="DCQ23" s="30">
        <f t="shared" si="43"/>
        <v>127197</v>
      </c>
      <c r="DCR23" s="30">
        <f t="shared" si="43"/>
        <v>127227</v>
      </c>
      <c r="DCS23" s="30">
        <f t="shared" si="43"/>
        <v>127258</v>
      </c>
      <c r="DCT23" s="30">
        <f t="shared" si="43"/>
        <v>127288</v>
      </c>
      <c r="DCU23" s="30">
        <f t="shared" si="43"/>
        <v>127319</v>
      </c>
      <c r="DCV23" s="30">
        <f t="shared" si="43"/>
        <v>127350</v>
      </c>
      <c r="DCW23" s="30">
        <f t="shared" si="43"/>
        <v>127380</v>
      </c>
      <c r="DCX23" s="30">
        <f t="shared" si="43"/>
        <v>127411</v>
      </c>
      <c r="DCY23" s="30">
        <f t="shared" si="43"/>
        <v>127441</v>
      </c>
      <c r="DCZ23" s="30">
        <f t="shared" si="43"/>
        <v>127472</v>
      </c>
      <c r="DDA23" s="30">
        <f t="shared" si="43"/>
        <v>127503</v>
      </c>
      <c r="DDB23" s="30">
        <f t="shared" si="43"/>
        <v>127531</v>
      </c>
      <c r="DDC23" s="30">
        <f t="shared" si="43"/>
        <v>127562</v>
      </c>
      <c r="DDD23" s="30">
        <f t="shared" si="43"/>
        <v>127592</v>
      </c>
      <c r="DDE23" s="30">
        <f t="shared" si="43"/>
        <v>127623</v>
      </c>
      <c r="DDF23" s="30">
        <f t="shared" si="43"/>
        <v>127653</v>
      </c>
      <c r="DDG23" s="30">
        <f t="shared" si="43"/>
        <v>127684</v>
      </c>
      <c r="DDH23" s="30">
        <f t="shared" si="43"/>
        <v>127715</v>
      </c>
      <c r="DDI23" s="30">
        <f t="shared" si="43"/>
        <v>127745</v>
      </c>
      <c r="DDJ23" s="30">
        <f t="shared" si="43"/>
        <v>127776</v>
      </c>
      <c r="DDK23" s="30">
        <f t="shared" si="43"/>
        <v>127806</v>
      </c>
      <c r="DDL23" s="30">
        <f t="shared" ref="DDL23:DFW23" si="44">EDATE(DDK23,1)</f>
        <v>127837</v>
      </c>
      <c r="DDM23" s="30">
        <f t="shared" si="44"/>
        <v>127868</v>
      </c>
      <c r="DDN23" s="30">
        <f t="shared" si="44"/>
        <v>127896</v>
      </c>
      <c r="DDO23" s="30">
        <f t="shared" si="44"/>
        <v>127927</v>
      </c>
      <c r="DDP23" s="30">
        <f t="shared" si="44"/>
        <v>127957</v>
      </c>
      <c r="DDQ23" s="30">
        <f t="shared" si="44"/>
        <v>127988</v>
      </c>
      <c r="DDR23" s="30">
        <f t="shared" si="44"/>
        <v>128018</v>
      </c>
      <c r="DDS23" s="30">
        <f t="shared" si="44"/>
        <v>128049</v>
      </c>
      <c r="DDT23" s="30">
        <f t="shared" si="44"/>
        <v>128080</v>
      </c>
      <c r="DDU23" s="30">
        <f t="shared" si="44"/>
        <v>128110</v>
      </c>
      <c r="DDV23" s="30">
        <f t="shared" si="44"/>
        <v>128141</v>
      </c>
      <c r="DDW23" s="30">
        <f t="shared" si="44"/>
        <v>128171</v>
      </c>
      <c r="DDX23" s="30">
        <f t="shared" si="44"/>
        <v>128202</v>
      </c>
      <c r="DDY23" s="30">
        <f t="shared" si="44"/>
        <v>128233</v>
      </c>
      <c r="DDZ23" s="30">
        <f t="shared" si="44"/>
        <v>128261</v>
      </c>
      <c r="DEA23" s="30">
        <f t="shared" si="44"/>
        <v>128292</v>
      </c>
      <c r="DEB23" s="30">
        <f t="shared" si="44"/>
        <v>128322</v>
      </c>
      <c r="DEC23" s="30">
        <f t="shared" si="44"/>
        <v>128353</v>
      </c>
      <c r="DED23" s="30">
        <f t="shared" si="44"/>
        <v>128383</v>
      </c>
      <c r="DEE23" s="30">
        <f t="shared" si="44"/>
        <v>128414</v>
      </c>
      <c r="DEF23" s="30">
        <f t="shared" si="44"/>
        <v>128445</v>
      </c>
      <c r="DEG23" s="30">
        <f t="shared" si="44"/>
        <v>128475</v>
      </c>
      <c r="DEH23" s="30">
        <f t="shared" si="44"/>
        <v>128506</v>
      </c>
      <c r="DEI23" s="30">
        <f t="shared" si="44"/>
        <v>128536</v>
      </c>
      <c r="DEJ23" s="30">
        <f t="shared" si="44"/>
        <v>128567</v>
      </c>
      <c r="DEK23" s="30">
        <f t="shared" si="44"/>
        <v>128598</v>
      </c>
      <c r="DEL23" s="30">
        <f t="shared" si="44"/>
        <v>128627</v>
      </c>
      <c r="DEM23" s="30">
        <f t="shared" si="44"/>
        <v>128658</v>
      </c>
      <c r="DEN23" s="30">
        <f t="shared" si="44"/>
        <v>128688</v>
      </c>
      <c r="DEO23" s="30">
        <f t="shared" si="44"/>
        <v>128719</v>
      </c>
      <c r="DEP23" s="30">
        <f t="shared" si="44"/>
        <v>128749</v>
      </c>
      <c r="DEQ23" s="30">
        <f t="shared" si="44"/>
        <v>128780</v>
      </c>
      <c r="DER23" s="30">
        <f t="shared" si="44"/>
        <v>128811</v>
      </c>
      <c r="DES23" s="30">
        <f t="shared" si="44"/>
        <v>128841</v>
      </c>
      <c r="DET23" s="30">
        <f t="shared" si="44"/>
        <v>128872</v>
      </c>
      <c r="DEU23" s="30">
        <f t="shared" si="44"/>
        <v>128902</v>
      </c>
      <c r="DEV23" s="30">
        <f t="shared" si="44"/>
        <v>128933</v>
      </c>
      <c r="DEW23" s="30">
        <f t="shared" si="44"/>
        <v>128964</v>
      </c>
      <c r="DEX23" s="30">
        <f t="shared" si="44"/>
        <v>128992</v>
      </c>
      <c r="DEY23" s="30">
        <f t="shared" si="44"/>
        <v>129023</v>
      </c>
      <c r="DEZ23" s="30">
        <f t="shared" si="44"/>
        <v>129053</v>
      </c>
      <c r="DFA23" s="30">
        <f t="shared" si="44"/>
        <v>129084</v>
      </c>
      <c r="DFB23" s="30">
        <f t="shared" si="44"/>
        <v>129114</v>
      </c>
      <c r="DFC23" s="30">
        <f t="shared" si="44"/>
        <v>129145</v>
      </c>
      <c r="DFD23" s="30">
        <f t="shared" si="44"/>
        <v>129176</v>
      </c>
      <c r="DFE23" s="30">
        <f t="shared" si="44"/>
        <v>129206</v>
      </c>
      <c r="DFF23" s="30">
        <f t="shared" si="44"/>
        <v>129237</v>
      </c>
      <c r="DFG23" s="30">
        <f t="shared" si="44"/>
        <v>129267</v>
      </c>
      <c r="DFH23" s="30">
        <f t="shared" si="44"/>
        <v>129298</v>
      </c>
      <c r="DFI23" s="30">
        <f t="shared" si="44"/>
        <v>129329</v>
      </c>
      <c r="DFJ23" s="30">
        <f t="shared" si="44"/>
        <v>129357</v>
      </c>
      <c r="DFK23" s="30">
        <f t="shared" si="44"/>
        <v>129388</v>
      </c>
      <c r="DFL23" s="30">
        <f t="shared" si="44"/>
        <v>129418</v>
      </c>
      <c r="DFM23" s="30">
        <f t="shared" si="44"/>
        <v>129449</v>
      </c>
      <c r="DFN23" s="30">
        <f t="shared" si="44"/>
        <v>129479</v>
      </c>
      <c r="DFO23" s="30">
        <f t="shared" si="44"/>
        <v>129510</v>
      </c>
      <c r="DFP23" s="30">
        <f t="shared" si="44"/>
        <v>129541</v>
      </c>
      <c r="DFQ23" s="30">
        <f t="shared" si="44"/>
        <v>129571</v>
      </c>
      <c r="DFR23" s="30">
        <f t="shared" si="44"/>
        <v>129602</v>
      </c>
      <c r="DFS23" s="30">
        <f t="shared" si="44"/>
        <v>129632</v>
      </c>
      <c r="DFT23" s="30">
        <f t="shared" si="44"/>
        <v>129663</v>
      </c>
      <c r="DFU23" s="30">
        <f t="shared" si="44"/>
        <v>129694</v>
      </c>
      <c r="DFV23" s="30">
        <f t="shared" si="44"/>
        <v>129722</v>
      </c>
      <c r="DFW23" s="30">
        <f t="shared" si="44"/>
        <v>129753</v>
      </c>
      <c r="DFX23" s="30">
        <f t="shared" ref="DFX23:DII23" si="45">EDATE(DFW23,1)</f>
        <v>129783</v>
      </c>
      <c r="DFY23" s="30">
        <f t="shared" si="45"/>
        <v>129814</v>
      </c>
      <c r="DFZ23" s="30">
        <f t="shared" si="45"/>
        <v>129844</v>
      </c>
      <c r="DGA23" s="30">
        <f t="shared" si="45"/>
        <v>129875</v>
      </c>
      <c r="DGB23" s="30">
        <f t="shared" si="45"/>
        <v>129906</v>
      </c>
      <c r="DGC23" s="30">
        <f t="shared" si="45"/>
        <v>129936</v>
      </c>
      <c r="DGD23" s="30">
        <f t="shared" si="45"/>
        <v>129967</v>
      </c>
      <c r="DGE23" s="30">
        <f t="shared" si="45"/>
        <v>129997</v>
      </c>
      <c r="DGF23" s="30">
        <f t="shared" si="45"/>
        <v>130028</v>
      </c>
      <c r="DGG23" s="30">
        <f t="shared" si="45"/>
        <v>130059</v>
      </c>
      <c r="DGH23" s="30">
        <f t="shared" si="45"/>
        <v>130088</v>
      </c>
      <c r="DGI23" s="30">
        <f t="shared" si="45"/>
        <v>130119</v>
      </c>
      <c r="DGJ23" s="30">
        <f t="shared" si="45"/>
        <v>130149</v>
      </c>
      <c r="DGK23" s="30">
        <f t="shared" si="45"/>
        <v>130180</v>
      </c>
      <c r="DGL23" s="30">
        <f t="shared" si="45"/>
        <v>130210</v>
      </c>
      <c r="DGM23" s="30">
        <f t="shared" si="45"/>
        <v>130241</v>
      </c>
      <c r="DGN23" s="30">
        <f t="shared" si="45"/>
        <v>130272</v>
      </c>
      <c r="DGO23" s="30">
        <f t="shared" si="45"/>
        <v>130302</v>
      </c>
      <c r="DGP23" s="30">
        <f t="shared" si="45"/>
        <v>130333</v>
      </c>
      <c r="DGQ23" s="30">
        <f t="shared" si="45"/>
        <v>130363</v>
      </c>
      <c r="DGR23" s="30">
        <f t="shared" si="45"/>
        <v>130394</v>
      </c>
      <c r="DGS23" s="30">
        <f t="shared" si="45"/>
        <v>130425</v>
      </c>
      <c r="DGT23" s="30">
        <f t="shared" si="45"/>
        <v>130453</v>
      </c>
      <c r="DGU23" s="30">
        <f t="shared" si="45"/>
        <v>130484</v>
      </c>
      <c r="DGV23" s="30">
        <f t="shared" si="45"/>
        <v>130514</v>
      </c>
      <c r="DGW23" s="30">
        <f t="shared" si="45"/>
        <v>130545</v>
      </c>
      <c r="DGX23" s="30">
        <f t="shared" si="45"/>
        <v>130575</v>
      </c>
      <c r="DGY23" s="30">
        <f t="shared" si="45"/>
        <v>130606</v>
      </c>
      <c r="DGZ23" s="30">
        <f t="shared" si="45"/>
        <v>130637</v>
      </c>
      <c r="DHA23" s="30">
        <f t="shared" si="45"/>
        <v>130667</v>
      </c>
      <c r="DHB23" s="30">
        <f t="shared" si="45"/>
        <v>130698</v>
      </c>
      <c r="DHC23" s="30">
        <f t="shared" si="45"/>
        <v>130728</v>
      </c>
      <c r="DHD23" s="30">
        <f t="shared" si="45"/>
        <v>130759</v>
      </c>
      <c r="DHE23" s="30">
        <f t="shared" si="45"/>
        <v>130790</v>
      </c>
      <c r="DHF23" s="30">
        <f t="shared" si="45"/>
        <v>130818</v>
      </c>
      <c r="DHG23" s="30">
        <f t="shared" si="45"/>
        <v>130849</v>
      </c>
      <c r="DHH23" s="30">
        <f t="shared" si="45"/>
        <v>130879</v>
      </c>
      <c r="DHI23" s="30">
        <f t="shared" si="45"/>
        <v>130910</v>
      </c>
      <c r="DHJ23" s="30">
        <f t="shared" si="45"/>
        <v>130940</v>
      </c>
      <c r="DHK23" s="30">
        <f t="shared" si="45"/>
        <v>130971</v>
      </c>
      <c r="DHL23" s="30">
        <f t="shared" si="45"/>
        <v>131002</v>
      </c>
      <c r="DHM23" s="30">
        <f t="shared" si="45"/>
        <v>131032</v>
      </c>
      <c r="DHN23" s="30">
        <f t="shared" si="45"/>
        <v>131063</v>
      </c>
      <c r="DHO23" s="30">
        <f t="shared" si="45"/>
        <v>131093</v>
      </c>
      <c r="DHP23" s="30">
        <f t="shared" si="45"/>
        <v>131124</v>
      </c>
      <c r="DHQ23" s="30">
        <f t="shared" si="45"/>
        <v>131155</v>
      </c>
      <c r="DHR23" s="30">
        <f t="shared" si="45"/>
        <v>131183</v>
      </c>
      <c r="DHS23" s="30">
        <f t="shared" si="45"/>
        <v>131214</v>
      </c>
      <c r="DHT23" s="30">
        <f t="shared" si="45"/>
        <v>131244</v>
      </c>
      <c r="DHU23" s="30">
        <f t="shared" si="45"/>
        <v>131275</v>
      </c>
      <c r="DHV23" s="30">
        <f t="shared" si="45"/>
        <v>131305</v>
      </c>
      <c r="DHW23" s="30">
        <f t="shared" si="45"/>
        <v>131336</v>
      </c>
      <c r="DHX23" s="30">
        <f t="shared" si="45"/>
        <v>131367</v>
      </c>
      <c r="DHY23" s="30">
        <f t="shared" si="45"/>
        <v>131397</v>
      </c>
      <c r="DHZ23" s="30">
        <f t="shared" si="45"/>
        <v>131428</v>
      </c>
      <c r="DIA23" s="30">
        <f t="shared" si="45"/>
        <v>131458</v>
      </c>
      <c r="DIB23" s="30">
        <f t="shared" si="45"/>
        <v>131489</v>
      </c>
      <c r="DIC23" s="30">
        <f t="shared" si="45"/>
        <v>131520</v>
      </c>
      <c r="DID23" s="30">
        <f t="shared" si="45"/>
        <v>131549</v>
      </c>
      <c r="DIE23" s="30">
        <f t="shared" si="45"/>
        <v>131580</v>
      </c>
      <c r="DIF23" s="30">
        <f t="shared" si="45"/>
        <v>131610</v>
      </c>
      <c r="DIG23" s="30">
        <f t="shared" si="45"/>
        <v>131641</v>
      </c>
      <c r="DIH23" s="30">
        <f t="shared" si="45"/>
        <v>131671</v>
      </c>
      <c r="DII23" s="30">
        <f t="shared" si="45"/>
        <v>131702</v>
      </c>
      <c r="DIJ23" s="30">
        <f t="shared" ref="DIJ23:DKU23" si="46">EDATE(DII23,1)</f>
        <v>131733</v>
      </c>
      <c r="DIK23" s="30">
        <f t="shared" si="46"/>
        <v>131763</v>
      </c>
      <c r="DIL23" s="30">
        <f t="shared" si="46"/>
        <v>131794</v>
      </c>
      <c r="DIM23" s="30">
        <f t="shared" si="46"/>
        <v>131824</v>
      </c>
      <c r="DIN23" s="30">
        <f t="shared" si="46"/>
        <v>131855</v>
      </c>
      <c r="DIO23" s="30">
        <f t="shared" si="46"/>
        <v>131886</v>
      </c>
      <c r="DIP23" s="30">
        <f t="shared" si="46"/>
        <v>131914</v>
      </c>
      <c r="DIQ23" s="30">
        <f t="shared" si="46"/>
        <v>131945</v>
      </c>
      <c r="DIR23" s="30">
        <f t="shared" si="46"/>
        <v>131975</v>
      </c>
      <c r="DIS23" s="30">
        <f t="shared" si="46"/>
        <v>132006</v>
      </c>
      <c r="DIT23" s="30">
        <f t="shared" si="46"/>
        <v>132036</v>
      </c>
      <c r="DIU23" s="30">
        <f t="shared" si="46"/>
        <v>132067</v>
      </c>
      <c r="DIV23" s="30">
        <f t="shared" si="46"/>
        <v>132098</v>
      </c>
      <c r="DIW23" s="30">
        <f t="shared" si="46"/>
        <v>132128</v>
      </c>
      <c r="DIX23" s="30">
        <f t="shared" si="46"/>
        <v>132159</v>
      </c>
      <c r="DIY23" s="30">
        <f t="shared" si="46"/>
        <v>132189</v>
      </c>
      <c r="DIZ23" s="30">
        <f t="shared" si="46"/>
        <v>132220</v>
      </c>
      <c r="DJA23" s="30">
        <f t="shared" si="46"/>
        <v>132251</v>
      </c>
      <c r="DJB23" s="30">
        <f t="shared" si="46"/>
        <v>132279</v>
      </c>
      <c r="DJC23" s="30">
        <f t="shared" si="46"/>
        <v>132310</v>
      </c>
      <c r="DJD23" s="30">
        <f t="shared" si="46"/>
        <v>132340</v>
      </c>
      <c r="DJE23" s="30">
        <f t="shared" si="46"/>
        <v>132371</v>
      </c>
      <c r="DJF23" s="30">
        <f t="shared" si="46"/>
        <v>132401</v>
      </c>
      <c r="DJG23" s="30">
        <f t="shared" si="46"/>
        <v>132432</v>
      </c>
      <c r="DJH23" s="30">
        <f t="shared" si="46"/>
        <v>132463</v>
      </c>
      <c r="DJI23" s="30">
        <f t="shared" si="46"/>
        <v>132493</v>
      </c>
      <c r="DJJ23" s="30">
        <f t="shared" si="46"/>
        <v>132524</v>
      </c>
      <c r="DJK23" s="30">
        <f t="shared" si="46"/>
        <v>132554</v>
      </c>
      <c r="DJL23" s="30">
        <f t="shared" si="46"/>
        <v>132585</v>
      </c>
      <c r="DJM23" s="30">
        <f t="shared" si="46"/>
        <v>132616</v>
      </c>
      <c r="DJN23" s="30">
        <f t="shared" si="46"/>
        <v>132644</v>
      </c>
      <c r="DJO23" s="30">
        <f t="shared" si="46"/>
        <v>132675</v>
      </c>
      <c r="DJP23" s="30">
        <f t="shared" si="46"/>
        <v>132705</v>
      </c>
      <c r="DJQ23" s="30">
        <f t="shared" si="46"/>
        <v>132736</v>
      </c>
      <c r="DJR23" s="30">
        <f t="shared" si="46"/>
        <v>132766</v>
      </c>
      <c r="DJS23" s="30">
        <f t="shared" si="46"/>
        <v>132797</v>
      </c>
      <c r="DJT23" s="30">
        <f t="shared" si="46"/>
        <v>132828</v>
      </c>
      <c r="DJU23" s="30">
        <f t="shared" si="46"/>
        <v>132858</v>
      </c>
      <c r="DJV23" s="30">
        <f t="shared" si="46"/>
        <v>132889</v>
      </c>
      <c r="DJW23" s="30">
        <f t="shared" si="46"/>
        <v>132919</v>
      </c>
      <c r="DJX23" s="30">
        <f t="shared" si="46"/>
        <v>132950</v>
      </c>
      <c r="DJY23" s="30">
        <f t="shared" si="46"/>
        <v>132981</v>
      </c>
      <c r="DJZ23" s="30">
        <f t="shared" si="46"/>
        <v>133010</v>
      </c>
      <c r="DKA23" s="30">
        <f t="shared" si="46"/>
        <v>133041</v>
      </c>
      <c r="DKB23" s="30">
        <f t="shared" si="46"/>
        <v>133071</v>
      </c>
      <c r="DKC23" s="30">
        <f t="shared" si="46"/>
        <v>133102</v>
      </c>
      <c r="DKD23" s="30">
        <f t="shared" si="46"/>
        <v>133132</v>
      </c>
      <c r="DKE23" s="30">
        <f t="shared" si="46"/>
        <v>133163</v>
      </c>
      <c r="DKF23" s="30">
        <f t="shared" si="46"/>
        <v>133194</v>
      </c>
      <c r="DKG23" s="30">
        <f t="shared" si="46"/>
        <v>133224</v>
      </c>
      <c r="DKH23" s="30">
        <f t="shared" si="46"/>
        <v>133255</v>
      </c>
      <c r="DKI23" s="30">
        <f t="shared" si="46"/>
        <v>133285</v>
      </c>
      <c r="DKJ23" s="30">
        <f t="shared" si="46"/>
        <v>133316</v>
      </c>
      <c r="DKK23" s="30">
        <f t="shared" si="46"/>
        <v>133347</v>
      </c>
      <c r="DKL23" s="30">
        <f t="shared" si="46"/>
        <v>133375</v>
      </c>
      <c r="DKM23" s="30">
        <f t="shared" si="46"/>
        <v>133406</v>
      </c>
      <c r="DKN23" s="30">
        <f t="shared" si="46"/>
        <v>133436</v>
      </c>
      <c r="DKO23" s="30">
        <f t="shared" si="46"/>
        <v>133467</v>
      </c>
      <c r="DKP23" s="30">
        <f t="shared" si="46"/>
        <v>133497</v>
      </c>
      <c r="DKQ23" s="30">
        <f t="shared" si="46"/>
        <v>133528</v>
      </c>
      <c r="DKR23" s="30">
        <f t="shared" si="46"/>
        <v>133559</v>
      </c>
      <c r="DKS23" s="30">
        <f t="shared" si="46"/>
        <v>133589</v>
      </c>
      <c r="DKT23" s="30">
        <f t="shared" si="46"/>
        <v>133620</v>
      </c>
      <c r="DKU23" s="30">
        <f t="shared" si="46"/>
        <v>133650</v>
      </c>
      <c r="DKV23" s="30">
        <f t="shared" ref="DKV23:DNG23" si="47">EDATE(DKU23,1)</f>
        <v>133681</v>
      </c>
      <c r="DKW23" s="30">
        <f t="shared" si="47"/>
        <v>133712</v>
      </c>
      <c r="DKX23" s="30">
        <f t="shared" si="47"/>
        <v>133740</v>
      </c>
      <c r="DKY23" s="30">
        <f t="shared" si="47"/>
        <v>133771</v>
      </c>
      <c r="DKZ23" s="30">
        <f t="shared" si="47"/>
        <v>133801</v>
      </c>
      <c r="DLA23" s="30">
        <f t="shared" si="47"/>
        <v>133832</v>
      </c>
      <c r="DLB23" s="30">
        <f t="shared" si="47"/>
        <v>133862</v>
      </c>
      <c r="DLC23" s="30">
        <f t="shared" si="47"/>
        <v>133893</v>
      </c>
      <c r="DLD23" s="30">
        <f t="shared" si="47"/>
        <v>133924</v>
      </c>
      <c r="DLE23" s="30">
        <f t="shared" si="47"/>
        <v>133954</v>
      </c>
      <c r="DLF23" s="30">
        <f t="shared" si="47"/>
        <v>133985</v>
      </c>
      <c r="DLG23" s="30">
        <f t="shared" si="47"/>
        <v>134015</v>
      </c>
      <c r="DLH23" s="30">
        <f t="shared" si="47"/>
        <v>134046</v>
      </c>
      <c r="DLI23" s="30">
        <f t="shared" si="47"/>
        <v>134077</v>
      </c>
      <c r="DLJ23" s="30">
        <f t="shared" si="47"/>
        <v>134105</v>
      </c>
      <c r="DLK23" s="30">
        <f t="shared" si="47"/>
        <v>134136</v>
      </c>
      <c r="DLL23" s="30">
        <f t="shared" si="47"/>
        <v>134166</v>
      </c>
      <c r="DLM23" s="30">
        <f t="shared" si="47"/>
        <v>134197</v>
      </c>
      <c r="DLN23" s="30">
        <f t="shared" si="47"/>
        <v>134227</v>
      </c>
      <c r="DLO23" s="30">
        <f t="shared" si="47"/>
        <v>134258</v>
      </c>
      <c r="DLP23" s="30">
        <f t="shared" si="47"/>
        <v>134289</v>
      </c>
      <c r="DLQ23" s="30">
        <f t="shared" si="47"/>
        <v>134319</v>
      </c>
      <c r="DLR23" s="30">
        <f t="shared" si="47"/>
        <v>134350</v>
      </c>
      <c r="DLS23" s="30">
        <f t="shared" si="47"/>
        <v>134380</v>
      </c>
      <c r="DLT23" s="30">
        <f t="shared" si="47"/>
        <v>134411</v>
      </c>
      <c r="DLU23" s="30">
        <f t="shared" si="47"/>
        <v>134442</v>
      </c>
      <c r="DLV23" s="30">
        <f t="shared" si="47"/>
        <v>134471</v>
      </c>
      <c r="DLW23" s="30">
        <f t="shared" si="47"/>
        <v>134502</v>
      </c>
      <c r="DLX23" s="30">
        <f t="shared" si="47"/>
        <v>134532</v>
      </c>
      <c r="DLY23" s="30">
        <f t="shared" si="47"/>
        <v>134563</v>
      </c>
      <c r="DLZ23" s="30">
        <f t="shared" si="47"/>
        <v>134593</v>
      </c>
      <c r="DMA23" s="30">
        <f t="shared" si="47"/>
        <v>134624</v>
      </c>
      <c r="DMB23" s="30">
        <f t="shared" si="47"/>
        <v>134655</v>
      </c>
      <c r="DMC23" s="30">
        <f t="shared" si="47"/>
        <v>134685</v>
      </c>
      <c r="DMD23" s="30">
        <f t="shared" si="47"/>
        <v>134716</v>
      </c>
      <c r="DME23" s="30">
        <f t="shared" si="47"/>
        <v>134746</v>
      </c>
      <c r="DMF23" s="30">
        <f t="shared" si="47"/>
        <v>134777</v>
      </c>
      <c r="DMG23" s="30">
        <f t="shared" si="47"/>
        <v>134808</v>
      </c>
      <c r="DMH23" s="30">
        <f t="shared" si="47"/>
        <v>134836</v>
      </c>
      <c r="DMI23" s="30">
        <f t="shared" si="47"/>
        <v>134867</v>
      </c>
      <c r="DMJ23" s="30">
        <f t="shared" si="47"/>
        <v>134897</v>
      </c>
      <c r="DMK23" s="30">
        <f t="shared" si="47"/>
        <v>134928</v>
      </c>
      <c r="DML23" s="30">
        <f t="shared" si="47"/>
        <v>134958</v>
      </c>
      <c r="DMM23" s="30">
        <f t="shared" si="47"/>
        <v>134989</v>
      </c>
      <c r="DMN23" s="30">
        <f t="shared" si="47"/>
        <v>135020</v>
      </c>
      <c r="DMO23" s="30">
        <f t="shared" si="47"/>
        <v>135050</v>
      </c>
      <c r="DMP23" s="30">
        <f t="shared" si="47"/>
        <v>135081</v>
      </c>
      <c r="DMQ23" s="30">
        <f t="shared" si="47"/>
        <v>135111</v>
      </c>
      <c r="DMR23" s="30">
        <f t="shared" si="47"/>
        <v>135142</v>
      </c>
      <c r="DMS23" s="30">
        <f t="shared" si="47"/>
        <v>135173</v>
      </c>
      <c r="DMT23" s="30">
        <f t="shared" si="47"/>
        <v>135201</v>
      </c>
      <c r="DMU23" s="30">
        <f t="shared" si="47"/>
        <v>135232</v>
      </c>
      <c r="DMV23" s="30">
        <f t="shared" si="47"/>
        <v>135262</v>
      </c>
      <c r="DMW23" s="30">
        <f t="shared" si="47"/>
        <v>135293</v>
      </c>
      <c r="DMX23" s="30">
        <f t="shared" si="47"/>
        <v>135323</v>
      </c>
      <c r="DMY23" s="30">
        <f t="shared" si="47"/>
        <v>135354</v>
      </c>
      <c r="DMZ23" s="30">
        <f t="shared" si="47"/>
        <v>135385</v>
      </c>
      <c r="DNA23" s="30">
        <f t="shared" si="47"/>
        <v>135415</v>
      </c>
      <c r="DNB23" s="30">
        <f t="shared" si="47"/>
        <v>135446</v>
      </c>
      <c r="DNC23" s="30">
        <f t="shared" si="47"/>
        <v>135476</v>
      </c>
      <c r="DND23" s="30">
        <f t="shared" si="47"/>
        <v>135507</v>
      </c>
      <c r="DNE23" s="30">
        <f t="shared" si="47"/>
        <v>135538</v>
      </c>
      <c r="DNF23" s="30">
        <f t="shared" si="47"/>
        <v>135566</v>
      </c>
      <c r="DNG23" s="30">
        <f t="shared" si="47"/>
        <v>135597</v>
      </c>
      <c r="DNH23" s="30">
        <f t="shared" ref="DNH23:DPS23" si="48">EDATE(DNG23,1)</f>
        <v>135627</v>
      </c>
      <c r="DNI23" s="30">
        <f t="shared" si="48"/>
        <v>135658</v>
      </c>
      <c r="DNJ23" s="30">
        <f t="shared" si="48"/>
        <v>135688</v>
      </c>
      <c r="DNK23" s="30">
        <f t="shared" si="48"/>
        <v>135719</v>
      </c>
      <c r="DNL23" s="30">
        <f t="shared" si="48"/>
        <v>135750</v>
      </c>
      <c r="DNM23" s="30">
        <f t="shared" si="48"/>
        <v>135780</v>
      </c>
      <c r="DNN23" s="30">
        <f t="shared" si="48"/>
        <v>135811</v>
      </c>
      <c r="DNO23" s="30">
        <f t="shared" si="48"/>
        <v>135841</v>
      </c>
      <c r="DNP23" s="30">
        <f t="shared" si="48"/>
        <v>135872</v>
      </c>
      <c r="DNQ23" s="30">
        <f t="shared" si="48"/>
        <v>135903</v>
      </c>
      <c r="DNR23" s="30">
        <f t="shared" si="48"/>
        <v>135932</v>
      </c>
      <c r="DNS23" s="30">
        <f t="shared" si="48"/>
        <v>135963</v>
      </c>
      <c r="DNT23" s="30">
        <f t="shared" si="48"/>
        <v>135993</v>
      </c>
      <c r="DNU23" s="30">
        <f t="shared" si="48"/>
        <v>136024</v>
      </c>
      <c r="DNV23" s="30">
        <f t="shared" si="48"/>
        <v>136054</v>
      </c>
      <c r="DNW23" s="30">
        <f t="shared" si="48"/>
        <v>136085</v>
      </c>
      <c r="DNX23" s="30">
        <f t="shared" si="48"/>
        <v>136116</v>
      </c>
      <c r="DNY23" s="30">
        <f t="shared" si="48"/>
        <v>136146</v>
      </c>
      <c r="DNZ23" s="30">
        <f t="shared" si="48"/>
        <v>136177</v>
      </c>
      <c r="DOA23" s="30">
        <f t="shared" si="48"/>
        <v>136207</v>
      </c>
      <c r="DOB23" s="30">
        <f t="shared" si="48"/>
        <v>136238</v>
      </c>
      <c r="DOC23" s="30">
        <f t="shared" si="48"/>
        <v>136269</v>
      </c>
      <c r="DOD23" s="30">
        <f t="shared" si="48"/>
        <v>136297</v>
      </c>
      <c r="DOE23" s="30">
        <f t="shared" si="48"/>
        <v>136328</v>
      </c>
      <c r="DOF23" s="30">
        <f t="shared" si="48"/>
        <v>136358</v>
      </c>
      <c r="DOG23" s="30">
        <f t="shared" si="48"/>
        <v>136389</v>
      </c>
      <c r="DOH23" s="30">
        <f t="shared" si="48"/>
        <v>136419</v>
      </c>
      <c r="DOI23" s="30">
        <f t="shared" si="48"/>
        <v>136450</v>
      </c>
      <c r="DOJ23" s="30">
        <f t="shared" si="48"/>
        <v>136481</v>
      </c>
      <c r="DOK23" s="30">
        <f t="shared" si="48"/>
        <v>136511</v>
      </c>
      <c r="DOL23" s="30">
        <f t="shared" si="48"/>
        <v>136542</v>
      </c>
      <c r="DOM23" s="30">
        <f t="shared" si="48"/>
        <v>136572</v>
      </c>
      <c r="DON23" s="30">
        <f t="shared" si="48"/>
        <v>136603</v>
      </c>
      <c r="DOO23" s="30">
        <f t="shared" si="48"/>
        <v>136634</v>
      </c>
      <c r="DOP23" s="30">
        <f t="shared" si="48"/>
        <v>136662</v>
      </c>
      <c r="DOQ23" s="30">
        <f t="shared" si="48"/>
        <v>136693</v>
      </c>
      <c r="DOR23" s="30">
        <f t="shared" si="48"/>
        <v>136723</v>
      </c>
      <c r="DOS23" s="30">
        <f t="shared" si="48"/>
        <v>136754</v>
      </c>
      <c r="DOT23" s="30">
        <f t="shared" si="48"/>
        <v>136784</v>
      </c>
      <c r="DOU23" s="30">
        <f t="shared" si="48"/>
        <v>136815</v>
      </c>
      <c r="DOV23" s="30">
        <f t="shared" si="48"/>
        <v>136846</v>
      </c>
      <c r="DOW23" s="30">
        <f t="shared" si="48"/>
        <v>136876</v>
      </c>
      <c r="DOX23" s="30">
        <f t="shared" si="48"/>
        <v>136907</v>
      </c>
      <c r="DOY23" s="30">
        <f t="shared" si="48"/>
        <v>136937</v>
      </c>
      <c r="DOZ23" s="30">
        <f t="shared" si="48"/>
        <v>136968</v>
      </c>
      <c r="DPA23" s="30">
        <f t="shared" si="48"/>
        <v>136999</v>
      </c>
      <c r="DPB23" s="30">
        <f t="shared" si="48"/>
        <v>137027</v>
      </c>
      <c r="DPC23" s="30">
        <f t="shared" si="48"/>
        <v>137058</v>
      </c>
      <c r="DPD23" s="30">
        <f t="shared" si="48"/>
        <v>137088</v>
      </c>
      <c r="DPE23" s="30">
        <f t="shared" si="48"/>
        <v>137119</v>
      </c>
      <c r="DPF23" s="30">
        <f t="shared" si="48"/>
        <v>137149</v>
      </c>
      <c r="DPG23" s="30">
        <f t="shared" si="48"/>
        <v>137180</v>
      </c>
      <c r="DPH23" s="30">
        <f t="shared" si="48"/>
        <v>137211</v>
      </c>
      <c r="DPI23" s="30">
        <f t="shared" si="48"/>
        <v>137241</v>
      </c>
      <c r="DPJ23" s="30">
        <f t="shared" si="48"/>
        <v>137272</v>
      </c>
      <c r="DPK23" s="30">
        <f t="shared" si="48"/>
        <v>137302</v>
      </c>
      <c r="DPL23" s="30">
        <f t="shared" si="48"/>
        <v>137333</v>
      </c>
      <c r="DPM23" s="30">
        <f t="shared" si="48"/>
        <v>137364</v>
      </c>
      <c r="DPN23" s="30">
        <f t="shared" si="48"/>
        <v>137393</v>
      </c>
      <c r="DPO23" s="30">
        <f t="shared" si="48"/>
        <v>137424</v>
      </c>
      <c r="DPP23" s="30">
        <f t="shared" si="48"/>
        <v>137454</v>
      </c>
      <c r="DPQ23" s="30">
        <f t="shared" si="48"/>
        <v>137485</v>
      </c>
      <c r="DPR23" s="30">
        <f t="shared" si="48"/>
        <v>137515</v>
      </c>
      <c r="DPS23" s="30">
        <f t="shared" si="48"/>
        <v>137546</v>
      </c>
      <c r="DPT23" s="30">
        <f t="shared" ref="DPT23:DSE23" si="49">EDATE(DPS23,1)</f>
        <v>137577</v>
      </c>
      <c r="DPU23" s="30">
        <f t="shared" si="49"/>
        <v>137607</v>
      </c>
      <c r="DPV23" s="30">
        <f t="shared" si="49"/>
        <v>137638</v>
      </c>
      <c r="DPW23" s="30">
        <f t="shared" si="49"/>
        <v>137668</v>
      </c>
      <c r="DPX23" s="30">
        <f t="shared" si="49"/>
        <v>137699</v>
      </c>
      <c r="DPY23" s="30">
        <f t="shared" si="49"/>
        <v>137730</v>
      </c>
      <c r="DPZ23" s="30">
        <f t="shared" si="49"/>
        <v>137758</v>
      </c>
      <c r="DQA23" s="30">
        <f t="shared" si="49"/>
        <v>137789</v>
      </c>
      <c r="DQB23" s="30">
        <f t="shared" si="49"/>
        <v>137819</v>
      </c>
      <c r="DQC23" s="30">
        <f t="shared" si="49"/>
        <v>137850</v>
      </c>
      <c r="DQD23" s="30">
        <f t="shared" si="49"/>
        <v>137880</v>
      </c>
      <c r="DQE23" s="30">
        <f t="shared" si="49"/>
        <v>137911</v>
      </c>
      <c r="DQF23" s="30">
        <f t="shared" si="49"/>
        <v>137942</v>
      </c>
      <c r="DQG23" s="30">
        <f t="shared" si="49"/>
        <v>137972</v>
      </c>
      <c r="DQH23" s="30">
        <f t="shared" si="49"/>
        <v>138003</v>
      </c>
      <c r="DQI23" s="30">
        <f t="shared" si="49"/>
        <v>138033</v>
      </c>
      <c r="DQJ23" s="30">
        <f t="shared" si="49"/>
        <v>138064</v>
      </c>
      <c r="DQK23" s="30">
        <f t="shared" si="49"/>
        <v>138095</v>
      </c>
      <c r="DQL23" s="30">
        <f t="shared" si="49"/>
        <v>138123</v>
      </c>
      <c r="DQM23" s="30">
        <f t="shared" si="49"/>
        <v>138154</v>
      </c>
      <c r="DQN23" s="30">
        <f t="shared" si="49"/>
        <v>138184</v>
      </c>
      <c r="DQO23" s="30">
        <f t="shared" si="49"/>
        <v>138215</v>
      </c>
      <c r="DQP23" s="30">
        <f t="shared" si="49"/>
        <v>138245</v>
      </c>
      <c r="DQQ23" s="30">
        <f t="shared" si="49"/>
        <v>138276</v>
      </c>
      <c r="DQR23" s="30">
        <f t="shared" si="49"/>
        <v>138307</v>
      </c>
      <c r="DQS23" s="30">
        <f t="shared" si="49"/>
        <v>138337</v>
      </c>
      <c r="DQT23" s="30">
        <f t="shared" si="49"/>
        <v>138368</v>
      </c>
      <c r="DQU23" s="30">
        <f t="shared" si="49"/>
        <v>138398</v>
      </c>
      <c r="DQV23" s="30">
        <f t="shared" si="49"/>
        <v>138429</v>
      </c>
      <c r="DQW23" s="30">
        <f t="shared" si="49"/>
        <v>138460</v>
      </c>
      <c r="DQX23" s="30">
        <f t="shared" si="49"/>
        <v>138488</v>
      </c>
      <c r="DQY23" s="30">
        <f t="shared" si="49"/>
        <v>138519</v>
      </c>
      <c r="DQZ23" s="30">
        <f t="shared" si="49"/>
        <v>138549</v>
      </c>
      <c r="DRA23" s="30">
        <f t="shared" si="49"/>
        <v>138580</v>
      </c>
      <c r="DRB23" s="30">
        <f t="shared" si="49"/>
        <v>138610</v>
      </c>
      <c r="DRC23" s="30">
        <f t="shared" si="49"/>
        <v>138641</v>
      </c>
      <c r="DRD23" s="30">
        <f t="shared" si="49"/>
        <v>138672</v>
      </c>
      <c r="DRE23" s="30">
        <f t="shared" si="49"/>
        <v>138702</v>
      </c>
      <c r="DRF23" s="30">
        <f t="shared" si="49"/>
        <v>138733</v>
      </c>
      <c r="DRG23" s="30">
        <f t="shared" si="49"/>
        <v>138763</v>
      </c>
      <c r="DRH23" s="30">
        <f t="shared" si="49"/>
        <v>138794</v>
      </c>
      <c r="DRI23" s="30">
        <f t="shared" si="49"/>
        <v>138825</v>
      </c>
      <c r="DRJ23" s="30">
        <f t="shared" si="49"/>
        <v>138854</v>
      </c>
      <c r="DRK23" s="30">
        <f t="shared" si="49"/>
        <v>138885</v>
      </c>
      <c r="DRL23" s="30">
        <f t="shared" si="49"/>
        <v>138915</v>
      </c>
      <c r="DRM23" s="30">
        <f t="shared" si="49"/>
        <v>138946</v>
      </c>
      <c r="DRN23" s="30">
        <f t="shared" si="49"/>
        <v>138976</v>
      </c>
      <c r="DRO23" s="30">
        <f t="shared" si="49"/>
        <v>139007</v>
      </c>
      <c r="DRP23" s="30">
        <f t="shared" si="49"/>
        <v>139038</v>
      </c>
      <c r="DRQ23" s="30">
        <f t="shared" si="49"/>
        <v>139068</v>
      </c>
      <c r="DRR23" s="30">
        <f t="shared" si="49"/>
        <v>139099</v>
      </c>
      <c r="DRS23" s="30">
        <f t="shared" si="49"/>
        <v>139129</v>
      </c>
      <c r="DRT23" s="30">
        <f t="shared" si="49"/>
        <v>139160</v>
      </c>
      <c r="DRU23" s="30">
        <f t="shared" si="49"/>
        <v>139191</v>
      </c>
      <c r="DRV23" s="30">
        <f t="shared" si="49"/>
        <v>139219</v>
      </c>
      <c r="DRW23" s="30">
        <f t="shared" si="49"/>
        <v>139250</v>
      </c>
      <c r="DRX23" s="30">
        <f t="shared" si="49"/>
        <v>139280</v>
      </c>
      <c r="DRY23" s="30">
        <f t="shared" si="49"/>
        <v>139311</v>
      </c>
      <c r="DRZ23" s="30">
        <f t="shared" si="49"/>
        <v>139341</v>
      </c>
      <c r="DSA23" s="30">
        <f t="shared" si="49"/>
        <v>139372</v>
      </c>
      <c r="DSB23" s="30">
        <f t="shared" si="49"/>
        <v>139403</v>
      </c>
      <c r="DSC23" s="30">
        <f t="shared" si="49"/>
        <v>139433</v>
      </c>
      <c r="DSD23" s="30">
        <f t="shared" si="49"/>
        <v>139464</v>
      </c>
      <c r="DSE23" s="30">
        <f t="shared" si="49"/>
        <v>139494</v>
      </c>
      <c r="DSF23" s="30">
        <f t="shared" ref="DSF23:DUQ23" si="50">EDATE(DSE23,1)</f>
        <v>139525</v>
      </c>
      <c r="DSG23" s="30">
        <f t="shared" si="50"/>
        <v>139556</v>
      </c>
      <c r="DSH23" s="30">
        <f t="shared" si="50"/>
        <v>139584</v>
      </c>
      <c r="DSI23" s="30">
        <f t="shared" si="50"/>
        <v>139615</v>
      </c>
      <c r="DSJ23" s="30">
        <f t="shared" si="50"/>
        <v>139645</v>
      </c>
      <c r="DSK23" s="30">
        <f t="shared" si="50"/>
        <v>139676</v>
      </c>
      <c r="DSL23" s="30">
        <f t="shared" si="50"/>
        <v>139706</v>
      </c>
      <c r="DSM23" s="30">
        <f t="shared" si="50"/>
        <v>139737</v>
      </c>
      <c r="DSN23" s="30">
        <f t="shared" si="50"/>
        <v>139768</v>
      </c>
      <c r="DSO23" s="30">
        <f t="shared" si="50"/>
        <v>139798</v>
      </c>
      <c r="DSP23" s="30">
        <f t="shared" si="50"/>
        <v>139829</v>
      </c>
      <c r="DSQ23" s="30">
        <f t="shared" si="50"/>
        <v>139859</v>
      </c>
      <c r="DSR23" s="30">
        <f t="shared" si="50"/>
        <v>139890</v>
      </c>
      <c r="DSS23" s="30">
        <f t="shared" si="50"/>
        <v>139921</v>
      </c>
      <c r="DST23" s="30">
        <f t="shared" si="50"/>
        <v>139949</v>
      </c>
      <c r="DSU23" s="30">
        <f t="shared" si="50"/>
        <v>139980</v>
      </c>
      <c r="DSV23" s="30">
        <f t="shared" si="50"/>
        <v>140010</v>
      </c>
      <c r="DSW23" s="30">
        <f t="shared" si="50"/>
        <v>140041</v>
      </c>
      <c r="DSX23" s="30">
        <f t="shared" si="50"/>
        <v>140071</v>
      </c>
      <c r="DSY23" s="30">
        <f t="shared" si="50"/>
        <v>140102</v>
      </c>
      <c r="DSZ23" s="30">
        <f t="shared" si="50"/>
        <v>140133</v>
      </c>
      <c r="DTA23" s="30">
        <f t="shared" si="50"/>
        <v>140163</v>
      </c>
      <c r="DTB23" s="30">
        <f t="shared" si="50"/>
        <v>140194</v>
      </c>
      <c r="DTC23" s="30">
        <f t="shared" si="50"/>
        <v>140224</v>
      </c>
      <c r="DTD23" s="30">
        <f t="shared" si="50"/>
        <v>140255</v>
      </c>
      <c r="DTE23" s="30">
        <f t="shared" si="50"/>
        <v>140286</v>
      </c>
      <c r="DTF23" s="30">
        <f t="shared" si="50"/>
        <v>140315</v>
      </c>
      <c r="DTG23" s="30">
        <f t="shared" si="50"/>
        <v>140346</v>
      </c>
      <c r="DTH23" s="30">
        <f t="shared" si="50"/>
        <v>140376</v>
      </c>
      <c r="DTI23" s="30">
        <f t="shared" si="50"/>
        <v>140407</v>
      </c>
      <c r="DTJ23" s="30">
        <f t="shared" si="50"/>
        <v>140437</v>
      </c>
      <c r="DTK23" s="30">
        <f t="shared" si="50"/>
        <v>140468</v>
      </c>
      <c r="DTL23" s="30">
        <f t="shared" si="50"/>
        <v>140499</v>
      </c>
      <c r="DTM23" s="30">
        <f t="shared" si="50"/>
        <v>140529</v>
      </c>
      <c r="DTN23" s="30">
        <f t="shared" si="50"/>
        <v>140560</v>
      </c>
      <c r="DTO23" s="30">
        <f t="shared" si="50"/>
        <v>140590</v>
      </c>
      <c r="DTP23" s="30">
        <f t="shared" si="50"/>
        <v>140621</v>
      </c>
      <c r="DTQ23" s="30">
        <f t="shared" si="50"/>
        <v>140652</v>
      </c>
      <c r="DTR23" s="30">
        <f t="shared" si="50"/>
        <v>140680</v>
      </c>
      <c r="DTS23" s="30">
        <f t="shared" si="50"/>
        <v>140711</v>
      </c>
      <c r="DTT23" s="30">
        <f t="shared" si="50"/>
        <v>140741</v>
      </c>
      <c r="DTU23" s="30">
        <f t="shared" si="50"/>
        <v>140772</v>
      </c>
      <c r="DTV23" s="30">
        <f t="shared" si="50"/>
        <v>140802</v>
      </c>
      <c r="DTW23" s="30">
        <f t="shared" si="50"/>
        <v>140833</v>
      </c>
      <c r="DTX23" s="30">
        <f t="shared" si="50"/>
        <v>140864</v>
      </c>
      <c r="DTY23" s="30">
        <f t="shared" si="50"/>
        <v>140894</v>
      </c>
      <c r="DTZ23" s="30">
        <f t="shared" si="50"/>
        <v>140925</v>
      </c>
      <c r="DUA23" s="30">
        <f t="shared" si="50"/>
        <v>140955</v>
      </c>
      <c r="DUB23" s="30">
        <f t="shared" si="50"/>
        <v>140986</v>
      </c>
      <c r="DUC23" s="30">
        <f t="shared" si="50"/>
        <v>141017</v>
      </c>
      <c r="DUD23" s="30">
        <f t="shared" si="50"/>
        <v>141045</v>
      </c>
      <c r="DUE23" s="30">
        <f t="shared" si="50"/>
        <v>141076</v>
      </c>
      <c r="DUF23" s="30">
        <f t="shared" si="50"/>
        <v>141106</v>
      </c>
      <c r="DUG23" s="30">
        <f t="shared" si="50"/>
        <v>141137</v>
      </c>
      <c r="DUH23" s="30">
        <f t="shared" si="50"/>
        <v>141167</v>
      </c>
      <c r="DUI23" s="30">
        <f t="shared" si="50"/>
        <v>141198</v>
      </c>
      <c r="DUJ23" s="30">
        <f t="shared" si="50"/>
        <v>141229</v>
      </c>
      <c r="DUK23" s="30">
        <f t="shared" si="50"/>
        <v>141259</v>
      </c>
      <c r="DUL23" s="30">
        <f t="shared" si="50"/>
        <v>141290</v>
      </c>
      <c r="DUM23" s="30">
        <f t="shared" si="50"/>
        <v>141320</v>
      </c>
      <c r="DUN23" s="30">
        <f t="shared" si="50"/>
        <v>141351</v>
      </c>
      <c r="DUO23" s="30">
        <f t="shared" si="50"/>
        <v>141382</v>
      </c>
      <c r="DUP23" s="30">
        <f t="shared" si="50"/>
        <v>141410</v>
      </c>
      <c r="DUQ23" s="30">
        <f t="shared" si="50"/>
        <v>141441</v>
      </c>
      <c r="DUR23" s="30">
        <f t="shared" ref="DUR23:DXC23" si="51">EDATE(DUQ23,1)</f>
        <v>141471</v>
      </c>
      <c r="DUS23" s="30">
        <f t="shared" si="51"/>
        <v>141502</v>
      </c>
      <c r="DUT23" s="30">
        <f t="shared" si="51"/>
        <v>141532</v>
      </c>
      <c r="DUU23" s="30">
        <f t="shared" si="51"/>
        <v>141563</v>
      </c>
      <c r="DUV23" s="30">
        <f t="shared" si="51"/>
        <v>141594</v>
      </c>
      <c r="DUW23" s="30">
        <f t="shared" si="51"/>
        <v>141624</v>
      </c>
      <c r="DUX23" s="30">
        <f t="shared" si="51"/>
        <v>141655</v>
      </c>
      <c r="DUY23" s="30">
        <f t="shared" si="51"/>
        <v>141685</v>
      </c>
      <c r="DUZ23" s="30">
        <f t="shared" si="51"/>
        <v>141716</v>
      </c>
      <c r="DVA23" s="30">
        <f t="shared" si="51"/>
        <v>141747</v>
      </c>
      <c r="DVB23" s="30">
        <f t="shared" si="51"/>
        <v>141776</v>
      </c>
      <c r="DVC23" s="30">
        <f t="shared" si="51"/>
        <v>141807</v>
      </c>
      <c r="DVD23" s="30">
        <f t="shared" si="51"/>
        <v>141837</v>
      </c>
      <c r="DVE23" s="30">
        <f t="shared" si="51"/>
        <v>141868</v>
      </c>
      <c r="DVF23" s="30">
        <f t="shared" si="51"/>
        <v>141898</v>
      </c>
      <c r="DVG23" s="30">
        <f t="shared" si="51"/>
        <v>141929</v>
      </c>
      <c r="DVH23" s="30">
        <f t="shared" si="51"/>
        <v>141960</v>
      </c>
      <c r="DVI23" s="30">
        <f t="shared" si="51"/>
        <v>141990</v>
      </c>
      <c r="DVJ23" s="30">
        <f t="shared" si="51"/>
        <v>142021</v>
      </c>
      <c r="DVK23" s="30">
        <f t="shared" si="51"/>
        <v>142051</v>
      </c>
      <c r="DVL23" s="30">
        <f t="shared" si="51"/>
        <v>142082</v>
      </c>
      <c r="DVM23" s="30">
        <f t="shared" si="51"/>
        <v>142113</v>
      </c>
      <c r="DVN23" s="30">
        <f t="shared" si="51"/>
        <v>142141</v>
      </c>
      <c r="DVO23" s="30">
        <f t="shared" si="51"/>
        <v>142172</v>
      </c>
      <c r="DVP23" s="30">
        <f t="shared" si="51"/>
        <v>142202</v>
      </c>
      <c r="DVQ23" s="30">
        <f t="shared" si="51"/>
        <v>142233</v>
      </c>
      <c r="DVR23" s="30">
        <f t="shared" si="51"/>
        <v>142263</v>
      </c>
      <c r="DVS23" s="30">
        <f t="shared" si="51"/>
        <v>142294</v>
      </c>
      <c r="DVT23" s="30">
        <f t="shared" si="51"/>
        <v>142325</v>
      </c>
      <c r="DVU23" s="30">
        <f t="shared" si="51"/>
        <v>142355</v>
      </c>
      <c r="DVV23" s="30">
        <f t="shared" si="51"/>
        <v>142386</v>
      </c>
      <c r="DVW23" s="30">
        <f t="shared" si="51"/>
        <v>142416</v>
      </c>
      <c r="DVX23" s="30">
        <f t="shared" si="51"/>
        <v>142447</v>
      </c>
      <c r="DVY23" s="30">
        <f t="shared" si="51"/>
        <v>142478</v>
      </c>
      <c r="DVZ23" s="30">
        <f t="shared" si="51"/>
        <v>142506</v>
      </c>
      <c r="DWA23" s="30">
        <f t="shared" si="51"/>
        <v>142537</v>
      </c>
      <c r="DWB23" s="30">
        <f t="shared" si="51"/>
        <v>142567</v>
      </c>
      <c r="DWC23" s="30">
        <f t="shared" si="51"/>
        <v>142598</v>
      </c>
      <c r="DWD23" s="30">
        <f t="shared" si="51"/>
        <v>142628</v>
      </c>
      <c r="DWE23" s="30">
        <f t="shared" si="51"/>
        <v>142659</v>
      </c>
      <c r="DWF23" s="30">
        <f t="shared" si="51"/>
        <v>142690</v>
      </c>
      <c r="DWG23" s="30">
        <f t="shared" si="51"/>
        <v>142720</v>
      </c>
      <c r="DWH23" s="30">
        <f t="shared" si="51"/>
        <v>142751</v>
      </c>
      <c r="DWI23" s="30">
        <f t="shared" si="51"/>
        <v>142781</v>
      </c>
      <c r="DWJ23" s="30">
        <f t="shared" si="51"/>
        <v>142812</v>
      </c>
      <c r="DWK23" s="30">
        <f t="shared" si="51"/>
        <v>142843</v>
      </c>
      <c r="DWL23" s="30">
        <f t="shared" si="51"/>
        <v>142871</v>
      </c>
      <c r="DWM23" s="30">
        <f t="shared" si="51"/>
        <v>142902</v>
      </c>
      <c r="DWN23" s="30">
        <f t="shared" si="51"/>
        <v>142932</v>
      </c>
      <c r="DWO23" s="30">
        <f t="shared" si="51"/>
        <v>142963</v>
      </c>
      <c r="DWP23" s="30">
        <f t="shared" si="51"/>
        <v>142993</v>
      </c>
      <c r="DWQ23" s="30">
        <f t="shared" si="51"/>
        <v>143024</v>
      </c>
      <c r="DWR23" s="30">
        <f t="shared" si="51"/>
        <v>143055</v>
      </c>
      <c r="DWS23" s="30">
        <f t="shared" si="51"/>
        <v>143085</v>
      </c>
      <c r="DWT23" s="30">
        <f t="shared" si="51"/>
        <v>143116</v>
      </c>
      <c r="DWU23" s="30">
        <f t="shared" si="51"/>
        <v>143146</v>
      </c>
      <c r="DWV23" s="30">
        <f t="shared" si="51"/>
        <v>143177</v>
      </c>
      <c r="DWW23" s="30">
        <f t="shared" si="51"/>
        <v>143208</v>
      </c>
      <c r="DWX23" s="30">
        <f t="shared" si="51"/>
        <v>143237</v>
      </c>
      <c r="DWY23" s="30">
        <f t="shared" si="51"/>
        <v>143268</v>
      </c>
      <c r="DWZ23" s="30">
        <f t="shared" si="51"/>
        <v>143298</v>
      </c>
      <c r="DXA23" s="30">
        <f t="shared" si="51"/>
        <v>143329</v>
      </c>
      <c r="DXB23" s="30">
        <f t="shared" si="51"/>
        <v>143359</v>
      </c>
      <c r="DXC23" s="30">
        <f t="shared" si="51"/>
        <v>143390</v>
      </c>
      <c r="DXD23" s="30">
        <f t="shared" ref="DXD23:DZO23" si="52">EDATE(DXC23,1)</f>
        <v>143421</v>
      </c>
      <c r="DXE23" s="30">
        <f t="shared" si="52"/>
        <v>143451</v>
      </c>
      <c r="DXF23" s="30">
        <f t="shared" si="52"/>
        <v>143482</v>
      </c>
      <c r="DXG23" s="30">
        <f t="shared" si="52"/>
        <v>143512</v>
      </c>
      <c r="DXH23" s="30">
        <f t="shared" si="52"/>
        <v>143543</v>
      </c>
      <c r="DXI23" s="30">
        <f t="shared" si="52"/>
        <v>143574</v>
      </c>
      <c r="DXJ23" s="30">
        <f t="shared" si="52"/>
        <v>143602</v>
      </c>
      <c r="DXK23" s="30">
        <f t="shared" si="52"/>
        <v>143633</v>
      </c>
      <c r="DXL23" s="30">
        <f t="shared" si="52"/>
        <v>143663</v>
      </c>
      <c r="DXM23" s="30">
        <f t="shared" si="52"/>
        <v>143694</v>
      </c>
      <c r="DXN23" s="30">
        <f t="shared" si="52"/>
        <v>143724</v>
      </c>
      <c r="DXO23" s="30">
        <f t="shared" si="52"/>
        <v>143755</v>
      </c>
      <c r="DXP23" s="30">
        <f t="shared" si="52"/>
        <v>143786</v>
      </c>
      <c r="DXQ23" s="30">
        <f t="shared" si="52"/>
        <v>143816</v>
      </c>
      <c r="DXR23" s="30">
        <f t="shared" si="52"/>
        <v>143847</v>
      </c>
      <c r="DXS23" s="30">
        <f t="shared" si="52"/>
        <v>143877</v>
      </c>
      <c r="DXT23" s="30">
        <f t="shared" si="52"/>
        <v>143908</v>
      </c>
      <c r="DXU23" s="30">
        <f t="shared" si="52"/>
        <v>143939</v>
      </c>
      <c r="DXV23" s="30">
        <f t="shared" si="52"/>
        <v>143967</v>
      </c>
      <c r="DXW23" s="30">
        <f t="shared" si="52"/>
        <v>143998</v>
      </c>
      <c r="DXX23" s="30">
        <f t="shared" si="52"/>
        <v>144028</v>
      </c>
      <c r="DXY23" s="30">
        <f t="shared" si="52"/>
        <v>144059</v>
      </c>
      <c r="DXZ23" s="30">
        <f t="shared" si="52"/>
        <v>144089</v>
      </c>
      <c r="DYA23" s="30">
        <f t="shared" si="52"/>
        <v>144120</v>
      </c>
      <c r="DYB23" s="30">
        <f t="shared" si="52"/>
        <v>144151</v>
      </c>
      <c r="DYC23" s="30">
        <f t="shared" si="52"/>
        <v>144181</v>
      </c>
      <c r="DYD23" s="30">
        <f t="shared" si="52"/>
        <v>144212</v>
      </c>
      <c r="DYE23" s="30">
        <f t="shared" si="52"/>
        <v>144242</v>
      </c>
      <c r="DYF23" s="30">
        <f t="shared" si="52"/>
        <v>144273</v>
      </c>
      <c r="DYG23" s="30">
        <f t="shared" si="52"/>
        <v>144304</v>
      </c>
      <c r="DYH23" s="30">
        <f t="shared" si="52"/>
        <v>144332</v>
      </c>
      <c r="DYI23" s="30">
        <f t="shared" si="52"/>
        <v>144363</v>
      </c>
      <c r="DYJ23" s="30">
        <f t="shared" si="52"/>
        <v>144393</v>
      </c>
      <c r="DYK23" s="30">
        <f t="shared" si="52"/>
        <v>144424</v>
      </c>
      <c r="DYL23" s="30">
        <f t="shared" si="52"/>
        <v>144454</v>
      </c>
      <c r="DYM23" s="30">
        <f t="shared" si="52"/>
        <v>144485</v>
      </c>
      <c r="DYN23" s="30">
        <f t="shared" si="52"/>
        <v>144516</v>
      </c>
      <c r="DYO23" s="30">
        <f t="shared" si="52"/>
        <v>144546</v>
      </c>
      <c r="DYP23" s="30">
        <f t="shared" si="52"/>
        <v>144577</v>
      </c>
      <c r="DYQ23" s="30">
        <f t="shared" si="52"/>
        <v>144607</v>
      </c>
      <c r="DYR23" s="30">
        <f t="shared" si="52"/>
        <v>144638</v>
      </c>
      <c r="DYS23" s="30">
        <f t="shared" si="52"/>
        <v>144669</v>
      </c>
      <c r="DYT23" s="30">
        <f t="shared" si="52"/>
        <v>144698</v>
      </c>
      <c r="DYU23" s="30">
        <f t="shared" si="52"/>
        <v>144729</v>
      </c>
      <c r="DYV23" s="30">
        <f t="shared" si="52"/>
        <v>144759</v>
      </c>
      <c r="DYW23" s="30">
        <f t="shared" si="52"/>
        <v>144790</v>
      </c>
      <c r="DYX23" s="30">
        <f t="shared" si="52"/>
        <v>144820</v>
      </c>
      <c r="DYY23" s="30">
        <f t="shared" si="52"/>
        <v>144851</v>
      </c>
      <c r="DYZ23" s="30">
        <f t="shared" si="52"/>
        <v>144882</v>
      </c>
      <c r="DZA23" s="30">
        <f t="shared" si="52"/>
        <v>144912</v>
      </c>
      <c r="DZB23" s="30">
        <f t="shared" si="52"/>
        <v>144943</v>
      </c>
      <c r="DZC23" s="30">
        <f t="shared" si="52"/>
        <v>144973</v>
      </c>
      <c r="DZD23" s="30">
        <f t="shared" si="52"/>
        <v>145004</v>
      </c>
      <c r="DZE23" s="30">
        <f t="shared" si="52"/>
        <v>145035</v>
      </c>
      <c r="DZF23" s="30">
        <f t="shared" si="52"/>
        <v>145063</v>
      </c>
      <c r="DZG23" s="30">
        <f t="shared" si="52"/>
        <v>145094</v>
      </c>
      <c r="DZH23" s="30">
        <f t="shared" si="52"/>
        <v>145124</v>
      </c>
      <c r="DZI23" s="30">
        <f t="shared" si="52"/>
        <v>145155</v>
      </c>
      <c r="DZJ23" s="30">
        <f t="shared" si="52"/>
        <v>145185</v>
      </c>
      <c r="DZK23" s="30">
        <f t="shared" si="52"/>
        <v>145216</v>
      </c>
      <c r="DZL23" s="30">
        <f t="shared" si="52"/>
        <v>145247</v>
      </c>
      <c r="DZM23" s="30">
        <f t="shared" si="52"/>
        <v>145277</v>
      </c>
      <c r="DZN23" s="30">
        <f t="shared" si="52"/>
        <v>145308</v>
      </c>
      <c r="DZO23" s="30">
        <f t="shared" si="52"/>
        <v>145338</v>
      </c>
      <c r="DZP23" s="30">
        <f t="shared" ref="DZP23:ECA23" si="53">EDATE(DZO23,1)</f>
        <v>145369</v>
      </c>
      <c r="DZQ23" s="30">
        <f t="shared" si="53"/>
        <v>145400</v>
      </c>
      <c r="DZR23" s="30">
        <f t="shared" si="53"/>
        <v>145428</v>
      </c>
      <c r="DZS23" s="30">
        <f t="shared" si="53"/>
        <v>145459</v>
      </c>
      <c r="DZT23" s="30">
        <f t="shared" si="53"/>
        <v>145489</v>
      </c>
      <c r="DZU23" s="30">
        <f t="shared" si="53"/>
        <v>145520</v>
      </c>
      <c r="DZV23" s="30">
        <f t="shared" si="53"/>
        <v>145550</v>
      </c>
      <c r="DZW23" s="30">
        <f t="shared" si="53"/>
        <v>145581</v>
      </c>
      <c r="DZX23" s="30">
        <f t="shared" si="53"/>
        <v>145612</v>
      </c>
      <c r="DZY23" s="30">
        <f t="shared" si="53"/>
        <v>145642</v>
      </c>
      <c r="DZZ23" s="30">
        <f t="shared" si="53"/>
        <v>145673</v>
      </c>
      <c r="EAA23" s="30">
        <f t="shared" si="53"/>
        <v>145703</v>
      </c>
      <c r="EAB23" s="30">
        <f t="shared" si="53"/>
        <v>145734</v>
      </c>
      <c r="EAC23" s="30">
        <f t="shared" si="53"/>
        <v>145765</v>
      </c>
      <c r="EAD23" s="30">
        <f t="shared" si="53"/>
        <v>145793</v>
      </c>
      <c r="EAE23" s="30">
        <f t="shared" si="53"/>
        <v>145824</v>
      </c>
      <c r="EAF23" s="30">
        <f t="shared" si="53"/>
        <v>145854</v>
      </c>
      <c r="EAG23" s="30">
        <f t="shared" si="53"/>
        <v>145885</v>
      </c>
      <c r="EAH23" s="30">
        <f t="shared" si="53"/>
        <v>145915</v>
      </c>
      <c r="EAI23" s="30">
        <f t="shared" si="53"/>
        <v>145946</v>
      </c>
      <c r="EAJ23" s="30">
        <f t="shared" si="53"/>
        <v>145977</v>
      </c>
      <c r="EAK23" s="30">
        <f t="shared" si="53"/>
        <v>146007</v>
      </c>
      <c r="EAL23" s="30">
        <f t="shared" si="53"/>
        <v>146038</v>
      </c>
      <c r="EAM23" s="30">
        <f t="shared" si="53"/>
        <v>146068</v>
      </c>
      <c r="EAN23" s="30">
        <f t="shared" si="53"/>
        <v>146099</v>
      </c>
      <c r="EAO23" s="30">
        <f t="shared" si="53"/>
        <v>146130</v>
      </c>
      <c r="EAP23" s="30">
        <f t="shared" si="53"/>
        <v>146158</v>
      </c>
      <c r="EAQ23" s="30">
        <f t="shared" si="53"/>
        <v>146189</v>
      </c>
      <c r="EAR23" s="30">
        <f t="shared" si="53"/>
        <v>146219</v>
      </c>
      <c r="EAS23" s="30">
        <f t="shared" si="53"/>
        <v>146250</v>
      </c>
      <c r="EAT23" s="30">
        <f t="shared" si="53"/>
        <v>146280</v>
      </c>
      <c r="EAU23" s="30">
        <f t="shared" si="53"/>
        <v>146311</v>
      </c>
      <c r="EAV23" s="30">
        <f t="shared" si="53"/>
        <v>146342</v>
      </c>
      <c r="EAW23" s="30">
        <f t="shared" si="53"/>
        <v>146372</v>
      </c>
      <c r="EAX23" s="30">
        <f t="shared" si="53"/>
        <v>146403</v>
      </c>
      <c r="EAY23" s="30">
        <f t="shared" si="53"/>
        <v>146433</v>
      </c>
      <c r="EAZ23" s="30">
        <f t="shared" si="53"/>
        <v>146464</v>
      </c>
      <c r="EBA23" s="30">
        <f t="shared" si="53"/>
        <v>146495</v>
      </c>
      <c r="EBB23" s="30">
        <f t="shared" si="53"/>
        <v>146523</v>
      </c>
      <c r="EBC23" s="30">
        <f t="shared" si="53"/>
        <v>146554</v>
      </c>
      <c r="EBD23" s="30">
        <f t="shared" si="53"/>
        <v>146584</v>
      </c>
      <c r="EBE23" s="30">
        <f t="shared" si="53"/>
        <v>146615</v>
      </c>
      <c r="EBF23" s="30">
        <f t="shared" si="53"/>
        <v>146645</v>
      </c>
      <c r="EBG23" s="30">
        <f t="shared" si="53"/>
        <v>146676</v>
      </c>
      <c r="EBH23" s="30">
        <f t="shared" si="53"/>
        <v>146707</v>
      </c>
      <c r="EBI23" s="30">
        <f t="shared" si="53"/>
        <v>146737</v>
      </c>
      <c r="EBJ23" s="30">
        <f t="shared" si="53"/>
        <v>146768</v>
      </c>
      <c r="EBK23" s="30">
        <f t="shared" si="53"/>
        <v>146798</v>
      </c>
      <c r="EBL23" s="30">
        <f t="shared" si="53"/>
        <v>146829</v>
      </c>
      <c r="EBM23" s="30">
        <f t="shared" si="53"/>
        <v>146860</v>
      </c>
      <c r="EBN23" s="30">
        <f t="shared" si="53"/>
        <v>146888</v>
      </c>
      <c r="EBO23" s="30">
        <f t="shared" si="53"/>
        <v>146919</v>
      </c>
      <c r="EBP23" s="30">
        <f t="shared" si="53"/>
        <v>146949</v>
      </c>
      <c r="EBQ23" s="30">
        <f t="shared" si="53"/>
        <v>146980</v>
      </c>
      <c r="EBR23" s="30">
        <f t="shared" si="53"/>
        <v>147010</v>
      </c>
      <c r="EBS23" s="30">
        <f t="shared" si="53"/>
        <v>147041</v>
      </c>
      <c r="EBT23" s="30">
        <f t="shared" si="53"/>
        <v>147072</v>
      </c>
      <c r="EBU23" s="30">
        <f t="shared" si="53"/>
        <v>147102</v>
      </c>
      <c r="EBV23" s="30">
        <f t="shared" si="53"/>
        <v>147133</v>
      </c>
      <c r="EBW23" s="30">
        <f t="shared" si="53"/>
        <v>147163</v>
      </c>
      <c r="EBX23" s="30">
        <f t="shared" si="53"/>
        <v>147194</v>
      </c>
      <c r="EBY23" s="30">
        <f t="shared" si="53"/>
        <v>147225</v>
      </c>
      <c r="EBZ23" s="30">
        <f t="shared" si="53"/>
        <v>147253</v>
      </c>
      <c r="ECA23" s="30">
        <f t="shared" si="53"/>
        <v>147284</v>
      </c>
      <c r="ECB23" s="30">
        <f t="shared" ref="ECB23:EEM23" si="54">EDATE(ECA23,1)</f>
        <v>147314</v>
      </c>
      <c r="ECC23" s="30">
        <f t="shared" si="54"/>
        <v>147345</v>
      </c>
      <c r="ECD23" s="30">
        <f t="shared" si="54"/>
        <v>147375</v>
      </c>
      <c r="ECE23" s="30">
        <f t="shared" si="54"/>
        <v>147406</v>
      </c>
      <c r="ECF23" s="30">
        <f t="shared" si="54"/>
        <v>147437</v>
      </c>
      <c r="ECG23" s="30">
        <f t="shared" si="54"/>
        <v>147467</v>
      </c>
      <c r="ECH23" s="30">
        <f t="shared" si="54"/>
        <v>147498</v>
      </c>
      <c r="ECI23" s="30">
        <f t="shared" si="54"/>
        <v>147528</v>
      </c>
      <c r="ECJ23" s="30">
        <f t="shared" si="54"/>
        <v>147559</v>
      </c>
      <c r="ECK23" s="30">
        <f t="shared" si="54"/>
        <v>147590</v>
      </c>
      <c r="ECL23" s="30">
        <f t="shared" si="54"/>
        <v>147619</v>
      </c>
      <c r="ECM23" s="30">
        <f t="shared" si="54"/>
        <v>147650</v>
      </c>
      <c r="ECN23" s="30">
        <f t="shared" si="54"/>
        <v>147680</v>
      </c>
      <c r="ECO23" s="30">
        <f t="shared" si="54"/>
        <v>147711</v>
      </c>
      <c r="ECP23" s="30">
        <f t="shared" si="54"/>
        <v>147741</v>
      </c>
      <c r="ECQ23" s="30">
        <f t="shared" si="54"/>
        <v>147772</v>
      </c>
      <c r="ECR23" s="30">
        <f t="shared" si="54"/>
        <v>147803</v>
      </c>
      <c r="ECS23" s="30">
        <f t="shared" si="54"/>
        <v>147833</v>
      </c>
      <c r="ECT23" s="30">
        <f t="shared" si="54"/>
        <v>147864</v>
      </c>
      <c r="ECU23" s="30">
        <f t="shared" si="54"/>
        <v>147894</v>
      </c>
      <c r="ECV23" s="30">
        <f t="shared" si="54"/>
        <v>147925</v>
      </c>
      <c r="ECW23" s="30">
        <f t="shared" si="54"/>
        <v>147956</v>
      </c>
      <c r="ECX23" s="30">
        <f t="shared" si="54"/>
        <v>147984</v>
      </c>
      <c r="ECY23" s="30">
        <f t="shared" si="54"/>
        <v>148015</v>
      </c>
      <c r="ECZ23" s="30">
        <f t="shared" si="54"/>
        <v>148045</v>
      </c>
      <c r="EDA23" s="30">
        <f t="shared" si="54"/>
        <v>148076</v>
      </c>
      <c r="EDB23" s="30">
        <f t="shared" si="54"/>
        <v>148106</v>
      </c>
      <c r="EDC23" s="30">
        <f t="shared" si="54"/>
        <v>148137</v>
      </c>
      <c r="EDD23" s="30">
        <f t="shared" si="54"/>
        <v>148168</v>
      </c>
      <c r="EDE23" s="30">
        <f t="shared" si="54"/>
        <v>148198</v>
      </c>
      <c r="EDF23" s="30">
        <f t="shared" si="54"/>
        <v>148229</v>
      </c>
      <c r="EDG23" s="30">
        <f t="shared" si="54"/>
        <v>148259</v>
      </c>
      <c r="EDH23" s="30">
        <f t="shared" si="54"/>
        <v>148290</v>
      </c>
      <c r="EDI23" s="30">
        <f t="shared" si="54"/>
        <v>148321</v>
      </c>
      <c r="EDJ23" s="30">
        <f t="shared" si="54"/>
        <v>148349</v>
      </c>
      <c r="EDK23" s="30">
        <f t="shared" si="54"/>
        <v>148380</v>
      </c>
      <c r="EDL23" s="30">
        <f t="shared" si="54"/>
        <v>148410</v>
      </c>
      <c r="EDM23" s="30">
        <f t="shared" si="54"/>
        <v>148441</v>
      </c>
      <c r="EDN23" s="30">
        <f t="shared" si="54"/>
        <v>148471</v>
      </c>
      <c r="EDO23" s="30">
        <f t="shared" si="54"/>
        <v>148502</v>
      </c>
      <c r="EDP23" s="30">
        <f t="shared" si="54"/>
        <v>148533</v>
      </c>
      <c r="EDQ23" s="30">
        <f t="shared" si="54"/>
        <v>148563</v>
      </c>
      <c r="EDR23" s="30">
        <f t="shared" si="54"/>
        <v>148594</v>
      </c>
      <c r="EDS23" s="30">
        <f t="shared" si="54"/>
        <v>148624</v>
      </c>
      <c r="EDT23" s="30">
        <f t="shared" si="54"/>
        <v>148655</v>
      </c>
      <c r="EDU23" s="30">
        <f t="shared" si="54"/>
        <v>148686</v>
      </c>
      <c r="EDV23" s="30">
        <f t="shared" si="54"/>
        <v>148714</v>
      </c>
      <c r="EDW23" s="30">
        <f t="shared" si="54"/>
        <v>148745</v>
      </c>
      <c r="EDX23" s="30">
        <f t="shared" si="54"/>
        <v>148775</v>
      </c>
      <c r="EDY23" s="30">
        <f t="shared" si="54"/>
        <v>148806</v>
      </c>
      <c r="EDZ23" s="30">
        <f t="shared" si="54"/>
        <v>148836</v>
      </c>
      <c r="EEA23" s="30">
        <f t="shared" si="54"/>
        <v>148867</v>
      </c>
      <c r="EEB23" s="30">
        <f t="shared" si="54"/>
        <v>148898</v>
      </c>
      <c r="EEC23" s="30">
        <f t="shared" si="54"/>
        <v>148928</v>
      </c>
      <c r="EED23" s="30">
        <f t="shared" si="54"/>
        <v>148959</v>
      </c>
      <c r="EEE23" s="30">
        <f t="shared" si="54"/>
        <v>148989</v>
      </c>
      <c r="EEF23" s="30">
        <f t="shared" si="54"/>
        <v>149020</v>
      </c>
      <c r="EEG23" s="30">
        <f t="shared" si="54"/>
        <v>149051</v>
      </c>
      <c r="EEH23" s="30">
        <f t="shared" si="54"/>
        <v>149080</v>
      </c>
      <c r="EEI23" s="30">
        <f t="shared" si="54"/>
        <v>149111</v>
      </c>
      <c r="EEJ23" s="30">
        <f t="shared" si="54"/>
        <v>149141</v>
      </c>
      <c r="EEK23" s="30">
        <f t="shared" si="54"/>
        <v>149172</v>
      </c>
      <c r="EEL23" s="30">
        <f t="shared" si="54"/>
        <v>149202</v>
      </c>
      <c r="EEM23" s="30">
        <f t="shared" si="54"/>
        <v>149233</v>
      </c>
      <c r="EEN23" s="30">
        <f t="shared" ref="EEN23:EGY23" si="55">EDATE(EEM23,1)</f>
        <v>149264</v>
      </c>
      <c r="EEO23" s="30">
        <f t="shared" si="55"/>
        <v>149294</v>
      </c>
      <c r="EEP23" s="30">
        <f t="shared" si="55"/>
        <v>149325</v>
      </c>
      <c r="EEQ23" s="30">
        <f t="shared" si="55"/>
        <v>149355</v>
      </c>
      <c r="EER23" s="30">
        <f t="shared" si="55"/>
        <v>149386</v>
      </c>
      <c r="EES23" s="30">
        <f t="shared" si="55"/>
        <v>149417</v>
      </c>
      <c r="EET23" s="30">
        <f t="shared" si="55"/>
        <v>149445</v>
      </c>
      <c r="EEU23" s="30">
        <f t="shared" si="55"/>
        <v>149476</v>
      </c>
      <c r="EEV23" s="30">
        <f t="shared" si="55"/>
        <v>149506</v>
      </c>
      <c r="EEW23" s="30">
        <f t="shared" si="55"/>
        <v>149537</v>
      </c>
      <c r="EEX23" s="30">
        <f t="shared" si="55"/>
        <v>149567</v>
      </c>
      <c r="EEY23" s="30">
        <f t="shared" si="55"/>
        <v>149598</v>
      </c>
      <c r="EEZ23" s="30">
        <f t="shared" si="55"/>
        <v>149629</v>
      </c>
      <c r="EFA23" s="30">
        <f t="shared" si="55"/>
        <v>149659</v>
      </c>
      <c r="EFB23" s="30">
        <f t="shared" si="55"/>
        <v>149690</v>
      </c>
      <c r="EFC23" s="30">
        <f t="shared" si="55"/>
        <v>149720</v>
      </c>
      <c r="EFD23" s="30">
        <f t="shared" si="55"/>
        <v>149751</v>
      </c>
      <c r="EFE23" s="30">
        <f t="shared" si="55"/>
        <v>149782</v>
      </c>
      <c r="EFF23" s="30">
        <f t="shared" si="55"/>
        <v>149810</v>
      </c>
      <c r="EFG23" s="30">
        <f t="shared" si="55"/>
        <v>149841</v>
      </c>
      <c r="EFH23" s="30">
        <f t="shared" si="55"/>
        <v>149871</v>
      </c>
      <c r="EFI23" s="30">
        <f t="shared" si="55"/>
        <v>149902</v>
      </c>
      <c r="EFJ23" s="30">
        <f t="shared" si="55"/>
        <v>149932</v>
      </c>
      <c r="EFK23" s="30">
        <f t="shared" si="55"/>
        <v>149963</v>
      </c>
      <c r="EFL23" s="30">
        <f t="shared" si="55"/>
        <v>149994</v>
      </c>
      <c r="EFM23" s="30">
        <f t="shared" si="55"/>
        <v>150024</v>
      </c>
      <c r="EFN23" s="30">
        <f t="shared" si="55"/>
        <v>150055</v>
      </c>
      <c r="EFO23" s="30">
        <f t="shared" si="55"/>
        <v>150085</v>
      </c>
      <c r="EFP23" s="30">
        <f t="shared" si="55"/>
        <v>150116</v>
      </c>
      <c r="EFQ23" s="30">
        <f t="shared" si="55"/>
        <v>150147</v>
      </c>
      <c r="EFR23" s="30">
        <f t="shared" si="55"/>
        <v>150175</v>
      </c>
      <c r="EFS23" s="30">
        <f t="shared" si="55"/>
        <v>150206</v>
      </c>
      <c r="EFT23" s="30">
        <f t="shared" si="55"/>
        <v>150236</v>
      </c>
      <c r="EFU23" s="30">
        <f t="shared" si="55"/>
        <v>150267</v>
      </c>
      <c r="EFV23" s="30">
        <f t="shared" si="55"/>
        <v>150297</v>
      </c>
      <c r="EFW23" s="30">
        <f t="shared" si="55"/>
        <v>150328</v>
      </c>
      <c r="EFX23" s="30">
        <f t="shared" si="55"/>
        <v>150359</v>
      </c>
      <c r="EFY23" s="30">
        <f t="shared" si="55"/>
        <v>150389</v>
      </c>
      <c r="EFZ23" s="30">
        <f t="shared" si="55"/>
        <v>150420</v>
      </c>
      <c r="EGA23" s="30">
        <f t="shared" si="55"/>
        <v>150450</v>
      </c>
      <c r="EGB23" s="30">
        <f t="shared" si="55"/>
        <v>150481</v>
      </c>
      <c r="EGC23" s="30">
        <f t="shared" si="55"/>
        <v>150512</v>
      </c>
      <c r="EGD23" s="30">
        <f t="shared" si="55"/>
        <v>150541</v>
      </c>
      <c r="EGE23" s="30">
        <f t="shared" si="55"/>
        <v>150572</v>
      </c>
      <c r="EGF23" s="30">
        <f t="shared" si="55"/>
        <v>150602</v>
      </c>
      <c r="EGG23" s="30">
        <f t="shared" si="55"/>
        <v>150633</v>
      </c>
      <c r="EGH23" s="30">
        <f t="shared" si="55"/>
        <v>150663</v>
      </c>
      <c r="EGI23" s="30">
        <f t="shared" si="55"/>
        <v>150694</v>
      </c>
      <c r="EGJ23" s="30">
        <f t="shared" si="55"/>
        <v>150725</v>
      </c>
      <c r="EGK23" s="30">
        <f t="shared" si="55"/>
        <v>150755</v>
      </c>
      <c r="EGL23" s="30">
        <f t="shared" si="55"/>
        <v>150786</v>
      </c>
      <c r="EGM23" s="30">
        <f t="shared" si="55"/>
        <v>150816</v>
      </c>
      <c r="EGN23" s="30">
        <f t="shared" si="55"/>
        <v>150847</v>
      </c>
      <c r="EGO23" s="30">
        <f t="shared" si="55"/>
        <v>150878</v>
      </c>
      <c r="EGP23" s="30">
        <f t="shared" si="55"/>
        <v>150906</v>
      </c>
      <c r="EGQ23" s="30">
        <f t="shared" si="55"/>
        <v>150937</v>
      </c>
      <c r="EGR23" s="30">
        <f t="shared" si="55"/>
        <v>150967</v>
      </c>
      <c r="EGS23" s="30">
        <f t="shared" si="55"/>
        <v>150998</v>
      </c>
      <c r="EGT23" s="30">
        <f t="shared" si="55"/>
        <v>151028</v>
      </c>
      <c r="EGU23" s="30">
        <f t="shared" si="55"/>
        <v>151059</v>
      </c>
      <c r="EGV23" s="30">
        <f t="shared" si="55"/>
        <v>151090</v>
      </c>
      <c r="EGW23" s="30">
        <f t="shared" si="55"/>
        <v>151120</v>
      </c>
      <c r="EGX23" s="30">
        <f t="shared" si="55"/>
        <v>151151</v>
      </c>
      <c r="EGY23" s="30">
        <f t="shared" si="55"/>
        <v>151181</v>
      </c>
      <c r="EGZ23" s="30">
        <f t="shared" ref="EGZ23:EJK23" si="56">EDATE(EGY23,1)</f>
        <v>151212</v>
      </c>
      <c r="EHA23" s="30">
        <f t="shared" si="56"/>
        <v>151243</v>
      </c>
      <c r="EHB23" s="30">
        <f t="shared" si="56"/>
        <v>151271</v>
      </c>
      <c r="EHC23" s="30">
        <f t="shared" si="56"/>
        <v>151302</v>
      </c>
      <c r="EHD23" s="30">
        <f t="shared" si="56"/>
        <v>151332</v>
      </c>
      <c r="EHE23" s="30">
        <f t="shared" si="56"/>
        <v>151363</v>
      </c>
      <c r="EHF23" s="30">
        <f t="shared" si="56"/>
        <v>151393</v>
      </c>
      <c r="EHG23" s="30">
        <f t="shared" si="56"/>
        <v>151424</v>
      </c>
      <c r="EHH23" s="30">
        <f t="shared" si="56"/>
        <v>151455</v>
      </c>
      <c r="EHI23" s="30">
        <f t="shared" si="56"/>
        <v>151485</v>
      </c>
      <c r="EHJ23" s="30">
        <f t="shared" si="56"/>
        <v>151516</v>
      </c>
      <c r="EHK23" s="30">
        <f t="shared" si="56"/>
        <v>151546</v>
      </c>
      <c r="EHL23" s="30">
        <f t="shared" si="56"/>
        <v>151577</v>
      </c>
      <c r="EHM23" s="30">
        <f t="shared" si="56"/>
        <v>151608</v>
      </c>
      <c r="EHN23" s="30">
        <f t="shared" si="56"/>
        <v>151636</v>
      </c>
      <c r="EHO23" s="30">
        <f t="shared" si="56"/>
        <v>151667</v>
      </c>
      <c r="EHP23" s="30">
        <f t="shared" si="56"/>
        <v>151697</v>
      </c>
      <c r="EHQ23" s="30">
        <f t="shared" si="56"/>
        <v>151728</v>
      </c>
      <c r="EHR23" s="30">
        <f t="shared" si="56"/>
        <v>151758</v>
      </c>
      <c r="EHS23" s="30">
        <f t="shared" si="56"/>
        <v>151789</v>
      </c>
      <c r="EHT23" s="30">
        <f t="shared" si="56"/>
        <v>151820</v>
      </c>
      <c r="EHU23" s="30">
        <f t="shared" si="56"/>
        <v>151850</v>
      </c>
      <c r="EHV23" s="30">
        <f t="shared" si="56"/>
        <v>151881</v>
      </c>
      <c r="EHW23" s="30">
        <f t="shared" si="56"/>
        <v>151911</v>
      </c>
      <c r="EHX23" s="30">
        <f t="shared" si="56"/>
        <v>151942</v>
      </c>
      <c r="EHY23" s="30">
        <f t="shared" si="56"/>
        <v>151973</v>
      </c>
      <c r="EHZ23" s="30">
        <f t="shared" si="56"/>
        <v>152002</v>
      </c>
      <c r="EIA23" s="30">
        <f t="shared" si="56"/>
        <v>152033</v>
      </c>
      <c r="EIB23" s="30">
        <f t="shared" si="56"/>
        <v>152063</v>
      </c>
      <c r="EIC23" s="30">
        <f t="shared" si="56"/>
        <v>152094</v>
      </c>
      <c r="EID23" s="30">
        <f t="shared" si="56"/>
        <v>152124</v>
      </c>
      <c r="EIE23" s="30">
        <f t="shared" si="56"/>
        <v>152155</v>
      </c>
      <c r="EIF23" s="30">
        <f t="shared" si="56"/>
        <v>152186</v>
      </c>
      <c r="EIG23" s="30">
        <f t="shared" si="56"/>
        <v>152216</v>
      </c>
      <c r="EIH23" s="30">
        <f t="shared" si="56"/>
        <v>152247</v>
      </c>
      <c r="EII23" s="30">
        <f t="shared" si="56"/>
        <v>152277</v>
      </c>
      <c r="EIJ23" s="30">
        <f t="shared" si="56"/>
        <v>152308</v>
      </c>
      <c r="EIK23" s="30">
        <f t="shared" si="56"/>
        <v>152339</v>
      </c>
      <c r="EIL23" s="30">
        <f t="shared" si="56"/>
        <v>152367</v>
      </c>
      <c r="EIM23" s="30">
        <f t="shared" si="56"/>
        <v>152398</v>
      </c>
      <c r="EIN23" s="30">
        <f t="shared" si="56"/>
        <v>152428</v>
      </c>
      <c r="EIO23" s="30">
        <f t="shared" si="56"/>
        <v>152459</v>
      </c>
      <c r="EIP23" s="30">
        <f t="shared" si="56"/>
        <v>152489</v>
      </c>
      <c r="EIQ23" s="30">
        <f t="shared" si="56"/>
        <v>152520</v>
      </c>
      <c r="EIR23" s="30">
        <f t="shared" si="56"/>
        <v>152551</v>
      </c>
      <c r="EIS23" s="30">
        <f t="shared" si="56"/>
        <v>152581</v>
      </c>
      <c r="EIT23" s="30">
        <f t="shared" si="56"/>
        <v>152612</v>
      </c>
      <c r="EIU23" s="30">
        <f t="shared" si="56"/>
        <v>152642</v>
      </c>
      <c r="EIV23" s="30">
        <f t="shared" si="56"/>
        <v>152673</v>
      </c>
      <c r="EIW23" s="30">
        <f t="shared" si="56"/>
        <v>152704</v>
      </c>
      <c r="EIX23" s="30">
        <f t="shared" si="56"/>
        <v>152732</v>
      </c>
      <c r="EIY23" s="30">
        <f t="shared" si="56"/>
        <v>152763</v>
      </c>
      <c r="EIZ23" s="30">
        <f t="shared" si="56"/>
        <v>152793</v>
      </c>
      <c r="EJA23" s="30">
        <f t="shared" si="56"/>
        <v>152824</v>
      </c>
      <c r="EJB23" s="30">
        <f t="shared" si="56"/>
        <v>152854</v>
      </c>
      <c r="EJC23" s="30">
        <f t="shared" si="56"/>
        <v>152885</v>
      </c>
      <c r="EJD23" s="30">
        <f t="shared" si="56"/>
        <v>152916</v>
      </c>
      <c r="EJE23" s="30">
        <f t="shared" si="56"/>
        <v>152946</v>
      </c>
      <c r="EJF23" s="30">
        <f t="shared" si="56"/>
        <v>152977</v>
      </c>
      <c r="EJG23" s="30">
        <f t="shared" si="56"/>
        <v>153007</v>
      </c>
      <c r="EJH23" s="30">
        <f t="shared" si="56"/>
        <v>153038</v>
      </c>
      <c r="EJI23" s="30">
        <f t="shared" si="56"/>
        <v>153069</v>
      </c>
      <c r="EJJ23" s="30">
        <f t="shared" si="56"/>
        <v>153097</v>
      </c>
      <c r="EJK23" s="30">
        <f t="shared" si="56"/>
        <v>153128</v>
      </c>
      <c r="EJL23" s="30">
        <f t="shared" ref="EJL23:ELW23" si="57">EDATE(EJK23,1)</f>
        <v>153158</v>
      </c>
      <c r="EJM23" s="30">
        <f t="shared" si="57"/>
        <v>153189</v>
      </c>
      <c r="EJN23" s="30">
        <f t="shared" si="57"/>
        <v>153219</v>
      </c>
      <c r="EJO23" s="30">
        <f t="shared" si="57"/>
        <v>153250</v>
      </c>
      <c r="EJP23" s="30">
        <f t="shared" si="57"/>
        <v>153281</v>
      </c>
      <c r="EJQ23" s="30">
        <f t="shared" si="57"/>
        <v>153311</v>
      </c>
      <c r="EJR23" s="30">
        <f t="shared" si="57"/>
        <v>153342</v>
      </c>
      <c r="EJS23" s="30">
        <f t="shared" si="57"/>
        <v>153372</v>
      </c>
      <c r="EJT23" s="30">
        <f t="shared" si="57"/>
        <v>153403</v>
      </c>
      <c r="EJU23" s="30">
        <f t="shared" si="57"/>
        <v>153434</v>
      </c>
      <c r="EJV23" s="30">
        <f t="shared" si="57"/>
        <v>153463</v>
      </c>
      <c r="EJW23" s="30">
        <f t="shared" si="57"/>
        <v>153494</v>
      </c>
      <c r="EJX23" s="30">
        <f t="shared" si="57"/>
        <v>153524</v>
      </c>
      <c r="EJY23" s="30">
        <f t="shared" si="57"/>
        <v>153555</v>
      </c>
      <c r="EJZ23" s="30">
        <f t="shared" si="57"/>
        <v>153585</v>
      </c>
      <c r="EKA23" s="30">
        <f t="shared" si="57"/>
        <v>153616</v>
      </c>
      <c r="EKB23" s="30">
        <f t="shared" si="57"/>
        <v>153647</v>
      </c>
      <c r="EKC23" s="30">
        <f t="shared" si="57"/>
        <v>153677</v>
      </c>
      <c r="EKD23" s="30">
        <f t="shared" si="57"/>
        <v>153708</v>
      </c>
      <c r="EKE23" s="30">
        <f t="shared" si="57"/>
        <v>153738</v>
      </c>
      <c r="EKF23" s="30">
        <f t="shared" si="57"/>
        <v>153769</v>
      </c>
      <c r="EKG23" s="30">
        <f t="shared" si="57"/>
        <v>153800</v>
      </c>
      <c r="EKH23" s="30">
        <f t="shared" si="57"/>
        <v>153828</v>
      </c>
      <c r="EKI23" s="30">
        <f t="shared" si="57"/>
        <v>153859</v>
      </c>
      <c r="EKJ23" s="30">
        <f t="shared" si="57"/>
        <v>153889</v>
      </c>
      <c r="EKK23" s="30">
        <f t="shared" si="57"/>
        <v>153920</v>
      </c>
      <c r="EKL23" s="30">
        <f t="shared" si="57"/>
        <v>153950</v>
      </c>
      <c r="EKM23" s="30">
        <f t="shared" si="57"/>
        <v>153981</v>
      </c>
      <c r="EKN23" s="30">
        <f t="shared" si="57"/>
        <v>154012</v>
      </c>
      <c r="EKO23" s="30">
        <f t="shared" si="57"/>
        <v>154042</v>
      </c>
      <c r="EKP23" s="30">
        <f t="shared" si="57"/>
        <v>154073</v>
      </c>
      <c r="EKQ23" s="30">
        <f t="shared" si="57"/>
        <v>154103</v>
      </c>
      <c r="EKR23" s="30">
        <f t="shared" si="57"/>
        <v>154134</v>
      </c>
      <c r="EKS23" s="30">
        <f t="shared" si="57"/>
        <v>154165</v>
      </c>
      <c r="EKT23" s="30">
        <f t="shared" si="57"/>
        <v>154193</v>
      </c>
      <c r="EKU23" s="30">
        <f t="shared" si="57"/>
        <v>154224</v>
      </c>
      <c r="EKV23" s="30">
        <f t="shared" si="57"/>
        <v>154254</v>
      </c>
      <c r="EKW23" s="30">
        <f t="shared" si="57"/>
        <v>154285</v>
      </c>
      <c r="EKX23" s="30">
        <f t="shared" si="57"/>
        <v>154315</v>
      </c>
      <c r="EKY23" s="30">
        <f t="shared" si="57"/>
        <v>154346</v>
      </c>
      <c r="EKZ23" s="30">
        <f t="shared" si="57"/>
        <v>154377</v>
      </c>
      <c r="ELA23" s="30">
        <f t="shared" si="57"/>
        <v>154407</v>
      </c>
      <c r="ELB23" s="30">
        <f t="shared" si="57"/>
        <v>154438</v>
      </c>
      <c r="ELC23" s="30">
        <f t="shared" si="57"/>
        <v>154468</v>
      </c>
      <c r="ELD23" s="30">
        <f t="shared" si="57"/>
        <v>154499</v>
      </c>
      <c r="ELE23" s="30">
        <f t="shared" si="57"/>
        <v>154530</v>
      </c>
      <c r="ELF23" s="30">
        <f t="shared" si="57"/>
        <v>154558</v>
      </c>
      <c r="ELG23" s="30">
        <f t="shared" si="57"/>
        <v>154589</v>
      </c>
      <c r="ELH23" s="30">
        <f t="shared" si="57"/>
        <v>154619</v>
      </c>
      <c r="ELI23" s="30">
        <f t="shared" si="57"/>
        <v>154650</v>
      </c>
      <c r="ELJ23" s="30">
        <f t="shared" si="57"/>
        <v>154680</v>
      </c>
      <c r="ELK23" s="30">
        <f t="shared" si="57"/>
        <v>154711</v>
      </c>
      <c r="ELL23" s="30">
        <f t="shared" si="57"/>
        <v>154742</v>
      </c>
      <c r="ELM23" s="30">
        <f t="shared" si="57"/>
        <v>154772</v>
      </c>
      <c r="ELN23" s="30">
        <f t="shared" si="57"/>
        <v>154803</v>
      </c>
      <c r="ELO23" s="30">
        <f t="shared" si="57"/>
        <v>154833</v>
      </c>
      <c r="ELP23" s="30">
        <f t="shared" si="57"/>
        <v>154864</v>
      </c>
      <c r="ELQ23" s="30">
        <f t="shared" si="57"/>
        <v>154895</v>
      </c>
      <c r="ELR23" s="30">
        <f t="shared" si="57"/>
        <v>154924</v>
      </c>
      <c r="ELS23" s="30">
        <f t="shared" si="57"/>
        <v>154955</v>
      </c>
      <c r="ELT23" s="30">
        <f t="shared" si="57"/>
        <v>154985</v>
      </c>
      <c r="ELU23" s="30">
        <f t="shared" si="57"/>
        <v>155016</v>
      </c>
      <c r="ELV23" s="30">
        <f t="shared" si="57"/>
        <v>155046</v>
      </c>
      <c r="ELW23" s="30">
        <f t="shared" si="57"/>
        <v>155077</v>
      </c>
      <c r="ELX23" s="30">
        <f t="shared" ref="ELX23:EOI23" si="58">EDATE(ELW23,1)</f>
        <v>155108</v>
      </c>
      <c r="ELY23" s="30">
        <f t="shared" si="58"/>
        <v>155138</v>
      </c>
      <c r="ELZ23" s="30">
        <f t="shared" si="58"/>
        <v>155169</v>
      </c>
      <c r="EMA23" s="30">
        <f t="shared" si="58"/>
        <v>155199</v>
      </c>
      <c r="EMB23" s="30">
        <f t="shared" si="58"/>
        <v>155230</v>
      </c>
      <c r="EMC23" s="30">
        <f t="shared" si="58"/>
        <v>155261</v>
      </c>
      <c r="EMD23" s="30">
        <f t="shared" si="58"/>
        <v>155289</v>
      </c>
      <c r="EME23" s="30">
        <f t="shared" si="58"/>
        <v>155320</v>
      </c>
      <c r="EMF23" s="30">
        <f t="shared" si="58"/>
        <v>155350</v>
      </c>
      <c r="EMG23" s="30">
        <f t="shared" si="58"/>
        <v>155381</v>
      </c>
      <c r="EMH23" s="30">
        <f t="shared" si="58"/>
        <v>155411</v>
      </c>
      <c r="EMI23" s="30">
        <f t="shared" si="58"/>
        <v>155442</v>
      </c>
      <c r="EMJ23" s="30">
        <f t="shared" si="58"/>
        <v>155473</v>
      </c>
      <c r="EMK23" s="30">
        <f t="shared" si="58"/>
        <v>155503</v>
      </c>
      <c r="EML23" s="30">
        <f t="shared" si="58"/>
        <v>155534</v>
      </c>
      <c r="EMM23" s="30">
        <f t="shared" si="58"/>
        <v>155564</v>
      </c>
      <c r="EMN23" s="30">
        <f t="shared" si="58"/>
        <v>155595</v>
      </c>
      <c r="EMO23" s="30">
        <f t="shared" si="58"/>
        <v>155626</v>
      </c>
      <c r="EMP23" s="30">
        <f t="shared" si="58"/>
        <v>155654</v>
      </c>
      <c r="EMQ23" s="30">
        <f t="shared" si="58"/>
        <v>155685</v>
      </c>
      <c r="EMR23" s="30">
        <f t="shared" si="58"/>
        <v>155715</v>
      </c>
      <c r="EMS23" s="30">
        <f t="shared" si="58"/>
        <v>155746</v>
      </c>
      <c r="EMT23" s="30">
        <f t="shared" si="58"/>
        <v>155776</v>
      </c>
      <c r="EMU23" s="30">
        <f t="shared" si="58"/>
        <v>155807</v>
      </c>
      <c r="EMV23" s="30">
        <f t="shared" si="58"/>
        <v>155838</v>
      </c>
      <c r="EMW23" s="30">
        <f t="shared" si="58"/>
        <v>155868</v>
      </c>
      <c r="EMX23" s="30">
        <f t="shared" si="58"/>
        <v>155899</v>
      </c>
      <c r="EMY23" s="30">
        <f t="shared" si="58"/>
        <v>155929</v>
      </c>
      <c r="EMZ23" s="30">
        <f t="shared" si="58"/>
        <v>155960</v>
      </c>
      <c r="ENA23" s="30">
        <f t="shared" si="58"/>
        <v>155991</v>
      </c>
      <c r="ENB23" s="30">
        <f t="shared" si="58"/>
        <v>156019</v>
      </c>
      <c r="ENC23" s="30">
        <f t="shared" si="58"/>
        <v>156050</v>
      </c>
      <c r="END23" s="30">
        <f t="shared" si="58"/>
        <v>156080</v>
      </c>
      <c r="ENE23" s="30">
        <f t="shared" si="58"/>
        <v>156111</v>
      </c>
      <c r="ENF23" s="30">
        <f t="shared" si="58"/>
        <v>156141</v>
      </c>
      <c r="ENG23" s="30">
        <f t="shared" si="58"/>
        <v>156172</v>
      </c>
      <c r="ENH23" s="30">
        <f t="shared" si="58"/>
        <v>156203</v>
      </c>
      <c r="ENI23" s="30">
        <f t="shared" si="58"/>
        <v>156233</v>
      </c>
      <c r="ENJ23" s="30">
        <f t="shared" si="58"/>
        <v>156264</v>
      </c>
      <c r="ENK23" s="30">
        <f t="shared" si="58"/>
        <v>156294</v>
      </c>
      <c r="ENL23" s="30">
        <f t="shared" si="58"/>
        <v>156325</v>
      </c>
      <c r="ENM23" s="30">
        <f t="shared" si="58"/>
        <v>156356</v>
      </c>
      <c r="ENN23" s="30">
        <f t="shared" si="58"/>
        <v>156385</v>
      </c>
      <c r="ENO23" s="30">
        <f t="shared" si="58"/>
        <v>156416</v>
      </c>
      <c r="ENP23" s="30">
        <f t="shared" si="58"/>
        <v>156446</v>
      </c>
      <c r="ENQ23" s="30">
        <f t="shared" si="58"/>
        <v>156477</v>
      </c>
      <c r="ENR23" s="30">
        <f t="shared" si="58"/>
        <v>156507</v>
      </c>
      <c r="ENS23" s="30">
        <f t="shared" si="58"/>
        <v>156538</v>
      </c>
      <c r="ENT23" s="30">
        <f t="shared" si="58"/>
        <v>156569</v>
      </c>
      <c r="ENU23" s="30">
        <f t="shared" si="58"/>
        <v>156599</v>
      </c>
      <c r="ENV23" s="30">
        <f t="shared" si="58"/>
        <v>156630</v>
      </c>
      <c r="ENW23" s="30">
        <f t="shared" si="58"/>
        <v>156660</v>
      </c>
      <c r="ENX23" s="30">
        <f t="shared" si="58"/>
        <v>156691</v>
      </c>
      <c r="ENY23" s="30">
        <f t="shared" si="58"/>
        <v>156722</v>
      </c>
      <c r="ENZ23" s="30">
        <f t="shared" si="58"/>
        <v>156750</v>
      </c>
      <c r="EOA23" s="30">
        <f t="shared" si="58"/>
        <v>156781</v>
      </c>
      <c r="EOB23" s="30">
        <f t="shared" si="58"/>
        <v>156811</v>
      </c>
      <c r="EOC23" s="30">
        <f t="shared" si="58"/>
        <v>156842</v>
      </c>
      <c r="EOD23" s="30">
        <f t="shared" si="58"/>
        <v>156872</v>
      </c>
      <c r="EOE23" s="30">
        <f t="shared" si="58"/>
        <v>156903</v>
      </c>
      <c r="EOF23" s="30">
        <f t="shared" si="58"/>
        <v>156934</v>
      </c>
      <c r="EOG23" s="30">
        <f t="shared" si="58"/>
        <v>156964</v>
      </c>
      <c r="EOH23" s="30">
        <f t="shared" si="58"/>
        <v>156995</v>
      </c>
      <c r="EOI23" s="30">
        <f t="shared" si="58"/>
        <v>157025</v>
      </c>
      <c r="EOJ23" s="30">
        <f t="shared" ref="EOJ23:EQU23" si="59">EDATE(EOI23,1)</f>
        <v>157056</v>
      </c>
      <c r="EOK23" s="30">
        <f t="shared" si="59"/>
        <v>157087</v>
      </c>
      <c r="EOL23" s="30">
        <f t="shared" si="59"/>
        <v>157115</v>
      </c>
      <c r="EOM23" s="30">
        <f t="shared" si="59"/>
        <v>157146</v>
      </c>
      <c r="EON23" s="30">
        <f t="shared" si="59"/>
        <v>157176</v>
      </c>
      <c r="EOO23" s="30">
        <f t="shared" si="59"/>
        <v>157207</v>
      </c>
      <c r="EOP23" s="30">
        <f t="shared" si="59"/>
        <v>157237</v>
      </c>
      <c r="EOQ23" s="30">
        <f t="shared" si="59"/>
        <v>157268</v>
      </c>
      <c r="EOR23" s="30">
        <f t="shared" si="59"/>
        <v>157299</v>
      </c>
      <c r="EOS23" s="30">
        <f t="shared" si="59"/>
        <v>157329</v>
      </c>
      <c r="EOT23" s="30">
        <f t="shared" si="59"/>
        <v>157360</v>
      </c>
      <c r="EOU23" s="30">
        <f t="shared" si="59"/>
        <v>157390</v>
      </c>
      <c r="EOV23" s="30">
        <f t="shared" si="59"/>
        <v>157421</v>
      </c>
      <c r="EOW23" s="30">
        <f t="shared" si="59"/>
        <v>157452</v>
      </c>
      <c r="EOX23" s="30">
        <f t="shared" si="59"/>
        <v>157480</v>
      </c>
      <c r="EOY23" s="30">
        <f t="shared" si="59"/>
        <v>157511</v>
      </c>
      <c r="EOZ23" s="30">
        <f t="shared" si="59"/>
        <v>157541</v>
      </c>
      <c r="EPA23" s="30">
        <f t="shared" si="59"/>
        <v>157572</v>
      </c>
      <c r="EPB23" s="30">
        <f t="shared" si="59"/>
        <v>157602</v>
      </c>
      <c r="EPC23" s="30">
        <f t="shared" si="59"/>
        <v>157633</v>
      </c>
      <c r="EPD23" s="30">
        <f t="shared" si="59"/>
        <v>157664</v>
      </c>
      <c r="EPE23" s="30">
        <f t="shared" si="59"/>
        <v>157694</v>
      </c>
      <c r="EPF23" s="30">
        <f t="shared" si="59"/>
        <v>157725</v>
      </c>
      <c r="EPG23" s="30">
        <f t="shared" si="59"/>
        <v>157755</v>
      </c>
      <c r="EPH23" s="30">
        <f t="shared" si="59"/>
        <v>157786</v>
      </c>
      <c r="EPI23" s="30">
        <f t="shared" si="59"/>
        <v>157817</v>
      </c>
      <c r="EPJ23" s="30">
        <f t="shared" si="59"/>
        <v>157846</v>
      </c>
      <c r="EPK23" s="30">
        <f t="shared" si="59"/>
        <v>157877</v>
      </c>
      <c r="EPL23" s="30">
        <f t="shared" si="59"/>
        <v>157907</v>
      </c>
      <c r="EPM23" s="30">
        <f t="shared" si="59"/>
        <v>157938</v>
      </c>
      <c r="EPN23" s="30">
        <f t="shared" si="59"/>
        <v>157968</v>
      </c>
      <c r="EPO23" s="30">
        <f t="shared" si="59"/>
        <v>157999</v>
      </c>
      <c r="EPP23" s="30">
        <f t="shared" si="59"/>
        <v>158030</v>
      </c>
      <c r="EPQ23" s="30">
        <f t="shared" si="59"/>
        <v>158060</v>
      </c>
      <c r="EPR23" s="30">
        <f t="shared" si="59"/>
        <v>158091</v>
      </c>
      <c r="EPS23" s="30">
        <f t="shared" si="59"/>
        <v>158121</v>
      </c>
      <c r="EPT23" s="30">
        <f t="shared" si="59"/>
        <v>158152</v>
      </c>
      <c r="EPU23" s="30">
        <f t="shared" si="59"/>
        <v>158183</v>
      </c>
      <c r="EPV23" s="30">
        <f t="shared" si="59"/>
        <v>158211</v>
      </c>
      <c r="EPW23" s="30">
        <f t="shared" si="59"/>
        <v>158242</v>
      </c>
      <c r="EPX23" s="30">
        <f t="shared" si="59"/>
        <v>158272</v>
      </c>
      <c r="EPY23" s="30">
        <f t="shared" si="59"/>
        <v>158303</v>
      </c>
      <c r="EPZ23" s="30">
        <f t="shared" si="59"/>
        <v>158333</v>
      </c>
      <c r="EQA23" s="30">
        <f t="shared" si="59"/>
        <v>158364</v>
      </c>
      <c r="EQB23" s="30">
        <f t="shared" si="59"/>
        <v>158395</v>
      </c>
      <c r="EQC23" s="30">
        <f t="shared" si="59"/>
        <v>158425</v>
      </c>
      <c r="EQD23" s="30">
        <f t="shared" si="59"/>
        <v>158456</v>
      </c>
      <c r="EQE23" s="30">
        <f t="shared" si="59"/>
        <v>158486</v>
      </c>
      <c r="EQF23" s="30">
        <f t="shared" si="59"/>
        <v>158517</v>
      </c>
      <c r="EQG23" s="30">
        <f t="shared" si="59"/>
        <v>158548</v>
      </c>
      <c r="EQH23" s="30">
        <f t="shared" si="59"/>
        <v>158576</v>
      </c>
      <c r="EQI23" s="30">
        <f t="shared" si="59"/>
        <v>158607</v>
      </c>
      <c r="EQJ23" s="30">
        <f t="shared" si="59"/>
        <v>158637</v>
      </c>
      <c r="EQK23" s="30">
        <f t="shared" si="59"/>
        <v>158668</v>
      </c>
      <c r="EQL23" s="30">
        <f t="shared" si="59"/>
        <v>158698</v>
      </c>
      <c r="EQM23" s="30">
        <f t="shared" si="59"/>
        <v>158729</v>
      </c>
      <c r="EQN23" s="30">
        <f t="shared" si="59"/>
        <v>158760</v>
      </c>
      <c r="EQO23" s="30">
        <f t="shared" si="59"/>
        <v>158790</v>
      </c>
      <c r="EQP23" s="30">
        <f t="shared" si="59"/>
        <v>158821</v>
      </c>
      <c r="EQQ23" s="30">
        <f t="shared" si="59"/>
        <v>158851</v>
      </c>
      <c r="EQR23" s="30">
        <f t="shared" si="59"/>
        <v>158882</v>
      </c>
      <c r="EQS23" s="30">
        <f t="shared" si="59"/>
        <v>158913</v>
      </c>
      <c r="EQT23" s="30">
        <f t="shared" si="59"/>
        <v>158941</v>
      </c>
      <c r="EQU23" s="30">
        <f t="shared" si="59"/>
        <v>158972</v>
      </c>
      <c r="EQV23" s="30">
        <f t="shared" ref="EQV23:ETG23" si="60">EDATE(EQU23,1)</f>
        <v>159002</v>
      </c>
      <c r="EQW23" s="30">
        <f t="shared" si="60"/>
        <v>159033</v>
      </c>
      <c r="EQX23" s="30">
        <f t="shared" si="60"/>
        <v>159063</v>
      </c>
      <c r="EQY23" s="30">
        <f t="shared" si="60"/>
        <v>159094</v>
      </c>
      <c r="EQZ23" s="30">
        <f t="shared" si="60"/>
        <v>159125</v>
      </c>
      <c r="ERA23" s="30">
        <f t="shared" si="60"/>
        <v>159155</v>
      </c>
      <c r="ERB23" s="30">
        <f t="shared" si="60"/>
        <v>159186</v>
      </c>
      <c r="ERC23" s="30">
        <f t="shared" si="60"/>
        <v>159216</v>
      </c>
      <c r="ERD23" s="30">
        <f t="shared" si="60"/>
        <v>159247</v>
      </c>
      <c r="ERE23" s="30">
        <f t="shared" si="60"/>
        <v>159278</v>
      </c>
      <c r="ERF23" s="30">
        <f t="shared" si="60"/>
        <v>159307</v>
      </c>
      <c r="ERG23" s="30">
        <f t="shared" si="60"/>
        <v>159338</v>
      </c>
      <c r="ERH23" s="30">
        <f t="shared" si="60"/>
        <v>159368</v>
      </c>
      <c r="ERI23" s="30">
        <f t="shared" si="60"/>
        <v>159399</v>
      </c>
      <c r="ERJ23" s="30">
        <f t="shared" si="60"/>
        <v>159429</v>
      </c>
      <c r="ERK23" s="30">
        <f t="shared" si="60"/>
        <v>159460</v>
      </c>
      <c r="ERL23" s="30">
        <f t="shared" si="60"/>
        <v>159491</v>
      </c>
      <c r="ERM23" s="30">
        <f t="shared" si="60"/>
        <v>159521</v>
      </c>
      <c r="ERN23" s="30">
        <f t="shared" si="60"/>
        <v>159552</v>
      </c>
      <c r="ERO23" s="30">
        <f t="shared" si="60"/>
        <v>159582</v>
      </c>
      <c r="ERP23" s="30">
        <f t="shared" si="60"/>
        <v>159613</v>
      </c>
      <c r="ERQ23" s="30">
        <f t="shared" si="60"/>
        <v>159644</v>
      </c>
      <c r="ERR23" s="30">
        <f t="shared" si="60"/>
        <v>159672</v>
      </c>
      <c r="ERS23" s="30">
        <f t="shared" si="60"/>
        <v>159703</v>
      </c>
      <c r="ERT23" s="30">
        <f t="shared" si="60"/>
        <v>159733</v>
      </c>
      <c r="ERU23" s="30">
        <f t="shared" si="60"/>
        <v>159764</v>
      </c>
      <c r="ERV23" s="30">
        <f t="shared" si="60"/>
        <v>159794</v>
      </c>
      <c r="ERW23" s="30">
        <f t="shared" si="60"/>
        <v>159825</v>
      </c>
      <c r="ERX23" s="30">
        <f t="shared" si="60"/>
        <v>159856</v>
      </c>
      <c r="ERY23" s="30">
        <f t="shared" si="60"/>
        <v>159886</v>
      </c>
      <c r="ERZ23" s="30">
        <f t="shared" si="60"/>
        <v>159917</v>
      </c>
      <c r="ESA23" s="30">
        <f t="shared" si="60"/>
        <v>159947</v>
      </c>
      <c r="ESB23" s="30">
        <f t="shared" si="60"/>
        <v>159978</v>
      </c>
      <c r="ESC23" s="30">
        <f t="shared" si="60"/>
        <v>160009</v>
      </c>
      <c r="ESD23" s="30">
        <f t="shared" si="60"/>
        <v>160037</v>
      </c>
      <c r="ESE23" s="30">
        <f t="shared" si="60"/>
        <v>160068</v>
      </c>
      <c r="ESF23" s="30">
        <f t="shared" si="60"/>
        <v>160098</v>
      </c>
      <c r="ESG23" s="30">
        <f t="shared" si="60"/>
        <v>160129</v>
      </c>
      <c r="ESH23" s="30">
        <f t="shared" si="60"/>
        <v>160159</v>
      </c>
      <c r="ESI23" s="30">
        <f t="shared" si="60"/>
        <v>160190</v>
      </c>
      <c r="ESJ23" s="30">
        <f t="shared" si="60"/>
        <v>160221</v>
      </c>
      <c r="ESK23" s="30">
        <f t="shared" si="60"/>
        <v>160251</v>
      </c>
      <c r="ESL23" s="30">
        <f t="shared" si="60"/>
        <v>160282</v>
      </c>
      <c r="ESM23" s="30">
        <f t="shared" si="60"/>
        <v>160312</v>
      </c>
      <c r="ESN23" s="30">
        <f t="shared" si="60"/>
        <v>160343</v>
      </c>
      <c r="ESO23" s="30">
        <f t="shared" si="60"/>
        <v>160374</v>
      </c>
      <c r="ESP23" s="30">
        <f t="shared" si="60"/>
        <v>160402</v>
      </c>
      <c r="ESQ23" s="30">
        <f t="shared" si="60"/>
        <v>160433</v>
      </c>
      <c r="ESR23" s="30">
        <f t="shared" si="60"/>
        <v>160463</v>
      </c>
      <c r="ESS23" s="30">
        <f t="shared" si="60"/>
        <v>160494</v>
      </c>
      <c r="EST23" s="30">
        <f t="shared" si="60"/>
        <v>160524</v>
      </c>
      <c r="ESU23" s="30">
        <f t="shared" si="60"/>
        <v>160555</v>
      </c>
      <c r="ESV23" s="30">
        <f t="shared" si="60"/>
        <v>160586</v>
      </c>
      <c r="ESW23" s="30">
        <f t="shared" si="60"/>
        <v>160616</v>
      </c>
      <c r="ESX23" s="30">
        <f t="shared" si="60"/>
        <v>160647</v>
      </c>
      <c r="ESY23" s="30">
        <f t="shared" si="60"/>
        <v>160677</v>
      </c>
      <c r="ESZ23" s="30">
        <f t="shared" si="60"/>
        <v>160708</v>
      </c>
      <c r="ETA23" s="30">
        <f t="shared" si="60"/>
        <v>160739</v>
      </c>
      <c r="ETB23" s="30">
        <f t="shared" si="60"/>
        <v>160768</v>
      </c>
      <c r="ETC23" s="30">
        <f t="shared" si="60"/>
        <v>160799</v>
      </c>
      <c r="ETD23" s="30">
        <f t="shared" si="60"/>
        <v>160829</v>
      </c>
      <c r="ETE23" s="30">
        <f t="shared" si="60"/>
        <v>160860</v>
      </c>
      <c r="ETF23" s="30">
        <f t="shared" si="60"/>
        <v>160890</v>
      </c>
      <c r="ETG23" s="30">
        <f t="shared" si="60"/>
        <v>160921</v>
      </c>
      <c r="ETH23" s="30">
        <f t="shared" ref="ETH23:EVS23" si="61">EDATE(ETG23,1)</f>
        <v>160952</v>
      </c>
      <c r="ETI23" s="30">
        <f t="shared" si="61"/>
        <v>160982</v>
      </c>
      <c r="ETJ23" s="30">
        <f t="shared" si="61"/>
        <v>161013</v>
      </c>
      <c r="ETK23" s="30">
        <f t="shared" si="61"/>
        <v>161043</v>
      </c>
      <c r="ETL23" s="30">
        <f t="shared" si="61"/>
        <v>161074</v>
      </c>
      <c r="ETM23" s="30">
        <f t="shared" si="61"/>
        <v>161105</v>
      </c>
      <c r="ETN23" s="30">
        <f t="shared" si="61"/>
        <v>161133</v>
      </c>
      <c r="ETO23" s="30">
        <f t="shared" si="61"/>
        <v>161164</v>
      </c>
      <c r="ETP23" s="30">
        <f t="shared" si="61"/>
        <v>161194</v>
      </c>
      <c r="ETQ23" s="30">
        <f t="shared" si="61"/>
        <v>161225</v>
      </c>
      <c r="ETR23" s="30">
        <f t="shared" si="61"/>
        <v>161255</v>
      </c>
      <c r="ETS23" s="30">
        <f t="shared" si="61"/>
        <v>161286</v>
      </c>
      <c r="ETT23" s="30">
        <f t="shared" si="61"/>
        <v>161317</v>
      </c>
      <c r="ETU23" s="30">
        <f t="shared" si="61"/>
        <v>161347</v>
      </c>
      <c r="ETV23" s="30">
        <f t="shared" si="61"/>
        <v>161378</v>
      </c>
      <c r="ETW23" s="30">
        <f t="shared" si="61"/>
        <v>161408</v>
      </c>
      <c r="ETX23" s="30">
        <f t="shared" si="61"/>
        <v>161439</v>
      </c>
      <c r="ETY23" s="30">
        <f t="shared" si="61"/>
        <v>161470</v>
      </c>
      <c r="ETZ23" s="30">
        <f t="shared" si="61"/>
        <v>161498</v>
      </c>
      <c r="EUA23" s="30">
        <f t="shared" si="61"/>
        <v>161529</v>
      </c>
      <c r="EUB23" s="30">
        <f t="shared" si="61"/>
        <v>161559</v>
      </c>
      <c r="EUC23" s="30">
        <f t="shared" si="61"/>
        <v>161590</v>
      </c>
      <c r="EUD23" s="30">
        <f t="shared" si="61"/>
        <v>161620</v>
      </c>
      <c r="EUE23" s="30">
        <f t="shared" si="61"/>
        <v>161651</v>
      </c>
      <c r="EUF23" s="30">
        <f t="shared" si="61"/>
        <v>161682</v>
      </c>
      <c r="EUG23" s="30">
        <f t="shared" si="61"/>
        <v>161712</v>
      </c>
      <c r="EUH23" s="30">
        <f t="shared" si="61"/>
        <v>161743</v>
      </c>
      <c r="EUI23" s="30">
        <f t="shared" si="61"/>
        <v>161773</v>
      </c>
      <c r="EUJ23" s="30">
        <f t="shared" si="61"/>
        <v>161804</v>
      </c>
      <c r="EUK23" s="30">
        <f t="shared" si="61"/>
        <v>161835</v>
      </c>
      <c r="EUL23" s="30">
        <f t="shared" si="61"/>
        <v>161863</v>
      </c>
      <c r="EUM23" s="30">
        <f t="shared" si="61"/>
        <v>161894</v>
      </c>
      <c r="EUN23" s="30">
        <f t="shared" si="61"/>
        <v>161924</v>
      </c>
      <c r="EUO23" s="30">
        <f t="shared" si="61"/>
        <v>161955</v>
      </c>
      <c r="EUP23" s="30">
        <f t="shared" si="61"/>
        <v>161985</v>
      </c>
      <c r="EUQ23" s="30">
        <f t="shared" si="61"/>
        <v>162016</v>
      </c>
      <c r="EUR23" s="30">
        <f t="shared" si="61"/>
        <v>162047</v>
      </c>
      <c r="EUS23" s="30">
        <f t="shared" si="61"/>
        <v>162077</v>
      </c>
      <c r="EUT23" s="30">
        <f t="shared" si="61"/>
        <v>162108</v>
      </c>
      <c r="EUU23" s="30">
        <f t="shared" si="61"/>
        <v>162138</v>
      </c>
      <c r="EUV23" s="30">
        <f t="shared" si="61"/>
        <v>162169</v>
      </c>
      <c r="EUW23" s="30">
        <f t="shared" si="61"/>
        <v>162200</v>
      </c>
      <c r="EUX23" s="30">
        <f t="shared" si="61"/>
        <v>162229</v>
      </c>
      <c r="EUY23" s="30">
        <f t="shared" si="61"/>
        <v>162260</v>
      </c>
      <c r="EUZ23" s="30">
        <f t="shared" si="61"/>
        <v>162290</v>
      </c>
      <c r="EVA23" s="30">
        <f t="shared" si="61"/>
        <v>162321</v>
      </c>
      <c r="EVB23" s="30">
        <f t="shared" si="61"/>
        <v>162351</v>
      </c>
      <c r="EVC23" s="30">
        <f t="shared" si="61"/>
        <v>162382</v>
      </c>
      <c r="EVD23" s="30">
        <f t="shared" si="61"/>
        <v>162413</v>
      </c>
      <c r="EVE23" s="30">
        <f t="shared" si="61"/>
        <v>162443</v>
      </c>
      <c r="EVF23" s="30">
        <f t="shared" si="61"/>
        <v>162474</v>
      </c>
      <c r="EVG23" s="30">
        <f t="shared" si="61"/>
        <v>162504</v>
      </c>
      <c r="EVH23" s="30">
        <f t="shared" si="61"/>
        <v>162535</v>
      </c>
      <c r="EVI23" s="30">
        <f t="shared" si="61"/>
        <v>162566</v>
      </c>
      <c r="EVJ23" s="30">
        <f t="shared" si="61"/>
        <v>162594</v>
      </c>
      <c r="EVK23" s="30">
        <f t="shared" si="61"/>
        <v>162625</v>
      </c>
      <c r="EVL23" s="30">
        <f t="shared" si="61"/>
        <v>162655</v>
      </c>
      <c r="EVM23" s="30">
        <f t="shared" si="61"/>
        <v>162686</v>
      </c>
      <c r="EVN23" s="30">
        <f t="shared" si="61"/>
        <v>162716</v>
      </c>
      <c r="EVO23" s="30">
        <f t="shared" si="61"/>
        <v>162747</v>
      </c>
      <c r="EVP23" s="30">
        <f t="shared" si="61"/>
        <v>162778</v>
      </c>
      <c r="EVQ23" s="30">
        <f t="shared" si="61"/>
        <v>162808</v>
      </c>
      <c r="EVR23" s="30">
        <f t="shared" si="61"/>
        <v>162839</v>
      </c>
      <c r="EVS23" s="30">
        <f t="shared" si="61"/>
        <v>162869</v>
      </c>
      <c r="EVT23" s="30">
        <f t="shared" ref="EVT23:EYE23" si="62">EDATE(EVS23,1)</f>
        <v>162900</v>
      </c>
      <c r="EVU23" s="30">
        <f t="shared" si="62"/>
        <v>162931</v>
      </c>
      <c r="EVV23" s="30">
        <f t="shared" si="62"/>
        <v>162959</v>
      </c>
      <c r="EVW23" s="30">
        <f t="shared" si="62"/>
        <v>162990</v>
      </c>
      <c r="EVX23" s="30">
        <f t="shared" si="62"/>
        <v>163020</v>
      </c>
      <c r="EVY23" s="30">
        <f t="shared" si="62"/>
        <v>163051</v>
      </c>
      <c r="EVZ23" s="30">
        <f t="shared" si="62"/>
        <v>163081</v>
      </c>
      <c r="EWA23" s="30">
        <f t="shared" si="62"/>
        <v>163112</v>
      </c>
      <c r="EWB23" s="30">
        <f t="shared" si="62"/>
        <v>163143</v>
      </c>
      <c r="EWC23" s="30">
        <f t="shared" si="62"/>
        <v>163173</v>
      </c>
      <c r="EWD23" s="30">
        <f t="shared" si="62"/>
        <v>163204</v>
      </c>
      <c r="EWE23" s="30">
        <f t="shared" si="62"/>
        <v>163234</v>
      </c>
      <c r="EWF23" s="30">
        <f t="shared" si="62"/>
        <v>163265</v>
      </c>
      <c r="EWG23" s="30">
        <f t="shared" si="62"/>
        <v>163296</v>
      </c>
      <c r="EWH23" s="30">
        <f t="shared" si="62"/>
        <v>163324</v>
      </c>
      <c r="EWI23" s="30">
        <f t="shared" si="62"/>
        <v>163355</v>
      </c>
      <c r="EWJ23" s="30">
        <f t="shared" si="62"/>
        <v>163385</v>
      </c>
      <c r="EWK23" s="30">
        <f t="shared" si="62"/>
        <v>163416</v>
      </c>
      <c r="EWL23" s="30">
        <f t="shared" si="62"/>
        <v>163446</v>
      </c>
      <c r="EWM23" s="30">
        <f t="shared" si="62"/>
        <v>163477</v>
      </c>
      <c r="EWN23" s="30">
        <f t="shared" si="62"/>
        <v>163508</v>
      </c>
      <c r="EWO23" s="30">
        <f t="shared" si="62"/>
        <v>163538</v>
      </c>
      <c r="EWP23" s="30">
        <f t="shared" si="62"/>
        <v>163569</v>
      </c>
      <c r="EWQ23" s="30">
        <f t="shared" si="62"/>
        <v>163599</v>
      </c>
      <c r="EWR23" s="30">
        <f t="shared" si="62"/>
        <v>163630</v>
      </c>
      <c r="EWS23" s="30">
        <f t="shared" si="62"/>
        <v>163661</v>
      </c>
      <c r="EWT23" s="30">
        <f t="shared" si="62"/>
        <v>163690</v>
      </c>
      <c r="EWU23" s="30">
        <f t="shared" si="62"/>
        <v>163721</v>
      </c>
      <c r="EWV23" s="30">
        <f t="shared" si="62"/>
        <v>163751</v>
      </c>
      <c r="EWW23" s="30">
        <f t="shared" si="62"/>
        <v>163782</v>
      </c>
      <c r="EWX23" s="30">
        <f t="shared" si="62"/>
        <v>163812</v>
      </c>
      <c r="EWY23" s="30">
        <f t="shared" si="62"/>
        <v>163843</v>
      </c>
      <c r="EWZ23" s="30">
        <f t="shared" si="62"/>
        <v>163874</v>
      </c>
      <c r="EXA23" s="30">
        <f t="shared" si="62"/>
        <v>163904</v>
      </c>
      <c r="EXB23" s="30">
        <f t="shared" si="62"/>
        <v>163935</v>
      </c>
      <c r="EXC23" s="30">
        <f t="shared" si="62"/>
        <v>163965</v>
      </c>
      <c r="EXD23" s="30">
        <f t="shared" si="62"/>
        <v>163996</v>
      </c>
      <c r="EXE23" s="30">
        <f t="shared" si="62"/>
        <v>164027</v>
      </c>
      <c r="EXF23" s="30">
        <f t="shared" si="62"/>
        <v>164055</v>
      </c>
      <c r="EXG23" s="30">
        <f t="shared" si="62"/>
        <v>164086</v>
      </c>
      <c r="EXH23" s="30">
        <f t="shared" si="62"/>
        <v>164116</v>
      </c>
      <c r="EXI23" s="30">
        <f t="shared" si="62"/>
        <v>164147</v>
      </c>
      <c r="EXJ23" s="30">
        <f t="shared" si="62"/>
        <v>164177</v>
      </c>
      <c r="EXK23" s="30">
        <f t="shared" si="62"/>
        <v>164208</v>
      </c>
      <c r="EXL23" s="30">
        <f t="shared" si="62"/>
        <v>164239</v>
      </c>
      <c r="EXM23" s="30">
        <f t="shared" si="62"/>
        <v>164269</v>
      </c>
      <c r="EXN23" s="30">
        <f t="shared" si="62"/>
        <v>164300</v>
      </c>
      <c r="EXO23" s="30">
        <f t="shared" si="62"/>
        <v>164330</v>
      </c>
      <c r="EXP23" s="30">
        <f t="shared" si="62"/>
        <v>164361</v>
      </c>
      <c r="EXQ23" s="30">
        <f t="shared" si="62"/>
        <v>164392</v>
      </c>
      <c r="EXR23" s="30">
        <f t="shared" si="62"/>
        <v>164420</v>
      </c>
      <c r="EXS23" s="30">
        <f t="shared" si="62"/>
        <v>164451</v>
      </c>
      <c r="EXT23" s="30">
        <f t="shared" si="62"/>
        <v>164481</v>
      </c>
      <c r="EXU23" s="30">
        <f t="shared" si="62"/>
        <v>164512</v>
      </c>
      <c r="EXV23" s="30">
        <f t="shared" si="62"/>
        <v>164542</v>
      </c>
      <c r="EXW23" s="30">
        <f t="shared" si="62"/>
        <v>164573</v>
      </c>
      <c r="EXX23" s="30">
        <f t="shared" si="62"/>
        <v>164604</v>
      </c>
      <c r="EXY23" s="30">
        <f t="shared" si="62"/>
        <v>164634</v>
      </c>
      <c r="EXZ23" s="30">
        <f t="shared" si="62"/>
        <v>164665</v>
      </c>
      <c r="EYA23" s="30">
        <f t="shared" si="62"/>
        <v>164695</v>
      </c>
      <c r="EYB23" s="30">
        <f t="shared" si="62"/>
        <v>164726</v>
      </c>
      <c r="EYC23" s="30">
        <f t="shared" si="62"/>
        <v>164757</v>
      </c>
      <c r="EYD23" s="30">
        <f t="shared" si="62"/>
        <v>164785</v>
      </c>
      <c r="EYE23" s="30">
        <f t="shared" si="62"/>
        <v>164816</v>
      </c>
      <c r="EYF23" s="30">
        <f t="shared" ref="EYF23:FAQ23" si="63">EDATE(EYE23,1)</f>
        <v>164846</v>
      </c>
      <c r="EYG23" s="30">
        <f t="shared" si="63"/>
        <v>164877</v>
      </c>
      <c r="EYH23" s="30">
        <f t="shared" si="63"/>
        <v>164907</v>
      </c>
      <c r="EYI23" s="30">
        <f t="shared" si="63"/>
        <v>164938</v>
      </c>
      <c r="EYJ23" s="30">
        <f t="shared" si="63"/>
        <v>164969</v>
      </c>
      <c r="EYK23" s="30">
        <f t="shared" si="63"/>
        <v>164999</v>
      </c>
      <c r="EYL23" s="30">
        <f t="shared" si="63"/>
        <v>165030</v>
      </c>
      <c r="EYM23" s="30">
        <f t="shared" si="63"/>
        <v>165060</v>
      </c>
      <c r="EYN23" s="30">
        <f t="shared" si="63"/>
        <v>165091</v>
      </c>
      <c r="EYO23" s="30">
        <f t="shared" si="63"/>
        <v>165122</v>
      </c>
      <c r="EYP23" s="30">
        <f t="shared" si="63"/>
        <v>165151</v>
      </c>
      <c r="EYQ23" s="30">
        <f t="shared" si="63"/>
        <v>165182</v>
      </c>
      <c r="EYR23" s="30">
        <f t="shared" si="63"/>
        <v>165212</v>
      </c>
      <c r="EYS23" s="30">
        <f t="shared" si="63"/>
        <v>165243</v>
      </c>
      <c r="EYT23" s="30">
        <f t="shared" si="63"/>
        <v>165273</v>
      </c>
      <c r="EYU23" s="30">
        <f t="shared" si="63"/>
        <v>165304</v>
      </c>
      <c r="EYV23" s="30">
        <f t="shared" si="63"/>
        <v>165335</v>
      </c>
      <c r="EYW23" s="30">
        <f t="shared" si="63"/>
        <v>165365</v>
      </c>
      <c r="EYX23" s="30">
        <f t="shared" si="63"/>
        <v>165396</v>
      </c>
      <c r="EYY23" s="30">
        <f t="shared" si="63"/>
        <v>165426</v>
      </c>
      <c r="EYZ23" s="30">
        <f t="shared" si="63"/>
        <v>165457</v>
      </c>
      <c r="EZA23" s="30">
        <f t="shared" si="63"/>
        <v>165488</v>
      </c>
      <c r="EZB23" s="30">
        <f t="shared" si="63"/>
        <v>165516</v>
      </c>
      <c r="EZC23" s="30">
        <f t="shared" si="63"/>
        <v>165547</v>
      </c>
      <c r="EZD23" s="30">
        <f t="shared" si="63"/>
        <v>165577</v>
      </c>
      <c r="EZE23" s="30">
        <f t="shared" si="63"/>
        <v>165608</v>
      </c>
      <c r="EZF23" s="30">
        <f t="shared" si="63"/>
        <v>165638</v>
      </c>
      <c r="EZG23" s="30">
        <f t="shared" si="63"/>
        <v>165669</v>
      </c>
      <c r="EZH23" s="30">
        <f t="shared" si="63"/>
        <v>165700</v>
      </c>
      <c r="EZI23" s="30">
        <f t="shared" si="63"/>
        <v>165730</v>
      </c>
      <c r="EZJ23" s="30">
        <f t="shared" si="63"/>
        <v>165761</v>
      </c>
      <c r="EZK23" s="30">
        <f t="shared" si="63"/>
        <v>165791</v>
      </c>
      <c r="EZL23" s="30">
        <f t="shared" si="63"/>
        <v>165822</v>
      </c>
      <c r="EZM23" s="30">
        <f t="shared" si="63"/>
        <v>165853</v>
      </c>
      <c r="EZN23" s="30">
        <f t="shared" si="63"/>
        <v>165881</v>
      </c>
      <c r="EZO23" s="30">
        <f t="shared" si="63"/>
        <v>165912</v>
      </c>
      <c r="EZP23" s="30">
        <f t="shared" si="63"/>
        <v>165942</v>
      </c>
      <c r="EZQ23" s="30">
        <f t="shared" si="63"/>
        <v>165973</v>
      </c>
      <c r="EZR23" s="30">
        <f t="shared" si="63"/>
        <v>166003</v>
      </c>
      <c r="EZS23" s="30">
        <f t="shared" si="63"/>
        <v>166034</v>
      </c>
      <c r="EZT23" s="30">
        <f t="shared" si="63"/>
        <v>166065</v>
      </c>
      <c r="EZU23" s="30">
        <f t="shared" si="63"/>
        <v>166095</v>
      </c>
      <c r="EZV23" s="30">
        <f t="shared" si="63"/>
        <v>166126</v>
      </c>
      <c r="EZW23" s="30">
        <f t="shared" si="63"/>
        <v>166156</v>
      </c>
      <c r="EZX23" s="30">
        <f t="shared" si="63"/>
        <v>166187</v>
      </c>
      <c r="EZY23" s="30">
        <f t="shared" si="63"/>
        <v>166218</v>
      </c>
      <c r="EZZ23" s="30">
        <f t="shared" si="63"/>
        <v>166246</v>
      </c>
      <c r="FAA23" s="30">
        <f t="shared" si="63"/>
        <v>166277</v>
      </c>
      <c r="FAB23" s="30">
        <f t="shared" si="63"/>
        <v>166307</v>
      </c>
      <c r="FAC23" s="30">
        <f t="shared" si="63"/>
        <v>166338</v>
      </c>
      <c r="FAD23" s="30">
        <f t="shared" si="63"/>
        <v>166368</v>
      </c>
      <c r="FAE23" s="30">
        <f t="shared" si="63"/>
        <v>166399</v>
      </c>
      <c r="FAF23" s="30">
        <f t="shared" si="63"/>
        <v>166430</v>
      </c>
      <c r="FAG23" s="30">
        <f t="shared" si="63"/>
        <v>166460</v>
      </c>
      <c r="FAH23" s="30">
        <f t="shared" si="63"/>
        <v>166491</v>
      </c>
      <c r="FAI23" s="30">
        <f t="shared" si="63"/>
        <v>166521</v>
      </c>
      <c r="FAJ23" s="30">
        <f t="shared" si="63"/>
        <v>166552</v>
      </c>
      <c r="FAK23" s="30">
        <f t="shared" si="63"/>
        <v>166583</v>
      </c>
      <c r="FAL23" s="30">
        <f t="shared" si="63"/>
        <v>166612</v>
      </c>
      <c r="FAM23" s="30">
        <f t="shared" si="63"/>
        <v>166643</v>
      </c>
      <c r="FAN23" s="30">
        <f t="shared" si="63"/>
        <v>166673</v>
      </c>
      <c r="FAO23" s="30">
        <f t="shared" si="63"/>
        <v>166704</v>
      </c>
      <c r="FAP23" s="30">
        <f t="shared" si="63"/>
        <v>166734</v>
      </c>
      <c r="FAQ23" s="30">
        <f t="shared" si="63"/>
        <v>166765</v>
      </c>
      <c r="FAR23" s="30">
        <f t="shared" ref="FAR23:FDC23" si="64">EDATE(FAQ23,1)</f>
        <v>166796</v>
      </c>
      <c r="FAS23" s="30">
        <f t="shared" si="64"/>
        <v>166826</v>
      </c>
      <c r="FAT23" s="30">
        <f t="shared" si="64"/>
        <v>166857</v>
      </c>
      <c r="FAU23" s="30">
        <f t="shared" si="64"/>
        <v>166887</v>
      </c>
      <c r="FAV23" s="30">
        <f t="shared" si="64"/>
        <v>166918</v>
      </c>
      <c r="FAW23" s="30">
        <f t="shared" si="64"/>
        <v>166949</v>
      </c>
      <c r="FAX23" s="30">
        <f t="shared" si="64"/>
        <v>166977</v>
      </c>
      <c r="FAY23" s="30">
        <f t="shared" si="64"/>
        <v>167008</v>
      </c>
      <c r="FAZ23" s="30">
        <f t="shared" si="64"/>
        <v>167038</v>
      </c>
      <c r="FBA23" s="30">
        <f t="shared" si="64"/>
        <v>167069</v>
      </c>
      <c r="FBB23" s="30">
        <f t="shared" si="64"/>
        <v>167099</v>
      </c>
      <c r="FBC23" s="30">
        <f t="shared" si="64"/>
        <v>167130</v>
      </c>
      <c r="FBD23" s="30">
        <f t="shared" si="64"/>
        <v>167161</v>
      </c>
      <c r="FBE23" s="30">
        <f t="shared" si="64"/>
        <v>167191</v>
      </c>
      <c r="FBF23" s="30">
        <f t="shared" si="64"/>
        <v>167222</v>
      </c>
      <c r="FBG23" s="30">
        <f t="shared" si="64"/>
        <v>167252</v>
      </c>
      <c r="FBH23" s="30">
        <f t="shared" si="64"/>
        <v>167283</v>
      </c>
      <c r="FBI23" s="30">
        <f t="shared" si="64"/>
        <v>167314</v>
      </c>
      <c r="FBJ23" s="30">
        <f t="shared" si="64"/>
        <v>167342</v>
      </c>
      <c r="FBK23" s="30">
        <f t="shared" si="64"/>
        <v>167373</v>
      </c>
      <c r="FBL23" s="30">
        <f t="shared" si="64"/>
        <v>167403</v>
      </c>
      <c r="FBM23" s="30">
        <f t="shared" si="64"/>
        <v>167434</v>
      </c>
      <c r="FBN23" s="30">
        <f t="shared" si="64"/>
        <v>167464</v>
      </c>
      <c r="FBO23" s="30">
        <f t="shared" si="64"/>
        <v>167495</v>
      </c>
      <c r="FBP23" s="30">
        <f t="shared" si="64"/>
        <v>167526</v>
      </c>
      <c r="FBQ23" s="30">
        <f t="shared" si="64"/>
        <v>167556</v>
      </c>
      <c r="FBR23" s="30">
        <f t="shared" si="64"/>
        <v>167587</v>
      </c>
      <c r="FBS23" s="30">
        <f t="shared" si="64"/>
        <v>167617</v>
      </c>
      <c r="FBT23" s="30">
        <f t="shared" si="64"/>
        <v>167648</v>
      </c>
      <c r="FBU23" s="30">
        <f t="shared" si="64"/>
        <v>167679</v>
      </c>
      <c r="FBV23" s="30">
        <f t="shared" si="64"/>
        <v>167707</v>
      </c>
      <c r="FBW23" s="30">
        <f t="shared" si="64"/>
        <v>167738</v>
      </c>
      <c r="FBX23" s="30">
        <f t="shared" si="64"/>
        <v>167768</v>
      </c>
      <c r="FBY23" s="30">
        <f t="shared" si="64"/>
        <v>167799</v>
      </c>
      <c r="FBZ23" s="30">
        <f t="shared" si="64"/>
        <v>167829</v>
      </c>
      <c r="FCA23" s="30">
        <f t="shared" si="64"/>
        <v>167860</v>
      </c>
      <c r="FCB23" s="30">
        <f t="shared" si="64"/>
        <v>167891</v>
      </c>
      <c r="FCC23" s="30">
        <f t="shared" si="64"/>
        <v>167921</v>
      </c>
      <c r="FCD23" s="30">
        <f t="shared" si="64"/>
        <v>167952</v>
      </c>
      <c r="FCE23" s="30">
        <f t="shared" si="64"/>
        <v>167982</v>
      </c>
      <c r="FCF23" s="30">
        <f t="shared" si="64"/>
        <v>168013</v>
      </c>
      <c r="FCG23" s="30">
        <f t="shared" si="64"/>
        <v>168044</v>
      </c>
      <c r="FCH23" s="30">
        <f t="shared" si="64"/>
        <v>168073</v>
      </c>
      <c r="FCI23" s="30">
        <f t="shared" si="64"/>
        <v>168104</v>
      </c>
      <c r="FCJ23" s="30">
        <f t="shared" si="64"/>
        <v>168134</v>
      </c>
      <c r="FCK23" s="30">
        <f t="shared" si="64"/>
        <v>168165</v>
      </c>
      <c r="FCL23" s="30">
        <f t="shared" si="64"/>
        <v>168195</v>
      </c>
      <c r="FCM23" s="30">
        <f t="shared" si="64"/>
        <v>168226</v>
      </c>
      <c r="FCN23" s="30">
        <f t="shared" si="64"/>
        <v>168257</v>
      </c>
      <c r="FCO23" s="30">
        <f t="shared" si="64"/>
        <v>168287</v>
      </c>
      <c r="FCP23" s="30">
        <f t="shared" si="64"/>
        <v>168318</v>
      </c>
      <c r="FCQ23" s="30">
        <f t="shared" si="64"/>
        <v>168348</v>
      </c>
      <c r="FCR23" s="30">
        <f t="shared" si="64"/>
        <v>168379</v>
      </c>
      <c r="FCS23" s="30">
        <f t="shared" si="64"/>
        <v>168410</v>
      </c>
      <c r="FCT23" s="30">
        <f t="shared" si="64"/>
        <v>168438</v>
      </c>
      <c r="FCU23" s="30">
        <f t="shared" si="64"/>
        <v>168469</v>
      </c>
      <c r="FCV23" s="30">
        <f t="shared" si="64"/>
        <v>168499</v>
      </c>
      <c r="FCW23" s="30">
        <f t="shared" si="64"/>
        <v>168530</v>
      </c>
      <c r="FCX23" s="30">
        <f t="shared" si="64"/>
        <v>168560</v>
      </c>
      <c r="FCY23" s="30">
        <f t="shared" si="64"/>
        <v>168591</v>
      </c>
      <c r="FCZ23" s="30">
        <f t="shared" si="64"/>
        <v>168622</v>
      </c>
      <c r="FDA23" s="30">
        <f t="shared" si="64"/>
        <v>168652</v>
      </c>
      <c r="FDB23" s="30">
        <f t="shared" si="64"/>
        <v>168683</v>
      </c>
      <c r="FDC23" s="30">
        <f t="shared" si="64"/>
        <v>168713</v>
      </c>
      <c r="FDD23" s="30">
        <f t="shared" ref="FDD23:FFO23" si="65">EDATE(FDC23,1)</f>
        <v>168744</v>
      </c>
      <c r="FDE23" s="30">
        <f t="shared" si="65"/>
        <v>168775</v>
      </c>
      <c r="FDF23" s="30">
        <f t="shared" si="65"/>
        <v>168803</v>
      </c>
      <c r="FDG23" s="30">
        <f t="shared" si="65"/>
        <v>168834</v>
      </c>
      <c r="FDH23" s="30">
        <f t="shared" si="65"/>
        <v>168864</v>
      </c>
      <c r="FDI23" s="30">
        <f t="shared" si="65"/>
        <v>168895</v>
      </c>
      <c r="FDJ23" s="30">
        <f t="shared" si="65"/>
        <v>168925</v>
      </c>
      <c r="FDK23" s="30">
        <f t="shared" si="65"/>
        <v>168956</v>
      </c>
      <c r="FDL23" s="30">
        <f t="shared" si="65"/>
        <v>168987</v>
      </c>
      <c r="FDM23" s="30">
        <f t="shared" si="65"/>
        <v>169017</v>
      </c>
      <c r="FDN23" s="30">
        <f t="shared" si="65"/>
        <v>169048</v>
      </c>
      <c r="FDO23" s="30">
        <f t="shared" si="65"/>
        <v>169078</v>
      </c>
      <c r="FDP23" s="30">
        <f t="shared" si="65"/>
        <v>169109</v>
      </c>
      <c r="FDQ23" s="30">
        <f t="shared" si="65"/>
        <v>169140</v>
      </c>
      <c r="FDR23" s="30">
        <f t="shared" si="65"/>
        <v>169168</v>
      </c>
      <c r="FDS23" s="30">
        <f t="shared" si="65"/>
        <v>169199</v>
      </c>
      <c r="FDT23" s="30">
        <f t="shared" si="65"/>
        <v>169229</v>
      </c>
      <c r="FDU23" s="30">
        <f t="shared" si="65"/>
        <v>169260</v>
      </c>
      <c r="FDV23" s="30">
        <f t="shared" si="65"/>
        <v>169290</v>
      </c>
      <c r="FDW23" s="30">
        <f t="shared" si="65"/>
        <v>169321</v>
      </c>
      <c r="FDX23" s="30">
        <f t="shared" si="65"/>
        <v>169352</v>
      </c>
      <c r="FDY23" s="30">
        <f t="shared" si="65"/>
        <v>169382</v>
      </c>
      <c r="FDZ23" s="30">
        <f t="shared" si="65"/>
        <v>169413</v>
      </c>
      <c r="FEA23" s="30">
        <f t="shared" si="65"/>
        <v>169443</v>
      </c>
      <c r="FEB23" s="30">
        <f t="shared" si="65"/>
        <v>169474</v>
      </c>
      <c r="FEC23" s="30">
        <f t="shared" si="65"/>
        <v>169505</v>
      </c>
      <c r="FED23" s="30">
        <f t="shared" si="65"/>
        <v>169534</v>
      </c>
      <c r="FEE23" s="30">
        <f t="shared" si="65"/>
        <v>169565</v>
      </c>
      <c r="FEF23" s="30">
        <f t="shared" si="65"/>
        <v>169595</v>
      </c>
      <c r="FEG23" s="30">
        <f t="shared" si="65"/>
        <v>169626</v>
      </c>
      <c r="FEH23" s="30">
        <f t="shared" si="65"/>
        <v>169656</v>
      </c>
      <c r="FEI23" s="30">
        <f t="shared" si="65"/>
        <v>169687</v>
      </c>
      <c r="FEJ23" s="30">
        <f t="shared" si="65"/>
        <v>169718</v>
      </c>
      <c r="FEK23" s="30">
        <f t="shared" si="65"/>
        <v>169748</v>
      </c>
      <c r="FEL23" s="30">
        <f t="shared" si="65"/>
        <v>169779</v>
      </c>
      <c r="FEM23" s="30">
        <f t="shared" si="65"/>
        <v>169809</v>
      </c>
      <c r="FEN23" s="30">
        <f t="shared" si="65"/>
        <v>169840</v>
      </c>
      <c r="FEO23" s="30">
        <f t="shared" si="65"/>
        <v>169871</v>
      </c>
      <c r="FEP23" s="30">
        <f t="shared" si="65"/>
        <v>169899</v>
      </c>
      <c r="FEQ23" s="30">
        <f t="shared" si="65"/>
        <v>169930</v>
      </c>
      <c r="FER23" s="30">
        <f t="shared" si="65"/>
        <v>169960</v>
      </c>
      <c r="FES23" s="30">
        <f t="shared" si="65"/>
        <v>169991</v>
      </c>
      <c r="FET23" s="30">
        <f t="shared" si="65"/>
        <v>170021</v>
      </c>
      <c r="FEU23" s="30">
        <f t="shared" si="65"/>
        <v>170052</v>
      </c>
      <c r="FEV23" s="30">
        <f t="shared" si="65"/>
        <v>170083</v>
      </c>
      <c r="FEW23" s="30">
        <f t="shared" si="65"/>
        <v>170113</v>
      </c>
      <c r="FEX23" s="30">
        <f t="shared" si="65"/>
        <v>170144</v>
      </c>
      <c r="FEY23" s="30">
        <f t="shared" si="65"/>
        <v>170174</v>
      </c>
      <c r="FEZ23" s="30">
        <f t="shared" si="65"/>
        <v>170205</v>
      </c>
      <c r="FFA23" s="30">
        <f t="shared" si="65"/>
        <v>170236</v>
      </c>
      <c r="FFB23" s="30">
        <f t="shared" si="65"/>
        <v>170264</v>
      </c>
      <c r="FFC23" s="30">
        <f t="shared" si="65"/>
        <v>170295</v>
      </c>
      <c r="FFD23" s="30">
        <f t="shared" si="65"/>
        <v>170325</v>
      </c>
      <c r="FFE23" s="30">
        <f t="shared" si="65"/>
        <v>170356</v>
      </c>
      <c r="FFF23" s="30">
        <f t="shared" si="65"/>
        <v>170386</v>
      </c>
      <c r="FFG23" s="30">
        <f t="shared" si="65"/>
        <v>170417</v>
      </c>
      <c r="FFH23" s="30">
        <f t="shared" si="65"/>
        <v>170448</v>
      </c>
      <c r="FFI23" s="30">
        <f t="shared" si="65"/>
        <v>170478</v>
      </c>
      <c r="FFJ23" s="30">
        <f t="shared" si="65"/>
        <v>170509</v>
      </c>
      <c r="FFK23" s="30">
        <f t="shared" si="65"/>
        <v>170539</v>
      </c>
      <c r="FFL23" s="30">
        <f t="shared" si="65"/>
        <v>170570</v>
      </c>
      <c r="FFM23" s="30">
        <f t="shared" si="65"/>
        <v>170601</v>
      </c>
      <c r="FFN23" s="30">
        <f t="shared" si="65"/>
        <v>170629</v>
      </c>
      <c r="FFO23" s="30">
        <f t="shared" si="65"/>
        <v>170660</v>
      </c>
      <c r="FFP23" s="30">
        <f t="shared" ref="FFP23:FIA23" si="66">EDATE(FFO23,1)</f>
        <v>170690</v>
      </c>
      <c r="FFQ23" s="30">
        <f t="shared" si="66"/>
        <v>170721</v>
      </c>
      <c r="FFR23" s="30">
        <f t="shared" si="66"/>
        <v>170751</v>
      </c>
      <c r="FFS23" s="30">
        <f t="shared" si="66"/>
        <v>170782</v>
      </c>
      <c r="FFT23" s="30">
        <f t="shared" si="66"/>
        <v>170813</v>
      </c>
      <c r="FFU23" s="30">
        <f t="shared" si="66"/>
        <v>170843</v>
      </c>
      <c r="FFV23" s="30">
        <f t="shared" si="66"/>
        <v>170874</v>
      </c>
      <c r="FFW23" s="30">
        <f t="shared" si="66"/>
        <v>170904</v>
      </c>
      <c r="FFX23" s="30">
        <f t="shared" si="66"/>
        <v>170935</v>
      </c>
      <c r="FFY23" s="30">
        <f t="shared" si="66"/>
        <v>170966</v>
      </c>
      <c r="FFZ23" s="30">
        <f t="shared" si="66"/>
        <v>170995</v>
      </c>
      <c r="FGA23" s="30">
        <f t="shared" si="66"/>
        <v>171026</v>
      </c>
      <c r="FGB23" s="30">
        <f t="shared" si="66"/>
        <v>171056</v>
      </c>
      <c r="FGC23" s="30">
        <f t="shared" si="66"/>
        <v>171087</v>
      </c>
      <c r="FGD23" s="30">
        <f t="shared" si="66"/>
        <v>171117</v>
      </c>
      <c r="FGE23" s="30">
        <f t="shared" si="66"/>
        <v>171148</v>
      </c>
      <c r="FGF23" s="30">
        <f t="shared" si="66"/>
        <v>171179</v>
      </c>
      <c r="FGG23" s="30">
        <f t="shared" si="66"/>
        <v>171209</v>
      </c>
      <c r="FGH23" s="30">
        <f t="shared" si="66"/>
        <v>171240</v>
      </c>
      <c r="FGI23" s="30">
        <f t="shared" si="66"/>
        <v>171270</v>
      </c>
      <c r="FGJ23" s="30">
        <f t="shared" si="66"/>
        <v>171301</v>
      </c>
      <c r="FGK23" s="30">
        <f t="shared" si="66"/>
        <v>171332</v>
      </c>
      <c r="FGL23" s="30">
        <f t="shared" si="66"/>
        <v>171360</v>
      </c>
      <c r="FGM23" s="30">
        <f t="shared" si="66"/>
        <v>171391</v>
      </c>
      <c r="FGN23" s="30">
        <f t="shared" si="66"/>
        <v>171421</v>
      </c>
      <c r="FGO23" s="30">
        <f t="shared" si="66"/>
        <v>171452</v>
      </c>
      <c r="FGP23" s="30">
        <f t="shared" si="66"/>
        <v>171482</v>
      </c>
      <c r="FGQ23" s="30">
        <f t="shared" si="66"/>
        <v>171513</v>
      </c>
      <c r="FGR23" s="30">
        <f t="shared" si="66"/>
        <v>171544</v>
      </c>
      <c r="FGS23" s="30">
        <f t="shared" si="66"/>
        <v>171574</v>
      </c>
      <c r="FGT23" s="30">
        <f t="shared" si="66"/>
        <v>171605</v>
      </c>
      <c r="FGU23" s="30">
        <f t="shared" si="66"/>
        <v>171635</v>
      </c>
      <c r="FGV23" s="30">
        <f t="shared" si="66"/>
        <v>171666</v>
      </c>
      <c r="FGW23" s="30">
        <f t="shared" si="66"/>
        <v>171697</v>
      </c>
      <c r="FGX23" s="30">
        <f t="shared" si="66"/>
        <v>171725</v>
      </c>
      <c r="FGY23" s="30">
        <f t="shared" si="66"/>
        <v>171756</v>
      </c>
      <c r="FGZ23" s="30">
        <f t="shared" si="66"/>
        <v>171786</v>
      </c>
      <c r="FHA23" s="30">
        <f t="shared" si="66"/>
        <v>171817</v>
      </c>
      <c r="FHB23" s="30">
        <f t="shared" si="66"/>
        <v>171847</v>
      </c>
      <c r="FHC23" s="30">
        <f t="shared" si="66"/>
        <v>171878</v>
      </c>
      <c r="FHD23" s="30">
        <f t="shared" si="66"/>
        <v>171909</v>
      </c>
      <c r="FHE23" s="30">
        <f t="shared" si="66"/>
        <v>171939</v>
      </c>
      <c r="FHF23" s="30">
        <f t="shared" si="66"/>
        <v>171970</v>
      </c>
      <c r="FHG23" s="30">
        <f t="shared" si="66"/>
        <v>172000</v>
      </c>
      <c r="FHH23" s="30">
        <f t="shared" si="66"/>
        <v>172031</v>
      </c>
      <c r="FHI23" s="30">
        <f t="shared" si="66"/>
        <v>172062</v>
      </c>
      <c r="FHJ23" s="30">
        <f t="shared" si="66"/>
        <v>172090</v>
      </c>
      <c r="FHK23" s="30">
        <f t="shared" si="66"/>
        <v>172121</v>
      </c>
      <c r="FHL23" s="30">
        <f t="shared" si="66"/>
        <v>172151</v>
      </c>
      <c r="FHM23" s="30">
        <f t="shared" si="66"/>
        <v>172182</v>
      </c>
      <c r="FHN23" s="30">
        <f t="shared" si="66"/>
        <v>172212</v>
      </c>
      <c r="FHO23" s="30">
        <f t="shared" si="66"/>
        <v>172243</v>
      </c>
      <c r="FHP23" s="30">
        <f t="shared" si="66"/>
        <v>172274</v>
      </c>
      <c r="FHQ23" s="30">
        <f t="shared" si="66"/>
        <v>172304</v>
      </c>
      <c r="FHR23" s="30">
        <f t="shared" si="66"/>
        <v>172335</v>
      </c>
      <c r="FHS23" s="30">
        <f t="shared" si="66"/>
        <v>172365</v>
      </c>
      <c r="FHT23" s="30">
        <f t="shared" si="66"/>
        <v>172396</v>
      </c>
      <c r="FHU23" s="30">
        <f t="shared" si="66"/>
        <v>172427</v>
      </c>
      <c r="FHV23" s="30">
        <f t="shared" si="66"/>
        <v>172456</v>
      </c>
      <c r="FHW23" s="30">
        <f t="shared" si="66"/>
        <v>172487</v>
      </c>
      <c r="FHX23" s="30">
        <f t="shared" si="66"/>
        <v>172517</v>
      </c>
      <c r="FHY23" s="30">
        <f t="shared" si="66"/>
        <v>172548</v>
      </c>
      <c r="FHZ23" s="30">
        <f t="shared" si="66"/>
        <v>172578</v>
      </c>
      <c r="FIA23" s="30">
        <f t="shared" si="66"/>
        <v>172609</v>
      </c>
      <c r="FIB23" s="30">
        <f t="shared" ref="FIB23:FKM23" si="67">EDATE(FIA23,1)</f>
        <v>172640</v>
      </c>
      <c r="FIC23" s="30">
        <f t="shared" si="67"/>
        <v>172670</v>
      </c>
      <c r="FID23" s="30">
        <f t="shared" si="67"/>
        <v>172701</v>
      </c>
      <c r="FIE23" s="30">
        <f t="shared" si="67"/>
        <v>172731</v>
      </c>
      <c r="FIF23" s="30">
        <f t="shared" si="67"/>
        <v>172762</v>
      </c>
      <c r="FIG23" s="30">
        <f t="shared" si="67"/>
        <v>172793</v>
      </c>
      <c r="FIH23" s="30">
        <f t="shared" si="67"/>
        <v>172821</v>
      </c>
      <c r="FII23" s="30">
        <f t="shared" si="67"/>
        <v>172852</v>
      </c>
      <c r="FIJ23" s="30">
        <f t="shared" si="67"/>
        <v>172882</v>
      </c>
      <c r="FIK23" s="30">
        <f t="shared" si="67"/>
        <v>172913</v>
      </c>
      <c r="FIL23" s="30">
        <f t="shared" si="67"/>
        <v>172943</v>
      </c>
      <c r="FIM23" s="30">
        <f t="shared" si="67"/>
        <v>172974</v>
      </c>
      <c r="FIN23" s="30">
        <f t="shared" si="67"/>
        <v>173005</v>
      </c>
      <c r="FIO23" s="30">
        <f t="shared" si="67"/>
        <v>173035</v>
      </c>
      <c r="FIP23" s="30">
        <f t="shared" si="67"/>
        <v>173066</v>
      </c>
      <c r="FIQ23" s="30">
        <f t="shared" si="67"/>
        <v>173096</v>
      </c>
      <c r="FIR23" s="30">
        <f t="shared" si="67"/>
        <v>173127</v>
      </c>
      <c r="FIS23" s="30">
        <f t="shared" si="67"/>
        <v>173158</v>
      </c>
      <c r="FIT23" s="30">
        <f t="shared" si="67"/>
        <v>173186</v>
      </c>
      <c r="FIU23" s="30">
        <f t="shared" si="67"/>
        <v>173217</v>
      </c>
      <c r="FIV23" s="30">
        <f t="shared" si="67"/>
        <v>173247</v>
      </c>
      <c r="FIW23" s="30">
        <f t="shared" si="67"/>
        <v>173278</v>
      </c>
      <c r="FIX23" s="30">
        <f t="shared" si="67"/>
        <v>173308</v>
      </c>
      <c r="FIY23" s="30">
        <f t="shared" si="67"/>
        <v>173339</v>
      </c>
      <c r="FIZ23" s="30">
        <f t="shared" si="67"/>
        <v>173370</v>
      </c>
      <c r="FJA23" s="30">
        <f t="shared" si="67"/>
        <v>173400</v>
      </c>
      <c r="FJB23" s="30">
        <f t="shared" si="67"/>
        <v>173431</v>
      </c>
      <c r="FJC23" s="30">
        <f t="shared" si="67"/>
        <v>173461</v>
      </c>
      <c r="FJD23" s="30">
        <f t="shared" si="67"/>
        <v>173492</v>
      </c>
      <c r="FJE23" s="30">
        <f t="shared" si="67"/>
        <v>173523</v>
      </c>
      <c r="FJF23" s="30">
        <f t="shared" si="67"/>
        <v>173551</v>
      </c>
      <c r="FJG23" s="30">
        <f t="shared" si="67"/>
        <v>173582</v>
      </c>
      <c r="FJH23" s="30">
        <f t="shared" si="67"/>
        <v>173612</v>
      </c>
      <c r="FJI23" s="30">
        <f t="shared" si="67"/>
        <v>173643</v>
      </c>
      <c r="FJJ23" s="30">
        <f t="shared" si="67"/>
        <v>173673</v>
      </c>
      <c r="FJK23" s="30">
        <f t="shared" si="67"/>
        <v>173704</v>
      </c>
      <c r="FJL23" s="30">
        <f t="shared" si="67"/>
        <v>173735</v>
      </c>
      <c r="FJM23" s="30">
        <f t="shared" si="67"/>
        <v>173765</v>
      </c>
      <c r="FJN23" s="30">
        <f t="shared" si="67"/>
        <v>173796</v>
      </c>
      <c r="FJO23" s="30">
        <f t="shared" si="67"/>
        <v>173826</v>
      </c>
      <c r="FJP23" s="30">
        <f t="shared" si="67"/>
        <v>173857</v>
      </c>
      <c r="FJQ23" s="30">
        <f t="shared" si="67"/>
        <v>173888</v>
      </c>
      <c r="FJR23" s="30">
        <f t="shared" si="67"/>
        <v>173917</v>
      </c>
      <c r="FJS23" s="30">
        <f t="shared" si="67"/>
        <v>173948</v>
      </c>
      <c r="FJT23" s="30">
        <f t="shared" si="67"/>
        <v>173978</v>
      </c>
      <c r="FJU23" s="30">
        <f t="shared" si="67"/>
        <v>174009</v>
      </c>
      <c r="FJV23" s="30">
        <f t="shared" si="67"/>
        <v>174039</v>
      </c>
      <c r="FJW23" s="30">
        <f t="shared" si="67"/>
        <v>174070</v>
      </c>
      <c r="FJX23" s="30">
        <f t="shared" si="67"/>
        <v>174101</v>
      </c>
      <c r="FJY23" s="30">
        <f t="shared" si="67"/>
        <v>174131</v>
      </c>
      <c r="FJZ23" s="30">
        <f t="shared" si="67"/>
        <v>174162</v>
      </c>
      <c r="FKA23" s="30">
        <f t="shared" si="67"/>
        <v>174192</v>
      </c>
      <c r="FKB23" s="30">
        <f t="shared" si="67"/>
        <v>174223</v>
      </c>
      <c r="FKC23" s="30">
        <f t="shared" si="67"/>
        <v>174254</v>
      </c>
      <c r="FKD23" s="30">
        <f t="shared" si="67"/>
        <v>174282</v>
      </c>
      <c r="FKE23" s="30">
        <f t="shared" si="67"/>
        <v>174313</v>
      </c>
      <c r="FKF23" s="30">
        <f t="shared" si="67"/>
        <v>174343</v>
      </c>
      <c r="FKG23" s="30">
        <f t="shared" si="67"/>
        <v>174374</v>
      </c>
      <c r="FKH23" s="30">
        <f t="shared" si="67"/>
        <v>174404</v>
      </c>
      <c r="FKI23" s="30">
        <f t="shared" si="67"/>
        <v>174435</v>
      </c>
      <c r="FKJ23" s="30">
        <f t="shared" si="67"/>
        <v>174466</v>
      </c>
      <c r="FKK23" s="30">
        <f t="shared" si="67"/>
        <v>174496</v>
      </c>
      <c r="FKL23" s="30">
        <f t="shared" si="67"/>
        <v>174527</v>
      </c>
      <c r="FKM23" s="30">
        <f t="shared" si="67"/>
        <v>174557</v>
      </c>
      <c r="FKN23" s="30">
        <f t="shared" ref="FKN23:FMY23" si="68">EDATE(FKM23,1)</f>
        <v>174588</v>
      </c>
      <c r="FKO23" s="30">
        <f t="shared" si="68"/>
        <v>174619</v>
      </c>
      <c r="FKP23" s="30">
        <f t="shared" si="68"/>
        <v>174647</v>
      </c>
      <c r="FKQ23" s="30">
        <f t="shared" si="68"/>
        <v>174678</v>
      </c>
      <c r="FKR23" s="30">
        <f t="shared" si="68"/>
        <v>174708</v>
      </c>
      <c r="FKS23" s="30">
        <f t="shared" si="68"/>
        <v>174739</v>
      </c>
      <c r="FKT23" s="30">
        <f t="shared" si="68"/>
        <v>174769</v>
      </c>
      <c r="FKU23" s="30">
        <f t="shared" si="68"/>
        <v>174800</v>
      </c>
      <c r="FKV23" s="30">
        <f t="shared" si="68"/>
        <v>174831</v>
      </c>
      <c r="FKW23" s="30">
        <f t="shared" si="68"/>
        <v>174861</v>
      </c>
      <c r="FKX23" s="30">
        <f t="shared" si="68"/>
        <v>174892</v>
      </c>
      <c r="FKY23" s="30">
        <f t="shared" si="68"/>
        <v>174922</v>
      </c>
      <c r="FKZ23" s="30">
        <f t="shared" si="68"/>
        <v>174953</v>
      </c>
      <c r="FLA23" s="30">
        <f t="shared" si="68"/>
        <v>174984</v>
      </c>
      <c r="FLB23" s="30">
        <f t="shared" si="68"/>
        <v>175012</v>
      </c>
      <c r="FLC23" s="30">
        <f t="shared" si="68"/>
        <v>175043</v>
      </c>
      <c r="FLD23" s="30">
        <f t="shared" si="68"/>
        <v>175073</v>
      </c>
      <c r="FLE23" s="30">
        <f t="shared" si="68"/>
        <v>175104</v>
      </c>
      <c r="FLF23" s="30">
        <f t="shared" si="68"/>
        <v>175134</v>
      </c>
      <c r="FLG23" s="30">
        <f t="shared" si="68"/>
        <v>175165</v>
      </c>
      <c r="FLH23" s="30">
        <f t="shared" si="68"/>
        <v>175196</v>
      </c>
      <c r="FLI23" s="30">
        <f t="shared" si="68"/>
        <v>175226</v>
      </c>
      <c r="FLJ23" s="30">
        <f t="shared" si="68"/>
        <v>175257</v>
      </c>
      <c r="FLK23" s="30">
        <f t="shared" si="68"/>
        <v>175287</v>
      </c>
      <c r="FLL23" s="30">
        <f t="shared" si="68"/>
        <v>175318</v>
      </c>
      <c r="FLM23" s="30">
        <f t="shared" si="68"/>
        <v>175349</v>
      </c>
      <c r="FLN23" s="30">
        <f t="shared" si="68"/>
        <v>175378</v>
      </c>
      <c r="FLO23" s="30">
        <f t="shared" si="68"/>
        <v>175409</v>
      </c>
      <c r="FLP23" s="30">
        <f t="shared" si="68"/>
        <v>175439</v>
      </c>
      <c r="FLQ23" s="30">
        <f t="shared" si="68"/>
        <v>175470</v>
      </c>
      <c r="FLR23" s="30">
        <f t="shared" si="68"/>
        <v>175500</v>
      </c>
      <c r="FLS23" s="30">
        <f t="shared" si="68"/>
        <v>175531</v>
      </c>
      <c r="FLT23" s="30">
        <f t="shared" si="68"/>
        <v>175562</v>
      </c>
      <c r="FLU23" s="30">
        <f t="shared" si="68"/>
        <v>175592</v>
      </c>
      <c r="FLV23" s="30">
        <f t="shared" si="68"/>
        <v>175623</v>
      </c>
      <c r="FLW23" s="30">
        <f t="shared" si="68"/>
        <v>175653</v>
      </c>
      <c r="FLX23" s="30">
        <f t="shared" si="68"/>
        <v>175684</v>
      </c>
      <c r="FLY23" s="30">
        <f t="shared" si="68"/>
        <v>175715</v>
      </c>
      <c r="FLZ23" s="30">
        <f t="shared" si="68"/>
        <v>175743</v>
      </c>
      <c r="FMA23" s="30">
        <f t="shared" si="68"/>
        <v>175774</v>
      </c>
      <c r="FMB23" s="30">
        <f t="shared" si="68"/>
        <v>175804</v>
      </c>
      <c r="FMC23" s="30">
        <f t="shared" si="68"/>
        <v>175835</v>
      </c>
      <c r="FMD23" s="30">
        <f t="shared" si="68"/>
        <v>175865</v>
      </c>
      <c r="FME23" s="30">
        <f t="shared" si="68"/>
        <v>175896</v>
      </c>
      <c r="FMF23" s="30">
        <f t="shared" si="68"/>
        <v>175927</v>
      </c>
      <c r="FMG23" s="30">
        <f t="shared" si="68"/>
        <v>175957</v>
      </c>
      <c r="FMH23" s="30">
        <f t="shared" si="68"/>
        <v>175988</v>
      </c>
      <c r="FMI23" s="30">
        <f t="shared" si="68"/>
        <v>176018</v>
      </c>
      <c r="FMJ23" s="30">
        <f t="shared" si="68"/>
        <v>176049</v>
      </c>
      <c r="FMK23" s="30">
        <f t="shared" si="68"/>
        <v>176080</v>
      </c>
      <c r="FML23" s="30">
        <f t="shared" si="68"/>
        <v>176108</v>
      </c>
      <c r="FMM23" s="30">
        <f t="shared" si="68"/>
        <v>176139</v>
      </c>
      <c r="FMN23" s="30">
        <f t="shared" si="68"/>
        <v>176169</v>
      </c>
      <c r="FMO23" s="30">
        <f t="shared" si="68"/>
        <v>176200</v>
      </c>
      <c r="FMP23" s="30">
        <f t="shared" si="68"/>
        <v>176230</v>
      </c>
      <c r="FMQ23" s="30">
        <f t="shared" si="68"/>
        <v>176261</v>
      </c>
      <c r="FMR23" s="30">
        <f t="shared" si="68"/>
        <v>176292</v>
      </c>
      <c r="FMS23" s="30">
        <f t="shared" si="68"/>
        <v>176322</v>
      </c>
      <c r="FMT23" s="30">
        <f t="shared" si="68"/>
        <v>176353</v>
      </c>
      <c r="FMU23" s="30">
        <f t="shared" si="68"/>
        <v>176383</v>
      </c>
      <c r="FMV23" s="30">
        <f t="shared" si="68"/>
        <v>176414</v>
      </c>
      <c r="FMW23" s="30">
        <f t="shared" si="68"/>
        <v>176445</v>
      </c>
      <c r="FMX23" s="30">
        <f t="shared" si="68"/>
        <v>176473</v>
      </c>
      <c r="FMY23" s="30">
        <f t="shared" si="68"/>
        <v>176504</v>
      </c>
      <c r="FMZ23" s="30">
        <f t="shared" ref="FMZ23:FPK23" si="69">EDATE(FMY23,1)</f>
        <v>176534</v>
      </c>
      <c r="FNA23" s="30">
        <f t="shared" si="69"/>
        <v>176565</v>
      </c>
      <c r="FNB23" s="30">
        <f t="shared" si="69"/>
        <v>176595</v>
      </c>
      <c r="FNC23" s="30">
        <f t="shared" si="69"/>
        <v>176626</v>
      </c>
      <c r="FND23" s="30">
        <f t="shared" si="69"/>
        <v>176657</v>
      </c>
      <c r="FNE23" s="30">
        <f t="shared" si="69"/>
        <v>176687</v>
      </c>
      <c r="FNF23" s="30">
        <f t="shared" si="69"/>
        <v>176718</v>
      </c>
      <c r="FNG23" s="30">
        <f t="shared" si="69"/>
        <v>176748</v>
      </c>
      <c r="FNH23" s="30">
        <f t="shared" si="69"/>
        <v>176779</v>
      </c>
      <c r="FNI23" s="30">
        <f t="shared" si="69"/>
        <v>176810</v>
      </c>
      <c r="FNJ23" s="30">
        <f t="shared" si="69"/>
        <v>176839</v>
      </c>
      <c r="FNK23" s="30">
        <f t="shared" si="69"/>
        <v>176870</v>
      </c>
      <c r="FNL23" s="30">
        <f t="shared" si="69"/>
        <v>176900</v>
      </c>
      <c r="FNM23" s="30">
        <f t="shared" si="69"/>
        <v>176931</v>
      </c>
      <c r="FNN23" s="30">
        <f t="shared" si="69"/>
        <v>176961</v>
      </c>
      <c r="FNO23" s="30">
        <f t="shared" si="69"/>
        <v>176992</v>
      </c>
      <c r="FNP23" s="30">
        <f t="shared" si="69"/>
        <v>177023</v>
      </c>
      <c r="FNQ23" s="30">
        <f t="shared" si="69"/>
        <v>177053</v>
      </c>
      <c r="FNR23" s="30">
        <f t="shared" si="69"/>
        <v>177084</v>
      </c>
      <c r="FNS23" s="30">
        <f t="shared" si="69"/>
        <v>177114</v>
      </c>
      <c r="FNT23" s="30">
        <f t="shared" si="69"/>
        <v>177145</v>
      </c>
      <c r="FNU23" s="30">
        <f t="shared" si="69"/>
        <v>177176</v>
      </c>
      <c r="FNV23" s="30">
        <f t="shared" si="69"/>
        <v>177204</v>
      </c>
      <c r="FNW23" s="30">
        <f t="shared" si="69"/>
        <v>177235</v>
      </c>
      <c r="FNX23" s="30">
        <f t="shared" si="69"/>
        <v>177265</v>
      </c>
      <c r="FNY23" s="30">
        <f t="shared" si="69"/>
        <v>177296</v>
      </c>
      <c r="FNZ23" s="30">
        <f t="shared" si="69"/>
        <v>177326</v>
      </c>
      <c r="FOA23" s="30">
        <f t="shared" si="69"/>
        <v>177357</v>
      </c>
      <c r="FOB23" s="30">
        <f t="shared" si="69"/>
        <v>177388</v>
      </c>
      <c r="FOC23" s="30">
        <f t="shared" si="69"/>
        <v>177418</v>
      </c>
      <c r="FOD23" s="30">
        <f t="shared" si="69"/>
        <v>177449</v>
      </c>
      <c r="FOE23" s="30">
        <f t="shared" si="69"/>
        <v>177479</v>
      </c>
      <c r="FOF23" s="30">
        <f t="shared" si="69"/>
        <v>177510</v>
      </c>
      <c r="FOG23" s="30">
        <f t="shared" si="69"/>
        <v>177541</v>
      </c>
      <c r="FOH23" s="30">
        <f t="shared" si="69"/>
        <v>177569</v>
      </c>
      <c r="FOI23" s="30">
        <f t="shared" si="69"/>
        <v>177600</v>
      </c>
      <c r="FOJ23" s="30">
        <f t="shared" si="69"/>
        <v>177630</v>
      </c>
      <c r="FOK23" s="30">
        <f t="shared" si="69"/>
        <v>177661</v>
      </c>
      <c r="FOL23" s="30">
        <f t="shared" si="69"/>
        <v>177691</v>
      </c>
      <c r="FOM23" s="30">
        <f t="shared" si="69"/>
        <v>177722</v>
      </c>
      <c r="FON23" s="30">
        <f t="shared" si="69"/>
        <v>177753</v>
      </c>
      <c r="FOO23" s="30">
        <f t="shared" si="69"/>
        <v>177783</v>
      </c>
      <c r="FOP23" s="30">
        <f t="shared" si="69"/>
        <v>177814</v>
      </c>
      <c r="FOQ23" s="30">
        <f t="shared" si="69"/>
        <v>177844</v>
      </c>
      <c r="FOR23" s="30">
        <f t="shared" si="69"/>
        <v>177875</v>
      </c>
      <c r="FOS23" s="30">
        <f t="shared" si="69"/>
        <v>177906</v>
      </c>
      <c r="FOT23" s="30">
        <f t="shared" si="69"/>
        <v>177934</v>
      </c>
      <c r="FOU23" s="30">
        <f t="shared" si="69"/>
        <v>177965</v>
      </c>
      <c r="FOV23" s="30">
        <f t="shared" si="69"/>
        <v>177995</v>
      </c>
      <c r="FOW23" s="30">
        <f t="shared" si="69"/>
        <v>178026</v>
      </c>
      <c r="FOX23" s="30">
        <f t="shared" si="69"/>
        <v>178056</v>
      </c>
      <c r="FOY23" s="30">
        <f t="shared" si="69"/>
        <v>178087</v>
      </c>
      <c r="FOZ23" s="30">
        <f t="shared" si="69"/>
        <v>178118</v>
      </c>
      <c r="FPA23" s="30">
        <f t="shared" si="69"/>
        <v>178148</v>
      </c>
      <c r="FPB23" s="30">
        <f t="shared" si="69"/>
        <v>178179</v>
      </c>
      <c r="FPC23" s="30">
        <f t="shared" si="69"/>
        <v>178209</v>
      </c>
      <c r="FPD23" s="30">
        <f t="shared" si="69"/>
        <v>178240</v>
      </c>
      <c r="FPE23" s="30">
        <f t="shared" si="69"/>
        <v>178271</v>
      </c>
      <c r="FPF23" s="30">
        <f t="shared" si="69"/>
        <v>178300</v>
      </c>
      <c r="FPG23" s="30">
        <f t="shared" si="69"/>
        <v>178331</v>
      </c>
      <c r="FPH23" s="30">
        <f t="shared" si="69"/>
        <v>178361</v>
      </c>
      <c r="FPI23" s="30">
        <f t="shared" si="69"/>
        <v>178392</v>
      </c>
      <c r="FPJ23" s="30">
        <f t="shared" si="69"/>
        <v>178422</v>
      </c>
      <c r="FPK23" s="30">
        <f t="shared" si="69"/>
        <v>178453</v>
      </c>
      <c r="FPL23" s="30">
        <f t="shared" ref="FPL23:FRW23" si="70">EDATE(FPK23,1)</f>
        <v>178484</v>
      </c>
      <c r="FPM23" s="30">
        <f t="shared" si="70"/>
        <v>178514</v>
      </c>
      <c r="FPN23" s="30">
        <f t="shared" si="70"/>
        <v>178545</v>
      </c>
      <c r="FPO23" s="30">
        <f t="shared" si="70"/>
        <v>178575</v>
      </c>
      <c r="FPP23" s="30">
        <f t="shared" si="70"/>
        <v>178606</v>
      </c>
      <c r="FPQ23" s="30">
        <f t="shared" si="70"/>
        <v>178637</v>
      </c>
      <c r="FPR23" s="30">
        <f t="shared" si="70"/>
        <v>178665</v>
      </c>
      <c r="FPS23" s="30">
        <f t="shared" si="70"/>
        <v>178696</v>
      </c>
      <c r="FPT23" s="30">
        <f t="shared" si="70"/>
        <v>178726</v>
      </c>
      <c r="FPU23" s="30">
        <f t="shared" si="70"/>
        <v>178757</v>
      </c>
      <c r="FPV23" s="30">
        <f t="shared" si="70"/>
        <v>178787</v>
      </c>
      <c r="FPW23" s="30">
        <f t="shared" si="70"/>
        <v>178818</v>
      </c>
      <c r="FPX23" s="30">
        <f t="shared" si="70"/>
        <v>178849</v>
      </c>
      <c r="FPY23" s="30">
        <f t="shared" si="70"/>
        <v>178879</v>
      </c>
      <c r="FPZ23" s="30">
        <f t="shared" si="70"/>
        <v>178910</v>
      </c>
      <c r="FQA23" s="30">
        <f t="shared" si="70"/>
        <v>178940</v>
      </c>
      <c r="FQB23" s="30">
        <f t="shared" si="70"/>
        <v>178971</v>
      </c>
      <c r="FQC23" s="30">
        <f t="shared" si="70"/>
        <v>179002</v>
      </c>
      <c r="FQD23" s="30">
        <f t="shared" si="70"/>
        <v>179030</v>
      </c>
      <c r="FQE23" s="30">
        <f t="shared" si="70"/>
        <v>179061</v>
      </c>
      <c r="FQF23" s="30">
        <f t="shared" si="70"/>
        <v>179091</v>
      </c>
      <c r="FQG23" s="30">
        <f t="shared" si="70"/>
        <v>179122</v>
      </c>
      <c r="FQH23" s="30">
        <f t="shared" si="70"/>
        <v>179152</v>
      </c>
      <c r="FQI23" s="30">
        <f t="shared" si="70"/>
        <v>179183</v>
      </c>
      <c r="FQJ23" s="30">
        <f t="shared" si="70"/>
        <v>179214</v>
      </c>
      <c r="FQK23" s="30">
        <f t="shared" si="70"/>
        <v>179244</v>
      </c>
      <c r="FQL23" s="30">
        <f t="shared" si="70"/>
        <v>179275</v>
      </c>
      <c r="FQM23" s="30">
        <f t="shared" si="70"/>
        <v>179305</v>
      </c>
      <c r="FQN23" s="30">
        <f t="shared" si="70"/>
        <v>179336</v>
      </c>
      <c r="FQO23" s="30">
        <f t="shared" si="70"/>
        <v>179367</v>
      </c>
      <c r="FQP23" s="30">
        <f t="shared" si="70"/>
        <v>179395</v>
      </c>
      <c r="FQQ23" s="30">
        <f t="shared" si="70"/>
        <v>179426</v>
      </c>
      <c r="FQR23" s="30">
        <f t="shared" si="70"/>
        <v>179456</v>
      </c>
      <c r="FQS23" s="30">
        <f t="shared" si="70"/>
        <v>179487</v>
      </c>
      <c r="FQT23" s="30">
        <f t="shared" si="70"/>
        <v>179517</v>
      </c>
      <c r="FQU23" s="30">
        <f t="shared" si="70"/>
        <v>179548</v>
      </c>
      <c r="FQV23" s="30">
        <f t="shared" si="70"/>
        <v>179579</v>
      </c>
      <c r="FQW23" s="30">
        <f t="shared" si="70"/>
        <v>179609</v>
      </c>
      <c r="FQX23" s="30">
        <f t="shared" si="70"/>
        <v>179640</v>
      </c>
      <c r="FQY23" s="30">
        <f t="shared" si="70"/>
        <v>179670</v>
      </c>
      <c r="FQZ23" s="30">
        <f t="shared" si="70"/>
        <v>179701</v>
      </c>
      <c r="FRA23" s="30">
        <f t="shared" si="70"/>
        <v>179732</v>
      </c>
      <c r="FRB23" s="30">
        <f t="shared" si="70"/>
        <v>179761</v>
      </c>
      <c r="FRC23" s="30">
        <f t="shared" si="70"/>
        <v>179792</v>
      </c>
      <c r="FRD23" s="30">
        <f t="shared" si="70"/>
        <v>179822</v>
      </c>
      <c r="FRE23" s="30">
        <f t="shared" si="70"/>
        <v>179853</v>
      </c>
      <c r="FRF23" s="30">
        <f t="shared" si="70"/>
        <v>179883</v>
      </c>
      <c r="FRG23" s="30">
        <f t="shared" si="70"/>
        <v>179914</v>
      </c>
      <c r="FRH23" s="30">
        <f t="shared" si="70"/>
        <v>179945</v>
      </c>
      <c r="FRI23" s="30">
        <f t="shared" si="70"/>
        <v>179975</v>
      </c>
      <c r="FRJ23" s="30">
        <f t="shared" si="70"/>
        <v>180006</v>
      </c>
      <c r="FRK23" s="30">
        <f t="shared" si="70"/>
        <v>180036</v>
      </c>
      <c r="FRL23" s="30">
        <f t="shared" si="70"/>
        <v>180067</v>
      </c>
      <c r="FRM23" s="30">
        <f t="shared" si="70"/>
        <v>180098</v>
      </c>
      <c r="FRN23" s="30">
        <f t="shared" si="70"/>
        <v>180126</v>
      </c>
      <c r="FRO23" s="30">
        <f t="shared" si="70"/>
        <v>180157</v>
      </c>
      <c r="FRP23" s="30">
        <f t="shared" si="70"/>
        <v>180187</v>
      </c>
      <c r="FRQ23" s="30">
        <f t="shared" si="70"/>
        <v>180218</v>
      </c>
      <c r="FRR23" s="30">
        <f t="shared" si="70"/>
        <v>180248</v>
      </c>
      <c r="FRS23" s="30">
        <f t="shared" si="70"/>
        <v>180279</v>
      </c>
      <c r="FRT23" s="30">
        <f t="shared" si="70"/>
        <v>180310</v>
      </c>
      <c r="FRU23" s="30">
        <f t="shared" si="70"/>
        <v>180340</v>
      </c>
      <c r="FRV23" s="30">
        <f t="shared" si="70"/>
        <v>180371</v>
      </c>
      <c r="FRW23" s="30">
        <f t="shared" si="70"/>
        <v>180401</v>
      </c>
      <c r="FRX23" s="30">
        <f t="shared" ref="FRX23:FUI23" si="71">EDATE(FRW23,1)</f>
        <v>180432</v>
      </c>
      <c r="FRY23" s="30">
        <f t="shared" si="71"/>
        <v>180463</v>
      </c>
      <c r="FRZ23" s="30">
        <f t="shared" si="71"/>
        <v>180491</v>
      </c>
      <c r="FSA23" s="30">
        <f t="shared" si="71"/>
        <v>180522</v>
      </c>
      <c r="FSB23" s="30">
        <f t="shared" si="71"/>
        <v>180552</v>
      </c>
      <c r="FSC23" s="30">
        <f t="shared" si="71"/>
        <v>180583</v>
      </c>
      <c r="FSD23" s="30">
        <f t="shared" si="71"/>
        <v>180613</v>
      </c>
      <c r="FSE23" s="30">
        <f t="shared" si="71"/>
        <v>180644</v>
      </c>
      <c r="FSF23" s="30">
        <f t="shared" si="71"/>
        <v>180675</v>
      </c>
      <c r="FSG23" s="30">
        <f t="shared" si="71"/>
        <v>180705</v>
      </c>
      <c r="FSH23" s="30">
        <f t="shared" si="71"/>
        <v>180736</v>
      </c>
      <c r="FSI23" s="30">
        <f t="shared" si="71"/>
        <v>180766</v>
      </c>
      <c r="FSJ23" s="30">
        <f t="shared" si="71"/>
        <v>180797</v>
      </c>
      <c r="FSK23" s="30">
        <f t="shared" si="71"/>
        <v>180828</v>
      </c>
      <c r="FSL23" s="30">
        <f t="shared" si="71"/>
        <v>180856</v>
      </c>
      <c r="FSM23" s="30">
        <f t="shared" si="71"/>
        <v>180887</v>
      </c>
      <c r="FSN23" s="30">
        <f t="shared" si="71"/>
        <v>180917</v>
      </c>
      <c r="FSO23" s="30">
        <f t="shared" si="71"/>
        <v>180948</v>
      </c>
      <c r="FSP23" s="30">
        <f t="shared" si="71"/>
        <v>180978</v>
      </c>
      <c r="FSQ23" s="30">
        <f t="shared" si="71"/>
        <v>181009</v>
      </c>
      <c r="FSR23" s="30">
        <f t="shared" si="71"/>
        <v>181040</v>
      </c>
      <c r="FSS23" s="30">
        <f t="shared" si="71"/>
        <v>181070</v>
      </c>
      <c r="FST23" s="30">
        <f t="shared" si="71"/>
        <v>181101</v>
      </c>
      <c r="FSU23" s="30">
        <f t="shared" si="71"/>
        <v>181131</v>
      </c>
      <c r="FSV23" s="30">
        <f t="shared" si="71"/>
        <v>181162</v>
      </c>
      <c r="FSW23" s="30">
        <f t="shared" si="71"/>
        <v>181193</v>
      </c>
      <c r="FSX23" s="30">
        <f t="shared" si="71"/>
        <v>181222</v>
      </c>
      <c r="FSY23" s="30">
        <f t="shared" si="71"/>
        <v>181253</v>
      </c>
      <c r="FSZ23" s="30">
        <f t="shared" si="71"/>
        <v>181283</v>
      </c>
      <c r="FTA23" s="30">
        <f t="shared" si="71"/>
        <v>181314</v>
      </c>
      <c r="FTB23" s="30">
        <f t="shared" si="71"/>
        <v>181344</v>
      </c>
      <c r="FTC23" s="30">
        <f t="shared" si="71"/>
        <v>181375</v>
      </c>
      <c r="FTD23" s="30">
        <f t="shared" si="71"/>
        <v>181406</v>
      </c>
      <c r="FTE23" s="30">
        <f t="shared" si="71"/>
        <v>181436</v>
      </c>
      <c r="FTF23" s="30">
        <f t="shared" si="71"/>
        <v>181467</v>
      </c>
      <c r="FTG23" s="30">
        <f t="shared" si="71"/>
        <v>181497</v>
      </c>
      <c r="FTH23" s="30">
        <f t="shared" si="71"/>
        <v>181528</v>
      </c>
      <c r="FTI23" s="30">
        <f t="shared" si="71"/>
        <v>181559</v>
      </c>
      <c r="FTJ23" s="30">
        <f t="shared" si="71"/>
        <v>181587</v>
      </c>
      <c r="FTK23" s="30">
        <f t="shared" si="71"/>
        <v>181618</v>
      </c>
      <c r="FTL23" s="30">
        <f t="shared" si="71"/>
        <v>181648</v>
      </c>
      <c r="FTM23" s="30">
        <f t="shared" si="71"/>
        <v>181679</v>
      </c>
      <c r="FTN23" s="30">
        <f t="shared" si="71"/>
        <v>181709</v>
      </c>
      <c r="FTO23" s="30">
        <f t="shared" si="71"/>
        <v>181740</v>
      </c>
      <c r="FTP23" s="30">
        <f t="shared" si="71"/>
        <v>181771</v>
      </c>
      <c r="FTQ23" s="30">
        <f t="shared" si="71"/>
        <v>181801</v>
      </c>
      <c r="FTR23" s="30">
        <f t="shared" si="71"/>
        <v>181832</v>
      </c>
      <c r="FTS23" s="30">
        <f t="shared" si="71"/>
        <v>181862</v>
      </c>
      <c r="FTT23" s="30">
        <f t="shared" si="71"/>
        <v>181893</v>
      </c>
      <c r="FTU23" s="30">
        <f t="shared" si="71"/>
        <v>181924</v>
      </c>
      <c r="FTV23" s="30">
        <f t="shared" si="71"/>
        <v>181952</v>
      </c>
      <c r="FTW23" s="30">
        <f t="shared" si="71"/>
        <v>181983</v>
      </c>
      <c r="FTX23" s="30">
        <f t="shared" si="71"/>
        <v>182013</v>
      </c>
      <c r="FTY23" s="30">
        <f t="shared" si="71"/>
        <v>182044</v>
      </c>
      <c r="FTZ23" s="30">
        <f t="shared" si="71"/>
        <v>182074</v>
      </c>
      <c r="FUA23" s="30">
        <f t="shared" si="71"/>
        <v>182105</v>
      </c>
      <c r="FUB23" s="30">
        <f t="shared" si="71"/>
        <v>182136</v>
      </c>
      <c r="FUC23" s="30">
        <f t="shared" si="71"/>
        <v>182166</v>
      </c>
      <c r="FUD23" s="30">
        <f t="shared" si="71"/>
        <v>182197</v>
      </c>
      <c r="FUE23" s="30">
        <f t="shared" si="71"/>
        <v>182227</v>
      </c>
      <c r="FUF23" s="30">
        <f t="shared" si="71"/>
        <v>182258</v>
      </c>
      <c r="FUG23" s="30">
        <f t="shared" si="71"/>
        <v>182289</v>
      </c>
      <c r="FUH23" s="30">
        <f t="shared" si="71"/>
        <v>182317</v>
      </c>
      <c r="FUI23" s="30">
        <f t="shared" si="71"/>
        <v>182348</v>
      </c>
      <c r="FUJ23" s="30">
        <f t="shared" ref="FUJ23:FWU23" si="72">EDATE(FUI23,1)</f>
        <v>182378</v>
      </c>
      <c r="FUK23" s="30">
        <f t="shared" si="72"/>
        <v>182409</v>
      </c>
      <c r="FUL23" s="30">
        <f t="shared" si="72"/>
        <v>182439</v>
      </c>
      <c r="FUM23" s="30">
        <f t="shared" si="72"/>
        <v>182470</v>
      </c>
      <c r="FUN23" s="30">
        <f t="shared" si="72"/>
        <v>182501</v>
      </c>
      <c r="FUO23" s="30">
        <f t="shared" si="72"/>
        <v>182531</v>
      </c>
      <c r="FUP23" s="30">
        <f t="shared" si="72"/>
        <v>182562</v>
      </c>
      <c r="FUQ23" s="30">
        <f t="shared" si="72"/>
        <v>182592</v>
      </c>
      <c r="FUR23" s="30">
        <f t="shared" si="72"/>
        <v>182623</v>
      </c>
      <c r="FUS23" s="30">
        <f t="shared" si="72"/>
        <v>182654</v>
      </c>
      <c r="FUT23" s="30">
        <f t="shared" si="72"/>
        <v>182683</v>
      </c>
      <c r="FUU23" s="30">
        <f t="shared" si="72"/>
        <v>182714</v>
      </c>
      <c r="FUV23" s="30">
        <f t="shared" si="72"/>
        <v>182744</v>
      </c>
      <c r="FUW23" s="30">
        <f t="shared" si="72"/>
        <v>182775</v>
      </c>
      <c r="FUX23" s="30">
        <f t="shared" si="72"/>
        <v>182805</v>
      </c>
      <c r="FUY23" s="30">
        <f t="shared" si="72"/>
        <v>182836</v>
      </c>
      <c r="FUZ23" s="30">
        <f t="shared" si="72"/>
        <v>182867</v>
      </c>
      <c r="FVA23" s="30">
        <f t="shared" si="72"/>
        <v>182897</v>
      </c>
      <c r="FVB23" s="30">
        <f t="shared" si="72"/>
        <v>182928</v>
      </c>
      <c r="FVC23" s="30">
        <f t="shared" si="72"/>
        <v>182958</v>
      </c>
      <c r="FVD23" s="30">
        <f t="shared" si="72"/>
        <v>182989</v>
      </c>
      <c r="FVE23" s="30">
        <f t="shared" si="72"/>
        <v>183020</v>
      </c>
      <c r="FVF23" s="30">
        <f t="shared" si="72"/>
        <v>183048</v>
      </c>
      <c r="FVG23" s="30">
        <f t="shared" si="72"/>
        <v>183079</v>
      </c>
      <c r="FVH23" s="30">
        <f t="shared" si="72"/>
        <v>183109</v>
      </c>
      <c r="FVI23" s="30">
        <f t="shared" si="72"/>
        <v>183140</v>
      </c>
      <c r="FVJ23" s="30">
        <f t="shared" si="72"/>
        <v>183170</v>
      </c>
      <c r="FVK23" s="30">
        <f t="shared" si="72"/>
        <v>183201</v>
      </c>
      <c r="FVL23" s="30">
        <f t="shared" si="72"/>
        <v>183232</v>
      </c>
      <c r="FVM23" s="30">
        <f t="shared" si="72"/>
        <v>183262</v>
      </c>
      <c r="FVN23" s="30">
        <f t="shared" si="72"/>
        <v>183293</v>
      </c>
      <c r="FVO23" s="30">
        <f t="shared" si="72"/>
        <v>183323</v>
      </c>
      <c r="FVP23" s="30">
        <f t="shared" si="72"/>
        <v>183354</v>
      </c>
      <c r="FVQ23" s="30">
        <f t="shared" si="72"/>
        <v>183385</v>
      </c>
      <c r="FVR23" s="30">
        <f t="shared" si="72"/>
        <v>183413</v>
      </c>
      <c r="FVS23" s="30">
        <f t="shared" si="72"/>
        <v>183444</v>
      </c>
      <c r="FVT23" s="30">
        <f t="shared" si="72"/>
        <v>183474</v>
      </c>
      <c r="FVU23" s="30">
        <f t="shared" si="72"/>
        <v>183505</v>
      </c>
      <c r="FVV23" s="30">
        <f t="shared" si="72"/>
        <v>183535</v>
      </c>
      <c r="FVW23" s="30">
        <f t="shared" si="72"/>
        <v>183566</v>
      </c>
      <c r="FVX23" s="30">
        <f t="shared" si="72"/>
        <v>183597</v>
      </c>
      <c r="FVY23" s="30">
        <f t="shared" si="72"/>
        <v>183627</v>
      </c>
      <c r="FVZ23" s="30">
        <f t="shared" si="72"/>
        <v>183658</v>
      </c>
      <c r="FWA23" s="30">
        <f t="shared" si="72"/>
        <v>183688</v>
      </c>
      <c r="FWB23" s="30">
        <f t="shared" si="72"/>
        <v>183719</v>
      </c>
      <c r="FWC23" s="30">
        <f t="shared" si="72"/>
        <v>183750</v>
      </c>
      <c r="FWD23" s="30">
        <f t="shared" si="72"/>
        <v>183778</v>
      </c>
      <c r="FWE23" s="30">
        <f t="shared" si="72"/>
        <v>183809</v>
      </c>
      <c r="FWF23" s="30">
        <f t="shared" si="72"/>
        <v>183839</v>
      </c>
      <c r="FWG23" s="30">
        <f t="shared" si="72"/>
        <v>183870</v>
      </c>
      <c r="FWH23" s="30">
        <f t="shared" si="72"/>
        <v>183900</v>
      </c>
      <c r="FWI23" s="30">
        <f t="shared" si="72"/>
        <v>183931</v>
      </c>
      <c r="FWJ23" s="30">
        <f t="shared" si="72"/>
        <v>183962</v>
      </c>
      <c r="FWK23" s="30">
        <f t="shared" si="72"/>
        <v>183992</v>
      </c>
      <c r="FWL23" s="30">
        <f t="shared" si="72"/>
        <v>184023</v>
      </c>
      <c r="FWM23" s="30">
        <f t="shared" si="72"/>
        <v>184053</v>
      </c>
      <c r="FWN23" s="30">
        <f t="shared" si="72"/>
        <v>184084</v>
      </c>
      <c r="FWO23" s="30">
        <f t="shared" si="72"/>
        <v>184115</v>
      </c>
      <c r="FWP23" s="30">
        <f t="shared" si="72"/>
        <v>184144</v>
      </c>
      <c r="FWQ23" s="30">
        <f t="shared" si="72"/>
        <v>184175</v>
      </c>
      <c r="FWR23" s="30">
        <f t="shared" si="72"/>
        <v>184205</v>
      </c>
      <c r="FWS23" s="30">
        <f t="shared" si="72"/>
        <v>184236</v>
      </c>
      <c r="FWT23" s="30">
        <f t="shared" si="72"/>
        <v>184266</v>
      </c>
      <c r="FWU23" s="30">
        <f t="shared" si="72"/>
        <v>184297</v>
      </c>
      <c r="FWV23" s="30">
        <f t="shared" ref="FWV23:FZG23" si="73">EDATE(FWU23,1)</f>
        <v>184328</v>
      </c>
      <c r="FWW23" s="30">
        <f t="shared" si="73"/>
        <v>184358</v>
      </c>
      <c r="FWX23" s="30">
        <f t="shared" si="73"/>
        <v>184389</v>
      </c>
      <c r="FWY23" s="30">
        <f t="shared" si="73"/>
        <v>184419</v>
      </c>
      <c r="FWZ23" s="30">
        <f t="shared" si="73"/>
        <v>184450</v>
      </c>
      <c r="FXA23" s="30">
        <f t="shared" si="73"/>
        <v>184481</v>
      </c>
      <c r="FXB23" s="30">
        <f t="shared" si="73"/>
        <v>184509</v>
      </c>
      <c r="FXC23" s="30">
        <f t="shared" si="73"/>
        <v>184540</v>
      </c>
      <c r="FXD23" s="30">
        <f t="shared" si="73"/>
        <v>184570</v>
      </c>
      <c r="FXE23" s="30">
        <f t="shared" si="73"/>
        <v>184601</v>
      </c>
      <c r="FXF23" s="30">
        <f t="shared" si="73"/>
        <v>184631</v>
      </c>
      <c r="FXG23" s="30">
        <f t="shared" si="73"/>
        <v>184662</v>
      </c>
      <c r="FXH23" s="30">
        <f t="shared" si="73"/>
        <v>184693</v>
      </c>
      <c r="FXI23" s="30">
        <f t="shared" si="73"/>
        <v>184723</v>
      </c>
      <c r="FXJ23" s="30">
        <f t="shared" si="73"/>
        <v>184754</v>
      </c>
      <c r="FXK23" s="30">
        <f t="shared" si="73"/>
        <v>184784</v>
      </c>
      <c r="FXL23" s="30">
        <f t="shared" si="73"/>
        <v>184815</v>
      </c>
      <c r="FXM23" s="30">
        <f t="shared" si="73"/>
        <v>184846</v>
      </c>
      <c r="FXN23" s="30">
        <f t="shared" si="73"/>
        <v>184874</v>
      </c>
      <c r="FXO23" s="30">
        <f t="shared" si="73"/>
        <v>184905</v>
      </c>
      <c r="FXP23" s="30">
        <f t="shared" si="73"/>
        <v>184935</v>
      </c>
      <c r="FXQ23" s="30">
        <f t="shared" si="73"/>
        <v>184966</v>
      </c>
      <c r="FXR23" s="30">
        <f t="shared" si="73"/>
        <v>184996</v>
      </c>
      <c r="FXS23" s="30">
        <f t="shared" si="73"/>
        <v>185027</v>
      </c>
      <c r="FXT23" s="30">
        <f t="shared" si="73"/>
        <v>185058</v>
      </c>
      <c r="FXU23" s="30">
        <f t="shared" si="73"/>
        <v>185088</v>
      </c>
      <c r="FXV23" s="30">
        <f t="shared" si="73"/>
        <v>185119</v>
      </c>
      <c r="FXW23" s="30">
        <f t="shared" si="73"/>
        <v>185149</v>
      </c>
      <c r="FXX23" s="30">
        <f t="shared" si="73"/>
        <v>185180</v>
      </c>
      <c r="FXY23" s="30">
        <f t="shared" si="73"/>
        <v>185211</v>
      </c>
      <c r="FXZ23" s="30">
        <f t="shared" si="73"/>
        <v>185239</v>
      </c>
      <c r="FYA23" s="30">
        <f t="shared" si="73"/>
        <v>185270</v>
      </c>
      <c r="FYB23" s="30">
        <f t="shared" si="73"/>
        <v>185300</v>
      </c>
      <c r="FYC23" s="30">
        <f t="shared" si="73"/>
        <v>185331</v>
      </c>
      <c r="FYD23" s="30">
        <f t="shared" si="73"/>
        <v>185361</v>
      </c>
      <c r="FYE23" s="30">
        <f t="shared" si="73"/>
        <v>185392</v>
      </c>
      <c r="FYF23" s="30">
        <f t="shared" si="73"/>
        <v>185423</v>
      </c>
      <c r="FYG23" s="30">
        <f t="shared" si="73"/>
        <v>185453</v>
      </c>
      <c r="FYH23" s="30">
        <f t="shared" si="73"/>
        <v>185484</v>
      </c>
      <c r="FYI23" s="30">
        <f t="shared" si="73"/>
        <v>185514</v>
      </c>
      <c r="FYJ23" s="30">
        <f t="shared" si="73"/>
        <v>185545</v>
      </c>
      <c r="FYK23" s="30">
        <f t="shared" si="73"/>
        <v>185576</v>
      </c>
      <c r="FYL23" s="30">
        <f t="shared" si="73"/>
        <v>185605</v>
      </c>
      <c r="FYM23" s="30">
        <f t="shared" si="73"/>
        <v>185636</v>
      </c>
      <c r="FYN23" s="30">
        <f t="shared" si="73"/>
        <v>185666</v>
      </c>
      <c r="FYO23" s="30">
        <f t="shared" si="73"/>
        <v>185697</v>
      </c>
      <c r="FYP23" s="30">
        <f t="shared" si="73"/>
        <v>185727</v>
      </c>
      <c r="FYQ23" s="30">
        <f t="shared" si="73"/>
        <v>185758</v>
      </c>
      <c r="FYR23" s="30">
        <f t="shared" si="73"/>
        <v>185789</v>
      </c>
      <c r="FYS23" s="30">
        <f t="shared" si="73"/>
        <v>185819</v>
      </c>
      <c r="FYT23" s="30">
        <f t="shared" si="73"/>
        <v>185850</v>
      </c>
      <c r="FYU23" s="30">
        <f t="shared" si="73"/>
        <v>185880</v>
      </c>
      <c r="FYV23" s="30">
        <f t="shared" si="73"/>
        <v>185911</v>
      </c>
      <c r="FYW23" s="30">
        <f t="shared" si="73"/>
        <v>185942</v>
      </c>
      <c r="FYX23" s="30">
        <f t="shared" si="73"/>
        <v>185970</v>
      </c>
      <c r="FYY23" s="30">
        <f t="shared" si="73"/>
        <v>186001</v>
      </c>
      <c r="FYZ23" s="30">
        <f t="shared" si="73"/>
        <v>186031</v>
      </c>
      <c r="FZA23" s="30">
        <f t="shared" si="73"/>
        <v>186062</v>
      </c>
      <c r="FZB23" s="30">
        <f t="shared" si="73"/>
        <v>186092</v>
      </c>
      <c r="FZC23" s="30">
        <f t="shared" si="73"/>
        <v>186123</v>
      </c>
      <c r="FZD23" s="30">
        <f t="shared" si="73"/>
        <v>186154</v>
      </c>
      <c r="FZE23" s="30">
        <f t="shared" si="73"/>
        <v>186184</v>
      </c>
      <c r="FZF23" s="30">
        <f t="shared" si="73"/>
        <v>186215</v>
      </c>
      <c r="FZG23" s="30">
        <f t="shared" si="73"/>
        <v>186245</v>
      </c>
      <c r="FZH23" s="30">
        <f t="shared" ref="FZH23:GBS23" si="74">EDATE(FZG23,1)</f>
        <v>186276</v>
      </c>
      <c r="FZI23" s="30">
        <f t="shared" si="74"/>
        <v>186307</v>
      </c>
      <c r="FZJ23" s="30">
        <f t="shared" si="74"/>
        <v>186335</v>
      </c>
      <c r="FZK23" s="30">
        <f t="shared" si="74"/>
        <v>186366</v>
      </c>
      <c r="FZL23" s="30">
        <f t="shared" si="74"/>
        <v>186396</v>
      </c>
      <c r="FZM23" s="30">
        <f t="shared" si="74"/>
        <v>186427</v>
      </c>
      <c r="FZN23" s="30">
        <f t="shared" si="74"/>
        <v>186457</v>
      </c>
      <c r="FZO23" s="30">
        <f t="shared" si="74"/>
        <v>186488</v>
      </c>
      <c r="FZP23" s="30">
        <f t="shared" si="74"/>
        <v>186519</v>
      </c>
      <c r="FZQ23" s="30">
        <f t="shared" si="74"/>
        <v>186549</v>
      </c>
      <c r="FZR23" s="30">
        <f t="shared" si="74"/>
        <v>186580</v>
      </c>
      <c r="FZS23" s="30">
        <f t="shared" si="74"/>
        <v>186610</v>
      </c>
      <c r="FZT23" s="30">
        <f t="shared" si="74"/>
        <v>186641</v>
      </c>
      <c r="FZU23" s="30">
        <f t="shared" si="74"/>
        <v>186672</v>
      </c>
      <c r="FZV23" s="30">
        <f t="shared" si="74"/>
        <v>186700</v>
      </c>
      <c r="FZW23" s="30">
        <f t="shared" si="74"/>
        <v>186731</v>
      </c>
      <c r="FZX23" s="30">
        <f t="shared" si="74"/>
        <v>186761</v>
      </c>
      <c r="FZY23" s="30">
        <f t="shared" si="74"/>
        <v>186792</v>
      </c>
      <c r="FZZ23" s="30">
        <f t="shared" si="74"/>
        <v>186822</v>
      </c>
      <c r="GAA23" s="30">
        <f t="shared" si="74"/>
        <v>186853</v>
      </c>
      <c r="GAB23" s="30">
        <f t="shared" si="74"/>
        <v>186884</v>
      </c>
      <c r="GAC23" s="30">
        <f t="shared" si="74"/>
        <v>186914</v>
      </c>
      <c r="GAD23" s="30">
        <f t="shared" si="74"/>
        <v>186945</v>
      </c>
      <c r="GAE23" s="30">
        <f t="shared" si="74"/>
        <v>186975</v>
      </c>
      <c r="GAF23" s="30">
        <f t="shared" si="74"/>
        <v>187006</v>
      </c>
      <c r="GAG23" s="30">
        <f t="shared" si="74"/>
        <v>187037</v>
      </c>
      <c r="GAH23" s="30">
        <f t="shared" si="74"/>
        <v>187066</v>
      </c>
      <c r="GAI23" s="30">
        <f t="shared" si="74"/>
        <v>187097</v>
      </c>
      <c r="GAJ23" s="30">
        <f t="shared" si="74"/>
        <v>187127</v>
      </c>
      <c r="GAK23" s="30">
        <f t="shared" si="74"/>
        <v>187158</v>
      </c>
      <c r="GAL23" s="30">
        <f t="shared" si="74"/>
        <v>187188</v>
      </c>
      <c r="GAM23" s="30">
        <f t="shared" si="74"/>
        <v>187219</v>
      </c>
      <c r="GAN23" s="30">
        <f t="shared" si="74"/>
        <v>187250</v>
      </c>
      <c r="GAO23" s="30">
        <f t="shared" si="74"/>
        <v>187280</v>
      </c>
      <c r="GAP23" s="30">
        <f t="shared" si="74"/>
        <v>187311</v>
      </c>
      <c r="GAQ23" s="30">
        <f t="shared" si="74"/>
        <v>187341</v>
      </c>
      <c r="GAR23" s="30">
        <f t="shared" si="74"/>
        <v>187372</v>
      </c>
      <c r="GAS23" s="30">
        <f t="shared" si="74"/>
        <v>187403</v>
      </c>
      <c r="GAT23" s="30">
        <f t="shared" si="74"/>
        <v>187431</v>
      </c>
      <c r="GAU23" s="30">
        <f t="shared" si="74"/>
        <v>187462</v>
      </c>
      <c r="GAV23" s="30">
        <f t="shared" si="74"/>
        <v>187492</v>
      </c>
      <c r="GAW23" s="30">
        <f t="shared" si="74"/>
        <v>187523</v>
      </c>
      <c r="GAX23" s="30">
        <f t="shared" si="74"/>
        <v>187553</v>
      </c>
      <c r="GAY23" s="30">
        <f t="shared" si="74"/>
        <v>187584</v>
      </c>
      <c r="GAZ23" s="30">
        <f t="shared" si="74"/>
        <v>187615</v>
      </c>
      <c r="GBA23" s="30">
        <f t="shared" si="74"/>
        <v>187645</v>
      </c>
      <c r="GBB23" s="30">
        <f t="shared" si="74"/>
        <v>187676</v>
      </c>
      <c r="GBC23" s="30">
        <f t="shared" si="74"/>
        <v>187706</v>
      </c>
      <c r="GBD23" s="30">
        <f t="shared" si="74"/>
        <v>187737</v>
      </c>
      <c r="GBE23" s="30">
        <f t="shared" si="74"/>
        <v>187768</v>
      </c>
      <c r="GBF23" s="30">
        <f t="shared" si="74"/>
        <v>187796</v>
      </c>
      <c r="GBG23" s="30">
        <f t="shared" si="74"/>
        <v>187827</v>
      </c>
      <c r="GBH23" s="30">
        <f t="shared" si="74"/>
        <v>187857</v>
      </c>
      <c r="GBI23" s="30">
        <f t="shared" si="74"/>
        <v>187888</v>
      </c>
      <c r="GBJ23" s="30">
        <f t="shared" si="74"/>
        <v>187918</v>
      </c>
      <c r="GBK23" s="30">
        <f t="shared" si="74"/>
        <v>187949</v>
      </c>
      <c r="GBL23" s="30">
        <f t="shared" si="74"/>
        <v>187980</v>
      </c>
      <c r="GBM23" s="30">
        <f t="shared" si="74"/>
        <v>188010</v>
      </c>
      <c r="GBN23" s="30">
        <f t="shared" si="74"/>
        <v>188041</v>
      </c>
      <c r="GBO23" s="30">
        <f t="shared" si="74"/>
        <v>188071</v>
      </c>
      <c r="GBP23" s="30">
        <f t="shared" si="74"/>
        <v>188102</v>
      </c>
      <c r="GBQ23" s="30">
        <f t="shared" si="74"/>
        <v>188133</v>
      </c>
      <c r="GBR23" s="30">
        <f t="shared" si="74"/>
        <v>188161</v>
      </c>
      <c r="GBS23" s="30">
        <f t="shared" si="74"/>
        <v>188192</v>
      </c>
      <c r="GBT23" s="30">
        <f t="shared" ref="GBT23:GEE23" si="75">EDATE(GBS23,1)</f>
        <v>188222</v>
      </c>
      <c r="GBU23" s="30">
        <f t="shared" si="75"/>
        <v>188253</v>
      </c>
      <c r="GBV23" s="30">
        <f t="shared" si="75"/>
        <v>188283</v>
      </c>
      <c r="GBW23" s="30">
        <f t="shared" si="75"/>
        <v>188314</v>
      </c>
      <c r="GBX23" s="30">
        <f t="shared" si="75"/>
        <v>188345</v>
      </c>
      <c r="GBY23" s="30">
        <f t="shared" si="75"/>
        <v>188375</v>
      </c>
      <c r="GBZ23" s="30">
        <f t="shared" si="75"/>
        <v>188406</v>
      </c>
      <c r="GCA23" s="30">
        <f t="shared" si="75"/>
        <v>188436</v>
      </c>
      <c r="GCB23" s="30">
        <f t="shared" si="75"/>
        <v>188467</v>
      </c>
      <c r="GCC23" s="30">
        <f t="shared" si="75"/>
        <v>188498</v>
      </c>
      <c r="GCD23" s="30">
        <f t="shared" si="75"/>
        <v>188527</v>
      </c>
      <c r="GCE23" s="30">
        <f t="shared" si="75"/>
        <v>188558</v>
      </c>
      <c r="GCF23" s="30">
        <f t="shared" si="75"/>
        <v>188588</v>
      </c>
      <c r="GCG23" s="30">
        <f t="shared" si="75"/>
        <v>188619</v>
      </c>
      <c r="GCH23" s="30">
        <f t="shared" si="75"/>
        <v>188649</v>
      </c>
      <c r="GCI23" s="30">
        <f t="shared" si="75"/>
        <v>188680</v>
      </c>
      <c r="GCJ23" s="30">
        <f t="shared" si="75"/>
        <v>188711</v>
      </c>
      <c r="GCK23" s="30">
        <f t="shared" si="75"/>
        <v>188741</v>
      </c>
      <c r="GCL23" s="30">
        <f t="shared" si="75"/>
        <v>188772</v>
      </c>
      <c r="GCM23" s="30">
        <f t="shared" si="75"/>
        <v>188802</v>
      </c>
      <c r="GCN23" s="30">
        <f t="shared" si="75"/>
        <v>188833</v>
      </c>
      <c r="GCO23" s="30">
        <f t="shared" si="75"/>
        <v>188864</v>
      </c>
      <c r="GCP23" s="30">
        <f t="shared" si="75"/>
        <v>188892</v>
      </c>
      <c r="GCQ23" s="30">
        <f t="shared" si="75"/>
        <v>188923</v>
      </c>
      <c r="GCR23" s="30">
        <f t="shared" si="75"/>
        <v>188953</v>
      </c>
      <c r="GCS23" s="30">
        <f t="shared" si="75"/>
        <v>188984</v>
      </c>
      <c r="GCT23" s="30">
        <f t="shared" si="75"/>
        <v>189014</v>
      </c>
      <c r="GCU23" s="30">
        <f t="shared" si="75"/>
        <v>189045</v>
      </c>
      <c r="GCV23" s="30">
        <f t="shared" si="75"/>
        <v>189076</v>
      </c>
      <c r="GCW23" s="30">
        <f t="shared" si="75"/>
        <v>189106</v>
      </c>
      <c r="GCX23" s="30">
        <f t="shared" si="75"/>
        <v>189137</v>
      </c>
      <c r="GCY23" s="30">
        <f t="shared" si="75"/>
        <v>189167</v>
      </c>
      <c r="GCZ23" s="30">
        <f t="shared" si="75"/>
        <v>189198</v>
      </c>
      <c r="GDA23" s="30">
        <f t="shared" si="75"/>
        <v>189229</v>
      </c>
      <c r="GDB23" s="30">
        <f t="shared" si="75"/>
        <v>189257</v>
      </c>
      <c r="GDC23" s="30">
        <f t="shared" si="75"/>
        <v>189288</v>
      </c>
      <c r="GDD23" s="30">
        <f t="shared" si="75"/>
        <v>189318</v>
      </c>
      <c r="GDE23" s="30">
        <f t="shared" si="75"/>
        <v>189349</v>
      </c>
      <c r="GDF23" s="30">
        <f t="shared" si="75"/>
        <v>189379</v>
      </c>
      <c r="GDG23" s="30">
        <f t="shared" si="75"/>
        <v>189410</v>
      </c>
      <c r="GDH23" s="30">
        <f t="shared" si="75"/>
        <v>189441</v>
      </c>
      <c r="GDI23" s="30">
        <f t="shared" si="75"/>
        <v>189471</v>
      </c>
      <c r="GDJ23" s="30">
        <f t="shared" si="75"/>
        <v>189502</v>
      </c>
      <c r="GDK23" s="30">
        <f t="shared" si="75"/>
        <v>189532</v>
      </c>
      <c r="GDL23" s="30">
        <f t="shared" si="75"/>
        <v>189563</v>
      </c>
      <c r="GDM23" s="30">
        <f t="shared" si="75"/>
        <v>189594</v>
      </c>
      <c r="GDN23" s="30">
        <f t="shared" si="75"/>
        <v>189622</v>
      </c>
      <c r="GDO23" s="30">
        <f t="shared" si="75"/>
        <v>189653</v>
      </c>
      <c r="GDP23" s="30">
        <f t="shared" si="75"/>
        <v>189683</v>
      </c>
      <c r="GDQ23" s="30">
        <f t="shared" si="75"/>
        <v>189714</v>
      </c>
      <c r="GDR23" s="30">
        <f t="shared" si="75"/>
        <v>189744</v>
      </c>
      <c r="GDS23" s="30">
        <f t="shared" si="75"/>
        <v>189775</v>
      </c>
      <c r="GDT23" s="30">
        <f t="shared" si="75"/>
        <v>189806</v>
      </c>
      <c r="GDU23" s="30">
        <f t="shared" si="75"/>
        <v>189836</v>
      </c>
      <c r="GDV23" s="30">
        <f t="shared" si="75"/>
        <v>189867</v>
      </c>
      <c r="GDW23" s="30">
        <f t="shared" si="75"/>
        <v>189897</v>
      </c>
      <c r="GDX23" s="30">
        <f t="shared" si="75"/>
        <v>189928</v>
      </c>
      <c r="GDY23" s="30">
        <f t="shared" si="75"/>
        <v>189959</v>
      </c>
      <c r="GDZ23" s="30">
        <f t="shared" si="75"/>
        <v>189988</v>
      </c>
      <c r="GEA23" s="30">
        <f t="shared" si="75"/>
        <v>190019</v>
      </c>
      <c r="GEB23" s="30">
        <f t="shared" si="75"/>
        <v>190049</v>
      </c>
      <c r="GEC23" s="30">
        <f t="shared" si="75"/>
        <v>190080</v>
      </c>
      <c r="GED23" s="30">
        <f t="shared" si="75"/>
        <v>190110</v>
      </c>
      <c r="GEE23" s="30">
        <f t="shared" si="75"/>
        <v>190141</v>
      </c>
      <c r="GEF23" s="30">
        <f t="shared" ref="GEF23:GGQ23" si="76">EDATE(GEE23,1)</f>
        <v>190172</v>
      </c>
      <c r="GEG23" s="30">
        <f t="shared" si="76"/>
        <v>190202</v>
      </c>
      <c r="GEH23" s="30">
        <f t="shared" si="76"/>
        <v>190233</v>
      </c>
      <c r="GEI23" s="30">
        <f t="shared" si="76"/>
        <v>190263</v>
      </c>
      <c r="GEJ23" s="30">
        <f t="shared" si="76"/>
        <v>190294</v>
      </c>
      <c r="GEK23" s="30">
        <f t="shared" si="76"/>
        <v>190325</v>
      </c>
      <c r="GEL23" s="30">
        <f t="shared" si="76"/>
        <v>190353</v>
      </c>
      <c r="GEM23" s="30">
        <f t="shared" si="76"/>
        <v>190384</v>
      </c>
      <c r="GEN23" s="30">
        <f t="shared" si="76"/>
        <v>190414</v>
      </c>
      <c r="GEO23" s="30">
        <f t="shared" si="76"/>
        <v>190445</v>
      </c>
      <c r="GEP23" s="30">
        <f t="shared" si="76"/>
        <v>190475</v>
      </c>
      <c r="GEQ23" s="30">
        <f t="shared" si="76"/>
        <v>190506</v>
      </c>
      <c r="GER23" s="30">
        <f t="shared" si="76"/>
        <v>190537</v>
      </c>
      <c r="GES23" s="30">
        <f t="shared" si="76"/>
        <v>190567</v>
      </c>
      <c r="GET23" s="30">
        <f t="shared" si="76"/>
        <v>190598</v>
      </c>
      <c r="GEU23" s="30">
        <f t="shared" si="76"/>
        <v>190628</v>
      </c>
      <c r="GEV23" s="30">
        <f t="shared" si="76"/>
        <v>190659</v>
      </c>
      <c r="GEW23" s="30">
        <f t="shared" si="76"/>
        <v>190690</v>
      </c>
      <c r="GEX23" s="30">
        <f t="shared" si="76"/>
        <v>190718</v>
      </c>
      <c r="GEY23" s="30">
        <f t="shared" si="76"/>
        <v>190749</v>
      </c>
      <c r="GEZ23" s="30">
        <f t="shared" si="76"/>
        <v>190779</v>
      </c>
      <c r="GFA23" s="30">
        <f t="shared" si="76"/>
        <v>190810</v>
      </c>
      <c r="GFB23" s="30">
        <f t="shared" si="76"/>
        <v>190840</v>
      </c>
      <c r="GFC23" s="30">
        <f t="shared" si="76"/>
        <v>190871</v>
      </c>
      <c r="GFD23" s="30">
        <f t="shared" si="76"/>
        <v>190902</v>
      </c>
      <c r="GFE23" s="30">
        <f t="shared" si="76"/>
        <v>190932</v>
      </c>
      <c r="GFF23" s="30">
        <f t="shared" si="76"/>
        <v>190963</v>
      </c>
      <c r="GFG23" s="30">
        <f t="shared" si="76"/>
        <v>190993</v>
      </c>
      <c r="GFH23" s="30">
        <f t="shared" si="76"/>
        <v>191024</v>
      </c>
      <c r="GFI23" s="30">
        <f t="shared" si="76"/>
        <v>191055</v>
      </c>
      <c r="GFJ23" s="30">
        <f t="shared" si="76"/>
        <v>191083</v>
      </c>
      <c r="GFK23" s="30">
        <f t="shared" si="76"/>
        <v>191114</v>
      </c>
      <c r="GFL23" s="30">
        <f t="shared" si="76"/>
        <v>191144</v>
      </c>
      <c r="GFM23" s="30">
        <f t="shared" si="76"/>
        <v>191175</v>
      </c>
      <c r="GFN23" s="30">
        <f t="shared" si="76"/>
        <v>191205</v>
      </c>
      <c r="GFO23" s="30">
        <f t="shared" si="76"/>
        <v>191236</v>
      </c>
      <c r="GFP23" s="30">
        <f t="shared" si="76"/>
        <v>191267</v>
      </c>
      <c r="GFQ23" s="30">
        <f t="shared" si="76"/>
        <v>191297</v>
      </c>
      <c r="GFR23" s="30">
        <f t="shared" si="76"/>
        <v>191328</v>
      </c>
      <c r="GFS23" s="30">
        <f t="shared" si="76"/>
        <v>191358</v>
      </c>
      <c r="GFT23" s="30">
        <f t="shared" si="76"/>
        <v>191389</v>
      </c>
      <c r="GFU23" s="30">
        <f t="shared" si="76"/>
        <v>191420</v>
      </c>
      <c r="GFV23" s="30">
        <f t="shared" si="76"/>
        <v>191449</v>
      </c>
      <c r="GFW23" s="30">
        <f t="shared" si="76"/>
        <v>191480</v>
      </c>
      <c r="GFX23" s="30">
        <f t="shared" si="76"/>
        <v>191510</v>
      </c>
      <c r="GFY23" s="30">
        <f t="shared" si="76"/>
        <v>191541</v>
      </c>
      <c r="GFZ23" s="30">
        <f t="shared" si="76"/>
        <v>191571</v>
      </c>
      <c r="GGA23" s="30">
        <f t="shared" si="76"/>
        <v>191602</v>
      </c>
      <c r="GGB23" s="30">
        <f t="shared" si="76"/>
        <v>191633</v>
      </c>
      <c r="GGC23" s="30">
        <f t="shared" si="76"/>
        <v>191663</v>
      </c>
      <c r="GGD23" s="30">
        <f t="shared" si="76"/>
        <v>191694</v>
      </c>
      <c r="GGE23" s="30">
        <f t="shared" si="76"/>
        <v>191724</v>
      </c>
      <c r="GGF23" s="30">
        <f t="shared" si="76"/>
        <v>191755</v>
      </c>
      <c r="GGG23" s="30">
        <f t="shared" si="76"/>
        <v>191786</v>
      </c>
      <c r="GGH23" s="30">
        <f t="shared" si="76"/>
        <v>191814</v>
      </c>
      <c r="GGI23" s="30">
        <f t="shared" si="76"/>
        <v>191845</v>
      </c>
      <c r="GGJ23" s="30">
        <f t="shared" si="76"/>
        <v>191875</v>
      </c>
      <c r="GGK23" s="30">
        <f t="shared" si="76"/>
        <v>191906</v>
      </c>
      <c r="GGL23" s="30">
        <f t="shared" si="76"/>
        <v>191936</v>
      </c>
      <c r="GGM23" s="30">
        <f t="shared" si="76"/>
        <v>191967</v>
      </c>
      <c r="GGN23" s="30">
        <f t="shared" si="76"/>
        <v>191998</v>
      </c>
      <c r="GGO23" s="30">
        <f t="shared" si="76"/>
        <v>192028</v>
      </c>
      <c r="GGP23" s="30">
        <f t="shared" si="76"/>
        <v>192059</v>
      </c>
      <c r="GGQ23" s="30">
        <f t="shared" si="76"/>
        <v>192089</v>
      </c>
      <c r="GGR23" s="30">
        <f t="shared" ref="GGR23:GJC23" si="77">EDATE(GGQ23,1)</f>
        <v>192120</v>
      </c>
      <c r="GGS23" s="30">
        <f t="shared" si="77"/>
        <v>192151</v>
      </c>
      <c r="GGT23" s="30">
        <f t="shared" si="77"/>
        <v>192179</v>
      </c>
      <c r="GGU23" s="30">
        <f t="shared" si="77"/>
        <v>192210</v>
      </c>
      <c r="GGV23" s="30">
        <f t="shared" si="77"/>
        <v>192240</v>
      </c>
      <c r="GGW23" s="30">
        <f t="shared" si="77"/>
        <v>192271</v>
      </c>
      <c r="GGX23" s="30">
        <f t="shared" si="77"/>
        <v>192301</v>
      </c>
      <c r="GGY23" s="30">
        <f t="shared" si="77"/>
        <v>192332</v>
      </c>
      <c r="GGZ23" s="30">
        <f t="shared" si="77"/>
        <v>192363</v>
      </c>
      <c r="GHA23" s="30">
        <f t="shared" si="77"/>
        <v>192393</v>
      </c>
      <c r="GHB23" s="30">
        <f t="shared" si="77"/>
        <v>192424</v>
      </c>
      <c r="GHC23" s="30">
        <f t="shared" si="77"/>
        <v>192454</v>
      </c>
      <c r="GHD23" s="30">
        <f t="shared" si="77"/>
        <v>192485</v>
      </c>
      <c r="GHE23" s="30">
        <f t="shared" si="77"/>
        <v>192516</v>
      </c>
      <c r="GHF23" s="30">
        <f t="shared" si="77"/>
        <v>192544</v>
      </c>
      <c r="GHG23" s="30">
        <f t="shared" si="77"/>
        <v>192575</v>
      </c>
      <c r="GHH23" s="30">
        <f t="shared" si="77"/>
        <v>192605</v>
      </c>
      <c r="GHI23" s="30">
        <f t="shared" si="77"/>
        <v>192636</v>
      </c>
      <c r="GHJ23" s="30">
        <f t="shared" si="77"/>
        <v>192666</v>
      </c>
      <c r="GHK23" s="30">
        <f t="shared" si="77"/>
        <v>192697</v>
      </c>
      <c r="GHL23" s="30">
        <f t="shared" si="77"/>
        <v>192728</v>
      </c>
      <c r="GHM23" s="30">
        <f t="shared" si="77"/>
        <v>192758</v>
      </c>
      <c r="GHN23" s="30">
        <f t="shared" si="77"/>
        <v>192789</v>
      </c>
      <c r="GHO23" s="30">
        <f t="shared" si="77"/>
        <v>192819</v>
      </c>
      <c r="GHP23" s="30">
        <f t="shared" si="77"/>
        <v>192850</v>
      </c>
      <c r="GHQ23" s="30">
        <f t="shared" si="77"/>
        <v>192881</v>
      </c>
      <c r="GHR23" s="30">
        <f t="shared" si="77"/>
        <v>192910</v>
      </c>
      <c r="GHS23" s="30">
        <f t="shared" si="77"/>
        <v>192941</v>
      </c>
      <c r="GHT23" s="30">
        <f t="shared" si="77"/>
        <v>192971</v>
      </c>
      <c r="GHU23" s="30">
        <f t="shared" si="77"/>
        <v>193002</v>
      </c>
      <c r="GHV23" s="30">
        <f t="shared" si="77"/>
        <v>193032</v>
      </c>
      <c r="GHW23" s="30">
        <f t="shared" si="77"/>
        <v>193063</v>
      </c>
      <c r="GHX23" s="30">
        <f t="shared" si="77"/>
        <v>193094</v>
      </c>
      <c r="GHY23" s="30">
        <f t="shared" si="77"/>
        <v>193124</v>
      </c>
      <c r="GHZ23" s="30">
        <f t="shared" si="77"/>
        <v>193155</v>
      </c>
      <c r="GIA23" s="30">
        <f t="shared" si="77"/>
        <v>193185</v>
      </c>
      <c r="GIB23" s="30">
        <f t="shared" si="77"/>
        <v>193216</v>
      </c>
      <c r="GIC23" s="30">
        <f t="shared" si="77"/>
        <v>193247</v>
      </c>
      <c r="GID23" s="30">
        <f t="shared" si="77"/>
        <v>193275</v>
      </c>
      <c r="GIE23" s="30">
        <f t="shared" si="77"/>
        <v>193306</v>
      </c>
      <c r="GIF23" s="30">
        <f t="shared" si="77"/>
        <v>193336</v>
      </c>
      <c r="GIG23" s="30">
        <f t="shared" si="77"/>
        <v>193367</v>
      </c>
      <c r="GIH23" s="30">
        <f t="shared" si="77"/>
        <v>193397</v>
      </c>
      <c r="GII23" s="30">
        <f t="shared" si="77"/>
        <v>193428</v>
      </c>
      <c r="GIJ23" s="30">
        <f t="shared" si="77"/>
        <v>193459</v>
      </c>
      <c r="GIK23" s="30">
        <f t="shared" si="77"/>
        <v>193489</v>
      </c>
      <c r="GIL23" s="30">
        <f t="shared" si="77"/>
        <v>193520</v>
      </c>
      <c r="GIM23" s="30">
        <f t="shared" si="77"/>
        <v>193550</v>
      </c>
      <c r="GIN23" s="30">
        <f t="shared" si="77"/>
        <v>193581</v>
      </c>
      <c r="GIO23" s="30">
        <f t="shared" si="77"/>
        <v>193612</v>
      </c>
      <c r="GIP23" s="30">
        <f t="shared" si="77"/>
        <v>193640</v>
      </c>
      <c r="GIQ23" s="30">
        <f t="shared" si="77"/>
        <v>193671</v>
      </c>
      <c r="GIR23" s="30">
        <f t="shared" si="77"/>
        <v>193701</v>
      </c>
      <c r="GIS23" s="30">
        <f t="shared" si="77"/>
        <v>193732</v>
      </c>
      <c r="GIT23" s="30">
        <f t="shared" si="77"/>
        <v>193762</v>
      </c>
      <c r="GIU23" s="30">
        <f t="shared" si="77"/>
        <v>193793</v>
      </c>
      <c r="GIV23" s="30">
        <f t="shared" si="77"/>
        <v>193824</v>
      </c>
      <c r="GIW23" s="30">
        <f t="shared" si="77"/>
        <v>193854</v>
      </c>
      <c r="GIX23" s="30">
        <f t="shared" si="77"/>
        <v>193885</v>
      </c>
      <c r="GIY23" s="30">
        <f t="shared" si="77"/>
        <v>193915</v>
      </c>
      <c r="GIZ23" s="30">
        <f t="shared" si="77"/>
        <v>193946</v>
      </c>
      <c r="GJA23" s="30">
        <f t="shared" si="77"/>
        <v>193977</v>
      </c>
      <c r="GJB23" s="30">
        <f t="shared" si="77"/>
        <v>194005</v>
      </c>
      <c r="GJC23" s="30">
        <f t="shared" si="77"/>
        <v>194036</v>
      </c>
      <c r="GJD23" s="30">
        <f t="shared" ref="GJD23:GLO23" si="78">EDATE(GJC23,1)</f>
        <v>194066</v>
      </c>
      <c r="GJE23" s="30">
        <f t="shared" si="78"/>
        <v>194097</v>
      </c>
      <c r="GJF23" s="30">
        <f t="shared" si="78"/>
        <v>194127</v>
      </c>
      <c r="GJG23" s="30">
        <f t="shared" si="78"/>
        <v>194158</v>
      </c>
      <c r="GJH23" s="30">
        <f t="shared" si="78"/>
        <v>194189</v>
      </c>
      <c r="GJI23" s="30">
        <f t="shared" si="78"/>
        <v>194219</v>
      </c>
      <c r="GJJ23" s="30">
        <f t="shared" si="78"/>
        <v>194250</v>
      </c>
      <c r="GJK23" s="30">
        <f t="shared" si="78"/>
        <v>194280</v>
      </c>
      <c r="GJL23" s="30">
        <f t="shared" si="78"/>
        <v>194311</v>
      </c>
      <c r="GJM23" s="30">
        <f t="shared" si="78"/>
        <v>194342</v>
      </c>
      <c r="GJN23" s="30">
        <f t="shared" si="78"/>
        <v>194371</v>
      </c>
      <c r="GJO23" s="30">
        <f t="shared" si="78"/>
        <v>194402</v>
      </c>
      <c r="GJP23" s="30">
        <f t="shared" si="78"/>
        <v>194432</v>
      </c>
      <c r="GJQ23" s="30">
        <f t="shared" si="78"/>
        <v>194463</v>
      </c>
      <c r="GJR23" s="30">
        <f t="shared" si="78"/>
        <v>194493</v>
      </c>
      <c r="GJS23" s="30">
        <f t="shared" si="78"/>
        <v>194524</v>
      </c>
      <c r="GJT23" s="30">
        <f t="shared" si="78"/>
        <v>194555</v>
      </c>
      <c r="GJU23" s="30">
        <f t="shared" si="78"/>
        <v>194585</v>
      </c>
      <c r="GJV23" s="30">
        <f t="shared" si="78"/>
        <v>194616</v>
      </c>
      <c r="GJW23" s="30">
        <f t="shared" si="78"/>
        <v>194646</v>
      </c>
      <c r="GJX23" s="30">
        <f t="shared" si="78"/>
        <v>194677</v>
      </c>
      <c r="GJY23" s="30">
        <f t="shared" si="78"/>
        <v>194708</v>
      </c>
      <c r="GJZ23" s="30">
        <f t="shared" si="78"/>
        <v>194736</v>
      </c>
      <c r="GKA23" s="30">
        <f t="shared" si="78"/>
        <v>194767</v>
      </c>
      <c r="GKB23" s="30">
        <f t="shared" si="78"/>
        <v>194797</v>
      </c>
      <c r="GKC23" s="30">
        <f t="shared" si="78"/>
        <v>194828</v>
      </c>
      <c r="GKD23" s="30">
        <f t="shared" si="78"/>
        <v>194858</v>
      </c>
      <c r="GKE23" s="30">
        <f t="shared" si="78"/>
        <v>194889</v>
      </c>
      <c r="GKF23" s="30">
        <f t="shared" si="78"/>
        <v>194920</v>
      </c>
      <c r="GKG23" s="30">
        <f t="shared" si="78"/>
        <v>194950</v>
      </c>
      <c r="GKH23" s="30">
        <f t="shared" si="78"/>
        <v>194981</v>
      </c>
      <c r="GKI23" s="30">
        <f t="shared" si="78"/>
        <v>195011</v>
      </c>
      <c r="GKJ23" s="30">
        <f t="shared" si="78"/>
        <v>195042</v>
      </c>
      <c r="GKK23" s="30">
        <f t="shared" si="78"/>
        <v>195073</v>
      </c>
      <c r="GKL23" s="30">
        <f t="shared" si="78"/>
        <v>195101</v>
      </c>
      <c r="GKM23" s="30">
        <f t="shared" si="78"/>
        <v>195132</v>
      </c>
      <c r="GKN23" s="30">
        <f t="shared" si="78"/>
        <v>195162</v>
      </c>
      <c r="GKO23" s="30">
        <f t="shared" si="78"/>
        <v>195193</v>
      </c>
      <c r="GKP23" s="30">
        <f t="shared" si="78"/>
        <v>195223</v>
      </c>
      <c r="GKQ23" s="30">
        <f t="shared" si="78"/>
        <v>195254</v>
      </c>
      <c r="GKR23" s="30">
        <f t="shared" si="78"/>
        <v>195285</v>
      </c>
      <c r="GKS23" s="30">
        <f t="shared" si="78"/>
        <v>195315</v>
      </c>
      <c r="GKT23" s="30">
        <f t="shared" si="78"/>
        <v>195346</v>
      </c>
      <c r="GKU23" s="30">
        <f t="shared" si="78"/>
        <v>195376</v>
      </c>
      <c r="GKV23" s="30">
        <f t="shared" si="78"/>
        <v>195407</v>
      </c>
      <c r="GKW23" s="30">
        <f t="shared" si="78"/>
        <v>195438</v>
      </c>
      <c r="GKX23" s="30">
        <f t="shared" si="78"/>
        <v>195466</v>
      </c>
      <c r="GKY23" s="30">
        <f t="shared" si="78"/>
        <v>195497</v>
      </c>
      <c r="GKZ23" s="30">
        <f t="shared" si="78"/>
        <v>195527</v>
      </c>
      <c r="GLA23" s="30">
        <f t="shared" si="78"/>
        <v>195558</v>
      </c>
      <c r="GLB23" s="30">
        <f t="shared" si="78"/>
        <v>195588</v>
      </c>
      <c r="GLC23" s="30">
        <f t="shared" si="78"/>
        <v>195619</v>
      </c>
      <c r="GLD23" s="30">
        <f t="shared" si="78"/>
        <v>195650</v>
      </c>
      <c r="GLE23" s="30">
        <f t="shared" si="78"/>
        <v>195680</v>
      </c>
      <c r="GLF23" s="30">
        <f t="shared" si="78"/>
        <v>195711</v>
      </c>
      <c r="GLG23" s="30">
        <f t="shared" si="78"/>
        <v>195741</v>
      </c>
      <c r="GLH23" s="30">
        <f t="shared" si="78"/>
        <v>195772</v>
      </c>
      <c r="GLI23" s="30">
        <f t="shared" si="78"/>
        <v>195803</v>
      </c>
      <c r="GLJ23" s="30">
        <f t="shared" si="78"/>
        <v>195832</v>
      </c>
      <c r="GLK23" s="30">
        <f t="shared" si="78"/>
        <v>195863</v>
      </c>
      <c r="GLL23" s="30">
        <f t="shared" si="78"/>
        <v>195893</v>
      </c>
      <c r="GLM23" s="30">
        <f t="shared" si="78"/>
        <v>195924</v>
      </c>
      <c r="GLN23" s="30">
        <f t="shared" si="78"/>
        <v>195954</v>
      </c>
      <c r="GLO23" s="30">
        <f t="shared" si="78"/>
        <v>195985</v>
      </c>
      <c r="GLP23" s="30">
        <f t="shared" ref="GLP23:GOA23" si="79">EDATE(GLO23,1)</f>
        <v>196016</v>
      </c>
      <c r="GLQ23" s="30">
        <f t="shared" si="79"/>
        <v>196046</v>
      </c>
      <c r="GLR23" s="30">
        <f t="shared" si="79"/>
        <v>196077</v>
      </c>
      <c r="GLS23" s="30">
        <f t="shared" si="79"/>
        <v>196107</v>
      </c>
      <c r="GLT23" s="30">
        <f t="shared" si="79"/>
        <v>196138</v>
      </c>
      <c r="GLU23" s="30">
        <f t="shared" si="79"/>
        <v>196169</v>
      </c>
      <c r="GLV23" s="30">
        <f t="shared" si="79"/>
        <v>196197</v>
      </c>
      <c r="GLW23" s="30">
        <f t="shared" si="79"/>
        <v>196228</v>
      </c>
      <c r="GLX23" s="30">
        <f t="shared" si="79"/>
        <v>196258</v>
      </c>
      <c r="GLY23" s="30">
        <f t="shared" si="79"/>
        <v>196289</v>
      </c>
      <c r="GLZ23" s="30">
        <f t="shared" si="79"/>
        <v>196319</v>
      </c>
      <c r="GMA23" s="30">
        <f t="shared" si="79"/>
        <v>196350</v>
      </c>
      <c r="GMB23" s="30">
        <f t="shared" si="79"/>
        <v>196381</v>
      </c>
      <c r="GMC23" s="30">
        <f t="shared" si="79"/>
        <v>196411</v>
      </c>
      <c r="GMD23" s="30">
        <f t="shared" si="79"/>
        <v>196442</v>
      </c>
      <c r="GME23" s="30">
        <f t="shared" si="79"/>
        <v>196472</v>
      </c>
      <c r="GMF23" s="30">
        <f t="shared" si="79"/>
        <v>196503</v>
      </c>
      <c r="GMG23" s="30">
        <f t="shared" si="79"/>
        <v>196534</v>
      </c>
      <c r="GMH23" s="30">
        <f t="shared" si="79"/>
        <v>196562</v>
      </c>
      <c r="GMI23" s="30">
        <f t="shared" si="79"/>
        <v>196593</v>
      </c>
      <c r="GMJ23" s="30">
        <f t="shared" si="79"/>
        <v>196623</v>
      </c>
      <c r="GMK23" s="30">
        <f t="shared" si="79"/>
        <v>196654</v>
      </c>
      <c r="GML23" s="30">
        <f t="shared" si="79"/>
        <v>196684</v>
      </c>
      <c r="GMM23" s="30">
        <f t="shared" si="79"/>
        <v>196715</v>
      </c>
      <c r="GMN23" s="30">
        <f t="shared" si="79"/>
        <v>196746</v>
      </c>
      <c r="GMO23" s="30">
        <f t="shared" si="79"/>
        <v>196776</v>
      </c>
      <c r="GMP23" s="30">
        <f t="shared" si="79"/>
        <v>196807</v>
      </c>
      <c r="GMQ23" s="30">
        <f t="shared" si="79"/>
        <v>196837</v>
      </c>
      <c r="GMR23" s="30">
        <f t="shared" si="79"/>
        <v>196868</v>
      </c>
      <c r="GMS23" s="30">
        <f t="shared" si="79"/>
        <v>196899</v>
      </c>
      <c r="GMT23" s="30">
        <f t="shared" si="79"/>
        <v>196927</v>
      </c>
      <c r="GMU23" s="30">
        <f t="shared" si="79"/>
        <v>196958</v>
      </c>
      <c r="GMV23" s="30">
        <f t="shared" si="79"/>
        <v>196988</v>
      </c>
      <c r="GMW23" s="30">
        <f t="shared" si="79"/>
        <v>197019</v>
      </c>
      <c r="GMX23" s="30">
        <f t="shared" si="79"/>
        <v>197049</v>
      </c>
      <c r="GMY23" s="30">
        <f t="shared" si="79"/>
        <v>197080</v>
      </c>
      <c r="GMZ23" s="30">
        <f t="shared" si="79"/>
        <v>197111</v>
      </c>
      <c r="GNA23" s="30">
        <f t="shared" si="79"/>
        <v>197141</v>
      </c>
      <c r="GNB23" s="30">
        <f t="shared" si="79"/>
        <v>197172</v>
      </c>
      <c r="GNC23" s="30">
        <f t="shared" si="79"/>
        <v>197202</v>
      </c>
      <c r="GND23" s="30">
        <f t="shared" si="79"/>
        <v>197233</v>
      </c>
      <c r="GNE23" s="30">
        <f t="shared" si="79"/>
        <v>197264</v>
      </c>
      <c r="GNF23" s="30">
        <f t="shared" si="79"/>
        <v>197293</v>
      </c>
      <c r="GNG23" s="30">
        <f t="shared" si="79"/>
        <v>197324</v>
      </c>
      <c r="GNH23" s="30">
        <f t="shared" si="79"/>
        <v>197354</v>
      </c>
      <c r="GNI23" s="30">
        <f t="shared" si="79"/>
        <v>197385</v>
      </c>
      <c r="GNJ23" s="30">
        <f t="shared" si="79"/>
        <v>197415</v>
      </c>
      <c r="GNK23" s="30">
        <f t="shared" si="79"/>
        <v>197446</v>
      </c>
      <c r="GNL23" s="30">
        <f t="shared" si="79"/>
        <v>197477</v>
      </c>
      <c r="GNM23" s="30">
        <f t="shared" si="79"/>
        <v>197507</v>
      </c>
      <c r="GNN23" s="30">
        <f t="shared" si="79"/>
        <v>197538</v>
      </c>
      <c r="GNO23" s="30">
        <f t="shared" si="79"/>
        <v>197568</v>
      </c>
      <c r="GNP23" s="30">
        <f t="shared" si="79"/>
        <v>197599</v>
      </c>
      <c r="GNQ23" s="30">
        <f t="shared" si="79"/>
        <v>197630</v>
      </c>
      <c r="GNR23" s="30">
        <f t="shared" si="79"/>
        <v>197658</v>
      </c>
      <c r="GNS23" s="30">
        <f t="shared" si="79"/>
        <v>197689</v>
      </c>
      <c r="GNT23" s="30">
        <f t="shared" si="79"/>
        <v>197719</v>
      </c>
      <c r="GNU23" s="30">
        <f t="shared" si="79"/>
        <v>197750</v>
      </c>
      <c r="GNV23" s="30">
        <f t="shared" si="79"/>
        <v>197780</v>
      </c>
      <c r="GNW23" s="30">
        <f t="shared" si="79"/>
        <v>197811</v>
      </c>
      <c r="GNX23" s="30">
        <f t="shared" si="79"/>
        <v>197842</v>
      </c>
      <c r="GNY23" s="30">
        <f t="shared" si="79"/>
        <v>197872</v>
      </c>
      <c r="GNZ23" s="30">
        <f t="shared" si="79"/>
        <v>197903</v>
      </c>
      <c r="GOA23" s="30">
        <f t="shared" si="79"/>
        <v>197933</v>
      </c>
      <c r="GOB23" s="30">
        <f t="shared" ref="GOB23:GQM23" si="80">EDATE(GOA23,1)</f>
        <v>197964</v>
      </c>
      <c r="GOC23" s="30">
        <f t="shared" si="80"/>
        <v>197995</v>
      </c>
      <c r="GOD23" s="30">
        <f t="shared" si="80"/>
        <v>198023</v>
      </c>
      <c r="GOE23" s="30">
        <f t="shared" si="80"/>
        <v>198054</v>
      </c>
      <c r="GOF23" s="30">
        <f t="shared" si="80"/>
        <v>198084</v>
      </c>
      <c r="GOG23" s="30">
        <f t="shared" si="80"/>
        <v>198115</v>
      </c>
      <c r="GOH23" s="30">
        <f t="shared" si="80"/>
        <v>198145</v>
      </c>
      <c r="GOI23" s="30">
        <f t="shared" si="80"/>
        <v>198176</v>
      </c>
      <c r="GOJ23" s="30">
        <f t="shared" si="80"/>
        <v>198207</v>
      </c>
      <c r="GOK23" s="30">
        <f t="shared" si="80"/>
        <v>198237</v>
      </c>
      <c r="GOL23" s="30">
        <f t="shared" si="80"/>
        <v>198268</v>
      </c>
      <c r="GOM23" s="30">
        <f t="shared" si="80"/>
        <v>198298</v>
      </c>
      <c r="GON23" s="30">
        <f t="shared" si="80"/>
        <v>198329</v>
      </c>
      <c r="GOO23" s="30">
        <f t="shared" si="80"/>
        <v>198360</v>
      </c>
      <c r="GOP23" s="30">
        <f t="shared" si="80"/>
        <v>198388</v>
      </c>
      <c r="GOQ23" s="30">
        <f t="shared" si="80"/>
        <v>198419</v>
      </c>
      <c r="GOR23" s="30">
        <f t="shared" si="80"/>
        <v>198449</v>
      </c>
      <c r="GOS23" s="30">
        <f t="shared" si="80"/>
        <v>198480</v>
      </c>
      <c r="GOT23" s="30">
        <f t="shared" si="80"/>
        <v>198510</v>
      </c>
      <c r="GOU23" s="30">
        <f t="shared" si="80"/>
        <v>198541</v>
      </c>
      <c r="GOV23" s="30">
        <f t="shared" si="80"/>
        <v>198572</v>
      </c>
      <c r="GOW23" s="30">
        <f t="shared" si="80"/>
        <v>198602</v>
      </c>
      <c r="GOX23" s="30">
        <f t="shared" si="80"/>
        <v>198633</v>
      </c>
      <c r="GOY23" s="30">
        <f t="shared" si="80"/>
        <v>198663</v>
      </c>
      <c r="GOZ23" s="30">
        <f t="shared" si="80"/>
        <v>198694</v>
      </c>
      <c r="GPA23" s="30">
        <f t="shared" si="80"/>
        <v>198725</v>
      </c>
      <c r="GPB23" s="30">
        <f t="shared" si="80"/>
        <v>198754</v>
      </c>
      <c r="GPC23" s="30">
        <f t="shared" si="80"/>
        <v>198785</v>
      </c>
      <c r="GPD23" s="30">
        <f t="shared" si="80"/>
        <v>198815</v>
      </c>
      <c r="GPE23" s="30">
        <f t="shared" si="80"/>
        <v>198846</v>
      </c>
      <c r="GPF23" s="30">
        <f t="shared" si="80"/>
        <v>198876</v>
      </c>
      <c r="GPG23" s="30">
        <f t="shared" si="80"/>
        <v>198907</v>
      </c>
      <c r="GPH23" s="30">
        <f t="shared" si="80"/>
        <v>198938</v>
      </c>
      <c r="GPI23" s="30">
        <f t="shared" si="80"/>
        <v>198968</v>
      </c>
      <c r="GPJ23" s="30">
        <f t="shared" si="80"/>
        <v>198999</v>
      </c>
      <c r="GPK23" s="30">
        <f t="shared" si="80"/>
        <v>199029</v>
      </c>
      <c r="GPL23" s="30">
        <f t="shared" si="80"/>
        <v>199060</v>
      </c>
      <c r="GPM23" s="30">
        <f t="shared" si="80"/>
        <v>199091</v>
      </c>
      <c r="GPN23" s="30">
        <f t="shared" si="80"/>
        <v>199119</v>
      </c>
      <c r="GPO23" s="30">
        <f t="shared" si="80"/>
        <v>199150</v>
      </c>
      <c r="GPP23" s="30">
        <f t="shared" si="80"/>
        <v>199180</v>
      </c>
      <c r="GPQ23" s="30">
        <f t="shared" si="80"/>
        <v>199211</v>
      </c>
      <c r="GPR23" s="30">
        <f t="shared" si="80"/>
        <v>199241</v>
      </c>
      <c r="GPS23" s="30">
        <f t="shared" si="80"/>
        <v>199272</v>
      </c>
      <c r="GPT23" s="30">
        <f t="shared" si="80"/>
        <v>199303</v>
      </c>
      <c r="GPU23" s="30">
        <f t="shared" si="80"/>
        <v>199333</v>
      </c>
      <c r="GPV23" s="30">
        <f t="shared" si="80"/>
        <v>199364</v>
      </c>
      <c r="GPW23" s="30">
        <f t="shared" si="80"/>
        <v>199394</v>
      </c>
      <c r="GPX23" s="30">
        <f t="shared" si="80"/>
        <v>199425</v>
      </c>
      <c r="GPY23" s="30">
        <f t="shared" si="80"/>
        <v>199456</v>
      </c>
      <c r="GPZ23" s="30">
        <f t="shared" si="80"/>
        <v>199484</v>
      </c>
      <c r="GQA23" s="30">
        <f t="shared" si="80"/>
        <v>199515</v>
      </c>
      <c r="GQB23" s="30">
        <f t="shared" si="80"/>
        <v>199545</v>
      </c>
      <c r="GQC23" s="30">
        <f t="shared" si="80"/>
        <v>199576</v>
      </c>
      <c r="GQD23" s="30">
        <f t="shared" si="80"/>
        <v>199606</v>
      </c>
      <c r="GQE23" s="30">
        <f t="shared" si="80"/>
        <v>199637</v>
      </c>
      <c r="GQF23" s="30">
        <f t="shared" si="80"/>
        <v>199668</v>
      </c>
      <c r="GQG23" s="30">
        <f t="shared" si="80"/>
        <v>199698</v>
      </c>
      <c r="GQH23" s="30">
        <f t="shared" si="80"/>
        <v>199729</v>
      </c>
      <c r="GQI23" s="30">
        <f t="shared" si="80"/>
        <v>199759</v>
      </c>
      <c r="GQJ23" s="30">
        <f t="shared" si="80"/>
        <v>199790</v>
      </c>
      <c r="GQK23" s="30">
        <f t="shared" si="80"/>
        <v>199821</v>
      </c>
      <c r="GQL23" s="30">
        <f t="shared" si="80"/>
        <v>199849</v>
      </c>
      <c r="GQM23" s="30">
        <f t="shared" si="80"/>
        <v>199880</v>
      </c>
      <c r="GQN23" s="30">
        <f t="shared" ref="GQN23:GSY23" si="81">EDATE(GQM23,1)</f>
        <v>199910</v>
      </c>
      <c r="GQO23" s="30">
        <f t="shared" si="81"/>
        <v>199941</v>
      </c>
      <c r="GQP23" s="30">
        <f t="shared" si="81"/>
        <v>199971</v>
      </c>
      <c r="GQQ23" s="30">
        <f t="shared" si="81"/>
        <v>200002</v>
      </c>
      <c r="GQR23" s="30">
        <f t="shared" si="81"/>
        <v>200033</v>
      </c>
      <c r="GQS23" s="30">
        <f t="shared" si="81"/>
        <v>200063</v>
      </c>
      <c r="GQT23" s="30">
        <f t="shared" si="81"/>
        <v>200094</v>
      </c>
      <c r="GQU23" s="30">
        <f t="shared" si="81"/>
        <v>200124</v>
      </c>
      <c r="GQV23" s="30">
        <f t="shared" si="81"/>
        <v>200155</v>
      </c>
      <c r="GQW23" s="30">
        <f t="shared" si="81"/>
        <v>200186</v>
      </c>
      <c r="GQX23" s="30">
        <f t="shared" si="81"/>
        <v>200215</v>
      </c>
      <c r="GQY23" s="30">
        <f t="shared" si="81"/>
        <v>200246</v>
      </c>
      <c r="GQZ23" s="30">
        <f t="shared" si="81"/>
        <v>200276</v>
      </c>
      <c r="GRA23" s="30">
        <f t="shared" si="81"/>
        <v>200307</v>
      </c>
      <c r="GRB23" s="30">
        <f t="shared" si="81"/>
        <v>200337</v>
      </c>
      <c r="GRC23" s="30">
        <f t="shared" si="81"/>
        <v>200368</v>
      </c>
      <c r="GRD23" s="30">
        <f t="shared" si="81"/>
        <v>200399</v>
      </c>
      <c r="GRE23" s="30">
        <f t="shared" si="81"/>
        <v>200429</v>
      </c>
      <c r="GRF23" s="30">
        <f t="shared" si="81"/>
        <v>200460</v>
      </c>
      <c r="GRG23" s="30">
        <f t="shared" si="81"/>
        <v>200490</v>
      </c>
      <c r="GRH23" s="30">
        <f t="shared" si="81"/>
        <v>200521</v>
      </c>
      <c r="GRI23" s="30">
        <f t="shared" si="81"/>
        <v>200552</v>
      </c>
      <c r="GRJ23" s="30">
        <f t="shared" si="81"/>
        <v>200580</v>
      </c>
      <c r="GRK23" s="30">
        <f t="shared" si="81"/>
        <v>200611</v>
      </c>
      <c r="GRL23" s="30">
        <f t="shared" si="81"/>
        <v>200641</v>
      </c>
      <c r="GRM23" s="30">
        <f t="shared" si="81"/>
        <v>200672</v>
      </c>
      <c r="GRN23" s="30">
        <f t="shared" si="81"/>
        <v>200702</v>
      </c>
      <c r="GRO23" s="30">
        <f t="shared" si="81"/>
        <v>200733</v>
      </c>
      <c r="GRP23" s="30">
        <f t="shared" si="81"/>
        <v>200764</v>
      </c>
      <c r="GRQ23" s="30">
        <f t="shared" si="81"/>
        <v>200794</v>
      </c>
      <c r="GRR23" s="30">
        <f t="shared" si="81"/>
        <v>200825</v>
      </c>
      <c r="GRS23" s="30">
        <f t="shared" si="81"/>
        <v>200855</v>
      </c>
      <c r="GRT23" s="30">
        <f t="shared" si="81"/>
        <v>200886</v>
      </c>
      <c r="GRU23" s="30">
        <f t="shared" si="81"/>
        <v>200917</v>
      </c>
      <c r="GRV23" s="30">
        <f t="shared" si="81"/>
        <v>200945</v>
      </c>
      <c r="GRW23" s="30">
        <f t="shared" si="81"/>
        <v>200976</v>
      </c>
      <c r="GRX23" s="30">
        <f t="shared" si="81"/>
        <v>201006</v>
      </c>
      <c r="GRY23" s="30">
        <f t="shared" si="81"/>
        <v>201037</v>
      </c>
      <c r="GRZ23" s="30">
        <f t="shared" si="81"/>
        <v>201067</v>
      </c>
      <c r="GSA23" s="30">
        <f t="shared" si="81"/>
        <v>201098</v>
      </c>
      <c r="GSB23" s="30">
        <f t="shared" si="81"/>
        <v>201129</v>
      </c>
      <c r="GSC23" s="30">
        <f t="shared" si="81"/>
        <v>201159</v>
      </c>
      <c r="GSD23" s="30">
        <f t="shared" si="81"/>
        <v>201190</v>
      </c>
      <c r="GSE23" s="30">
        <f t="shared" si="81"/>
        <v>201220</v>
      </c>
      <c r="GSF23" s="30">
        <f t="shared" si="81"/>
        <v>201251</v>
      </c>
      <c r="GSG23" s="30">
        <f t="shared" si="81"/>
        <v>201282</v>
      </c>
      <c r="GSH23" s="30">
        <f t="shared" si="81"/>
        <v>201310</v>
      </c>
      <c r="GSI23" s="30">
        <f t="shared" si="81"/>
        <v>201341</v>
      </c>
      <c r="GSJ23" s="30">
        <f t="shared" si="81"/>
        <v>201371</v>
      </c>
      <c r="GSK23" s="30">
        <f t="shared" si="81"/>
        <v>201402</v>
      </c>
      <c r="GSL23" s="30">
        <f t="shared" si="81"/>
        <v>201432</v>
      </c>
      <c r="GSM23" s="30">
        <f t="shared" si="81"/>
        <v>201463</v>
      </c>
      <c r="GSN23" s="30">
        <f t="shared" si="81"/>
        <v>201494</v>
      </c>
      <c r="GSO23" s="30">
        <f t="shared" si="81"/>
        <v>201524</v>
      </c>
      <c r="GSP23" s="30">
        <f t="shared" si="81"/>
        <v>201555</v>
      </c>
      <c r="GSQ23" s="30">
        <f t="shared" si="81"/>
        <v>201585</v>
      </c>
      <c r="GSR23" s="30">
        <f t="shared" si="81"/>
        <v>201616</v>
      </c>
      <c r="GSS23" s="30">
        <f t="shared" si="81"/>
        <v>201647</v>
      </c>
      <c r="GST23" s="30">
        <f t="shared" si="81"/>
        <v>201676</v>
      </c>
      <c r="GSU23" s="30">
        <f t="shared" si="81"/>
        <v>201707</v>
      </c>
      <c r="GSV23" s="30">
        <f t="shared" si="81"/>
        <v>201737</v>
      </c>
      <c r="GSW23" s="30">
        <f t="shared" si="81"/>
        <v>201768</v>
      </c>
      <c r="GSX23" s="30">
        <f t="shared" si="81"/>
        <v>201798</v>
      </c>
      <c r="GSY23" s="30">
        <f t="shared" si="81"/>
        <v>201829</v>
      </c>
      <c r="GSZ23" s="30">
        <f t="shared" ref="GSZ23:GVK23" si="82">EDATE(GSY23,1)</f>
        <v>201860</v>
      </c>
      <c r="GTA23" s="30">
        <f t="shared" si="82"/>
        <v>201890</v>
      </c>
      <c r="GTB23" s="30">
        <f t="shared" si="82"/>
        <v>201921</v>
      </c>
      <c r="GTC23" s="30">
        <f t="shared" si="82"/>
        <v>201951</v>
      </c>
      <c r="GTD23" s="30">
        <f t="shared" si="82"/>
        <v>201982</v>
      </c>
      <c r="GTE23" s="30">
        <f t="shared" si="82"/>
        <v>202013</v>
      </c>
      <c r="GTF23" s="30">
        <f t="shared" si="82"/>
        <v>202041</v>
      </c>
      <c r="GTG23" s="30">
        <f t="shared" si="82"/>
        <v>202072</v>
      </c>
      <c r="GTH23" s="30">
        <f t="shared" si="82"/>
        <v>202102</v>
      </c>
      <c r="GTI23" s="30">
        <f t="shared" si="82"/>
        <v>202133</v>
      </c>
      <c r="GTJ23" s="30">
        <f t="shared" si="82"/>
        <v>202163</v>
      </c>
      <c r="GTK23" s="30">
        <f t="shared" si="82"/>
        <v>202194</v>
      </c>
      <c r="GTL23" s="30">
        <f t="shared" si="82"/>
        <v>202225</v>
      </c>
      <c r="GTM23" s="30">
        <f t="shared" si="82"/>
        <v>202255</v>
      </c>
      <c r="GTN23" s="30">
        <f t="shared" si="82"/>
        <v>202286</v>
      </c>
      <c r="GTO23" s="30">
        <f t="shared" si="82"/>
        <v>202316</v>
      </c>
      <c r="GTP23" s="30">
        <f t="shared" si="82"/>
        <v>202347</v>
      </c>
      <c r="GTQ23" s="30">
        <f t="shared" si="82"/>
        <v>202378</v>
      </c>
      <c r="GTR23" s="30">
        <f t="shared" si="82"/>
        <v>202406</v>
      </c>
      <c r="GTS23" s="30">
        <f t="shared" si="82"/>
        <v>202437</v>
      </c>
      <c r="GTT23" s="30">
        <f t="shared" si="82"/>
        <v>202467</v>
      </c>
      <c r="GTU23" s="30">
        <f t="shared" si="82"/>
        <v>202498</v>
      </c>
      <c r="GTV23" s="30">
        <f t="shared" si="82"/>
        <v>202528</v>
      </c>
      <c r="GTW23" s="30">
        <f t="shared" si="82"/>
        <v>202559</v>
      </c>
      <c r="GTX23" s="30">
        <f t="shared" si="82"/>
        <v>202590</v>
      </c>
      <c r="GTY23" s="30">
        <f t="shared" si="82"/>
        <v>202620</v>
      </c>
      <c r="GTZ23" s="30">
        <f t="shared" si="82"/>
        <v>202651</v>
      </c>
      <c r="GUA23" s="30">
        <f t="shared" si="82"/>
        <v>202681</v>
      </c>
      <c r="GUB23" s="30">
        <f t="shared" si="82"/>
        <v>202712</v>
      </c>
      <c r="GUC23" s="30">
        <f t="shared" si="82"/>
        <v>202743</v>
      </c>
      <c r="GUD23" s="30">
        <f t="shared" si="82"/>
        <v>202771</v>
      </c>
      <c r="GUE23" s="30">
        <f t="shared" si="82"/>
        <v>202802</v>
      </c>
      <c r="GUF23" s="30">
        <f t="shared" si="82"/>
        <v>202832</v>
      </c>
      <c r="GUG23" s="30">
        <f t="shared" si="82"/>
        <v>202863</v>
      </c>
      <c r="GUH23" s="30">
        <f t="shared" si="82"/>
        <v>202893</v>
      </c>
      <c r="GUI23" s="30">
        <f t="shared" si="82"/>
        <v>202924</v>
      </c>
      <c r="GUJ23" s="30">
        <f t="shared" si="82"/>
        <v>202955</v>
      </c>
      <c r="GUK23" s="30">
        <f t="shared" si="82"/>
        <v>202985</v>
      </c>
      <c r="GUL23" s="30">
        <f t="shared" si="82"/>
        <v>203016</v>
      </c>
      <c r="GUM23" s="30">
        <f t="shared" si="82"/>
        <v>203046</v>
      </c>
      <c r="GUN23" s="30">
        <f t="shared" si="82"/>
        <v>203077</v>
      </c>
      <c r="GUO23" s="30">
        <f t="shared" si="82"/>
        <v>203108</v>
      </c>
      <c r="GUP23" s="30">
        <f t="shared" si="82"/>
        <v>203137</v>
      </c>
      <c r="GUQ23" s="30">
        <f t="shared" si="82"/>
        <v>203168</v>
      </c>
      <c r="GUR23" s="30">
        <f t="shared" si="82"/>
        <v>203198</v>
      </c>
      <c r="GUS23" s="30">
        <f t="shared" si="82"/>
        <v>203229</v>
      </c>
      <c r="GUT23" s="30">
        <f t="shared" si="82"/>
        <v>203259</v>
      </c>
      <c r="GUU23" s="30">
        <f t="shared" si="82"/>
        <v>203290</v>
      </c>
      <c r="GUV23" s="30">
        <f t="shared" si="82"/>
        <v>203321</v>
      </c>
      <c r="GUW23" s="30">
        <f t="shared" si="82"/>
        <v>203351</v>
      </c>
      <c r="GUX23" s="30">
        <f t="shared" si="82"/>
        <v>203382</v>
      </c>
      <c r="GUY23" s="30">
        <f t="shared" si="82"/>
        <v>203412</v>
      </c>
      <c r="GUZ23" s="30">
        <f t="shared" si="82"/>
        <v>203443</v>
      </c>
      <c r="GVA23" s="30">
        <f t="shared" si="82"/>
        <v>203474</v>
      </c>
      <c r="GVB23" s="30">
        <f t="shared" si="82"/>
        <v>203502</v>
      </c>
      <c r="GVC23" s="30">
        <f t="shared" si="82"/>
        <v>203533</v>
      </c>
      <c r="GVD23" s="30">
        <f t="shared" si="82"/>
        <v>203563</v>
      </c>
      <c r="GVE23" s="30">
        <f t="shared" si="82"/>
        <v>203594</v>
      </c>
      <c r="GVF23" s="30">
        <f t="shared" si="82"/>
        <v>203624</v>
      </c>
      <c r="GVG23" s="30">
        <f t="shared" si="82"/>
        <v>203655</v>
      </c>
      <c r="GVH23" s="30">
        <f t="shared" si="82"/>
        <v>203686</v>
      </c>
      <c r="GVI23" s="30">
        <f t="shared" si="82"/>
        <v>203716</v>
      </c>
      <c r="GVJ23" s="30">
        <f t="shared" si="82"/>
        <v>203747</v>
      </c>
      <c r="GVK23" s="30">
        <f t="shared" si="82"/>
        <v>203777</v>
      </c>
      <c r="GVL23" s="30">
        <f t="shared" ref="GVL23:GXW23" si="83">EDATE(GVK23,1)</f>
        <v>203808</v>
      </c>
      <c r="GVM23" s="30">
        <f t="shared" si="83"/>
        <v>203839</v>
      </c>
      <c r="GVN23" s="30">
        <f t="shared" si="83"/>
        <v>203867</v>
      </c>
      <c r="GVO23" s="30">
        <f t="shared" si="83"/>
        <v>203898</v>
      </c>
      <c r="GVP23" s="30">
        <f t="shared" si="83"/>
        <v>203928</v>
      </c>
      <c r="GVQ23" s="30">
        <f t="shared" si="83"/>
        <v>203959</v>
      </c>
      <c r="GVR23" s="30">
        <f t="shared" si="83"/>
        <v>203989</v>
      </c>
      <c r="GVS23" s="30">
        <f t="shared" si="83"/>
        <v>204020</v>
      </c>
      <c r="GVT23" s="30">
        <f t="shared" si="83"/>
        <v>204051</v>
      </c>
      <c r="GVU23" s="30">
        <f t="shared" si="83"/>
        <v>204081</v>
      </c>
      <c r="GVV23" s="30">
        <f t="shared" si="83"/>
        <v>204112</v>
      </c>
      <c r="GVW23" s="30">
        <f t="shared" si="83"/>
        <v>204142</v>
      </c>
      <c r="GVX23" s="30">
        <f t="shared" si="83"/>
        <v>204173</v>
      </c>
      <c r="GVY23" s="30">
        <f t="shared" si="83"/>
        <v>204204</v>
      </c>
      <c r="GVZ23" s="30">
        <f t="shared" si="83"/>
        <v>204232</v>
      </c>
      <c r="GWA23" s="30">
        <f t="shared" si="83"/>
        <v>204263</v>
      </c>
      <c r="GWB23" s="30">
        <f t="shared" si="83"/>
        <v>204293</v>
      </c>
      <c r="GWC23" s="30">
        <f t="shared" si="83"/>
        <v>204324</v>
      </c>
      <c r="GWD23" s="30">
        <f t="shared" si="83"/>
        <v>204354</v>
      </c>
      <c r="GWE23" s="30">
        <f t="shared" si="83"/>
        <v>204385</v>
      </c>
      <c r="GWF23" s="30">
        <f t="shared" si="83"/>
        <v>204416</v>
      </c>
      <c r="GWG23" s="30">
        <f t="shared" si="83"/>
        <v>204446</v>
      </c>
      <c r="GWH23" s="30">
        <f t="shared" si="83"/>
        <v>204477</v>
      </c>
      <c r="GWI23" s="30">
        <f t="shared" si="83"/>
        <v>204507</v>
      </c>
      <c r="GWJ23" s="30">
        <f t="shared" si="83"/>
        <v>204538</v>
      </c>
      <c r="GWK23" s="30">
        <f t="shared" si="83"/>
        <v>204569</v>
      </c>
      <c r="GWL23" s="30">
        <f t="shared" si="83"/>
        <v>204598</v>
      </c>
      <c r="GWM23" s="30">
        <f t="shared" si="83"/>
        <v>204629</v>
      </c>
      <c r="GWN23" s="30">
        <f t="shared" si="83"/>
        <v>204659</v>
      </c>
      <c r="GWO23" s="30">
        <f t="shared" si="83"/>
        <v>204690</v>
      </c>
      <c r="GWP23" s="30">
        <f t="shared" si="83"/>
        <v>204720</v>
      </c>
      <c r="GWQ23" s="30">
        <f t="shared" si="83"/>
        <v>204751</v>
      </c>
      <c r="GWR23" s="30">
        <f t="shared" si="83"/>
        <v>204782</v>
      </c>
      <c r="GWS23" s="30">
        <f t="shared" si="83"/>
        <v>204812</v>
      </c>
      <c r="GWT23" s="30">
        <f t="shared" si="83"/>
        <v>204843</v>
      </c>
      <c r="GWU23" s="30">
        <f t="shared" si="83"/>
        <v>204873</v>
      </c>
      <c r="GWV23" s="30">
        <f t="shared" si="83"/>
        <v>204904</v>
      </c>
      <c r="GWW23" s="30">
        <f t="shared" si="83"/>
        <v>204935</v>
      </c>
      <c r="GWX23" s="30">
        <f t="shared" si="83"/>
        <v>204963</v>
      </c>
      <c r="GWY23" s="30">
        <f t="shared" si="83"/>
        <v>204994</v>
      </c>
      <c r="GWZ23" s="30">
        <f t="shared" si="83"/>
        <v>205024</v>
      </c>
      <c r="GXA23" s="30">
        <f t="shared" si="83"/>
        <v>205055</v>
      </c>
      <c r="GXB23" s="30">
        <f t="shared" si="83"/>
        <v>205085</v>
      </c>
      <c r="GXC23" s="30">
        <f t="shared" si="83"/>
        <v>205116</v>
      </c>
      <c r="GXD23" s="30">
        <f t="shared" si="83"/>
        <v>205147</v>
      </c>
      <c r="GXE23" s="30">
        <f t="shared" si="83"/>
        <v>205177</v>
      </c>
      <c r="GXF23" s="30">
        <f t="shared" si="83"/>
        <v>205208</v>
      </c>
      <c r="GXG23" s="30">
        <f t="shared" si="83"/>
        <v>205238</v>
      </c>
      <c r="GXH23" s="30">
        <f t="shared" si="83"/>
        <v>205269</v>
      </c>
      <c r="GXI23" s="30">
        <f t="shared" si="83"/>
        <v>205300</v>
      </c>
      <c r="GXJ23" s="30">
        <f t="shared" si="83"/>
        <v>205328</v>
      </c>
      <c r="GXK23" s="30">
        <f t="shared" si="83"/>
        <v>205359</v>
      </c>
      <c r="GXL23" s="30">
        <f t="shared" si="83"/>
        <v>205389</v>
      </c>
      <c r="GXM23" s="30">
        <f t="shared" si="83"/>
        <v>205420</v>
      </c>
      <c r="GXN23" s="30">
        <f t="shared" si="83"/>
        <v>205450</v>
      </c>
      <c r="GXO23" s="30">
        <f t="shared" si="83"/>
        <v>205481</v>
      </c>
      <c r="GXP23" s="30">
        <f t="shared" si="83"/>
        <v>205512</v>
      </c>
      <c r="GXQ23" s="30">
        <f t="shared" si="83"/>
        <v>205542</v>
      </c>
      <c r="GXR23" s="30">
        <f t="shared" si="83"/>
        <v>205573</v>
      </c>
      <c r="GXS23" s="30">
        <f t="shared" si="83"/>
        <v>205603</v>
      </c>
      <c r="GXT23" s="30">
        <f t="shared" si="83"/>
        <v>205634</v>
      </c>
      <c r="GXU23" s="30">
        <f t="shared" si="83"/>
        <v>205665</v>
      </c>
      <c r="GXV23" s="30">
        <f t="shared" si="83"/>
        <v>205693</v>
      </c>
      <c r="GXW23" s="30">
        <f t="shared" si="83"/>
        <v>205724</v>
      </c>
      <c r="GXX23" s="30">
        <f t="shared" ref="GXX23:HAI23" si="84">EDATE(GXW23,1)</f>
        <v>205754</v>
      </c>
      <c r="GXY23" s="30">
        <f t="shared" si="84"/>
        <v>205785</v>
      </c>
      <c r="GXZ23" s="30">
        <f t="shared" si="84"/>
        <v>205815</v>
      </c>
      <c r="GYA23" s="30">
        <f t="shared" si="84"/>
        <v>205846</v>
      </c>
      <c r="GYB23" s="30">
        <f t="shared" si="84"/>
        <v>205877</v>
      </c>
      <c r="GYC23" s="30">
        <f t="shared" si="84"/>
        <v>205907</v>
      </c>
      <c r="GYD23" s="30">
        <f t="shared" si="84"/>
        <v>205938</v>
      </c>
      <c r="GYE23" s="30">
        <f t="shared" si="84"/>
        <v>205968</v>
      </c>
      <c r="GYF23" s="30">
        <f t="shared" si="84"/>
        <v>205999</v>
      </c>
      <c r="GYG23" s="30">
        <f t="shared" si="84"/>
        <v>206030</v>
      </c>
      <c r="GYH23" s="30">
        <f t="shared" si="84"/>
        <v>206059</v>
      </c>
      <c r="GYI23" s="30">
        <f t="shared" si="84"/>
        <v>206090</v>
      </c>
      <c r="GYJ23" s="30">
        <f t="shared" si="84"/>
        <v>206120</v>
      </c>
      <c r="GYK23" s="30">
        <f t="shared" si="84"/>
        <v>206151</v>
      </c>
      <c r="GYL23" s="30">
        <f t="shared" si="84"/>
        <v>206181</v>
      </c>
      <c r="GYM23" s="30">
        <f t="shared" si="84"/>
        <v>206212</v>
      </c>
      <c r="GYN23" s="30">
        <f t="shared" si="84"/>
        <v>206243</v>
      </c>
      <c r="GYO23" s="30">
        <f t="shared" si="84"/>
        <v>206273</v>
      </c>
      <c r="GYP23" s="30">
        <f t="shared" si="84"/>
        <v>206304</v>
      </c>
      <c r="GYQ23" s="30">
        <f t="shared" si="84"/>
        <v>206334</v>
      </c>
      <c r="GYR23" s="30">
        <f t="shared" si="84"/>
        <v>206365</v>
      </c>
      <c r="GYS23" s="30">
        <f t="shared" si="84"/>
        <v>206396</v>
      </c>
      <c r="GYT23" s="30">
        <f t="shared" si="84"/>
        <v>206424</v>
      </c>
      <c r="GYU23" s="30">
        <f t="shared" si="84"/>
        <v>206455</v>
      </c>
      <c r="GYV23" s="30">
        <f t="shared" si="84"/>
        <v>206485</v>
      </c>
      <c r="GYW23" s="30">
        <f t="shared" si="84"/>
        <v>206516</v>
      </c>
      <c r="GYX23" s="30">
        <f t="shared" si="84"/>
        <v>206546</v>
      </c>
      <c r="GYY23" s="30">
        <f t="shared" si="84"/>
        <v>206577</v>
      </c>
      <c r="GYZ23" s="30">
        <f t="shared" si="84"/>
        <v>206608</v>
      </c>
      <c r="GZA23" s="30">
        <f t="shared" si="84"/>
        <v>206638</v>
      </c>
      <c r="GZB23" s="30">
        <f t="shared" si="84"/>
        <v>206669</v>
      </c>
      <c r="GZC23" s="30">
        <f t="shared" si="84"/>
        <v>206699</v>
      </c>
      <c r="GZD23" s="30">
        <f t="shared" si="84"/>
        <v>206730</v>
      </c>
      <c r="GZE23" s="30">
        <f t="shared" si="84"/>
        <v>206761</v>
      </c>
      <c r="GZF23" s="30">
        <f t="shared" si="84"/>
        <v>206789</v>
      </c>
      <c r="GZG23" s="30">
        <f t="shared" si="84"/>
        <v>206820</v>
      </c>
      <c r="GZH23" s="30">
        <f t="shared" si="84"/>
        <v>206850</v>
      </c>
      <c r="GZI23" s="30">
        <f t="shared" si="84"/>
        <v>206881</v>
      </c>
      <c r="GZJ23" s="30">
        <f t="shared" si="84"/>
        <v>206911</v>
      </c>
      <c r="GZK23" s="30">
        <f t="shared" si="84"/>
        <v>206942</v>
      </c>
      <c r="GZL23" s="30">
        <f t="shared" si="84"/>
        <v>206973</v>
      </c>
      <c r="GZM23" s="30">
        <f t="shared" si="84"/>
        <v>207003</v>
      </c>
      <c r="GZN23" s="30">
        <f t="shared" si="84"/>
        <v>207034</v>
      </c>
      <c r="GZO23" s="30">
        <f t="shared" si="84"/>
        <v>207064</v>
      </c>
      <c r="GZP23" s="30">
        <f t="shared" si="84"/>
        <v>207095</v>
      </c>
      <c r="GZQ23" s="30">
        <f t="shared" si="84"/>
        <v>207126</v>
      </c>
      <c r="GZR23" s="30">
        <f t="shared" si="84"/>
        <v>207154</v>
      </c>
      <c r="GZS23" s="30">
        <f t="shared" si="84"/>
        <v>207185</v>
      </c>
      <c r="GZT23" s="30">
        <f t="shared" si="84"/>
        <v>207215</v>
      </c>
      <c r="GZU23" s="30">
        <f t="shared" si="84"/>
        <v>207246</v>
      </c>
      <c r="GZV23" s="30">
        <f t="shared" si="84"/>
        <v>207276</v>
      </c>
      <c r="GZW23" s="30">
        <f t="shared" si="84"/>
        <v>207307</v>
      </c>
      <c r="GZX23" s="30">
        <f t="shared" si="84"/>
        <v>207338</v>
      </c>
      <c r="GZY23" s="30">
        <f t="shared" si="84"/>
        <v>207368</v>
      </c>
      <c r="GZZ23" s="30">
        <f t="shared" si="84"/>
        <v>207399</v>
      </c>
      <c r="HAA23" s="30">
        <f t="shared" si="84"/>
        <v>207429</v>
      </c>
      <c r="HAB23" s="30">
        <f t="shared" si="84"/>
        <v>207460</v>
      </c>
      <c r="HAC23" s="30">
        <f t="shared" si="84"/>
        <v>207491</v>
      </c>
      <c r="HAD23" s="30">
        <f t="shared" si="84"/>
        <v>207520</v>
      </c>
      <c r="HAE23" s="30">
        <f t="shared" si="84"/>
        <v>207551</v>
      </c>
      <c r="HAF23" s="30">
        <f t="shared" si="84"/>
        <v>207581</v>
      </c>
      <c r="HAG23" s="30">
        <f t="shared" si="84"/>
        <v>207612</v>
      </c>
      <c r="HAH23" s="30">
        <f t="shared" si="84"/>
        <v>207642</v>
      </c>
      <c r="HAI23" s="30">
        <f t="shared" si="84"/>
        <v>207673</v>
      </c>
      <c r="HAJ23" s="30">
        <f t="shared" ref="HAJ23:HCU23" si="85">EDATE(HAI23,1)</f>
        <v>207704</v>
      </c>
      <c r="HAK23" s="30">
        <f t="shared" si="85"/>
        <v>207734</v>
      </c>
      <c r="HAL23" s="30">
        <f t="shared" si="85"/>
        <v>207765</v>
      </c>
      <c r="HAM23" s="30">
        <f t="shared" si="85"/>
        <v>207795</v>
      </c>
      <c r="HAN23" s="30">
        <f t="shared" si="85"/>
        <v>207826</v>
      </c>
      <c r="HAO23" s="30">
        <f t="shared" si="85"/>
        <v>207857</v>
      </c>
      <c r="HAP23" s="30">
        <f t="shared" si="85"/>
        <v>207885</v>
      </c>
      <c r="HAQ23" s="30">
        <f t="shared" si="85"/>
        <v>207916</v>
      </c>
      <c r="HAR23" s="30">
        <f t="shared" si="85"/>
        <v>207946</v>
      </c>
      <c r="HAS23" s="30">
        <f t="shared" si="85"/>
        <v>207977</v>
      </c>
      <c r="HAT23" s="30">
        <f t="shared" si="85"/>
        <v>208007</v>
      </c>
      <c r="HAU23" s="30">
        <f t="shared" si="85"/>
        <v>208038</v>
      </c>
      <c r="HAV23" s="30">
        <f t="shared" si="85"/>
        <v>208069</v>
      </c>
      <c r="HAW23" s="30">
        <f t="shared" si="85"/>
        <v>208099</v>
      </c>
      <c r="HAX23" s="30">
        <f t="shared" si="85"/>
        <v>208130</v>
      </c>
      <c r="HAY23" s="30">
        <f t="shared" si="85"/>
        <v>208160</v>
      </c>
      <c r="HAZ23" s="30">
        <f t="shared" si="85"/>
        <v>208191</v>
      </c>
      <c r="HBA23" s="30">
        <f t="shared" si="85"/>
        <v>208222</v>
      </c>
      <c r="HBB23" s="30">
        <f t="shared" si="85"/>
        <v>208250</v>
      </c>
      <c r="HBC23" s="30">
        <f t="shared" si="85"/>
        <v>208281</v>
      </c>
      <c r="HBD23" s="30">
        <f t="shared" si="85"/>
        <v>208311</v>
      </c>
      <c r="HBE23" s="30">
        <f t="shared" si="85"/>
        <v>208342</v>
      </c>
      <c r="HBF23" s="30">
        <f t="shared" si="85"/>
        <v>208372</v>
      </c>
      <c r="HBG23" s="30">
        <f t="shared" si="85"/>
        <v>208403</v>
      </c>
      <c r="HBH23" s="30">
        <f t="shared" si="85"/>
        <v>208434</v>
      </c>
      <c r="HBI23" s="30">
        <f t="shared" si="85"/>
        <v>208464</v>
      </c>
      <c r="HBJ23" s="30">
        <f t="shared" si="85"/>
        <v>208495</v>
      </c>
      <c r="HBK23" s="30">
        <f t="shared" si="85"/>
        <v>208525</v>
      </c>
      <c r="HBL23" s="30">
        <f t="shared" si="85"/>
        <v>208556</v>
      </c>
      <c r="HBM23" s="30">
        <f t="shared" si="85"/>
        <v>208587</v>
      </c>
      <c r="HBN23" s="30">
        <f t="shared" si="85"/>
        <v>208615</v>
      </c>
      <c r="HBO23" s="30">
        <f t="shared" si="85"/>
        <v>208646</v>
      </c>
      <c r="HBP23" s="30">
        <f t="shared" si="85"/>
        <v>208676</v>
      </c>
      <c r="HBQ23" s="30">
        <f t="shared" si="85"/>
        <v>208707</v>
      </c>
      <c r="HBR23" s="30">
        <f t="shared" si="85"/>
        <v>208737</v>
      </c>
      <c r="HBS23" s="30">
        <f t="shared" si="85"/>
        <v>208768</v>
      </c>
      <c r="HBT23" s="30">
        <f t="shared" si="85"/>
        <v>208799</v>
      </c>
      <c r="HBU23" s="30">
        <f t="shared" si="85"/>
        <v>208829</v>
      </c>
      <c r="HBV23" s="30">
        <f t="shared" si="85"/>
        <v>208860</v>
      </c>
      <c r="HBW23" s="30">
        <f t="shared" si="85"/>
        <v>208890</v>
      </c>
      <c r="HBX23" s="30">
        <f t="shared" si="85"/>
        <v>208921</v>
      </c>
      <c r="HBY23" s="30">
        <f t="shared" si="85"/>
        <v>208952</v>
      </c>
      <c r="HBZ23" s="30">
        <f t="shared" si="85"/>
        <v>208981</v>
      </c>
      <c r="HCA23" s="30">
        <f t="shared" si="85"/>
        <v>209012</v>
      </c>
      <c r="HCB23" s="30">
        <f t="shared" si="85"/>
        <v>209042</v>
      </c>
      <c r="HCC23" s="30">
        <f t="shared" si="85"/>
        <v>209073</v>
      </c>
      <c r="HCD23" s="30">
        <f t="shared" si="85"/>
        <v>209103</v>
      </c>
      <c r="HCE23" s="30">
        <f t="shared" si="85"/>
        <v>209134</v>
      </c>
      <c r="HCF23" s="30">
        <f t="shared" si="85"/>
        <v>209165</v>
      </c>
      <c r="HCG23" s="30">
        <f t="shared" si="85"/>
        <v>209195</v>
      </c>
      <c r="HCH23" s="30">
        <f t="shared" si="85"/>
        <v>209226</v>
      </c>
      <c r="HCI23" s="30">
        <f t="shared" si="85"/>
        <v>209256</v>
      </c>
      <c r="HCJ23" s="30">
        <f t="shared" si="85"/>
        <v>209287</v>
      </c>
      <c r="HCK23" s="30">
        <f t="shared" si="85"/>
        <v>209318</v>
      </c>
      <c r="HCL23" s="30">
        <f t="shared" si="85"/>
        <v>209346</v>
      </c>
      <c r="HCM23" s="30">
        <f t="shared" si="85"/>
        <v>209377</v>
      </c>
      <c r="HCN23" s="30">
        <f t="shared" si="85"/>
        <v>209407</v>
      </c>
      <c r="HCO23" s="30">
        <f t="shared" si="85"/>
        <v>209438</v>
      </c>
      <c r="HCP23" s="30">
        <f t="shared" si="85"/>
        <v>209468</v>
      </c>
      <c r="HCQ23" s="30">
        <f t="shared" si="85"/>
        <v>209499</v>
      </c>
      <c r="HCR23" s="30">
        <f t="shared" si="85"/>
        <v>209530</v>
      </c>
      <c r="HCS23" s="30">
        <f t="shared" si="85"/>
        <v>209560</v>
      </c>
      <c r="HCT23" s="30">
        <f t="shared" si="85"/>
        <v>209591</v>
      </c>
      <c r="HCU23" s="30">
        <f t="shared" si="85"/>
        <v>209621</v>
      </c>
      <c r="HCV23" s="30">
        <f t="shared" ref="HCV23:HFG23" si="86">EDATE(HCU23,1)</f>
        <v>209652</v>
      </c>
      <c r="HCW23" s="30">
        <f t="shared" si="86"/>
        <v>209683</v>
      </c>
      <c r="HCX23" s="30">
        <f t="shared" si="86"/>
        <v>209711</v>
      </c>
      <c r="HCY23" s="30">
        <f t="shared" si="86"/>
        <v>209742</v>
      </c>
      <c r="HCZ23" s="30">
        <f t="shared" si="86"/>
        <v>209772</v>
      </c>
      <c r="HDA23" s="30">
        <f t="shared" si="86"/>
        <v>209803</v>
      </c>
      <c r="HDB23" s="30">
        <f t="shared" si="86"/>
        <v>209833</v>
      </c>
      <c r="HDC23" s="30">
        <f t="shared" si="86"/>
        <v>209864</v>
      </c>
      <c r="HDD23" s="30">
        <f t="shared" si="86"/>
        <v>209895</v>
      </c>
      <c r="HDE23" s="30">
        <f t="shared" si="86"/>
        <v>209925</v>
      </c>
      <c r="HDF23" s="30">
        <f t="shared" si="86"/>
        <v>209956</v>
      </c>
      <c r="HDG23" s="30">
        <f t="shared" si="86"/>
        <v>209986</v>
      </c>
      <c r="HDH23" s="30">
        <f t="shared" si="86"/>
        <v>210017</v>
      </c>
      <c r="HDI23" s="30">
        <f t="shared" si="86"/>
        <v>210048</v>
      </c>
      <c r="HDJ23" s="30">
        <f t="shared" si="86"/>
        <v>210076</v>
      </c>
      <c r="HDK23" s="30">
        <f t="shared" si="86"/>
        <v>210107</v>
      </c>
      <c r="HDL23" s="30">
        <f t="shared" si="86"/>
        <v>210137</v>
      </c>
      <c r="HDM23" s="30">
        <f t="shared" si="86"/>
        <v>210168</v>
      </c>
      <c r="HDN23" s="30">
        <f t="shared" si="86"/>
        <v>210198</v>
      </c>
      <c r="HDO23" s="30">
        <f t="shared" si="86"/>
        <v>210229</v>
      </c>
      <c r="HDP23" s="30">
        <f t="shared" si="86"/>
        <v>210260</v>
      </c>
      <c r="HDQ23" s="30">
        <f t="shared" si="86"/>
        <v>210290</v>
      </c>
      <c r="HDR23" s="30">
        <f t="shared" si="86"/>
        <v>210321</v>
      </c>
      <c r="HDS23" s="30">
        <f t="shared" si="86"/>
        <v>210351</v>
      </c>
      <c r="HDT23" s="30">
        <f t="shared" si="86"/>
        <v>210382</v>
      </c>
      <c r="HDU23" s="30">
        <f t="shared" si="86"/>
        <v>210413</v>
      </c>
      <c r="HDV23" s="30">
        <f t="shared" si="86"/>
        <v>210442</v>
      </c>
      <c r="HDW23" s="30">
        <f t="shared" si="86"/>
        <v>210473</v>
      </c>
      <c r="HDX23" s="30">
        <f t="shared" si="86"/>
        <v>210503</v>
      </c>
      <c r="HDY23" s="30">
        <f t="shared" si="86"/>
        <v>210534</v>
      </c>
      <c r="HDZ23" s="30">
        <f t="shared" si="86"/>
        <v>210564</v>
      </c>
      <c r="HEA23" s="30">
        <f t="shared" si="86"/>
        <v>210595</v>
      </c>
      <c r="HEB23" s="30">
        <f t="shared" si="86"/>
        <v>210626</v>
      </c>
      <c r="HEC23" s="30">
        <f t="shared" si="86"/>
        <v>210656</v>
      </c>
      <c r="HED23" s="30">
        <f t="shared" si="86"/>
        <v>210687</v>
      </c>
      <c r="HEE23" s="30">
        <f t="shared" si="86"/>
        <v>210717</v>
      </c>
      <c r="HEF23" s="30">
        <f t="shared" si="86"/>
        <v>210748</v>
      </c>
      <c r="HEG23" s="30">
        <f t="shared" si="86"/>
        <v>210779</v>
      </c>
      <c r="HEH23" s="30">
        <f t="shared" si="86"/>
        <v>210807</v>
      </c>
      <c r="HEI23" s="30">
        <f t="shared" si="86"/>
        <v>210838</v>
      </c>
      <c r="HEJ23" s="30">
        <f t="shared" si="86"/>
        <v>210868</v>
      </c>
      <c r="HEK23" s="30">
        <f t="shared" si="86"/>
        <v>210899</v>
      </c>
      <c r="HEL23" s="30">
        <f t="shared" si="86"/>
        <v>210929</v>
      </c>
      <c r="HEM23" s="30">
        <f t="shared" si="86"/>
        <v>210960</v>
      </c>
      <c r="HEN23" s="30">
        <f t="shared" si="86"/>
        <v>210991</v>
      </c>
      <c r="HEO23" s="30">
        <f t="shared" si="86"/>
        <v>211021</v>
      </c>
      <c r="HEP23" s="30">
        <f t="shared" si="86"/>
        <v>211052</v>
      </c>
      <c r="HEQ23" s="30">
        <f t="shared" si="86"/>
        <v>211082</v>
      </c>
      <c r="HER23" s="30">
        <f t="shared" si="86"/>
        <v>211113</v>
      </c>
      <c r="HES23" s="30">
        <f t="shared" si="86"/>
        <v>211144</v>
      </c>
      <c r="HET23" s="30">
        <f t="shared" si="86"/>
        <v>211172</v>
      </c>
      <c r="HEU23" s="30">
        <f t="shared" si="86"/>
        <v>211203</v>
      </c>
      <c r="HEV23" s="30">
        <f t="shared" si="86"/>
        <v>211233</v>
      </c>
      <c r="HEW23" s="30">
        <f t="shared" si="86"/>
        <v>211264</v>
      </c>
      <c r="HEX23" s="30">
        <f t="shared" si="86"/>
        <v>211294</v>
      </c>
      <c r="HEY23" s="30">
        <f t="shared" si="86"/>
        <v>211325</v>
      </c>
      <c r="HEZ23" s="30">
        <f t="shared" si="86"/>
        <v>211356</v>
      </c>
      <c r="HFA23" s="30">
        <f t="shared" si="86"/>
        <v>211386</v>
      </c>
      <c r="HFB23" s="30">
        <f t="shared" si="86"/>
        <v>211417</v>
      </c>
      <c r="HFC23" s="30">
        <f t="shared" si="86"/>
        <v>211447</v>
      </c>
      <c r="HFD23" s="30">
        <f t="shared" si="86"/>
        <v>211478</v>
      </c>
      <c r="HFE23" s="30">
        <f t="shared" si="86"/>
        <v>211509</v>
      </c>
      <c r="HFF23" s="30">
        <f t="shared" si="86"/>
        <v>211537</v>
      </c>
      <c r="HFG23" s="30">
        <f t="shared" si="86"/>
        <v>211568</v>
      </c>
      <c r="HFH23" s="30">
        <f t="shared" ref="HFH23:HHS23" si="87">EDATE(HFG23,1)</f>
        <v>211598</v>
      </c>
      <c r="HFI23" s="30">
        <f t="shared" si="87"/>
        <v>211629</v>
      </c>
      <c r="HFJ23" s="30">
        <f t="shared" si="87"/>
        <v>211659</v>
      </c>
      <c r="HFK23" s="30">
        <f t="shared" si="87"/>
        <v>211690</v>
      </c>
      <c r="HFL23" s="30">
        <f t="shared" si="87"/>
        <v>211721</v>
      </c>
      <c r="HFM23" s="30">
        <f t="shared" si="87"/>
        <v>211751</v>
      </c>
      <c r="HFN23" s="30">
        <f t="shared" si="87"/>
        <v>211782</v>
      </c>
      <c r="HFO23" s="30">
        <f t="shared" si="87"/>
        <v>211812</v>
      </c>
      <c r="HFP23" s="30">
        <f t="shared" si="87"/>
        <v>211843</v>
      </c>
      <c r="HFQ23" s="30">
        <f t="shared" si="87"/>
        <v>211874</v>
      </c>
      <c r="HFR23" s="30">
        <f t="shared" si="87"/>
        <v>211903</v>
      </c>
      <c r="HFS23" s="30">
        <f t="shared" si="87"/>
        <v>211934</v>
      </c>
      <c r="HFT23" s="30">
        <f t="shared" si="87"/>
        <v>211964</v>
      </c>
      <c r="HFU23" s="30">
        <f t="shared" si="87"/>
        <v>211995</v>
      </c>
      <c r="HFV23" s="30">
        <f t="shared" si="87"/>
        <v>212025</v>
      </c>
      <c r="HFW23" s="30">
        <f t="shared" si="87"/>
        <v>212056</v>
      </c>
      <c r="HFX23" s="30">
        <f t="shared" si="87"/>
        <v>212087</v>
      </c>
      <c r="HFY23" s="30">
        <f t="shared" si="87"/>
        <v>212117</v>
      </c>
      <c r="HFZ23" s="30">
        <f t="shared" si="87"/>
        <v>212148</v>
      </c>
      <c r="HGA23" s="30">
        <f t="shared" si="87"/>
        <v>212178</v>
      </c>
      <c r="HGB23" s="30">
        <f t="shared" si="87"/>
        <v>212209</v>
      </c>
      <c r="HGC23" s="30">
        <f t="shared" si="87"/>
        <v>212240</v>
      </c>
      <c r="HGD23" s="30">
        <f t="shared" si="87"/>
        <v>212268</v>
      </c>
      <c r="HGE23" s="30">
        <f t="shared" si="87"/>
        <v>212299</v>
      </c>
      <c r="HGF23" s="30">
        <f t="shared" si="87"/>
        <v>212329</v>
      </c>
      <c r="HGG23" s="30">
        <f t="shared" si="87"/>
        <v>212360</v>
      </c>
      <c r="HGH23" s="30">
        <f t="shared" si="87"/>
        <v>212390</v>
      </c>
      <c r="HGI23" s="30">
        <f t="shared" si="87"/>
        <v>212421</v>
      </c>
      <c r="HGJ23" s="30">
        <f t="shared" si="87"/>
        <v>212452</v>
      </c>
      <c r="HGK23" s="30">
        <f t="shared" si="87"/>
        <v>212482</v>
      </c>
      <c r="HGL23" s="30">
        <f t="shared" si="87"/>
        <v>212513</v>
      </c>
      <c r="HGM23" s="30">
        <f t="shared" si="87"/>
        <v>212543</v>
      </c>
      <c r="HGN23" s="30">
        <f t="shared" si="87"/>
        <v>212574</v>
      </c>
      <c r="HGO23" s="30">
        <f t="shared" si="87"/>
        <v>212605</v>
      </c>
      <c r="HGP23" s="30">
        <f t="shared" si="87"/>
        <v>212633</v>
      </c>
      <c r="HGQ23" s="30">
        <f t="shared" si="87"/>
        <v>212664</v>
      </c>
      <c r="HGR23" s="30">
        <f t="shared" si="87"/>
        <v>212694</v>
      </c>
      <c r="HGS23" s="30">
        <f t="shared" si="87"/>
        <v>212725</v>
      </c>
      <c r="HGT23" s="30">
        <f t="shared" si="87"/>
        <v>212755</v>
      </c>
      <c r="HGU23" s="30">
        <f t="shared" si="87"/>
        <v>212786</v>
      </c>
      <c r="HGV23" s="30">
        <f t="shared" si="87"/>
        <v>212817</v>
      </c>
      <c r="HGW23" s="30">
        <f t="shared" si="87"/>
        <v>212847</v>
      </c>
      <c r="HGX23" s="30">
        <f t="shared" si="87"/>
        <v>212878</v>
      </c>
      <c r="HGY23" s="30">
        <f t="shared" si="87"/>
        <v>212908</v>
      </c>
      <c r="HGZ23" s="30">
        <f t="shared" si="87"/>
        <v>212939</v>
      </c>
      <c r="HHA23" s="30">
        <f t="shared" si="87"/>
        <v>212970</v>
      </c>
      <c r="HHB23" s="30">
        <f t="shared" si="87"/>
        <v>212998</v>
      </c>
      <c r="HHC23" s="30">
        <f t="shared" si="87"/>
        <v>213029</v>
      </c>
      <c r="HHD23" s="30">
        <f t="shared" si="87"/>
        <v>213059</v>
      </c>
      <c r="HHE23" s="30">
        <f t="shared" si="87"/>
        <v>213090</v>
      </c>
      <c r="HHF23" s="30">
        <f t="shared" si="87"/>
        <v>213120</v>
      </c>
      <c r="HHG23" s="30">
        <f t="shared" si="87"/>
        <v>213151</v>
      </c>
      <c r="HHH23" s="30">
        <f t="shared" si="87"/>
        <v>213182</v>
      </c>
      <c r="HHI23" s="30">
        <f t="shared" si="87"/>
        <v>213212</v>
      </c>
      <c r="HHJ23" s="30">
        <f t="shared" si="87"/>
        <v>213243</v>
      </c>
      <c r="HHK23" s="30">
        <f t="shared" si="87"/>
        <v>213273</v>
      </c>
      <c r="HHL23" s="30">
        <f t="shared" si="87"/>
        <v>213304</v>
      </c>
      <c r="HHM23" s="30">
        <f t="shared" si="87"/>
        <v>213335</v>
      </c>
      <c r="HHN23" s="30">
        <f t="shared" si="87"/>
        <v>213364</v>
      </c>
      <c r="HHO23" s="30">
        <f t="shared" si="87"/>
        <v>213395</v>
      </c>
      <c r="HHP23" s="30">
        <f t="shared" si="87"/>
        <v>213425</v>
      </c>
      <c r="HHQ23" s="30">
        <f t="shared" si="87"/>
        <v>213456</v>
      </c>
      <c r="HHR23" s="30">
        <f t="shared" si="87"/>
        <v>213486</v>
      </c>
      <c r="HHS23" s="30">
        <f t="shared" si="87"/>
        <v>213517</v>
      </c>
      <c r="HHT23" s="30">
        <f t="shared" ref="HHT23:HKE23" si="88">EDATE(HHS23,1)</f>
        <v>213548</v>
      </c>
      <c r="HHU23" s="30">
        <f t="shared" si="88"/>
        <v>213578</v>
      </c>
      <c r="HHV23" s="30">
        <f t="shared" si="88"/>
        <v>213609</v>
      </c>
      <c r="HHW23" s="30">
        <f t="shared" si="88"/>
        <v>213639</v>
      </c>
      <c r="HHX23" s="30">
        <f t="shared" si="88"/>
        <v>213670</v>
      </c>
      <c r="HHY23" s="30">
        <f t="shared" si="88"/>
        <v>213701</v>
      </c>
      <c r="HHZ23" s="30">
        <f t="shared" si="88"/>
        <v>213729</v>
      </c>
      <c r="HIA23" s="30">
        <f t="shared" si="88"/>
        <v>213760</v>
      </c>
      <c r="HIB23" s="30">
        <f t="shared" si="88"/>
        <v>213790</v>
      </c>
      <c r="HIC23" s="30">
        <f t="shared" si="88"/>
        <v>213821</v>
      </c>
      <c r="HID23" s="30">
        <f t="shared" si="88"/>
        <v>213851</v>
      </c>
      <c r="HIE23" s="30">
        <f t="shared" si="88"/>
        <v>213882</v>
      </c>
      <c r="HIF23" s="30">
        <f t="shared" si="88"/>
        <v>213913</v>
      </c>
      <c r="HIG23" s="30">
        <f t="shared" si="88"/>
        <v>213943</v>
      </c>
      <c r="HIH23" s="30">
        <f t="shared" si="88"/>
        <v>213974</v>
      </c>
      <c r="HII23" s="30">
        <f t="shared" si="88"/>
        <v>214004</v>
      </c>
      <c r="HIJ23" s="30">
        <f t="shared" si="88"/>
        <v>214035</v>
      </c>
      <c r="HIK23" s="30">
        <f t="shared" si="88"/>
        <v>214066</v>
      </c>
      <c r="HIL23" s="30">
        <f t="shared" si="88"/>
        <v>214094</v>
      </c>
      <c r="HIM23" s="30">
        <f t="shared" si="88"/>
        <v>214125</v>
      </c>
      <c r="HIN23" s="30">
        <f t="shared" si="88"/>
        <v>214155</v>
      </c>
      <c r="HIO23" s="30">
        <f t="shared" si="88"/>
        <v>214186</v>
      </c>
      <c r="HIP23" s="30">
        <f t="shared" si="88"/>
        <v>214216</v>
      </c>
      <c r="HIQ23" s="30">
        <f t="shared" si="88"/>
        <v>214247</v>
      </c>
      <c r="HIR23" s="30">
        <f t="shared" si="88"/>
        <v>214278</v>
      </c>
      <c r="HIS23" s="30">
        <f t="shared" si="88"/>
        <v>214308</v>
      </c>
      <c r="HIT23" s="30">
        <f t="shared" si="88"/>
        <v>214339</v>
      </c>
      <c r="HIU23" s="30">
        <f t="shared" si="88"/>
        <v>214369</v>
      </c>
      <c r="HIV23" s="30">
        <f t="shared" si="88"/>
        <v>214400</v>
      </c>
      <c r="HIW23" s="30">
        <f t="shared" si="88"/>
        <v>214431</v>
      </c>
      <c r="HIX23" s="30">
        <f t="shared" si="88"/>
        <v>214459</v>
      </c>
      <c r="HIY23" s="30">
        <f t="shared" si="88"/>
        <v>214490</v>
      </c>
      <c r="HIZ23" s="30">
        <f t="shared" si="88"/>
        <v>214520</v>
      </c>
      <c r="HJA23" s="30">
        <f t="shared" si="88"/>
        <v>214551</v>
      </c>
      <c r="HJB23" s="30">
        <f t="shared" si="88"/>
        <v>214581</v>
      </c>
      <c r="HJC23" s="30">
        <f t="shared" si="88"/>
        <v>214612</v>
      </c>
      <c r="HJD23" s="30">
        <f t="shared" si="88"/>
        <v>214643</v>
      </c>
      <c r="HJE23" s="30">
        <f t="shared" si="88"/>
        <v>214673</v>
      </c>
      <c r="HJF23" s="30">
        <f t="shared" si="88"/>
        <v>214704</v>
      </c>
      <c r="HJG23" s="30">
        <f t="shared" si="88"/>
        <v>214734</v>
      </c>
      <c r="HJH23" s="30">
        <f t="shared" si="88"/>
        <v>214765</v>
      </c>
      <c r="HJI23" s="30">
        <f t="shared" si="88"/>
        <v>214796</v>
      </c>
      <c r="HJJ23" s="30">
        <f t="shared" si="88"/>
        <v>214825</v>
      </c>
      <c r="HJK23" s="30">
        <f t="shared" si="88"/>
        <v>214856</v>
      </c>
      <c r="HJL23" s="30">
        <f t="shared" si="88"/>
        <v>214886</v>
      </c>
      <c r="HJM23" s="30">
        <f t="shared" si="88"/>
        <v>214917</v>
      </c>
      <c r="HJN23" s="30">
        <f t="shared" si="88"/>
        <v>214947</v>
      </c>
      <c r="HJO23" s="30">
        <f t="shared" si="88"/>
        <v>214978</v>
      </c>
      <c r="HJP23" s="30">
        <f t="shared" si="88"/>
        <v>215009</v>
      </c>
      <c r="HJQ23" s="30">
        <f t="shared" si="88"/>
        <v>215039</v>
      </c>
      <c r="HJR23" s="30">
        <f t="shared" si="88"/>
        <v>215070</v>
      </c>
      <c r="HJS23" s="30">
        <f t="shared" si="88"/>
        <v>215100</v>
      </c>
      <c r="HJT23" s="30">
        <f t="shared" si="88"/>
        <v>215131</v>
      </c>
      <c r="HJU23" s="30">
        <f t="shared" si="88"/>
        <v>215162</v>
      </c>
      <c r="HJV23" s="30">
        <f t="shared" si="88"/>
        <v>215190</v>
      </c>
      <c r="HJW23" s="30">
        <f t="shared" si="88"/>
        <v>215221</v>
      </c>
      <c r="HJX23" s="30">
        <f t="shared" si="88"/>
        <v>215251</v>
      </c>
      <c r="HJY23" s="30">
        <f t="shared" si="88"/>
        <v>215282</v>
      </c>
      <c r="HJZ23" s="30">
        <f t="shared" si="88"/>
        <v>215312</v>
      </c>
      <c r="HKA23" s="30">
        <f t="shared" si="88"/>
        <v>215343</v>
      </c>
      <c r="HKB23" s="30">
        <f t="shared" si="88"/>
        <v>215374</v>
      </c>
      <c r="HKC23" s="30">
        <f t="shared" si="88"/>
        <v>215404</v>
      </c>
      <c r="HKD23" s="30">
        <f t="shared" si="88"/>
        <v>215435</v>
      </c>
      <c r="HKE23" s="30">
        <f t="shared" si="88"/>
        <v>215465</v>
      </c>
      <c r="HKF23" s="30">
        <f t="shared" ref="HKF23:HMQ23" si="89">EDATE(HKE23,1)</f>
        <v>215496</v>
      </c>
      <c r="HKG23" s="30">
        <f t="shared" si="89"/>
        <v>215527</v>
      </c>
      <c r="HKH23" s="30">
        <f t="shared" si="89"/>
        <v>215555</v>
      </c>
      <c r="HKI23" s="30">
        <f t="shared" si="89"/>
        <v>215586</v>
      </c>
      <c r="HKJ23" s="30">
        <f t="shared" si="89"/>
        <v>215616</v>
      </c>
      <c r="HKK23" s="30">
        <f t="shared" si="89"/>
        <v>215647</v>
      </c>
      <c r="HKL23" s="30">
        <f t="shared" si="89"/>
        <v>215677</v>
      </c>
      <c r="HKM23" s="30">
        <f t="shared" si="89"/>
        <v>215708</v>
      </c>
      <c r="HKN23" s="30">
        <f t="shared" si="89"/>
        <v>215739</v>
      </c>
      <c r="HKO23" s="30">
        <f t="shared" si="89"/>
        <v>215769</v>
      </c>
      <c r="HKP23" s="30">
        <f t="shared" si="89"/>
        <v>215800</v>
      </c>
      <c r="HKQ23" s="30">
        <f t="shared" si="89"/>
        <v>215830</v>
      </c>
      <c r="HKR23" s="30">
        <f t="shared" si="89"/>
        <v>215861</v>
      </c>
      <c r="HKS23" s="30">
        <f t="shared" si="89"/>
        <v>215892</v>
      </c>
      <c r="HKT23" s="30">
        <f t="shared" si="89"/>
        <v>215920</v>
      </c>
      <c r="HKU23" s="30">
        <f t="shared" si="89"/>
        <v>215951</v>
      </c>
      <c r="HKV23" s="30">
        <f t="shared" si="89"/>
        <v>215981</v>
      </c>
      <c r="HKW23" s="30">
        <f t="shared" si="89"/>
        <v>216012</v>
      </c>
      <c r="HKX23" s="30">
        <f t="shared" si="89"/>
        <v>216042</v>
      </c>
      <c r="HKY23" s="30">
        <f t="shared" si="89"/>
        <v>216073</v>
      </c>
      <c r="HKZ23" s="30">
        <f t="shared" si="89"/>
        <v>216104</v>
      </c>
      <c r="HLA23" s="30">
        <f t="shared" si="89"/>
        <v>216134</v>
      </c>
      <c r="HLB23" s="30">
        <f t="shared" si="89"/>
        <v>216165</v>
      </c>
      <c r="HLC23" s="30">
        <f t="shared" si="89"/>
        <v>216195</v>
      </c>
      <c r="HLD23" s="30">
        <f t="shared" si="89"/>
        <v>216226</v>
      </c>
      <c r="HLE23" s="30">
        <f t="shared" si="89"/>
        <v>216257</v>
      </c>
      <c r="HLF23" s="30">
        <f t="shared" si="89"/>
        <v>216286</v>
      </c>
      <c r="HLG23" s="30">
        <f t="shared" si="89"/>
        <v>216317</v>
      </c>
      <c r="HLH23" s="30">
        <f t="shared" si="89"/>
        <v>216347</v>
      </c>
      <c r="HLI23" s="30">
        <f t="shared" si="89"/>
        <v>216378</v>
      </c>
      <c r="HLJ23" s="30">
        <f t="shared" si="89"/>
        <v>216408</v>
      </c>
      <c r="HLK23" s="30">
        <f t="shared" si="89"/>
        <v>216439</v>
      </c>
      <c r="HLL23" s="30">
        <f t="shared" si="89"/>
        <v>216470</v>
      </c>
      <c r="HLM23" s="30">
        <f t="shared" si="89"/>
        <v>216500</v>
      </c>
      <c r="HLN23" s="30">
        <f t="shared" si="89"/>
        <v>216531</v>
      </c>
      <c r="HLO23" s="30">
        <f t="shared" si="89"/>
        <v>216561</v>
      </c>
      <c r="HLP23" s="30">
        <f t="shared" si="89"/>
        <v>216592</v>
      </c>
      <c r="HLQ23" s="30">
        <f t="shared" si="89"/>
        <v>216623</v>
      </c>
      <c r="HLR23" s="30">
        <f t="shared" si="89"/>
        <v>216651</v>
      </c>
      <c r="HLS23" s="30">
        <f t="shared" si="89"/>
        <v>216682</v>
      </c>
      <c r="HLT23" s="30">
        <f t="shared" si="89"/>
        <v>216712</v>
      </c>
      <c r="HLU23" s="30">
        <f t="shared" si="89"/>
        <v>216743</v>
      </c>
      <c r="HLV23" s="30">
        <f t="shared" si="89"/>
        <v>216773</v>
      </c>
      <c r="HLW23" s="30">
        <f t="shared" si="89"/>
        <v>216804</v>
      </c>
      <c r="HLX23" s="30">
        <f t="shared" si="89"/>
        <v>216835</v>
      </c>
      <c r="HLY23" s="30">
        <f t="shared" si="89"/>
        <v>216865</v>
      </c>
      <c r="HLZ23" s="30">
        <f t="shared" si="89"/>
        <v>216896</v>
      </c>
      <c r="HMA23" s="30">
        <f t="shared" si="89"/>
        <v>216926</v>
      </c>
      <c r="HMB23" s="30">
        <f t="shared" si="89"/>
        <v>216957</v>
      </c>
      <c r="HMC23" s="30">
        <f t="shared" si="89"/>
        <v>216988</v>
      </c>
      <c r="HMD23" s="30">
        <f t="shared" si="89"/>
        <v>217016</v>
      </c>
      <c r="HME23" s="30">
        <f t="shared" si="89"/>
        <v>217047</v>
      </c>
      <c r="HMF23" s="30">
        <f t="shared" si="89"/>
        <v>217077</v>
      </c>
      <c r="HMG23" s="30">
        <f t="shared" si="89"/>
        <v>217108</v>
      </c>
      <c r="HMH23" s="30">
        <f t="shared" si="89"/>
        <v>217138</v>
      </c>
      <c r="HMI23" s="30">
        <f t="shared" si="89"/>
        <v>217169</v>
      </c>
      <c r="HMJ23" s="30">
        <f t="shared" si="89"/>
        <v>217200</v>
      </c>
      <c r="HMK23" s="30">
        <f t="shared" si="89"/>
        <v>217230</v>
      </c>
      <c r="HML23" s="30">
        <f t="shared" si="89"/>
        <v>217261</v>
      </c>
      <c r="HMM23" s="30">
        <f t="shared" si="89"/>
        <v>217291</v>
      </c>
      <c r="HMN23" s="30">
        <f t="shared" si="89"/>
        <v>217322</v>
      </c>
      <c r="HMO23" s="30">
        <f t="shared" si="89"/>
        <v>217353</v>
      </c>
      <c r="HMP23" s="30">
        <f t="shared" si="89"/>
        <v>217381</v>
      </c>
      <c r="HMQ23" s="30">
        <f t="shared" si="89"/>
        <v>217412</v>
      </c>
      <c r="HMR23" s="30">
        <f t="shared" ref="HMR23:HPC23" si="90">EDATE(HMQ23,1)</f>
        <v>217442</v>
      </c>
      <c r="HMS23" s="30">
        <f t="shared" si="90"/>
        <v>217473</v>
      </c>
      <c r="HMT23" s="30">
        <f t="shared" si="90"/>
        <v>217503</v>
      </c>
      <c r="HMU23" s="30">
        <f t="shared" si="90"/>
        <v>217534</v>
      </c>
      <c r="HMV23" s="30">
        <f t="shared" si="90"/>
        <v>217565</v>
      </c>
      <c r="HMW23" s="30">
        <f t="shared" si="90"/>
        <v>217595</v>
      </c>
      <c r="HMX23" s="30">
        <f t="shared" si="90"/>
        <v>217626</v>
      </c>
      <c r="HMY23" s="30">
        <f t="shared" si="90"/>
        <v>217656</v>
      </c>
      <c r="HMZ23" s="30">
        <f t="shared" si="90"/>
        <v>217687</v>
      </c>
      <c r="HNA23" s="30">
        <f t="shared" si="90"/>
        <v>217718</v>
      </c>
      <c r="HNB23" s="30">
        <f t="shared" si="90"/>
        <v>217747</v>
      </c>
      <c r="HNC23" s="30">
        <f t="shared" si="90"/>
        <v>217778</v>
      </c>
      <c r="HND23" s="30">
        <f t="shared" si="90"/>
        <v>217808</v>
      </c>
      <c r="HNE23" s="30">
        <f t="shared" si="90"/>
        <v>217839</v>
      </c>
      <c r="HNF23" s="30">
        <f t="shared" si="90"/>
        <v>217869</v>
      </c>
      <c r="HNG23" s="30">
        <f t="shared" si="90"/>
        <v>217900</v>
      </c>
      <c r="HNH23" s="30">
        <f t="shared" si="90"/>
        <v>217931</v>
      </c>
      <c r="HNI23" s="30">
        <f t="shared" si="90"/>
        <v>217961</v>
      </c>
      <c r="HNJ23" s="30">
        <f t="shared" si="90"/>
        <v>217992</v>
      </c>
      <c r="HNK23" s="30">
        <f t="shared" si="90"/>
        <v>218022</v>
      </c>
      <c r="HNL23" s="30">
        <f t="shared" si="90"/>
        <v>218053</v>
      </c>
      <c r="HNM23" s="30">
        <f t="shared" si="90"/>
        <v>218084</v>
      </c>
      <c r="HNN23" s="30">
        <f t="shared" si="90"/>
        <v>218112</v>
      </c>
      <c r="HNO23" s="30">
        <f t="shared" si="90"/>
        <v>218143</v>
      </c>
      <c r="HNP23" s="30">
        <f t="shared" si="90"/>
        <v>218173</v>
      </c>
      <c r="HNQ23" s="30">
        <f t="shared" si="90"/>
        <v>218204</v>
      </c>
      <c r="HNR23" s="30">
        <f t="shared" si="90"/>
        <v>218234</v>
      </c>
      <c r="HNS23" s="30">
        <f t="shared" si="90"/>
        <v>218265</v>
      </c>
      <c r="HNT23" s="30">
        <f t="shared" si="90"/>
        <v>218296</v>
      </c>
      <c r="HNU23" s="30">
        <f t="shared" si="90"/>
        <v>218326</v>
      </c>
      <c r="HNV23" s="30">
        <f t="shared" si="90"/>
        <v>218357</v>
      </c>
      <c r="HNW23" s="30">
        <f t="shared" si="90"/>
        <v>218387</v>
      </c>
      <c r="HNX23" s="30">
        <f t="shared" si="90"/>
        <v>218418</v>
      </c>
      <c r="HNY23" s="30">
        <f t="shared" si="90"/>
        <v>218449</v>
      </c>
      <c r="HNZ23" s="30">
        <f t="shared" si="90"/>
        <v>218477</v>
      </c>
      <c r="HOA23" s="30">
        <f t="shared" si="90"/>
        <v>218508</v>
      </c>
      <c r="HOB23" s="30">
        <f t="shared" si="90"/>
        <v>218538</v>
      </c>
      <c r="HOC23" s="30">
        <f t="shared" si="90"/>
        <v>218569</v>
      </c>
      <c r="HOD23" s="30">
        <f t="shared" si="90"/>
        <v>218599</v>
      </c>
      <c r="HOE23" s="30">
        <f t="shared" si="90"/>
        <v>218630</v>
      </c>
      <c r="HOF23" s="30">
        <f t="shared" si="90"/>
        <v>218661</v>
      </c>
      <c r="HOG23" s="30">
        <f t="shared" si="90"/>
        <v>218691</v>
      </c>
      <c r="HOH23" s="30">
        <f t="shared" si="90"/>
        <v>218722</v>
      </c>
      <c r="HOI23" s="30">
        <f t="shared" si="90"/>
        <v>218752</v>
      </c>
      <c r="HOJ23" s="30">
        <f t="shared" si="90"/>
        <v>218783</v>
      </c>
      <c r="HOK23" s="30">
        <f t="shared" si="90"/>
        <v>218814</v>
      </c>
      <c r="HOL23" s="30">
        <f t="shared" si="90"/>
        <v>218842</v>
      </c>
      <c r="HOM23" s="30">
        <f t="shared" si="90"/>
        <v>218873</v>
      </c>
      <c r="HON23" s="30">
        <f t="shared" si="90"/>
        <v>218903</v>
      </c>
      <c r="HOO23" s="30">
        <f t="shared" si="90"/>
        <v>218934</v>
      </c>
      <c r="HOP23" s="30">
        <f t="shared" si="90"/>
        <v>218964</v>
      </c>
      <c r="HOQ23" s="30">
        <f t="shared" si="90"/>
        <v>218995</v>
      </c>
      <c r="HOR23" s="30">
        <f t="shared" si="90"/>
        <v>219026</v>
      </c>
      <c r="HOS23" s="30">
        <f t="shared" si="90"/>
        <v>219056</v>
      </c>
      <c r="HOT23" s="30">
        <f t="shared" si="90"/>
        <v>219087</v>
      </c>
      <c r="HOU23" s="30">
        <f t="shared" si="90"/>
        <v>219117</v>
      </c>
      <c r="HOV23" s="30">
        <f t="shared" si="90"/>
        <v>219148</v>
      </c>
      <c r="HOW23" s="30">
        <f t="shared" si="90"/>
        <v>219179</v>
      </c>
      <c r="HOX23" s="30">
        <f t="shared" si="90"/>
        <v>219207</v>
      </c>
      <c r="HOY23" s="30">
        <f t="shared" si="90"/>
        <v>219238</v>
      </c>
      <c r="HOZ23" s="30">
        <f t="shared" si="90"/>
        <v>219268</v>
      </c>
      <c r="HPA23" s="30">
        <f t="shared" si="90"/>
        <v>219299</v>
      </c>
      <c r="HPB23" s="30">
        <f t="shared" si="90"/>
        <v>219329</v>
      </c>
      <c r="HPC23" s="30">
        <f t="shared" si="90"/>
        <v>219360</v>
      </c>
      <c r="HPD23" s="30">
        <f t="shared" ref="HPD23:HRO23" si="91">EDATE(HPC23,1)</f>
        <v>219391</v>
      </c>
      <c r="HPE23" s="30">
        <f t="shared" si="91"/>
        <v>219421</v>
      </c>
      <c r="HPF23" s="30">
        <f t="shared" si="91"/>
        <v>219452</v>
      </c>
      <c r="HPG23" s="30">
        <f t="shared" si="91"/>
        <v>219482</v>
      </c>
      <c r="HPH23" s="30">
        <f t="shared" si="91"/>
        <v>219513</v>
      </c>
      <c r="HPI23" s="30">
        <f t="shared" si="91"/>
        <v>219544</v>
      </c>
      <c r="HPJ23" s="30">
        <f t="shared" si="91"/>
        <v>219572</v>
      </c>
      <c r="HPK23" s="30">
        <f t="shared" si="91"/>
        <v>219603</v>
      </c>
      <c r="HPL23" s="30">
        <f t="shared" si="91"/>
        <v>219633</v>
      </c>
      <c r="HPM23" s="30">
        <f t="shared" si="91"/>
        <v>219664</v>
      </c>
      <c r="HPN23" s="30">
        <f t="shared" si="91"/>
        <v>219694</v>
      </c>
      <c r="HPO23" s="30">
        <f t="shared" si="91"/>
        <v>219725</v>
      </c>
      <c r="HPP23" s="30">
        <f t="shared" si="91"/>
        <v>219756</v>
      </c>
      <c r="HPQ23" s="30">
        <f t="shared" si="91"/>
        <v>219786</v>
      </c>
      <c r="HPR23" s="30">
        <f t="shared" si="91"/>
        <v>219817</v>
      </c>
      <c r="HPS23" s="30">
        <f t="shared" si="91"/>
        <v>219847</v>
      </c>
      <c r="HPT23" s="30">
        <f t="shared" si="91"/>
        <v>219878</v>
      </c>
      <c r="HPU23" s="30">
        <f t="shared" si="91"/>
        <v>219909</v>
      </c>
      <c r="HPV23" s="30">
        <f t="shared" si="91"/>
        <v>219937</v>
      </c>
      <c r="HPW23" s="30">
        <f t="shared" si="91"/>
        <v>219968</v>
      </c>
      <c r="HPX23" s="30">
        <f t="shared" si="91"/>
        <v>219998</v>
      </c>
      <c r="HPY23" s="30">
        <f t="shared" si="91"/>
        <v>220029</v>
      </c>
      <c r="HPZ23" s="30">
        <f t="shared" si="91"/>
        <v>220059</v>
      </c>
      <c r="HQA23" s="30">
        <f t="shared" si="91"/>
        <v>220090</v>
      </c>
      <c r="HQB23" s="30">
        <f t="shared" si="91"/>
        <v>220121</v>
      </c>
      <c r="HQC23" s="30">
        <f t="shared" si="91"/>
        <v>220151</v>
      </c>
      <c r="HQD23" s="30">
        <f t="shared" si="91"/>
        <v>220182</v>
      </c>
      <c r="HQE23" s="30">
        <f t="shared" si="91"/>
        <v>220212</v>
      </c>
      <c r="HQF23" s="30">
        <f t="shared" si="91"/>
        <v>220243</v>
      </c>
      <c r="HQG23" s="30">
        <f t="shared" si="91"/>
        <v>220274</v>
      </c>
      <c r="HQH23" s="30">
        <f t="shared" si="91"/>
        <v>220302</v>
      </c>
      <c r="HQI23" s="30">
        <f t="shared" si="91"/>
        <v>220333</v>
      </c>
      <c r="HQJ23" s="30">
        <f t="shared" si="91"/>
        <v>220363</v>
      </c>
      <c r="HQK23" s="30">
        <f t="shared" si="91"/>
        <v>220394</v>
      </c>
      <c r="HQL23" s="30">
        <f t="shared" si="91"/>
        <v>220424</v>
      </c>
      <c r="HQM23" s="30">
        <f t="shared" si="91"/>
        <v>220455</v>
      </c>
      <c r="HQN23" s="30">
        <f t="shared" si="91"/>
        <v>220486</v>
      </c>
      <c r="HQO23" s="30">
        <f t="shared" si="91"/>
        <v>220516</v>
      </c>
      <c r="HQP23" s="30">
        <f t="shared" si="91"/>
        <v>220547</v>
      </c>
      <c r="HQQ23" s="30">
        <f t="shared" si="91"/>
        <v>220577</v>
      </c>
      <c r="HQR23" s="30">
        <f t="shared" si="91"/>
        <v>220608</v>
      </c>
      <c r="HQS23" s="30">
        <f t="shared" si="91"/>
        <v>220639</v>
      </c>
      <c r="HQT23" s="30">
        <f t="shared" si="91"/>
        <v>220668</v>
      </c>
      <c r="HQU23" s="30">
        <f t="shared" si="91"/>
        <v>220699</v>
      </c>
      <c r="HQV23" s="30">
        <f t="shared" si="91"/>
        <v>220729</v>
      </c>
      <c r="HQW23" s="30">
        <f t="shared" si="91"/>
        <v>220760</v>
      </c>
      <c r="HQX23" s="30">
        <f t="shared" si="91"/>
        <v>220790</v>
      </c>
      <c r="HQY23" s="30">
        <f t="shared" si="91"/>
        <v>220821</v>
      </c>
      <c r="HQZ23" s="30">
        <f t="shared" si="91"/>
        <v>220852</v>
      </c>
      <c r="HRA23" s="30">
        <f t="shared" si="91"/>
        <v>220882</v>
      </c>
      <c r="HRB23" s="30">
        <f t="shared" si="91"/>
        <v>220913</v>
      </c>
      <c r="HRC23" s="30">
        <f t="shared" si="91"/>
        <v>220943</v>
      </c>
      <c r="HRD23" s="30">
        <f t="shared" si="91"/>
        <v>220974</v>
      </c>
      <c r="HRE23" s="30">
        <f t="shared" si="91"/>
        <v>221005</v>
      </c>
      <c r="HRF23" s="30">
        <f t="shared" si="91"/>
        <v>221033</v>
      </c>
      <c r="HRG23" s="30">
        <f t="shared" si="91"/>
        <v>221064</v>
      </c>
      <c r="HRH23" s="30">
        <f t="shared" si="91"/>
        <v>221094</v>
      </c>
      <c r="HRI23" s="30">
        <f t="shared" si="91"/>
        <v>221125</v>
      </c>
      <c r="HRJ23" s="30">
        <f t="shared" si="91"/>
        <v>221155</v>
      </c>
      <c r="HRK23" s="30">
        <f t="shared" si="91"/>
        <v>221186</v>
      </c>
      <c r="HRL23" s="30">
        <f t="shared" si="91"/>
        <v>221217</v>
      </c>
      <c r="HRM23" s="30">
        <f t="shared" si="91"/>
        <v>221247</v>
      </c>
      <c r="HRN23" s="30">
        <f t="shared" si="91"/>
        <v>221278</v>
      </c>
      <c r="HRO23" s="30">
        <f t="shared" si="91"/>
        <v>221308</v>
      </c>
      <c r="HRP23" s="30">
        <f t="shared" ref="HRP23:HUA23" si="92">EDATE(HRO23,1)</f>
        <v>221339</v>
      </c>
      <c r="HRQ23" s="30">
        <f t="shared" si="92"/>
        <v>221370</v>
      </c>
      <c r="HRR23" s="30">
        <f t="shared" si="92"/>
        <v>221398</v>
      </c>
      <c r="HRS23" s="30">
        <f t="shared" si="92"/>
        <v>221429</v>
      </c>
      <c r="HRT23" s="30">
        <f t="shared" si="92"/>
        <v>221459</v>
      </c>
      <c r="HRU23" s="30">
        <f t="shared" si="92"/>
        <v>221490</v>
      </c>
      <c r="HRV23" s="30">
        <f t="shared" si="92"/>
        <v>221520</v>
      </c>
      <c r="HRW23" s="30">
        <f t="shared" si="92"/>
        <v>221551</v>
      </c>
      <c r="HRX23" s="30">
        <f t="shared" si="92"/>
        <v>221582</v>
      </c>
      <c r="HRY23" s="30">
        <f t="shared" si="92"/>
        <v>221612</v>
      </c>
      <c r="HRZ23" s="30">
        <f t="shared" si="92"/>
        <v>221643</v>
      </c>
      <c r="HSA23" s="30">
        <f t="shared" si="92"/>
        <v>221673</v>
      </c>
      <c r="HSB23" s="30">
        <f t="shared" si="92"/>
        <v>221704</v>
      </c>
      <c r="HSC23" s="30">
        <f t="shared" si="92"/>
        <v>221735</v>
      </c>
      <c r="HSD23" s="30">
        <f t="shared" si="92"/>
        <v>221763</v>
      </c>
      <c r="HSE23" s="30">
        <f t="shared" si="92"/>
        <v>221794</v>
      </c>
      <c r="HSF23" s="30">
        <f t="shared" si="92"/>
        <v>221824</v>
      </c>
      <c r="HSG23" s="30">
        <f t="shared" si="92"/>
        <v>221855</v>
      </c>
      <c r="HSH23" s="30">
        <f t="shared" si="92"/>
        <v>221885</v>
      </c>
      <c r="HSI23" s="30">
        <f t="shared" si="92"/>
        <v>221916</v>
      </c>
      <c r="HSJ23" s="30">
        <f t="shared" si="92"/>
        <v>221947</v>
      </c>
      <c r="HSK23" s="30">
        <f t="shared" si="92"/>
        <v>221977</v>
      </c>
      <c r="HSL23" s="30">
        <f t="shared" si="92"/>
        <v>222008</v>
      </c>
      <c r="HSM23" s="30">
        <f t="shared" si="92"/>
        <v>222038</v>
      </c>
      <c r="HSN23" s="30">
        <f t="shared" si="92"/>
        <v>222069</v>
      </c>
      <c r="HSO23" s="30">
        <f t="shared" si="92"/>
        <v>222100</v>
      </c>
      <c r="HSP23" s="30">
        <f t="shared" si="92"/>
        <v>222129</v>
      </c>
      <c r="HSQ23" s="30">
        <f t="shared" si="92"/>
        <v>222160</v>
      </c>
      <c r="HSR23" s="30">
        <f t="shared" si="92"/>
        <v>222190</v>
      </c>
      <c r="HSS23" s="30">
        <f t="shared" si="92"/>
        <v>222221</v>
      </c>
      <c r="HST23" s="30">
        <f t="shared" si="92"/>
        <v>222251</v>
      </c>
      <c r="HSU23" s="30">
        <f t="shared" si="92"/>
        <v>222282</v>
      </c>
      <c r="HSV23" s="30">
        <f t="shared" si="92"/>
        <v>222313</v>
      </c>
      <c r="HSW23" s="30">
        <f t="shared" si="92"/>
        <v>222343</v>
      </c>
      <c r="HSX23" s="30">
        <f t="shared" si="92"/>
        <v>222374</v>
      </c>
      <c r="HSY23" s="30">
        <f t="shared" si="92"/>
        <v>222404</v>
      </c>
      <c r="HSZ23" s="30">
        <f t="shared" si="92"/>
        <v>222435</v>
      </c>
      <c r="HTA23" s="30">
        <f t="shared" si="92"/>
        <v>222466</v>
      </c>
      <c r="HTB23" s="30">
        <f t="shared" si="92"/>
        <v>222494</v>
      </c>
      <c r="HTC23" s="30">
        <f t="shared" si="92"/>
        <v>222525</v>
      </c>
      <c r="HTD23" s="30">
        <f t="shared" si="92"/>
        <v>222555</v>
      </c>
      <c r="HTE23" s="30">
        <f t="shared" si="92"/>
        <v>222586</v>
      </c>
      <c r="HTF23" s="30">
        <f t="shared" si="92"/>
        <v>222616</v>
      </c>
      <c r="HTG23" s="30">
        <f t="shared" si="92"/>
        <v>222647</v>
      </c>
      <c r="HTH23" s="30">
        <f t="shared" si="92"/>
        <v>222678</v>
      </c>
      <c r="HTI23" s="30">
        <f t="shared" si="92"/>
        <v>222708</v>
      </c>
      <c r="HTJ23" s="30">
        <f t="shared" si="92"/>
        <v>222739</v>
      </c>
      <c r="HTK23" s="30">
        <f t="shared" si="92"/>
        <v>222769</v>
      </c>
      <c r="HTL23" s="30">
        <f t="shared" si="92"/>
        <v>222800</v>
      </c>
      <c r="HTM23" s="30">
        <f t="shared" si="92"/>
        <v>222831</v>
      </c>
      <c r="HTN23" s="30">
        <f t="shared" si="92"/>
        <v>222859</v>
      </c>
      <c r="HTO23" s="30">
        <f t="shared" si="92"/>
        <v>222890</v>
      </c>
      <c r="HTP23" s="30">
        <f t="shared" si="92"/>
        <v>222920</v>
      </c>
      <c r="HTQ23" s="30">
        <f t="shared" si="92"/>
        <v>222951</v>
      </c>
      <c r="HTR23" s="30">
        <f t="shared" si="92"/>
        <v>222981</v>
      </c>
      <c r="HTS23" s="30">
        <f t="shared" si="92"/>
        <v>223012</v>
      </c>
      <c r="HTT23" s="30">
        <f t="shared" si="92"/>
        <v>223043</v>
      </c>
      <c r="HTU23" s="30">
        <f t="shared" si="92"/>
        <v>223073</v>
      </c>
      <c r="HTV23" s="30">
        <f t="shared" si="92"/>
        <v>223104</v>
      </c>
      <c r="HTW23" s="30">
        <f t="shared" si="92"/>
        <v>223134</v>
      </c>
      <c r="HTX23" s="30">
        <f t="shared" si="92"/>
        <v>223165</v>
      </c>
      <c r="HTY23" s="30">
        <f t="shared" si="92"/>
        <v>223196</v>
      </c>
      <c r="HTZ23" s="30">
        <f t="shared" si="92"/>
        <v>223224</v>
      </c>
      <c r="HUA23" s="30">
        <f t="shared" si="92"/>
        <v>223255</v>
      </c>
      <c r="HUB23" s="30">
        <f t="shared" ref="HUB23:HWM23" si="93">EDATE(HUA23,1)</f>
        <v>223285</v>
      </c>
      <c r="HUC23" s="30">
        <f t="shared" si="93"/>
        <v>223316</v>
      </c>
      <c r="HUD23" s="30">
        <f t="shared" si="93"/>
        <v>223346</v>
      </c>
      <c r="HUE23" s="30">
        <f t="shared" si="93"/>
        <v>223377</v>
      </c>
      <c r="HUF23" s="30">
        <f t="shared" si="93"/>
        <v>223408</v>
      </c>
      <c r="HUG23" s="30">
        <f t="shared" si="93"/>
        <v>223438</v>
      </c>
      <c r="HUH23" s="30">
        <f t="shared" si="93"/>
        <v>223469</v>
      </c>
      <c r="HUI23" s="30">
        <f t="shared" si="93"/>
        <v>223499</v>
      </c>
      <c r="HUJ23" s="30">
        <f t="shared" si="93"/>
        <v>223530</v>
      </c>
      <c r="HUK23" s="30">
        <f t="shared" si="93"/>
        <v>223561</v>
      </c>
      <c r="HUL23" s="30">
        <f t="shared" si="93"/>
        <v>223590</v>
      </c>
      <c r="HUM23" s="30">
        <f t="shared" si="93"/>
        <v>223621</v>
      </c>
      <c r="HUN23" s="30">
        <f t="shared" si="93"/>
        <v>223651</v>
      </c>
      <c r="HUO23" s="30">
        <f t="shared" si="93"/>
        <v>223682</v>
      </c>
      <c r="HUP23" s="30">
        <f t="shared" si="93"/>
        <v>223712</v>
      </c>
      <c r="HUQ23" s="30">
        <f t="shared" si="93"/>
        <v>223743</v>
      </c>
      <c r="HUR23" s="30">
        <f t="shared" si="93"/>
        <v>223774</v>
      </c>
      <c r="HUS23" s="30">
        <f t="shared" si="93"/>
        <v>223804</v>
      </c>
      <c r="HUT23" s="30">
        <f t="shared" si="93"/>
        <v>223835</v>
      </c>
      <c r="HUU23" s="30">
        <f t="shared" si="93"/>
        <v>223865</v>
      </c>
      <c r="HUV23" s="30">
        <f t="shared" si="93"/>
        <v>223896</v>
      </c>
      <c r="HUW23" s="30">
        <f t="shared" si="93"/>
        <v>223927</v>
      </c>
      <c r="HUX23" s="30">
        <f t="shared" si="93"/>
        <v>223955</v>
      </c>
      <c r="HUY23" s="30">
        <f t="shared" si="93"/>
        <v>223986</v>
      </c>
      <c r="HUZ23" s="30">
        <f t="shared" si="93"/>
        <v>224016</v>
      </c>
      <c r="HVA23" s="30">
        <f t="shared" si="93"/>
        <v>224047</v>
      </c>
      <c r="HVB23" s="30">
        <f t="shared" si="93"/>
        <v>224077</v>
      </c>
      <c r="HVC23" s="30">
        <f t="shared" si="93"/>
        <v>224108</v>
      </c>
      <c r="HVD23" s="30">
        <f t="shared" si="93"/>
        <v>224139</v>
      </c>
      <c r="HVE23" s="30">
        <f t="shared" si="93"/>
        <v>224169</v>
      </c>
      <c r="HVF23" s="30">
        <f t="shared" si="93"/>
        <v>224200</v>
      </c>
      <c r="HVG23" s="30">
        <f t="shared" si="93"/>
        <v>224230</v>
      </c>
      <c r="HVH23" s="30">
        <f t="shared" si="93"/>
        <v>224261</v>
      </c>
      <c r="HVI23" s="30">
        <f t="shared" si="93"/>
        <v>224292</v>
      </c>
      <c r="HVJ23" s="30">
        <f t="shared" si="93"/>
        <v>224320</v>
      </c>
      <c r="HVK23" s="30">
        <f t="shared" si="93"/>
        <v>224351</v>
      </c>
      <c r="HVL23" s="30">
        <f t="shared" si="93"/>
        <v>224381</v>
      </c>
      <c r="HVM23" s="30">
        <f t="shared" si="93"/>
        <v>224412</v>
      </c>
      <c r="HVN23" s="30">
        <f t="shared" si="93"/>
        <v>224442</v>
      </c>
      <c r="HVO23" s="30">
        <f t="shared" si="93"/>
        <v>224473</v>
      </c>
      <c r="HVP23" s="30">
        <f t="shared" si="93"/>
        <v>224504</v>
      </c>
      <c r="HVQ23" s="30">
        <f t="shared" si="93"/>
        <v>224534</v>
      </c>
      <c r="HVR23" s="30">
        <f t="shared" si="93"/>
        <v>224565</v>
      </c>
      <c r="HVS23" s="30">
        <f t="shared" si="93"/>
        <v>224595</v>
      </c>
      <c r="HVT23" s="30">
        <f t="shared" si="93"/>
        <v>224626</v>
      </c>
      <c r="HVU23" s="30">
        <f t="shared" si="93"/>
        <v>224657</v>
      </c>
      <c r="HVV23" s="30">
        <f t="shared" si="93"/>
        <v>224685</v>
      </c>
      <c r="HVW23" s="30">
        <f t="shared" si="93"/>
        <v>224716</v>
      </c>
      <c r="HVX23" s="30">
        <f t="shared" si="93"/>
        <v>224746</v>
      </c>
      <c r="HVY23" s="30">
        <f t="shared" si="93"/>
        <v>224777</v>
      </c>
      <c r="HVZ23" s="30">
        <f t="shared" si="93"/>
        <v>224807</v>
      </c>
      <c r="HWA23" s="30">
        <f t="shared" si="93"/>
        <v>224838</v>
      </c>
      <c r="HWB23" s="30">
        <f t="shared" si="93"/>
        <v>224869</v>
      </c>
      <c r="HWC23" s="30">
        <f t="shared" si="93"/>
        <v>224899</v>
      </c>
      <c r="HWD23" s="30">
        <f t="shared" si="93"/>
        <v>224930</v>
      </c>
      <c r="HWE23" s="30">
        <f t="shared" si="93"/>
        <v>224960</v>
      </c>
      <c r="HWF23" s="30">
        <f t="shared" si="93"/>
        <v>224991</v>
      </c>
      <c r="HWG23" s="30">
        <f t="shared" si="93"/>
        <v>225022</v>
      </c>
      <c r="HWH23" s="30">
        <f t="shared" si="93"/>
        <v>225051</v>
      </c>
      <c r="HWI23" s="30">
        <f t="shared" si="93"/>
        <v>225082</v>
      </c>
      <c r="HWJ23" s="30">
        <f t="shared" si="93"/>
        <v>225112</v>
      </c>
      <c r="HWK23" s="30">
        <f t="shared" si="93"/>
        <v>225143</v>
      </c>
      <c r="HWL23" s="30">
        <f t="shared" si="93"/>
        <v>225173</v>
      </c>
      <c r="HWM23" s="30">
        <f t="shared" si="93"/>
        <v>225204</v>
      </c>
      <c r="HWN23" s="30">
        <f t="shared" ref="HWN23:HYY23" si="94">EDATE(HWM23,1)</f>
        <v>225235</v>
      </c>
      <c r="HWO23" s="30">
        <f t="shared" si="94"/>
        <v>225265</v>
      </c>
      <c r="HWP23" s="30">
        <f t="shared" si="94"/>
        <v>225296</v>
      </c>
      <c r="HWQ23" s="30">
        <f t="shared" si="94"/>
        <v>225326</v>
      </c>
      <c r="HWR23" s="30">
        <f t="shared" si="94"/>
        <v>225357</v>
      </c>
      <c r="HWS23" s="30">
        <f t="shared" si="94"/>
        <v>225388</v>
      </c>
      <c r="HWT23" s="30">
        <f t="shared" si="94"/>
        <v>225416</v>
      </c>
      <c r="HWU23" s="30">
        <f t="shared" si="94"/>
        <v>225447</v>
      </c>
      <c r="HWV23" s="30">
        <f t="shared" si="94"/>
        <v>225477</v>
      </c>
      <c r="HWW23" s="30">
        <f t="shared" si="94"/>
        <v>225508</v>
      </c>
      <c r="HWX23" s="30">
        <f t="shared" si="94"/>
        <v>225538</v>
      </c>
      <c r="HWY23" s="30">
        <f t="shared" si="94"/>
        <v>225569</v>
      </c>
      <c r="HWZ23" s="30">
        <f t="shared" si="94"/>
        <v>225600</v>
      </c>
      <c r="HXA23" s="30">
        <f t="shared" si="94"/>
        <v>225630</v>
      </c>
      <c r="HXB23" s="30">
        <f t="shared" si="94"/>
        <v>225661</v>
      </c>
      <c r="HXC23" s="30">
        <f t="shared" si="94"/>
        <v>225691</v>
      </c>
      <c r="HXD23" s="30">
        <f t="shared" si="94"/>
        <v>225722</v>
      </c>
      <c r="HXE23" s="30">
        <f t="shared" si="94"/>
        <v>225753</v>
      </c>
      <c r="HXF23" s="30">
        <f t="shared" si="94"/>
        <v>225781</v>
      </c>
      <c r="HXG23" s="30">
        <f t="shared" si="94"/>
        <v>225812</v>
      </c>
      <c r="HXH23" s="30">
        <f t="shared" si="94"/>
        <v>225842</v>
      </c>
      <c r="HXI23" s="30">
        <f t="shared" si="94"/>
        <v>225873</v>
      </c>
      <c r="HXJ23" s="30">
        <f t="shared" si="94"/>
        <v>225903</v>
      </c>
      <c r="HXK23" s="30">
        <f t="shared" si="94"/>
        <v>225934</v>
      </c>
      <c r="HXL23" s="30">
        <f t="shared" si="94"/>
        <v>225965</v>
      </c>
      <c r="HXM23" s="30">
        <f t="shared" si="94"/>
        <v>225995</v>
      </c>
      <c r="HXN23" s="30">
        <f t="shared" si="94"/>
        <v>226026</v>
      </c>
      <c r="HXO23" s="30">
        <f t="shared" si="94"/>
        <v>226056</v>
      </c>
      <c r="HXP23" s="30">
        <f t="shared" si="94"/>
        <v>226087</v>
      </c>
      <c r="HXQ23" s="30">
        <f t="shared" si="94"/>
        <v>226118</v>
      </c>
      <c r="HXR23" s="30">
        <f t="shared" si="94"/>
        <v>226146</v>
      </c>
      <c r="HXS23" s="30">
        <f t="shared" si="94"/>
        <v>226177</v>
      </c>
      <c r="HXT23" s="30">
        <f t="shared" si="94"/>
        <v>226207</v>
      </c>
      <c r="HXU23" s="30">
        <f t="shared" si="94"/>
        <v>226238</v>
      </c>
      <c r="HXV23" s="30">
        <f t="shared" si="94"/>
        <v>226268</v>
      </c>
      <c r="HXW23" s="30">
        <f t="shared" si="94"/>
        <v>226299</v>
      </c>
      <c r="HXX23" s="30">
        <f t="shared" si="94"/>
        <v>226330</v>
      </c>
      <c r="HXY23" s="30">
        <f t="shared" si="94"/>
        <v>226360</v>
      </c>
      <c r="HXZ23" s="30">
        <f t="shared" si="94"/>
        <v>226391</v>
      </c>
      <c r="HYA23" s="30">
        <f t="shared" si="94"/>
        <v>226421</v>
      </c>
      <c r="HYB23" s="30">
        <f t="shared" si="94"/>
        <v>226452</v>
      </c>
      <c r="HYC23" s="30">
        <f t="shared" si="94"/>
        <v>226483</v>
      </c>
      <c r="HYD23" s="30">
        <f t="shared" si="94"/>
        <v>226512</v>
      </c>
      <c r="HYE23" s="30">
        <f t="shared" si="94"/>
        <v>226543</v>
      </c>
      <c r="HYF23" s="30">
        <f t="shared" si="94"/>
        <v>226573</v>
      </c>
      <c r="HYG23" s="30">
        <f t="shared" si="94"/>
        <v>226604</v>
      </c>
      <c r="HYH23" s="30">
        <f t="shared" si="94"/>
        <v>226634</v>
      </c>
      <c r="HYI23" s="30">
        <f t="shared" si="94"/>
        <v>226665</v>
      </c>
      <c r="HYJ23" s="30">
        <f t="shared" si="94"/>
        <v>226696</v>
      </c>
      <c r="HYK23" s="30">
        <f t="shared" si="94"/>
        <v>226726</v>
      </c>
      <c r="HYL23" s="30">
        <f t="shared" si="94"/>
        <v>226757</v>
      </c>
      <c r="HYM23" s="30">
        <f t="shared" si="94"/>
        <v>226787</v>
      </c>
      <c r="HYN23" s="30">
        <f t="shared" si="94"/>
        <v>226818</v>
      </c>
      <c r="HYO23" s="30">
        <f t="shared" si="94"/>
        <v>226849</v>
      </c>
      <c r="HYP23" s="30">
        <f t="shared" si="94"/>
        <v>226877</v>
      </c>
      <c r="HYQ23" s="30">
        <f t="shared" si="94"/>
        <v>226908</v>
      </c>
      <c r="HYR23" s="30">
        <f t="shared" si="94"/>
        <v>226938</v>
      </c>
      <c r="HYS23" s="30">
        <f t="shared" si="94"/>
        <v>226969</v>
      </c>
      <c r="HYT23" s="30">
        <f t="shared" si="94"/>
        <v>226999</v>
      </c>
      <c r="HYU23" s="30">
        <f t="shared" si="94"/>
        <v>227030</v>
      </c>
      <c r="HYV23" s="30">
        <f t="shared" si="94"/>
        <v>227061</v>
      </c>
      <c r="HYW23" s="30">
        <f t="shared" si="94"/>
        <v>227091</v>
      </c>
      <c r="HYX23" s="30">
        <f t="shared" si="94"/>
        <v>227122</v>
      </c>
      <c r="HYY23" s="30">
        <f t="shared" si="94"/>
        <v>227152</v>
      </c>
      <c r="HYZ23" s="30">
        <f t="shared" ref="HYZ23:IBK23" si="95">EDATE(HYY23,1)</f>
        <v>227183</v>
      </c>
      <c r="HZA23" s="30">
        <f t="shared" si="95"/>
        <v>227214</v>
      </c>
      <c r="HZB23" s="30">
        <f t="shared" si="95"/>
        <v>227242</v>
      </c>
      <c r="HZC23" s="30">
        <f t="shared" si="95"/>
        <v>227273</v>
      </c>
      <c r="HZD23" s="30">
        <f t="shared" si="95"/>
        <v>227303</v>
      </c>
      <c r="HZE23" s="30">
        <f t="shared" si="95"/>
        <v>227334</v>
      </c>
      <c r="HZF23" s="30">
        <f t="shared" si="95"/>
        <v>227364</v>
      </c>
      <c r="HZG23" s="30">
        <f t="shared" si="95"/>
        <v>227395</v>
      </c>
      <c r="HZH23" s="30">
        <f t="shared" si="95"/>
        <v>227426</v>
      </c>
      <c r="HZI23" s="30">
        <f t="shared" si="95"/>
        <v>227456</v>
      </c>
      <c r="HZJ23" s="30">
        <f t="shared" si="95"/>
        <v>227487</v>
      </c>
      <c r="HZK23" s="30">
        <f t="shared" si="95"/>
        <v>227517</v>
      </c>
      <c r="HZL23" s="30">
        <f t="shared" si="95"/>
        <v>227548</v>
      </c>
      <c r="HZM23" s="30">
        <f t="shared" si="95"/>
        <v>227579</v>
      </c>
      <c r="HZN23" s="30">
        <f t="shared" si="95"/>
        <v>227607</v>
      </c>
      <c r="HZO23" s="30">
        <f t="shared" si="95"/>
        <v>227638</v>
      </c>
      <c r="HZP23" s="30">
        <f t="shared" si="95"/>
        <v>227668</v>
      </c>
      <c r="HZQ23" s="30">
        <f t="shared" si="95"/>
        <v>227699</v>
      </c>
      <c r="HZR23" s="30">
        <f t="shared" si="95"/>
        <v>227729</v>
      </c>
      <c r="HZS23" s="30">
        <f t="shared" si="95"/>
        <v>227760</v>
      </c>
      <c r="HZT23" s="30">
        <f t="shared" si="95"/>
        <v>227791</v>
      </c>
      <c r="HZU23" s="30">
        <f t="shared" si="95"/>
        <v>227821</v>
      </c>
      <c r="HZV23" s="30">
        <f t="shared" si="95"/>
        <v>227852</v>
      </c>
      <c r="HZW23" s="30">
        <f t="shared" si="95"/>
        <v>227882</v>
      </c>
      <c r="HZX23" s="30">
        <f t="shared" si="95"/>
        <v>227913</v>
      </c>
      <c r="HZY23" s="30">
        <f t="shared" si="95"/>
        <v>227944</v>
      </c>
      <c r="HZZ23" s="30">
        <f t="shared" si="95"/>
        <v>227973</v>
      </c>
      <c r="IAA23" s="30">
        <f t="shared" si="95"/>
        <v>228004</v>
      </c>
      <c r="IAB23" s="30">
        <f t="shared" si="95"/>
        <v>228034</v>
      </c>
      <c r="IAC23" s="30">
        <f t="shared" si="95"/>
        <v>228065</v>
      </c>
      <c r="IAD23" s="30">
        <f t="shared" si="95"/>
        <v>228095</v>
      </c>
      <c r="IAE23" s="30">
        <f t="shared" si="95"/>
        <v>228126</v>
      </c>
      <c r="IAF23" s="30">
        <f t="shared" si="95"/>
        <v>228157</v>
      </c>
      <c r="IAG23" s="30">
        <f t="shared" si="95"/>
        <v>228187</v>
      </c>
      <c r="IAH23" s="30">
        <f t="shared" si="95"/>
        <v>228218</v>
      </c>
      <c r="IAI23" s="30">
        <f t="shared" si="95"/>
        <v>228248</v>
      </c>
      <c r="IAJ23" s="30">
        <f t="shared" si="95"/>
        <v>228279</v>
      </c>
      <c r="IAK23" s="30">
        <f t="shared" si="95"/>
        <v>228310</v>
      </c>
      <c r="IAL23" s="30">
        <f t="shared" si="95"/>
        <v>228338</v>
      </c>
      <c r="IAM23" s="30">
        <f t="shared" si="95"/>
        <v>228369</v>
      </c>
      <c r="IAN23" s="30">
        <f t="shared" si="95"/>
        <v>228399</v>
      </c>
      <c r="IAO23" s="30">
        <f t="shared" si="95"/>
        <v>228430</v>
      </c>
      <c r="IAP23" s="30">
        <f t="shared" si="95"/>
        <v>228460</v>
      </c>
      <c r="IAQ23" s="30">
        <f t="shared" si="95"/>
        <v>228491</v>
      </c>
      <c r="IAR23" s="30">
        <f t="shared" si="95"/>
        <v>228522</v>
      </c>
      <c r="IAS23" s="30">
        <f t="shared" si="95"/>
        <v>228552</v>
      </c>
      <c r="IAT23" s="30">
        <f t="shared" si="95"/>
        <v>228583</v>
      </c>
      <c r="IAU23" s="30">
        <f t="shared" si="95"/>
        <v>228613</v>
      </c>
      <c r="IAV23" s="30">
        <f t="shared" si="95"/>
        <v>228644</v>
      </c>
      <c r="IAW23" s="30">
        <f t="shared" si="95"/>
        <v>228675</v>
      </c>
      <c r="IAX23" s="30">
        <f t="shared" si="95"/>
        <v>228703</v>
      </c>
      <c r="IAY23" s="30">
        <f t="shared" si="95"/>
        <v>228734</v>
      </c>
      <c r="IAZ23" s="30">
        <f t="shared" si="95"/>
        <v>228764</v>
      </c>
      <c r="IBA23" s="30">
        <f t="shared" si="95"/>
        <v>228795</v>
      </c>
      <c r="IBB23" s="30">
        <f t="shared" si="95"/>
        <v>228825</v>
      </c>
      <c r="IBC23" s="30">
        <f t="shared" si="95"/>
        <v>228856</v>
      </c>
      <c r="IBD23" s="30">
        <f t="shared" si="95"/>
        <v>228887</v>
      </c>
      <c r="IBE23" s="30">
        <f t="shared" si="95"/>
        <v>228917</v>
      </c>
      <c r="IBF23" s="30">
        <f t="shared" si="95"/>
        <v>228948</v>
      </c>
      <c r="IBG23" s="30">
        <f t="shared" si="95"/>
        <v>228978</v>
      </c>
      <c r="IBH23" s="30">
        <f t="shared" si="95"/>
        <v>229009</v>
      </c>
      <c r="IBI23" s="30">
        <f t="shared" si="95"/>
        <v>229040</v>
      </c>
      <c r="IBJ23" s="30">
        <f t="shared" si="95"/>
        <v>229068</v>
      </c>
      <c r="IBK23" s="30">
        <f t="shared" si="95"/>
        <v>229099</v>
      </c>
      <c r="IBL23" s="30">
        <f t="shared" ref="IBL23:IDW23" si="96">EDATE(IBK23,1)</f>
        <v>229129</v>
      </c>
      <c r="IBM23" s="30">
        <f t="shared" si="96"/>
        <v>229160</v>
      </c>
      <c r="IBN23" s="30">
        <f t="shared" si="96"/>
        <v>229190</v>
      </c>
      <c r="IBO23" s="30">
        <f t="shared" si="96"/>
        <v>229221</v>
      </c>
      <c r="IBP23" s="30">
        <f t="shared" si="96"/>
        <v>229252</v>
      </c>
      <c r="IBQ23" s="30">
        <f t="shared" si="96"/>
        <v>229282</v>
      </c>
      <c r="IBR23" s="30">
        <f t="shared" si="96"/>
        <v>229313</v>
      </c>
      <c r="IBS23" s="30">
        <f t="shared" si="96"/>
        <v>229343</v>
      </c>
      <c r="IBT23" s="30">
        <f t="shared" si="96"/>
        <v>229374</v>
      </c>
      <c r="IBU23" s="30">
        <f t="shared" si="96"/>
        <v>229405</v>
      </c>
      <c r="IBV23" s="30">
        <f t="shared" si="96"/>
        <v>229434</v>
      </c>
      <c r="IBW23" s="30">
        <f t="shared" si="96"/>
        <v>229465</v>
      </c>
      <c r="IBX23" s="30">
        <f t="shared" si="96"/>
        <v>229495</v>
      </c>
      <c r="IBY23" s="30">
        <f t="shared" si="96"/>
        <v>229526</v>
      </c>
      <c r="IBZ23" s="30">
        <f t="shared" si="96"/>
        <v>229556</v>
      </c>
      <c r="ICA23" s="30">
        <f t="shared" si="96"/>
        <v>229587</v>
      </c>
      <c r="ICB23" s="30">
        <f t="shared" si="96"/>
        <v>229618</v>
      </c>
      <c r="ICC23" s="30">
        <f t="shared" si="96"/>
        <v>229648</v>
      </c>
      <c r="ICD23" s="30">
        <f t="shared" si="96"/>
        <v>229679</v>
      </c>
      <c r="ICE23" s="30">
        <f t="shared" si="96"/>
        <v>229709</v>
      </c>
      <c r="ICF23" s="30">
        <f t="shared" si="96"/>
        <v>229740</v>
      </c>
      <c r="ICG23" s="30">
        <f t="shared" si="96"/>
        <v>229771</v>
      </c>
      <c r="ICH23" s="30">
        <f t="shared" si="96"/>
        <v>229799</v>
      </c>
      <c r="ICI23" s="30">
        <f t="shared" si="96"/>
        <v>229830</v>
      </c>
      <c r="ICJ23" s="30">
        <f t="shared" si="96"/>
        <v>229860</v>
      </c>
      <c r="ICK23" s="30">
        <f t="shared" si="96"/>
        <v>229891</v>
      </c>
      <c r="ICL23" s="30">
        <f t="shared" si="96"/>
        <v>229921</v>
      </c>
      <c r="ICM23" s="30">
        <f t="shared" si="96"/>
        <v>229952</v>
      </c>
      <c r="ICN23" s="30">
        <f t="shared" si="96"/>
        <v>229983</v>
      </c>
      <c r="ICO23" s="30">
        <f t="shared" si="96"/>
        <v>230013</v>
      </c>
      <c r="ICP23" s="30">
        <f t="shared" si="96"/>
        <v>230044</v>
      </c>
      <c r="ICQ23" s="30">
        <f t="shared" si="96"/>
        <v>230074</v>
      </c>
      <c r="ICR23" s="30">
        <f t="shared" si="96"/>
        <v>230105</v>
      </c>
      <c r="ICS23" s="30">
        <f t="shared" si="96"/>
        <v>230136</v>
      </c>
      <c r="ICT23" s="30">
        <f t="shared" si="96"/>
        <v>230164</v>
      </c>
      <c r="ICU23" s="30">
        <f t="shared" si="96"/>
        <v>230195</v>
      </c>
      <c r="ICV23" s="30">
        <f t="shared" si="96"/>
        <v>230225</v>
      </c>
      <c r="ICW23" s="30">
        <f t="shared" si="96"/>
        <v>230256</v>
      </c>
      <c r="ICX23" s="30">
        <f t="shared" si="96"/>
        <v>230286</v>
      </c>
      <c r="ICY23" s="30">
        <f t="shared" si="96"/>
        <v>230317</v>
      </c>
      <c r="ICZ23" s="30">
        <f t="shared" si="96"/>
        <v>230348</v>
      </c>
      <c r="IDA23" s="30">
        <f t="shared" si="96"/>
        <v>230378</v>
      </c>
      <c r="IDB23" s="30">
        <f t="shared" si="96"/>
        <v>230409</v>
      </c>
      <c r="IDC23" s="30">
        <f t="shared" si="96"/>
        <v>230439</v>
      </c>
      <c r="IDD23" s="30">
        <f t="shared" si="96"/>
        <v>230470</v>
      </c>
      <c r="IDE23" s="30">
        <f t="shared" si="96"/>
        <v>230501</v>
      </c>
      <c r="IDF23" s="30">
        <f t="shared" si="96"/>
        <v>230529</v>
      </c>
      <c r="IDG23" s="30">
        <f t="shared" si="96"/>
        <v>230560</v>
      </c>
      <c r="IDH23" s="30">
        <f t="shared" si="96"/>
        <v>230590</v>
      </c>
      <c r="IDI23" s="30">
        <f t="shared" si="96"/>
        <v>230621</v>
      </c>
      <c r="IDJ23" s="30">
        <f t="shared" si="96"/>
        <v>230651</v>
      </c>
      <c r="IDK23" s="30">
        <f t="shared" si="96"/>
        <v>230682</v>
      </c>
      <c r="IDL23" s="30">
        <f t="shared" si="96"/>
        <v>230713</v>
      </c>
      <c r="IDM23" s="30">
        <f t="shared" si="96"/>
        <v>230743</v>
      </c>
      <c r="IDN23" s="30">
        <f t="shared" si="96"/>
        <v>230774</v>
      </c>
      <c r="IDO23" s="30">
        <f t="shared" si="96"/>
        <v>230804</v>
      </c>
      <c r="IDP23" s="30">
        <f t="shared" si="96"/>
        <v>230835</v>
      </c>
      <c r="IDQ23" s="30">
        <f t="shared" si="96"/>
        <v>230866</v>
      </c>
      <c r="IDR23" s="30">
        <f t="shared" si="96"/>
        <v>230895</v>
      </c>
      <c r="IDS23" s="30">
        <f t="shared" si="96"/>
        <v>230926</v>
      </c>
      <c r="IDT23" s="30">
        <f t="shared" si="96"/>
        <v>230956</v>
      </c>
      <c r="IDU23" s="30">
        <f t="shared" si="96"/>
        <v>230987</v>
      </c>
      <c r="IDV23" s="30">
        <f t="shared" si="96"/>
        <v>231017</v>
      </c>
      <c r="IDW23" s="30">
        <f t="shared" si="96"/>
        <v>231048</v>
      </c>
      <c r="IDX23" s="30">
        <f t="shared" ref="IDX23:IGI23" si="97">EDATE(IDW23,1)</f>
        <v>231079</v>
      </c>
      <c r="IDY23" s="30">
        <f t="shared" si="97"/>
        <v>231109</v>
      </c>
      <c r="IDZ23" s="30">
        <f t="shared" si="97"/>
        <v>231140</v>
      </c>
      <c r="IEA23" s="30">
        <f t="shared" si="97"/>
        <v>231170</v>
      </c>
      <c r="IEB23" s="30">
        <f t="shared" si="97"/>
        <v>231201</v>
      </c>
      <c r="IEC23" s="30">
        <f t="shared" si="97"/>
        <v>231232</v>
      </c>
      <c r="IED23" s="30">
        <f t="shared" si="97"/>
        <v>231260</v>
      </c>
      <c r="IEE23" s="30">
        <f t="shared" si="97"/>
        <v>231291</v>
      </c>
      <c r="IEF23" s="30">
        <f t="shared" si="97"/>
        <v>231321</v>
      </c>
      <c r="IEG23" s="30">
        <f t="shared" si="97"/>
        <v>231352</v>
      </c>
      <c r="IEH23" s="30">
        <f t="shared" si="97"/>
        <v>231382</v>
      </c>
      <c r="IEI23" s="30">
        <f t="shared" si="97"/>
        <v>231413</v>
      </c>
      <c r="IEJ23" s="30">
        <f t="shared" si="97"/>
        <v>231444</v>
      </c>
      <c r="IEK23" s="30">
        <f t="shared" si="97"/>
        <v>231474</v>
      </c>
      <c r="IEL23" s="30">
        <f t="shared" si="97"/>
        <v>231505</v>
      </c>
      <c r="IEM23" s="30">
        <f t="shared" si="97"/>
        <v>231535</v>
      </c>
      <c r="IEN23" s="30">
        <f t="shared" si="97"/>
        <v>231566</v>
      </c>
      <c r="IEO23" s="30">
        <f t="shared" si="97"/>
        <v>231597</v>
      </c>
      <c r="IEP23" s="30">
        <f t="shared" si="97"/>
        <v>231625</v>
      </c>
      <c r="IEQ23" s="30">
        <f t="shared" si="97"/>
        <v>231656</v>
      </c>
      <c r="IER23" s="30">
        <f t="shared" si="97"/>
        <v>231686</v>
      </c>
      <c r="IES23" s="30">
        <f t="shared" si="97"/>
        <v>231717</v>
      </c>
      <c r="IET23" s="30">
        <f t="shared" si="97"/>
        <v>231747</v>
      </c>
      <c r="IEU23" s="30">
        <f t="shared" si="97"/>
        <v>231778</v>
      </c>
      <c r="IEV23" s="30">
        <f t="shared" si="97"/>
        <v>231809</v>
      </c>
      <c r="IEW23" s="30">
        <f t="shared" si="97"/>
        <v>231839</v>
      </c>
      <c r="IEX23" s="30">
        <f t="shared" si="97"/>
        <v>231870</v>
      </c>
      <c r="IEY23" s="30">
        <f t="shared" si="97"/>
        <v>231900</v>
      </c>
      <c r="IEZ23" s="30">
        <f t="shared" si="97"/>
        <v>231931</v>
      </c>
      <c r="IFA23" s="30">
        <f t="shared" si="97"/>
        <v>231962</v>
      </c>
      <c r="IFB23" s="30">
        <f t="shared" si="97"/>
        <v>231990</v>
      </c>
      <c r="IFC23" s="30">
        <f t="shared" si="97"/>
        <v>232021</v>
      </c>
      <c r="IFD23" s="30">
        <f t="shared" si="97"/>
        <v>232051</v>
      </c>
      <c r="IFE23" s="30">
        <f t="shared" si="97"/>
        <v>232082</v>
      </c>
      <c r="IFF23" s="30">
        <f t="shared" si="97"/>
        <v>232112</v>
      </c>
      <c r="IFG23" s="30">
        <f t="shared" si="97"/>
        <v>232143</v>
      </c>
      <c r="IFH23" s="30">
        <f t="shared" si="97"/>
        <v>232174</v>
      </c>
      <c r="IFI23" s="30">
        <f t="shared" si="97"/>
        <v>232204</v>
      </c>
      <c r="IFJ23" s="30">
        <f t="shared" si="97"/>
        <v>232235</v>
      </c>
      <c r="IFK23" s="30">
        <f t="shared" si="97"/>
        <v>232265</v>
      </c>
      <c r="IFL23" s="30">
        <f t="shared" si="97"/>
        <v>232296</v>
      </c>
      <c r="IFM23" s="30">
        <f t="shared" si="97"/>
        <v>232327</v>
      </c>
      <c r="IFN23" s="30">
        <f t="shared" si="97"/>
        <v>232356</v>
      </c>
      <c r="IFO23" s="30">
        <f t="shared" si="97"/>
        <v>232387</v>
      </c>
      <c r="IFP23" s="30">
        <f t="shared" si="97"/>
        <v>232417</v>
      </c>
      <c r="IFQ23" s="30">
        <f t="shared" si="97"/>
        <v>232448</v>
      </c>
      <c r="IFR23" s="30">
        <f t="shared" si="97"/>
        <v>232478</v>
      </c>
      <c r="IFS23" s="30">
        <f t="shared" si="97"/>
        <v>232509</v>
      </c>
      <c r="IFT23" s="30">
        <f t="shared" si="97"/>
        <v>232540</v>
      </c>
      <c r="IFU23" s="30">
        <f t="shared" si="97"/>
        <v>232570</v>
      </c>
      <c r="IFV23" s="30">
        <f t="shared" si="97"/>
        <v>232601</v>
      </c>
      <c r="IFW23" s="30">
        <f t="shared" si="97"/>
        <v>232631</v>
      </c>
      <c r="IFX23" s="30">
        <f t="shared" si="97"/>
        <v>232662</v>
      </c>
      <c r="IFY23" s="30">
        <f t="shared" si="97"/>
        <v>232693</v>
      </c>
      <c r="IFZ23" s="30">
        <f t="shared" si="97"/>
        <v>232721</v>
      </c>
      <c r="IGA23" s="30">
        <f t="shared" si="97"/>
        <v>232752</v>
      </c>
      <c r="IGB23" s="30">
        <f t="shared" si="97"/>
        <v>232782</v>
      </c>
      <c r="IGC23" s="30">
        <f t="shared" si="97"/>
        <v>232813</v>
      </c>
      <c r="IGD23" s="30">
        <f t="shared" si="97"/>
        <v>232843</v>
      </c>
      <c r="IGE23" s="30">
        <f t="shared" si="97"/>
        <v>232874</v>
      </c>
      <c r="IGF23" s="30">
        <f t="shared" si="97"/>
        <v>232905</v>
      </c>
      <c r="IGG23" s="30">
        <f t="shared" si="97"/>
        <v>232935</v>
      </c>
      <c r="IGH23" s="30">
        <f t="shared" si="97"/>
        <v>232966</v>
      </c>
      <c r="IGI23" s="30">
        <f t="shared" si="97"/>
        <v>232996</v>
      </c>
      <c r="IGJ23" s="30">
        <f t="shared" ref="IGJ23:IIU23" si="98">EDATE(IGI23,1)</f>
        <v>233027</v>
      </c>
      <c r="IGK23" s="30">
        <f t="shared" si="98"/>
        <v>233058</v>
      </c>
      <c r="IGL23" s="30">
        <f t="shared" si="98"/>
        <v>233086</v>
      </c>
      <c r="IGM23" s="30">
        <f t="shared" si="98"/>
        <v>233117</v>
      </c>
      <c r="IGN23" s="30">
        <f t="shared" si="98"/>
        <v>233147</v>
      </c>
      <c r="IGO23" s="30">
        <f t="shared" si="98"/>
        <v>233178</v>
      </c>
      <c r="IGP23" s="30">
        <f t="shared" si="98"/>
        <v>233208</v>
      </c>
      <c r="IGQ23" s="30">
        <f t="shared" si="98"/>
        <v>233239</v>
      </c>
      <c r="IGR23" s="30">
        <f t="shared" si="98"/>
        <v>233270</v>
      </c>
      <c r="IGS23" s="30">
        <f t="shared" si="98"/>
        <v>233300</v>
      </c>
      <c r="IGT23" s="30">
        <f t="shared" si="98"/>
        <v>233331</v>
      </c>
      <c r="IGU23" s="30">
        <f t="shared" si="98"/>
        <v>233361</v>
      </c>
      <c r="IGV23" s="30">
        <f t="shared" si="98"/>
        <v>233392</v>
      </c>
      <c r="IGW23" s="30">
        <f t="shared" si="98"/>
        <v>233423</v>
      </c>
      <c r="IGX23" s="30">
        <f t="shared" si="98"/>
        <v>233451</v>
      </c>
      <c r="IGY23" s="30">
        <f t="shared" si="98"/>
        <v>233482</v>
      </c>
      <c r="IGZ23" s="30">
        <f t="shared" si="98"/>
        <v>233512</v>
      </c>
      <c r="IHA23" s="30">
        <f t="shared" si="98"/>
        <v>233543</v>
      </c>
      <c r="IHB23" s="30">
        <f t="shared" si="98"/>
        <v>233573</v>
      </c>
      <c r="IHC23" s="30">
        <f t="shared" si="98"/>
        <v>233604</v>
      </c>
      <c r="IHD23" s="30">
        <f t="shared" si="98"/>
        <v>233635</v>
      </c>
      <c r="IHE23" s="30">
        <f t="shared" si="98"/>
        <v>233665</v>
      </c>
      <c r="IHF23" s="30">
        <f t="shared" si="98"/>
        <v>233696</v>
      </c>
      <c r="IHG23" s="30">
        <f t="shared" si="98"/>
        <v>233726</v>
      </c>
      <c r="IHH23" s="30">
        <f t="shared" si="98"/>
        <v>233757</v>
      </c>
      <c r="IHI23" s="30">
        <f t="shared" si="98"/>
        <v>233788</v>
      </c>
      <c r="IHJ23" s="30">
        <f t="shared" si="98"/>
        <v>233817</v>
      </c>
      <c r="IHK23" s="30">
        <f t="shared" si="98"/>
        <v>233848</v>
      </c>
      <c r="IHL23" s="30">
        <f t="shared" si="98"/>
        <v>233878</v>
      </c>
      <c r="IHM23" s="30">
        <f t="shared" si="98"/>
        <v>233909</v>
      </c>
      <c r="IHN23" s="30">
        <f t="shared" si="98"/>
        <v>233939</v>
      </c>
      <c r="IHO23" s="30">
        <f t="shared" si="98"/>
        <v>233970</v>
      </c>
      <c r="IHP23" s="30">
        <f t="shared" si="98"/>
        <v>234001</v>
      </c>
      <c r="IHQ23" s="30">
        <f t="shared" si="98"/>
        <v>234031</v>
      </c>
      <c r="IHR23" s="30">
        <f t="shared" si="98"/>
        <v>234062</v>
      </c>
      <c r="IHS23" s="30">
        <f t="shared" si="98"/>
        <v>234092</v>
      </c>
      <c r="IHT23" s="30">
        <f t="shared" si="98"/>
        <v>234123</v>
      </c>
      <c r="IHU23" s="30">
        <f t="shared" si="98"/>
        <v>234154</v>
      </c>
      <c r="IHV23" s="30">
        <f t="shared" si="98"/>
        <v>234182</v>
      </c>
      <c r="IHW23" s="30">
        <f t="shared" si="98"/>
        <v>234213</v>
      </c>
      <c r="IHX23" s="30">
        <f t="shared" si="98"/>
        <v>234243</v>
      </c>
      <c r="IHY23" s="30">
        <f t="shared" si="98"/>
        <v>234274</v>
      </c>
      <c r="IHZ23" s="30">
        <f t="shared" si="98"/>
        <v>234304</v>
      </c>
      <c r="IIA23" s="30">
        <f t="shared" si="98"/>
        <v>234335</v>
      </c>
      <c r="IIB23" s="30">
        <f t="shared" si="98"/>
        <v>234366</v>
      </c>
      <c r="IIC23" s="30">
        <f t="shared" si="98"/>
        <v>234396</v>
      </c>
      <c r="IID23" s="30">
        <f t="shared" si="98"/>
        <v>234427</v>
      </c>
      <c r="IIE23" s="30">
        <f t="shared" si="98"/>
        <v>234457</v>
      </c>
      <c r="IIF23" s="30">
        <f t="shared" si="98"/>
        <v>234488</v>
      </c>
      <c r="IIG23" s="30">
        <f t="shared" si="98"/>
        <v>234519</v>
      </c>
      <c r="IIH23" s="30">
        <f t="shared" si="98"/>
        <v>234547</v>
      </c>
      <c r="III23" s="30">
        <f t="shared" si="98"/>
        <v>234578</v>
      </c>
      <c r="IIJ23" s="30">
        <f t="shared" si="98"/>
        <v>234608</v>
      </c>
      <c r="IIK23" s="30">
        <f t="shared" si="98"/>
        <v>234639</v>
      </c>
      <c r="IIL23" s="30">
        <f t="shared" si="98"/>
        <v>234669</v>
      </c>
      <c r="IIM23" s="30">
        <f t="shared" si="98"/>
        <v>234700</v>
      </c>
      <c r="IIN23" s="30">
        <f t="shared" si="98"/>
        <v>234731</v>
      </c>
      <c r="IIO23" s="30">
        <f t="shared" si="98"/>
        <v>234761</v>
      </c>
      <c r="IIP23" s="30">
        <f t="shared" si="98"/>
        <v>234792</v>
      </c>
      <c r="IIQ23" s="30">
        <f t="shared" si="98"/>
        <v>234822</v>
      </c>
      <c r="IIR23" s="30">
        <f t="shared" si="98"/>
        <v>234853</v>
      </c>
      <c r="IIS23" s="30">
        <f t="shared" si="98"/>
        <v>234884</v>
      </c>
      <c r="IIT23" s="30">
        <f t="shared" si="98"/>
        <v>234912</v>
      </c>
      <c r="IIU23" s="30">
        <f t="shared" si="98"/>
        <v>234943</v>
      </c>
      <c r="IIV23" s="30">
        <f t="shared" ref="IIV23:ILG23" si="99">EDATE(IIU23,1)</f>
        <v>234973</v>
      </c>
      <c r="IIW23" s="30">
        <f t="shared" si="99"/>
        <v>235004</v>
      </c>
      <c r="IIX23" s="30">
        <f t="shared" si="99"/>
        <v>235034</v>
      </c>
      <c r="IIY23" s="30">
        <f t="shared" si="99"/>
        <v>235065</v>
      </c>
      <c r="IIZ23" s="30">
        <f t="shared" si="99"/>
        <v>235096</v>
      </c>
      <c r="IJA23" s="30">
        <f t="shared" si="99"/>
        <v>235126</v>
      </c>
      <c r="IJB23" s="30">
        <f t="shared" si="99"/>
        <v>235157</v>
      </c>
      <c r="IJC23" s="30">
        <f t="shared" si="99"/>
        <v>235187</v>
      </c>
      <c r="IJD23" s="30">
        <f t="shared" si="99"/>
        <v>235218</v>
      </c>
      <c r="IJE23" s="30">
        <f t="shared" si="99"/>
        <v>235249</v>
      </c>
      <c r="IJF23" s="30">
        <f t="shared" si="99"/>
        <v>235278</v>
      </c>
      <c r="IJG23" s="30">
        <f t="shared" si="99"/>
        <v>235309</v>
      </c>
      <c r="IJH23" s="30">
        <f t="shared" si="99"/>
        <v>235339</v>
      </c>
      <c r="IJI23" s="30">
        <f t="shared" si="99"/>
        <v>235370</v>
      </c>
      <c r="IJJ23" s="30">
        <f t="shared" si="99"/>
        <v>235400</v>
      </c>
      <c r="IJK23" s="30">
        <f t="shared" si="99"/>
        <v>235431</v>
      </c>
      <c r="IJL23" s="30">
        <f t="shared" si="99"/>
        <v>235462</v>
      </c>
      <c r="IJM23" s="30">
        <f t="shared" si="99"/>
        <v>235492</v>
      </c>
      <c r="IJN23" s="30">
        <f t="shared" si="99"/>
        <v>235523</v>
      </c>
      <c r="IJO23" s="30">
        <f t="shared" si="99"/>
        <v>235553</v>
      </c>
      <c r="IJP23" s="30">
        <f t="shared" si="99"/>
        <v>235584</v>
      </c>
      <c r="IJQ23" s="30">
        <f t="shared" si="99"/>
        <v>235615</v>
      </c>
      <c r="IJR23" s="30">
        <f t="shared" si="99"/>
        <v>235643</v>
      </c>
      <c r="IJS23" s="30">
        <f t="shared" si="99"/>
        <v>235674</v>
      </c>
      <c r="IJT23" s="30">
        <f t="shared" si="99"/>
        <v>235704</v>
      </c>
      <c r="IJU23" s="30">
        <f t="shared" si="99"/>
        <v>235735</v>
      </c>
      <c r="IJV23" s="30">
        <f t="shared" si="99"/>
        <v>235765</v>
      </c>
      <c r="IJW23" s="30">
        <f t="shared" si="99"/>
        <v>235796</v>
      </c>
      <c r="IJX23" s="30">
        <f t="shared" si="99"/>
        <v>235827</v>
      </c>
      <c r="IJY23" s="30">
        <f t="shared" si="99"/>
        <v>235857</v>
      </c>
      <c r="IJZ23" s="30">
        <f t="shared" si="99"/>
        <v>235888</v>
      </c>
      <c r="IKA23" s="30">
        <f t="shared" si="99"/>
        <v>235918</v>
      </c>
      <c r="IKB23" s="30">
        <f t="shared" si="99"/>
        <v>235949</v>
      </c>
      <c r="IKC23" s="30">
        <f t="shared" si="99"/>
        <v>235980</v>
      </c>
      <c r="IKD23" s="30">
        <f t="shared" si="99"/>
        <v>236008</v>
      </c>
      <c r="IKE23" s="30">
        <f t="shared" si="99"/>
        <v>236039</v>
      </c>
      <c r="IKF23" s="30">
        <f t="shared" si="99"/>
        <v>236069</v>
      </c>
      <c r="IKG23" s="30">
        <f t="shared" si="99"/>
        <v>236100</v>
      </c>
      <c r="IKH23" s="30">
        <f t="shared" si="99"/>
        <v>236130</v>
      </c>
      <c r="IKI23" s="30">
        <f t="shared" si="99"/>
        <v>236161</v>
      </c>
      <c r="IKJ23" s="30">
        <f t="shared" si="99"/>
        <v>236192</v>
      </c>
      <c r="IKK23" s="30">
        <f t="shared" si="99"/>
        <v>236222</v>
      </c>
      <c r="IKL23" s="30">
        <f t="shared" si="99"/>
        <v>236253</v>
      </c>
      <c r="IKM23" s="30">
        <f t="shared" si="99"/>
        <v>236283</v>
      </c>
      <c r="IKN23" s="30">
        <f t="shared" si="99"/>
        <v>236314</v>
      </c>
      <c r="IKO23" s="30">
        <f t="shared" si="99"/>
        <v>236345</v>
      </c>
      <c r="IKP23" s="30">
        <f t="shared" si="99"/>
        <v>236373</v>
      </c>
      <c r="IKQ23" s="30">
        <f t="shared" si="99"/>
        <v>236404</v>
      </c>
      <c r="IKR23" s="30">
        <f t="shared" si="99"/>
        <v>236434</v>
      </c>
      <c r="IKS23" s="30">
        <f t="shared" si="99"/>
        <v>236465</v>
      </c>
      <c r="IKT23" s="30">
        <f t="shared" si="99"/>
        <v>236495</v>
      </c>
      <c r="IKU23" s="30">
        <f t="shared" si="99"/>
        <v>236526</v>
      </c>
      <c r="IKV23" s="30">
        <f t="shared" si="99"/>
        <v>236557</v>
      </c>
      <c r="IKW23" s="30">
        <f t="shared" si="99"/>
        <v>236587</v>
      </c>
      <c r="IKX23" s="30">
        <f t="shared" si="99"/>
        <v>236618</v>
      </c>
      <c r="IKY23" s="30">
        <f t="shared" si="99"/>
        <v>236648</v>
      </c>
      <c r="IKZ23" s="30">
        <f t="shared" si="99"/>
        <v>236679</v>
      </c>
      <c r="ILA23" s="30">
        <f t="shared" si="99"/>
        <v>236710</v>
      </c>
      <c r="ILB23" s="30">
        <f t="shared" si="99"/>
        <v>236739</v>
      </c>
      <c r="ILC23" s="30">
        <f t="shared" si="99"/>
        <v>236770</v>
      </c>
      <c r="ILD23" s="30">
        <f t="shared" si="99"/>
        <v>236800</v>
      </c>
      <c r="ILE23" s="30">
        <f t="shared" si="99"/>
        <v>236831</v>
      </c>
      <c r="ILF23" s="30">
        <f t="shared" si="99"/>
        <v>236861</v>
      </c>
      <c r="ILG23" s="30">
        <f t="shared" si="99"/>
        <v>236892</v>
      </c>
      <c r="ILH23" s="30">
        <f t="shared" ref="ILH23:INS23" si="100">EDATE(ILG23,1)</f>
        <v>236923</v>
      </c>
      <c r="ILI23" s="30">
        <f t="shared" si="100"/>
        <v>236953</v>
      </c>
      <c r="ILJ23" s="30">
        <f t="shared" si="100"/>
        <v>236984</v>
      </c>
      <c r="ILK23" s="30">
        <f t="shared" si="100"/>
        <v>237014</v>
      </c>
      <c r="ILL23" s="30">
        <f t="shared" si="100"/>
        <v>237045</v>
      </c>
      <c r="ILM23" s="30">
        <f t="shared" si="100"/>
        <v>237076</v>
      </c>
      <c r="ILN23" s="30">
        <f t="shared" si="100"/>
        <v>237104</v>
      </c>
      <c r="ILO23" s="30">
        <f t="shared" si="100"/>
        <v>237135</v>
      </c>
      <c r="ILP23" s="30">
        <f t="shared" si="100"/>
        <v>237165</v>
      </c>
      <c r="ILQ23" s="30">
        <f t="shared" si="100"/>
        <v>237196</v>
      </c>
      <c r="ILR23" s="30">
        <f t="shared" si="100"/>
        <v>237226</v>
      </c>
      <c r="ILS23" s="30">
        <f t="shared" si="100"/>
        <v>237257</v>
      </c>
      <c r="ILT23" s="30">
        <f t="shared" si="100"/>
        <v>237288</v>
      </c>
      <c r="ILU23" s="30">
        <f t="shared" si="100"/>
        <v>237318</v>
      </c>
      <c r="ILV23" s="30">
        <f t="shared" si="100"/>
        <v>237349</v>
      </c>
      <c r="ILW23" s="30">
        <f t="shared" si="100"/>
        <v>237379</v>
      </c>
      <c r="ILX23" s="30">
        <f t="shared" si="100"/>
        <v>237410</v>
      </c>
      <c r="ILY23" s="30">
        <f t="shared" si="100"/>
        <v>237441</v>
      </c>
      <c r="ILZ23" s="30">
        <f t="shared" si="100"/>
        <v>237469</v>
      </c>
      <c r="IMA23" s="30">
        <f t="shared" si="100"/>
        <v>237500</v>
      </c>
      <c r="IMB23" s="30">
        <f t="shared" si="100"/>
        <v>237530</v>
      </c>
      <c r="IMC23" s="30">
        <f t="shared" si="100"/>
        <v>237561</v>
      </c>
      <c r="IMD23" s="30">
        <f t="shared" si="100"/>
        <v>237591</v>
      </c>
      <c r="IME23" s="30">
        <f t="shared" si="100"/>
        <v>237622</v>
      </c>
      <c r="IMF23" s="30">
        <f t="shared" si="100"/>
        <v>237653</v>
      </c>
      <c r="IMG23" s="30">
        <f t="shared" si="100"/>
        <v>237683</v>
      </c>
      <c r="IMH23" s="30">
        <f t="shared" si="100"/>
        <v>237714</v>
      </c>
      <c r="IMI23" s="30">
        <f t="shared" si="100"/>
        <v>237744</v>
      </c>
      <c r="IMJ23" s="30">
        <f t="shared" si="100"/>
        <v>237775</v>
      </c>
      <c r="IMK23" s="30">
        <f t="shared" si="100"/>
        <v>237806</v>
      </c>
      <c r="IML23" s="30">
        <f t="shared" si="100"/>
        <v>237834</v>
      </c>
      <c r="IMM23" s="30">
        <f t="shared" si="100"/>
        <v>237865</v>
      </c>
      <c r="IMN23" s="30">
        <f t="shared" si="100"/>
        <v>237895</v>
      </c>
      <c r="IMO23" s="30">
        <f t="shared" si="100"/>
        <v>237926</v>
      </c>
      <c r="IMP23" s="30">
        <f t="shared" si="100"/>
        <v>237956</v>
      </c>
      <c r="IMQ23" s="30">
        <f t="shared" si="100"/>
        <v>237987</v>
      </c>
      <c r="IMR23" s="30">
        <f t="shared" si="100"/>
        <v>238018</v>
      </c>
      <c r="IMS23" s="30">
        <f t="shared" si="100"/>
        <v>238048</v>
      </c>
      <c r="IMT23" s="30">
        <f t="shared" si="100"/>
        <v>238079</v>
      </c>
      <c r="IMU23" s="30">
        <f t="shared" si="100"/>
        <v>238109</v>
      </c>
      <c r="IMV23" s="30">
        <f t="shared" si="100"/>
        <v>238140</v>
      </c>
      <c r="IMW23" s="30">
        <f t="shared" si="100"/>
        <v>238171</v>
      </c>
      <c r="IMX23" s="30">
        <f t="shared" si="100"/>
        <v>238200</v>
      </c>
      <c r="IMY23" s="30">
        <f t="shared" si="100"/>
        <v>238231</v>
      </c>
      <c r="IMZ23" s="30">
        <f t="shared" si="100"/>
        <v>238261</v>
      </c>
      <c r="INA23" s="30">
        <f t="shared" si="100"/>
        <v>238292</v>
      </c>
      <c r="INB23" s="30">
        <f t="shared" si="100"/>
        <v>238322</v>
      </c>
      <c r="INC23" s="30">
        <f t="shared" si="100"/>
        <v>238353</v>
      </c>
      <c r="IND23" s="30">
        <f t="shared" si="100"/>
        <v>238384</v>
      </c>
      <c r="INE23" s="30">
        <f t="shared" si="100"/>
        <v>238414</v>
      </c>
      <c r="INF23" s="30">
        <f t="shared" si="100"/>
        <v>238445</v>
      </c>
      <c r="ING23" s="30">
        <f t="shared" si="100"/>
        <v>238475</v>
      </c>
      <c r="INH23" s="30">
        <f t="shared" si="100"/>
        <v>238506</v>
      </c>
      <c r="INI23" s="30">
        <f t="shared" si="100"/>
        <v>238537</v>
      </c>
      <c r="INJ23" s="30">
        <f t="shared" si="100"/>
        <v>238565</v>
      </c>
      <c r="INK23" s="30">
        <f t="shared" si="100"/>
        <v>238596</v>
      </c>
      <c r="INL23" s="30">
        <f t="shared" si="100"/>
        <v>238626</v>
      </c>
      <c r="INM23" s="30">
        <f t="shared" si="100"/>
        <v>238657</v>
      </c>
      <c r="INN23" s="30">
        <f t="shared" si="100"/>
        <v>238687</v>
      </c>
      <c r="INO23" s="30">
        <f t="shared" si="100"/>
        <v>238718</v>
      </c>
      <c r="INP23" s="30">
        <f t="shared" si="100"/>
        <v>238749</v>
      </c>
      <c r="INQ23" s="30">
        <f t="shared" si="100"/>
        <v>238779</v>
      </c>
      <c r="INR23" s="30">
        <f t="shared" si="100"/>
        <v>238810</v>
      </c>
      <c r="INS23" s="30">
        <f t="shared" si="100"/>
        <v>238840</v>
      </c>
      <c r="INT23" s="30">
        <f t="shared" ref="INT23:IQE23" si="101">EDATE(INS23,1)</f>
        <v>238871</v>
      </c>
      <c r="INU23" s="30">
        <f t="shared" si="101"/>
        <v>238902</v>
      </c>
      <c r="INV23" s="30">
        <f t="shared" si="101"/>
        <v>238930</v>
      </c>
      <c r="INW23" s="30">
        <f t="shared" si="101"/>
        <v>238961</v>
      </c>
      <c r="INX23" s="30">
        <f t="shared" si="101"/>
        <v>238991</v>
      </c>
      <c r="INY23" s="30">
        <f t="shared" si="101"/>
        <v>239022</v>
      </c>
      <c r="INZ23" s="30">
        <f t="shared" si="101"/>
        <v>239052</v>
      </c>
      <c r="IOA23" s="30">
        <f t="shared" si="101"/>
        <v>239083</v>
      </c>
      <c r="IOB23" s="30">
        <f t="shared" si="101"/>
        <v>239114</v>
      </c>
      <c r="IOC23" s="30">
        <f t="shared" si="101"/>
        <v>239144</v>
      </c>
      <c r="IOD23" s="30">
        <f t="shared" si="101"/>
        <v>239175</v>
      </c>
      <c r="IOE23" s="30">
        <f t="shared" si="101"/>
        <v>239205</v>
      </c>
      <c r="IOF23" s="30">
        <f t="shared" si="101"/>
        <v>239236</v>
      </c>
      <c r="IOG23" s="30">
        <f t="shared" si="101"/>
        <v>239267</v>
      </c>
      <c r="IOH23" s="30">
        <f t="shared" si="101"/>
        <v>239295</v>
      </c>
      <c r="IOI23" s="30">
        <f t="shared" si="101"/>
        <v>239326</v>
      </c>
      <c r="IOJ23" s="30">
        <f t="shared" si="101"/>
        <v>239356</v>
      </c>
      <c r="IOK23" s="30">
        <f t="shared" si="101"/>
        <v>239387</v>
      </c>
      <c r="IOL23" s="30">
        <f t="shared" si="101"/>
        <v>239417</v>
      </c>
      <c r="IOM23" s="30">
        <f t="shared" si="101"/>
        <v>239448</v>
      </c>
      <c r="ION23" s="30">
        <f t="shared" si="101"/>
        <v>239479</v>
      </c>
      <c r="IOO23" s="30">
        <f t="shared" si="101"/>
        <v>239509</v>
      </c>
      <c r="IOP23" s="30">
        <f t="shared" si="101"/>
        <v>239540</v>
      </c>
      <c r="IOQ23" s="30">
        <f t="shared" si="101"/>
        <v>239570</v>
      </c>
      <c r="IOR23" s="30">
        <f t="shared" si="101"/>
        <v>239601</v>
      </c>
      <c r="IOS23" s="30">
        <f t="shared" si="101"/>
        <v>239632</v>
      </c>
      <c r="IOT23" s="30">
        <f t="shared" si="101"/>
        <v>239661</v>
      </c>
      <c r="IOU23" s="30">
        <f t="shared" si="101"/>
        <v>239692</v>
      </c>
      <c r="IOV23" s="30">
        <f t="shared" si="101"/>
        <v>239722</v>
      </c>
      <c r="IOW23" s="30">
        <f t="shared" si="101"/>
        <v>239753</v>
      </c>
      <c r="IOX23" s="30">
        <f t="shared" si="101"/>
        <v>239783</v>
      </c>
      <c r="IOY23" s="30">
        <f t="shared" si="101"/>
        <v>239814</v>
      </c>
      <c r="IOZ23" s="30">
        <f t="shared" si="101"/>
        <v>239845</v>
      </c>
      <c r="IPA23" s="30">
        <f t="shared" si="101"/>
        <v>239875</v>
      </c>
      <c r="IPB23" s="30">
        <f t="shared" si="101"/>
        <v>239906</v>
      </c>
      <c r="IPC23" s="30">
        <f t="shared" si="101"/>
        <v>239936</v>
      </c>
      <c r="IPD23" s="30">
        <f t="shared" si="101"/>
        <v>239967</v>
      </c>
      <c r="IPE23" s="30">
        <f t="shared" si="101"/>
        <v>239998</v>
      </c>
      <c r="IPF23" s="30">
        <f t="shared" si="101"/>
        <v>240026</v>
      </c>
      <c r="IPG23" s="30">
        <f t="shared" si="101"/>
        <v>240057</v>
      </c>
      <c r="IPH23" s="30">
        <f t="shared" si="101"/>
        <v>240087</v>
      </c>
      <c r="IPI23" s="30">
        <f t="shared" si="101"/>
        <v>240118</v>
      </c>
      <c r="IPJ23" s="30">
        <f t="shared" si="101"/>
        <v>240148</v>
      </c>
      <c r="IPK23" s="30">
        <f t="shared" si="101"/>
        <v>240179</v>
      </c>
      <c r="IPL23" s="30">
        <f t="shared" si="101"/>
        <v>240210</v>
      </c>
      <c r="IPM23" s="30">
        <f t="shared" si="101"/>
        <v>240240</v>
      </c>
      <c r="IPN23" s="30">
        <f t="shared" si="101"/>
        <v>240271</v>
      </c>
      <c r="IPO23" s="30">
        <f t="shared" si="101"/>
        <v>240301</v>
      </c>
      <c r="IPP23" s="30">
        <f t="shared" si="101"/>
        <v>240332</v>
      </c>
      <c r="IPQ23" s="30">
        <f t="shared" si="101"/>
        <v>240363</v>
      </c>
      <c r="IPR23" s="30">
        <f t="shared" si="101"/>
        <v>240391</v>
      </c>
      <c r="IPS23" s="30">
        <f t="shared" si="101"/>
        <v>240422</v>
      </c>
      <c r="IPT23" s="30">
        <f t="shared" si="101"/>
        <v>240452</v>
      </c>
      <c r="IPU23" s="30">
        <f t="shared" si="101"/>
        <v>240483</v>
      </c>
      <c r="IPV23" s="30">
        <f t="shared" si="101"/>
        <v>240513</v>
      </c>
      <c r="IPW23" s="30">
        <f t="shared" si="101"/>
        <v>240544</v>
      </c>
      <c r="IPX23" s="30">
        <f t="shared" si="101"/>
        <v>240575</v>
      </c>
      <c r="IPY23" s="30">
        <f t="shared" si="101"/>
        <v>240605</v>
      </c>
      <c r="IPZ23" s="30">
        <f t="shared" si="101"/>
        <v>240636</v>
      </c>
      <c r="IQA23" s="30">
        <f t="shared" si="101"/>
        <v>240666</v>
      </c>
      <c r="IQB23" s="30">
        <f t="shared" si="101"/>
        <v>240697</v>
      </c>
      <c r="IQC23" s="30">
        <f t="shared" si="101"/>
        <v>240728</v>
      </c>
      <c r="IQD23" s="30">
        <f t="shared" si="101"/>
        <v>240756</v>
      </c>
      <c r="IQE23" s="30">
        <f t="shared" si="101"/>
        <v>240787</v>
      </c>
      <c r="IQF23" s="30">
        <f t="shared" ref="IQF23:ISQ23" si="102">EDATE(IQE23,1)</f>
        <v>240817</v>
      </c>
      <c r="IQG23" s="30">
        <f t="shared" si="102"/>
        <v>240848</v>
      </c>
      <c r="IQH23" s="30">
        <f t="shared" si="102"/>
        <v>240878</v>
      </c>
      <c r="IQI23" s="30">
        <f t="shared" si="102"/>
        <v>240909</v>
      </c>
      <c r="IQJ23" s="30">
        <f t="shared" si="102"/>
        <v>240940</v>
      </c>
      <c r="IQK23" s="30">
        <f t="shared" si="102"/>
        <v>240970</v>
      </c>
      <c r="IQL23" s="30">
        <f t="shared" si="102"/>
        <v>241001</v>
      </c>
      <c r="IQM23" s="30">
        <f t="shared" si="102"/>
        <v>241031</v>
      </c>
      <c r="IQN23" s="30">
        <f t="shared" si="102"/>
        <v>241062</v>
      </c>
      <c r="IQO23" s="30">
        <f t="shared" si="102"/>
        <v>241093</v>
      </c>
      <c r="IQP23" s="30">
        <f t="shared" si="102"/>
        <v>241122</v>
      </c>
      <c r="IQQ23" s="30">
        <f t="shared" si="102"/>
        <v>241153</v>
      </c>
      <c r="IQR23" s="30">
        <f t="shared" si="102"/>
        <v>241183</v>
      </c>
      <c r="IQS23" s="30">
        <f t="shared" si="102"/>
        <v>241214</v>
      </c>
      <c r="IQT23" s="30">
        <f t="shared" si="102"/>
        <v>241244</v>
      </c>
      <c r="IQU23" s="30">
        <f t="shared" si="102"/>
        <v>241275</v>
      </c>
      <c r="IQV23" s="30">
        <f t="shared" si="102"/>
        <v>241306</v>
      </c>
      <c r="IQW23" s="30">
        <f t="shared" si="102"/>
        <v>241336</v>
      </c>
      <c r="IQX23" s="30">
        <f t="shared" si="102"/>
        <v>241367</v>
      </c>
      <c r="IQY23" s="30">
        <f t="shared" si="102"/>
        <v>241397</v>
      </c>
      <c r="IQZ23" s="30">
        <f t="shared" si="102"/>
        <v>241428</v>
      </c>
      <c r="IRA23" s="30">
        <f t="shared" si="102"/>
        <v>241459</v>
      </c>
      <c r="IRB23" s="30">
        <f t="shared" si="102"/>
        <v>241487</v>
      </c>
      <c r="IRC23" s="30">
        <f t="shared" si="102"/>
        <v>241518</v>
      </c>
      <c r="IRD23" s="30">
        <f t="shared" si="102"/>
        <v>241548</v>
      </c>
      <c r="IRE23" s="30">
        <f t="shared" si="102"/>
        <v>241579</v>
      </c>
      <c r="IRF23" s="30">
        <f t="shared" si="102"/>
        <v>241609</v>
      </c>
      <c r="IRG23" s="30">
        <f t="shared" si="102"/>
        <v>241640</v>
      </c>
      <c r="IRH23" s="30">
        <f t="shared" si="102"/>
        <v>241671</v>
      </c>
      <c r="IRI23" s="30">
        <f t="shared" si="102"/>
        <v>241701</v>
      </c>
      <c r="IRJ23" s="30">
        <f t="shared" si="102"/>
        <v>241732</v>
      </c>
      <c r="IRK23" s="30">
        <f t="shared" si="102"/>
        <v>241762</v>
      </c>
      <c r="IRL23" s="30">
        <f t="shared" si="102"/>
        <v>241793</v>
      </c>
      <c r="IRM23" s="30">
        <f t="shared" si="102"/>
        <v>241824</v>
      </c>
      <c r="IRN23" s="30">
        <f t="shared" si="102"/>
        <v>241852</v>
      </c>
      <c r="IRO23" s="30">
        <f t="shared" si="102"/>
        <v>241883</v>
      </c>
      <c r="IRP23" s="30">
        <f t="shared" si="102"/>
        <v>241913</v>
      </c>
      <c r="IRQ23" s="30">
        <f t="shared" si="102"/>
        <v>241944</v>
      </c>
      <c r="IRR23" s="30">
        <f t="shared" si="102"/>
        <v>241974</v>
      </c>
      <c r="IRS23" s="30">
        <f t="shared" si="102"/>
        <v>242005</v>
      </c>
      <c r="IRT23" s="30">
        <f t="shared" si="102"/>
        <v>242036</v>
      </c>
      <c r="IRU23" s="30">
        <f t="shared" si="102"/>
        <v>242066</v>
      </c>
      <c r="IRV23" s="30">
        <f t="shared" si="102"/>
        <v>242097</v>
      </c>
      <c r="IRW23" s="30">
        <f t="shared" si="102"/>
        <v>242127</v>
      </c>
      <c r="IRX23" s="30">
        <f t="shared" si="102"/>
        <v>242158</v>
      </c>
      <c r="IRY23" s="30">
        <f t="shared" si="102"/>
        <v>242189</v>
      </c>
      <c r="IRZ23" s="30">
        <f t="shared" si="102"/>
        <v>242217</v>
      </c>
      <c r="ISA23" s="30">
        <f t="shared" si="102"/>
        <v>242248</v>
      </c>
      <c r="ISB23" s="30">
        <f t="shared" si="102"/>
        <v>242278</v>
      </c>
      <c r="ISC23" s="30">
        <f t="shared" si="102"/>
        <v>242309</v>
      </c>
      <c r="ISD23" s="30">
        <f t="shared" si="102"/>
        <v>242339</v>
      </c>
      <c r="ISE23" s="30">
        <f t="shared" si="102"/>
        <v>242370</v>
      </c>
      <c r="ISF23" s="30">
        <f t="shared" si="102"/>
        <v>242401</v>
      </c>
      <c r="ISG23" s="30">
        <f t="shared" si="102"/>
        <v>242431</v>
      </c>
      <c r="ISH23" s="30">
        <f t="shared" si="102"/>
        <v>242462</v>
      </c>
      <c r="ISI23" s="30">
        <f t="shared" si="102"/>
        <v>242492</v>
      </c>
      <c r="ISJ23" s="30">
        <f t="shared" si="102"/>
        <v>242523</v>
      </c>
      <c r="ISK23" s="30">
        <f t="shared" si="102"/>
        <v>242554</v>
      </c>
      <c r="ISL23" s="30">
        <f t="shared" si="102"/>
        <v>242583</v>
      </c>
      <c r="ISM23" s="30">
        <f t="shared" si="102"/>
        <v>242614</v>
      </c>
      <c r="ISN23" s="30">
        <f t="shared" si="102"/>
        <v>242644</v>
      </c>
      <c r="ISO23" s="30">
        <f t="shared" si="102"/>
        <v>242675</v>
      </c>
      <c r="ISP23" s="30">
        <f t="shared" si="102"/>
        <v>242705</v>
      </c>
      <c r="ISQ23" s="30">
        <f t="shared" si="102"/>
        <v>242736</v>
      </c>
      <c r="ISR23" s="30">
        <f t="shared" ref="ISR23:IVC23" si="103">EDATE(ISQ23,1)</f>
        <v>242767</v>
      </c>
      <c r="ISS23" s="30">
        <f t="shared" si="103"/>
        <v>242797</v>
      </c>
      <c r="IST23" s="30">
        <f t="shared" si="103"/>
        <v>242828</v>
      </c>
      <c r="ISU23" s="30">
        <f t="shared" si="103"/>
        <v>242858</v>
      </c>
      <c r="ISV23" s="30">
        <f t="shared" si="103"/>
        <v>242889</v>
      </c>
      <c r="ISW23" s="30">
        <f t="shared" si="103"/>
        <v>242920</v>
      </c>
      <c r="ISX23" s="30">
        <f t="shared" si="103"/>
        <v>242948</v>
      </c>
      <c r="ISY23" s="30">
        <f t="shared" si="103"/>
        <v>242979</v>
      </c>
      <c r="ISZ23" s="30">
        <f t="shared" si="103"/>
        <v>243009</v>
      </c>
      <c r="ITA23" s="30">
        <f t="shared" si="103"/>
        <v>243040</v>
      </c>
      <c r="ITB23" s="30">
        <f t="shared" si="103"/>
        <v>243070</v>
      </c>
      <c r="ITC23" s="30">
        <f t="shared" si="103"/>
        <v>243101</v>
      </c>
      <c r="ITD23" s="30">
        <f t="shared" si="103"/>
        <v>243132</v>
      </c>
      <c r="ITE23" s="30">
        <f t="shared" si="103"/>
        <v>243162</v>
      </c>
      <c r="ITF23" s="30">
        <f t="shared" si="103"/>
        <v>243193</v>
      </c>
      <c r="ITG23" s="30">
        <f t="shared" si="103"/>
        <v>243223</v>
      </c>
      <c r="ITH23" s="30">
        <f t="shared" si="103"/>
        <v>243254</v>
      </c>
      <c r="ITI23" s="30">
        <f t="shared" si="103"/>
        <v>243285</v>
      </c>
      <c r="ITJ23" s="30">
        <f t="shared" si="103"/>
        <v>243313</v>
      </c>
      <c r="ITK23" s="30">
        <f t="shared" si="103"/>
        <v>243344</v>
      </c>
      <c r="ITL23" s="30">
        <f t="shared" si="103"/>
        <v>243374</v>
      </c>
      <c r="ITM23" s="30">
        <f t="shared" si="103"/>
        <v>243405</v>
      </c>
      <c r="ITN23" s="30">
        <f t="shared" si="103"/>
        <v>243435</v>
      </c>
      <c r="ITO23" s="30">
        <f t="shared" si="103"/>
        <v>243466</v>
      </c>
      <c r="ITP23" s="30">
        <f t="shared" si="103"/>
        <v>243497</v>
      </c>
      <c r="ITQ23" s="30">
        <f t="shared" si="103"/>
        <v>243527</v>
      </c>
      <c r="ITR23" s="30">
        <f t="shared" si="103"/>
        <v>243558</v>
      </c>
      <c r="ITS23" s="30">
        <f t="shared" si="103"/>
        <v>243588</v>
      </c>
      <c r="ITT23" s="30">
        <f t="shared" si="103"/>
        <v>243619</v>
      </c>
      <c r="ITU23" s="30">
        <f t="shared" si="103"/>
        <v>243650</v>
      </c>
      <c r="ITV23" s="30">
        <f t="shared" si="103"/>
        <v>243678</v>
      </c>
      <c r="ITW23" s="30">
        <f t="shared" si="103"/>
        <v>243709</v>
      </c>
      <c r="ITX23" s="30">
        <f t="shared" si="103"/>
        <v>243739</v>
      </c>
      <c r="ITY23" s="30">
        <f t="shared" si="103"/>
        <v>243770</v>
      </c>
      <c r="ITZ23" s="30">
        <f t="shared" si="103"/>
        <v>243800</v>
      </c>
      <c r="IUA23" s="30">
        <f t="shared" si="103"/>
        <v>243831</v>
      </c>
      <c r="IUB23" s="30">
        <f t="shared" si="103"/>
        <v>243862</v>
      </c>
      <c r="IUC23" s="30">
        <f t="shared" si="103"/>
        <v>243892</v>
      </c>
      <c r="IUD23" s="30">
        <f t="shared" si="103"/>
        <v>243923</v>
      </c>
      <c r="IUE23" s="30">
        <f t="shared" si="103"/>
        <v>243953</v>
      </c>
      <c r="IUF23" s="30">
        <f t="shared" si="103"/>
        <v>243984</v>
      </c>
      <c r="IUG23" s="30">
        <f t="shared" si="103"/>
        <v>244015</v>
      </c>
      <c r="IUH23" s="30">
        <f t="shared" si="103"/>
        <v>244044</v>
      </c>
      <c r="IUI23" s="30">
        <f t="shared" si="103"/>
        <v>244075</v>
      </c>
      <c r="IUJ23" s="30">
        <f t="shared" si="103"/>
        <v>244105</v>
      </c>
      <c r="IUK23" s="30">
        <f t="shared" si="103"/>
        <v>244136</v>
      </c>
      <c r="IUL23" s="30">
        <f t="shared" si="103"/>
        <v>244166</v>
      </c>
      <c r="IUM23" s="30">
        <f t="shared" si="103"/>
        <v>244197</v>
      </c>
      <c r="IUN23" s="30">
        <f t="shared" si="103"/>
        <v>244228</v>
      </c>
      <c r="IUO23" s="30">
        <f t="shared" si="103"/>
        <v>244258</v>
      </c>
      <c r="IUP23" s="30">
        <f t="shared" si="103"/>
        <v>244289</v>
      </c>
      <c r="IUQ23" s="30">
        <f t="shared" si="103"/>
        <v>244319</v>
      </c>
      <c r="IUR23" s="30">
        <f t="shared" si="103"/>
        <v>244350</v>
      </c>
      <c r="IUS23" s="30">
        <f t="shared" si="103"/>
        <v>244381</v>
      </c>
      <c r="IUT23" s="30">
        <f t="shared" si="103"/>
        <v>244409</v>
      </c>
      <c r="IUU23" s="30">
        <f t="shared" si="103"/>
        <v>244440</v>
      </c>
      <c r="IUV23" s="30">
        <f t="shared" si="103"/>
        <v>244470</v>
      </c>
      <c r="IUW23" s="30">
        <f t="shared" si="103"/>
        <v>244501</v>
      </c>
      <c r="IUX23" s="30">
        <f t="shared" si="103"/>
        <v>244531</v>
      </c>
      <c r="IUY23" s="30">
        <f t="shared" si="103"/>
        <v>244562</v>
      </c>
      <c r="IUZ23" s="30">
        <f t="shared" si="103"/>
        <v>244593</v>
      </c>
      <c r="IVA23" s="30">
        <f t="shared" si="103"/>
        <v>244623</v>
      </c>
      <c r="IVB23" s="30">
        <f t="shared" si="103"/>
        <v>244654</v>
      </c>
      <c r="IVC23" s="30">
        <f t="shared" si="103"/>
        <v>244684</v>
      </c>
      <c r="IVD23" s="30">
        <f t="shared" ref="IVD23:IXO23" si="104">EDATE(IVC23,1)</f>
        <v>244715</v>
      </c>
      <c r="IVE23" s="30">
        <f t="shared" si="104"/>
        <v>244746</v>
      </c>
      <c r="IVF23" s="30">
        <f t="shared" si="104"/>
        <v>244774</v>
      </c>
      <c r="IVG23" s="30">
        <f t="shared" si="104"/>
        <v>244805</v>
      </c>
      <c r="IVH23" s="30">
        <f t="shared" si="104"/>
        <v>244835</v>
      </c>
      <c r="IVI23" s="30">
        <f t="shared" si="104"/>
        <v>244866</v>
      </c>
      <c r="IVJ23" s="30">
        <f t="shared" si="104"/>
        <v>244896</v>
      </c>
      <c r="IVK23" s="30">
        <f t="shared" si="104"/>
        <v>244927</v>
      </c>
      <c r="IVL23" s="30">
        <f t="shared" si="104"/>
        <v>244958</v>
      </c>
      <c r="IVM23" s="30">
        <f t="shared" si="104"/>
        <v>244988</v>
      </c>
      <c r="IVN23" s="30">
        <f t="shared" si="104"/>
        <v>245019</v>
      </c>
      <c r="IVO23" s="30">
        <f t="shared" si="104"/>
        <v>245049</v>
      </c>
      <c r="IVP23" s="30">
        <f t="shared" si="104"/>
        <v>245080</v>
      </c>
      <c r="IVQ23" s="30">
        <f t="shared" si="104"/>
        <v>245111</v>
      </c>
      <c r="IVR23" s="30">
        <f t="shared" si="104"/>
        <v>245139</v>
      </c>
      <c r="IVS23" s="30">
        <f t="shared" si="104"/>
        <v>245170</v>
      </c>
      <c r="IVT23" s="30">
        <f t="shared" si="104"/>
        <v>245200</v>
      </c>
      <c r="IVU23" s="30">
        <f t="shared" si="104"/>
        <v>245231</v>
      </c>
      <c r="IVV23" s="30">
        <f t="shared" si="104"/>
        <v>245261</v>
      </c>
      <c r="IVW23" s="30">
        <f t="shared" si="104"/>
        <v>245292</v>
      </c>
      <c r="IVX23" s="30">
        <f t="shared" si="104"/>
        <v>245323</v>
      </c>
      <c r="IVY23" s="30">
        <f t="shared" si="104"/>
        <v>245353</v>
      </c>
      <c r="IVZ23" s="30">
        <f t="shared" si="104"/>
        <v>245384</v>
      </c>
      <c r="IWA23" s="30">
        <f t="shared" si="104"/>
        <v>245414</v>
      </c>
      <c r="IWB23" s="30">
        <f t="shared" si="104"/>
        <v>245445</v>
      </c>
      <c r="IWC23" s="30">
        <f t="shared" si="104"/>
        <v>245476</v>
      </c>
      <c r="IWD23" s="30">
        <f t="shared" si="104"/>
        <v>245505</v>
      </c>
      <c r="IWE23" s="30">
        <f t="shared" si="104"/>
        <v>245536</v>
      </c>
      <c r="IWF23" s="30">
        <f t="shared" si="104"/>
        <v>245566</v>
      </c>
      <c r="IWG23" s="30">
        <f t="shared" si="104"/>
        <v>245597</v>
      </c>
      <c r="IWH23" s="30">
        <f t="shared" si="104"/>
        <v>245627</v>
      </c>
      <c r="IWI23" s="30">
        <f t="shared" si="104"/>
        <v>245658</v>
      </c>
      <c r="IWJ23" s="30">
        <f t="shared" si="104"/>
        <v>245689</v>
      </c>
      <c r="IWK23" s="30">
        <f t="shared" si="104"/>
        <v>245719</v>
      </c>
      <c r="IWL23" s="30">
        <f t="shared" si="104"/>
        <v>245750</v>
      </c>
      <c r="IWM23" s="30">
        <f t="shared" si="104"/>
        <v>245780</v>
      </c>
      <c r="IWN23" s="30">
        <f t="shared" si="104"/>
        <v>245811</v>
      </c>
      <c r="IWO23" s="30">
        <f t="shared" si="104"/>
        <v>245842</v>
      </c>
      <c r="IWP23" s="30">
        <f t="shared" si="104"/>
        <v>245870</v>
      </c>
      <c r="IWQ23" s="30">
        <f t="shared" si="104"/>
        <v>245901</v>
      </c>
      <c r="IWR23" s="30">
        <f t="shared" si="104"/>
        <v>245931</v>
      </c>
      <c r="IWS23" s="30">
        <f t="shared" si="104"/>
        <v>245962</v>
      </c>
      <c r="IWT23" s="30">
        <f t="shared" si="104"/>
        <v>245992</v>
      </c>
      <c r="IWU23" s="30">
        <f t="shared" si="104"/>
        <v>246023</v>
      </c>
      <c r="IWV23" s="30">
        <f t="shared" si="104"/>
        <v>246054</v>
      </c>
      <c r="IWW23" s="30">
        <f t="shared" si="104"/>
        <v>246084</v>
      </c>
      <c r="IWX23" s="30">
        <f t="shared" si="104"/>
        <v>246115</v>
      </c>
      <c r="IWY23" s="30">
        <f t="shared" si="104"/>
        <v>246145</v>
      </c>
      <c r="IWZ23" s="30">
        <f t="shared" si="104"/>
        <v>246176</v>
      </c>
      <c r="IXA23" s="30">
        <f t="shared" si="104"/>
        <v>246207</v>
      </c>
      <c r="IXB23" s="30">
        <f t="shared" si="104"/>
        <v>246235</v>
      </c>
      <c r="IXC23" s="30">
        <f t="shared" si="104"/>
        <v>246266</v>
      </c>
      <c r="IXD23" s="30">
        <f t="shared" si="104"/>
        <v>246296</v>
      </c>
      <c r="IXE23" s="30">
        <f t="shared" si="104"/>
        <v>246327</v>
      </c>
      <c r="IXF23" s="30">
        <f t="shared" si="104"/>
        <v>246357</v>
      </c>
      <c r="IXG23" s="30">
        <f t="shared" si="104"/>
        <v>246388</v>
      </c>
      <c r="IXH23" s="30">
        <f t="shared" si="104"/>
        <v>246419</v>
      </c>
      <c r="IXI23" s="30">
        <f t="shared" si="104"/>
        <v>246449</v>
      </c>
      <c r="IXJ23" s="30">
        <f t="shared" si="104"/>
        <v>246480</v>
      </c>
      <c r="IXK23" s="30">
        <f t="shared" si="104"/>
        <v>246510</v>
      </c>
      <c r="IXL23" s="30">
        <f t="shared" si="104"/>
        <v>246541</v>
      </c>
      <c r="IXM23" s="30">
        <f t="shared" si="104"/>
        <v>246572</v>
      </c>
      <c r="IXN23" s="30">
        <f t="shared" si="104"/>
        <v>246600</v>
      </c>
      <c r="IXO23" s="30">
        <f t="shared" si="104"/>
        <v>246631</v>
      </c>
      <c r="IXP23" s="30">
        <f t="shared" ref="IXP23:JAA23" si="105">EDATE(IXO23,1)</f>
        <v>246661</v>
      </c>
      <c r="IXQ23" s="30">
        <f t="shared" si="105"/>
        <v>246692</v>
      </c>
      <c r="IXR23" s="30">
        <f t="shared" si="105"/>
        <v>246722</v>
      </c>
      <c r="IXS23" s="30">
        <f t="shared" si="105"/>
        <v>246753</v>
      </c>
      <c r="IXT23" s="30">
        <f t="shared" si="105"/>
        <v>246784</v>
      </c>
      <c r="IXU23" s="30">
        <f t="shared" si="105"/>
        <v>246814</v>
      </c>
      <c r="IXV23" s="30">
        <f t="shared" si="105"/>
        <v>246845</v>
      </c>
      <c r="IXW23" s="30">
        <f t="shared" si="105"/>
        <v>246875</v>
      </c>
      <c r="IXX23" s="30">
        <f t="shared" si="105"/>
        <v>246906</v>
      </c>
      <c r="IXY23" s="30">
        <f t="shared" si="105"/>
        <v>246937</v>
      </c>
      <c r="IXZ23" s="30">
        <f t="shared" si="105"/>
        <v>246966</v>
      </c>
      <c r="IYA23" s="30">
        <f t="shared" si="105"/>
        <v>246997</v>
      </c>
      <c r="IYB23" s="30">
        <f t="shared" si="105"/>
        <v>247027</v>
      </c>
      <c r="IYC23" s="30">
        <f t="shared" si="105"/>
        <v>247058</v>
      </c>
      <c r="IYD23" s="30">
        <f t="shared" si="105"/>
        <v>247088</v>
      </c>
      <c r="IYE23" s="30">
        <f t="shared" si="105"/>
        <v>247119</v>
      </c>
      <c r="IYF23" s="30">
        <f t="shared" si="105"/>
        <v>247150</v>
      </c>
      <c r="IYG23" s="30">
        <f t="shared" si="105"/>
        <v>247180</v>
      </c>
      <c r="IYH23" s="30">
        <f t="shared" si="105"/>
        <v>247211</v>
      </c>
      <c r="IYI23" s="30">
        <f t="shared" si="105"/>
        <v>247241</v>
      </c>
      <c r="IYJ23" s="30">
        <f t="shared" si="105"/>
        <v>247272</v>
      </c>
      <c r="IYK23" s="30">
        <f t="shared" si="105"/>
        <v>247303</v>
      </c>
      <c r="IYL23" s="30">
        <f t="shared" si="105"/>
        <v>247331</v>
      </c>
      <c r="IYM23" s="30">
        <f t="shared" si="105"/>
        <v>247362</v>
      </c>
      <c r="IYN23" s="30">
        <f t="shared" si="105"/>
        <v>247392</v>
      </c>
      <c r="IYO23" s="30">
        <f t="shared" si="105"/>
        <v>247423</v>
      </c>
      <c r="IYP23" s="30">
        <f t="shared" si="105"/>
        <v>247453</v>
      </c>
      <c r="IYQ23" s="30">
        <f t="shared" si="105"/>
        <v>247484</v>
      </c>
      <c r="IYR23" s="30">
        <f t="shared" si="105"/>
        <v>247515</v>
      </c>
      <c r="IYS23" s="30">
        <f t="shared" si="105"/>
        <v>247545</v>
      </c>
      <c r="IYT23" s="30">
        <f t="shared" si="105"/>
        <v>247576</v>
      </c>
      <c r="IYU23" s="30">
        <f t="shared" si="105"/>
        <v>247606</v>
      </c>
      <c r="IYV23" s="30">
        <f t="shared" si="105"/>
        <v>247637</v>
      </c>
      <c r="IYW23" s="30">
        <f t="shared" si="105"/>
        <v>247668</v>
      </c>
      <c r="IYX23" s="30">
        <f t="shared" si="105"/>
        <v>247696</v>
      </c>
      <c r="IYY23" s="30">
        <f t="shared" si="105"/>
        <v>247727</v>
      </c>
      <c r="IYZ23" s="30">
        <f t="shared" si="105"/>
        <v>247757</v>
      </c>
      <c r="IZA23" s="30">
        <f t="shared" si="105"/>
        <v>247788</v>
      </c>
      <c r="IZB23" s="30">
        <f t="shared" si="105"/>
        <v>247818</v>
      </c>
      <c r="IZC23" s="30">
        <f t="shared" si="105"/>
        <v>247849</v>
      </c>
      <c r="IZD23" s="30">
        <f t="shared" si="105"/>
        <v>247880</v>
      </c>
      <c r="IZE23" s="30">
        <f t="shared" si="105"/>
        <v>247910</v>
      </c>
      <c r="IZF23" s="30">
        <f t="shared" si="105"/>
        <v>247941</v>
      </c>
      <c r="IZG23" s="30">
        <f t="shared" si="105"/>
        <v>247971</v>
      </c>
      <c r="IZH23" s="30">
        <f t="shared" si="105"/>
        <v>248002</v>
      </c>
      <c r="IZI23" s="30">
        <f t="shared" si="105"/>
        <v>248033</v>
      </c>
      <c r="IZJ23" s="30">
        <f t="shared" si="105"/>
        <v>248061</v>
      </c>
      <c r="IZK23" s="30">
        <f t="shared" si="105"/>
        <v>248092</v>
      </c>
      <c r="IZL23" s="30">
        <f t="shared" si="105"/>
        <v>248122</v>
      </c>
      <c r="IZM23" s="30">
        <f t="shared" si="105"/>
        <v>248153</v>
      </c>
      <c r="IZN23" s="30">
        <f t="shared" si="105"/>
        <v>248183</v>
      </c>
      <c r="IZO23" s="30">
        <f t="shared" si="105"/>
        <v>248214</v>
      </c>
      <c r="IZP23" s="30">
        <f t="shared" si="105"/>
        <v>248245</v>
      </c>
      <c r="IZQ23" s="30">
        <f t="shared" si="105"/>
        <v>248275</v>
      </c>
      <c r="IZR23" s="30">
        <f t="shared" si="105"/>
        <v>248306</v>
      </c>
      <c r="IZS23" s="30">
        <f t="shared" si="105"/>
        <v>248336</v>
      </c>
      <c r="IZT23" s="30">
        <f t="shared" si="105"/>
        <v>248367</v>
      </c>
      <c r="IZU23" s="30">
        <f t="shared" si="105"/>
        <v>248398</v>
      </c>
      <c r="IZV23" s="30">
        <f t="shared" si="105"/>
        <v>248427</v>
      </c>
      <c r="IZW23" s="30">
        <f t="shared" si="105"/>
        <v>248458</v>
      </c>
      <c r="IZX23" s="30">
        <f t="shared" si="105"/>
        <v>248488</v>
      </c>
      <c r="IZY23" s="30">
        <f t="shared" si="105"/>
        <v>248519</v>
      </c>
      <c r="IZZ23" s="30">
        <f t="shared" si="105"/>
        <v>248549</v>
      </c>
      <c r="JAA23" s="30">
        <f t="shared" si="105"/>
        <v>248580</v>
      </c>
      <c r="JAB23" s="30">
        <f t="shared" ref="JAB23:JCM23" si="106">EDATE(JAA23,1)</f>
        <v>248611</v>
      </c>
      <c r="JAC23" s="30">
        <f t="shared" si="106"/>
        <v>248641</v>
      </c>
      <c r="JAD23" s="30">
        <f t="shared" si="106"/>
        <v>248672</v>
      </c>
      <c r="JAE23" s="30">
        <f t="shared" si="106"/>
        <v>248702</v>
      </c>
      <c r="JAF23" s="30">
        <f t="shared" si="106"/>
        <v>248733</v>
      </c>
      <c r="JAG23" s="30">
        <f t="shared" si="106"/>
        <v>248764</v>
      </c>
      <c r="JAH23" s="30">
        <f t="shared" si="106"/>
        <v>248792</v>
      </c>
      <c r="JAI23" s="30">
        <f t="shared" si="106"/>
        <v>248823</v>
      </c>
      <c r="JAJ23" s="30">
        <f t="shared" si="106"/>
        <v>248853</v>
      </c>
      <c r="JAK23" s="30">
        <f t="shared" si="106"/>
        <v>248884</v>
      </c>
      <c r="JAL23" s="30">
        <f t="shared" si="106"/>
        <v>248914</v>
      </c>
      <c r="JAM23" s="30">
        <f t="shared" si="106"/>
        <v>248945</v>
      </c>
      <c r="JAN23" s="30">
        <f t="shared" si="106"/>
        <v>248976</v>
      </c>
      <c r="JAO23" s="30">
        <f t="shared" si="106"/>
        <v>249006</v>
      </c>
      <c r="JAP23" s="30">
        <f t="shared" si="106"/>
        <v>249037</v>
      </c>
      <c r="JAQ23" s="30">
        <f t="shared" si="106"/>
        <v>249067</v>
      </c>
      <c r="JAR23" s="30">
        <f t="shared" si="106"/>
        <v>249098</v>
      </c>
      <c r="JAS23" s="30">
        <f t="shared" si="106"/>
        <v>249129</v>
      </c>
      <c r="JAT23" s="30">
        <f t="shared" si="106"/>
        <v>249157</v>
      </c>
      <c r="JAU23" s="30">
        <f t="shared" si="106"/>
        <v>249188</v>
      </c>
      <c r="JAV23" s="30">
        <f t="shared" si="106"/>
        <v>249218</v>
      </c>
      <c r="JAW23" s="30">
        <f t="shared" si="106"/>
        <v>249249</v>
      </c>
      <c r="JAX23" s="30">
        <f t="shared" si="106"/>
        <v>249279</v>
      </c>
      <c r="JAY23" s="30">
        <f t="shared" si="106"/>
        <v>249310</v>
      </c>
      <c r="JAZ23" s="30">
        <f t="shared" si="106"/>
        <v>249341</v>
      </c>
      <c r="JBA23" s="30">
        <f t="shared" si="106"/>
        <v>249371</v>
      </c>
      <c r="JBB23" s="30">
        <f t="shared" si="106"/>
        <v>249402</v>
      </c>
      <c r="JBC23" s="30">
        <f t="shared" si="106"/>
        <v>249432</v>
      </c>
      <c r="JBD23" s="30">
        <f t="shared" si="106"/>
        <v>249463</v>
      </c>
      <c r="JBE23" s="30">
        <f t="shared" si="106"/>
        <v>249494</v>
      </c>
      <c r="JBF23" s="30">
        <f t="shared" si="106"/>
        <v>249522</v>
      </c>
      <c r="JBG23" s="30">
        <f t="shared" si="106"/>
        <v>249553</v>
      </c>
      <c r="JBH23" s="30">
        <f t="shared" si="106"/>
        <v>249583</v>
      </c>
      <c r="JBI23" s="30">
        <f t="shared" si="106"/>
        <v>249614</v>
      </c>
      <c r="JBJ23" s="30">
        <f t="shared" si="106"/>
        <v>249644</v>
      </c>
      <c r="JBK23" s="30">
        <f t="shared" si="106"/>
        <v>249675</v>
      </c>
      <c r="JBL23" s="30">
        <f t="shared" si="106"/>
        <v>249706</v>
      </c>
      <c r="JBM23" s="30">
        <f t="shared" si="106"/>
        <v>249736</v>
      </c>
      <c r="JBN23" s="30">
        <f t="shared" si="106"/>
        <v>249767</v>
      </c>
      <c r="JBO23" s="30">
        <f t="shared" si="106"/>
        <v>249797</v>
      </c>
      <c r="JBP23" s="30">
        <f t="shared" si="106"/>
        <v>249828</v>
      </c>
      <c r="JBQ23" s="30">
        <f t="shared" si="106"/>
        <v>249859</v>
      </c>
      <c r="JBR23" s="30">
        <f t="shared" si="106"/>
        <v>249888</v>
      </c>
      <c r="JBS23" s="30">
        <f t="shared" si="106"/>
        <v>249919</v>
      </c>
      <c r="JBT23" s="30">
        <f t="shared" si="106"/>
        <v>249949</v>
      </c>
      <c r="JBU23" s="30">
        <f t="shared" si="106"/>
        <v>249980</v>
      </c>
      <c r="JBV23" s="30">
        <f t="shared" si="106"/>
        <v>250010</v>
      </c>
      <c r="JBW23" s="30">
        <f t="shared" si="106"/>
        <v>250041</v>
      </c>
      <c r="JBX23" s="30">
        <f t="shared" si="106"/>
        <v>250072</v>
      </c>
      <c r="JBY23" s="30">
        <f t="shared" si="106"/>
        <v>250102</v>
      </c>
      <c r="JBZ23" s="30">
        <f t="shared" si="106"/>
        <v>250133</v>
      </c>
      <c r="JCA23" s="30">
        <f t="shared" si="106"/>
        <v>250163</v>
      </c>
      <c r="JCB23" s="30">
        <f t="shared" si="106"/>
        <v>250194</v>
      </c>
      <c r="JCC23" s="30">
        <f t="shared" si="106"/>
        <v>250225</v>
      </c>
      <c r="JCD23" s="30">
        <f t="shared" si="106"/>
        <v>250253</v>
      </c>
      <c r="JCE23" s="30">
        <f t="shared" si="106"/>
        <v>250284</v>
      </c>
      <c r="JCF23" s="30">
        <f t="shared" si="106"/>
        <v>250314</v>
      </c>
      <c r="JCG23" s="30">
        <f t="shared" si="106"/>
        <v>250345</v>
      </c>
      <c r="JCH23" s="30">
        <f t="shared" si="106"/>
        <v>250375</v>
      </c>
      <c r="JCI23" s="30">
        <f t="shared" si="106"/>
        <v>250406</v>
      </c>
      <c r="JCJ23" s="30">
        <f t="shared" si="106"/>
        <v>250437</v>
      </c>
      <c r="JCK23" s="30">
        <f t="shared" si="106"/>
        <v>250467</v>
      </c>
      <c r="JCL23" s="30">
        <f t="shared" si="106"/>
        <v>250498</v>
      </c>
      <c r="JCM23" s="30">
        <f t="shared" si="106"/>
        <v>250528</v>
      </c>
      <c r="JCN23" s="30">
        <f t="shared" ref="JCN23:JEY23" si="107">EDATE(JCM23,1)</f>
        <v>250559</v>
      </c>
      <c r="JCO23" s="30">
        <f t="shared" si="107"/>
        <v>250590</v>
      </c>
      <c r="JCP23" s="30">
        <f t="shared" si="107"/>
        <v>250618</v>
      </c>
      <c r="JCQ23" s="30">
        <f t="shared" si="107"/>
        <v>250649</v>
      </c>
      <c r="JCR23" s="30">
        <f t="shared" si="107"/>
        <v>250679</v>
      </c>
      <c r="JCS23" s="30">
        <f t="shared" si="107"/>
        <v>250710</v>
      </c>
      <c r="JCT23" s="30">
        <f t="shared" si="107"/>
        <v>250740</v>
      </c>
      <c r="JCU23" s="30">
        <f t="shared" si="107"/>
        <v>250771</v>
      </c>
      <c r="JCV23" s="30">
        <f t="shared" si="107"/>
        <v>250802</v>
      </c>
      <c r="JCW23" s="30">
        <f t="shared" si="107"/>
        <v>250832</v>
      </c>
      <c r="JCX23" s="30">
        <f t="shared" si="107"/>
        <v>250863</v>
      </c>
      <c r="JCY23" s="30">
        <f t="shared" si="107"/>
        <v>250893</v>
      </c>
      <c r="JCZ23" s="30">
        <f t="shared" si="107"/>
        <v>250924</v>
      </c>
      <c r="JDA23" s="30">
        <f t="shared" si="107"/>
        <v>250955</v>
      </c>
      <c r="JDB23" s="30">
        <f t="shared" si="107"/>
        <v>250983</v>
      </c>
      <c r="JDC23" s="30">
        <f t="shared" si="107"/>
        <v>251014</v>
      </c>
      <c r="JDD23" s="30">
        <f t="shared" si="107"/>
        <v>251044</v>
      </c>
      <c r="JDE23" s="30">
        <f t="shared" si="107"/>
        <v>251075</v>
      </c>
      <c r="JDF23" s="30">
        <f t="shared" si="107"/>
        <v>251105</v>
      </c>
      <c r="JDG23" s="30">
        <f t="shared" si="107"/>
        <v>251136</v>
      </c>
      <c r="JDH23" s="30">
        <f t="shared" si="107"/>
        <v>251167</v>
      </c>
      <c r="JDI23" s="30">
        <f t="shared" si="107"/>
        <v>251197</v>
      </c>
      <c r="JDJ23" s="30">
        <f t="shared" si="107"/>
        <v>251228</v>
      </c>
      <c r="JDK23" s="30">
        <f t="shared" si="107"/>
        <v>251258</v>
      </c>
      <c r="JDL23" s="30">
        <f t="shared" si="107"/>
        <v>251289</v>
      </c>
      <c r="JDM23" s="30">
        <f t="shared" si="107"/>
        <v>251320</v>
      </c>
      <c r="JDN23" s="30">
        <f t="shared" si="107"/>
        <v>251349</v>
      </c>
      <c r="JDO23" s="30">
        <f t="shared" si="107"/>
        <v>251380</v>
      </c>
      <c r="JDP23" s="30">
        <f t="shared" si="107"/>
        <v>251410</v>
      </c>
      <c r="JDQ23" s="30">
        <f t="shared" si="107"/>
        <v>251441</v>
      </c>
      <c r="JDR23" s="30">
        <f t="shared" si="107"/>
        <v>251471</v>
      </c>
      <c r="JDS23" s="30">
        <f t="shared" si="107"/>
        <v>251502</v>
      </c>
      <c r="JDT23" s="30">
        <f t="shared" si="107"/>
        <v>251533</v>
      </c>
      <c r="JDU23" s="30">
        <f t="shared" si="107"/>
        <v>251563</v>
      </c>
      <c r="JDV23" s="30">
        <f t="shared" si="107"/>
        <v>251594</v>
      </c>
      <c r="JDW23" s="30">
        <f t="shared" si="107"/>
        <v>251624</v>
      </c>
      <c r="JDX23" s="30">
        <f t="shared" si="107"/>
        <v>251655</v>
      </c>
      <c r="JDY23" s="30">
        <f t="shared" si="107"/>
        <v>251686</v>
      </c>
      <c r="JDZ23" s="30">
        <f t="shared" si="107"/>
        <v>251714</v>
      </c>
      <c r="JEA23" s="30">
        <f t="shared" si="107"/>
        <v>251745</v>
      </c>
      <c r="JEB23" s="30">
        <f t="shared" si="107"/>
        <v>251775</v>
      </c>
      <c r="JEC23" s="30">
        <f t="shared" si="107"/>
        <v>251806</v>
      </c>
      <c r="JED23" s="30">
        <f t="shared" si="107"/>
        <v>251836</v>
      </c>
      <c r="JEE23" s="30">
        <f t="shared" si="107"/>
        <v>251867</v>
      </c>
      <c r="JEF23" s="30">
        <f t="shared" si="107"/>
        <v>251898</v>
      </c>
      <c r="JEG23" s="30">
        <f t="shared" si="107"/>
        <v>251928</v>
      </c>
      <c r="JEH23" s="30">
        <f t="shared" si="107"/>
        <v>251959</v>
      </c>
      <c r="JEI23" s="30">
        <f t="shared" si="107"/>
        <v>251989</v>
      </c>
      <c r="JEJ23" s="30">
        <f t="shared" si="107"/>
        <v>252020</v>
      </c>
      <c r="JEK23" s="30">
        <f t="shared" si="107"/>
        <v>252051</v>
      </c>
      <c r="JEL23" s="30">
        <f t="shared" si="107"/>
        <v>252079</v>
      </c>
      <c r="JEM23" s="30">
        <f t="shared" si="107"/>
        <v>252110</v>
      </c>
      <c r="JEN23" s="30">
        <f t="shared" si="107"/>
        <v>252140</v>
      </c>
      <c r="JEO23" s="30">
        <f t="shared" si="107"/>
        <v>252171</v>
      </c>
      <c r="JEP23" s="30">
        <f t="shared" si="107"/>
        <v>252201</v>
      </c>
      <c r="JEQ23" s="30">
        <f t="shared" si="107"/>
        <v>252232</v>
      </c>
      <c r="JER23" s="30">
        <f t="shared" si="107"/>
        <v>252263</v>
      </c>
      <c r="JES23" s="30">
        <f t="shared" si="107"/>
        <v>252293</v>
      </c>
      <c r="JET23" s="30">
        <f t="shared" si="107"/>
        <v>252324</v>
      </c>
      <c r="JEU23" s="30">
        <f t="shared" si="107"/>
        <v>252354</v>
      </c>
      <c r="JEV23" s="30">
        <f t="shared" si="107"/>
        <v>252385</v>
      </c>
      <c r="JEW23" s="30">
        <f t="shared" si="107"/>
        <v>252416</v>
      </c>
      <c r="JEX23" s="30">
        <f t="shared" si="107"/>
        <v>252444</v>
      </c>
      <c r="JEY23" s="30">
        <f t="shared" si="107"/>
        <v>252475</v>
      </c>
      <c r="JEZ23" s="30">
        <f t="shared" ref="JEZ23:JHK23" si="108">EDATE(JEY23,1)</f>
        <v>252505</v>
      </c>
      <c r="JFA23" s="30">
        <f t="shared" si="108"/>
        <v>252536</v>
      </c>
      <c r="JFB23" s="30">
        <f t="shared" si="108"/>
        <v>252566</v>
      </c>
      <c r="JFC23" s="30">
        <f t="shared" si="108"/>
        <v>252597</v>
      </c>
      <c r="JFD23" s="30">
        <f t="shared" si="108"/>
        <v>252628</v>
      </c>
      <c r="JFE23" s="30">
        <f t="shared" si="108"/>
        <v>252658</v>
      </c>
      <c r="JFF23" s="30">
        <f t="shared" si="108"/>
        <v>252689</v>
      </c>
      <c r="JFG23" s="30">
        <f t="shared" si="108"/>
        <v>252719</v>
      </c>
      <c r="JFH23" s="30">
        <f t="shared" si="108"/>
        <v>252750</v>
      </c>
      <c r="JFI23" s="30">
        <f t="shared" si="108"/>
        <v>252781</v>
      </c>
      <c r="JFJ23" s="30">
        <f t="shared" si="108"/>
        <v>252810</v>
      </c>
      <c r="JFK23" s="30">
        <f t="shared" si="108"/>
        <v>252841</v>
      </c>
      <c r="JFL23" s="30">
        <f t="shared" si="108"/>
        <v>252871</v>
      </c>
      <c r="JFM23" s="30">
        <f t="shared" si="108"/>
        <v>252902</v>
      </c>
      <c r="JFN23" s="30">
        <f t="shared" si="108"/>
        <v>252932</v>
      </c>
      <c r="JFO23" s="30">
        <f t="shared" si="108"/>
        <v>252963</v>
      </c>
      <c r="JFP23" s="30">
        <f t="shared" si="108"/>
        <v>252994</v>
      </c>
      <c r="JFQ23" s="30">
        <f t="shared" si="108"/>
        <v>253024</v>
      </c>
      <c r="JFR23" s="30">
        <f t="shared" si="108"/>
        <v>253055</v>
      </c>
      <c r="JFS23" s="30">
        <f t="shared" si="108"/>
        <v>253085</v>
      </c>
      <c r="JFT23" s="30">
        <f t="shared" si="108"/>
        <v>253116</v>
      </c>
      <c r="JFU23" s="30">
        <f t="shared" si="108"/>
        <v>253147</v>
      </c>
      <c r="JFV23" s="30">
        <f t="shared" si="108"/>
        <v>253175</v>
      </c>
      <c r="JFW23" s="30">
        <f t="shared" si="108"/>
        <v>253206</v>
      </c>
      <c r="JFX23" s="30">
        <f t="shared" si="108"/>
        <v>253236</v>
      </c>
      <c r="JFY23" s="30">
        <f t="shared" si="108"/>
        <v>253267</v>
      </c>
      <c r="JFZ23" s="30">
        <f t="shared" si="108"/>
        <v>253297</v>
      </c>
      <c r="JGA23" s="30">
        <f t="shared" si="108"/>
        <v>253328</v>
      </c>
      <c r="JGB23" s="30">
        <f t="shared" si="108"/>
        <v>253359</v>
      </c>
      <c r="JGC23" s="30">
        <f t="shared" si="108"/>
        <v>253389</v>
      </c>
      <c r="JGD23" s="30">
        <f t="shared" si="108"/>
        <v>253420</v>
      </c>
      <c r="JGE23" s="30">
        <f t="shared" si="108"/>
        <v>253450</v>
      </c>
      <c r="JGF23" s="30">
        <f t="shared" si="108"/>
        <v>253481</v>
      </c>
      <c r="JGG23" s="30">
        <f t="shared" si="108"/>
        <v>253512</v>
      </c>
      <c r="JGH23" s="30">
        <f t="shared" si="108"/>
        <v>253540</v>
      </c>
      <c r="JGI23" s="30">
        <f t="shared" si="108"/>
        <v>253571</v>
      </c>
      <c r="JGJ23" s="30">
        <f t="shared" si="108"/>
        <v>253601</v>
      </c>
      <c r="JGK23" s="30">
        <f t="shared" si="108"/>
        <v>253632</v>
      </c>
      <c r="JGL23" s="30">
        <f t="shared" si="108"/>
        <v>253662</v>
      </c>
      <c r="JGM23" s="30">
        <f t="shared" si="108"/>
        <v>253693</v>
      </c>
      <c r="JGN23" s="30">
        <f t="shared" si="108"/>
        <v>253724</v>
      </c>
      <c r="JGO23" s="30">
        <f t="shared" si="108"/>
        <v>253754</v>
      </c>
      <c r="JGP23" s="30">
        <f t="shared" si="108"/>
        <v>253785</v>
      </c>
      <c r="JGQ23" s="30">
        <f t="shared" si="108"/>
        <v>253815</v>
      </c>
      <c r="JGR23" s="30">
        <f t="shared" si="108"/>
        <v>253846</v>
      </c>
      <c r="JGS23" s="30">
        <f t="shared" si="108"/>
        <v>253877</v>
      </c>
      <c r="JGT23" s="30">
        <f t="shared" si="108"/>
        <v>253905</v>
      </c>
      <c r="JGU23" s="30">
        <f t="shared" si="108"/>
        <v>253936</v>
      </c>
      <c r="JGV23" s="30">
        <f t="shared" si="108"/>
        <v>253966</v>
      </c>
      <c r="JGW23" s="30">
        <f t="shared" si="108"/>
        <v>253997</v>
      </c>
      <c r="JGX23" s="30">
        <f t="shared" si="108"/>
        <v>254027</v>
      </c>
      <c r="JGY23" s="30">
        <f t="shared" si="108"/>
        <v>254058</v>
      </c>
      <c r="JGZ23" s="30">
        <f t="shared" si="108"/>
        <v>254089</v>
      </c>
      <c r="JHA23" s="30">
        <f t="shared" si="108"/>
        <v>254119</v>
      </c>
      <c r="JHB23" s="30">
        <f t="shared" si="108"/>
        <v>254150</v>
      </c>
      <c r="JHC23" s="30">
        <f t="shared" si="108"/>
        <v>254180</v>
      </c>
      <c r="JHD23" s="30">
        <f t="shared" si="108"/>
        <v>254211</v>
      </c>
      <c r="JHE23" s="30">
        <f t="shared" si="108"/>
        <v>254242</v>
      </c>
      <c r="JHF23" s="30">
        <f t="shared" si="108"/>
        <v>254271</v>
      </c>
      <c r="JHG23" s="30">
        <f t="shared" si="108"/>
        <v>254302</v>
      </c>
      <c r="JHH23" s="30">
        <f t="shared" si="108"/>
        <v>254332</v>
      </c>
      <c r="JHI23" s="30">
        <f t="shared" si="108"/>
        <v>254363</v>
      </c>
      <c r="JHJ23" s="30">
        <f t="shared" si="108"/>
        <v>254393</v>
      </c>
      <c r="JHK23" s="30">
        <f t="shared" si="108"/>
        <v>254424</v>
      </c>
      <c r="JHL23" s="30">
        <f t="shared" ref="JHL23:JJW23" si="109">EDATE(JHK23,1)</f>
        <v>254455</v>
      </c>
      <c r="JHM23" s="30">
        <f t="shared" si="109"/>
        <v>254485</v>
      </c>
      <c r="JHN23" s="30">
        <f t="shared" si="109"/>
        <v>254516</v>
      </c>
      <c r="JHO23" s="30">
        <f t="shared" si="109"/>
        <v>254546</v>
      </c>
      <c r="JHP23" s="30">
        <f t="shared" si="109"/>
        <v>254577</v>
      </c>
      <c r="JHQ23" s="30">
        <f t="shared" si="109"/>
        <v>254608</v>
      </c>
      <c r="JHR23" s="30">
        <f t="shared" si="109"/>
        <v>254636</v>
      </c>
      <c r="JHS23" s="30">
        <f t="shared" si="109"/>
        <v>254667</v>
      </c>
      <c r="JHT23" s="30">
        <f t="shared" si="109"/>
        <v>254697</v>
      </c>
      <c r="JHU23" s="30">
        <f t="shared" si="109"/>
        <v>254728</v>
      </c>
      <c r="JHV23" s="30">
        <f t="shared" si="109"/>
        <v>254758</v>
      </c>
      <c r="JHW23" s="30">
        <f t="shared" si="109"/>
        <v>254789</v>
      </c>
      <c r="JHX23" s="30">
        <f t="shared" si="109"/>
        <v>254820</v>
      </c>
      <c r="JHY23" s="30">
        <f t="shared" si="109"/>
        <v>254850</v>
      </c>
      <c r="JHZ23" s="30">
        <f t="shared" si="109"/>
        <v>254881</v>
      </c>
      <c r="JIA23" s="30">
        <f t="shared" si="109"/>
        <v>254911</v>
      </c>
      <c r="JIB23" s="30">
        <f t="shared" si="109"/>
        <v>254942</v>
      </c>
      <c r="JIC23" s="30">
        <f t="shared" si="109"/>
        <v>254973</v>
      </c>
      <c r="JID23" s="30">
        <f t="shared" si="109"/>
        <v>255001</v>
      </c>
      <c r="JIE23" s="30">
        <f t="shared" si="109"/>
        <v>255032</v>
      </c>
      <c r="JIF23" s="30">
        <f t="shared" si="109"/>
        <v>255062</v>
      </c>
      <c r="JIG23" s="30">
        <f t="shared" si="109"/>
        <v>255093</v>
      </c>
      <c r="JIH23" s="30">
        <f t="shared" si="109"/>
        <v>255123</v>
      </c>
      <c r="JII23" s="30">
        <f t="shared" si="109"/>
        <v>255154</v>
      </c>
      <c r="JIJ23" s="30">
        <f t="shared" si="109"/>
        <v>255185</v>
      </c>
      <c r="JIK23" s="30">
        <f t="shared" si="109"/>
        <v>255215</v>
      </c>
      <c r="JIL23" s="30">
        <f t="shared" si="109"/>
        <v>255246</v>
      </c>
      <c r="JIM23" s="30">
        <f t="shared" si="109"/>
        <v>255276</v>
      </c>
      <c r="JIN23" s="30">
        <f t="shared" si="109"/>
        <v>255307</v>
      </c>
      <c r="JIO23" s="30">
        <f t="shared" si="109"/>
        <v>255338</v>
      </c>
      <c r="JIP23" s="30">
        <f t="shared" si="109"/>
        <v>255366</v>
      </c>
      <c r="JIQ23" s="30">
        <f t="shared" si="109"/>
        <v>255397</v>
      </c>
      <c r="JIR23" s="30">
        <f t="shared" si="109"/>
        <v>255427</v>
      </c>
      <c r="JIS23" s="30">
        <f t="shared" si="109"/>
        <v>255458</v>
      </c>
      <c r="JIT23" s="30">
        <f t="shared" si="109"/>
        <v>255488</v>
      </c>
      <c r="JIU23" s="30">
        <f t="shared" si="109"/>
        <v>255519</v>
      </c>
      <c r="JIV23" s="30">
        <f t="shared" si="109"/>
        <v>255550</v>
      </c>
      <c r="JIW23" s="30">
        <f t="shared" si="109"/>
        <v>255580</v>
      </c>
      <c r="JIX23" s="30">
        <f t="shared" si="109"/>
        <v>255611</v>
      </c>
      <c r="JIY23" s="30">
        <f t="shared" si="109"/>
        <v>255641</v>
      </c>
      <c r="JIZ23" s="30">
        <f t="shared" si="109"/>
        <v>255672</v>
      </c>
      <c r="JJA23" s="30">
        <f t="shared" si="109"/>
        <v>255703</v>
      </c>
      <c r="JJB23" s="30">
        <f t="shared" si="109"/>
        <v>255731</v>
      </c>
      <c r="JJC23" s="30">
        <f t="shared" si="109"/>
        <v>255762</v>
      </c>
      <c r="JJD23" s="30">
        <f t="shared" si="109"/>
        <v>255792</v>
      </c>
      <c r="JJE23" s="30">
        <f t="shared" si="109"/>
        <v>255823</v>
      </c>
      <c r="JJF23" s="30">
        <f t="shared" si="109"/>
        <v>255853</v>
      </c>
      <c r="JJG23" s="30">
        <f t="shared" si="109"/>
        <v>255884</v>
      </c>
      <c r="JJH23" s="30">
        <f t="shared" si="109"/>
        <v>255915</v>
      </c>
      <c r="JJI23" s="30">
        <f t="shared" si="109"/>
        <v>255945</v>
      </c>
      <c r="JJJ23" s="30">
        <f t="shared" si="109"/>
        <v>255976</v>
      </c>
      <c r="JJK23" s="30">
        <f t="shared" si="109"/>
        <v>256006</v>
      </c>
      <c r="JJL23" s="30">
        <f t="shared" si="109"/>
        <v>256037</v>
      </c>
      <c r="JJM23" s="30">
        <f t="shared" si="109"/>
        <v>256068</v>
      </c>
      <c r="JJN23" s="30">
        <f t="shared" si="109"/>
        <v>256096</v>
      </c>
      <c r="JJO23" s="30">
        <f t="shared" si="109"/>
        <v>256127</v>
      </c>
      <c r="JJP23" s="30">
        <f t="shared" si="109"/>
        <v>256157</v>
      </c>
      <c r="JJQ23" s="30">
        <f t="shared" si="109"/>
        <v>256188</v>
      </c>
      <c r="JJR23" s="30">
        <f t="shared" si="109"/>
        <v>256218</v>
      </c>
      <c r="JJS23" s="30">
        <f t="shared" si="109"/>
        <v>256249</v>
      </c>
      <c r="JJT23" s="30">
        <f t="shared" si="109"/>
        <v>256280</v>
      </c>
      <c r="JJU23" s="30">
        <f t="shared" si="109"/>
        <v>256310</v>
      </c>
      <c r="JJV23" s="30">
        <f t="shared" si="109"/>
        <v>256341</v>
      </c>
      <c r="JJW23" s="30">
        <f t="shared" si="109"/>
        <v>256371</v>
      </c>
      <c r="JJX23" s="30">
        <f t="shared" ref="JJX23:JMI23" si="110">EDATE(JJW23,1)</f>
        <v>256402</v>
      </c>
      <c r="JJY23" s="30">
        <f t="shared" si="110"/>
        <v>256433</v>
      </c>
      <c r="JJZ23" s="30">
        <f t="shared" si="110"/>
        <v>256461</v>
      </c>
      <c r="JKA23" s="30">
        <f t="shared" si="110"/>
        <v>256492</v>
      </c>
      <c r="JKB23" s="30">
        <f t="shared" si="110"/>
        <v>256522</v>
      </c>
      <c r="JKC23" s="30">
        <f t="shared" si="110"/>
        <v>256553</v>
      </c>
      <c r="JKD23" s="30">
        <f t="shared" si="110"/>
        <v>256583</v>
      </c>
      <c r="JKE23" s="30">
        <f t="shared" si="110"/>
        <v>256614</v>
      </c>
      <c r="JKF23" s="30">
        <f t="shared" si="110"/>
        <v>256645</v>
      </c>
      <c r="JKG23" s="30">
        <f t="shared" si="110"/>
        <v>256675</v>
      </c>
      <c r="JKH23" s="30">
        <f t="shared" si="110"/>
        <v>256706</v>
      </c>
      <c r="JKI23" s="30">
        <f t="shared" si="110"/>
        <v>256736</v>
      </c>
      <c r="JKJ23" s="30">
        <f t="shared" si="110"/>
        <v>256767</v>
      </c>
      <c r="JKK23" s="30">
        <f t="shared" si="110"/>
        <v>256798</v>
      </c>
      <c r="JKL23" s="30">
        <f t="shared" si="110"/>
        <v>256826</v>
      </c>
      <c r="JKM23" s="30">
        <f t="shared" si="110"/>
        <v>256857</v>
      </c>
      <c r="JKN23" s="30">
        <f t="shared" si="110"/>
        <v>256887</v>
      </c>
      <c r="JKO23" s="30">
        <f t="shared" si="110"/>
        <v>256918</v>
      </c>
      <c r="JKP23" s="30">
        <f t="shared" si="110"/>
        <v>256948</v>
      </c>
      <c r="JKQ23" s="30">
        <f t="shared" si="110"/>
        <v>256979</v>
      </c>
      <c r="JKR23" s="30">
        <f t="shared" si="110"/>
        <v>257010</v>
      </c>
      <c r="JKS23" s="30">
        <f t="shared" si="110"/>
        <v>257040</v>
      </c>
      <c r="JKT23" s="30">
        <f t="shared" si="110"/>
        <v>257071</v>
      </c>
      <c r="JKU23" s="30">
        <f t="shared" si="110"/>
        <v>257101</v>
      </c>
      <c r="JKV23" s="30">
        <f t="shared" si="110"/>
        <v>257132</v>
      </c>
      <c r="JKW23" s="30">
        <f t="shared" si="110"/>
        <v>257163</v>
      </c>
      <c r="JKX23" s="30">
        <f t="shared" si="110"/>
        <v>257192</v>
      </c>
      <c r="JKY23" s="30">
        <f t="shared" si="110"/>
        <v>257223</v>
      </c>
      <c r="JKZ23" s="30">
        <f t="shared" si="110"/>
        <v>257253</v>
      </c>
      <c r="JLA23" s="30">
        <f t="shared" si="110"/>
        <v>257284</v>
      </c>
      <c r="JLB23" s="30">
        <f t="shared" si="110"/>
        <v>257314</v>
      </c>
      <c r="JLC23" s="30">
        <f t="shared" si="110"/>
        <v>257345</v>
      </c>
      <c r="JLD23" s="30">
        <f t="shared" si="110"/>
        <v>257376</v>
      </c>
      <c r="JLE23" s="30">
        <f t="shared" si="110"/>
        <v>257406</v>
      </c>
      <c r="JLF23" s="30">
        <f t="shared" si="110"/>
        <v>257437</v>
      </c>
      <c r="JLG23" s="30">
        <f t="shared" si="110"/>
        <v>257467</v>
      </c>
      <c r="JLH23" s="30">
        <f t="shared" si="110"/>
        <v>257498</v>
      </c>
      <c r="JLI23" s="30">
        <f t="shared" si="110"/>
        <v>257529</v>
      </c>
      <c r="JLJ23" s="30">
        <f t="shared" si="110"/>
        <v>257557</v>
      </c>
      <c r="JLK23" s="30">
        <f t="shared" si="110"/>
        <v>257588</v>
      </c>
      <c r="JLL23" s="30">
        <f t="shared" si="110"/>
        <v>257618</v>
      </c>
      <c r="JLM23" s="30">
        <f t="shared" si="110"/>
        <v>257649</v>
      </c>
      <c r="JLN23" s="30">
        <f t="shared" si="110"/>
        <v>257679</v>
      </c>
      <c r="JLO23" s="30">
        <f t="shared" si="110"/>
        <v>257710</v>
      </c>
      <c r="JLP23" s="30">
        <f t="shared" si="110"/>
        <v>257741</v>
      </c>
      <c r="JLQ23" s="30">
        <f t="shared" si="110"/>
        <v>257771</v>
      </c>
      <c r="JLR23" s="30">
        <f t="shared" si="110"/>
        <v>257802</v>
      </c>
      <c r="JLS23" s="30">
        <f t="shared" si="110"/>
        <v>257832</v>
      </c>
      <c r="JLT23" s="30">
        <f t="shared" si="110"/>
        <v>257863</v>
      </c>
      <c r="JLU23" s="30">
        <f t="shared" si="110"/>
        <v>257894</v>
      </c>
      <c r="JLV23" s="30">
        <f t="shared" si="110"/>
        <v>257922</v>
      </c>
      <c r="JLW23" s="30">
        <f t="shared" si="110"/>
        <v>257953</v>
      </c>
      <c r="JLX23" s="30">
        <f t="shared" si="110"/>
        <v>257983</v>
      </c>
      <c r="JLY23" s="30">
        <f t="shared" si="110"/>
        <v>258014</v>
      </c>
      <c r="JLZ23" s="30">
        <f t="shared" si="110"/>
        <v>258044</v>
      </c>
      <c r="JMA23" s="30">
        <f t="shared" si="110"/>
        <v>258075</v>
      </c>
      <c r="JMB23" s="30">
        <f t="shared" si="110"/>
        <v>258106</v>
      </c>
      <c r="JMC23" s="30">
        <f t="shared" si="110"/>
        <v>258136</v>
      </c>
      <c r="JMD23" s="30">
        <f t="shared" si="110"/>
        <v>258167</v>
      </c>
      <c r="JME23" s="30">
        <f t="shared" si="110"/>
        <v>258197</v>
      </c>
      <c r="JMF23" s="30">
        <f t="shared" si="110"/>
        <v>258228</v>
      </c>
      <c r="JMG23" s="30">
        <f t="shared" si="110"/>
        <v>258259</v>
      </c>
      <c r="JMH23" s="30">
        <f t="shared" si="110"/>
        <v>258287</v>
      </c>
      <c r="JMI23" s="30">
        <f t="shared" si="110"/>
        <v>258318</v>
      </c>
      <c r="JMJ23" s="30">
        <f t="shared" ref="JMJ23:JOU23" si="111">EDATE(JMI23,1)</f>
        <v>258348</v>
      </c>
      <c r="JMK23" s="30">
        <f t="shared" si="111"/>
        <v>258379</v>
      </c>
      <c r="JML23" s="30">
        <f t="shared" si="111"/>
        <v>258409</v>
      </c>
      <c r="JMM23" s="30">
        <f t="shared" si="111"/>
        <v>258440</v>
      </c>
      <c r="JMN23" s="30">
        <f t="shared" si="111"/>
        <v>258471</v>
      </c>
      <c r="JMO23" s="30">
        <f t="shared" si="111"/>
        <v>258501</v>
      </c>
      <c r="JMP23" s="30">
        <f t="shared" si="111"/>
        <v>258532</v>
      </c>
      <c r="JMQ23" s="30">
        <f t="shared" si="111"/>
        <v>258562</v>
      </c>
      <c r="JMR23" s="30">
        <f t="shared" si="111"/>
        <v>258593</v>
      </c>
      <c r="JMS23" s="30">
        <f t="shared" si="111"/>
        <v>258624</v>
      </c>
      <c r="JMT23" s="30">
        <f t="shared" si="111"/>
        <v>258653</v>
      </c>
      <c r="JMU23" s="30">
        <f t="shared" si="111"/>
        <v>258684</v>
      </c>
      <c r="JMV23" s="30">
        <f t="shared" si="111"/>
        <v>258714</v>
      </c>
      <c r="JMW23" s="30">
        <f t="shared" si="111"/>
        <v>258745</v>
      </c>
      <c r="JMX23" s="30">
        <f t="shared" si="111"/>
        <v>258775</v>
      </c>
      <c r="JMY23" s="30">
        <f t="shared" si="111"/>
        <v>258806</v>
      </c>
      <c r="JMZ23" s="30">
        <f t="shared" si="111"/>
        <v>258837</v>
      </c>
      <c r="JNA23" s="30">
        <f t="shared" si="111"/>
        <v>258867</v>
      </c>
      <c r="JNB23" s="30">
        <f t="shared" si="111"/>
        <v>258898</v>
      </c>
      <c r="JNC23" s="30">
        <f t="shared" si="111"/>
        <v>258928</v>
      </c>
      <c r="JND23" s="30">
        <f t="shared" si="111"/>
        <v>258959</v>
      </c>
      <c r="JNE23" s="30">
        <f t="shared" si="111"/>
        <v>258990</v>
      </c>
      <c r="JNF23" s="30">
        <f t="shared" si="111"/>
        <v>259018</v>
      </c>
      <c r="JNG23" s="30">
        <f t="shared" si="111"/>
        <v>259049</v>
      </c>
      <c r="JNH23" s="30">
        <f t="shared" si="111"/>
        <v>259079</v>
      </c>
      <c r="JNI23" s="30">
        <f t="shared" si="111"/>
        <v>259110</v>
      </c>
      <c r="JNJ23" s="30">
        <f t="shared" si="111"/>
        <v>259140</v>
      </c>
      <c r="JNK23" s="30">
        <f t="shared" si="111"/>
        <v>259171</v>
      </c>
      <c r="JNL23" s="30">
        <f t="shared" si="111"/>
        <v>259202</v>
      </c>
      <c r="JNM23" s="30">
        <f t="shared" si="111"/>
        <v>259232</v>
      </c>
      <c r="JNN23" s="30">
        <f t="shared" si="111"/>
        <v>259263</v>
      </c>
      <c r="JNO23" s="30">
        <f t="shared" si="111"/>
        <v>259293</v>
      </c>
      <c r="JNP23" s="30">
        <f t="shared" si="111"/>
        <v>259324</v>
      </c>
      <c r="JNQ23" s="30">
        <f t="shared" si="111"/>
        <v>259355</v>
      </c>
      <c r="JNR23" s="30">
        <f t="shared" si="111"/>
        <v>259383</v>
      </c>
      <c r="JNS23" s="30">
        <f t="shared" si="111"/>
        <v>259414</v>
      </c>
      <c r="JNT23" s="30">
        <f t="shared" si="111"/>
        <v>259444</v>
      </c>
      <c r="JNU23" s="30">
        <f t="shared" si="111"/>
        <v>259475</v>
      </c>
      <c r="JNV23" s="30">
        <f t="shared" si="111"/>
        <v>259505</v>
      </c>
      <c r="JNW23" s="30">
        <f t="shared" si="111"/>
        <v>259536</v>
      </c>
      <c r="JNX23" s="30">
        <f t="shared" si="111"/>
        <v>259567</v>
      </c>
      <c r="JNY23" s="30">
        <f t="shared" si="111"/>
        <v>259597</v>
      </c>
      <c r="JNZ23" s="30">
        <f t="shared" si="111"/>
        <v>259628</v>
      </c>
      <c r="JOA23" s="30">
        <f t="shared" si="111"/>
        <v>259658</v>
      </c>
      <c r="JOB23" s="30">
        <f t="shared" si="111"/>
        <v>259689</v>
      </c>
      <c r="JOC23" s="30">
        <f t="shared" si="111"/>
        <v>259720</v>
      </c>
      <c r="JOD23" s="30">
        <f t="shared" si="111"/>
        <v>259748</v>
      </c>
      <c r="JOE23" s="30">
        <f t="shared" si="111"/>
        <v>259779</v>
      </c>
      <c r="JOF23" s="30">
        <f t="shared" si="111"/>
        <v>259809</v>
      </c>
      <c r="JOG23" s="30">
        <f t="shared" si="111"/>
        <v>259840</v>
      </c>
      <c r="JOH23" s="30">
        <f t="shared" si="111"/>
        <v>259870</v>
      </c>
      <c r="JOI23" s="30">
        <f t="shared" si="111"/>
        <v>259901</v>
      </c>
      <c r="JOJ23" s="30">
        <f t="shared" si="111"/>
        <v>259932</v>
      </c>
      <c r="JOK23" s="30">
        <f t="shared" si="111"/>
        <v>259962</v>
      </c>
      <c r="JOL23" s="30">
        <f t="shared" si="111"/>
        <v>259993</v>
      </c>
      <c r="JOM23" s="30">
        <f t="shared" si="111"/>
        <v>260023</v>
      </c>
      <c r="JON23" s="30">
        <f t="shared" si="111"/>
        <v>260054</v>
      </c>
      <c r="JOO23" s="30">
        <f t="shared" si="111"/>
        <v>260085</v>
      </c>
      <c r="JOP23" s="30">
        <f t="shared" si="111"/>
        <v>260114</v>
      </c>
      <c r="JOQ23" s="30">
        <f t="shared" si="111"/>
        <v>260145</v>
      </c>
      <c r="JOR23" s="30">
        <f t="shared" si="111"/>
        <v>260175</v>
      </c>
      <c r="JOS23" s="30">
        <f t="shared" si="111"/>
        <v>260206</v>
      </c>
      <c r="JOT23" s="30">
        <f t="shared" si="111"/>
        <v>260236</v>
      </c>
      <c r="JOU23" s="30">
        <f t="shared" si="111"/>
        <v>260267</v>
      </c>
      <c r="JOV23" s="30">
        <f t="shared" ref="JOV23:JRG23" si="112">EDATE(JOU23,1)</f>
        <v>260298</v>
      </c>
      <c r="JOW23" s="30">
        <f t="shared" si="112"/>
        <v>260328</v>
      </c>
      <c r="JOX23" s="30">
        <f t="shared" si="112"/>
        <v>260359</v>
      </c>
      <c r="JOY23" s="30">
        <f t="shared" si="112"/>
        <v>260389</v>
      </c>
      <c r="JOZ23" s="30">
        <f t="shared" si="112"/>
        <v>260420</v>
      </c>
      <c r="JPA23" s="30">
        <f t="shared" si="112"/>
        <v>260451</v>
      </c>
      <c r="JPB23" s="30">
        <f t="shared" si="112"/>
        <v>260479</v>
      </c>
      <c r="JPC23" s="30">
        <f t="shared" si="112"/>
        <v>260510</v>
      </c>
      <c r="JPD23" s="30">
        <f t="shared" si="112"/>
        <v>260540</v>
      </c>
      <c r="JPE23" s="30">
        <f t="shared" si="112"/>
        <v>260571</v>
      </c>
      <c r="JPF23" s="30">
        <f t="shared" si="112"/>
        <v>260601</v>
      </c>
      <c r="JPG23" s="30">
        <f t="shared" si="112"/>
        <v>260632</v>
      </c>
      <c r="JPH23" s="30">
        <f t="shared" si="112"/>
        <v>260663</v>
      </c>
      <c r="JPI23" s="30">
        <f t="shared" si="112"/>
        <v>260693</v>
      </c>
      <c r="JPJ23" s="30">
        <f t="shared" si="112"/>
        <v>260724</v>
      </c>
      <c r="JPK23" s="30">
        <f t="shared" si="112"/>
        <v>260754</v>
      </c>
      <c r="JPL23" s="30">
        <f t="shared" si="112"/>
        <v>260785</v>
      </c>
      <c r="JPM23" s="30">
        <f t="shared" si="112"/>
        <v>260816</v>
      </c>
      <c r="JPN23" s="30">
        <f t="shared" si="112"/>
        <v>260844</v>
      </c>
      <c r="JPO23" s="30">
        <f t="shared" si="112"/>
        <v>260875</v>
      </c>
      <c r="JPP23" s="30">
        <f t="shared" si="112"/>
        <v>260905</v>
      </c>
      <c r="JPQ23" s="30">
        <f t="shared" si="112"/>
        <v>260936</v>
      </c>
      <c r="JPR23" s="30">
        <f t="shared" si="112"/>
        <v>260966</v>
      </c>
      <c r="JPS23" s="30">
        <f t="shared" si="112"/>
        <v>260997</v>
      </c>
      <c r="JPT23" s="30">
        <f t="shared" si="112"/>
        <v>261028</v>
      </c>
      <c r="JPU23" s="30">
        <f t="shared" si="112"/>
        <v>261058</v>
      </c>
      <c r="JPV23" s="30">
        <f t="shared" si="112"/>
        <v>261089</v>
      </c>
      <c r="JPW23" s="30">
        <f t="shared" si="112"/>
        <v>261119</v>
      </c>
      <c r="JPX23" s="30">
        <f t="shared" si="112"/>
        <v>261150</v>
      </c>
      <c r="JPY23" s="30">
        <f t="shared" si="112"/>
        <v>261181</v>
      </c>
      <c r="JPZ23" s="30">
        <f t="shared" si="112"/>
        <v>261209</v>
      </c>
      <c r="JQA23" s="30">
        <f t="shared" si="112"/>
        <v>261240</v>
      </c>
      <c r="JQB23" s="30">
        <f t="shared" si="112"/>
        <v>261270</v>
      </c>
      <c r="JQC23" s="30">
        <f t="shared" si="112"/>
        <v>261301</v>
      </c>
      <c r="JQD23" s="30">
        <f t="shared" si="112"/>
        <v>261331</v>
      </c>
      <c r="JQE23" s="30">
        <f t="shared" si="112"/>
        <v>261362</v>
      </c>
      <c r="JQF23" s="30">
        <f t="shared" si="112"/>
        <v>261393</v>
      </c>
      <c r="JQG23" s="30">
        <f t="shared" si="112"/>
        <v>261423</v>
      </c>
      <c r="JQH23" s="30">
        <f t="shared" si="112"/>
        <v>261454</v>
      </c>
      <c r="JQI23" s="30">
        <f t="shared" si="112"/>
        <v>261484</v>
      </c>
      <c r="JQJ23" s="30">
        <f t="shared" si="112"/>
        <v>261515</v>
      </c>
      <c r="JQK23" s="30">
        <f t="shared" si="112"/>
        <v>261546</v>
      </c>
      <c r="JQL23" s="30">
        <f t="shared" si="112"/>
        <v>261575</v>
      </c>
      <c r="JQM23" s="30">
        <f t="shared" si="112"/>
        <v>261606</v>
      </c>
      <c r="JQN23" s="30">
        <f t="shared" si="112"/>
        <v>261636</v>
      </c>
      <c r="JQO23" s="30">
        <f t="shared" si="112"/>
        <v>261667</v>
      </c>
      <c r="JQP23" s="30">
        <f t="shared" si="112"/>
        <v>261697</v>
      </c>
      <c r="JQQ23" s="30">
        <f t="shared" si="112"/>
        <v>261728</v>
      </c>
      <c r="JQR23" s="30">
        <f t="shared" si="112"/>
        <v>261759</v>
      </c>
      <c r="JQS23" s="30">
        <f t="shared" si="112"/>
        <v>261789</v>
      </c>
      <c r="JQT23" s="30">
        <f t="shared" si="112"/>
        <v>261820</v>
      </c>
      <c r="JQU23" s="30">
        <f t="shared" si="112"/>
        <v>261850</v>
      </c>
      <c r="JQV23" s="30">
        <f t="shared" si="112"/>
        <v>261881</v>
      </c>
      <c r="JQW23" s="30">
        <f t="shared" si="112"/>
        <v>261912</v>
      </c>
      <c r="JQX23" s="30">
        <f t="shared" si="112"/>
        <v>261940</v>
      </c>
      <c r="JQY23" s="30">
        <f t="shared" si="112"/>
        <v>261971</v>
      </c>
      <c r="JQZ23" s="30">
        <f t="shared" si="112"/>
        <v>262001</v>
      </c>
      <c r="JRA23" s="30">
        <f t="shared" si="112"/>
        <v>262032</v>
      </c>
      <c r="JRB23" s="30">
        <f t="shared" si="112"/>
        <v>262062</v>
      </c>
      <c r="JRC23" s="30">
        <f t="shared" si="112"/>
        <v>262093</v>
      </c>
      <c r="JRD23" s="30">
        <f t="shared" si="112"/>
        <v>262124</v>
      </c>
      <c r="JRE23" s="30">
        <f t="shared" si="112"/>
        <v>262154</v>
      </c>
      <c r="JRF23" s="30">
        <f t="shared" si="112"/>
        <v>262185</v>
      </c>
      <c r="JRG23" s="30">
        <f t="shared" si="112"/>
        <v>262215</v>
      </c>
      <c r="JRH23" s="30">
        <f t="shared" ref="JRH23:JTS23" si="113">EDATE(JRG23,1)</f>
        <v>262246</v>
      </c>
      <c r="JRI23" s="30">
        <f t="shared" si="113"/>
        <v>262277</v>
      </c>
      <c r="JRJ23" s="30">
        <f t="shared" si="113"/>
        <v>262305</v>
      </c>
      <c r="JRK23" s="30">
        <f t="shared" si="113"/>
        <v>262336</v>
      </c>
      <c r="JRL23" s="30">
        <f t="shared" si="113"/>
        <v>262366</v>
      </c>
      <c r="JRM23" s="30">
        <f t="shared" si="113"/>
        <v>262397</v>
      </c>
      <c r="JRN23" s="30">
        <f t="shared" si="113"/>
        <v>262427</v>
      </c>
      <c r="JRO23" s="30">
        <f t="shared" si="113"/>
        <v>262458</v>
      </c>
      <c r="JRP23" s="30">
        <f t="shared" si="113"/>
        <v>262489</v>
      </c>
      <c r="JRQ23" s="30">
        <f t="shared" si="113"/>
        <v>262519</v>
      </c>
      <c r="JRR23" s="30">
        <f t="shared" si="113"/>
        <v>262550</v>
      </c>
      <c r="JRS23" s="30">
        <f t="shared" si="113"/>
        <v>262580</v>
      </c>
      <c r="JRT23" s="30">
        <f t="shared" si="113"/>
        <v>262611</v>
      </c>
      <c r="JRU23" s="30">
        <f t="shared" si="113"/>
        <v>262642</v>
      </c>
      <c r="JRV23" s="30">
        <f t="shared" si="113"/>
        <v>262670</v>
      </c>
      <c r="JRW23" s="30">
        <f t="shared" si="113"/>
        <v>262701</v>
      </c>
      <c r="JRX23" s="30">
        <f t="shared" si="113"/>
        <v>262731</v>
      </c>
      <c r="JRY23" s="30">
        <f t="shared" si="113"/>
        <v>262762</v>
      </c>
      <c r="JRZ23" s="30">
        <f t="shared" si="113"/>
        <v>262792</v>
      </c>
      <c r="JSA23" s="30">
        <f t="shared" si="113"/>
        <v>262823</v>
      </c>
      <c r="JSB23" s="30">
        <f t="shared" si="113"/>
        <v>262854</v>
      </c>
      <c r="JSC23" s="30">
        <f t="shared" si="113"/>
        <v>262884</v>
      </c>
      <c r="JSD23" s="30">
        <f t="shared" si="113"/>
        <v>262915</v>
      </c>
      <c r="JSE23" s="30">
        <f t="shared" si="113"/>
        <v>262945</v>
      </c>
      <c r="JSF23" s="30">
        <f t="shared" si="113"/>
        <v>262976</v>
      </c>
      <c r="JSG23" s="30">
        <f t="shared" si="113"/>
        <v>263007</v>
      </c>
      <c r="JSH23" s="30">
        <f t="shared" si="113"/>
        <v>263036</v>
      </c>
      <c r="JSI23" s="30">
        <f t="shared" si="113"/>
        <v>263067</v>
      </c>
      <c r="JSJ23" s="30">
        <f t="shared" si="113"/>
        <v>263097</v>
      </c>
      <c r="JSK23" s="30">
        <f t="shared" si="113"/>
        <v>263128</v>
      </c>
      <c r="JSL23" s="30">
        <f t="shared" si="113"/>
        <v>263158</v>
      </c>
      <c r="JSM23" s="30">
        <f t="shared" si="113"/>
        <v>263189</v>
      </c>
      <c r="JSN23" s="30">
        <f t="shared" si="113"/>
        <v>263220</v>
      </c>
      <c r="JSO23" s="30">
        <f t="shared" si="113"/>
        <v>263250</v>
      </c>
      <c r="JSP23" s="30">
        <f t="shared" si="113"/>
        <v>263281</v>
      </c>
      <c r="JSQ23" s="30">
        <f t="shared" si="113"/>
        <v>263311</v>
      </c>
      <c r="JSR23" s="30">
        <f t="shared" si="113"/>
        <v>263342</v>
      </c>
      <c r="JSS23" s="30">
        <f t="shared" si="113"/>
        <v>263373</v>
      </c>
      <c r="JST23" s="30">
        <f t="shared" si="113"/>
        <v>263401</v>
      </c>
      <c r="JSU23" s="30">
        <f t="shared" si="113"/>
        <v>263432</v>
      </c>
      <c r="JSV23" s="30">
        <f t="shared" si="113"/>
        <v>263462</v>
      </c>
      <c r="JSW23" s="30">
        <f t="shared" si="113"/>
        <v>263493</v>
      </c>
      <c r="JSX23" s="30">
        <f t="shared" si="113"/>
        <v>263523</v>
      </c>
      <c r="JSY23" s="30">
        <f t="shared" si="113"/>
        <v>263554</v>
      </c>
      <c r="JSZ23" s="30">
        <f t="shared" si="113"/>
        <v>263585</v>
      </c>
      <c r="JTA23" s="30">
        <f t="shared" si="113"/>
        <v>263615</v>
      </c>
      <c r="JTB23" s="30">
        <f t="shared" si="113"/>
        <v>263646</v>
      </c>
      <c r="JTC23" s="30">
        <f t="shared" si="113"/>
        <v>263676</v>
      </c>
      <c r="JTD23" s="30">
        <f t="shared" si="113"/>
        <v>263707</v>
      </c>
      <c r="JTE23" s="30">
        <f t="shared" si="113"/>
        <v>263738</v>
      </c>
      <c r="JTF23" s="30">
        <f t="shared" si="113"/>
        <v>263766</v>
      </c>
      <c r="JTG23" s="30">
        <f t="shared" si="113"/>
        <v>263797</v>
      </c>
      <c r="JTH23" s="30">
        <f t="shared" si="113"/>
        <v>263827</v>
      </c>
      <c r="JTI23" s="30">
        <f t="shared" si="113"/>
        <v>263858</v>
      </c>
      <c r="JTJ23" s="30">
        <f t="shared" si="113"/>
        <v>263888</v>
      </c>
      <c r="JTK23" s="30">
        <f t="shared" si="113"/>
        <v>263919</v>
      </c>
      <c r="JTL23" s="30">
        <f t="shared" si="113"/>
        <v>263950</v>
      </c>
      <c r="JTM23" s="30">
        <f t="shared" si="113"/>
        <v>263980</v>
      </c>
      <c r="JTN23" s="30">
        <f t="shared" si="113"/>
        <v>264011</v>
      </c>
      <c r="JTO23" s="30">
        <f t="shared" si="113"/>
        <v>264041</v>
      </c>
      <c r="JTP23" s="30">
        <f t="shared" si="113"/>
        <v>264072</v>
      </c>
      <c r="JTQ23" s="30">
        <f t="shared" si="113"/>
        <v>264103</v>
      </c>
      <c r="JTR23" s="30">
        <f t="shared" si="113"/>
        <v>264131</v>
      </c>
      <c r="JTS23" s="30">
        <f t="shared" si="113"/>
        <v>264162</v>
      </c>
      <c r="JTT23" s="30">
        <f t="shared" ref="JTT23:JWE23" si="114">EDATE(JTS23,1)</f>
        <v>264192</v>
      </c>
      <c r="JTU23" s="30">
        <f t="shared" si="114"/>
        <v>264223</v>
      </c>
      <c r="JTV23" s="30">
        <f t="shared" si="114"/>
        <v>264253</v>
      </c>
      <c r="JTW23" s="30">
        <f t="shared" si="114"/>
        <v>264284</v>
      </c>
      <c r="JTX23" s="30">
        <f t="shared" si="114"/>
        <v>264315</v>
      </c>
      <c r="JTY23" s="30">
        <f t="shared" si="114"/>
        <v>264345</v>
      </c>
      <c r="JTZ23" s="30">
        <f t="shared" si="114"/>
        <v>264376</v>
      </c>
      <c r="JUA23" s="30">
        <f t="shared" si="114"/>
        <v>264406</v>
      </c>
      <c r="JUB23" s="30">
        <f t="shared" si="114"/>
        <v>264437</v>
      </c>
      <c r="JUC23" s="30">
        <f t="shared" si="114"/>
        <v>264468</v>
      </c>
      <c r="JUD23" s="30">
        <f t="shared" si="114"/>
        <v>264497</v>
      </c>
      <c r="JUE23" s="30">
        <f t="shared" si="114"/>
        <v>264528</v>
      </c>
      <c r="JUF23" s="30">
        <f t="shared" si="114"/>
        <v>264558</v>
      </c>
      <c r="JUG23" s="30">
        <f t="shared" si="114"/>
        <v>264589</v>
      </c>
      <c r="JUH23" s="30">
        <f t="shared" si="114"/>
        <v>264619</v>
      </c>
      <c r="JUI23" s="30">
        <f t="shared" si="114"/>
        <v>264650</v>
      </c>
      <c r="JUJ23" s="30">
        <f t="shared" si="114"/>
        <v>264681</v>
      </c>
      <c r="JUK23" s="30">
        <f t="shared" si="114"/>
        <v>264711</v>
      </c>
      <c r="JUL23" s="30">
        <f t="shared" si="114"/>
        <v>264742</v>
      </c>
      <c r="JUM23" s="30">
        <f t="shared" si="114"/>
        <v>264772</v>
      </c>
      <c r="JUN23" s="30">
        <f t="shared" si="114"/>
        <v>264803</v>
      </c>
      <c r="JUO23" s="30">
        <f t="shared" si="114"/>
        <v>264834</v>
      </c>
      <c r="JUP23" s="30">
        <f t="shared" si="114"/>
        <v>264862</v>
      </c>
      <c r="JUQ23" s="30">
        <f t="shared" si="114"/>
        <v>264893</v>
      </c>
      <c r="JUR23" s="30">
        <f t="shared" si="114"/>
        <v>264923</v>
      </c>
      <c r="JUS23" s="30">
        <f t="shared" si="114"/>
        <v>264954</v>
      </c>
      <c r="JUT23" s="30">
        <f t="shared" si="114"/>
        <v>264984</v>
      </c>
      <c r="JUU23" s="30">
        <f t="shared" si="114"/>
        <v>265015</v>
      </c>
      <c r="JUV23" s="30">
        <f t="shared" si="114"/>
        <v>265046</v>
      </c>
      <c r="JUW23" s="30">
        <f t="shared" si="114"/>
        <v>265076</v>
      </c>
      <c r="JUX23" s="30">
        <f t="shared" si="114"/>
        <v>265107</v>
      </c>
      <c r="JUY23" s="30">
        <f t="shared" si="114"/>
        <v>265137</v>
      </c>
      <c r="JUZ23" s="30">
        <f t="shared" si="114"/>
        <v>265168</v>
      </c>
      <c r="JVA23" s="30">
        <f t="shared" si="114"/>
        <v>265199</v>
      </c>
      <c r="JVB23" s="30">
        <f t="shared" si="114"/>
        <v>265227</v>
      </c>
      <c r="JVC23" s="30">
        <f t="shared" si="114"/>
        <v>265258</v>
      </c>
      <c r="JVD23" s="30">
        <f t="shared" si="114"/>
        <v>265288</v>
      </c>
      <c r="JVE23" s="30">
        <f t="shared" si="114"/>
        <v>265319</v>
      </c>
      <c r="JVF23" s="30">
        <f t="shared" si="114"/>
        <v>265349</v>
      </c>
      <c r="JVG23" s="30">
        <f t="shared" si="114"/>
        <v>265380</v>
      </c>
      <c r="JVH23" s="30">
        <f t="shared" si="114"/>
        <v>265411</v>
      </c>
      <c r="JVI23" s="30">
        <f t="shared" si="114"/>
        <v>265441</v>
      </c>
      <c r="JVJ23" s="30">
        <f t="shared" si="114"/>
        <v>265472</v>
      </c>
      <c r="JVK23" s="30">
        <f t="shared" si="114"/>
        <v>265502</v>
      </c>
      <c r="JVL23" s="30">
        <f t="shared" si="114"/>
        <v>265533</v>
      </c>
      <c r="JVM23" s="30">
        <f t="shared" si="114"/>
        <v>265564</v>
      </c>
      <c r="JVN23" s="30">
        <f t="shared" si="114"/>
        <v>265592</v>
      </c>
      <c r="JVO23" s="30">
        <f t="shared" si="114"/>
        <v>265623</v>
      </c>
      <c r="JVP23" s="30">
        <f t="shared" si="114"/>
        <v>265653</v>
      </c>
      <c r="JVQ23" s="30">
        <f t="shared" si="114"/>
        <v>265684</v>
      </c>
      <c r="JVR23" s="30">
        <f t="shared" si="114"/>
        <v>265714</v>
      </c>
      <c r="JVS23" s="30">
        <f t="shared" si="114"/>
        <v>265745</v>
      </c>
      <c r="JVT23" s="30">
        <f t="shared" si="114"/>
        <v>265776</v>
      </c>
      <c r="JVU23" s="30">
        <f t="shared" si="114"/>
        <v>265806</v>
      </c>
      <c r="JVV23" s="30">
        <f t="shared" si="114"/>
        <v>265837</v>
      </c>
      <c r="JVW23" s="30">
        <f t="shared" si="114"/>
        <v>265867</v>
      </c>
      <c r="JVX23" s="30">
        <f t="shared" si="114"/>
        <v>265898</v>
      </c>
      <c r="JVY23" s="30">
        <f t="shared" si="114"/>
        <v>265929</v>
      </c>
      <c r="JVZ23" s="30">
        <f t="shared" si="114"/>
        <v>265958</v>
      </c>
      <c r="JWA23" s="30">
        <f t="shared" si="114"/>
        <v>265989</v>
      </c>
      <c r="JWB23" s="30">
        <f t="shared" si="114"/>
        <v>266019</v>
      </c>
      <c r="JWC23" s="30">
        <f t="shared" si="114"/>
        <v>266050</v>
      </c>
      <c r="JWD23" s="30">
        <f t="shared" si="114"/>
        <v>266080</v>
      </c>
      <c r="JWE23" s="30">
        <f t="shared" si="114"/>
        <v>266111</v>
      </c>
      <c r="JWF23" s="30">
        <f t="shared" ref="JWF23:JYQ23" si="115">EDATE(JWE23,1)</f>
        <v>266142</v>
      </c>
      <c r="JWG23" s="30">
        <f t="shared" si="115"/>
        <v>266172</v>
      </c>
      <c r="JWH23" s="30">
        <f t="shared" si="115"/>
        <v>266203</v>
      </c>
      <c r="JWI23" s="30">
        <f t="shared" si="115"/>
        <v>266233</v>
      </c>
      <c r="JWJ23" s="30">
        <f t="shared" si="115"/>
        <v>266264</v>
      </c>
      <c r="JWK23" s="30">
        <f t="shared" si="115"/>
        <v>266295</v>
      </c>
      <c r="JWL23" s="30">
        <f t="shared" si="115"/>
        <v>266323</v>
      </c>
      <c r="JWM23" s="30">
        <f t="shared" si="115"/>
        <v>266354</v>
      </c>
      <c r="JWN23" s="30">
        <f t="shared" si="115"/>
        <v>266384</v>
      </c>
      <c r="JWO23" s="30">
        <f t="shared" si="115"/>
        <v>266415</v>
      </c>
      <c r="JWP23" s="30">
        <f t="shared" si="115"/>
        <v>266445</v>
      </c>
      <c r="JWQ23" s="30">
        <f t="shared" si="115"/>
        <v>266476</v>
      </c>
      <c r="JWR23" s="30">
        <f t="shared" si="115"/>
        <v>266507</v>
      </c>
      <c r="JWS23" s="30">
        <f t="shared" si="115"/>
        <v>266537</v>
      </c>
      <c r="JWT23" s="30">
        <f t="shared" si="115"/>
        <v>266568</v>
      </c>
      <c r="JWU23" s="30">
        <f t="shared" si="115"/>
        <v>266598</v>
      </c>
      <c r="JWV23" s="30">
        <f t="shared" si="115"/>
        <v>266629</v>
      </c>
      <c r="JWW23" s="30">
        <f t="shared" si="115"/>
        <v>266660</v>
      </c>
      <c r="JWX23" s="30">
        <f t="shared" si="115"/>
        <v>266688</v>
      </c>
      <c r="JWY23" s="30">
        <f t="shared" si="115"/>
        <v>266719</v>
      </c>
      <c r="JWZ23" s="30">
        <f t="shared" si="115"/>
        <v>266749</v>
      </c>
      <c r="JXA23" s="30">
        <f t="shared" si="115"/>
        <v>266780</v>
      </c>
      <c r="JXB23" s="30">
        <f t="shared" si="115"/>
        <v>266810</v>
      </c>
      <c r="JXC23" s="30">
        <f t="shared" si="115"/>
        <v>266841</v>
      </c>
      <c r="JXD23" s="30">
        <f t="shared" si="115"/>
        <v>266872</v>
      </c>
      <c r="JXE23" s="30">
        <f t="shared" si="115"/>
        <v>266902</v>
      </c>
      <c r="JXF23" s="30">
        <f t="shared" si="115"/>
        <v>266933</v>
      </c>
      <c r="JXG23" s="30">
        <f t="shared" si="115"/>
        <v>266963</v>
      </c>
      <c r="JXH23" s="30">
        <f t="shared" si="115"/>
        <v>266994</v>
      </c>
      <c r="JXI23" s="30">
        <f t="shared" si="115"/>
        <v>267025</v>
      </c>
      <c r="JXJ23" s="30">
        <f t="shared" si="115"/>
        <v>267053</v>
      </c>
      <c r="JXK23" s="30">
        <f t="shared" si="115"/>
        <v>267084</v>
      </c>
      <c r="JXL23" s="30">
        <f t="shared" si="115"/>
        <v>267114</v>
      </c>
      <c r="JXM23" s="30">
        <f t="shared" si="115"/>
        <v>267145</v>
      </c>
      <c r="JXN23" s="30">
        <f t="shared" si="115"/>
        <v>267175</v>
      </c>
      <c r="JXO23" s="30">
        <f t="shared" si="115"/>
        <v>267206</v>
      </c>
      <c r="JXP23" s="30">
        <f t="shared" si="115"/>
        <v>267237</v>
      </c>
      <c r="JXQ23" s="30">
        <f t="shared" si="115"/>
        <v>267267</v>
      </c>
      <c r="JXR23" s="30">
        <f t="shared" si="115"/>
        <v>267298</v>
      </c>
      <c r="JXS23" s="30">
        <f t="shared" si="115"/>
        <v>267328</v>
      </c>
      <c r="JXT23" s="30">
        <f t="shared" si="115"/>
        <v>267359</v>
      </c>
      <c r="JXU23" s="30">
        <f t="shared" si="115"/>
        <v>267390</v>
      </c>
      <c r="JXV23" s="30">
        <f t="shared" si="115"/>
        <v>267419</v>
      </c>
      <c r="JXW23" s="30">
        <f t="shared" si="115"/>
        <v>267450</v>
      </c>
      <c r="JXX23" s="30">
        <f t="shared" si="115"/>
        <v>267480</v>
      </c>
      <c r="JXY23" s="30">
        <f t="shared" si="115"/>
        <v>267511</v>
      </c>
      <c r="JXZ23" s="30">
        <f t="shared" si="115"/>
        <v>267541</v>
      </c>
      <c r="JYA23" s="30">
        <f t="shared" si="115"/>
        <v>267572</v>
      </c>
      <c r="JYB23" s="30">
        <f t="shared" si="115"/>
        <v>267603</v>
      </c>
      <c r="JYC23" s="30">
        <f t="shared" si="115"/>
        <v>267633</v>
      </c>
      <c r="JYD23" s="30">
        <f t="shared" si="115"/>
        <v>267664</v>
      </c>
      <c r="JYE23" s="30">
        <f t="shared" si="115"/>
        <v>267694</v>
      </c>
      <c r="JYF23" s="30">
        <f t="shared" si="115"/>
        <v>267725</v>
      </c>
      <c r="JYG23" s="30">
        <f t="shared" si="115"/>
        <v>267756</v>
      </c>
      <c r="JYH23" s="30">
        <f t="shared" si="115"/>
        <v>267784</v>
      </c>
      <c r="JYI23" s="30">
        <f t="shared" si="115"/>
        <v>267815</v>
      </c>
      <c r="JYJ23" s="30">
        <f t="shared" si="115"/>
        <v>267845</v>
      </c>
      <c r="JYK23" s="30">
        <f t="shared" si="115"/>
        <v>267876</v>
      </c>
      <c r="JYL23" s="30">
        <f t="shared" si="115"/>
        <v>267906</v>
      </c>
      <c r="JYM23" s="30">
        <f t="shared" si="115"/>
        <v>267937</v>
      </c>
      <c r="JYN23" s="30">
        <f t="shared" si="115"/>
        <v>267968</v>
      </c>
      <c r="JYO23" s="30">
        <f t="shared" si="115"/>
        <v>267998</v>
      </c>
      <c r="JYP23" s="30">
        <f t="shared" si="115"/>
        <v>268029</v>
      </c>
      <c r="JYQ23" s="30">
        <f t="shared" si="115"/>
        <v>268059</v>
      </c>
      <c r="JYR23" s="30">
        <f t="shared" ref="JYR23:KBC23" si="116">EDATE(JYQ23,1)</f>
        <v>268090</v>
      </c>
      <c r="JYS23" s="30">
        <f t="shared" si="116"/>
        <v>268121</v>
      </c>
      <c r="JYT23" s="30">
        <f t="shared" si="116"/>
        <v>268149</v>
      </c>
      <c r="JYU23" s="30">
        <f t="shared" si="116"/>
        <v>268180</v>
      </c>
      <c r="JYV23" s="30">
        <f t="shared" si="116"/>
        <v>268210</v>
      </c>
      <c r="JYW23" s="30">
        <f t="shared" si="116"/>
        <v>268241</v>
      </c>
      <c r="JYX23" s="30">
        <f t="shared" si="116"/>
        <v>268271</v>
      </c>
      <c r="JYY23" s="30">
        <f t="shared" si="116"/>
        <v>268302</v>
      </c>
      <c r="JYZ23" s="30">
        <f t="shared" si="116"/>
        <v>268333</v>
      </c>
      <c r="JZA23" s="30">
        <f t="shared" si="116"/>
        <v>268363</v>
      </c>
      <c r="JZB23" s="30">
        <f t="shared" si="116"/>
        <v>268394</v>
      </c>
      <c r="JZC23" s="30">
        <f t="shared" si="116"/>
        <v>268424</v>
      </c>
      <c r="JZD23" s="30">
        <f t="shared" si="116"/>
        <v>268455</v>
      </c>
      <c r="JZE23" s="30">
        <f t="shared" si="116"/>
        <v>268486</v>
      </c>
      <c r="JZF23" s="30">
        <f t="shared" si="116"/>
        <v>268514</v>
      </c>
      <c r="JZG23" s="30">
        <f t="shared" si="116"/>
        <v>268545</v>
      </c>
      <c r="JZH23" s="30">
        <f t="shared" si="116"/>
        <v>268575</v>
      </c>
      <c r="JZI23" s="30">
        <f t="shared" si="116"/>
        <v>268606</v>
      </c>
      <c r="JZJ23" s="30">
        <f t="shared" si="116"/>
        <v>268636</v>
      </c>
      <c r="JZK23" s="30">
        <f t="shared" si="116"/>
        <v>268667</v>
      </c>
      <c r="JZL23" s="30">
        <f t="shared" si="116"/>
        <v>268698</v>
      </c>
      <c r="JZM23" s="30">
        <f t="shared" si="116"/>
        <v>268728</v>
      </c>
      <c r="JZN23" s="30">
        <f t="shared" si="116"/>
        <v>268759</v>
      </c>
      <c r="JZO23" s="30">
        <f t="shared" si="116"/>
        <v>268789</v>
      </c>
      <c r="JZP23" s="30">
        <f t="shared" si="116"/>
        <v>268820</v>
      </c>
      <c r="JZQ23" s="30">
        <f t="shared" si="116"/>
        <v>268851</v>
      </c>
      <c r="JZR23" s="30">
        <f t="shared" si="116"/>
        <v>268880</v>
      </c>
      <c r="JZS23" s="30">
        <f t="shared" si="116"/>
        <v>268911</v>
      </c>
      <c r="JZT23" s="30">
        <f t="shared" si="116"/>
        <v>268941</v>
      </c>
      <c r="JZU23" s="30">
        <f t="shared" si="116"/>
        <v>268972</v>
      </c>
      <c r="JZV23" s="30">
        <f t="shared" si="116"/>
        <v>269002</v>
      </c>
      <c r="JZW23" s="30">
        <f t="shared" si="116"/>
        <v>269033</v>
      </c>
      <c r="JZX23" s="30">
        <f t="shared" si="116"/>
        <v>269064</v>
      </c>
      <c r="JZY23" s="30">
        <f t="shared" si="116"/>
        <v>269094</v>
      </c>
      <c r="JZZ23" s="30">
        <f t="shared" si="116"/>
        <v>269125</v>
      </c>
      <c r="KAA23" s="30">
        <f t="shared" si="116"/>
        <v>269155</v>
      </c>
      <c r="KAB23" s="30">
        <f t="shared" si="116"/>
        <v>269186</v>
      </c>
      <c r="KAC23" s="30">
        <f t="shared" si="116"/>
        <v>269217</v>
      </c>
      <c r="KAD23" s="30">
        <f t="shared" si="116"/>
        <v>269245</v>
      </c>
      <c r="KAE23" s="30">
        <f t="shared" si="116"/>
        <v>269276</v>
      </c>
      <c r="KAF23" s="30">
        <f t="shared" si="116"/>
        <v>269306</v>
      </c>
      <c r="KAG23" s="30">
        <f t="shared" si="116"/>
        <v>269337</v>
      </c>
      <c r="KAH23" s="30">
        <f t="shared" si="116"/>
        <v>269367</v>
      </c>
      <c r="KAI23" s="30">
        <f t="shared" si="116"/>
        <v>269398</v>
      </c>
      <c r="KAJ23" s="30">
        <f t="shared" si="116"/>
        <v>269429</v>
      </c>
      <c r="KAK23" s="30">
        <f t="shared" si="116"/>
        <v>269459</v>
      </c>
      <c r="KAL23" s="30">
        <f t="shared" si="116"/>
        <v>269490</v>
      </c>
      <c r="KAM23" s="30">
        <f t="shared" si="116"/>
        <v>269520</v>
      </c>
      <c r="KAN23" s="30">
        <f t="shared" si="116"/>
        <v>269551</v>
      </c>
      <c r="KAO23" s="30">
        <f t="shared" si="116"/>
        <v>269582</v>
      </c>
      <c r="KAP23" s="30">
        <f t="shared" si="116"/>
        <v>269610</v>
      </c>
      <c r="KAQ23" s="30">
        <f t="shared" si="116"/>
        <v>269641</v>
      </c>
      <c r="KAR23" s="30">
        <f t="shared" si="116"/>
        <v>269671</v>
      </c>
      <c r="KAS23" s="30">
        <f t="shared" si="116"/>
        <v>269702</v>
      </c>
      <c r="KAT23" s="30">
        <f t="shared" si="116"/>
        <v>269732</v>
      </c>
      <c r="KAU23" s="30">
        <f t="shared" si="116"/>
        <v>269763</v>
      </c>
      <c r="KAV23" s="30">
        <f t="shared" si="116"/>
        <v>269794</v>
      </c>
      <c r="KAW23" s="30">
        <f t="shared" si="116"/>
        <v>269824</v>
      </c>
      <c r="KAX23" s="30">
        <f t="shared" si="116"/>
        <v>269855</v>
      </c>
      <c r="KAY23" s="30">
        <f t="shared" si="116"/>
        <v>269885</v>
      </c>
      <c r="KAZ23" s="30">
        <f t="shared" si="116"/>
        <v>269916</v>
      </c>
      <c r="KBA23" s="30">
        <f t="shared" si="116"/>
        <v>269947</v>
      </c>
      <c r="KBB23" s="30">
        <f t="shared" si="116"/>
        <v>269975</v>
      </c>
      <c r="KBC23" s="30">
        <f t="shared" si="116"/>
        <v>270006</v>
      </c>
      <c r="KBD23" s="30">
        <f t="shared" ref="KBD23:KDO23" si="117">EDATE(KBC23,1)</f>
        <v>270036</v>
      </c>
      <c r="KBE23" s="30">
        <f t="shared" si="117"/>
        <v>270067</v>
      </c>
      <c r="KBF23" s="30">
        <f t="shared" si="117"/>
        <v>270097</v>
      </c>
      <c r="KBG23" s="30">
        <f t="shared" si="117"/>
        <v>270128</v>
      </c>
      <c r="KBH23" s="30">
        <f t="shared" si="117"/>
        <v>270159</v>
      </c>
      <c r="KBI23" s="30">
        <f t="shared" si="117"/>
        <v>270189</v>
      </c>
      <c r="KBJ23" s="30">
        <f t="shared" si="117"/>
        <v>270220</v>
      </c>
      <c r="KBK23" s="30">
        <f t="shared" si="117"/>
        <v>270250</v>
      </c>
      <c r="KBL23" s="30">
        <f t="shared" si="117"/>
        <v>270281</v>
      </c>
      <c r="KBM23" s="30">
        <f t="shared" si="117"/>
        <v>270312</v>
      </c>
      <c r="KBN23" s="30">
        <f t="shared" si="117"/>
        <v>270341</v>
      </c>
      <c r="KBO23" s="30">
        <f t="shared" si="117"/>
        <v>270372</v>
      </c>
      <c r="KBP23" s="30">
        <f t="shared" si="117"/>
        <v>270402</v>
      </c>
      <c r="KBQ23" s="30">
        <f t="shared" si="117"/>
        <v>270433</v>
      </c>
      <c r="KBR23" s="30">
        <f t="shared" si="117"/>
        <v>270463</v>
      </c>
      <c r="KBS23" s="30">
        <f t="shared" si="117"/>
        <v>270494</v>
      </c>
      <c r="KBT23" s="30">
        <f t="shared" si="117"/>
        <v>270525</v>
      </c>
      <c r="KBU23" s="30">
        <f t="shared" si="117"/>
        <v>270555</v>
      </c>
      <c r="KBV23" s="30">
        <f t="shared" si="117"/>
        <v>270586</v>
      </c>
      <c r="KBW23" s="30">
        <f t="shared" si="117"/>
        <v>270616</v>
      </c>
      <c r="KBX23" s="30">
        <f t="shared" si="117"/>
        <v>270647</v>
      </c>
      <c r="KBY23" s="30">
        <f t="shared" si="117"/>
        <v>270678</v>
      </c>
      <c r="KBZ23" s="30">
        <f t="shared" si="117"/>
        <v>270706</v>
      </c>
      <c r="KCA23" s="30">
        <f t="shared" si="117"/>
        <v>270737</v>
      </c>
      <c r="KCB23" s="30">
        <f t="shared" si="117"/>
        <v>270767</v>
      </c>
      <c r="KCC23" s="30">
        <f t="shared" si="117"/>
        <v>270798</v>
      </c>
      <c r="KCD23" s="30">
        <f t="shared" si="117"/>
        <v>270828</v>
      </c>
      <c r="KCE23" s="30">
        <f t="shared" si="117"/>
        <v>270859</v>
      </c>
      <c r="KCF23" s="30">
        <f t="shared" si="117"/>
        <v>270890</v>
      </c>
      <c r="KCG23" s="30">
        <f t="shared" si="117"/>
        <v>270920</v>
      </c>
      <c r="KCH23" s="30">
        <f t="shared" si="117"/>
        <v>270951</v>
      </c>
      <c r="KCI23" s="30">
        <f t="shared" si="117"/>
        <v>270981</v>
      </c>
      <c r="KCJ23" s="30">
        <f t="shared" si="117"/>
        <v>271012</v>
      </c>
      <c r="KCK23" s="30">
        <f t="shared" si="117"/>
        <v>271043</v>
      </c>
      <c r="KCL23" s="30">
        <f t="shared" si="117"/>
        <v>271071</v>
      </c>
      <c r="KCM23" s="30">
        <f t="shared" si="117"/>
        <v>271102</v>
      </c>
      <c r="KCN23" s="30">
        <f t="shared" si="117"/>
        <v>271132</v>
      </c>
      <c r="KCO23" s="30">
        <f t="shared" si="117"/>
        <v>271163</v>
      </c>
      <c r="KCP23" s="30">
        <f t="shared" si="117"/>
        <v>271193</v>
      </c>
      <c r="KCQ23" s="30">
        <f t="shared" si="117"/>
        <v>271224</v>
      </c>
      <c r="KCR23" s="30">
        <f t="shared" si="117"/>
        <v>271255</v>
      </c>
      <c r="KCS23" s="30">
        <f t="shared" si="117"/>
        <v>271285</v>
      </c>
      <c r="KCT23" s="30">
        <f t="shared" si="117"/>
        <v>271316</v>
      </c>
      <c r="KCU23" s="30">
        <f t="shared" si="117"/>
        <v>271346</v>
      </c>
      <c r="KCV23" s="30">
        <f t="shared" si="117"/>
        <v>271377</v>
      </c>
      <c r="KCW23" s="30">
        <f t="shared" si="117"/>
        <v>271408</v>
      </c>
      <c r="KCX23" s="30">
        <f t="shared" si="117"/>
        <v>271436</v>
      </c>
      <c r="KCY23" s="30">
        <f t="shared" si="117"/>
        <v>271467</v>
      </c>
      <c r="KCZ23" s="30">
        <f t="shared" si="117"/>
        <v>271497</v>
      </c>
      <c r="KDA23" s="30">
        <f t="shared" si="117"/>
        <v>271528</v>
      </c>
      <c r="KDB23" s="30">
        <f t="shared" si="117"/>
        <v>271558</v>
      </c>
      <c r="KDC23" s="30">
        <f t="shared" si="117"/>
        <v>271589</v>
      </c>
      <c r="KDD23" s="30">
        <f t="shared" si="117"/>
        <v>271620</v>
      </c>
      <c r="KDE23" s="30">
        <f t="shared" si="117"/>
        <v>271650</v>
      </c>
      <c r="KDF23" s="30">
        <f t="shared" si="117"/>
        <v>271681</v>
      </c>
      <c r="KDG23" s="30">
        <f t="shared" si="117"/>
        <v>271711</v>
      </c>
      <c r="KDH23" s="30">
        <f t="shared" si="117"/>
        <v>271742</v>
      </c>
      <c r="KDI23" s="30">
        <f t="shared" si="117"/>
        <v>271773</v>
      </c>
      <c r="KDJ23" s="30">
        <f t="shared" si="117"/>
        <v>271802</v>
      </c>
      <c r="KDK23" s="30">
        <f t="shared" si="117"/>
        <v>271833</v>
      </c>
      <c r="KDL23" s="30">
        <f t="shared" si="117"/>
        <v>271863</v>
      </c>
      <c r="KDM23" s="30">
        <f t="shared" si="117"/>
        <v>271894</v>
      </c>
      <c r="KDN23" s="30">
        <f t="shared" si="117"/>
        <v>271924</v>
      </c>
      <c r="KDO23" s="30">
        <f t="shared" si="117"/>
        <v>271955</v>
      </c>
      <c r="KDP23" s="30">
        <f t="shared" ref="KDP23:KGA23" si="118">EDATE(KDO23,1)</f>
        <v>271986</v>
      </c>
      <c r="KDQ23" s="30">
        <f t="shared" si="118"/>
        <v>272016</v>
      </c>
      <c r="KDR23" s="30">
        <f t="shared" si="118"/>
        <v>272047</v>
      </c>
      <c r="KDS23" s="30">
        <f t="shared" si="118"/>
        <v>272077</v>
      </c>
      <c r="KDT23" s="30">
        <f t="shared" si="118"/>
        <v>272108</v>
      </c>
      <c r="KDU23" s="30">
        <f t="shared" si="118"/>
        <v>272139</v>
      </c>
      <c r="KDV23" s="30">
        <f t="shared" si="118"/>
        <v>272167</v>
      </c>
      <c r="KDW23" s="30">
        <f t="shared" si="118"/>
        <v>272198</v>
      </c>
      <c r="KDX23" s="30">
        <f t="shared" si="118"/>
        <v>272228</v>
      </c>
      <c r="KDY23" s="30">
        <f t="shared" si="118"/>
        <v>272259</v>
      </c>
      <c r="KDZ23" s="30">
        <f t="shared" si="118"/>
        <v>272289</v>
      </c>
      <c r="KEA23" s="30">
        <f t="shared" si="118"/>
        <v>272320</v>
      </c>
      <c r="KEB23" s="30">
        <f t="shared" si="118"/>
        <v>272351</v>
      </c>
      <c r="KEC23" s="30">
        <f t="shared" si="118"/>
        <v>272381</v>
      </c>
      <c r="KED23" s="30">
        <f t="shared" si="118"/>
        <v>272412</v>
      </c>
      <c r="KEE23" s="30">
        <f t="shared" si="118"/>
        <v>272442</v>
      </c>
      <c r="KEF23" s="30">
        <f t="shared" si="118"/>
        <v>272473</v>
      </c>
      <c r="KEG23" s="30">
        <f t="shared" si="118"/>
        <v>272504</v>
      </c>
      <c r="KEH23" s="30">
        <f t="shared" si="118"/>
        <v>272532</v>
      </c>
      <c r="KEI23" s="30">
        <f t="shared" si="118"/>
        <v>272563</v>
      </c>
      <c r="KEJ23" s="30">
        <f t="shared" si="118"/>
        <v>272593</v>
      </c>
      <c r="KEK23" s="30">
        <f t="shared" si="118"/>
        <v>272624</v>
      </c>
      <c r="KEL23" s="30">
        <f t="shared" si="118"/>
        <v>272654</v>
      </c>
      <c r="KEM23" s="30">
        <f t="shared" si="118"/>
        <v>272685</v>
      </c>
      <c r="KEN23" s="30">
        <f t="shared" si="118"/>
        <v>272716</v>
      </c>
      <c r="KEO23" s="30">
        <f t="shared" si="118"/>
        <v>272746</v>
      </c>
      <c r="KEP23" s="30">
        <f t="shared" si="118"/>
        <v>272777</v>
      </c>
      <c r="KEQ23" s="30">
        <f t="shared" si="118"/>
        <v>272807</v>
      </c>
      <c r="KER23" s="30">
        <f t="shared" si="118"/>
        <v>272838</v>
      </c>
      <c r="KES23" s="30">
        <f t="shared" si="118"/>
        <v>272869</v>
      </c>
      <c r="KET23" s="30">
        <f t="shared" si="118"/>
        <v>272897</v>
      </c>
      <c r="KEU23" s="30">
        <f t="shared" si="118"/>
        <v>272928</v>
      </c>
      <c r="KEV23" s="30">
        <f t="shared" si="118"/>
        <v>272958</v>
      </c>
      <c r="KEW23" s="30">
        <f t="shared" si="118"/>
        <v>272989</v>
      </c>
      <c r="KEX23" s="30">
        <f t="shared" si="118"/>
        <v>273019</v>
      </c>
      <c r="KEY23" s="30">
        <f t="shared" si="118"/>
        <v>273050</v>
      </c>
      <c r="KEZ23" s="30">
        <f t="shared" si="118"/>
        <v>273081</v>
      </c>
      <c r="KFA23" s="30">
        <f t="shared" si="118"/>
        <v>273111</v>
      </c>
      <c r="KFB23" s="30">
        <f t="shared" si="118"/>
        <v>273142</v>
      </c>
      <c r="KFC23" s="30">
        <f t="shared" si="118"/>
        <v>273172</v>
      </c>
      <c r="KFD23" s="30">
        <f t="shared" si="118"/>
        <v>273203</v>
      </c>
      <c r="KFE23" s="30">
        <f t="shared" si="118"/>
        <v>273234</v>
      </c>
      <c r="KFF23" s="30">
        <f t="shared" si="118"/>
        <v>273263</v>
      </c>
      <c r="KFG23" s="30">
        <f t="shared" si="118"/>
        <v>273294</v>
      </c>
      <c r="KFH23" s="30">
        <f t="shared" si="118"/>
        <v>273324</v>
      </c>
      <c r="KFI23" s="30">
        <f t="shared" si="118"/>
        <v>273355</v>
      </c>
      <c r="KFJ23" s="30">
        <f t="shared" si="118"/>
        <v>273385</v>
      </c>
      <c r="KFK23" s="30">
        <f t="shared" si="118"/>
        <v>273416</v>
      </c>
      <c r="KFL23" s="30">
        <f t="shared" si="118"/>
        <v>273447</v>
      </c>
      <c r="KFM23" s="30">
        <f t="shared" si="118"/>
        <v>273477</v>
      </c>
      <c r="KFN23" s="30">
        <f t="shared" si="118"/>
        <v>273508</v>
      </c>
      <c r="KFO23" s="30">
        <f t="shared" si="118"/>
        <v>273538</v>
      </c>
      <c r="KFP23" s="30">
        <f t="shared" si="118"/>
        <v>273569</v>
      </c>
      <c r="KFQ23" s="30">
        <f t="shared" si="118"/>
        <v>273600</v>
      </c>
      <c r="KFR23" s="30">
        <f t="shared" si="118"/>
        <v>273628</v>
      </c>
      <c r="KFS23" s="30">
        <f t="shared" si="118"/>
        <v>273659</v>
      </c>
      <c r="KFT23" s="30">
        <f t="shared" si="118"/>
        <v>273689</v>
      </c>
      <c r="KFU23" s="30">
        <f t="shared" si="118"/>
        <v>273720</v>
      </c>
      <c r="KFV23" s="30">
        <f t="shared" si="118"/>
        <v>273750</v>
      </c>
      <c r="KFW23" s="30">
        <f t="shared" si="118"/>
        <v>273781</v>
      </c>
      <c r="KFX23" s="30">
        <f t="shared" si="118"/>
        <v>273812</v>
      </c>
      <c r="KFY23" s="30">
        <f t="shared" si="118"/>
        <v>273842</v>
      </c>
      <c r="KFZ23" s="30">
        <f t="shared" si="118"/>
        <v>273873</v>
      </c>
      <c r="KGA23" s="30">
        <f t="shared" si="118"/>
        <v>273903</v>
      </c>
      <c r="KGB23" s="30">
        <f t="shared" ref="KGB23:KIM23" si="119">EDATE(KGA23,1)</f>
        <v>273934</v>
      </c>
      <c r="KGC23" s="30">
        <f t="shared" si="119"/>
        <v>273965</v>
      </c>
      <c r="KGD23" s="30">
        <f t="shared" si="119"/>
        <v>273993</v>
      </c>
      <c r="KGE23" s="30">
        <f t="shared" si="119"/>
        <v>274024</v>
      </c>
      <c r="KGF23" s="30">
        <f t="shared" si="119"/>
        <v>274054</v>
      </c>
      <c r="KGG23" s="30">
        <f t="shared" si="119"/>
        <v>274085</v>
      </c>
      <c r="KGH23" s="30">
        <f t="shared" si="119"/>
        <v>274115</v>
      </c>
      <c r="KGI23" s="30">
        <f t="shared" si="119"/>
        <v>274146</v>
      </c>
      <c r="KGJ23" s="30">
        <f t="shared" si="119"/>
        <v>274177</v>
      </c>
      <c r="KGK23" s="30">
        <f t="shared" si="119"/>
        <v>274207</v>
      </c>
      <c r="KGL23" s="30">
        <f t="shared" si="119"/>
        <v>274238</v>
      </c>
      <c r="KGM23" s="30">
        <f t="shared" si="119"/>
        <v>274268</v>
      </c>
      <c r="KGN23" s="30">
        <f t="shared" si="119"/>
        <v>274299</v>
      </c>
      <c r="KGO23" s="30">
        <f t="shared" si="119"/>
        <v>274330</v>
      </c>
      <c r="KGP23" s="30">
        <f t="shared" si="119"/>
        <v>274358</v>
      </c>
      <c r="KGQ23" s="30">
        <f t="shared" si="119"/>
        <v>274389</v>
      </c>
      <c r="KGR23" s="30">
        <f t="shared" si="119"/>
        <v>274419</v>
      </c>
      <c r="KGS23" s="30">
        <f t="shared" si="119"/>
        <v>274450</v>
      </c>
      <c r="KGT23" s="30">
        <f t="shared" si="119"/>
        <v>274480</v>
      </c>
      <c r="KGU23" s="30">
        <f t="shared" si="119"/>
        <v>274511</v>
      </c>
      <c r="KGV23" s="30">
        <f t="shared" si="119"/>
        <v>274542</v>
      </c>
      <c r="KGW23" s="30">
        <f t="shared" si="119"/>
        <v>274572</v>
      </c>
      <c r="KGX23" s="30">
        <f t="shared" si="119"/>
        <v>274603</v>
      </c>
      <c r="KGY23" s="30">
        <f t="shared" si="119"/>
        <v>274633</v>
      </c>
      <c r="KGZ23" s="30">
        <f t="shared" si="119"/>
        <v>274664</v>
      </c>
      <c r="KHA23" s="30">
        <f t="shared" si="119"/>
        <v>274695</v>
      </c>
      <c r="KHB23" s="30">
        <f t="shared" si="119"/>
        <v>274724</v>
      </c>
      <c r="KHC23" s="30">
        <f t="shared" si="119"/>
        <v>274755</v>
      </c>
      <c r="KHD23" s="30">
        <f t="shared" si="119"/>
        <v>274785</v>
      </c>
      <c r="KHE23" s="30">
        <f t="shared" si="119"/>
        <v>274816</v>
      </c>
      <c r="KHF23" s="30">
        <f t="shared" si="119"/>
        <v>274846</v>
      </c>
      <c r="KHG23" s="30">
        <f t="shared" si="119"/>
        <v>274877</v>
      </c>
      <c r="KHH23" s="30">
        <f t="shared" si="119"/>
        <v>274908</v>
      </c>
      <c r="KHI23" s="30">
        <f t="shared" si="119"/>
        <v>274938</v>
      </c>
      <c r="KHJ23" s="30">
        <f t="shared" si="119"/>
        <v>274969</v>
      </c>
      <c r="KHK23" s="30">
        <f t="shared" si="119"/>
        <v>274999</v>
      </c>
      <c r="KHL23" s="30">
        <f t="shared" si="119"/>
        <v>275030</v>
      </c>
      <c r="KHM23" s="30">
        <f t="shared" si="119"/>
        <v>275061</v>
      </c>
      <c r="KHN23" s="30">
        <f t="shared" si="119"/>
        <v>275089</v>
      </c>
      <c r="KHO23" s="30">
        <f t="shared" si="119"/>
        <v>275120</v>
      </c>
      <c r="KHP23" s="30">
        <f t="shared" si="119"/>
        <v>275150</v>
      </c>
      <c r="KHQ23" s="30">
        <f t="shared" si="119"/>
        <v>275181</v>
      </c>
      <c r="KHR23" s="30">
        <f t="shared" si="119"/>
        <v>275211</v>
      </c>
      <c r="KHS23" s="30">
        <f t="shared" si="119"/>
        <v>275242</v>
      </c>
      <c r="KHT23" s="30">
        <f t="shared" si="119"/>
        <v>275273</v>
      </c>
      <c r="KHU23" s="30">
        <f t="shared" si="119"/>
        <v>275303</v>
      </c>
      <c r="KHV23" s="30">
        <f t="shared" si="119"/>
        <v>275334</v>
      </c>
      <c r="KHW23" s="30">
        <f t="shared" si="119"/>
        <v>275364</v>
      </c>
      <c r="KHX23" s="30">
        <f t="shared" si="119"/>
        <v>275395</v>
      </c>
      <c r="KHY23" s="30">
        <f t="shared" si="119"/>
        <v>275426</v>
      </c>
      <c r="KHZ23" s="30">
        <f t="shared" si="119"/>
        <v>275454</v>
      </c>
      <c r="KIA23" s="30">
        <f t="shared" si="119"/>
        <v>275485</v>
      </c>
      <c r="KIB23" s="30">
        <f t="shared" si="119"/>
        <v>275515</v>
      </c>
      <c r="KIC23" s="30">
        <f t="shared" si="119"/>
        <v>275546</v>
      </c>
      <c r="KID23" s="30">
        <f t="shared" si="119"/>
        <v>275576</v>
      </c>
      <c r="KIE23" s="30">
        <f t="shared" si="119"/>
        <v>275607</v>
      </c>
      <c r="KIF23" s="30">
        <f t="shared" si="119"/>
        <v>275638</v>
      </c>
      <c r="KIG23" s="30">
        <f t="shared" si="119"/>
        <v>275668</v>
      </c>
      <c r="KIH23" s="30">
        <f t="shared" si="119"/>
        <v>275699</v>
      </c>
      <c r="KII23" s="30">
        <f t="shared" si="119"/>
        <v>275729</v>
      </c>
      <c r="KIJ23" s="30">
        <f t="shared" si="119"/>
        <v>275760</v>
      </c>
      <c r="KIK23" s="30">
        <f t="shared" si="119"/>
        <v>275791</v>
      </c>
      <c r="KIL23" s="30">
        <f t="shared" si="119"/>
        <v>275819</v>
      </c>
      <c r="KIM23" s="30">
        <f t="shared" si="119"/>
        <v>275850</v>
      </c>
      <c r="KIN23" s="30">
        <f t="shared" ref="KIN23:KKY23" si="120">EDATE(KIM23,1)</f>
        <v>275880</v>
      </c>
      <c r="KIO23" s="30">
        <f t="shared" si="120"/>
        <v>275911</v>
      </c>
      <c r="KIP23" s="30">
        <f t="shared" si="120"/>
        <v>275941</v>
      </c>
      <c r="KIQ23" s="30">
        <f t="shared" si="120"/>
        <v>275972</v>
      </c>
      <c r="KIR23" s="30">
        <f t="shared" si="120"/>
        <v>276003</v>
      </c>
      <c r="KIS23" s="30">
        <f t="shared" si="120"/>
        <v>276033</v>
      </c>
      <c r="KIT23" s="30">
        <f t="shared" si="120"/>
        <v>276064</v>
      </c>
      <c r="KIU23" s="30">
        <f t="shared" si="120"/>
        <v>276094</v>
      </c>
      <c r="KIV23" s="30">
        <f t="shared" si="120"/>
        <v>276125</v>
      </c>
      <c r="KIW23" s="30">
        <f t="shared" si="120"/>
        <v>276156</v>
      </c>
      <c r="KIX23" s="30">
        <f t="shared" si="120"/>
        <v>276185</v>
      </c>
      <c r="KIY23" s="30">
        <f t="shared" si="120"/>
        <v>276216</v>
      </c>
      <c r="KIZ23" s="30">
        <f t="shared" si="120"/>
        <v>276246</v>
      </c>
      <c r="KJA23" s="30">
        <f t="shared" si="120"/>
        <v>276277</v>
      </c>
      <c r="KJB23" s="30">
        <f t="shared" si="120"/>
        <v>276307</v>
      </c>
      <c r="KJC23" s="30">
        <f t="shared" si="120"/>
        <v>276338</v>
      </c>
      <c r="KJD23" s="30">
        <f t="shared" si="120"/>
        <v>276369</v>
      </c>
      <c r="KJE23" s="30">
        <f t="shared" si="120"/>
        <v>276399</v>
      </c>
      <c r="KJF23" s="30">
        <f t="shared" si="120"/>
        <v>276430</v>
      </c>
      <c r="KJG23" s="30">
        <f t="shared" si="120"/>
        <v>276460</v>
      </c>
      <c r="KJH23" s="30">
        <f t="shared" si="120"/>
        <v>276491</v>
      </c>
      <c r="KJI23" s="30">
        <f t="shared" si="120"/>
        <v>276522</v>
      </c>
      <c r="KJJ23" s="30">
        <f t="shared" si="120"/>
        <v>276550</v>
      </c>
      <c r="KJK23" s="30">
        <f t="shared" si="120"/>
        <v>276581</v>
      </c>
      <c r="KJL23" s="30">
        <f t="shared" si="120"/>
        <v>276611</v>
      </c>
      <c r="KJM23" s="30">
        <f t="shared" si="120"/>
        <v>276642</v>
      </c>
      <c r="KJN23" s="30">
        <f t="shared" si="120"/>
        <v>276672</v>
      </c>
      <c r="KJO23" s="30">
        <f t="shared" si="120"/>
        <v>276703</v>
      </c>
      <c r="KJP23" s="30">
        <f t="shared" si="120"/>
        <v>276734</v>
      </c>
      <c r="KJQ23" s="30">
        <f t="shared" si="120"/>
        <v>276764</v>
      </c>
      <c r="KJR23" s="30">
        <f t="shared" si="120"/>
        <v>276795</v>
      </c>
      <c r="KJS23" s="30">
        <f t="shared" si="120"/>
        <v>276825</v>
      </c>
      <c r="KJT23" s="30">
        <f t="shared" si="120"/>
        <v>276856</v>
      </c>
      <c r="KJU23" s="30">
        <f t="shared" si="120"/>
        <v>276887</v>
      </c>
      <c r="KJV23" s="30">
        <f t="shared" si="120"/>
        <v>276915</v>
      </c>
      <c r="KJW23" s="30">
        <f t="shared" si="120"/>
        <v>276946</v>
      </c>
      <c r="KJX23" s="30">
        <f t="shared" si="120"/>
        <v>276976</v>
      </c>
      <c r="KJY23" s="30">
        <f t="shared" si="120"/>
        <v>277007</v>
      </c>
      <c r="KJZ23" s="30">
        <f t="shared" si="120"/>
        <v>277037</v>
      </c>
      <c r="KKA23" s="30">
        <f t="shared" si="120"/>
        <v>277068</v>
      </c>
      <c r="KKB23" s="30">
        <f t="shared" si="120"/>
        <v>277099</v>
      </c>
      <c r="KKC23" s="30">
        <f t="shared" si="120"/>
        <v>277129</v>
      </c>
      <c r="KKD23" s="30">
        <f t="shared" si="120"/>
        <v>277160</v>
      </c>
      <c r="KKE23" s="30">
        <f t="shared" si="120"/>
        <v>277190</v>
      </c>
      <c r="KKF23" s="30">
        <f t="shared" si="120"/>
        <v>277221</v>
      </c>
      <c r="KKG23" s="30">
        <f t="shared" si="120"/>
        <v>277252</v>
      </c>
      <c r="KKH23" s="30">
        <f t="shared" si="120"/>
        <v>277280</v>
      </c>
      <c r="KKI23" s="30">
        <f t="shared" si="120"/>
        <v>277311</v>
      </c>
      <c r="KKJ23" s="30">
        <f t="shared" si="120"/>
        <v>277341</v>
      </c>
      <c r="KKK23" s="30">
        <f t="shared" si="120"/>
        <v>277372</v>
      </c>
      <c r="KKL23" s="30">
        <f t="shared" si="120"/>
        <v>277402</v>
      </c>
      <c r="KKM23" s="30">
        <f t="shared" si="120"/>
        <v>277433</v>
      </c>
      <c r="KKN23" s="30">
        <f t="shared" si="120"/>
        <v>277464</v>
      </c>
      <c r="KKO23" s="30">
        <f t="shared" si="120"/>
        <v>277494</v>
      </c>
      <c r="KKP23" s="30">
        <f t="shared" si="120"/>
        <v>277525</v>
      </c>
      <c r="KKQ23" s="30">
        <f t="shared" si="120"/>
        <v>277555</v>
      </c>
      <c r="KKR23" s="30">
        <f t="shared" si="120"/>
        <v>277586</v>
      </c>
      <c r="KKS23" s="30">
        <f t="shared" si="120"/>
        <v>277617</v>
      </c>
      <c r="KKT23" s="30">
        <f t="shared" si="120"/>
        <v>277646</v>
      </c>
      <c r="KKU23" s="30">
        <f t="shared" si="120"/>
        <v>277677</v>
      </c>
      <c r="KKV23" s="30">
        <f t="shared" si="120"/>
        <v>277707</v>
      </c>
      <c r="KKW23" s="30">
        <f t="shared" si="120"/>
        <v>277738</v>
      </c>
      <c r="KKX23" s="30">
        <f t="shared" si="120"/>
        <v>277768</v>
      </c>
      <c r="KKY23" s="30">
        <f t="shared" si="120"/>
        <v>277799</v>
      </c>
      <c r="KKZ23" s="30">
        <f t="shared" ref="KKZ23:KNK23" si="121">EDATE(KKY23,1)</f>
        <v>277830</v>
      </c>
      <c r="KLA23" s="30">
        <f t="shared" si="121"/>
        <v>277860</v>
      </c>
      <c r="KLB23" s="30">
        <f t="shared" si="121"/>
        <v>277891</v>
      </c>
      <c r="KLC23" s="30">
        <f t="shared" si="121"/>
        <v>277921</v>
      </c>
      <c r="KLD23" s="30">
        <f t="shared" si="121"/>
        <v>277952</v>
      </c>
      <c r="KLE23" s="30">
        <f t="shared" si="121"/>
        <v>277983</v>
      </c>
      <c r="KLF23" s="30">
        <f t="shared" si="121"/>
        <v>278011</v>
      </c>
      <c r="KLG23" s="30">
        <f t="shared" si="121"/>
        <v>278042</v>
      </c>
      <c r="KLH23" s="30">
        <f t="shared" si="121"/>
        <v>278072</v>
      </c>
      <c r="KLI23" s="30">
        <f t="shared" si="121"/>
        <v>278103</v>
      </c>
      <c r="KLJ23" s="30">
        <f t="shared" si="121"/>
        <v>278133</v>
      </c>
      <c r="KLK23" s="30">
        <f t="shared" si="121"/>
        <v>278164</v>
      </c>
      <c r="KLL23" s="30">
        <f t="shared" si="121"/>
        <v>278195</v>
      </c>
      <c r="KLM23" s="30">
        <f t="shared" si="121"/>
        <v>278225</v>
      </c>
      <c r="KLN23" s="30">
        <f t="shared" si="121"/>
        <v>278256</v>
      </c>
      <c r="KLO23" s="30">
        <f t="shared" si="121"/>
        <v>278286</v>
      </c>
      <c r="KLP23" s="30">
        <f t="shared" si="121"/>
        <v>278317</v>
      </c>
      <c r="KLQ23" s="30">
        <f t="shared" si="121"/>
        <v>278348</v>
      </c>
      <c r="KLR23" s="30">
        <f t="shared" si="121"/>
        <v>278376</v>
      </c>
      <c r="KLS23" s="30">
        <f t="shared" si="121"/>
        <v>278407</v>
      </c>
      <c r="KLT23" s="30">
        <f t="shared" si="121"/>
        <v>278437</v>
      </c>
      <c r="KLU23" s="30">
        <f t="shared" si="121"/>
        <v>278468</v>
      </c>
      <c r="KLV23" s="30">
        <f t="shared" si="121"/>
        <v>278498</v>
      </c>
      <c r="KLW23" s="30">
        <f t="shared" si="121"/>
        <v>278529</v>
      </c>
      <c r="KLX23" s="30">
        <f t="shared" si="121"/>
        <v>278560</v>
      </c>
      <c r="KLY23" s="30">
        <f t="shared" si="121"/>
        <v>278590</v>
      </c>
      <c r="KLZ23" s="30">
        <f t="shared" si="121"/>
        <v>278621</v>
      </c>
      <c r="KMA23" s="30">
        <f t="shared" si="121"/>
        <v>278651</v>
      </c>
      <c r="KMB23" s="30">
        <f t="shared" si="121"/>
        <v>278682</v>
      </c>
      <c r="KMC23" s="30">
        <f t="shared" si="121"/>
        <v>278713</v>
      </c>
      <c r="KMD23" s="30">
        <f t="shared" si="121"/>
        <v>278741</v>
      </c>
      <c r="KME23" s="30">
        <f t="shared" si="121"/>
        <v>278772</v>
      </c>
      <c r="KMF23" s="30">
        <f t="shared" si="121"/>
        <v>278802</v>
      </c>
      <c r="KMG23" s="30">
        <f t="shared" si="121"/>
        <v>278833</v>
      </c>
      <c r="KMH23" s="30">
        <f t="shared" si="121"/>
        <v>278863</v>
      </c>
      <c r="KMI23" s="30">
        <f t="shared" si="121"/>
        <v>278894</v>
      </c>
      <c r="KMJ23" s="30">
        <f t="shared" si="121"/>
        <v>278925</v>
      </c>
      <c r="KMK23" s="30">
        <f t="shared" si="121"/>
        <v>278955</v>
      </c>
      <c r="KML23" s="30">
        <f t="shared" si="121"/>
        <v>278986</v>
      </c>
      <c r="KMM23" s="30">
        <f t="shared" si="121"/>
        <v>279016</v>
      </c>
      <c r="KMN23" s="30">
        <f t="shared" si="121"/>
        <v>279047</v>
      </c>
      <c r="KMO23" s="30">
        <f t="shared" si="121"/>
        <v>279078</v>
      </c>
      <c r="KMP23" s="30">
        <f t="shared" si="121"/>
        <v>279107</v>
      </c>
      <c r="KMQ23" s="30">
        <f t="shared" si="121"/>
        <v>279138</v>
      </c>
      <c r="KMR23" s="30">
        <f t="shared" si="121"/>
        <v>279168</v>
      </c>
      <c r="KMS23" s="30">
        <f t="shared" si="121"/>
        <v>279199</v>
      </c>
      <c r="KMT23" s="30">
        <f t="shared" si="121"/>
        <v>279229</v>
      </c>
      <c r="KMU23" s="30">
        <f t="shared" si="121"/>
        <v>279260</v>
      </c>
      <c r="KMV23" s="30">
        <f t="shared" si="121"/>
        <v>279291</v>
      </c>
      <c r="KMW23" s="30">
        <f t="shared" si="121"/>
        <v>279321</v>
      </c>
      <c r="KMX23" s="30">
        <f t="shared" si="121"/>
        <v>279352</v>
      </c>
      <c r="KMY23" s="30">
        <f t="shared" si="121"/>
        <v>279382</v>
      </c>
      <c r="KMZ23" s="30">
        <f t="shared" si="121"/>
        <v>279413</v>
      </c>
      <c r="KNA23" s="30">
        <f t="shared" si="121"/>
        <v>279444</v>
      </c>
      <c r="KNB23" s="30">
        <f t="shared" si="121"/>
        <v>279472</v>
      </c>
      <c r="KNC23" s="30">
        <f t="shared" si="121"/>
        <v>279503</v>
      </c>
      <c r="KND23" s="30">
        <f t="shared" si="121"/>
        <v>279533</v>
      </c>
      <c r="KNE23" s="30">
        <f t="shared" si="121"/>
        <v>279564</v>
      </c>
      <c r="KNF23" s="30">
        <f t="shared" si="121"/>
        <v>279594</v>
      </c>
      <c r="KNG23" s="30">
        <f t="shared" si="121"/>
        <v>279625</v>
      </c>
      <c r="KNH23" s="30">
        <f t="shared" si="121"/>
        <v>279656</v>
      </c>
      <c r="KNI23" s="30">
        <f t="shared" si="121"/>
        <v>279686</v>
      </c>
      <c r="KNJ23" s="30">
        <f t="shared" si="121"/>
        <v>279717</v>
      </c>
      <c r="KNK23" s="30">
        <f t="shared" si="121"/>
        <v>279747</v>
      </c>
      <c r="KNL23" s="30">
        <f t="shared" ref="KNL23:KPW23" si="122">EDATE(KNK23,1)</f>
        <v>279778</v>
      </c>
      <c r="KNM23" s="30">
        <f t="shared" si="122"/>
        <v>279809</v>
      </c>
      <c r="KNN23" s="30">
        <f t="shared" si="122"/>
        <v>279837</v>
      </c>
      <c r="KNO23" s="30">
        <f t="shared" si="122"/>
        <v>279868</v>
      </c>
      <c r="KNP23" s="30">
        <f t="shared" si="122"/>
        <v>279898</v>
      </c>
      <c r="KNQ23" s="30">
        <f t="shared" si="122"/>
        <v>279929</v>
      </c>
      <c r="KNR23" s="30">
        <f t="shared" si="122"/>
        <v>279959</v>
      </c>
      <c r="KNS23" s="30">
        <f t="shared" si="122"/>
        <v>279990</v>
      </c>
      <c r="KNT23" s="30">
        <f t="shared" si="122"/>
        <v>280021</v>
      </c>
      <c r="KNU23" s="30">
        <f t="shared" si="122"/>
        <v>280051</v>
      </c>
      <c r="KNV23" s="30">
        <f t="shared" si="122"/>
        <v>280082</v>
      </c>
      <c r="KNW23" s="30">
        <f t="shared" si="122"/>
        <v>280112</v>
      </c>
      <c r="KNX23" s="30">
        <f t="shared" si="122"/>
        <v>280143</v>
      </c>
      <c r="KNY23" s="30">
        <f t="shared" si="122"/>
        <v>280174</v>
      </c>
      <c r="KNZ23" s="30">
        <f t="shared" si="122"/>
        <v>280202</v>
      </c>
      <c r="KOA23" s="30">
        <f t="shared" si="122"/>
        <v>280233</v>
      </c>
      <c r="KOB23" s="30">
        <f t="shared" si="122"/>
        <v>280263</v>
      </c>
      <c r="KOC23" s="30">
        <f t="shared" si="122"/>
        <v>280294</v>
      </c>
      <c r="KOD23" s="30">
        <f t="shared" si="122"/>
        <v>280324</v>
      </c>
      <c r="KOE23" s="30">
        <f t="shared" si="122"/>
        <v>280355</v>
      </c>
      <c r="KOF23" s="30">
        <f t="shared" si="122"/>
        <v>280386</v>
      </c>
      <c r="KOG23" s="30">
        <f t="shared" si="122"/>
        <v>280416</v>
      </c>
      <c r="KOH23" s="30">
        <f t="shared" si="122"/>
        <v>280447</v>
      </c>
      <c r="KOI23" s="30">
        <f t="shared" si="122"/>
        <v>280477</v>
      </c>
      <c r="KOJ23" s="30">
        <f t="shared" si="122"/>
        <v>280508</v>
      </c>
      <c r="KOK23" s="30">
        <f t="shared" si="122"/>
        <v>280539</v>
      </c>
      <c r="KOL23" s="30">
        <f t="shared" si="122"/>
        <v>280568</v>
      </c>
      <c r="KOM23" s="30">
        <f t="shared" si="122"/>
        <v>280599</v>
      </c>
      <c r="KON23" s="30">
        <f t="shared" si="122"/>
        <v>280629</v>
      </c>
      <c r="KOO23" s="30">
        <f t="shared" si="122"/>
        <v>280660</v>
      </c>
      <c r="KOP23" s="30">
        <f t="shared" si="122"/>
        <v>280690</v>
      </c>
      <c r="KOQ23" s="30">
        <f t="shared" si="122"/>
        <v>280721</v>
      </c>
      <c r="KOR23" s="30">
        <f t="shared" si="122"/>
        <v>280752</v>
      </c>
      <c r="KOS23" s="30">
        <f t="shared" si="122"/>
        <v>280782</v>
      </c>
      <c r="KOT23" s="30">
        <f t="shared" si="122"/>
        <v>280813</v>
      </c>
      <c r="KOU23" s="30">
        <f t="shared" si="122"/>
        <v>280843</v>
      </c>
      <c r="KOV23" s="30">
        <f t="shared" si="122"/>
        <v>280874</v>
      </c>
      <c r="KOW23" s="30">
        <f t="shared" si="122"/>
        <v>280905</v>
      </c>
      <c r="KOX23" s="30">
        <f t="shared" si="122"/>
        <v>280933</v>
      </c>
      <c r="KOY23" s="30">
        <f t="shared" si="122"/>
        <v>280964</v>
      </c>
      <c r="KOZ23" s="30">
        <f t="shared" si="122"/>
        <v>280994</v>
      </c>
      <c r="KPA23" s="30">
        <f t="shared" si="122"/>
        <v>281025</v>
      </c>
      <c r="KPB23" s="30">
        <f t="shared" si="122"/>
        <v>281055</v>
      </c>
      <c r="KPC23" s="30">
        <f t="shared" si="122"/>
        <v>281086</v>
      </c>
      <c r="KPD23" s="30">
        <f t="shared" si="122"/>
        <v>281117</v>
      </c>
      <c r="KPE23" s="30">
        <f t="shared" si="122"/>
        <v>281147</v>
      </c>
      <c r="KPF23" s="30">
        <f t="shared" si="122"/>
        <v>281178</v>
      </c>
      <c r="KPG23" s="30">
        <f t="shared" si="122"/>
        <v>281208</v>
      </c>
      <c r="KPH23" s="30">
        <f t="shared" si="122"/>
        <v>281239</v>
      </c>
      <c r="KPI23" s="30">
        <f t="shared" si="122"/>
        <v>281270</v>
      </c>
      <c r="KPJ23" s="30">
        <f t="shared" si="122"/>
        <v>281298</v>
      </c>
      <c r="KPK23" s="30">
        <f t="shared" si="122"/>
        <v>281329</v>
      </c>
      <c r="KPL23" s="30">
        <f t="shared" si="122"/>
        <v>281359</v>
      </c>
      <c r="KPM23" s="30">
        <f t="shared" si="122"/>
        <v>281390</v>
      </c>
      <c r="KPN23" s="30">
        <f t="shared" si="122"/>
        <v>281420</v>
      </c>
      <c r="KPO23" s="30">
        <f t="shared" si="122"/>
        <v>281451</v>
      </c>
      <c r="KPP23" s="30">
        <f t="shared" si="122"/>
        <v>281482</v>
      </c>
      <c r="KPQ23" s="30">
        <f t="shared" si="122"/>
        <v>281512</v>
      </c>
      <c r="KPR23" s="30">
        <f t="shared" si="122"/>
        <v>281543</v>
      </c>
      <c r="KPS23" s="30">
        <f t="shared" si="122"/>
        <v>281573</v>
      </c>
      <c r="KPT23" s="30">
        <f t="shared" si="122"/>
        <v>281604</v>
      </c>
      <c r="KPU23" s="30">
        <f t="shared" si="122"/>
        <v>281635</v>
      </c>
      <c r="KPV23" s="30">
        <f t="shared" si="122"/>
        <v>281663</v>
      </c>
      <c r="KPW23" s="30">
        <f t="shared" si="122"/>
        <v>281694</v>
      </c>
      <c r="KPX23" s="30">
        <f t="shared" ref="KPX23:KSI23" si="123">EDATE(KPW23,1)</f>
        <v>281724</v>
      </c>
      <c r="KPY23" s="30">
        <f t="shared" si="123"/>
        <v>281755</v>
      </c>
      <c r="KPZ23" s="30">
        <f t="shared" si="123"/>
        <v>281785</v>
      </c>
      <c r="KQA23" s="30">
        <f t="shared" si="123"/>
        <v>281816</v>
      </c>
      <c r="KQB23" s="30">
        <f t="shared" si="123"/>
        <v>281847</v>
      </c>
      <c r="KQC23" s="30">
        <f t="shared" si="123"/>
        <v>281877</v>
      </c>
      <c r="KQD23" s="30">
        <f t="shared" si="123"/>
        <v>281908</v>
      </c>
      <c r="KQE23" s="30">
        <f t="shared" si="123"/>
        <v>281938</v>
      </c>
      <c r="KQF23" s="30">
        <f t="shared" si="123"/>
        <v>281969</v>
      </c>
      <c r="KQG23" s="30">
        <f t="shared" si="123"/>
        <v>282000</v>
      </c>
      <c r="KQH23" s="30">
        <f t="shared" si="123"/>
        <v>282029</v>
      </c>
      <c r="KQI23" s="30">
        <f t="shared" si="123"/>
        <v>282060</v>
      </c>
      <c r="KQJ23" s="30">
        <f t="shared" si="123"/>
        <v>282090</v>
      </c>
      <c r="KQK23" s="30">
        <f t="shared" si="123"/>
        <v>282121</v>
      </c>
      <c r="KQL23" s="30">
        <f t="shared" si="123"/>
        <v>282151</v>
      </c>
      <c r="KQM23" s="30">
        <f t="shared" si="123"/>
        <v>282182</v>
      </c>
      <c r="KQN23" s="30">
        <f t="shared" si="123"/>
        <v>282213</v>
      </c>
      <c r="KQO23" s="30">
        <f t="shared" si="123"/>
        <v>282243</v>
      </c>
      <c r="KQP23" s="30">
        <f t="shared" si="123"/>
        <v>282274</v>
      </c>
      <c r="KQQ23" s="30">
        <f t="shared" si="123"/>
        <v>282304</v>
      </c>
      <c r="KQR23" s="30">
        <f t="shared" si="123"/>
        <v>282335</v>
      </c>
      <c r="KQS23" s="30">
        <f t="shared" si="123"/>
        <v>282366</v>
      </c>
      <c r="KQT23" s="30">
        <f t="shared" si="123"/>
        <v>282394</v>
      </c>
      <c r="KQU23" s="30">
        <f t="shared" si="123"/>
        <v>282425</v>
      </c>
      <c r="KQV23" s="30">
        <f t="shared" si="123"/>
        <v>282455</v>
      </c>
      <c r="KQW23" s="30">
        <f t="shared" si="123"/>
        <v>282486</v>
      </c>
      <c r="KQX23" s="30">
        <f t="shared" si="123"/>
        <v>282516</v>
      </c>
      <c r="KQY23" s="30">
        <f t="shared" si="123"/>
        <v>282547</v>
      </c>
      <c r="KQZ23" s="30">
        <f t="shared" si="123"/>
        <v>282578</v>
      </c>
      <c r="KRA23" s="30">
        <f t="shared" si="123"/>
        <v>282608</v>
      </c>
      <c r="KRB23" s="30">
        <f t="shared" si="123"/>
        <v>282639</v>
      </c>
      <c r="KRC23" s="30">
        <f t="shared" si="123"/>
        <v>282669</v>
      </c>
      <c r="KRD23" s="30">
        <f t="shared" si="123"/>
        <v>282700</v>
      </c>
      <c r="KRE23" s="30">
        <f t="shared" si="123"/>
        <v>282731</v>
      </c>
      <c r="KRF23" s="30">
        <f t="shared" si="123"/>
        <v>282759</v>
      </c>
      <c r="KRG23" s="30">
        <f t="shared" si="123"/>
        <v>282790</v>
      </c>
      <c r="KRH23" s="30">
        <f t="shared" si="123"/>
        <v>282820</v>
      </c>
      <c r="KRI23" s="30">
        <f t="shared" si="123"/>
        <v>282851</v>
      </c>
      <c r="KRJ23" s="30">
        <f t="shared" si="123"/>
        <v>282881</v>
      </c>
      <c r="KRK23" s="30">
        <f t="shared" si="123"/>
        <v>282912</v>
      </c>
      <c r="KRL23" s="30">
        <f t="shared" si="123"/>
        <v>282943</v>
      </c>
      <c r="KRM23" s="30">
        <f t="shared" si="123"/>
        <v>282973</v>
      </c>
      <c r="KRN23" s="30">
        <f t="shared" si="123"/>
        <v>283004</v>
      </c>
      <c r="KRO23" s="30">
        <f t="shared" si="123"/>
        <v>283034</v>
      </c>
      <c r="KRP23" s="30">
        <f t="shared" si="123"/>
        <v>283065</v>
      </c>
      <c r="KRQ23" s="30">
        <f t="shared" si="123"/>
        <v>283096</v>
      </c>
      <c r="KRR23" s="30">
        <f t="shared" si="123"/>
        <v>283124</v>
      </c>
      <c r="KRS23" s="30">
        <f t="shared" si="123"/>
        <v>283155</v>
      </c>
      <c r="KRT23" s="30">
        <f t="shared" si="123"/>
        <v>283185</v>
      </c>
      <c r="KRU23" s="30">
        <f t="shared" si="123"/>
        <v>283216</v>
      </c>
      <c r="KRV23" s="30">
        <f t="shared" si="123"/>
        <v>283246</v>
      </c>
      <c r="KRW23" s="30">
        <f t="shared" si="123"/>
        <v>283277</v>
      </c>
      <c r="KRX23" s="30">
        <f t="shared" si="123"/>
        <v>283308</v>
      </c>
      <c r="KRY23" s="30">
        <f t="shared" si="123"/>
        <v>283338</v>
      </c>
      <c r="KRZ23" s="30">
        <f t="shared" si="123"/>
        <v>283369</v>
      </c>
      <c r="KSA23" s="30">
        <f t="shared" si="123"/>
        <v>283399</v>
      </c>
      <c r="KSB23" s="30">
        <f t="shared" si="123"/>
        <v>283430</v>
      </c>
      <c r="KSC23" s="30">
        <f t="shared" si="123"/>
        <v>283461</v>
      </c>
      <c r="KSD23" s="30">
        <f t="shared" si="123"/>
        <v>283490</v>
      </c>
      <c r="KSE23" s="30">
        <f t="shared" si="123"/>
        <v>283521</v>
      </c>
      <c r="KSF23" s="30">
        <f t="shared" si="123"/>
        <v>283551</v>
      </c>
      <c r="KSG23" s="30">
        <f t="shared" si="123"/>
        <v>283582</v>
      </c>
      <c r="KSH23" s="30">
        <f t="shared" si="123"/>
        <v>283612</v>
      </c>
      <c r="KSI23" s="30">
        <f t="shared" si="123"/>
        <v>283643</v>
      </c>
      <c r="KSJ23" s="30">
        <f t="shared" ref="KSJ23:KUU23" si="124">EDATE(KSI23,1)</f>
        <v>283674</v>
      </c>
      <c r="KSK23" s="30">
        <f t="shared" si="124"/>
        <v>283704</v>
      </c>
      <c r="KSL23" s="30">
        <f t="shared" si="124"/>
        <v>283735</v>
      </c>
      <c r="KSM23" s="30">
        <f t="shared" si="124"/>
        <v>283765</v>
      </c>
      <c r="KSN23" s="30">
        <f t="shared" si="124"/>
        <v>283796</v>
      </c>
      <c r="KSO23" s="30">
        <f t="shared" si="124"/>
        <v>283827</v>
      </c>
      <c r="KSP23" s="30">
        <f t="shared" si="124"/>
        <v>283855</v>
      </c>
      <c r="KSQ23" s="30">
        <f t="shared" si="124"/>
        <v>283886</v>
      </c>
      <c r="KSR23" s="30">
        <f t="shared" si="124"/>
        <v>283916</v>
      </c>
      <c r="KSS23" s="30">
        <f t="shared" si="124"/>
        <v>283947</v>
      </c>
      <c r="KST23" s="30">
        <f t="shared" si="124"/>
        <v>283977</v>
      </c>
      <c r="KSU23" s="30">
        <f t="shared" si="124"/>
        <v>284008</v>
      </c>
      <c r="KSV23" s="30">
        <f t="shared" si="124"/>
        <v>284039</v>
      </c>
      <c r="KSW23" s="30">
        <f t="shared" si="124"/>
        <v>284069</v>
      </c>
      <c r="KSX23" s="30">
        <f t="shared" si="124"/>
        <v>284100</v>
      </c>
      <c r="KSY23" s="30">
        <f t="shared" si="124"/>
        <v>284130</v>
      </c>
      <c r="KSZ23" s="30">
        <f t="shared" si="124"/>
        <v>284161</v>
      </c>
      <c r="KTA23" s="30">
        <f t="shared" si="124"/>
        <v>284192</v>
      </c>
      <c r="KTB23" s="30">
        <f t="shared" si="124"/>
        <v>284220</v>
      </c>
      <c r="KTC23" s="30">
        <f t="shared" si="124"/>
        <v>284251</v>
      </c>
      <c r="KTD23" s="30">
        <f t="shared" si="124"/>
        <v>284281</v>
      </c>
      <c r="KTE23" s="30">
        <f t="shared" si="124"/>
        <v>284312</v>
      </c>
      <c r="KTF23" s="30">
        <f t="shared" si="124"/>
        <v>284342</v>
      </c>
      <c r="KTG23" s="30">
        <f t="shared" si="124"/>
        <v>284373</v>
      </c>
      <c r="KTH23" s="30">
        <f t="shared" si="124"/>
        <v>284404</v>
      </c>
      <c r="KTI23" s="30">
        <f t="shared" si="124"/>
        <v>284434</v>
      </c>
      <c r="KTJ23" s="30">
        <f t="shared" si="124"/>
        <v>284465</v>
      </c>
      <c r="KTK23" s="30">
        <f t="shared" si="124"/>
        <v>284495</v>
      </c>
      <c r="KTL23" s="30">
        <f t="shared" si="124"/>
        <v>284526</v>
      </c>
      <c r="KTM23" s="30">
        <f t="shared" si="124"/>
        <v>284557</v>
      </c>
      <c r="KTN23" s="30">
        <f t="shared" si="124"/>
        <v>284585</v>
      </c>
      <c r="KTO23" s="30">
        <f t="shared" si="124"/>
        <v>284616</v>
      </c>
      <c r="KTP23" s="30">
        <f t="shared" si="124"/>
        <v>284646</v>
      </c>
      <c r="KTQ23" s="30">
        <f t="shared" si="124"/>
        <v>284677</v>
      </c>
      <c r="KTR23" s="30">
        <f t="shared" si="124"/>
        <v>284707</v>
      </c>
      <c r="KTS23" s="30">
        <f t="shared" si="124"/>
        <v>284738</v>
      </c>
      <c r="KTT23" s="30">
        <f t="shared" si="124"/>
        <v>284769</v>
      </c>
      <c r="KTU23" s="30">
        <f t="shared" si="124"/>
        <v>284799</v>
      </c>
      <c r="KTV23" s="30">
        <f t="shared" si="124"/>
        <v>284830</v>
      </c>
      <c r="KTW23" s="30">
        <f t="shared" si="124"/>
        <v>284860</v>
      </c>
      <c r="KTX23" s="30">
        <f t="shared" si="124"/>
        <v>284891</v>
      </c>
      <c r="KTY23" s="30">
        <f t="shared" si="124"/>
        <v>284922</v>
      </c>
      <c r="KTZ23" s="30">
        <f t="shared" si="124"/>
        <v>284951</v>
      </c>
      <c r="KUA23" s="30">
        <f t="shared" si="124"/>
        <v>284982</v>
      </c>
      <c r="KUB23" s="30">
        <f t="shared" si="124"/>
        <v>285012</v>
      </c>
      <c r="KUC23" s="30">
        <f t="shared" si="124"/>
        <v>285043</v>
      </c>
      <c r="KUD23" s="30">
        <f t="shared" si="124"/>
        <v>285073</v>
      </c>
      <c r="KUE23" s="30">
        <f t="shared" si="124"/>
        <v>285104</v>
      </c>
      <c r="KUF23" s="30">
        <f t="shared" si="124"/>
        <v>285135</v>
      </c>
      <c r="KUG23" s="30">
        <f t="shared" si="124"/>
        <v>285165</v>
      </c>
      <c r="KUH23" s="30">
        <f t="shared" si="124"/>
        <v>285196</v>
      </c>
      <c r="KUI23" s="30">
        <f t="shared" si="124"/>
        <v>285226</v>
      </c>
      <c r="KUJ23" s="30">
        <f t="shared" si="124"/>
        <v>285257</v>
      </c>
      <c r="KUK23" s="30">
        <f t="shared" si="124"/>
        <v>285288</v>
      </c>
      <c r="KUL23" s="30">
        <f t="shared" si="124"/>
        <v>285316</v>
      </c>
      <c r="KUM23" s="30">
        <f t="shared" si="124"/>
        <v>285347</v>
      </c>
      <c r="KUN23" s="30">
        <f t="shared" si="124"/>
        <v>285377</v>
      </c>
      <c r="KUO23" s="30">
        <f t="shared" si="124"/>
        <v>285408</v>
      </c>
      <c r="KUP23" s="30">
        <f t="shared" si="124"/>
        <v>285438</v>
      </c>
      <c r="KUQ23" s="30">
        <f t="shared" si="124"/>
        <v>285469</v>
      </c>
      <c r="KUR23" s="30">
        <f t="shared" si="124"/>
        <v>285500</v>
      </c>
      <c r="KUS23" s="30">
        <f t="shared" si="124"/>
        <v>285530</v>
      </c>
      <c r="KUT23" s="30">
        <f t="shared" si="124"/>
        <v>285561</v>
      </c>
      <c r="KUU23" s="30">
        <f t="shared" si="124"/>
        <v>285591</v>
      </c>
      <c r="KUV23" s="30">
        <f t="shared" ref="KUV23:KXG23" si="125">EDATE(KUU23,1)</f>
        <v>285622</v>
      </c>
      <c r="KUW23" s="30">
        <f t="shared" si="125"/>
        <v>285653</v>
      </c>
      <c r="KUX23" s="30">
        <f t="shared" si="125"/>
        <v>285681</v>
      </c>
      <c r="KUY23" s="30">
        <f t="shared" si="125"/>
        <v>285712</v>
      </c>
      <c r="KUZ23" s="30">
        <f t="shared" si="125"/>
        <v>285742</v>
      </c>
      <c r="KVA23" s="30">
        <f t="shared" si="125"/>
        <v>285773</v>
      </c>
      <c r="KVB23" s="30">
        <f t="shared" si="125"/>
        <v>285803</v>
      </c>
      <c r="KVC23" s="30">
        <f t="shared" si="125"/>
        <v>285834</v>
      </c>
      <c r="KVD23" s="30">
        <f t="shared" si="125"/>
        <v>285865</v>
      </c>
      <c r="KVE23" s="30">
        <f t="shared" si="125"/>
        <v>285895</v>
      </c>
      <c r="KVF23" s="30">
        <f t="shared" si="125"/>
        <v>285926</v>
      </c>
      <c r="KVG23" s="30">
        <f t="shared" si="125"/>
        <v>285956</v>
      </c>
      <c r="KVH23" s="30">
        <f t="shared" si="125"/>
        <v>285987</v>
      </c>
      <c r="KVI23" s="30">
        <f t="shared" si="125"/>
        <v>286018</v>
      </c>
      <c r="KVJ23" s="30">
        <f t="shared" si="125"/>
        <v>286046</v>
      </c>
      <c r="KVK23" s="30">
        <f t="shared" si="125"/>
        <v>286077</v>
      </c>
      <c r="KVL23" s="30">
        <f t="shared" si="125"/>
        <v>286107</v>
      </c>
      <c r="KVM23" s="30">
        <f t="shared" si="125"/>
        <v>286138</v>
      </c>
      <c r="KVN23" s="30">
        <f t="shared" si="125"/>
        <v>286168</v>
      </c>
      <c r="KVO23" s="30">
        <f t="shared" si="125"/>
        <v>286199</v>
      </c>
      <c r="KVP23" s="30">
        <f t="shared" si="125"/>
        <v>286230</v>
      </c>
      <c r="KVQ23" s="30">
        <f t="shared" si="125"/>
        <v>286260</v>
      </c>
      <c r="KVR23" s="30">
        <f t="shared" si="125"/>
        <v>286291</v>
      </c>
      <c r="KVS23" s="30">
        <f t="shared" si="125"/>
        <v>286321</v>
      </c>
      <c r="KVT23" s="30">
        <f t="shared" si="125"/>
        <v>286352</v>
      </c>
      <c r="KVU23" s="30">
        <f t="shared" si="125"/>
        <v>286383</v>
      </c>
      <c r="KVV23" s="30">
        <f t="shared" si="125"/>
        <v>286412</v>
      </c>
      <c r="KVW23" s="30">
        <f t="shared" si="125"/>
        <v>286443</v>
      </c>
      <c r="KVX23" s="30">
        <f t="shared" si="125"/>
        <v>286473</v>
      </c>
      <c r="KVY23" s="30">
        <f t="shared" si="125"/>
        <v>286504</v>
      </c>
      <c r="KVZ23" s="30">
        <f t="shared" si="125"/>
        <v>286534</v>
      </c>
      <c r="KWA23" s="30">
        <f t="shared" si="125"/>
        <v>286565</v>
      </c>
      <c r="KWB23" s="30">
        <f t="shared" si="125"/>
        <v>286596</v>
      </c>
      <c r="KWC23" s="30">
        <f t="shared" si="125"/>
        <v>286626</v>
      </c>
      <c r="KWD23" s="30">
        <f t="shared" si="125"/>
        <v>286657</v>
      </c>
      <c r="KWE23" s="30">
        <f t="shared" si="125"/>
        <v>286687</v>
      </c>
      <c r="KWF23" s="30">
        <f t="shared" si="125"/>
        <v>286718</v>
      </c>
      <c r="KWG23" s="30">
        <f t="shared" si="125"/>
        <v>286749</v>
      </c>
      <c r="KWH23" s="30">
        <f t="shared" si="125"/>
        <v>286777</v>
      </c>
      <c r="KWI23" s="30">
        <f t="shared" si="125"/>
        <v>286808</v>
      </c>
      <c r="KWJ23" s="30">
        <f t="shared" si="125"/>
        <v>286838</v>
      </c>
      <c r="KWK23" s="30">
        <f t="shared" si="125"/>
        <v>286869</v>
      </c>
      <c r="KWL23" s="30">
        <f t="shared" si="125"/>
        <v>286899</v>
      </c>
      <c r="KWM23" s="30">
        <f t="shared" si="125"/>
        <v>286930</v>
      </c>
      <c r="KWN23" s="30">
        <f t="shared" si="125"/>
        <v>286961</v>
      </c>
      <c r="KWO23" s="30">
        <f t="shared" si="125"/>
        <v>286991</v>
      </c>
      <c r="KWP23" s="30">
        <f t="shared" si="125"/>
        <v>287022</v>
      </c>
      <c r="KWQ23" s="30">
        <f t="shared" si="125"/>
        <v>287052</v>
      </c>
      <c r="KWR23" s="30">
        <f t="shared" si="125"/>
        <v>287083</v>
      </c>
      <c r="KWS23" s="30">
        <f t="shared" si="125"/>
        <v>287114</v>
      </c>
      <c r="KWT23" s="30">
        <f t="shared" si="125"/>
        <v>287142</v>
      </c>
      <c r="KWU23" s="30">
        <f t="shared" si="125"/>
        <v>287173</v>
      </c>
      <c r="KWV23" s="30">
        <f t="shared" si="125"/>
        <v>287203</v>
      </c>
      <c r="KWW23" s="30">
        <f t="shared" si="125"/>
        <v>287234</v>
      </c>
      <c r="KWX23" s="30">
        <f t="shared" si="125"/>
        <v>287264</v>
      </c>
      <c r="KWY23" s="30">
        <f t="shared" si="125"/>
        <v>287295</v>
      </c>
      <c r="KWZ23" s="30">
        <f t="shared" si="125"/>
        <v>287326</v>
      </c>
      <c r="KXA23" s="30">
        <f t="shared" si="125"/>
        <v>287356</v>
      </c>
      <c r="KXB23" s="30">
        <f t="shared" si="125"/>
        <v>287387</v>
      </c>
      <c r="KXC23" s="30">
        <f t="shared" si="125"/>
        <v>287417</v>
      </c>
      <c r="KXD23" s="30">
        <f t="shared" si="125"/>
        <v>287448</v>
      </c>
      <c r="KXE23" s="30">
        <f t="shared" si="125"/>
        <v>287479</v>
      </c>
      <c r="KXF23" s="30">
        <f t="shared" si="125"/>
        <v>287507</v>
      </c>
      <c r="KXG23" s="30">
        <f t="shared" si="125"/>
        <v>287538</v>
      </c>
      <c r="KXH23" s="30">
        <f t="shared" ref="KXH23:KZS23" si="126">EDATE(KXG23,1)</f>
        <v>287568</v>
      </c>
      <c r="KXI23" s="30">
        <f t="shared" si="126"/>
        <v>287599</v>
      </c>
      <c r="KXJ23" s="30">
        <f t="shared" si="126"/>
        <v>287629</v>
      </c>
      <c r="KXK23" s="30">
        <f t="shared" si="126"/>
        <v>287660</v>
      </c>
      <c r="KXL23" s="30">
        <f t="shared" si="126"/>
        <v>287691</v>
      </c>
      <c r="KXM23" s="30">
        <f t="shared" si="126"/>
        <v>287721</v>
      </c>
      <c r="KXN23" s="30">
        <f t="shared" si="126"/>
        <v>287752</v>
      </c>
      <c r="KXO23" s="30">
        <f t="shared" si="126"/>
        <v>287782</v>
      </c>
      <c r="KXP23" s="30">
        <f t="shared" si="126"/>
        <v>287813</v>
      </c>
      <c r="KXQ23" s="30">
        <f t="shared" si="126"/>
        <v>287844</v>
      </c>
      <c r="KXR23" s="30">
        <f t="shared" si="126"/>
        <v>287873</v>
      </c>
      <c r="KXS23" s="30">
        <f t="shared" si="126"/>
        <v>287904</v>
      </c>
      <c r="KXT23" s="30">
        <f t="shared" si="126"/>
        <v>287934</v>
      </c>
      <c r="KXU23" s="30">
        <f t="shared" si="126"/>
        <v>287965</v>
      </c>
      <c r="KXV23" s="30">
        <f t="shared" si="126"/>
        <v>287995</v>
      </c>
      <c r="KXW23" s="30">
        <f t="shared" si="126"/>
        <v>288026</v>
      </c>
      <c r="KXX23" s="30">
        <f t="shared" si="126"/>
        <v>288057</v>
      </c>
      <c r="KXY23" s="30">
        <f t="shared" si="126"/>
        <v>288087</v>
      </c>
      <c r="KXZ23" s="30">
        <f t="shared" si="126"/>
        <v>288118</v>
      </c>
      <c r="KYA23" s="30">
        <f t="shared" si="126"/>
        <v>288148</v>
      </c>
      <c r="KYB23" s="30">
        <f t="shared" si="126"/>
        <v>288179</v>
      </c>
      <c r="KYC23" s="30">
        <f t="shared" si="126"/>
        <v>288210</v>
      </c>
      <c r="KYD23" s="30">
        <f t="shared" si="126"/>
        <v>288238</v>
      </c>
      <c r="KYE23" s="30">
        <f t="shared" si="126"/>
        <v>288269</v>
      </c>
      <c r="KYF23" s="30">
        <f t="shared" si="126"/>
        <v>288299</v>
      </c>
      <c r="KYG23" s="30">
        <f t="shared" si="126"/>
        <v>288330</v>
      </c>
      <c r="KYH23" s="30">
        <f t="shared" si="126"/>
        <v>288360</v>
      </c>
      <c r="KYI23" s="30">
        <f t="shared" si="126"/>
        <v>288391</v>
      </c>
      <c r="KYJ23" s="30">
        <f t="shared" si="126"/>
        <v>288422</v>
      </c>
      <c r="KYK23" s="30">
        <f t="shared" si="126"/>
        <v>288452</v>
      </c>
      <c r="KYL23" s="30">
        <f t="shared" si="126"/>
        <v>288483</v>
      </c>
      <c r="KYM23" s="30">
        <f t="shared" si="126"/>
        <v>288513</v>
      </c>
      <c r="KYN23" s="30">
        <f t="shared" si="126"/>
        <v>288544</v>
      </c>
      <c r="KYO23" s="30">
        <f t="shared" si="126"/>
        <v>288575</v>
      </c>
      <c r="KYP23" s="30">
        <f t="shared" si="126"/>
        <v>288603</v>
      </c>
      <c r="KYQ23" s="30">
        <f t="shared" si="126"/>
        <v>288634</v>
      </c>
      <c r="KYR23" s="30">
        <f t="shared" si="126"/>
        <v>288664</v>
      </c>
      <c r="KYS23" s="30">
        <f t="shared" si="126"/>
        <v>288695</v>
      </c>
      <c r="KYT23" s="30">
        <f t="shared" si="126"/>
        <v>288725</v>
      </c>
      <c r="KYU23" s="30">
        <f t="shared" si="126"/>
        <v>288756</v>
      </c>
      <c r="KYV23" s="30">
        <f t="shared" si="126"/>
        <v>288787</v>
      </c>
      <c r="KYW23" s="30">
        <f t="shared" si="126"/>
        <v>288817</v>
      </c>
      <c r="KYX23" s="30">
        <f t="shared" si="126"/>
        <v>288848</v>
      </c>
      <c r="KYY23" s="30">
        <f t="shared" si="126"/>
        <v>288878</v>
      </c>
      <c r="KYZ23" s="30">
        <f t="shared" si="126"/>
        <v>288909</v>
      </c>
      <c r="KZA23" s="30">
        <f t="shared" si="126"/>
        <v>288940</v>
      </c>
      <c r="KZB23" s="30">
        <f t="shared" si="126"/>
        <v>288968</v>
      </c>
      <c r="KZC23" s="30">
        <f t="shared" si="126"/>
        <v>288999</v>
      </c>
      <c r="KZD23" s="30">
        <f t="shared" si="126"/>
        <v>289029</v>
      </c>
      <c r="KZE23" s="30">
        <f t="shared" si="126"/>
        <v>289060</v>
      </c>
      <c r="KZF23" s="30">
        <f t="shared" si="126"/>
        <v>289090</v>
      </c>
      <c r="KZG23" s="30">
        <f t="shared" si="126"/>
        <v>289121</v>
      </c>
      <c r="KZH23" s="30">
        <f t="shared" si="126"/>
        <v>289152</v>
      </c>
      <c r="KZI23" s="30">
        <f t="shared" si="126"/>
        <v>289182</v>
      </c>
      <c r="KZJ23" s="30">
        <f t="shared" si="126"/>
        <v>289213</v>
      </c>
      <c r="KZK23" s="30">
        <f t="shared" si="126"/>
        <v>289243</v>
      </c>
      <c r="KZL23" s="30">
        <f t="shared" si="126"/>
        <v>289274</v>
      </c>
      <c r="KZM23" s="30">
        <f t="shared" si="126"/>
        <v>289305</v>
      </c>
      <c r="KZN23" s="30">
        <f t="shared" si="126"/>
        <v>289334</v>
      </c>
      <c r="KZO23" s="30">
        <f t="shared" si="126"/>
        <v>289365</v>
      </c>
      <c r="KZP23" s="30">
        <f t="shared" si="126"/>
        <v>289395</v>
      </c>
      <c r="KZQ23" s="30">
        <f t="shared" si="126"/>
        <v>289426</v>
      </c>
      <c r="KZR23" s="30">
        <f t="shared" si="126"/>
        <v>289456</v>
      </c>
      <c r="KZS23" s="30">
        <f t="shared" si="126"/>
        <v>289487</v>
      </c>
      <c r="KZT23" s="30">
        <f t="shared" ref="KZT23:LCE23" si="127">EDATE(KZS23,1)</f>
        <v>289518</v>
      </c>
      <c r="KZU23" s="30">
        <f t="shared" si="127"/>
        <v>289548</v>
      </c>
      <c r="KZV23" s="30">
        <f t="shared" si="127"/>
        <v>289579</v>
      </c>
      <c r="KZW23" s="30">
        <f t="shared" si="127"/>
        <v>289609</v>
      </c>
      <c r="KZX23" s="30">
        <f t="shared" si="127"/>
        <v>289640</v>
      </c>
      <c r="KZY23" s="30">
        <f t="shared" si="127"/>
        <v>289671</v>
      </c>
      <c r="KZZ23" s="30">
        <f t="shared" si="127"/>
        <v>289699</v>
      </c>
      <c r="LAA23" s="30">
        <f t="shared" si="127"/>
        <v>289730</v>
      </c>
      <c r="LAB23" s="30">
        <f t="shared" si="127"/>
        <v>289760</v>
      </c>
      <c r="LAC23" s="30">
        <f t="shared" si="127"/>
        <v>289791</v>
      </c>
      <c r="LAD23" s="30">
        <f t="shared" si="127"/>
        <v>289821</v>
      </c>
      <c r="LAE23" s="30">
        <f t="shared" si="127"/>
        <v>289852</v>
      </c>
      <c r="LAF23" s="30">
        <f t="shared" si="127"/>
        <v>289883</v>
      </c>
      <c r="LAG23" s="30">
        <f t="shared" si="127"/>
        <v>289913</v>
      </c>
      <c r="LAH23" s="30">
        <f t="shared" si="127"/>
        <v>289944</v>
      </c>
      <c r="LAI23" s="30">
        <f t="shared" si="127"/>
        <v>289974</v>
      </c>
      <c r="LAJ23" s="30">
        <f t="shared" si="127"/>
        <v>290005</v>
      </c>
      <c r="LAK23" s="30">
        <f t="shared" si="127"/>
        <v>290036</v>
      </c>
      <c r="LAL23" s="30">
        <f t="shared" si="127"/>
        <v>290064</v>
      </c>
      <c r="LAM23" s="30">
        <f t="shared" si="127"/>
        <v>290095</v>
      </c>
      <c r="LAN23" s="30">
        <f t="shared" si="127"/>
        <v>290125</v>
      </c>
      <c r="LAO23" s="30">
        <f t="shared" si="127"/>
        <v>290156</v>
      </c>
      <c r="LAP23" s="30">
        <f t="shared" si="127"/>
        <v>290186</v>
      </c>
      <c r="LAQ23" s="30">
        <f t="shared" si="127"/>
        <v>290217</v>
      </c>
      <c r="LAR23" s="30">
        <f t="shared" si="127"/>
        <v>290248</v>
      </c>
      <c r="LAS23" s="30">
        <f t="shared" si="127"/>
        <v>290278</v>
      </c>
      <c r="LAT23" s="30">
        <f t="shared" si="127"/>
        <v>290309</v>
      </c>
      <c r="LAU23" s="30">
        <f t="shared" si="127"/>
        <v>290339</v>
      </c>
      <c r="LAV23" s="30">
        <f t="shared" si="127"/>
        <v>290370</v>
      </c>
      <c r="LAW23" s="30">
        <f t="shared" si="127"/>
        <v>290401</v>
      </c>
      <c r="LAX23" s="30">
        <f t="shared" si="127"/>
        <v>290429</v>
      </c>
      <c r="LAY23" s="30">
        <f t="shared" si="127"/>
        <v>290460</v>
      </c>
      <c r="LAZ23" s="30">
        <f t="shared" si="127"/>
        <v>290490</v>
      </c>
      <c r="LBA23" s="30">
        <f t="shared" si="127"/>
        <v>290521</v>
      </c>
      <c r="LBB23" s="30">
        <f t="shared" si="127"/>
        <v>290551</v>
      </c>
      <c r="LBC23" s="30">
        <f t="shared" si="127"/>
        <v>290582</v>
      </c>
      <c r="LBD23" s="30">
        <f t="shared" si="127"/>
        <v>290613</v>
      </c>
      <c r="LBE23" s="30">
        <f t="shared" si="127"/>
        <v>290643</v>
      </c>
      <c r="LBF23" s="30">
        <f t="shared" si="127"/>
        <v>290674</v>
      </c>
      <c r="LBG23" s="30">
        <f t="shared" si="127"/>
        <v>290704</v>
      </c>
      <c r="LBH23" s="30">
        <f t="shared" si="127"/>
        <v>290735</v>
      </c>
      <c r="LBI23" s="30">
        <f t="shared" si="127"/>
        <v>290766</v>
      </c>
      <c r="LBJ23" s="30">
        <f t="shared" si="127"/>
        <v>290795</v>
      </c>
      <c r="LBK23" s="30">
        <f t="shared" si="127"/>
        <v>290826</v>
      </c>
      <c r="LBL23" s="30">
        <f t="shared" si="127"/>
        <v>290856</v>
      </c>
      <c r="LBM23" s="30">
        <f t="shared" si="127"/>
        <v>290887</v>
      </c>
      <c r="LBN23" s="30">
        <f t="shared" si="127"/>
        <v>290917</v>
      </c>
      <c r="LBO23" s="30">
        <f t="shared" si="127"/>
        <v>290948</v>
      </c>
      <c r="LBP23" s="30">
        <f t="shared" si="127"/>
        <v>290979</v>
      </c>
      <c r="LBQ23" s="30">
        <f t="shared" si="127"/>
        <v>291009</v>
      </c>
      <c r="LBR23" s="30">
        <f t="shared" si="127"/>
        <v>291040</v>
      </c>
      <c r="LBS23" s="30">
        <f t="shared" si="127"/>
        <v>291070</v>
      </c>
      <c r="LBT23" s="30">
        <f t="shared" si="127"/>
        <v>291101</v>
      </c>
      <c r="LBU23" s="30">
        <f t="shared" si="127"/>
        <v>291132</v>
      </c>
      <c r="LBV23" s="30">
        <f t="shared" si="127"/>
        <v>291160</v>
      </c>
      <c r="LBW23" s="30">
        <f t="shared" si="127"/>
        <v>291191</v>
      </c>
      <c r="LBX23" s="30">
        <f t="shared" si="127"/>
        <v>291221</v>
      </c>
      <c r="LBY23" s="30">
        <f t="shared" si="127"/>
        <v>291252</v>
      </c>
      <c r="LBZ23" s="30">
        <f t="shared" si="127"/>
        <v>291282</v>
      </c>
      <c r="LCA23" s="30">
        <f t="shared" si="127"/>
        <v>291313</v>
      </c>
      <c r="LCB23" s="30">
        <f t="shared" si="127"/>
        <v>291344</v>
      </c>
      <c r="LCC23" s="30">
        <f t="shared" si="127"/>
        <v>291374</v>
      </c>
      <c r="LCD23" s="30">
        <f t="shared" si="127"/>
        <v>291405</v>
      </c>
      <c r="LCE23" s="30">
        <f t="shared" si="127"/>
        <v>291435</v>
      </c>
      <c r="LCF23" s="30">
        <f t="shared" ref="LCF23:LEQ23" si="128">EDATE(LCE23,1)</f>
        <v>291466</v>
      </c>
      <c r="LCG23" s="30">
        <f t="shared" si="128"/>
        <v>291497</v>
      </c>
      <c r="LCH23" s="30">
        <f t="shared" si="128"/>
        <v>291525</v>
      </c>
      <c r="LCI23" s="30">
        <f t="shared" si="128"/>
        <v>291556</v>
      </c>
      <c r="LCJ23" s="30">
        <f t="shared" si="128"/>
        <v>291586</v>
      </c>
      <c r="LCK23" s="30">
        <f t="shared" si="128"/>
        <v>291617</v>
      </c>
      <c r="LCL23" s="30">
        <f t="shared" si="128"/>
        <v>291647</v>
      </c>
      <c r="LCM23" s="30">
        <f t="shared" si="128"/>
        <v>291678</v>
      </c>
      <c r="LCN23" s="30">
        <f t="shared" si="128"/>
        <v>291709</v>
      </c>
      <c r="LCO23" s="30">
        <f t="shared" si="128"/>
        <v>291739</v>
      </c>
      <c r="LCP23" s="30">
        <f t="shared" si="128"/>
        <v>291770</v>
      </c>
      <c r="LCQ23" s="30">
        <f t="shared" si="128"/>
        <v>291800</v>
      </c>
      <c r="LCR23" s="30">
        <f t="shared" si="128"/>
        <v>291831</v>
      </c>
      <c r="LCS23" s="30">
        <f t="shared" si="128"/>
        <v>291862</v>
      </c>
      <c r="LCT23" s="30">
        <f t="shared" si="128"/>
        <v>291890</v>
      </c>
      <c r="LCU23" s="30">
        <f t="shared" si="128"/>
        <v>291921</v>
      </c>
      <c r="LCV23" s="30">
        <f t="shared" si="128"/>
        <v>291951</v>
      </c>
      <c r="LCW23" s="30">
        <f t="shared" si="128"/>
        <v>291982</v>
      </c>
      <c r="LCX23" s="30">
        <f t="shared" si="128"/>
        <v>292012</v>
      </c>
      <c r="LCY23" s="30">
        <f t="shared" si="128"/>
        <v>292043</v>
      </c>
      <c r="LCZ23" s="30">
        <f t="shared" si="128"/>
        <v>292074</v>
      </c>
      <c r="LDA23" s="30">
        <f t="shared" si="128"/>
        <v>292104</v>
      </c>
      <c r="LDB23" s="30">
        <f t="shared" si="128"/>
        <v>292135</v>
      </c>
      <c r="LDC23" s="30">
        <f t="shared" si="128"/>
        <v>292165</v>
      </c>
      <c r="LDD23" s="30">
        <f t="shared" si="128"/>
        <v>292196</v>
      </c>
      <c r="LDE23" s="30">
        <f t="shared" si="128"/>
        <v>292227</v>
      </c>
      <c r="LDF23" s="30">
        <f t="shared" si="128"/>
        <v>292255</v>
      </c>
      <c r="LDG23" s="30">
        <f t="shared" si="128"/>
        <v>292286</v>
      </c>
      <c r="LDH23" s="30">
        <f t="shared" si="128"/>
        <v>292316</v>
      </c>
      <c r="LDI23" s="30">
        <f t="shared" si="128"/>
        <v>292347</v>
      </c>
      <c r="LDJ23" s="30">
        <f t="shared" si="128"/>
        <v>292377</v>
      </c>
      <c r="LDK23" s="30">
        <f t="shared" si="128"/>
        <v>292408</v>
      </c>
      <c r="LDL23" s="30">
        <f t="shared" si="128"/>
        <v>292439</v>
      </c>
      <c r="LDM23" s="30">
        <f t="shared" si="128"/>
        <v>292469</v>
      </c>
      <c r="LDN23" s="30">
        <f t="shared" si="128"/>
        <v>292500</v>
      </c>
      <c r="LDO23" s="30">
        <f t="shared" si="128"/>
        <v>292530</v>
      </c>
      <c r="LDP23" s="30">
        <f t="shared" si="128"/>
        <v>292561</v>
      </c>
      <c r="LDQ23" s="30">
        <f t="shared" si="128"/>
        <v>292592</v>
      </c>
      <c r="LDR23" s="30">
        <f t="shared" si="128"/>
        <v>292620</v>
      </c>
      <c r="LDS23" s="30">
        <f t="shared" si="128"/>
        <v>292651</v>
      </c>
      <c r="LDT23" s="30">
        <f t="shared" si="128"/>
        <v>292681</v>
      </c>
      <c r="LDU23" s="30">
        <f t="shared" si="128"/>
        <v>292712</v>
      </c>
      <c r="LDV23" s="30">
        <f t="shared" si="128"/>
        <v>292742</v>
      </c>
      <c r="LDW23" s="30">
        <f t="shared" si="128"/>
        <v>292773</v>
      </c>
      <c r="LDX23" s="30">
        <f t="shared" si="128"/>
        <v>292804</v>
      </c>
      <c r="LDY23" s="30">
        <f t="shared" si="128"/>
        <v>292834</v>
      </c>
      <c r="LDZ23" s="30">
        <f t="shared" si="128"/>
        <v>292865</v>
      </c>
      <c r="LEA23" s="30">
        <f t="shared" si="128"/>
        <v>292895</v>
      </c>
      <c r="LEB23" s="30">
        <f t="shared" si="128"/>
        <v>292926</v>
      </c>
      <c r="LEC23" s="30">
        <f t="shared" si="128"/>
        <v>292957</v>
      </c>
      <c r="LED23" s="30">
        <f t="shared" si="128"/>
        <v>292985</v>
      </c>
      <c r="LEE23" s="30">
        <f t="shared" si="128"/>
        <v>293016</v>
      </c>
      <c r="LEF23" s="30">
        <f t="shared" si="128"/>
        <v>293046</v>
      </c>
      <c r="LEG23" s="30">
        <f t="shared" si="128"/>
        <v>293077</v>
      </c>
      <c r="LEH23" s="30">
        <f t="shared" si="128"/>
        <v>293107</v>
      </c>
      <c r="LEI23" s="30">
        <f t="shared" si="128"/>
        <v>293138</v>
      </c>
      <c r="LEJ23" s="30">
        <f t="shared" si="128"/>
        <v>293169</v>
      </c>
      <c r="LEK23" s="30">
        <f t="shared" si="128"/>
        <v>293199</v>
      </c>
      <c r="LEL23" s="30">
        <f t="shared" si="128"/>
        <v>293230</v>
      </c>
      <c r="LEM23" s="30">
        <f t="shared" si="128"/>
        <v>293260</v>
      </c>
      <c r="LEN23" s="30">
        <f t="shared" si="128"/>
        <v>293291</v>
      </c>
      <c r="LEO23" s="30">
        <f t="shared" si="128"/>
        <v>293322</v>
      </c>
      <c r="LEP23" s="30">
        <f t="shared" si="128"/>
        <v>293350</v>
      </c>
      <c r="LEQ23" s="30">
        <f t="shared" si="128"/>
        <v>293381</v>
      </c>
      <c r="LER23" s="30">
        <f t="shared" ref="LER23:LHC23" si="129">EDATE(LEQ23,1)</f>
        <v>293411</v>
      </c>
      <c r="LES23" s="30">
        <f t="shared" si="129"/>
        <v>293442</v>
      </c>
      <c r="LET23" s="30">
        <f t="shared" si="129"/>
        <v>293472</v>
      </c>
      <c r="LEU23" s="30">
        <f t="shared" si="129"/>
        <v>293503</v>
      </c>
      <c r="LEV23" s="30">
        <f t="shared" si="129"/>
        <v>293534</v>
      </c>
      <c r="LEW23" s="30">
        <f t="shared" si="129"/>
        <v>293564</v>
      </c>
      <c r="LEX23" s="30">
        <f t="shared" si="129"/>
        <v>293595</v>
      </c>
      <c r="LEY23" s="30">
        <f t="shared" si="129"/>
        <v>293625</v>
      </c>
      <c r="LEZ23" s="30">
        <f t="shared" si="129"/>
        <v>293656</v>
      </c>
      <c r="LFA23" s="30">
        <f t="shared" si="129"/>
        <v>293687</v>
      </c>
      <c r="LFB23" s="30">
        <f t="shared" si="129"/>
        <v>293716</v>
      </c>
      <c r="LFC23" s="30">
        <f t="shared" si="129"/>
        <v>293747</v>
      </c>
      <c r="LFD23" s="30">
        <f t="shared" si="129"/>
        <v>293777</v>
      </c>
      <c r="LFE23" s="30">
        <f t="shared" si="129"/>
        <v>293808</v>
      </c>
      <c r="LFF23" s="30">
        <f t="shared" si="129"/>
        <v>293838</v>
      </c>
      <c r="LFG23" s="30">
        <f t="shared" si="129"/>
        <v>293869</v>
      </c>
      <c r="LFH23" s="30">
        <f t="shared" si="129"/>
        <v>293900</v>
      </c>
      <c r="LFI23" s="30">
        <f t="shared" si="129"/>
        <v>293930</v>
      </c>
      <c r="LFJ23" s="30">
        <f t="shared" si="129"/>
        <v>293961</v>
      </c>
      <c r="LFK23" s="30">
        <f t="shared" si="129"/>
        <v>293991</v>
      </c>
      <c r="LFL23" s="30">
        <f t="shared" si="129"/>
        <v>294022</v>
      </c>
      <c r="LFM23" s="30">
        <f t="shared" si="129"/>
        <v>294053</v>
      </c>
      <c r="LFN23" s="30">
        <f t="shared" si="129"/>
        <v>294081</v>
      </c>
      <c r="LFO23" s="30">
        <f t="shared" si="129"/>
        <v>294112</v>
      </c>
      <c r="LFP23" s="30">
        <f t="shared" si="129"/>
        <v>294142</v>
      </c>
      <c r="LFQ23" s="30">
        <f t="shared" si="129"/>
        <v>294173</v>
      </c>
      <c r="LFR23" s="30">
        <f t="shared" si="129"/>
        <v>294203</v>
      </c>
      <c r="LFS23" s="30">
        <f t="shared" si="129"/>
        <v>294234</v>
      </c>
      <c r="LFT23" s="30">
        <f t="shared" si="129"/>
        <v>294265</v>
      </c>
      <c r="LFU23" s="30">
        <f t="shared" si="129"/>
        <v>294295</v>
      </c>
      <c r="LFV23" s="30">
        <f t="shared" si="129"/>
        <v>294326</v>
      </c>
      <c r="LFW23" s="30">
        <f t="shared" si="129"/>
        <v>294356</v>
      </c>
      <c r="LFX23" s="30">
        <f t="shared" si="129"/>
        <v>294387</v>
      </c>
      <c r="LFY23" s="30">
        <f t="shared" si="129"/>
        <v>294418</v>
      </c>
      <c r="LFZ23" s="30">
        <f t="shared" si="129"/>
        <v>294446</v>
      </c>
      <c r="LGA23" s="30">
        <f t="shared" si="129"/>
        <v>294477</v>
      </c>
      <c r="LGB23" s="30">
        <f t="shared" si="129"/>
        <v>294507</v>
      </c>
      <c r="LGC23" s="30">
        <f t="shared" si="129"/>
        <v>294538</v>
      </c>
      <c r="LGD23" s="30">
        <f t="shared" si="129"/>
        <v>294568</v>
      </c>
      <c r="LGE23" s="30">
        <f t="shared" si="129"/>
        <v>294599</v>
      </c>
      <c r="LGF23" s="30">
        <f t="shared" si="129"/>
        <v>294630</v>
      </c>
      <c r="LGG23" s="30">
        <f t="shared" si="129"/>
        <v>294660</v>
      </c>
      <c r="LGH23" s="30">
        <f t="shared" si="129"/>
        <v>294691</v>
      </c>
      <c r="LGI23" s="30">
        <f t="shared" si="129"/>
        <v>294721</v>
      </c>
      <c r="LGJ23" s="30">
        <f t="shared" si="129"/>
        <v>294752</v>
      </c>
      <c r="LGK23" s="30">
        <f t="shared" si="129"/>
        <v>294783</v>
      </c>
      <c r="LGL23" s="30">
        <f t="shared" si="129"/>
        <v>294811</v>
      </c>
      <c r="LGM23" s="30">
        <f t="shared" si="129"/>
        <v>294842</v>
      </c>
      <c r="LGN23" s="30">
        <f t="shared" si="129"/>
        <v>294872</v>
      </c>
      <c r="LGO23" s="30">
        <f t="shared" si="129"/>
        <v>294903</v>
      </c>
      <c r="LGP23" s="30">
        <f t="shared" si="129"/>
        <v>294933</v>
      </c>
      <c r="LGQ23" s="30">
        <f t="shared" si="129"/>
        <v>294964</v>
      </c>
      <c r="LGR23" s="30">
        <f t="shared" si="129"/>
        <v>294995</v>
      </c>
      <c r="LGS23" s="30">
        <f t="shared" si="129"/>
        <v>295025</v>
      </c>
      <c r="LGT23" s="30">
        <f t="shared" si="129"/>
        <v>295056</v>
      </c>
      <c r="LGU23" s="30">
        <f t="shared" si="129"/>
        <v>295086</v>
      </c>
      <c r="LGV23" s="30">
        <f t="shared" si="129"/>
        <v>295117</v>
      </c>
      <c r="LGW23" s="30">
        <f t="shared" si="129"/>
        <v>295148</v>
      </c>
      <c r="LGX23" s="30">
        <f t="shared" si="129"/>
        <v>295177</v>
      </c>
      <c r="LGY23" s="30">
        <f t="shared" si="129"/>
        <v>295208</v>
      </c>
      <c r="LGZ23" s="30">
        <f t="shared" si="129"/>
        <v>295238</v>
      </c>
      <c r="LHA23" s="30">
        <f t="shared" si="129"/>
        <v>295269</v>
      </c>
      <c r="LHB23" s="30">
        <f t="shared" si="129"/>
        <v>295299</v>
      </c>
      <c r="LHC23" s="30">
        <f t="shared" si="129"/>
        <v>295330</v>
      </c>
      <c r="LHD23" s="30">
        <f t="shared" ref="LHD23:LJO23" si="130">EDATE(LHC23,1)</f>
        <v>295361</v>
      </c>
      <c r="LHE23" s="30">
        <f t="shared" si="130"/>
        <v>295391</v>
      </c>
      <c r="LHF23" s="30">
        <f t="shared" si="130"/>
        <v>295422</v>
      </c>
      <c r="LHG23" s="30">
        <f t="shared" si="130"/>
        <v>295452</v>
      </c>
      <c r="LHH23" s="30">
        <f t="shared" si="130"/>
        <v>295483</v>
      </c>
      <c r="LHI23" s="30">
        <f t="shared" si="130"/>
        <v>295514</v>
      </c>
      <c r="LHJ23" s="30">
        <f t="shared" si="130"/>
        <v>295542</v>
      </c>
      <c r="LHK23" s="30">
        <f t="shared" si="130"/>
        <v>295573</v>
      </c>
      <c r="LHL23" s="30">
        <f t="shared" si="130"/>
        <v>295603</v>
      </c>
      <c r="LHM23" s="30">
        <f t="shared" si="130"/>
        <v>295634</v>
      </c>
      <c r="LHN23" s="30">
        <f t="shared" si="130"/>
        <v>295664</v>
      </c>
      <c r="LHO23" s="30">
        <f t="shared" si="130"/>
        <v>295695</v>
      </c>
      <c r="LHP23" s="30">
        <f t="shared" si="130"/>
        <v>295726</v>
      </c>
      <c r="LHQ23" s="30">
        <f t="shared" si="130"/>
        <v>295756</v>
      </c>
      <c r="LHR23" s="30">
        <f t="shared" si="130"/>
        <v>295787</v>
      </c>
      <c r="LHS23" s="30">
        <f t="shared" si="130"/>
        <v>295817</v>
      </c>
      <c r="LHT23" s="30">
        <f t="shared" si="130"/>
        <v>295848</v>
      </c>
      <c r="LHU23" s="30">
        <f t="shared" si="130"/>
        <v>295879</v>
      </c>
      <c r="LHV23" s="30">
        <f t="shared" si="130"/>
        <v>295907</v>
      </c>
      <c r="LHW23" s="30">
        <f t="shared" si="130"/>
        <v>295938</v>
      </c>
      <c r="LHX23" s="30">
        <f t="shared" si="130"/>
        <v>295968</v>
      </c>
      <c r="LHY23" s="30">
        <f t="shared" si="130"/>
        <v>295999</v>
      </c>
      <c r="LHZ23" s="30">
        <f t="shared" si="130"/>
        <v>296029</v>
      </c>
      <c r="LIA23" s="30">
        <f t="shared" si="130"/>
        <v>296060</v>
      </c>
      <c r="LIB23" s="30">
        <f t="shared" si="130"/>
        <v>296091</v>
      </c>
      <c r="LIC23" s="30">
        <f t="shared" si="130"/>
        <v>296121</v>
      </c>
      <c r="LID23" s="30">
        <f t="shared" si="130"/>
        <v>296152</v>
      </c>
      <c r="LIE23" s="30">
        <f t="shared" si="130"/>
        <v>296182</v>
      </c>
      <c r="LIF23" s="30">
        <f t="shared" si="130"/>
        <v>296213</v>
      </c>
      <c r="LIG23" s="30">
        <f t="shared" si="130"/>
        <v>296244</v>
      </c>
      <c r="LIH23" s="30">
        <f t="shared" si="130"/>
        <v>296272</v>
      </c>
      <c r="LII23" s="30">
        <f t="shared" si="130"/>
        <v>296303</v>
      </c>
      <c r="LIJ23" s="30">
        <f t="shared" si="130"/>
        <v>296333</v>
      </c>
      <c r="LIK23" s="30">
        <f t="shared" si="130"/>
        <v>296364</v>
      </c>
      <c r="LIL23" s="30">
        <f t="shared" si="130"/>
        <v>296394</v>
      </c>
      <c r="LIM23" s="30">
        <f t="shared" si="130"/>
        <v>296425</v>
      </c>
      <c r="LIN23" s="30">
        <f t="shared" si="130"/>
        <v>296456</v>
      </c>
      <c r="LIO23" s="30">
        <f t="shared" si="130"/>
        <v>296486</v>
      </c>
      <c r="LIP23" s="30">
        <f t="shared" si="130"/>
        <v>296517</v>
      </c>
      <c r="LIQ23" s="30">
        <f t="shared" si="130"/>
        <v>296547</v>
      </c>
      <c r="LIR23" s="30">
        <f t="shared" si="130"/>
        <v>296578</v>
      </c>
      <c r="LIS23" s="30">
        <f t="shared" si="130"/>
        <v>296609</v>
      </c>
      <c r="LIT23" s="30">
        <f t="shared" si="130"/>
        <v>296638</v>
      </c>
      <c r="LIU23" s="30">
        <f t="shared" si="130"/>
        <v>296669</v>
      </c>
      <c r="LIV23" s="30">
        <f t="shared" si="130"/>
        <v>296699</v>
      </c>
      <c r="LIW23" s="30">
        <f t="shared" si="130"/>
        <v>296730</v>
      </c>
      <c r="LIX23" s="30">
        <f t="shared" si="130"/>
        <v>296760</v>
      </c>
      <c r="LIY23" s="30">
        <f t="shared" si="130"/>
        <v>296791</v>
      </c>
      <c r="LIZ23" s="30">
        <f t="shared" si="130"/>
        <v>296822</v>
      </c>
      <c r="LJA23" s="30">
        <f t="shared" si="130"/>
        <v>296852</v>
      </c>
      <c r="LJB23" s="30">
        <f t="shared" si="130"/>
        <v>296883</v>
      </c>
      <c r="LJC23" s="30">
        <f t="shared" si="130"/>
        <v>296913</v>
      </c>
      <c r="LJD23" s="30">
        <f t="shared" si="130"/>
        <v>296944</v>
      </c>
      <c r="LJE23" s="30">
        <f t="shared" si="130"/>
        <v>296975</v>
      </c>
      <c r="LJF23" s="30">
        <f t="shared" si="130"/>
        <v>297003</v>
      </c>
      <c r="LJG23" s="30">
        <f t="shared" si="130"/>
        <v>297034</v>
      </c>
      <c r="LJH23" s="30">
        <f t="shared" si="130"/>
        <v>297064</v>
      </c>
      <c r="LJI23" s="30">
        <f t="shared" si="130"/>
        <v>297095</v>
      </c>
      <c r="LJJ23" s="30">
        <f t="shared" si="130"/>
        <v>297125</v>
      </c>
      <c r="LJK23" s="30">
        <f t="shared" si="130"/>
        <v>297156</v>
      </c>
      <c r="LJL23" s="30">
        <f t="shared" si="130"/>
        <v>297187</v>
      </c>
      <c r="LJM23" s="30">
        <f t="shared" si="130"/>
        <v>297217</v>
      </c>
      <c r="LJN23" s="30">
        <f t="shared" si="130"/>
        <v>297248</v>
      </c>
      <c r="LJO23" s="30">
        <f t="shared" si="130"/>
        <v>297278</v>
      </c>
      <c r="LJP23" s="30">
        <f t="shared" ref="LJP23:LMA23" si="131">EDATE(LJO23,1)</f>
        <v>297309</v>
      </c>
      <c r="LJQ23" s="30">
        <f t="shared" si="131"/>
        <v>297340</v>
      </c>
      <c r="LJR23" s="30">
        <f t="shared" si="131"/>
        <v>297368</v>
      </c>
      <c r="LJS23" s="30">
        <f t="shared" si="131"/>
        <v>297399</v>
      </c>
      <c r="LJT23" s="30">
        <f t="shared" si="131"/>
        <v>297429</v>
      </c>
      <c r="LJU23" s="30">
        <f t="shared" si="131"/>
        <v>297460</v>
      </c>
      <c r="LJV23" s="30">
        <f t="shared" si="131"/>
        <v>297490</v>
      </c>
      <c r="LJW23" s="30">
        <f t="shared" si="131"/>
        <v>297521</v>
      </c>
      <c r="LJX23" s="30">
        <f t="shared" si="131"/>
        <v>297552</v>
      </c>
      <c r="LJY23" s="30">
        <f t="shared" si="131"/>
        <v>297582</v>
      </c>
      <c r="LJZ23" s="30">
        <f t="shared" si="131"/>
        <v>297613</v>
      </c>
      <c r="LKA23" s="30">
        <f t="shared" si="131"/>
        <v>297643</v>
      </c>
      <c r="LKB23" s="30">
        <f t="shared" si="131"/>
        <v>297674</v>
      </c>
      <c r="LKC23" s="30">
        <f t="shared" si="131"/>
        <v>297705</v>
      </c>
      <c r="LKD23" s="30">
        <f t="shared" si="131"/>
        <v>297733</v>
      </c>
      <c r="LKE23" s="30">
        <f t="shared" si="131"/>
        <v>297764</v>
      </c>
      <c r="LKF23" s="30">
        <f t="shared" si="131"/>
        <v>297794</v>
      </c>
      <c r="LKG23" s="30">
        <f t="shared" si="131"/>
        <v>297825</v>
      </c>
      <c r="LKH23" s="30">
        <f t="shared" si="131"/>
        <v>297855</v>
      </c>
      <c r="LKI23" s="30">
        <f t="shared" si="131"/>
        <v>297886</v>
      </c>
      <c r="LKJ23" s="30">
        <f t="shared" si="131"/>
        <v>297917</v>
      </c>
      <c r="LKK23" s="30">
        <f t="shared" si="131"/>
        <v>297947</v>
      </c>
      <c r="LKL23" s="30">
        <f t="shared" si="131"/>
        <v>297978</v>
      </c>
      <c r="LKM23" s="30">
        <f t="shared" si="131"/>
        <v>298008</v>
      </c>
      <c r="LKN23" s="30">
        <f t="shared" si="131"/>
        <v>298039</v>
      </c>
      <c r="LKO23" s="30">
        <f t="shared" si="131"/>
        <v>298070</v>
      </c>
      <c r="LKP23" s="30">
        <f t="shared" si="131"/>
        <v>298099</v>
      </c>
      <c r="LKQ23" s="30">
        <f t="shared" si="131"/>
        <v>298130</v>
      </c>
      <c r="LKR23" s="30">
        <f t="shared" si="131"/>
        <v>298160</v>
      </c>
      <c r="LKS23" s="30">
        <f t="shared" si="131"/>
        <v>298191</v>
      </c>
      <c r="LKT23" s="30">
        <f t="shared" si="131"/>
        <v>298221</v>
      </c>
      <c r="LKU23" s="30">
        <f t="shared" si="131"/>
        <v>298252</v>
      </c>
      <c r="LKV23" s="30">
        <f t="shared" si="131"/>
        <v>298283</v>
      </c>
      <c r="LKW23" s="30">
        <f t="shared" si="131"/>
        <v>298313</v>
      </c>
      <c r="LKX23" s="30">
        <f t="shared" si="131"/>
        <v>298344</v>
      </c>
      <c r="LKY23" s="30">
        <f t="shared" si="131"/>
        <v>298374</v>
      </c>
      <c r="LKZ23" s="30">
        <f t="shared" si="131"/>
        <v>298405</v>
      </c>
      <c r="LLA23" s="30">
        <f t="shared" si="131"/>
        <v>298436</v>
      </c>
      <c r="LLB23" s="30">
        <f t="shared" si="131"/>
        <v>298464</v>
      </c>
      <c r="LLC23" s="30">
        <f t="shared" si="131"/>
        <v>298495</v>
      </c>
      <c r="LLD23" s="30">
        <f t="shared" si="131"/>
        <v>298525</v>
      </c>
      <c r="LLE23" s="30">
        <f t="shared" si="131"/>
        <v>298556</v>
      </c>
      <c r="LLF23" s="30">
        <f t="shared" si="131"/>
        <v>298586</v>
      </c>
      <c r="LLG23" s="30">
        <f t="shared" si="131"/>
        <v>298617</v>
      </c>
      <c r="LLH23" s="30">
        <f t="shared" si="131"/>
        <v>298648</v>
      </c>
      <c r="LLI23" s="30">
        <f t="shared" si="131"/>
        <v>298678</v>
      </c>
      <c r="LLJ23" s="30">
        <f t="shared" si="131"/>
        <v>298709</v>
      </c>
      <c r="LLK23" s="30">
        <f t="shared" si="131"/>
        <v>298739</v>
      </c>
      <c r="LLL23" s="30">
        <f t="shared" si="131"/>
        <v>298770</v>
      </c>
      <c r="LLM23" s="30">
        <f t="shared" si="131"/>
        <v>298801</v>
      </c>
      <c r="LLN23" s="30">
        <f t="shared" si="131"/>
        <v>298829</v>
      </c>
      <c r="LLO23" s="30">
        <f t="shared" si="131"/>
        <v>298860</v>
      </c>
      <c r="LLP23" s="30">
        <f t="shared" si="131"/>
        <v>298890</v>
      </c>
      <c r="LLQ23" s="30">
        <f t="shared" si="131"/>
        <v>298921</v>
      </c>
      <c r="LLR23" s="30">
        <f t="shared" si="131"/>
        <v>298951</v>
      </c>
      <c r="LLS23" s="30">
        <f t="shared" si="131"/>
        <v>298982</v>
      </c>
      <c r="LLT23" s="30">
        <f t="shared" si="131"/>
        <v>299013</v>
      </c>
      <c r="LLU23" s="30">
        <f t="shared" si="131"/>
        <v>299043</v>
      </c>
      <c r="LLV23" s="30">
        <f t="shared" si="131"/>
        <v>299074</v>
      </c>
      <c r="LLW23" s="30">
        <f t="shared" si="131"/>
        <v>299104</v>
      </c>
      <c r="LLX23" s="30">
        <f t="shared" si="131"/>
        <v>299135</v>
      </c>
      <c r="LLY23" s="30">
        <f t="shared" si="131"/>
        <v>299166</v>
      </c>
      <c r="LLZ23" s="30">
        <f t="shared" si="131"/>
        <v>299194</v>
      </c>
      <c r="LMA23" s="30">
        <f t="shared" si="131"/>
        <v>299225</v>
      </c>
      <c r="LMB23" s="30">
        <f t="shared" ref="LMB23:LOM23" si="132">EDATE(LMA23,1)</f>
        <v>299255</v>
      </c>
      <c r="LMC23" s="30">
        <f t="shared" si="132"/>
        <v>299286</v>
      </c>
      <c r="LMD23" s="30">
        <f t="shared" si="132"/>
        <v>299316</v>
      </c>
      <c r="LME23" s="30">
        <f t="shared" si="132"/>
        <v>299347</v>
      </c>
      <c r="LMF23" s="30">
        <f t="shared" si="132"/>
        <v>299378</v>
      </c>
      <c r="LMG23" s="30">
        <f t="shared" si="132"/>
        <v>299408</v>
      </c>
      <c r="LMH23" s="30">
        <f t="shared" si="132"/>
        <v>299439</v>
      </c>
      <c r="LMI23" s="30">
        <f t="shared" si="132"/>
        <v>299469</v>
      </c>
      <c r="LMJ23" s="30">
        <f t="shared" si="132"/>
        <v>299500</v>
      </c>
      <c r="LMK23" s="30">
        <f t="shared" si="132"/>
        <v>299531</v>
      </c>
      <c r="LML23" s="30">
        <f t="shared" si="132"/>
        <v>299560</v>
      </c>
      <c r="LMM23" s="30">
        <f t="shared" si="132"/>
        <v>299591</v>
      </c>
      <c r="LMN23" s="30">
        <f t="shared" si="132"/>
        <v>299621</v>
      </c>
      <c r="LMO23" s="30">
        <f t="shared" si="132"/>
        <v>299652</v>
      </c>
      <c r="LMP23" s="30">
        <f t="shared" si="132"/>
        <v>299682</v>
      </c>
      <c r="LMQ23" s="30">
        <f t="shared" si="132"/>
        <v>299713</v>
      </c>
      <c r="LMR23" s="30">
        <f t="shared" si="132"/>
        <v>299744</v>
      </c>
      <c r="LMS23" s="30">
        <f t="shared" si="132"/>
        <v>299774</v>
      </c>
      <c r="LMT23" s="30">
        <f t="shared" si="132"/>
        <v>299805</v>
      </c>
      <c r="LMU23" s="30">
        <f t="shared" si="132"/>
        <v>299835</v>
      </c>
      <c r="LMV23" s="30">
        <f t="shared" si="132"/>
        <v>299866</v>
      </c>
      <c r="LMW23" s="30">
        <f t="shared" si="132"/>
        <v>299897</v>
      </c>
      <c r="LMX23" s="30">
        <f t="shared" si="132"/>
        <v>299925</v>
      </c>
      <c r="LMY23" s="30">
        <f t="shared" si="132"/>
        <v>299956</v>
      </c>
      <c r="LMZ23" s="30">
        <f t="shared" si="132"/>
        <v>299986</v>
      </c>
      <c r="LNA23" s="30">
        <f t="shared" si="132"/>
        <v>300017</v>
      </c>
      <c r="LNB23" s="30">
        <f t="shared" si="132"/>
        <v>300047</v>
      </c>
      <c r="LNC23" s="30">
        <f t="shared" si="132"/>
        <v>300078</v>
      </c>
      <c r="LND23" s="30">
        <f t="shared" si="132"/>
        <v>300109</v>
      </c>
      <c r="LNE23" s="30">
        <f t="shared" si="132"/>
        <v>300139</v>
      </c>
      <c r="LNF23" s="30">
        <f t="shared" si="132"/>
        <v>300170</v>
      </c>
      <c r="LNG23" s="30">
        <f t="shared" si="132"/>
        <v>300200</v>
      </c>
      <c r="LNH23" s="30">
        <f t="shared" si="132"/>
        <v>300231</v>
      </c>
      <c r="LNI23" s="30">
        <f t="shared" si="132"/>
        <v>300262</v>
      </c>
      <c r="LNJ23" s="30">
        <f t="shared" si="132"/>
        <v>300290</v>
      </c>
      <c r="LNK23" s="30">
        <f t="shared" si="132"/>
        <v>300321</v>
      </c>
      <c r="LNL23" s="30">
        <f t="shared" si="132"/>
        <v>300351</v>
      </c>
      <c r="LNM23" s="30">
        <f t="shared" si="132"/>
        <v>300382</v>
      </c>
      <c r="LNN23" s="30">
        <f t="shared" si="132"/>
        <v>300412</v>
      </c>
      <c r="LNO23" s="30">
        <f t="shared" si="132"/>
        <v>300443</v>
      </c>
      <c r="LNP23" s="30">
        <f t="shared" si="132"/>
        <v>300474</v>
      </c>
      <c r="LNQ23" s="30">
        <f t="shared" si="132"/>
        <v>300504</v>
      </c>
      <c r="LNR23" s="30">
        <f t="shared" si="132"/>
        <v>300535</v>
      </c>
      <c r="LNS23" s="30">
        <f t="shared" si="132"/>
        <v>300565</v>
      </c>
      <c r="LNT23" s="30">
        <f t="shared" si="132"/>
        <v>300596</v>
      </c>
      <c r="LNU23" s="30">
        <f t="shared" si="132"/>
        <v>300627</v>
      </c>
      <c r="LNV23" s="30">
        <f t="shared" si="132"/>
        <v>300655</v>
      </c>
      <c r="LNW23" s="30">
        <f t="shared" si="132"/>
        <v>300686</v>
      </c>
      <c r="LNX23" s="30">
        <f t="shared" si="132"/>
        <v>300716</v>
      </c>
      <c r="LNY23" s="30">
        <f t="shared" si="132"/>
        <v>300747</v>
      </c>
      <c r="LNZ23" s="30">
        <f t="shared" si="132"/>
        <v>300777</v>
      </c>
      <c r="LOA23" s="30">
        <f t="shared" si="132"/>
        <v>300808</v>
      </c>
      <c r="LOB23" s="30">
        <f t="shared" si="132"/>
        <v>300839</v>
      </c>
      <c r="LOC23" s="30">
        <f t="shared" si="132"/>
        <v>300869</v>
      </c>
      <c r="LOD23" s="30">
        <f t="shared" si="132"/>
        <v>300900</v>
      </c>
      <c r="LOE23" s="30">
        <f t="shared" si="132"/>
        <v>300930</v>
      </c>
      <c r="LOF23" s="30">
        <f t="shared" si="132"/>
        <v>300961</v>
      </c>
      <c r="LOG23" s="30">
        <f t="shared" si="132"/>
        <v>300992</v>
      </c>
      <c r="LOH23" s="30">
        <f t="shared" si="132"/>
        <v>301021</v>
      </c>
      <c r="LOI23" s="30">
        <f t="shared" si="132"/>
        <v>301052</v>
      </c>
      <c r="LOJ23" s="30">
        <f t="shared" si="132"/>
        <v>301082</v>
      </c>
      <c r="LOK23" s="30">
        <f t="shared" si="132"/>
        <v>301113</v>
      </c>
      <c r="LOL23" s="30">
        <f t="shared" si="132"/>
        <v>301143</v>
      </c>
      <c r="LOM23" s="30">
        <f t="shared" si="132"/>
        <v>301174</v>
      </c>
      <c r="LON23" s="30">
        <f t="shared" ref="LON23:LQY23" si="133">EDATE(LOM23,1)</f>
        <v>301205</v>
      </c>
      <c r="LOO23" s="30">
        <f t="shared" si="133"/>
        <v>301235</v>
      </c>
      <c r="LOP23" s="30">
        <f t="shared" si="133"/>
        <v>301266</v>
      </c>
      <c r="LOQ23" s="30">
        <f t="shared" si="133"/>
        <v>301296</v>
      </c>
      <c r="LOR23" s="30">
        <f t="shared" si="133"/>
        <v>301327</v>
      </c>
      <c r="LOS23" s="30">
        <f t="shared" si="133"/>
        <v>301358</v>
      </c>
      <c r="LOT23" s="30">
        <f t="shared" si="133"/>
        <v>301386</v>
      </c>
      <c r="LOU23" s="30">
        <f t="shared" si="133"/>
        <v>301417</v>
      </c>
      <c r="LOV23" s="30">
        <f t="shared" si="133"/>
        <v>301447</v>
      </c>
      <c r="LOW23" s="30">
        <f t="shared" si="133"/>
        <v>301478</v>
      </c>
      <c r="LOX23" s="30">
        <f t="shared" si="133"/>
        <v>301508</v>
      </c>
      <c r="LOY23" s="30">
        <f t="shared" si="133"/>
        <v>301539</v>
      </c>
      <c r="LOZ23" s="30">
        <f t="shared" si="133"/>
        <v>301570</v>
      </c>
      <c r="LPA23" s="30">
        <f t="shared" si="133"/>
        <v>301600</v>
      </c>
      <c r="LPB23" s="30">
        <f t="shared" si="133"/>
        <v>301631</v>
      </c>
      <c r="LPC23" s="30">
        <f t="shared" si="133"/>
        <v>301661</v>
      </c>
      <c r="LPD23" s="30">
        <f t="shared" si="133"/>
        <v>301692</v>
      </c>
      <c r="LPE23" s="30">
        <f t="shared" si="133"/>
        <v>301723</v>
      </c>
      <c r="LPF23" s="30">
        <f t="shared" si="133"/>
        <v>301751</v>
      </c>
      <c r="LPG23" s="30">
        <f t="shared" si="133"/>
        <v>301782</v>
      </c>
      <c r="LPH23" s="30">
        <f t="shared" si="133"/>
        <v>301812</v>
      </c>
      <c r="LPI23" s="30">
        <f t="shared" si="133"/>
        <v>301843</v>
      </c>
      <c r="LPJ23" s="30">
        <f t="shared" si="133"/>
        <v>301873</v>
      </c>
      <c r="LPK23" s="30">
        <f t="shared" si="133"/>
        <v>301904</v>
      </c>
      <c r="LPL23" s="30">
        <f t="shared" si="133"/>
        <v>301935</v>
      </c>
      <c r="LPM23" s="30">
        <f t="shared" si="133"/>
        <v>301965</v>
      </c>
      <c r="LPN23" s="30">
        <f t="shared" si="133"/>
        <v>301996</v>
      </c>
      <c r="LPO23" s="30">
        <f t="shared" si="133"/>
        <v>302026</v>
      </c>
      <c r="LPP23" s="30">
        <f t="shared" si="133"/>
        <v>302057</v>
      </c>
      <c r="LPQ23" s="30">
        <f t="shared" si="133"/>
        <v>302088</v>
      </c>
      <c r="LPR23" s="30">
        <f t="shared" si="133"/>
        <v>302116</v>
      </c>
      <c r="LPS23" s="30">
        <f t="shared" si="133"/>
        <v>302147</v>
      </c>
      <c r="LPT23" s="30">
        <f t="shared" si="133"/>
        <v>302177</v>
      </c>
      <c r="LPU23" s="30">
        <f t="shared" si="133"/>
        <v>302208</v>
      </c>
      <c r="LPV23" s="30">
        <f t="shared" si="133"/>
        <v>302238</v>
      </c>
      <c r="LPW23" s="30">
        <f t="shared" si="133"/>
        <v>302269</v>
      </c>
      <c r="LPX23" s="30">
        <f t="shared" si="133"/>
        <v>302300</v>
      </c>
      <c r="LPY23" s="30">
        <f t="shared" si="133"/>
        <v>302330</v>
      </c>
      <c r="LPZ23" s="30">
        <f t="shared" si="133"/>
        <v>302361</v>
      </c>
      <c r="LQA23" s="30">
        <f t="shared" si="133"/>
        <v>302391</v>
      </c>
      <c r="LQB23" s="30">
        <f t="shared" si="133"/>
        <v>302422</v>
      </c>
      <c r="LQC23" s="30">
        <f t="shared" si="133"/>
        <v>302453</v>
      </c>
      <c r="LQD23" s="30">
        <f t="shared" si="133"/>
        <v>302482</v>
      </c>
      <c r="LQE23" s="30">
        <f t="shared" si="133"/>
        <v>302513</v>
      </c>
      <c r="LQF23" s="30">
        <f t="shared" si="133"/>
        <v>302543</v>
      </c>
      <c r="LQG23" s="30">
        <f t="shared" si="133"/>
        <v>302574</v>
      </c>
      <c r="LQH23" s="30">
        <f t="shared" si="133"/>
        <v>302604</v>
      </c>
      <c r="LQI23" s="30">
        <f t="shared" si="133"/>
        <v>302635</v>
      </c>
      <c r="LQJ23" s="30">
        <f t="shared" si="133"/>
        <v>302666</v>
      </c>
      <c r="LQK23" s="30">
        <f t="shared" si="133"/>
        <v>302696</v>
      </c>
      <c r="LQL23" s="30">
        <f t="shared" si="133"/>
        <v>302727</v>
      </c>
      <c r="LQM23" s="30">
        <f t="shared" si="133"/>
        <v>302757</v>
      </c>
      <c r="LQN23" s="30">
        <f t="shared" si="133"/>
        <v>302788</v>
      </c>
      <c r="LQO23" s="30">
        <f t="shared" si="133"/>
        <v>302819</v>
      </c>
      <c r="LQP23" s="30">
        <f t="shared" si="133"/>
        <v>302847</v>
      </c>
      <c r="LQQ23" s="30">
        <f t="shared" si="133"/>
        <v>302878</v>
      </c>
      <c r="LQR23" s="30">
        <f t="shared" si="133"/>
        <v>302908</v>
      </c>
      <c r="LQS23" s="30">
        <f t="shared" si="133"/>
        <v>302939</v>
      </c>
      <c r="LQT23" s="30">
        <f t="shared" si="133"/>
        <v>302969</v>
      </c>
      <c r="LQU23" s="30">
        <f t="shared" si="133"/>
        <v>303000</v>
      </c>
      <c r="LQV23" s="30">
        <f t="shared" si="133"/>
        <v>303031</v>
      </c>
      <c r="LQW23" s="30">
        <f t="shared" si="133"/>
        <v>303061</v>
      </c>
      <c r="LQX23" s="30">
        <f t="shared" si="133"/>
        <v>303092</v>
      </c>
      <c r="LQY23" s="30">
        <f t="shared" si="133"/>
        <v>303122</v>
      </c>
      <c r="LQZ23" s="30">
        <f t="shared" ref="LQZ23:LTK23" si="134">EDATE(LQY23,1)</f>
        <v>303153</v>
      </c>
      <c r="LRA23" s="30">
        <f t="shared" si="134"/>
        <v>303184</v>
      </c>
      <c r="LRB23" s="30">
        <f t="shared" si="134"/>
        <v>303212</v>
      </c>
      <c r="LRC23" s="30">
        <f t="shared" si="134"/>
        <v>303243</v>
      </c>
      <c r="LRD23" s="30">
        <f t="shared" si="134"/>
        <v>303273</v>
      </c>
      <c r="LRE23" s="30">
        <f t="shared" si="134"/>
        <v>303304</v>
      </c>
      <c r="LRF23" s="30">
        <f t="shared" si="134"/>
        <v>303334</v>
      </c>
      <c r="LRG23" s="30">
        <f t="shared" si="134"/>
        <v>303365</v>
      </c>
      <c r="LRH23" s="30">
        <f t="shared" si="134"/>
        <v>303396</v>
      </c>
      <c r="LRI23" s="30">
        <f t="shared" si="134"/>
        <v>303426</v>
      </c>
      <c r="LRJ23" s="30">
        <f t="shared" si="134"/>
        <v>303457</v>
      </c>
      <c r="LRK23" s="30">
        <f t="shared" si="134"/>
        <v>303487</v>
      </c>
      <c r="LRL23" s="30">
        <f t="shared" si="134"/>
        <v>303518</v>
      </c>
      <c r="LRM23" s="30">
        <f t="shared" si="134"/>
        <v>303549</v>
      </c>
      <c r="LRN23" s="30">
        <f t="shared" si="134"/>
        <v>303577</v>
      </c>
      <c r="LRO23" s="30">
        <f t="shared" si="134"/>
        <v>303608</v>
      </c>
      <c r="LRP23" s="30">
        <f t="shared" si="134"/>
        <v>303638</v>
      </c>
      <c r="LRQ23" s="30">
        <f t="shared" si="134"/>
        <v>303669</v>
      </c>
      <c r="LRR23" s="30">
        <f t="shared" si="134"/>
        <v>303699</v>
      </c>
      <c r="LRS23" s="30">
        <f t="shared" si="134"/>
        <v>303730</v>
      </c>
      <c r="LRT23" s="30">
        <f t="shared" si="134"/>
        <v>303761</v>
      </c>
      <c r="LRU23" s="30">
        <f t="shared" si="134"/>
        <v>303791</v>
      </c>
      <c r="LRV23" s="30">
        <f t="shared" si="134"/>
        <v>303822</v>
      </c>
      <c r="LRW23" s="30">
        <f t="shared" si="134"/>
        <v>303852</v>
      </c>
      <c r="LRX23" s="30">
        <f t="shared" si="134"/>
        <v>303883</v>
      </c>
      <c r="LRY23" s="30">
        <f t="shared" si="134"/>
        <v>303914</v>
      </c>
      <c r="LRZ23" s="30">
        <f t="shared" si="134"/>
        <v>303943</v>
      </c>
      <c r="LSA23" s="30">
        <f t="shared" si="134"/>
        <v>303974</v>
      </c>
      <c r="LSB23" s="30">
        <f t="shared" si="134"/>
        <v>304004</v>
      </c>
      <c r="LSC23" s="30">
        <f t="shared" si="134"/>
        <v>304035</v>
      </c>
      <c r="LSD23" s="30">
        <f t="shared" si="134"/>
        <v>304065</v>
      </c>
      <c r="LSE23" s="30">
        <f t="shared" si="134"/>
        <v>304096</v>
      </c>
      <c r="LSF23" s="30">
        <f t="shared" si="134"/>
        <v>304127</v>
      </c>
      <c r="LSG23" s="30">
        <f t="shared" si="134"/>
        <v>304157</v>
      </c>
      <c r="LSH23" s="30">
        <f t="shared" si="134"/>
        <v>304188</v>
      </c>
      <c r="LSI23" s="30">
        <f t="shared" si="134"/>
        <v>304218</v>
      </c>
      <c r="LSJ23" s="30">
        <f t="shared" si="134"/>
        <v>304249</v>
      </c>
      <c r="LSK23" s="30">
        <f t="shared" si="134"/>
        <v>304280</v>
      </c>
      <c r="LSL23" s="30">
        <f t="shared" si="134"/>
        <v>304308</v>
      </c>
      <c r="LSM23" s="30">
        <f t="shared" si="134"/>
        <v>304339</v>
      </c>
      <c r="LSN23" s="30">
        <f t="shared" si="134"/>
        <v>304369</v>
      </c>
      <c r="LSO23" s="30">
        <f t="shared" si="134"/>
        <v>304400</v>
      </c>
      <c r="LSP23" s="30">
        <f t="shared" si="134"/>
        <v>304430</v>
      </c>
      <c r="LSQ23" s="30">
        <f t="shared" si="134"/>
        <v>304461</v>
      </c>
      <c r="LSR23" s="30">
        <f t="shared" si="134"/>
        <v>304492</v>
      </c>
      <c r="LSS23" s="30">
        <f t="shared" si="134"/>
        <v>304522</v>
      </c>
      <c r="LST23" s="30">
        <f t="shared" si="134"/>
        <v>304553</v>
      </c>
      <c r="LSU23" s="30">
        <f t="shared" si="134"/>
        <v>304583</v>
      </c>
      <c r="LSV23" s="30">
        <f t="shared" si="134"/>
        <v>304614</v>
      </c>
      <c r="LSW23" s="30">
        <f t="shared" si="134"/>
        <v>304645</v>
      </c>
      <c r="LSX23" s="30">
        <f t="shared" si="134"/>
        <v>304673</v>
      </c>
      <c r="LSY23" s="30">
        <f t="shared" si="134"/>
        <v>304704</v>
      </c>
      <c r="LSZ23" s="30">
        <f t="shared" si="134"/>
        <v>304734</v>
      </c>
      <c r="LTA23" s="30">
        <f t="shared" si="134"/>
        <v>304765</v>
      </c>
      <c r="LTB23" s="30">
        <f t="shared" si="134"/>
        <v>304795</v>
      </c>
      <c r="LTC23" s="30">
        <f t="shared" si="134"/>
        <v>304826</v>
      </c>
      <c r="LTD23" s="30">
        <f t="shared" si="134"/>
        <v>304857</v>
      </c>
      <c r="LTE23" s="30">
        <f t="shared" si="134"/>
        <v>304887</v>
      </c>
      <c r="LTF23" s="30">
        <f t="shared" si="134"/>
        <v>304918</v>
      </c>
      <c r="LTG23" s="30">
        <f t="shared" si="134"/>
        <v>304948</v>
      </c>
      <c r="LTH23" s="30">
        <f t="shared" si="134"/>
        <v>304979</v>
      </c>
      <c r="LTI23" s="30">
        <f t="shared" si="134"/>
        <v>305010</v>
      </c>
      <c r="LTJ23" s="30">
        <f t="shared" si="134"/>
        <v>305038</v>
      </c>
      <c r="LTK23" s="30">
        <f t="shared" si="134"/>
        <v>305069</v>
      </c>
      <c r="LTL23" s="30">
        <f t="shared" ref="LTL23:LVW23" si="135">EDATE(LTK23,1)</f>
        <v>305099</v>
      </c>
      <c r="LTM23" s="30">
        <f t="shared" si="135"/>
        <v>305130</v>
      </c>
      <c r="LTN23" s="30">
        <f t="shared" si="135"/>
        <v>305160</v>
      </c>
      <c r="LTO23" s="30">
        <f t="shared" si="135"/>
        <v>305191</v>
      </c>
      <c r="LTP23" s="30">
        <f t="shared" si="135"/>
        <v>305222</v>
      </c>
      <c r="LTQ23" s="30">
        <f t="shared" si="135"/>
        <v>305252</v>
      </c>
      <c r="LTR23" s="30">
        <f t="shared" si="135"/>
        <v>305283</v>
      </c>
      <c r="LTS23" s="30">
        <f t="shared" si="135"/>
        <v>305313</v>
      </c>
      <c r="LTT23" s="30">
        <f t="shared" si="135"/>
        <v>305344</v>
      </c>
      <c r="LTU23" s="30">
        <f t="shared" si="135"/>
        <v>305375</v>
      </c>
      <c r="LTV23" s="30">
        <f t="shared" si="135"/>
        <v>305404</v>
      </c>
      <c r="LTW23" s="30">
        <f t="shared" si="135"/>
        <v>305435</v>
      </c>
      <c r="LTX23" s="30">
        <f t="shared" si="135"/>
        <v>305465</v>
      </c>
      <c r="LTY23" s="30">
        <f t="shared" si="135"/>
        <v>305496</v>
      </c>
      <c r="LTZ23" s="30">
        <f t="shared" si="135"/>
        <v>305526</v>
      </c>
      <c r="LUA23" s="30">
        <f t="shared" si="135"/>
        <v>305557</v>
      </c>
      <c r="LUB23" s="30">
        <f t="shared" si="135"/>
        <v>305588</v>
      </c>
      <c r="LUC23" s="30">
        <f t="shared" si="135"/>
        <v>305618</v>
      </c>
      <c r="LUD23" s="30">
        <f t="shared" si="135"/>
        <v>305649</v>
      </c>
      <c r="LUE23" s="30">
        <f t="shared" si="135"/>
        <v>305679</v>
      </c>
      <c r="LUF23" s="30">
        <f t="shared" si="135"/>
        <v>305710</v>
      </c>
      <c r="LUG23" s="30">
        <f t="shared" si="135"/>
        <v>305741</v>
      </c>
      <c r="LUH23" s="30">
        <f t="shared" si="135"/>
        <v>305769</v>
      </c>
      <c r="LUI23" s="30">
        <f t="shared" si="135"/>
        <v>305800</v>
      </c>
      <c r="LUJ23" s="30">
        <f t="shared" si="135"/>
        <v>305830</v>
      </c>
      <c r="LUK23" s="30">
        <f t="shared" si="135"/>
        <v>305861</v>
      </c>
      <c r="LUL23" s="30">
        <f t="shared" si="135"/>
        <v>305891</v>
      </c>
      <c r="LUM23" s="30">
        <f t="shared" si="135"/>
        <v>305922</v>
      </c>
      <c r="LUN23" s="30">
        <f t="shared" si="135"/>
        <v>305953</v>
      </c>
      <c r="LUO23" s="30">
        <f t="shared" si="135"/>
        <v>305983</v>
      </c>
      <c r="LUP23" s="30">
        <f t="shared" si="135"/>
        <v>306014</v>
      </c>
      <c r="LUQ23" s="30">
        <f t="shared" si="135"/>
        <v>306044</v>
      </c>
      <c r="LUR23" s="30">
        <f t="shared" si="135"/>
        <v>306075</v>
      </c>
      <c r="LUS23" s="30">
        <f t="shared" si="135"/>
        <v>306106</v>
      </c>
      <c r="LUT23" s="30">
        <f t="shared" si="135"/>
        <v>306134</v>
      </c>
      <c r="LUU23" s="30">
        <f t="shared" si="135"/>
        <v>306165</v>
      </c>
      <c r="LUV23" s="30">
        <f t="shared" si="135"/>
        <v>306195</v>
      </c>
      <c r="LUW23" s="30">
        <f t="shared" si="135"/>
        <v>306226</v>
      </c>
      <c r="LUX23" s="30">
        <f t="shared" si="135"/>
        <v>306256</v>
      </c>
      <c r="LUY23" s="30">
        <f t="shared" si="135"/>
        <v>306287</v>
      </c>
      <c r="LUZ23" s="30">
        <f t="shared" si="135"/>
        <v>306318</v>
      </c>
      <c r="LVA23" s="30">
        <f t="shared" si="135"/>
        <v>306348</v>
      </c>
      <c r="LVB23" s="30">
        <f t="shared" si="135"/>
        <v>306379</v>
      </c>
      <c r="LVC23" s="30">
        <f t="shared" si="135"/>
        <v>306409</v>
      </c>
      <c r="LVD23" s="30">
        <f t="shared" si="135"/>
        <v>306440</v>
      </c>
      <c r="LVE23" s="30">
        <f t="shared" si="135"/>
        <v>306471</v>
      </c>
      <c r="LVF23" s="30">
        <f t="shared" si="135"/>
        <v>306499</v>
      </c>
      <c r="LVG23" s="30">
        <f t="shared" si="135"/>
        <v>306530</v>
      </c>
      <c r="LVH23" s="30">
        <f t="shared" si="135"/>
        <v>306560</v>
      </c>
      <c r="LVI23" s="30">
        <f t="shared" si="135"/>
        <v>306591</v>
      </c>
      <c r="LVJ23" s="30">
        <f t="shared" si="135"/>
        <v>306621</v>
      </c>
      <c r="LVK23" s="30">
        <f t="shared" si="135"/>
        <v>306652</v>
      </c>
      <c r="LVL23" s="30">
        <f t="shared" si="135"/>
        <v>306683</v>
      </c>
      <c r="LVM23" s="30">
        <f t="shared" si="135"/>
        <v>306713</v>
      </c>
      <c r="LVN23" s="30">
        <f t="shared" si="135"/>
        <v>306744</v>
      </c>
      <c r="LVO23" s="30">
        <f t="shared" si="135"/>
        <v>306774</v>
      </c>
      <c r="LVP23" s="30">
        <f t="shared" si="135"/>
        <v>306805</v>
      </c>
      <c r="LVQ23" s="30">
        <f t="shared" si="135"/>
        <v>306836</v>
      </c>
      <c r="LVR23" s="30">
        <f t="shared" si="135"/>
        <v>306865</v>
      </c>
      <c r="LVS23" s="30">
        <f t="shared" si="135"/>
        <v>306896</v>
      </c>
      <c r="LVT23" s="30">
        <f t="shared" si="135"/>
        <v>306926</v>
      </c>
      <c r="LVU23" s="30">
        <f t="shared" si="135"/>
        <v>306957</v>
      </c>
      <c r="LVV23" s="30">
        <f t="shared" si="135"/>
        <v>306987</v>
      </c>
      <c r="LVW23" s="30">
        <f t="shared" si="135"/>
        <v>307018</v>
      </c>
      <c r="LVX23" s="30">
        <f t="shared" ref="LVX23:LYI23" si="136">EDATE(LVW23,1)</f>
        <v>307049</v>
      </c>
      <c r="LVY23" s="30">
        <f t="shared" si="136"/>
        <v>307079</v>
      </c>
      <c r="LVZ23" s="30">
        <f t="shared" si="136"/>
        <v>307110</v>
      </c>
      <c r="LWA23" s="30">
        <f t="shared" si="136"/>
        <v>307140</v>
      </c>
      <c r="LWB23" s="30">
        <f t="shared" si="136"/>
        <v>307171</v>
      </c>
      <c r="LWC23" s="30">
        <f t="shared" si="136"/>
        <v>307202</v>
      </c>
      <c r="LWD23" s="30">
        <f t="shared" si="136"/>
        <v>307230</v>
      </c>
      <c r="LWE23" s="30">
        <f t="shared" si="136"/>
        <v>307261</v>
      </c>
      <c r="LWF23" s="30">
        <f t="shared" si="136"/>
        <v>307291</v>
      </c>
      <c r="LWG23" s="30">
        <f t="shared" si="136"/>
        <v>307322</v>
      </c>
      <c r="LWH23" s="30">
        <f t="shared" si="136"/>
        <v>307352</v>
      </c>
      <c r="LWI23" s="30">
        <f t="shared" si="136"/>
        <v>307383</v>
      </c>
      <c r="LWJ23" s="30">
        <f t="shared" si="136"/>
        <v>307414</v>
      </c>
      <c r="LWK23" s="30">
        <f t="shared" si="136"/>
        <v>307444</v>
      </c>
      <c r="LWL23" s="30">
        <f t="shared" si="136"/>
        <v>307475</v>
      </c>
      <c r="LWM23" s="30">
        <f t="shared" si="136"/>
        <v>307505</v>
      </c>
      <c r="LWN23" s="30">
        <f t="shared" si="136"/>
        <v>307536</v>
      </c>
      <c r="LWO23" s="30">
        <f t="shared" si="136"/>
        <v>307567</v>
      </c>
      <c r="LWP23" s="30">
        <f t="shared" si="136"/>
        <v>307595</v>
      </c>
      <c r="LWQ23" s="30">
        <f t="shared" si="136"/>
        <v>307626</v>
      </c>
      <c r="LWR23" s="30">
        <f t="shared" si="136"/>
        <v>307656</v>
      </c>
      <c r="LWS23" s="30">
        <f t="shared" si="136"/>
        <v>307687</v>
      </c>
      <c r="LWT23" s="30">
        <f t="shared" si="136"/>
        <v>307717</v>
      </c>
      <c r="LWU23" s="30">
        <f t="shared" si="136"/>
        <v>307748</v>
      </c>
      <c r="LWV23" s="30">
        <f t="shared" si="136"/>
        <v>307779</v>
      </c>
      <c r="LWW23" s="30">
        <f t="shared" si="136"/>
        <v>307809</v>
      </c>
      <c r="LWX23" s="30">
        <f t="shared" si="136"/>
        <v>307840</v>
      </c>
      <c r="LWY23" s="30">
        <f t="shared" si="136"/>
        <v>307870</v>
      </c>
      <c r="LWZ23" s="30">
        <f t="shared" si="136"/>
        <v>307901</v>
      </c>
      <c r="LXA23" s="30">
        <f t="shared" si="136"/>
        <v>307932</v>
      </c>
      <c r="LXB23" s="30">
        <f t="shared" si="136"/>
        <v>307960</v>
      </c>
      <c r="LXC23" s="30">
        <f t="shared" si="136"/>
        <v>307991</v>
      </c>
      <c r="LXD23" s="30">
        <f t="shared" si="136"/>
        <v>308021</v>
      </c>
      <c r="LXE23" s="30">
        <f t="shared" si="136"/>
        <v>308052</v>
      </c>
      <c r="LXF23" s="30">
        <f t="shared" si="136"/>
        <v>308082</v>
      </c>
      <c r="LXG23" s="30">
        <f t="shared" si="136"/>
        <v>308113</v>
      </c>
      <c r="LXH23" s="30">
        <f t="shared" si="136"/>
        <v>308144</v>
      </c>
      <c r="LXI23" s="30">
        <f t="shared" si="136"/>
        <v>308174</v>
      </c>
      <c r="LXJ23" s="30">
        <f t="shared" si="136"/>
        <v>308205</v>
      </c>
      <c r="LXK23" s="30">
        <f t="shared" si="136"/>
        <v>308235</v>
      </c>
      <c r="LXL23" s="30">
        <f t="shared" si="136"/>
        <v>308266</v>
      </c>
      <c r="LXM23" s="30">
        <f t="shared" si="136"/>
        <v>308297</v>
      </c>
      <c r="LXN23" s="30">
        <f t="shared" si="136"/>
        <v>308326</v>
      </c>
      <c r="LXO23" s="30">
        <f t="shared" si="136"/>
        <v>308357</v>
      </c>
      <c r="LXP23" s="30">
        <f t="shared" si="136"/>
        <v>308387</v>
      </c>
      <c r="LXQ23" s="30">
        <f t="shared" si="136"/>
        <v>308418</v>
      </c>
      <c r="LXR23" s="30">
        <f t="shared" si="136"/>
        <v>308448</v>
      </c>
      <c r="LXS23" s="30">
        <f t="shared" si="136"/>
        <v>308479</v>
      </c>
      <c r="LXT23" s="30">
        <f t="shared" si="136"/>
        <v>308510</v>
      </c>
      <c r="LXU23" s="30">
        <f t="shared" si="136"/>
        <v>308540</v>
      </c>
      <c r="LXV23" s="30">
        <f t="shared" si="136"/>
        <v>308571</v>
      </c>
      <c r="LXW23" s="30">
        <f t="shared" si="136"/>
        <v>308601</v>
      </c>
      <c r="LXX23" s="30">
        <f t="shared" si="136"/>
        <v>308632</v>
      </c>
      <c r="LXY23" s="30">
        <f t="shared" si="136"/>
        <v>308663</v>
      </c>
      <c r="LXZ23" s="30">
        <f t="shared" si="136"/>
        <v>308691</v>
      </c>
      <c r="LYA23" s="30">
        <f t="shared" si="136"/>
        <v>308722</v>
      </c>
      <c r="LYB23" s="30">
        <f t="shared" si="136"/>
        <v>308752</v>
      </c>
      <c r="LYC23" s="30">
        <f t="shared" si="136"/>
        <v>308783</v>
      </c>
      <c r="LYD23" s="30">
        <f t="shared" si="136"/>
        <v>308813</v>
      </c>
      <c r="LYE23" s="30">
        <f t="shared" si="136"/>
        <v>308844</v>
      </c>
      <c r="LYF23" s="30">
        <f t="shared" si="136"/>
        <v>308875</v>
      </c>
      <c r="LYG23" s="30">
        <f t="shared" si="136"/>
        <v>308905</v>
      </c>
      <c r="LYH23" s="30">
        <f t="shared" si="136"/>
        <v>308936</v>
      </c>
      <c r="LYI23" s="30">
        <f t="shared" si="136"/>
        <v>308966</v>
      </c>
      <c r="LYJ23" s="30">
        <f t="shared" ref="LYJ23:MAU23" si="137">EDATE(LYI23,1)</f>
        <v>308997</v>
      </c>
      <c r="LYK23" s="30">
        <f t="shared" si="137"/>
        <v>309028</v>
      </c>
      <c r="LYL23" s="30">
        <f t="shared" si="137"/>
        <v>309056</v>
      </c>
      <c r="LYM23" s="30">
        <f t="shared" si="137"/>
        <v>309087</v>
      </c>
      <c r="LYN23" s="30">
        <f t="shared" si="137"/>
        <v>309117</v>
      </c>
      <c r="LYO23" s="30">
        <f t="shared" si="137"/>
        <v>309148</v>
      </c>
      <c r="LYP23" s="30">
        <f t="shared" si="137"/>
        <v>309178</v>
      </c>
      <c r="LYQ23" s="30">
        <f t="shared" si="137"/>
        <v>309209</v>
      </c>
      <c r="LYR23" s="30">
        <f t="shared" si="137"/>
        <v>309240</v>
      </c>
      <c r="LYS23" s="30">
        <f t="shared" si="137"/>
        <v>309270</v>
      </c>
      <c r="LYT23" s="30">
        <f t="shared" si="137"/>
        <v>309301</v>
      </c>
      <c r="LYU23" s="30">
        <f t="shared" si="137"/>
        <v>309331</v>
      </c>
      <c r="LYV23" s="30">
        <f t="shared" si="137"/>
        <v>309362</v>
      </c>
      <c r="LYW23" s="30">
        <f t="shared" si="137"/>
        <v>309393</v>
      </c>
      <c r="LYX23" s="30">
        <f t="shared" si="137"/>
        <v>309421</v>
      </c>
      <c r="LYY23" s="30">
        <f t="shared" si="137"/>
        <v>309452</v>
      </c>
      <c r="LYZ23" s="30">
        <f t="shared" si="137"/>
        <v>309482</v>
      </c>
      <c r="LZA23" s="30">
        <f t="shared" si="137"/>
        <v>309513</v>
      </c>
      <c r="LZB23" s="30">
        <f t="shared" si="137"/>
        <v>309543</v>
      </c>
      <c r="LZC23" s="30">
        <f t="shared" si="137"/>
        <v>309574</v>
      </c>
      <c r="LZD23" s="30">
        <f t="shared" si="137"/>
        <v>309605</v>
      </c>
      <c r="LZE23" s="30">
        <f t="shared" si="137"/>
        <v>309635</v>
      </c>
      <c r="LZF23" s="30">
        <f t="shared" si="137"/>
        <v>309666</v>
      </c>
      <c r="LZG23" s="30">
        <f t="shared" si="137"/>
        <v>309696</v>
      </c>
      <c r="LZH23" s="30">
        <f t="shared" si="137"/>
        <v>309727</v>
      </c>
      <c r="LZI23" s="30">
        <f t="shared" si="137"/>
        <v>309758</v>
      </c>
      <c r="LZJ23" s="30">
        <f t="shared" si="137"/>
        <v>309787</v>
      </c>
      <c r="LZK23" s="30">
        <f t="shared" si="137"/>
        <v>309818</v>
      </c>
      <c r="LZL23" s="30">
        <f t="shared" si="137"/>
        <v>309848</v>
      </c>
      <c r="LZM23" s="30">
        <f t="shared" si="137"/>
        <v>309879</v>
      </c>
      <c r="LZN23" s="30">
        <f t="shared" si="137"/>
        <v>309909</v>
      </c>
      <c r="LZO23" s="30">
        <f t="shared" si="137"/>
        <v>309940</v>
      </c>
      <c r="LZP23" s="30">
        <f t="shared" si="137"/>
        <v>309971</v>
      </c>
      <c r="LZQ23" s="30">
        <f t="shared" si="137"/>
        <v>310001</v>
      </c>
      <c r="LZR23" s="30">
        <f t="shared" si="137"/>
        <v>310032</v>
      </c>
      <c r="LZS23" s="30">
        <f t="shared" si="137"/>
        <v>310062</v>
      </c>
      <c r="LZT23" s="30">
        <f t="shared" si="137"/>
        <v>310093</v>
      </c>
      <c r="LZU23" s="30">
        <f t="shared" si="137"/>
        <v>310124</v>
      </c>
      <c r="LZV23" s="30">
        <f t="shared" si="137"/>
        <v>310152</v>
      </c>
      <c r="LZW23" s="30">
        <f t="shared" si="137"/>
        <v>310183</v>
      </c>
      <c r="LZX23" s="30">
        <f t="shared" si="137"/>
        <v>310213</v>
      </c>
      <c r="LZY23" s="30">
        <f t="shared" si="137"/>
        <v>310244</v>
      </c>
      <c r="LZZ23" s="30">
        <f t="shared" si="137"/>
        <v>310274</v>
      </c>
      <c r="MAA23" s="30">
        <f t="shared" si="137"/>
        <v>310305</v>
      </c>
      <c r="MAB23" s="30">
        <f t="shared" si="137"/>
        <v>310336</v>
      </c>
      <c r="MAC23" s="30">
        <f t="shared" si="137"/>
        <v>310366</v>
      </c>
      <c r="MAD23" s="30">
        <f t="shared" si="137"/>
        <v>310397</v>
      </c>
      <c r="MAE23" s="30">
        <f t="shared" si="137"/>
        <v>310427</v>
      </c>
      <c r="MAF23" s="30">
        <f t="shared" si="137"/>
        <v>310458</v>
      </c>
      <c r="MAG23" s="30">
        <f t="shared" si="137"/>
        <v>310489</v>
      </c>
      <c r="MAH23" s="30">
        <f t="shared" si="137"/>
        <v>310517</v>
      </c>
      <c r="MAI23" s="30">
        <f t="shared" si="137"/>
        <v>310548</v>
      </c>
      <c r="MAJ23" s="30">
        <f t="shared" si="137"/>
        <v>310578</v>
      </c>
      <c r="MAK23" s="30">
        <f t="shared" si="137"/>
        <v>310609</v>
      </c>
      <c r="MAL23" s="30">
        <f t="shared" si="137"/>
        <v>310639</v>
      </c>
      <c r="MAM23" s="30">
        <f t="shared" si="137"/>
        <v>310670</v>
      </c>
      <c r="MAN23" s="30">
        <f t="shared" si="137"/>
        <v>310701</v>
      </c>
      <c r="MAO23" s="30">
        <f t="shared" si="137"/>
        <v>310731</v>
      </c>
      <c r="MAP23" s="30">
        <f t="shared" si="137"/>
        <v>310762</v>
      </c>
      <c r="MAQ23" s="30">
        <f t="shared" si="137"/>
        <v>310792</v>
      </c>
      <c r="MAR23" s="30">
        <f t="shared" si="137"/>
        <v>310823</v>
      </c>
      <c r="MAS23" s="30">
        <f t="shared" si="137"/>
        <v>310854</v>
      </c>
      <c r="MAT23" s="30">
        <f t="shared" si="137"/>
        <v>310882</v>
      </c>
      <c r="MAU23" s="30">
        <f t="shared" si="137"/>
        <v>310913</v>
      </c>
      <c r="MAV23" s="30">
        <f t="shared" ref="MAV23:MDG23" si="138">EDATE(MAU23,1)</f>
        <v>310943</v>
      </c>
      <c r="MAW23" s="30">
        <f t="shared" si="138"/>
        <v>310974</v>
      </c>
      <c r="MAX23" s="30">
        <f t="shared" si="138"/>
        <v>311004</v>
      </c>
      <c r="MAY23" s="30">
        <f t="shared" si="138"/>
        <v>311035</v>
      </c>
      <c r="MAZ23" s="30">
        <f t="shared" si="138"/>
        <v>311066</v>
      </c>
      <c r="MBA23" s="30">
        <f t="shared" si="138"/>
        <v>311096</v>
      </c>
      <c r="MBB23" s="30">
        <f t="shared" si="138"/>
        <v>311127</v>
      </c>
      <c r="MBC23" s="30">
        <f t="shared" si="138"/>
        <v>311157</v>
      </c>
      <c r="MBD23" s="30">
        <f t="shared" si="138"/>
        <v>311188</v>
      </c>
      <c r="MBE23" s="30">
        <f t="shared" si="138"/>
        <v>311219</v>
      </c>
      <c r="MBF23" s="30">
        <f t="shared" si="138"/>
        <v>311248</v>
      </c>
      <c r="MBG23" s="30">
        <f t="shared" si="138"/>
        <v>311279</v>
      </c>
      <c r="MBH23" s="30">
        <f t="shared" si="138"/>
        <v>311309</v>
      </c>
      <c r="MBI23" s="30">
        <f t="shared" si="138"/>
        <v>311340</v>
      </c>
      <c r="MBJ23" s="30">
        <f t="shared" si="138"/>
        <v>311370</v>
      </c>
      <c r="MBK23" s="30">
        <f t="shared" si="138"/>
        <v>311401</v>
      </c>
      <c r="MBL23" s="30">
        <f t="shared" si="138"/>
        <v>311432</v>
      </c>
      <c r="MBM23" s="30">
        <f t="shared" si="138"/>
        <v>311462</v>
      </c>
      <c r="MBN23" s="30">
        <f t="shared" si="138"/>
        <v>311493</v>
      </c>
      <c r="MBO23" s="30">
        <f t="shared" si="138"/>
        <v>311523</v>
      </c>
      <c r="MBP23" s="30">
        <f t="shared" si="138"/>
        <v>311554</v>
      </c>
      <c r="MBQ23" s="30">
        <f t="shared" si="138"/>
        <v>311585</v>
      </c>
      <c r="MBR23" s="30">
        <f t="shared" si="138"/>
        <v>311613</v>
      </c>
      <c r="MBS23" s="30">
        <f t="shared" si="138"/>
        <v>311644</v>
      </c>
      <c r="MBT23" s="30">
        <f t="shared" si="138"/>
        <v>311674</v>
      </c>
      <c r="MBU23" s="30">
        <f t="shared" si="138"/>
        <v>311705</v>
      </c>
      <c r="MBV23" s="30">
        <f t="shared" si="138"/>
        <v>311735</v>
      </c>
      <c r="MBW23" s="30">
        <f t="shared" si="138"/>
        <v>311766</v>
      </c>
      <c r="MBX23" s="30">
        <f t="shared" si="138"/>
        <v>311797</v>
      </c>
      <c r="MBY23" s="30">
        <f t="shared" si="138"/>
        <v>311827</v>
      </c>
      <c r="MBZ23" s="30">
        <f t="shared" si="138"/>
        <v>311858</v>
      </c>
      <c r="MCA23" s="30">
        <f t="shared" si="138"/>
        <v>311888</v>
      </c>
      <c r="MCB23" s="30">
        <f t="shared" si="138"/>
        <v>311919</v>
      </c>
      <c r="MCC23" s="30">
        <f t="shared" si="138"/>
        <v>311950</v>
      </c>
      <c r="MCD23" s="30">
        <f t="shared" si="138"/>
        <v>311978</v>
      </c>
      <c r="MCE23" s="30">
        <f t="shared" si="138"/>
        <v>312009</v>
      </c>
      <c r="MCF23" s="30">
        <f t="shared" si="138"/>
        <v>312039</v>
      </c>
      <c r="MCG23" s="30">
        <f t="shared" si="138"/>
        <v>312070</v>
      </c>
      <c r="MCH23" s="30">
        <f t="shared" si="138"/>
        <v>312100</v>
      </c>
      <c r="MCI23" s="30">
        <f t="shared" si="138"/>
        <v>312131</v>
      </c>
      <c r="MCJ23" s="30">
        <f t="shared" si="138"/>
        <v>312162</v>
      </c>
      <c r="MCK23" s="30">
        <f t="shared" si="138"/>
        <v>312192</v>
      </c>
      <c r="MCL23" s="30">
        <f t="shared" si="138"/>
        <v>312223</v>
      </c>
      <c r="MCM23" s="30">
        <f t="shared" si="138"/>
        <v>312253</v>
      </c>
      <c r="MCN23" s="30">
        <f t="shared" si="138"/>
        <v>312284</v>
      </c>
      <c r="MCO23" s="30">
        <f t="shared" si="138"/>
        <v>312315</v>
      </c>
      <c r="MCP23" s="30">
        <f t="shared" si="138"/>
        <v>312343</v>
      </c>
      <c r="MCQ23" s="30">
        <f t="shared" si="138"/>
        <v>312374</v>
      </c>
      <c r="MCR23" s="30">
        <f t="shared" si="138"/>
        <v>312404</v>
      </c>
      <c r="MCS23" s="30">
        <f t="shared" si="138"/>
        <v>312435</v>
      </c>
      <c r="MCT23" s="30">
        <f t="shared" si="138"/>
        <v>312465</v>
      </c>
      <c r="MCU23" s="30">
        <f t="shared" si="138"/>
        <v>312496</v>
      </c>
      <c r="MCV23" s="30">
        <f t="shared" si="138"/>
        <v>312527</v>
      </c>
      <c r="MCW23" s="30">
        <f t="shared" si="138"/>
        <v>312557</v>
      </c>
      <c r="MCX23" s="30">
        <f t="shared" si="138"/>
        <v>312588</v>
      </c>
      <c r="MCY23" s="30">
        <f t="shared" si="138"/>
        <v>312618</v>
      </c>
      <c r="MCZ23" s="30">
        <f t="shared" si="138"/>
        <v>312649</v>
      </c>
      <c r="MDA23" s="30">
        <f t="shared" si="138"/>
        <v>312680</v>
      </c>
      <c r="MDB23" s="30">
        <f t="shared" si="138"/>
        <v>312709</v>
      </c>
      <c r="MDC23" s="30">
        <f t="shared" si="138"/>
        <v>312740</v>
      </c>
      <c r="MDD23" s="30">
        <f t="shared" si="138"/>
        <v>312770</v>
      </c>
      <c r="MDE23" s="30">
        <f t="shared" si="138"/>
        <v>312801</v>
      </c>
      <c r="MDF23" s="30">
        <f t="shared" si="138"/>
        <v>312831</v>
      </c>
      <c r="MDG23" s="30">
        <f t="shared" si="138"/>
        <v>312862</v>
      </c>
      <c r="MDH23" s="30">
        <f t="shared" ref="MDH23:MFS23" si="139">EDATE(MDG23,1)</f>
        <v>312893</v>
      </c>
      <c r="MDI23" s="30">
        <f t="shared" si="139"/>
        <v>312923</v>
      </c>
      <c r="MDJ23" s="30">
        <f t="shared" si="139"/>
        <v>312954</v>
      </c>
      <c r="MDK23" s="30">
        <f t="shared" si="139"/>
        <v>312984</v>
      </c>
      <c r="MDL23" s="30">
        <f t="shared" si="139"/>
        <v>313015</v>
      </c>
      <c r="MDM23" s="30">
        <f t="shared" si="139"/>
        <v>313046</v>
      </c>
      <c r="MDN23" s="30">
        <f t="shared" si="139"/>
        <v>313074</v>
      </c>
      <c r="MDO23" s="30">
        <f t="shared" si="139"/>
        <v>313105</v>
      </c>
      <c r="MDP23" s="30">
        <f t="shared" si="139"/>
        <v>313135</v>
      </c>
      <c r="MDQ23" s="30">
        <f t="shared" si="139"/>
        <v>313166</v>
      </c>
      <c r="MDR23" s="30">
        <f t="shared" si="139"/>
        <v>313196</v>
      </c>
      <c r="MDS23" s="30">
        <f t="shared" si="139"/>
        <v>313227</v>
      </c>
      <c r="MDT23" s="30">
        <f t="shared" si="139"/>
        <v>313258</v>
      </c>
      <c r="MDU23" s="30">
        <f t="shared" si="139"/>
        <v>313288</v>
      </c>
      <c r="MDV23" s="30">
        <f t="shared" si="139"/>
        <v>313319</v>
      </c>
      <c r="MDW23" s="30">
        <f t="shared" si="139"/>
        <v>313349</v>
      </c>
      <c r="MDX23" s="30">
        <f t="shared" si="139"/>
        <v>313380</v>
      </c>
      <c r="MDY23" s="30">
        <f t="shared" si="139"/>
        <v>313411</v>
      </c>
      <c r="MDZ23" s="30">
        <f t="shared" si="139"/>
        <v>313439</v>
      </c>
      <c r="MEA23" s="30">
        <f t="shared" si="139"/>
        <v>313470</v>
      </c>
      <c r="MEB23" s="30">
        <f t="shared" si="139"/>
        <v>313500</v>
      </c>
      <c r="MEC23" s="30">
        <f t="shared" si="139"/>
        <v>313531</v>
      </c>
      <c r="MED23" s="30">
        <f t="shared" si="139"/>
        <v>313561</v>
      </c>
      <c r="MEE23" s="30">
        <f t="shared" si="139"/>
        <v>313592</v>
      </c>
      <c r="MEF23" s="30">
        <f t="shared" si="139"/>
        <v>313623</v>
      </c>
      <c r="MEG23" s="30">
        <f t="shared" si="139"/>
        <v>313653</v>
      </c>
      <c r="MEH23" s="30">
        <f t="shared" si="139"/>
        <v>313684</v>
      </c>
      <c r="MEI23" s="30">
        <f t="shared" si="139"/>
        <v>313714</v>
      </c>
      <c r="MEJ23" s="30">
        <f t="shared" si="139"/>
        <v>313745</v>
      </c>
      <c r="MEK23" s="30">
        <f t="shared" si="139"/>
        <v>313776</v>
      </c>
      <c r="MEL23" s="30">
        <f t="shared" si="139"/>
        <v>313804</v>
      </c>
      <c r="MEM23" s="30">
        <f t="shared" si="139"/>
        <v>313835</v>
      </c>
      <c r="MEN23" s="30">
        <f t="shared" si="139"/>
        <v>313865</v>
      </c>
      <c r="MEO23" s="30">
        <f t="shared" si="139"/>
        <v>313896</v>
      </c>
      <c r="MEP23" s="30">
        <f t="shared" si="139"/>
        <v>313926</v>
      </c>
      <c r="MEQ23" s="30">
        <f t="shared" si="139"/>
        <v>313957</v>
      </c>
      <c r="MER23" s="30">
        <f t="shared" si="139"/>
        <v>313988</v>
      </c>
      <c r="MES23" s="30">
        <f t="shared" si="139"/>
        <v>314018</v>
      </c>
      <c r="MET23" s="30">
        <f t="shared" si="139"/>
        <v>314049</v>
      </c>
      <c r="MEU23" s="30">
        <f t="shared" si="139"/>
        <v>314079</v>
      </c>
      <c r="MEV23" s="30">
        <f t="shared" si="139"/>
        <v>314110</v>
      </c>
      <c r="MEW23" s="30">
        <f t="shared" si="139"/>
        <v>314141</v>
      </c>
      <c r="MEX23" s="30">
        <f t="shared" si="139"/>
        <v>314170</v>
      </c>
      <c r="MEY23" s="30">
        <f t="shared" si="139"/>
        <v>314201</v>
      </c>
      <c r="MEZ23" s="30">
        <f t="shared" si="139"/>
        <v>314231</v>
      </c>
      <c r="MFA23" s="30">
        <f t="shared" si="139"/>
        <v>314262</v>
      </c>
      <c r="MFB23" s="30">
        <f t="shared" si="139"/>
        <v>314292</v>
      </c>
      <c r="MFC23" s="30">
        <f t="shared" si="139"/>
        <v>314323</v>
      </c>
      <c r="MFD23" s="30">
        <f t="shared" si="139"/>
        <v>314354</v>
      </c>
      <c r="MFE23" s="30">
        <f t="shared" si="139"/>
        <v>314384</v>
      </c>
      <c r="MFF23" s="30">
        <f t="shared" si="139"/>
        <v>314415</v>
      </c>
      <c r="MFG23" s="30">
        <f t="shared" si="139"/>
        <v>314445</v>
      </c>
      <c r="MFH23" s="30">
        <f t="shared" si="139"/>
        <v>314476</v>
      </c>
      <c r="MFI23" s="30">
        <f t="shared" si="139"/>
        <v>314507</v>
      </c>
      <c r="MFJ23" s="30">
        <f t="shared" si="139"/>
        <v>314535</v>
      </c>
      <c r="MFK23" s="30">
        <f t="shared" si="139"/>
        <v>314566</v>
      </c>
      <c r="MFL23" s="30">
        <f t="shared" si="139"/>
        <v>314596</v>
      </c>
      <c r="MFM23" s="30">
        <f t="shared" si="139"/>
        <v>314627</v>
      </c>
      <c r="MFN23" s="30">
        <f t="shared" si="139"/>
        <v>314657</v>
      </c>
      <c r="MFO23" s="30">
        <f t="shared" si="139"/>
        <v>314688</v>
      </c>
      <c r="MFP23" s="30">
        <f t="shared" si="139"/>
        <v>314719</v>
      </c>
      <c r="MFQ23" s="30">
        <f t="shared" si="139"/>
        <v>314749</v>
      </c>
      <c r="MFR23" s="30">
        <f t="shared" si="139"/>
        <v>314780</v>
      </c>
      <c r="MFS23" s="30">
        <f t="shared" si="139"/>
        <v>314810</v>
      </c>
      <c r="MFT23" s="30">
        <f t="shared" ref="MFT23:MIE23" si="140">EDATE(MFS23,1)</f>
        <v>314841</v>
      </c>
      <c r="MFU23" s="30">
        <f t="shared" si="140"/>
        <v>314872</v>
      </c>
      <c r="MFV23" s="30">
        <f t="shared" si="140"/>
        <v>314900</v>
      </c>
      <c r="MFW23" s="30">
        <f t="shared" si="140"/>
        <v>314931</v>
      </c>
      <c r="MFX23" s="30">
        <f t="shared" si="140"/>
        <v>314961</v>
      </c>
      <c r="MFY23" s="30">
        <f t="shared" si="140"/>
        <v>314992</v>
      </c>
      <c r="MFZ23" s="30">
        <f t="shared" si="140"/>
        <v>315022</v>
      </c>
      <c r="MGA23" s="30">
        <f t="shared" si="140"/>
        <v>315053</v>
      </c>
      <c r="MGB23" s="30">
        <f t="shared" si="140"/>
        <v>315084</v>
      </c>
      <c r="MGC23" s="30">
        <f t="shared" si="140"/>
        <v>315114</v>
      </c>
      <c r="MGD23" s="30">
        <f t="shared" si="140"/>
        <v>315145</v>
      </c>
      <c r="MGE23" s="30">
        <f t="shared" si="140"/>
        <v>315175</v>
      </c>
      <c r="MGF23" s="30">
        <f t="shared" si="140"/>
        <v>315206</v>
      </c>
      <c r="MGG23" s="30">
        <f t="shared" si="140"/>
        <v>315237</v>
      </c>
      <c r="MGH23" s="30">
        <f t="shared" si="140"/>
        <v>315265</v>
      </c>
      <c r="MGI23" s="30">
        <f t="shared" si="140"/>
        <v>315296</v>
      </c>
      <c r="MGJ23" s="30">
        <f t="shared" si="140"/>
        <v>315326</v>
      </c>
      <c r="MGK23" s="30">
        <f t="shared" si="140"/>
        <v>315357</v>
      </c>
      <c r="MGL23" s="30">
        <f t="shared" si="140"/>
        <v>315387</v>
      </c>
      <c r="MGM23" s="30">
        <f t="shared" si="140"/>
        <v>315418</v>
      </c>
      <c r="MGN23" s="30">
        <f t="shared" si="140"/>
        <v>315449</v>
      </c>
      <c r="MGO23" s="30">
        <f t="shared" si="140"/>
        <v>315479</v>
      </c>
      <c r="MGP23" s="30">
        <f t="shared" si="140"/>
        <v>315510</v>
      </c>
      <c r="MGQ23" s="30">
        <f t="shared" si="140"/>
        <v>315540</v>
      </c>
      <c r="MGR23" s="30">
        <f t="shared" si="140"/>
        <v>315571</v>
      </c>
      <c r="MGS23" s="30">
        <f t="shared" si="140"/>
        <v>315602</v>
      </c>
      <c r="MGT23" s="30">
        <f t="shared" si="140"/>
        <v>315631</v>
      </c>
      <c r="MGU23" s="30">
        <f t="shared" si="140"/>
        <v>315662</v>
      </c>
      <c r="MGV23" s="30">
        <f t="shared" si="140"/>
        <v>315692</v>
      </c>
      <c r="MGW23" s="30">
        <f t="shared" si="140"/>
        <v>315723</v>
      </c>
      <c r="MGX23" s="30">
        <f t="shared" si="140"/>
        <v>315753</v>
      </c>
      <c r="MGY23" s="30">
        <f t="shared" si="140"/>
        <v>315784</v>
      </c>
      <c r="MGZ23" s="30">
        <f t="shared" si="140"/>
        <v>315815</v>
      </c>
      <c r="MHA23" s="30">
        <f t="shared" si="140"/>
        <v>315845</v>
      </c>
      <c r="MHB23" s="30">
        <f t="shared" si="140"/>
        <v>315876</v>
      </c>
      <c r="MHC23" s="30">
        <f t="shared" si="140"/>
        <v>315906</v>
      </c>
      <c r="MHD23" s="30">
        <f t="shared" si="140"/>
        <v>315937</v>
      </c>
      <c r="MHE23" s="30">
        <f t="shared" si="140"/>
        <v>315968</v>
      </c>
      <c r="MHF23" s="30">
        <f t="shared" si="140"/>
        <v>315996</v>
      </c>
      <c r="MHG23" s="30">
        <f t="shared" si="140"/>
        <v>316027</v>
      </c>
      <c r="MHH23" s="30">
        <f t="shared" si="140"/>
        <v>316057</v>
      </c>
      <c r="MHI23" s="30">
        <f t="shared" si="140"/>
        <v>316088</v>
      </c>
      <c r="MHJ23" s="30">
        <f t="shared" si="140"/>
        <v>316118</v>
      </c>
      <c r="MHK23" s="30">
        <f t="shared" si="140"/>
        <v>316149</v>
      </c>
      <c r="MHL23" s="30">
        <f t="shared" si="140"/>
        <v>316180</v>
      </c>
      <c r="MHM23" s="30">
        <f t="shared" si="140"/>
        <v>316210</v>
      </c>
      <c r="MHN23" s="30">
        <f t="shared" si="140"/>
        <v>316241</v>
      </c>
      <c r="MHO23" s="30">
        <f t="shared" si="140"/>
        <v>316271</v>
      </c>
      <c r="MHP23" s="30">
        <f t="shared" si="140"/>
        <v>316302</v>
      </c>
      <c r="MHQ23" s="30">
        <f t="shared" si="140"/>
        <v>316333</v>
      </c>
      <c r="MHR23" s="30">
        <f t="shared" si="140"/>
        <v>316361</v>
      </c>
      <c r="MHS23" s="30">
        <f t="shared" si="140"/>
        <v>316392</v>
      </c>
      <c r="MHT23" s="30">
        <f t="shared" si="140"/>
        <v>316422</v>
      </c>
      <c r="MHU23" s="30">
        <f t="shared" si="140"/>
        <v>316453</v>
      </c>
      <c r="MHV23" s="30">
        <f t="shared" si="140"/>
        <v>316483</v>
      </c>
      <c r="MHW23" s="30">
        <f t="shared" si="140"/>
        <v>316514</v>
      </c>
      <c r="MHX23" s="30">
        <f t="shared" si="140"/>
        <v>316545</v>
      </c>
      <c r="MHY23" s="30">
        <f t="shared" si="140"/>
        <v>316575</v>
      </c>
      <c r="MHZ23" s="30">
        <f t="shared" si="140"/>
        <v>316606</v>
      </c>
      <c r="MIA23" s="30">
        <f t="shared" si="140"/>
        <v>316636</v>
      </c>
      <c r="MIB23" s="30">
        <f t="shared" si="140"/>
        <v>316667</v>
      </c>
      <c r="MIC23" s="30">
        <f t="shared" si="140"/>
        <v>316698</v>
      </c>
      <c r="MID23" s="30">
        <f t="shared" si="140"/>
        <v>316726</v>
      </c>
      <c r="MIE23" s="30">
        <f t="shared" si="140"/>
        <v>316757</v>
      </c>
      <c r="MIF23" s="30">
        <f t="shared" ref="MIF23:MKQ23" si="141">EDATE(MIE23,1)</f>
        <v>316787</v>
      </c>
      <c r="MIG23" s="30">
        <f t="shared" si="141"/>
        <v>316818</v>
      </c>
      <c r="MIH23" s="30">
        <f t="shared" si="141"/>
        <v>316848</v>
      </c>
      <c r="MII23" s="30">
        <f t="shared" si="141"/>
        <v>316879</v>
      </c>
      <c r="MIJ23" s="30">
        <f t="shared" si="141"/>
        <v>316910</v>
      </c>
      <c r="MIK23" s="30">
        <f t="shared" si="141"/>
        <v>316940</v>
      </c>
      <c r="MIL23" s="30">
        <f t="shared" si="141"/>
        <v>316971</v>
      </c>
      <c r="MIM23" s="30">
        <f t="shared" si="141"/>
        <v>317001</v>
      </c>
      <c r="MIN23" s="30">
        <f t="shared" si="141"/>
        <v>317032</v>
      </c>
      <c r="MIO23" s="30">
        <f t="shared" si="141"/>
        <v>317063</v>
      </c>
      <c r="MIP23" s="30">
        <f t="shared" si="141"/>
        <v>317092</v>
      </c>
      <c r="MIQ23" s="30">
        <f t="shared" si="141"/>
        <v>317123</v>
      </c>
      <c r="MIR23" s="30">
        <f t="shared" si="141"/>
        <v>317153</v>
      </c>
      <c r="MIS23" s="30">
        <f t="shared" si="141"/>
        <v>317184</v>
      </c>
      <c r="MIT23" s="30">
        <f t="shared" si="141"/>
        <v>317214</v>
      </c>
      <c r="MIU23" s="30">
        <f t="shared" si="141"/>
        <v>317245</v>
      </c>
      <c r="MIV23" s="30">
        <f t="shared" si="141"/>
        <v>317276</v>
      </c>
      <c r="MIW23" s="30">
        <f t="shared" si="141"/>
        <v>317306</v>
      </c>
      <c r="MIX23" s="30">
        <f t="shared" si="141"/>
        <v>317337</v>
      </c>
      <c r="MIY23" s="30">
        <f t="shared" si="141"/>
        <v>317367</v>
      </c>
      <c r="MIZ23" s="30">
        <f t="shared" si="141"/>
        <v>317398</v>
      </c>
      <c r="MJA23" s="30">
        <f t="shared" si="141"/>
        <v>317429</v>
      </c>
      <c r="MJB23" s="30">
        <f t="shared" si="141"/>
        <v>317457</v>
      </c>
      <c r="MJC23" s="30">
        <f t="shared" si="141"/>
        <v>317488</v>
      </c>
      <c r="MJD23" s="30">
        <f t="shared" si="141"/>
        <v>317518</v>
      </c>
      <c r="MJE23" s="30">
        <f t="shared" si="141"/>
        <v>317549</v>
      </c>
      <c r="MJF23" s="30">
        <f t="shared" si="141"/>
        <v>317579</v>
      </c>
      <c r="MJG23" s="30">
        <f t="shared" si="141"/>
        <v>317610</v>
      </c>
      <c r="MJH23" s="30">
        <f t="shared" si="141"/>
        <v>317641</v>
      </c>
      <c r="MJI23" s="30">
        <f t="shared" si="141"/>
        <v>317671</v>
      </c>
      <c r="MJJ23" s="30">
        <f t="shared" si="141"/>
        <v>317702</v>
      </c>
      <c r="MJK23" s="30">
        <f t="shared" si="141"/>
        <v>317732</v>
      </c>
      <c r="MJL23" s="30">
        <f t="shared" si="141"/>
        <v>317763</v>
      </c>
      <c r="MJM23" s="30">
        <f t="shared" si="141"/>
        <v>317794</v>
      </c>
      <c r="MJN23" s="30">
        <f t="shared" si="141"/>
        <v>317822</v>
      </c>
      <c r="MJO23" s="30">
        <f t="shared" si="141"/>
        <v>317853</v>
      </c>
      <c r="MJP23" s="30">
        <f t="shared" si="141"/>
        <v>317883</v>
      </c>
      <c r="MJQ23" s="30">
        <f t="shared" si="141"/>
        <v>317914</v>
      </c>
      <c r="MJR23" s="30">
        <f t="shared" si="141"/>
        <v>317944</v>
      </c>
      <c r="MJS23" s="30">
        <f t="shared" si="141"/>
        <v>317975</v>
      </c>
      <c r="MJT23" s="30">
        <f t="shared" si="141"/>
        <v>318006</v>
      </c>
      <c r="MJU23" s="30">
        <f t="shared" si="141"/>
        <v>318036</v>
      </c>
      <c r="MJV23" s="30">
        <f t="shared" si="141"/>
        <v>318067</v>
      </c>
      <c r="MJW23" s="30">
        <f t="shared" si="141"/>
        <v>318097</v>
      </c>
      <c r="MJX23" s="30">
        <f t="shared" si="141"/>
        <v>318128</v>
      </c>
      <c r="MJY23" s="30">
        <f t="shared" si="141"/>
        <v>318159</v>
      </c>
      <c r="MJZ23" s="30">
        <f t="shared" si="141"/>
        <v>318187</v>
      </c>
      <c r="MKA23" s="30">
        <f t="shared" si="141"/>
        <v>318218</v>
      </c>
      <c r="MKB23" s="30">
        <f t="shared" si="141"/>
        <v>318248</v>
      </c>
      <c r="MKC23" s="30">
        <f t="shared" si="141"/>
        <v>318279</v>
      </c>
      <c r="MKD23" s="30">
        <f t="shared" si="141"/>
        <v>318309</v>
      </c>
      <c r="MKE23" s="30">
        <f t="shared" si="141"/>
        <v>318340</v>
      </c>
      <c r="MKF23" s="30">
        <f t="shared" si="141"/>
        <v>318371</v>
      </c>
      <c r="MKG23" s="30">
        <f t="shared" si="141"/>
        <v>318401</v>
      </c>
      <c r="MKH23" s="30">
        <f t="shared" si="141"/>
        <v>318432</v>
      </c>
      <c r="MKI23" s="30">
        <f t="shared" si="141"/>
        <v>318462</v>
      </c>
      <c r="MKJ23" s="30">
        <f t="shared" si="141"/>
        <v>318493</v>
      </c>
      <c r="MKK23" s="30">
        <f t="shared" si="141"/>
        <v>318524</v>
      </c>
      <c r="MKL23" s="30">
        <f t="shared" si="141"/>
        <v>318553</v>
      </c>
      <c r="MKM23" s="30">
        <f t="shared" si="141"/>
        <v>318584</v>
      </c>
      <c r="MKN23" s="30">
        <f t="shared" si="141"/>
        <v>318614</v>
      </c>
      <c r="MKO23" s="30">
        <f t="shared" si="141"/>
        <v>318645</v>
      </c>
      <c r="MKP23" s="30">
        <f t="shared" si="141"/>
        <v>318675</v>
      </c>
      <c r="MKQ23" s="30">
        <f t="shared" si="141"/>
        <v>318706</v>
      </c>
      <c r="MKR23" s="30">
        <f t="shared" ref="MKR23:MNC23" si="142">EDATE(MKQ23,1)</f>
        <v>318737</v>
      </c>
      <c r="MKS23" s="30">
        <f t="shared" si="142"/>
        <v>318767</v>
      </c>
      <c r="MKT23" s="30">
        <f t="shared" si="142"/>
        <v>318798</v>
      </c>
      <c r="MKU23" s="30">
        <f t="shared" si="142"/>
        <v>318828</v>
      </c>
      <c r="MKV23" s="30">
        <f t="shared" si="142"/>
        <v>318859</v>
      </c>
      <c r="MKW23" s="30">
        <f t="shared" si="142"/>
        <v>318890</v>
      </c>
      <c r="MKX23" s="30">
        <f t="shared" si="142"/>
        <v>318918</v>
      </c>
      <c r="MKY23" s="30">
        <f t="shared" si="142"/>
        <v>318949</v>
      </c>
      <c r="MKZ23" s="30">
        <f t="shared" si="142"/>
        <v>318979</v>
      </c>
      <c r="MLA23" s="30">
        <f t="shared" si="142"/>
        <v>319010</v>
      </c>
      <c r="MLB23" s="30">
        <f t="shared" si="142"/>
        <v>319040</v>
      </c>
      <c r="MLC23" s="30">
        <f t="shared" si="142"/>
        <v>319071</v>
      </c>
      <c r="MLD23" s="30">
        <f t="shared" si="142"/>
        <v>319102</v>
      </c>
      <c r="MLE23" s="30">
        <f t="shared" si="142"/>
        <v>319132</v>
      </c>
      <c r="MLF23" s="30">
        <f t="shared" si="142"/>
        <v>319163</v>
      </c>
      <c r="MLG23" s="30">
        <f t="shared" si="142"/>
        <v>319193</v>
      </c>
      <c r="MLH23" s="30">
        <f t="shared" si="142"/>
        <v>319224</v>
      </c>
      <c r="MLI23" s="30">
        <f t="shared" si="142"/>
        <v>319255</v>
      </c>
      <c r="MLJ23" s="30">
        <f t="shared" si="142"/>
        <v>319283</v>
      </c>
      <c r="MLK23" s="30">
        <f t="shared" si="142"/>
        <v>319314</v>
      </c>
      <c r="MLL23" s="30">
        <f t="shared" si="142"/>
        <v>319344</v>
      </c>
      <c r="MLM23" s="30">
        <f t="shared" si="142"/>
        <v>319375</v>
      </c>
      <c r="MLN23" s="30">
        <f t="shared" si="142"/>
        <v>319405</v>
      </c>
      <c r="MLO23" s="30">
        <f t="shared" si="142"/>
        <v>319436</v>
      </c>
      <c r="MLP23" s="30">
        <f t="shared" si="142"/>
        <v>319467</v>
      </c>
      <c r="MLQ23" s="30">
        <f t="shared" si="142"/>
        <v>319497</v>
      </c>
      <c r="MLR23" s="30">
        <f t="shared" si="142"/>
        <v>319528</v>
      </c>
      <c r="MLS23" s="30">
        <f t="shared" si="142"/>
        <v>319558</v>
      </c>
      <c r="MLT23" s="30">
        <f t="shared" si="142"/>
        <v>319589</v>
      </c>
      <c r="MLU23" s="30">
        <f t="shared" si="142"/>
        <v>319620</v>
      </c>
      <c r="MLV23" s="30">
        <f t="shared" si="142"/>
        <v>319648</v>
      </c>
      <c r="MLW23" s="30">
        <f t="shared" si="142"/>
        <v>319679</v>
      </c>
      <c r="MLX23" s="30">
        <f t="shared" si="142"/>
        <v>319709</v>
      </c>
      <c r="MLY23" s="30">
        <f t="shared" si="142"/>
        <v>319740</v>
      </c>
      <c r="MLZ23" s="30">
        <f t="shared" si="142"/>
        <v>319770</v>
      </c>
      <c r="MMA23" s="30">
        <f t="shared" si="142"/>
        <v>319801</v>
      </c>
      <c r="MMB23" s="30">
        <f t="shared" si="142"/>
        <v>319832</v>
      </c>
      <c r="MMC23" s="30">
        <f t="shared" si="142"/>
        <v>319862</v>
      </c>
      <c r="MMD23" s="30">
        <f t="shared" si="142"/>
        <v>319893</v>
      </c>
      <c r="MME23" s="30">
        <f t="shared" si="142"/>
        <v>319923</v>
      </c>
      <c r="MMF23" s="30">
        <f t="shared" si="142"/>
        <v>319954</v>
      </c>
      <c r="MMG23" s="30">
        <f t="shared" si="142"/>
        <v>319985</v>
      </c>
      <c r="MMH23" s="30">
        <f t="shared" si="142"/>
        <v>320014</v>
      </c>
      <c r="MMI23" s="30">
        <f t="shared" si="142"/>
        <v>320045</v>
      </c>
      <c r="MMJ23" s="30">
        <f t="shared" si="142"/>
        <v>320075</v>
      </c>
      <c r="MMK23" s="30">
        <f t="shared" si="142"/>
        <v>320106</v>
      </c>
      <c r="MML23" s="30">
        <f t="shared" si="142"/>
        <v>320136</v>
      </c>
      <c r="MMM23" s="30">
        <f t="shared" si="142"/>
        <v>320167</v>
      </c>
      <c r="MMN23" s="30">
        <f t="shared" si="142"/>
        <v>320198</v>
      </c>
      <c r="MMO23" s="30">
        <f t="shared" si="142"/>
        <v>320228</v>
      </c>
      <c r="MMP23" s="30">
        <f t="shared" si="142"/>
        <v>320259</v>
      </c>
      <c r="MMQ23" s="30">
        <f t="shared" si="142"/>
        <v>320289</v>
      </c>
      <c r="MMR23" s="30">
        <f t="shared" si="142"/>
        <v>320320</v>
      </c>
      <c r="MMS23" s="30">
        <f t="shared" si="142"/>
        <v>320351</v>
      </c>
      <c r="MMT23" s="30">
        <f t="shared" si="142"/>
        <v>320379</v>
      </c>
      <c r="MMU23" s="30">
        <f t="shared" si="142"/>
        <v>320410</v>
      </c>
      <c r="MMV23" s="30">
        <f t="shared" si="142"/>
        <v>320440</v>
      </c>
      <c r="MMW23" s="30">
        <f t="shared" si="142"/>
        <v>320471</v>
      </c>
      <c r="MMX23" s="30">
        <f t="shared" si="142"/>
        <v>320501</v>
      </c>
      <c r="MMY23" s="30">
        <f t="shared" si="142"/>
        <v>320532</v>
      </c>
      <c r="MMZ23" s="30">
        <f t="shared" si="142"/>
        <v>320563</v>
      </c>
      <c r="MNA23" s="30">
        <f t="shared" si="142"/>
        <v>320593</v>
      </c>
      <c r="MNB23" s="30">
        <f t="shared" si="142"/>
        <v>320624</v>
      </c>
      <c r="MNC23" s="30">
        <f t="shared" si="142"/>
        <v>320654</v>
      </c>
      <c r="MND23" s="30">
        <f t="shared" ref="MND23:MPO23" si="143">EDATE(MNC23,1)</f>
        <v>320685</v>
      </c>
      <c r="MNE23" s="30">
        <f t="shared" si="143"/>
        <v>320716</v>
      </c>
      <c r="MNF23" s="30">
        <f t="shared" si="143"/>
        <v>320744</v>
      </c>
      <c r="MNG23" s="30">
        <f t="shared" si="143"/>
        <v>320775</v>
      </c>
      <c r="MNH23" s="30">
        <f t="shared" si="143"/>
        <v>320805</v>
      </c>
      <c r="MNI23" s="30">
        <f t="shared" si="143"/>
        <v>320836</v>
      </c>
      <c r="MNJ23" s="30">
        <f t="shared" si="143"/>
        <v>320866</v>
      </c>
      <c r="MNK23" s="30">
        <f t="shared" si="143"/>
        <v>320897</v>
      </c>
      <c r="MNL23" s="30">
        <f t="shared" si="143"/>
        <v>320928</v>
      </c>
      <c r="MNM23" s="30">
        <f t="shared" si="143"/>
        <v>320958</v>
      </c>
      <c r="MNN23" s="30">
        <f t="shared" si="143"/>
        <v>320989</v>
      </c>
      <c r="MNO23" s="30">
        <f t="shared" si="143"/>
        <v>321019</v>
      </c>
      <c r="MNP23" s="30">
        <f t="shared" si="143"/>
        <v>321050</v>
      </c>
      <c r="MNQ23" s="30">
        <f t="shared" si="143"/>
        <v>321081</v>
      </c>
      <c r="MNR23" s="30">
        <f t="shared" si="143"/>
        <v>321109</v>
      </c>
      <c r="MNS23" s="30">
        <f t="shared" si="143"/>
        <v>321140</v>
      </c>
      <c r="MNT23" s="30">
        <f t="shared" si="143"/>
        <v>321170</v>
      </c>
      <c r="MNU23" s="30">
        <f t="shared" si="143"/>
        <v>321201</v>
      </c>
      <c r="MNV23" s="30">
        <f t="shared" si="143"/>
        <v>321231</v>
      </c>
      <c r="MNW23" s="30">
        <f t="shared" si="143"/>
        <v>321262</v>
      </c>
      <c r="MNX23" s="30">
        <f t="shared" si="143"/>
        <v>321293</v>
      </c>
      <c r="MNY23" s="30">
        <f t="shared" si="143"/>
        <v>321323</v>
      </c>
      <c r="MNZ23" s="30">
        <f t="shared" si="143"/>
        <v>321354</v>
      </c>
      <c r="MOA23" s="30">
        <f t="shared" si="143"/>
        <v>321384</v>
      </c>
      <c r="MOB23" s="30">
        <f t="shared" si="143"/>
        <v>321415</v>
      </c>
      <c r="MOC23" s="30">
        <f t="shared" si="143"/>
        <v>321446</v>
      </c>
      <c r="MOD23" s="30">
        <f t="shared" si="143"/>
        <v>321475</v>
      </c>
      <c r="MOE23" s="30">
        <f t="shared" si="143"/>
        <v>321506</v>
      </c>
      <c r="MOF23" s="30">
        <f t="shared" si="143"/>
        <v>321536</v>
      </c>
      <c r="MOG23" s="30">
        <f t="shared" si="143"/>
        <v>321567</v>
      </c>
      <c r="MOH23" s="30">
        <f t="shared" si="143"/>
        <v>321597</v>
      </c>
      <c r="MOI23" s="30">
        <f t="shared" si="143"/>
        <v>321628</v>
      </c>
      <c r="MOJ23" s="30">
        <f t="shared" si="143"/>
        <v>321659</v>
      </c>
      <c r="MOK23" s="30">
        <f t="shared" si="143"/>
        <v>321689</v>
      </c>
      <c r="MOL23" s="30">
        <f t="shared" si="143"/>
        <v>321720</v>
      </c>
      <c r="MOM23" s="30">
        <f t="shared" si="143"/>
        <v>321750</v>
      </c>
      <c r="MON23" s="30">
        <f t="shared" si="143"/>
        <v>321781</v>
      </c>
      <c r="MOO23" s="30">
        <f t="shared" si="143"/>
        <v>321812</v>
      </c>
      <c r="MOP23" s="30">
        <f t="shared" si="143"/>
        <v>321840</v>
      </c>
      <c r="MOQ23" s="30">
        <f t="shared" si="143"/>
        <v>321871</v>
      </c>
      <c r="MOR23" s="30">
        <f t="shared" si="143"/>
        <v>321901</v>
      </c>
      <c r="MOS23" s="30">
        <f t="shared" si="143"/>
        <v>321932</v>
      </c>
      <c r="MOT23" s="30">
        <f t="shared" si="143"/>
        <v>321962</v>
      </c>
      <c r="MOU23" s="30">
        <f t="shared" si="143"/>
        <v>321993</v>
      </c>
      <c r="MOV23" s="30">
        <f t="shared" si="143"/>
        <v>322024</v>
      </c>
      <c r="MOW23" s="30">
        <f t="shared" si="143"/>
        <v>322054</v>
      </c>
      <c r="MOX23" s="30">
        <f t="shared" si="143"/>
        <v>322085</v>
      </c>
      <c r="MOY23" s="30">
        <f t="shared" si="143"/>
        <v>322115</v>
      </c>
      <c r="MOZ23" s="30">
        <f t="shared" si="143"/>
        <v>322146</v>
      </c>
      <c r="MPA23" s="30">
        <f t="shared" si="143"/>
        <v>322177</v>
      </c>
      <c r="MPB23" s="30">
        <f t="shared" si="143"/>
        <v>322205</v>
      </c>
      <c r="MPC23" s="30">
        <f t="shared" si="143"/>
        <v>322236</v>
      </c>
      <c r="MPD23" s="30">
        <f t="shared" si="143"/>
        <v>322266</v>
      </c>
      <c r="MPE23" s="30">
        <f t="shared" si="143"/>
        <v>322297</v>
      </c>
      <c r="MPF23" s="30">
        <f t="shared" si="143"/>
        <v>322327</v>
      </c>
      <c r="MPG23" s="30">
        <f t="shared" si="143"/>
        <v>322358</v>
      </c>
      <c r="MPH23" s="30">
        <f t="shared" si="143"/>
        <v>322389</v>
      </c>
      <c r="MPI23" s="30">
        <f t="shared" si="143"/>
        <v>322419</v>
      </c>
      <c r="MPJ23" s="30">
        <f t="shared" si="143"/>
        <v>322450</v>
      </c>
      <c r="MPK23" s="30">
        <f t="shared" si="143"/>
        <v>322480</v>
      </c>
      <c r="MPL23" s="30">
        <f t="shared" si="143"/>
        <v>322511</v>
      </c>
      <c r="MPM23" s="30">
        <f t="shared" si="143"/>
        <v>322542</v>
      </c>
      <c r="MPN23" s="30">
        <f t="shared" si="143"/>
        <v>322570</v>
      </c>
      <c r="MPO23" s="30">
        <f t="shared" si="143"/>
        <v>322601</v>
      </c>
      <c r="MPP23" s="30">
        <f t="shared" ref="MPP23:MSA23" si="144">EDATE(MPO23,1)</f>
        <v>322631</v>
      </c>
      <c r="MPQ23" s="30">
        <f t="shared" si="144"/>
        <v>322662</v>
      </c>
      <c r="MPR23" s="30">
        <f t="shared" si="144"/>
        <v>322692</v>
      </c>
      <c r="MPS23" s="30">
        <f t="shared" si="144"/>
        <v>322723</v>
      </c>
      <c r="MPT23" s="30">
        <f t="shared" si="144"/>
        <v>322754</v>
      </c>
      <c r="MPU23" s="30">
        <f t="shared" si="144"/>
        <v>322784</v>
      </c>
      <c r="MPV23" s="30">
        <f t="shared" si="144"/>
        <v>322815</v>
      </c>
      <c r="MPW23" s="30">
        <f t="shared" si="144"/>
        <v>322845</v>
      </c>
      <c r="MPX23" s="30">
        <f t="shared" si="144"/>
        <v>322876</v>
      </c>
      <c r="MPY23" s="30">
        <f t="shared" si="144"/>
        <v>322907</v>
      </c>
      <c r="MPZ23" s="30">
        <f t="shared" si="144"/>
        <v>322936</v>
      </c>
      <c r="MQA23" s="30">
        <f t="shared" si="144"/>
        <v>322967</v>
      </c>
      <c r="MQB23" s="30">
        <f t="shared" si="144"/>
        <v>322997</v>
      </c>
      <c r="MQC23" s="30">
        <f t="shared" si="144"/>
        <v>323028</v>
      </c>
      <c r="MQD23" s="30">
        <f t="shared" si="144"/>
        <v>323058</v>
      </c>
      <c r="MQE23" s="30">
        <f t="shared" si="144"/>
        <v>323089</v>
      </c>
      <c r="MQF23" s="30">
        <f t="shared" si="144"/>
        <v>323120</v>
      </c>
      <c r="MQG23" s="30">
        <f t="shared" si="144"/>
        <v>323150</v>
      </c>
      <c r="MQH23" s="30">
        <f t="shared" si="144"/>
        <v>323181</v>
      </c>
      <c r="MQI23" s="30">
        <f t="shared" si="144"/>
        <v>323211</v>
      </c>
      <c r="MQJ23" s="30">
        <f t="shared" si="144"/>
        <v>323242</v>
      </c>
      <c r="MQK23" s="30">
        <f t="shared" si="144"/>
        <v>323273</v>
      </c>
      <c r="MQL23" s="30">
        <f t="shared" si="144"/>
        <v>323301</v>
      </c>
      <c r="MQM23" s="30">
        <f t="shared" si="144"/>
        <v>323332</v>
      </c>
      <c r="MQN23" s="30">
        <f t="shared" si="144"/>
        <v>323362</v>
      </c>
      <c r="MQO23" s="30">
        <f t="shared" si="144"/>
        <v>323393</v>
      </c>
      <c r="MQP23" s="30">
        <f t="shared" si="144"/>
        <v>323423</v>
      </c>
      <c r="MQQ23" s="30">
        <f t="shared" si="144"/>
        <v>323454</v>
      </c>
      <c r="MQR23" s="30">
        <f t="shared" si="144"/>
        <v>323485</v>
      </c>
      <c r="MQS23" s="30">
        <f t="shared" si="144"/>
        <v>323515</v>
      </c>
      <c r="MQT23" s="30">
        <f t="shared" si="144"/>
        <v>323546</v>
      </c>
      <c r="MQU23" s="30">
        <f t="shared" si="144"/>
        <v>323576</v>
      </c>
      <c r="MQV23" s="30">
        <f t="shared" si="144"/>
        <v>323607</v>
      </c>
      <c r="MQW23" s="30">
        <f t="shared" si="144"/>
        <v>323638</v>
      </c>
      <c r="MQX23" s="30">
        <f t="shared" si="144"/>
        <v>323666</v>
      </c>
      <c r="MQY23" s="30">
        <f t="shared" si="144"/>
        <v>323697</v>
      </c>
      <c r="MQZ23" s="30">
        <f t="shared" si="144"/>
        <v>323727</v>
      </c>
      <c r="MRA23" s="30">
        <f t="shared" si="144"/>
        <v>323758</v>
      </c>
      <c r="MRB23" s="30">
        <f t="shared" si="144"/>
        <v>323788</v>
      </c>
      <c r="MRC23" s="30">
        <f t="shared" si="144"/>
        <v>323819</v>
      </c>
      <c r="MRD23" s="30">
        <f t="shared" si="144"/>
        <v>323850</v>
      </c>
      <c r="MRE23" s="30">
        <f t="shared" si="144"/>
        <v>323880</v>
      </c>
      <c r="MRF23" s="30">
        <f t="shared" si="144"/>
        <v>323911</v>
      </c>
      <c r="MRG23" s="30">
        <f t="shared" si="144"/>
        <v>323941</v>
      </c>
      <c r="MRH23" s="30">
        <f t="shared" si="144"/>
        <v>323972</v>
      </c>
      <c r="MRI23" s="30">
        <f t="shared" si="144"/>
        <v>324003</v>
      </c>
      <c r="MRJ23" s="30">
        <f t="shared" si="144"/>
        <v>324031</v>
      </c>
      <c r="MRK23" s="30">
        <f t="shared" si="144"/>
        <v>324062</v>
      </c>
      <c r="MRL23" s="30">
        <f t="shared" si="144"/>
        <v>324092</v>
      </c>
      <c r="MRM23" s="30">
        <f t="shared" si="144"/>
        <v>324123</v>
      </c>
      <c r="MRN23" s="30">
        <f t="shared" si="144"/>
        <v>324153</v>
      </c>
      <c r="MRO23" s="30">
        <f t="shared" si="144"/>
        <v>324184</v>
      </c>
      <c r="MRP23" s="30">
        <f t="shared" si="144"/>
        <v>324215</v>
      </c>
      <c r="MRQ23" s="30">
        <f t="shared" si="144"/>
        <v>324245</v>
      </c>
      <c r="MRR23" s="30">
        <f t="shared" si="144"/>
        <v>324276</v>
      </c>
      <c r="MRS23" s="30">
        <f t="shared" si="144"/>
        <v>324306</v>
      </c>
      <c r="MRT23" s="30">
        <f t="shared" si="144"/>
        <v>324337</v>
      </c>
      <c r="MRU23" s="30">
        <f t="shared" si="144"/>
        <v>324368</v>
      </c>
      <c r="MRV23" s="30">
        <f t="shared" si="144"/>
        <v>324397</v>
      </c>
      <c r="MRW23" s="30">
        <f t="shared" si="144"/>
        <v>324428</v>
      </c>
      <c r="MRX23" s="30">
        <f t="shared" si="144"/>
        <v>324458</v>
      </c>
      <c r="MRY23" s="30">
        <f t="shared" si="144"/>
        <v>324489</v>
      </c>
      <c r="MRZ23" s="30">
        <f t="shared" si="144"/>
        <v>324519</v>
      </c>
      <c r="MSA23" s="30">
        <f t="shared" si="144"/>
        <v>324550</v>
      </c>
      <c r="MSB23" s="30">
        <f t="shared" ref="MSB23:MUM23" si="145">EDATE(MSA23,1)</f>
        <v>324581</v>
      </c>
      <c r="MSC23" s="30">
        <f t="shared" si="145"/>
        <v>324611</v>
      </c>
      <c r="MSD23" s="30">
        <f t="shared" si="145"/>
        <v>324642</v>
      </c>
      <c r="MSE23" s="30">
        <f t="shared" si="145"/>
        <v>324672</v>
      </c>
      <c r="MSF23" s="30">
        <f t="shared" si="145"/>
        <v>324703</v>
      </c>
      <c r="MSG23" s="30">
        <f t="shared" si="145"/>
        <v>324734</v>
      </c>
      <c r="MSH23" s="30">
        <f t="shared" si="145"/>
        <v>324762</v>
      </c>
      <c r="MSI23" s="30">
        <f t="shared" si="145"/>
        <v>324793</v>
      </c>
      <c r="MSJ23" s="30">
        <f t="shared" si="145"/>
        <v>324823</v>
      </c>
      <c r="MSK23" s="30">
        <f t="shared" si="145"/>
        <v>324854</v>
      </c>
      <c r="MSL23" s="30">
        <f t="shared" si="145"/>
        <v>324884</v>
      </c>
      <c r="MSM23" s="30">
        <f t="shared" si="145"/>
        <v>324915</v>
      </c>
      <c r="MSN23" s="30">
        <f t="shared" si="145"/>
        <v>324946</v>
      </c>
      <c r="MSO23" s="30">
        <f t="shared" si="145"/>
        <v>324976</v>
      </c>
      <c r="MSP23" s="30">
        <f t="shared" si="145"/>
        <v>325007</v>
      </c>
      <c r="MSQ23" s="30">
        <f t="shared" si="145"/>
        <v>325037</v>
      </c>
      <c r="MSR23" s="30">
        <f t="shared" si="145"/>
        <v>325068</v>
      </c>
      <c r="MSS23" s="30">
        <f t="shared" si="145"/>
        <v>325099</v>
      </c>
      <c r="MST23" s="30">
        <f t="shared" si="145"/>
        <v>325127</v>
      </c>
      <c r="MSU23" s="30">
        <f t="shared" si="145"/>
        <v>325158</v>
      </c>
      <c r="MSV23" s="30">
        <f t="shared" si="145"/>
        <v>325188</v>
      </c>
      <c r="MSW23" s="30">
        <f t="shared" si="145"/>
        <v>325219</v>
      </c>
      <c r="MSX23" s="30">
        <f t="shared" si="145"/>
        <v>325249</v>
      </c>
      <c r="MSY23" s="30">
        <f t="shared" si="145"/>
        <v>325280</v>
      </c>
      <c r="MSZ23" s="30">
        <f t="shared" si="145"/>
        <v>325311</v>
      </c>
      <c r="MTA23" s="30">
        <f t="shared" si="145"/>
        <v>325341</v>
      </c>
      <c r="MTB23" s="30">
        <f t="shared" si="145"/>
        <v>325372</v>
      </c>
      <c r="MTC23" s="30">
        <f t="shared" si="145"/>
        <v>325402</v>
      </c>
      <c r="MTD23" s="30">
        <f t="shared" si="145"/>
        <v>325433</v>
      </c>
      <c r="MTE23" s="30">
        <f t="shared" si="145"/>
        <v>325464</v>
      </c>
      <c r="MTF23" s="30">
        <f t="shared" si="145"/>
        <v>325492</v>
      </c>
      <c r="MTG23" s="30">
        <f t="shared" si="145"/>
        <v>325523</v>
      </c>
      <c r="MTH23" s="30">
        <f t="shared" si="145"/>
        <v>325553</v>
      </c>
      <c r="MTI23" s="30">
        <f t="shared" si="145"/>
        <v>325584</v>
      </c>
      <c r="MTJ23" s="30">
        <f t="shared" si="145"/>
        <v>325614</v>
      </c>
      <c r="MTK23" s="30">
        <f t="shared" si="145"/>
        <v>325645</v>
      </c>
      <c r="MTL23" s="30">
        <f t="shared" si="145"/>
        <v>325676</v>
      </c>
      <c r="MTM23" s="30">
        <f t="shared" si="145"/>
        <v>325706</v>
      </c>
      <c r="MTN23" s="30">
        <f t="shared" si="145"/>
        <v>325737</v>
      </c>
      <c r="MTO23" s="30">
        <f t="shared" si="145"/>
        <v>325767</v>
      </c>
      <c r="MTP23" s="30">
        <f t="shared" si="145"/>
        <v>325798</v>
      </c>
      <c r="MTQ23" s="30">
        <f t="shared" si="145"/>
        <v>325829</v>
      </c>
      <c r="MTR23" s="30">
        <f t="shared" si="145"/>
        <v>325858</v>
      </c>
      <c r="MTS23" s="30">
        <f t="shared" si="145"/>
        <v>325889</v>
      </c>
      <c r="MTT23" s="30">
        <f t="shared" si="145"/>
        <v>325919</v>
      </c>
      <c r="MTU23" s="30">
        <f t="shared" si="145"/>
        <v>325950</v>
      </c>
      <c r="MTV23" s="30">
        <f t="shared" si="145"/>
        <v>325980</v>
      </c>
      <c r="MTW23" s="30">
        <f t="shared" si="145"/>
        <v>326011</v>
      </c>
      <c r="MTX23" s="30">
        <f t="shared" si="145"/>
        <v>326042</v>
      </c>
      <c r="MTY23" s="30">
        <f t="shared" si="145"/>
        <v>326072</v>
      </c>
      <c r="MTZ23" s="30">
        <f t="shared" si="145"/>
        <v>326103</v>
      </c>
      <c r="MUA23" s="30">
        <f t="shared" si="145"/>
        <v>326133</v>
      </c>
      <c r="MUB23" s="30">
        <f t="shared" si="145"/>
        <v>326164</v>
      </c>
      <c r="MUC23" s="30">
        <f t="shared" si="145"/>
        <v>326195</v>
      </c>
      <c r="MUD23" s="30">
        <f t="shared" si="145"/>
        <v>326223</v>
      </c>
      <c r="MUE23" s="30">
        <f t="shared" si="145"/>
        <v>326254</v>
      </c>
      <c r="MUF23" s="30">
        <f t="shared" si="145"/>
        <v>326284</v>
      </c>
      <c r="MUG23" s="30">
        <f t="shared" si="145"/>
        <v>326315</v>
      </c>
      <c r="MUH23" s="30">
        <f t="shared" si="145"/>
        <v>326345</v>
      </c>
      <c r="MUI23" s="30">
        <f t="shared" si="145"/>
        <v>326376</v>
      </c>
      <c r="MUJ23" s="30">
        <f t="shared" si="145"/>
        <v>326407</v>
      </c>
      <c r="MUK23" s="30">
        <f t="shared" si="145"/>
        <v>326437</v>
      </c>
      <c r="MUL23" s="30">
        <f t="shared" si="145"/>
        <v>326468</v>
      </c>
      <c r="MUM23" s="30">
        <f t="shared" si="145"/>
        <v>326498</v>
      </c>
      <c r="MUN23" s="30">
        <f t="shared" ref="MUN23:MWY23" si="146">EDATE(MUM23,1)</f>
        <v>326529</v>
      </c>
      <c r="MUO23" s="30">
        <f t="shared" si="146"/>
        <v>326560</v>
      </c>
      <c r="MUP23" s="30">
        <f t="shared" si="146"/>
        <v>326588</v>
      </c>
      <c r="MUQ23" s="30">
        <f t="shared" si="146"/>
        <v>326619</v>
      </c>
      <c r="MUR23" s="30">
        <f t="shared" si="146"/>
        <v>326649</v>
      </c>
      <c r="MUS23" s="30">
        <f t="shared" si="146"/>
        <v>326680</v>
      </c>
      <c r="MUT23" s="30">
        <f t="shared" si="146"/>
        <v>326710</v>
      </c>
      <c r="MUU23" s="30">
        <f t="shared" si="146"/>
        <v>326741</v>
      </c>
      <c r="MUV23" s="30">
        <f t="shared" si="146"/>
        <v>326772</v>
      </c>
      <c r="MUW23" s="30">
        <f t="shared" si="146"/>
        <v>326802</v>
      </c>
      <c r="MUX23" s="30">
        <f t="shared" si="146"/>
        <v>326833</v>
      </c>
      <c r="MUY23" s="30">
        <f t="shared" si="146"/>
        <v>326863</v>
      </c>
      <c r="MUZ23" s="30">
        <f t="shared" si="146"/>
        <v>326894</v>
      </c>
      <c r="MVA23" s="30">
        <f t="shared" si="146"/>
        <v>326925</v>
      </c>
      <c r="MVB23" s="30">
        <f t="shared" si="146"/>
        <v>326953</v>
      </c>
      <c r="MVC23" s="30">
        <f t="shared" si="146"/>
        <v>326984</v>
      </c>
      <c r="MVD23" s="30">
        <f t="shared" si="146"/>
        <v>327014</v>
      </c>
      <c r="MVE23" s="30">
        <f t="shared" si="146"/>
        <v>327045</v>
      </c>
      <c r="MVF23" s="30">
        <f t="shared" si="146"/>
        <v>327075</v>
      </c>
      <c r="MVG23" s="30">
        <f t="shared" si="146"/>
        <v>327106</v>
      </c>
      <c r="MVH23" s="30">
        <f t="shared" si="146"/>
        <v>327137</v>
      </c>
      <c r="MVI23" s="30">
        <f t="shared" si="146"/>
        <v>327167</v>
      </c>
      <c r="MVJ23" s="30">
        <f t="shared" si="146"/>
        <v>327198</v>
      </c>
      <c r="MVK23" s="30">
        <f t="shared" si="146"/>
        <v>327228</v>
      </c>
      <c r="MVL23" s="30">
        <f t="shared" si="146"/>
        <v>327259</v>
      </c>
      <c r="MVM23" s="30">
        <f t="shared" si="146"/>
        <v>327290</v>
      </c>
      <c r="MVN23" s="30">
        <f t="shared" si="146"/>
        <v>327319</v>
      </c>
      <c r="MVO23" s="30">
        <f t="shared" si="146"/>
        <v>327350</v>
      </c>
      <c r="MVP23" s="30">
        <f t="shared" si="146"/>
        <v>327380</v>
      </c>
      <c r="MVQ23" s="30">
        <f t="shared" si="146"/>
        <v>327411</v>
      </c>
      <c r="MVR23" s="30">
        <f t="shared" si="146"/>
        <v>327441</v>
      </c>
      <c r="MVS23" s="30">
        <f t="shared" si="146"/>
        <v>327472</v>
      </c>
      <c r="MVT23" s="30">
        <f t="shared" si="146"/>
        <v>327503</v>
      </c>
      <c r="MVU23" s="30">
        <f t="shared" si="146"/>
        <v>327533</v>
      </c>
      <c r="MVV23" s="30">
        <f t="shared" si="146"/>
        <v>327564</v>
      </c>
      <c r="MVW23" s="30">
        <f t="shared" si="146"/>
        <v>327594</v>
      </c>
      <c r="MVX23" s="30">
        <f t="shared" si="146"/>
        <v>327625</v>
      </c>
      <c r="MVY23" s="30">
        <f t="shared" si="146"/>
        <v>327656</v>
      </c>
      <c r="MVZ23" s="30">
        <f t="shared" si="146"/>
        <v>327684</v>
      </c>
      <c r="MWA23" s="30">
        <f t="shared" si="146"/>
        <v>327715</v>
      </c>
      <c r="MWB23" s="30">
        <f t="shared" si="146"/>
        <v>327745</v>
      </c>
      <c r="MWC23" s="30">
        <f t="shared" si="146"/>
        <v>327776</v>
      </c>
      <c r="MWD23" s="30">
        <f t="shared" si="146"/>
        <v>327806</v>
      </c>
      <c r="MWE23" s="30">
        <f t="shared" si="146"/>
        <v>327837</v>
      </c>
      <c r="MWF23" s="30">
        <f t="shared" si="146"/>
        <v>327868</v>
      </c>
      <c r="MWG23" s="30">
        <f t="shared" si="146"/>
        <v>327898</v>
      </c>
      <c r="MWH23" s="30">
        <f t="shared" si="146"/>
        <v>327929</v>
      </c>
      <c r="MWI23" s="30">
        <f t="shared" si="146"/>
        <v>327959</v>
      </c>
      <c r="MWJ23" s="30">
        <f t="shared" si="146"/>
        <v>327990</v>
      </c>
      <c r="MWK23" s="30">
        <f t="shared" si="146"/>
        <v>328021</v>
      </c>
      <c r="MWL23" s="30">
        <f t="shared" si="146"/>
        <v>328049</v>
      </c>
      <c r="MWM23" s="30">
        <f t="shared" si="146"/>
        <v>328080</v>
      </c>
      <c r="MWN23" s="30">
        <f t="shared" si="146"/>
        <v>328110</v>
      </c>
      <c r="MWO23" s="30">
        <f t="shared" si="146"/>
        <v>328141</v>
      </c>
      <c r="MWP23" s="30">
        <f t="shared" si="146"/>
        <v>328171</v>
      </c>
      <c r="MWQ23" s="30">
        <f t="shared" si="146"/>
        <v>328202</v>
      </c>
      <c r="MWR23" s="30">
        <f t="shared" si="146"/>
        <v>328233</v>
      </c>
      <c r="MWS23" s="30">
        <f t="shared" si="146"/>
        <v>328263</v>
      </c>
      <c r="MWT23" s="30">
        <f t="shared" si="146"/>
        <v>328294</v>
      </c>
      <c r="MWU23" s="30">
        <f t="shared" si="146"/>
        <v>328324</v>
      </c>
      <c r="MWV23" s="30">
        <f t="shared" si="146"/>
        <v>328355</v>
      </c>
      <c r="MWW23" s="30">
        <f t="shared" si="146"/>
        <v>328386</v>
      </c>
      <c r="MWX23" s="30">
        <f t="shared" si="146"/>
        <v>328414</v>
      </c>
      <c r="MWY23" s="30">
        <f t="shared" si="146"/>
        <v>328445</v>
      </c>
      <c r="MWZ23" s="30">
        <f t="shared" ref="MWZ23:MZK23" si="147">EDATE(MWY23,1)</f>
        <v>328475</v>
      </c>
      <c r="MXA23" s="30">
        <f t="shared" si="147"/>
        <v>328506</v>
      </c>
      <c r="MXB23" s="30">
        <f t="shared" si="147"/>
        <v>328536</v>
      </c>
      <c r="MXC23" s="30">
        <f t="shared" si="147"/>
        <v>328567</v>
      </c>
      <c r="MXD23" s="30">
        <f t="shared" si="147"/>
        <v>328598</v>
      </c>
      <c r="MXE23" s="30">
        <f t="shared" si="147"/>
        <v>328628</v>
      </c>
      <c r="MXF23" s="30">
        <f t="shared" si="147"/>
        <v>328659</v>
      </c>
      <c r="MXG23" s="30">
        <f t="shared" si="147"/>
        <v>328689</v>
      </c>
      <c r="MXH23" s="30">
        <f t="shared" si="147"/>
        <v>328720</v>
      </c>
      <c r="MXI23" s="30">
        <f t="shared" si="147"/>
        <v>328751</v>
      </c>
      <c r="MXJ23" s="30">
        <f t="shared" si="147"/>
        <v>328780</v>
      </c>
      <c r="MXK23" s="30">
        <f t="shared" si="147"/>
        <v>328811</v>
      </c>
      <c r="MXL23" s="30">
        <f t="shared" si="147"/>
        <v>328841</v>
      </c>
      <c r="MXM23" s="30">
        <f t="shared" si="147"/>
        <v>328872</v>
      </c>
      <c r="MXN23" s="30">
        <f t="shared" si="147"/>
        <v>328902</v>
      </c>
      <c r="MXO23" s="30">
        <f t="shared" si="147"/>
        <v>328933</v>
      </c>
      <c r="MXP23" s="30">
        <f t="shared" si="147"/>
        <v>328964</v>
      </c>
      <c r="MXQ23" s="30">
        <f t="shared" si="147"/>
        <v>328994</v>
      </c>
      <c r="MXR23" s="30">
        <f t="shared" si="147"/>
        <v>329025</v>
      </c>
      <c r="MXS23" s="30">
        <f t="shared" si="147"/>
        <v>329055</v>
      </c>
      <c r="MXT23" s="30">
        <f t="shared" si="147"/>
        <v>329086</v>
      </c>
      <c r="MXU23" s="30">
        <f t="shared" si="147"/>
        <v>329117</v>
      </c>
      <c r="MXV23" s="30">
        <f t="shared" si="147"/>
        <v>329145</v>
      </c>
      <c r="MXW23" s="30">
        <f t="shared" si="147"/>
        <v>329176</v>
      </c>
      <c r="MXX23" s="30">
        <f t="shared" si="147"/>
        <v>329206</v>
      </c>
      <c r="MXY23" s="30">
        <f t="shared" si="147"/>
        <v>329237</v>
      </c>
      <c r="MXZ23" s="30">
        <f t="shared" si="147"/>
        <v>329267</v>
      </c>
      <c r="MYA23" s="30">
        <f t="shared" si="147"/>
        <v>329298</v>
      </c>
      <c r="MYB23" s="30">
        <f t="shared" si="147"/>
        <v>329329</v>
      </c>
      <c r="MYC23" s="30">
        <f t="shared" si="147"/>
        <v>329359</v>
      </c>
      <c r="MYD23" s="30">
        <f t="shared" si="147"/>
        <v>329390</v>
      </c>
      <c r="MYE23" s="30">
        <f t="shared" si="147"/>
        <v>329420</v>
      </c>
      <c r="MYF23" s="30">
        <f t="shared" si="147"/>
        <v>329451</v>
      </c>
      <c r="MYG23" s="30">
        <f t="shared" si="147"/>
        <v>329482</v>
      </c>
      <c r="MYH23" s="30">
        <f t="shared" si="147"/>
        <v>329510</v>
      </c>
      <c r="MYI23" s="30">
        <f t="shared" si="147"/>
        <v>329541</v>
      </c>
      <c r="MYJ23" s="30">
        <f t="shared" si="147"/>
        <v>329571</v>
      </c>
      <c r="MYK23" s="30">
        <f t="shared" si="147"/>
        <v>329602</v>
      </c>
      <c r="MYL23" s="30">
        <f t="shared" si="147"/>
        <v>329632</v>
      </c>
      <c r="MYM23" s="30">
        <f t="shared" si="147"/>
        <v>329663</v>
      </c>
      <c r="MYN23" s="30">
        <f t="shared" si="147"/>
        <v>329694</v>
      </c>
      <c r="MYO23" s="30">
        <f t="shared" si="147"/>
        <v>329724</v>
      </c>
      <c r="MYP23" s="30">
        <f t="shared" si="147"/>
        <v>329755</v>
      </c>
      <c r="MYQ23" s="30">
        <f t="shared" si="147"/>
        <v>329785</v>
      </c>
      <c r="MYR23" s="30">
        <f t="shared" si="147"/>
        <v>329816</v>
      </c>
      <c r="MYS23" s="30">
        <f t="shared" si="147"/>
        <v>329847</v>
      </c>
      <c r="MYT23" s="30">
        <f t="shared" si="147"/>
        <v>329875</v>
      </c>
      <c r="MYU23" s="30">
        <f t="shared" si="147"/>
        <v>329906</v>
      </c>
      <c r="MYV23" s="30">
        <f t="shared" si="147"/>
        <v>329936</v>
      </c>
      <c r="MYW23" s="30">
        <f t="shared" si="147"/>
        <v>329967</v>
      </c>
      <c r="MYX23" s="30">
        <f t="shared" si="147"/>
        <v>329997</v>
      </c>
      <c r="MYY23" s="30">
        <f t="shared" si="147"/>
        <v>330028</v>
      </c>
      <c r="MYZ23" s="30">
        <f t="shared" si="147"/>
        <v>330059</v>
      </c>
      <c r="MZA23" s="30">
        <f t="shared" si="147"/>
        <v>330089</v>
      </c>
      <c r="MZB23" s="30">
        <f t="shared" si="147"/>
        <v>330120</v>
      </c>
      <c r="MZC23" s="30">
        <f t="shared" si="147"/>
        <v>330150</v>
      </c>
      <c r="MZD23" s="30">
        <f t="shared" si="147"/>
        <v>330181</v>
      </c>
      <c r="MZE23" s="30">
        <f t="shared" si="147"/>
        <v>330212</v>
      </c>
      <c r="MZF23" s="30">
        <f t="shared" si="147"/>
        <v>330241</v>
      </c>
      <c r="MZG23" s="30">
        <f t="shared" si="147"/>
        <v>330272</v>
      </c>
      <c r="MZH23" s="30">
        <f t="shared" si="147"/>
        <v>330302</v>
      </c>
      <c r="MZI23" s="30">
        <f t="shared" si="147"/>
        <v>330333</v>
      </c>
      <c r="MZJ23" s="30">
        <f t="shared" si="147"/>
        <v>330363</v>
      </c>
      <c r="MZK23" s="30">
        <f t="shared" si="147"/>
        <v>330394</v>
      </c>
      <c r="MZL23" s="30">
        <f t="shared" ref="MZL23:NBW23" si="148">EDATE(MZK23,1)</f>
        <v>330425</v>
      </c>
      <c r="MZM23" s="30">
        <f t="shared" si="148"/>
        <v>330455</v>
      </c>
      <c r="MZN23" s="30">
        <f t="shared" si="148"/>
        <v>330486</v>
      </c>
      <c r="MZO23" s="30">
        <f t="shared" si="148"/>
        <v>330516</v>
      </c>
      <c r="MZP23" s="30">
        <f t="shared" si="148"/>
        <v>330547</v>
      </c>
      <c r="MZQ23" s="30">
        <f t="shared" si="148"/>
        <v>330578</v>
      </c>
      <c r="MZR23" s="30">
        <f t="shared" si="148"/>
        <v>330606</v>
      </c>
      <c r="MZS23" s="30">
        <f t="shared" si="148"/>
        <v>330637</v>
      </c>
      <c r="MZT23" s="30">
        <f t="shared" si="148"/>
        <v>330667</v>
      </c>
      <c r="MZU23" s="30">
        <f t="shared" si="148"/>
        <v>330698</v>
      </c>
      <c r="MZV23" s="30">
        <f t="shared" si="148"/>
        <v>330728</v>
      </c>
      <c r="MZW23" s="30">
        <f t="shared" si="148"/>
        <v>330759</v>
      </c>
      <c r="MZX23" s="30">
        <f t="shared" si="148"/>
        <v>330790</v>
      </c>
      <c r="MZY23" s="30">
        <f t="shared" si="148"/>
        <v>330820</v>
      </c>
      <c r="MZZ23" s="30">
        <f t="shared" si="148"/>
        <v>330851</v>
      </c>
      <c r="NAA23" s="30">
        <f t="shared" si="148"/>
        <v>330881</v>
      </c>
      <c r="NAB23" s="30">
        <f t="shared" si="148"/>
        <v>330912</v>
      </c>
      <c r="NAC23" s="30">
        <f t="shared" si="148"/>
        <v>330943</v>
      </c>
      <c r="NAD23" s="30">
        <f t="shared" si="148"/>
        <v>330971</v>
      </c>
      <c r="NAE23" s="30">
        <f t="shared" si="148"/>
        <v>331002</v>
      </c>
      <c r="NAF23" s="30">
        <f t="shared" si="148"/>
        <v>331032</v>
      </c>
      <c r="NAG23" s="30">
        <f t="shared" si="148"/>
        <v>331063</v>
      </c>
      <c r="NAH23" s="30">
        <f t="shared" si="148"/>
        <v>331093</v>
      </c>
      <c r="NAI23" s="30">
        <f t="shared" si="148"/>
        <v>331124</v>
      </c>
      <c r="NAJ23" s="30">
        <f t="shared" si="148"/>
        <v>331155</v>
      </c>
      <c r="NAK23" s="30">
        <f t="shared" si="148"/>
        <v>331185</v>
      </c>
      <c r="NAL23" s="30">
        <f t="shared" si="148"/>
        <v>331216</v>
      </c>
      <c r="NAM23" s="30">
        <f t="shared" si="148"/>
        <v>331246</v>
      </c>
      <c r="NAN23" s="30">
        <f t="shared" si="148"/>
        <v>331277</v>
      </c>
      <c r="NAO23" s="30">
        <f t="shared" si="148"/>
        <v>331308</v>
      </c>
      <c r="NAP23" s="30">
        <f t="shared" si="148"/>
        <v>331336</v>
      </c>
      <c r="NAQ23" s="30">
        <f t="shared" si="148"/>
        <v>331367</v>
      </c>
      <c r="NAR23" s="30">
        <f t="shared" si="148"/>
        <v>331397</v>
      </c>
      <c r="NAS23" s="30">
        <f t="shared" si="148"/>
        <v>331428</v>
      </c>
      <c r="NAT23" s="30">
        <f t="shared" si="148"/>
        <v>331458</v>
      </c>
      <c r="NAU23" s="30">
        <f t="shared" si="148"/>
        <v>331489</v>
      </c>
      <c r="NAV23" s="30">
        <f t="shared" si="148"/>
        <v>331520</v>
      </c>
      <c r="NAW23" s="30">
        <f t="shared" si="148"/>
        <v>331550</v>
      </c>
      <c r="NAX23" s="30">
        <f t="shared" si="148"/>
        <v>331581</v>
      </c>
      <c r="NAY23" s="30">
        <f t="shared" si="148"/>
        <v>331611</v>
      </c>
      <c r="NAZ23" s="30">
        <f t="shared" si="148"/>
        <v>331642</v>
      </c>
      <c r="NBA23" s="30">
        <f t="shared" si="148"/>
        <v>331673</v>
      </c>
      <c r="NBB23" s="30">
        <f t="shared" si="148"/>
        <v>331702</v>
      </c>
      <c r="NBC23" s="30">
        <f t="shared" si="148"/>
        <v>331733</v>
      </c>
      <c r="NBD23" s="30">
        <f t="shared" si="148"/>
        <v>331763</v>
      </c>
      <c r="NBE23" s="30">
        <f t="shared" si="148"/>
        <v>331794</v>
      </c>
      <c r="NBF23" s="30">
        <f t="shared" si="148"/>
        <v>331824</v>
      </c>
      <c r="NBG23" s="30">
        <f t="shared" si="148"/>
        <v>331855</v>
      </c>
      <c r="NBH23" s="30">
        <f t="shared" si="148"/>
        <v>331886</v>
      </c>
      <c r="NBI23" s="30">
        <f t="shared" si="148"/>
        <v>331916</v>
      </c>
      <c r="NBJ23" s="30">
        <f t="shared" si="148"/>
        <v>331947</v>
      </c>
      <c r="NBK23" s="30">
        <f t="shared" si="148"/>
        <v>331977</v>
      </c>
      <c r="NBL23" s="30">
        <f t="shared" si="148"/>
        <v>332008</v>
      </c>
      <c r="NBM23" s="30">
        <f t="shared" si="148"/>
        <v>332039</v>
      </c>
      <c r="NBN23" s="30">
        <f t="shared" si="148"/>
        <v>332067</v>
      </c>
      <c r="NBO23" s="30">
        <f t="shared" si="148"/>
        <v>332098</v>
      </c>
      <c r="NBP23" s="30">
        <f t="shared" si="148"/>
        <v>332128</v>
      </c>
      <c r="NBQ23" s="30">
        <f t="shared" si="148"/>
        <v>332159</v>
      </c>
      <c r="NBR23" s="30">
        <f t="shared" si="148"/>
        <v>332189</v>
      </c>
      <c r="NBS23" s="30">
        <f t="shared" si="148"/>
        <v>332220</v>
      </c>
      <c r="NBT23" s="30">
        <f t="shared" si="148"/>
        <v>332251</v>
      </c>
      <c r="NBU23" s="30">
        <f t="shared" si="148"/>
        <v>332281</v>
      </c>
      <c r="NBV23" s="30">
        <f t="shared" si="148"/>
        <v>332312</v>
      </c>
      <c r="NBW23" s="30">
        <f t="shared" si="148"/>
        <v>332342</v>
      </c>
      <c r="NBX23" s="30">
        <f t="shared" ref="NBX23:NEI23" si="149">EDATE(NBW23,1)</f>
        <v>332373</v>
      </c>
      <c r="NBY23" s="30">
        <f t="shared" si="149"/>
        <v>332404</v>
      </c>
      <c r="NBZ23" s="30">
        <f t="shared" si="149"/>
        <v>332432</v>
      </c>
      <c r="NCA23" s="30">
        <f t="shared" si="149"/>
        <v>332463</v>
      </c>
      <c r="NCB23" s="30">
        <f t="shared" si="149"/>
        <v>332493</v>
      </c>
      <c r="NCC23" s="30">
        <f t="shared" si="149"/>
        <v>332524</v>
      </c>
      <c r="NCD23" s="30">
        <f t="shared" si="149"/>
        <v>332554</v>
      </c>
      <c r="NCE23" s="30">
        <f t="shared" si="149"/>
        <v>332585</v>
      </c>
      <c r="NCF23" s="30">
        <f t="shared" si="149"/>
        <v>332616</v>
      </c>
      <c r="NCG23" s="30">
        <f t="shared" si="149"/>
        <v>332646</v>
      </c>
      <c r="NCH23" s="30">
        <f t="shared" si="149"/>
        <v>332677</v>
      </c>
      <c r="NCI23" s="30">
        <f t="shared" si="149"/>
        <v>332707</v>
      </c>
      <c r="NCJ23" s="30">
        <f t="shared" si="149"/>
        <v>332738</v>
      </c>
      <c r="NCK23" s="30">
        <f t="shared" si="149"/>
        <v>332769</v>
      </c>
      <c r="NCL23" s="30">
        <f t="shared" si="149"/>
        <v>332797</v>
      </c>
      <c r="NCM23" s="30">
        <f t="shared" si="149"/>
        <v>332828</v>
      </c>
      <c r="NCN23" s="30">
        <f t="shared" si="149"/>
        <v>332858</v>
      </c>
      <c r="NCO23" s="30">
        <f t="shared" si="149"/>
        <v>332889</v>
      </c>
      <c r="NCP23" s="30">
        <f t="shared" si="149"/>
        <v>332919</v>
      </c>
      <c r="NCQ23" s="30">
        <f t="shared" si="149"/>
        <v>332950</v>
      </c>
      <c r="NCR23" s="30">
        <f t="shared" si="149"/>
        <v>332981</v>
      </c>
      <c r="NCS23" s="30">
        <f t="shared" si="149"/>
        <v>333011</v>
      </c>
      <c r="NCT23" s="30">
        <f t="shared" si="149"/>
        <v>333042</v>
      </c>
      <c r="NCU23" s="30">
        <f t="shared" si="149"/>
        <v>333072</v>
      </c>
      <c r="NCV23" s="30">
        <f t="shared" si="149"/>
        <v>333103</v>
      </c>
      <c r="NCW23" s="30">
        <f t="shared" si="149"/>
        <v>333134</v>
      </c>
      <c r="NCX23" s="30">
        <f t="shared" si="149"/>
        <v>333163</v>
      </c>
      <c r="NCY23" s="30">
        <f t="shared" si="149"/>
        <v>333194</v>
      </c>
      <c r="NCZ23" s="30">
        <f t="shared" si="149"/>
        <v>333224</v>
      </c>
      <c r="NDA23" s="30">
        <f t="shared" si="149"/>
        <v>333255</v>
      </c>
      <c r="NDB23" s="30">
        <f t="shared" si="149"/>
        <v>333285</v>
      </c>
      <c r="NDC23" s="30">
        <f t="shared" si="149"/>
        <v>333316</v>
      </c>
      <c r="NDD23" s="30">
        <f t="shared" si="149"/>
        <v>333347</v>
      </c>
      <c r="NDE23" s="30">
        <f t="shared" si="149"/>
        <v>333377</v>
      </c>
      <c r="NDF23" s="30">
        <f t="shared" si="149"/>
        <v>333408</v>
      </c>
      <c r="NDG23" s="30">
        <f t="shared" si="149"/>
        <v>333438</v>
      </c>
      <c r="NDH23" s="30">
        <f t="shared" si="149"/>
        <v>333469</v>
      </c>
      <c r="NDI23" s="30">
        <f t="shared" si="149"/>
        <v>333500</v>
      </c>
      <c r="NDJ23" s="30">
        <f t="shared" si="149"/>
        <v>333528</v>
      </c>
      <c r="NDK23" s="30">
        <f t="shared" si="149"/>
        <v>333559</v>
      </c>
      <c r="NDL23" s="30">
        <f t="shared" si="149"/>
        <v>333589</v>
      </c>
      <c r="NDM23" s="30">
        <f t="shared" si="149"/>
        <v>333620</v>
      </c>
      <c r="NDN23" s="30">
        <f t="shared" si="149"/>
        <v>333650</v>
      </c>
      <c r="NDO23" s="30">
        <f t="shared" si="149"/>
        <v>333681</v>
      </c>
      <c r="NDP23" s="30">
        <f t="shared" si="149"/>
        <v>333712</v>
      </c>
      <c r="NDQ23" s="30">
        <f t="shared" si="149"/>
        <v>333742</v>
      </c>
      <c r="NDR23" s="30">
        <f t="shared" si="149"/>
        <v>333773</v>
      </c>
      <c r="NDS23" s="30">
        <f t="shared" si="149"/>
        <v>333803</v>
      </c>
      <c r="NDT23" s="30">
        <f t="shared" si="149"/>
        <v>333834</v>
      </c>
      <c r="NDU23" s="30">
        <f t="shared" si="149"/>
        <v>333865</v>
      </c>
      <c r="NDV23" s="30">
        <f t="shared" si="149"/>
        <v>333893</v>
      </c>
      <c r="NDW23" s="30">
        <f t="shared" si="149"/>
        <v>333924</v>
      </c>
      <c r="NDX23" s="30">
        <f t="shared" si="149"/>
        <v>333954</v>
      </c>
      <c r="NDY23" s="30">
        <f t="shared" si="149"/>
        <v>333985</v>
      </c>
      <c r="NDZ23" s="30">
        <f t="shared" si="149"/>
        <v>334015</v>
      </c>
      <c r="NEA23" s="30">
        <f t="shared" si="149"/>
        <v>334046</v>
      </c>
      <c r="NEB23" s="30">
        <f t="shared" si="149"/>
        <v>334077</v>
      </c>
      <c r="NEC23" s="30">
        <f t="shared" si="149"/>
        <v>334107</v>
      </c>
      <c r="NED23" s="30">
        <f t="shared" si="149"/>
        <v>334138</v>
      </c>
      <c r="NEE23" s="30">
        <f t="shared" si="149"/>
        <v>334168</v>
      </c>
      <c r="NEF23" s="30">
        <f t="shared" si="149"/>
        <v>334199</v>
      </c>
      <c r="NEG23" s="30">
        <f t="shared" si="149"/>
        <v>334230</v>
      </c>
      <c r="NEH23" s="30">
        <f t="shared" si="149"/>
        <v>334258</v>
      </c>
      <c r="NEI23" s="30">
        <f t="shared" si="149"/>
        <v>334289</v>
      </c>
      <c r="NEJ23" s="30">
        <f t="shared" ref="NEJ23:NGU23" si="150">EDATE(NEI23,1)</f>
        <v>334319</v>
      </c>
      <c r="NEK23" s="30">
        <f t="shared" si="150"/>
        <v>334350</v>
      </c>
      <c r="NEL23" s="30">
        <f t="shared" si="150"/>
        <v>334380</v>
      </c>
      <c r="NEM23" s="30">
        <f t="shared" si="150"/>
        <v>334411</v>
      </c>
      <c r="NEN23" s="30">
        <f t="shared" si="150"/>
        <v>334442</v>
      </c>
      <c r="NEO23" s="30">
        <f t="shared" si="150"/>
        <v>334472</v>
      </c>
      <c r="NEP23" s="30">
        <f t="shared" si="150"/>
        <v>334503</v>
      </c>
      <c r="NEQ23" s="30">
        <f t="shared" si="150"/>
        <v>334533</v>
      </c>
      <c r="NER23" s="30">
        <f t="shared" si="150"/>
        <v>334564</v>
      </c>
      <c r="NES23" s="30">
        <f t="shared" si="150"/>
        <v>334595</v>
      </c>
      <c r="NET23" s="30">
        <f t="shared" si="150"/>
        <v>334624</v>
      </c>
      <c r="NEU23" s="30">
        <f t="shared" si="150"/>
        <v>334655</v>
      </c>
      <c r="NEV23" s="30">
        <f t="shared" si="150"/>
        <v>334685</v>
      </c>
      <c r="NEW23" s="30">
        <f t="shared" si="150"/>
        <v>334716</v>
      </c>
      <c r="NEX23" s="30">
        <f t="shared" si="150"/>
        <v>334746</v>
      </c>
      <c r="NEY23" s="30">
        <f t="shared" si="150"/>
        <v>334777</v>
      </c>
      <c r="NEZ23" s="30">
        <f t="shared" si="150"/>
        <v>334808</v>
      </c>
      <c r="NFA23" s="30">
        <f t="shared" si="150"/>
        <v>334838</v>
      </c>
      <c r="NFB23" s="30">
        <f t="shared" si="150"/>
        <v>334869</v>
      </c>
      <c r="NFC23" s="30">
        <f t="shared" si="150"/>
        <v>334899</v>
      </c>
      <c r="NFD23" s="30">
        <f t="shared" si="150"/>
        <v>334930</v>
      </c>
      <c r="NFE23" s="30">
        <f t="shared" si="150"/>
        <v>334961</v>
      </c>
      <c r="NFF23" s="30">
        <f t="shared" si="150"/>
        <v>334989</v>
      </c>
      <c r="NFG23" s="30">
        <f t="shared" si="150"/>
        <v>335020</v>
      </c>
      <c r="NFH23" s="30">
        <f t="shared" si="150"/>
        <v>335050</v>
      </c>
      <c r="NFI23" s="30">
        <f t="shared" si="150"/>
        <v>335081</v>
      </c>
      <c r="NFJ23" s="30">
        <f t="shared" si="150"/>
        <v>335111</v>
      </c>
      <c r="NFK23" s="30">
        <f t="shared" si="150"/>
        <v>335142</v>
      </c>
      <c r="NFL23" s="30">
        <f t="shared" si="150"/>
        <v>335173</v>
      </c>
      <c r="NFM23" s="30">
        <f t="shared" si="150"/>
        <v>335203</v>
      </c>
      <c r="NFN23" s="30">
        <f t="shared" si="150"/>
        <v>335234</v>
      </c>
      <c r="NFO23" s="30">
        <f t="shared" si="150"/>
        <v>335264</v>
      </c>
      <c r="NFP23" s="30">
        <f t="shared" si="150"/>
        <v>335295</v>
      </c>
      <c r="NFQ23" s="30">
        <f t="shared" si="150"/>
        <v>335326</v>
      </c>
      <c r="NFR23" s="30">
        <f t="shared" si="150"/>
        <v>335354</v>
      </c>
      <c r="NFS23" s="30">
        <f t="shared" si="150"/>
        <v>335385</v>
      </c>
      <c r="NFT23" s="30">
        <f t="shared" si="150"/>
        <v>335415</v>
      </c>
      <c r="NFU23" s="30">
        <f t="shared" si="150"/>
        <v>335446</v>
      </c>
      <c r="NFV23" s="30">
        <f t="shared" si="150"/>
        <v>335476</v>
      </c>
      <c r="NFW23" s="30">
        <f t="shared" si="150"/>
        <v>335507</v>
      </c>
      <c r="NFX23" s="30">
        <f t="shared" si="150"/>
        <v>335538</v>
      </c>
      <c r="NFY23" s="30">
        <f t="shared" si="150"/>
        <v>335568</v>
      </c>
      <c r="NFZ23" s="30">
        <f t="shared" si="150"/>
        <v>335599</v>
      </c>
      <c r="NGA23" s="30">
        <f t="shared" si="150"/>
        <v>335629</v>
      </c>
      <c r="NGB23" s="30">
        <f t="shared" si="150"/>
        <v>335660</v>
      </c>
      <c r="NGC23" s="30">
        <f t="shared" si="150"/>
        <v>335691</v>
      </c>
      <c r="NGD23" s="30">
        <f t="shared" si="150"/>
        <v>335719</v>
      </c>
      <c r="NGE23" s="30">
        <f t="shared" si="150"/>
        <v>335750</v>
      </c>
      <c r="NGF23" s="30">
        <f t="shared" si="150"/>
        <v>335780</v>
      </c>
      <c r="NGG23" s="30">
        <f t="shared" si="150"/>
        <v>335811</v>
      </c>
      <c r="NGH23" s="30">
        <f t="shared" si="150"/>
        <v>335841</v>
      </c>
      <c r="NGI23" s="30">
        <f t="shared" si="150"/>
        <v>335872</v>
      </c>
      <c r="NGJ23" s="30">
        <f t="shared" si="150"/>
        <v>335903</v>
      </c>
      <c r="NGK23" s="30">
        <f t="shared" si="150"/>
        <v>335933</v>
      </c>
      <c r="NGL23" s="30">
        <f t="shared" si="150"/>
        <v>335964</v>
      </c>
      <c r="NGM23" s="30">
        <f t="shared" si="150"/>
        <v>335994</v>
      </c>
      <c r="NGN23" s="30">
        <f t="shared" si="150"/>
        <v>336025</v>
      </c>
      <c r="NGO23" s="30">
        <f t="shared" si="150"/>
        <v>336056</v>
      </c>
      <c r="NGP23" s="30">
        <f t="shared" si="150"/>
        <v>336085</v>
      </c>
      <c r="NGQ23" s="30">
        <f t="shared" si="150"/>
        <v>336116</v>
      </c>
      <c r="NGR23" s="30">
        <f t="shared" si="150"/>
        <v>336146</v>
      </c>
      <c r="NGS23" s="30">
        <f t="shared" si="150"/>
        <v>336177</v>
      </c>
      <c r="NGT23" s="30">
        <f t="shared" si="150"/>
        <v>336207</v>
      </c>
      <c r="NGU23" s="30">
        <f t="shared" si="150"/>
        <v>336238</v>
      </c>
      <c r="NGV23" s="30">
        <f t="shared" ref="NGV23:NJG23" si="151">EDATE(NGU23,1)</f>
        <v>336269</v>
      </c>
      <c r="NGW23" s="30">
        <f t="shared" si="151"/>
        <v>336299</v>
      </c>
      <c r="NGX23" s="30">
        <f t="shared" si="151"/>
        <v>336330</v>
      </c>
      <c r="NGY23" s="30">
        <f t="shared" si="151"/>
        <v>336360</v>
      </c>
      <c r="NGZ23" s="30">
        <f t="shared" si="151"/>
        <v>336391</v>
      </c>
      <c r="NHA23" s="30">
        <f t="shared" si="151"/>
        <v>336422</v>
      </c>
      <c r="NHB23" s="30">
        <f t="shared" si="151"/>
        <v>336450</v>
      </c>
      <c r="NHC23" s="30">
        <f t="shared" si="151"/>
        <v>336481</v>
      </c>
      <c r="NHD23" s="30">
        <f t="shared" si="151"/>
        <v>336511</v>
      </c>
      <c r="NHE23" s="30">
        <f t="shared" si="151"/>
        <v>336542</v>
      </c>
      <c r="NHF23" s="30">
        <f t="shared" si="151"/>
        <v>336572</v>
      </c>
      <c r="NHG23" s="30">
        <f t="shared" si="151"/>
        <v>336603</v>
      </c>
      <c r="NHH23" s="30">
        <f t="shared" si="151"/>
        <v>336634</v>
      </c>
      <c r="NHI23" s="30">
        <f t="shared" si="151"/>
        <v>336664</v>
      </c>
      <c r="NHJ23" s="30">
        <f t="shared" si="151"/>
        <v>336695</v>
      </c>
      <c r="NHK23" s="30">
        <f t="shared" si="151"/>
        <v>336725</v>
      </c>
      <c r="NHL23" s="30">
        <f t="shared" si="151"/>
        <v>336756</v>
      </c>
      <c r="NHM23" s="30">
        <f t="shared" si="151"/>
        <v>336787</v>
      </c>
      <c r="NHN23" s="30">
        <f t="shared" si="151"/>
        <v>336815</v>
      </c>
      <c r="NHO23" s="30">
        <f t="shared" si="151"/>
        <v>336846</v>
      </c>
      <c r="NHP23" s="30">
        <f t="shared" si="151"/>
        <v>336876</v>
      </c>
      <c r="NHQ23" s="30">
        <f t="shared" si="151"/>
        <v>336907</v>
      </c>
      <c r="NHR23" s="30">
        <f t="shared" si="151"/>
        <v>336937</v>
      </c>
      <c r="NHS23" s="30">
        <f t="shared" si="151"/>
        <v>336968</v>
      </c>
      <c r="NHT23" s="30">
        <f t="shared" si="151"/>
        <v>336999</v>
      </c>
      <c r="NHU23" s="30">
        <f t="shared" si="151"/>
        <v>337029</v>
      </c>
      <c r="NHV23" s="30">
        <f t="shared" si="151"/>
        <v>337060</v>
      </c>
      <c r="NHW23" s="30">
        <f t="shared" si="151"/>
        <v>337090</v>
      </c>
      <c r="NHX23" s="30">
        <f t="shared" si="151"/>
        <v>337121</v>
      </c>
      <c r="NHY23" s="30">
        <f t="shared" si="151"/>
        <v>337152</v>
      </c>
      <c r="NHZ23" s="30">
        <f t="shared" si="151"/>
        <v>337180</v>
      </c>
      <c r="NIA23" s="30">
        <f t="shared" si="151"/>
        <v>337211</v>
      </c>
      <c r="NIB23" s="30">
        <f t="shared" si="151"/>
        <v>337241</v>
      </c>
      <c r="NIC23" s="30">
        <f t="shared" si="151"/>
        <v>337272</v>
      </c>
      <c r="NID23" s="30">
        <f t="shared" si="151"/>
        <v>337302</v>
      </c>
      <c r="NIE23" s="30">
        <f t="shared" si="151"/>
        <v>337333</v>
      </c>
      <c r="NIF23" s="30">
        <f t="shared" si="151"/>
        <v>337364</v>
      </c>
      <c r="NIG23" s="30">
        <f t="shared" si="151"/>
        <v>337394</v>
      </c>
      <c r="NIH23" s="30">
        <f t="shared" si="151"/>
        <v>337425</v>
      </c>
      <c r="NII23" s="30">
        <f t="shared" si="151"/>
        <v>337455</v>
      </c>
      <c r="NIJ23" s="30">
        <f t="shared" si="151"/>
        <v>337486</v>
      </c>
      <c r="NIK23" s="30">
        <f t="shared" si="151"/>
        <v>337517</v>
      </c>
      <c r="NIL23" s="30">
        <f t="shared" si="151"/>
        <v>337546</v>
      </c>
      <c r="NIM23" s="30">
        <f t="shared" si="151"/>
        <v>337577</v>
      </c>
      <c r="NIN23" s="30">
        <f t="shared" si="151"/>
        <v>337607</v>
      </c>
      <c r="NIO23" s="30">
        <f t="shared" si="151"/>
        <v>337638</v>
      </c>
      <c r="NIP23" s="30">
        <f t="shared" si="151"/>
        <v>337668</v>
      </c>
      <c r="NIQ23" s="30">
        <f t="shared" si="151"/>
        <v>337699</v>
      </c>
      <c r="NIR23" s="30">
        <f t="shared" si="151"/>
        <v>337730</v>
      </c>
      <c r="NIS23" s="30">
        <f t="shared" si="151"/>
        <v>337760</v>
      </c>
      <c r="NIT23" s="30">
        <f t="shared" si="151"/>
        <v>337791</v>
      </c>
      <c r="NIU23" s="30">
        <f t="shared" si="151"/>
        <v>337821</v>
      </c>
      <c r="NIV23" s="30">
        <f t="shared" si="151"/>
        <v>337852</v>
      </c>
      <c r="NIW23" s="30">
        <f t="shared" si="151"/>
        <v>337883</v>
      </c>
      <c r="NIX23" s="30">
        <f t="shared" si="151"/>
        <v>337911</v>
      </c>
      <c r="NIY23" s="30">
        <f t="shared" si="151"/>
        <v>337942</v>
      </c>
      <c r="NIZ23" s="30">
        <f t="shared" si="151"/>
        <v>337972</v>
      </c>
      <c r="NJA23" s="30">
        <f t="shared" si="151"/>
        <v>338003</v>
      </c>
      <c r="NJB23" s="30">
        <f t="shared" si="151"/>
        <v>338033</v>
      </c>
      <c r="NJC23" s="30">
        <f t="shared" si="151"/>
        <v>338064</v>
      </c>
      <c r="NJD23" s="30">
        <f t="shared" si="151"/>
        <v>338095</v>
      </c>
      <c r="NJE23" s="30">
        <f t="shared" si="151"/>
        <v>338125</v>
      </c>
      <c r="NJF23" s="30">
        <f t="shared" si="151"/>
        <v>338156</v>
      </c>
      <c r="NJG23" s="30">
        <f t="shared" si="151"/>
        <v>338186</v>
      </c>
      <c r="NJH23" s="30">
        <f t="shared" ref="NJH23:NLS23" si="152">EDATE(NJG23,1)</f>
        <v>338217</v>
      </c>
      <c r="NJI23" s="30">
        <f t="shared" si="152"/>
        <v>338248</v>
      </c>
      <c r="NJJ23" s="30">
        <f t="shared" si="152"/>
        <v>338276</v>
      </c>
      <c r="NJK23" s="30">
        <f t="shared" si="152"/>
        <v>338307</v>
      </c>
      <c r="NJL23" s="30">
        <f t="shared" si="152"/>
        <v>338337</v>
      </c>
      <c r="NJM23" s="30">
        <f t="shared" si="152"/>
        <v>338368</v>
      </c>
      <c r="NJN23" s="30">
        <f t="shared" si="152"/>
        <v>338398</v>
      </c>
      <c r="NJO23" s="30">
        <f t="shared" si="152"/>
        <v>338429</v>
      </c>
      <c r="NJP23" s="30">
        <f t="shared" si="152"/>
        <v>338460</v>
      </c>
      <c r="NJQ23" s="30">
        <f t="shared" si="152"/>
        <v>338490</v>
      </c>
      <c r="NJR23" s="30">
        <f t="shared" si="152"/>
        <v>338521</v>
      </c>
      <c r="NJS23" s="30">
        <f t="shared" si="152"/>
        <v>338551</v>
      </c>
      <c r="NJT23" s="30">
        <f t="shared" si="152"/>
        <v>338582</v>
      </c>
      <c r="NJU23" s="30">
        <f t="shared" si="152"/>
        <v>338613</v>
      </c>
      <c r="NJV23" s="30">
        <f t="shared" si="152"/>
        <v>338641</v>
      </c>
      <c r="NJW23" s="30">
        <f t="shared" si="152"/>
        <v>338672</v>
      </c>
      <c r="NJX23" s="30">
        <f t="shared" si="152"/>
        <v>338702</v>
      </c>
      <c r="NJY23" s="30">
        <f t="shared" si="152"/>
        <v>338733</v>
      </c>
      <c r="NJZ23" s="30">
        <f t="shared" si="152"/>
        <v>338763</v>
      </c>
      <c r="NKA23" s="30">
        <f t="shared" si="152"/>
        <v>338794</v>
      </c>
      <c r="NKB23" s="30">
        <f t="shared" si="152"/>
        <v>338825</v>
      </c>
      <c r="NKC23" s="30">
        <f t="shared" si="152"/>
        <v>338855</v>
      </c>
      <c r="NKD23" s="30">
        <f t="shared" si="152"/>
        <v>338886</v>
      </c>
      <c r="NKE23" s="30">
        <f t="shared" si="152"/>
        <v>338916</v>
      </c>
      <c r="NKF23" s="30">
        <f t="shared" si="152"/>
        <v>338947</v>
      </c>
      <c r="NKG23" s="30">
        <f t="shared" si="152"/>
        <v>338978</v>
      </c>
      <c r="NKH23" s="30">
        <f t="shared" si="152"/>
        <v>339007</v>
      </c>
      <c r="NKI23" s="30">
        <f t="shared" si="152"/>
        <v>339038</v>
      </c>
      <c r="NKJ23" s="30">
        <f t="shared" si="152"/>
        <v>339068</v>
      </c>
      <c r="NKK23" s="30">
        <f t="shared" si="152"/>
        <v>339099</v>
      </c>
      <c r="NKL23" s="30">
        <f t="shared" si="152"/>
        <v>339129</v>
      </c>
      <c r="NKM23" s="30">
        <f t="shared" si="152"/>
        <v>339160</v>
      </c>
      <c r="NKN23" s="30">
        <f t="shared" si="152"/>
        <v>339191</v>
      </c>
      <c r="NKO23" s="30">
        <f t="shared" si="152"/>
        <v>339221</v>
      </c>
      <c r="NKP23" s="30">
        <f t="shared" si="152"/>
        <v>339252</v>
      </c>
      <c r="NKQ23" s="30">
        <f t="shared" si="152"/>
        <v>339282</v>
      </c>
      <c r="NKR23" s="30">
        <f t="shared" si="152"/>
        <v>339313</v>
      </c>
      <c r="NKS23" s="30">
        <f t="shared" si="152"/>
        <v>339344</v>
      </c>
      <c r="NKT23" s="30">
        <f t="shared" si="152"/>
        <v>339372</v>
      </c>
      <c r="NKU23" s="30">
        <f t="shared" si="152"/>
        <v>339403</v>
      </c>
      <c r="NKV23" s="30">
        <f t="shared" si="152"/>
        <v>339433</v>
      </c>
      <c r="NKW23" s="30">
        <f t="shared" si="152"/>
        <v>339464</v>
      </c>
      <c r="NKX23" s="30">
        <f t="shared" si="152"/>
        <v>339494</v>
      </c>
      <c r="NKY23" s="30">
        <f t="shared" si="152"/>
        <v>339525</v>
      </c>
      <c r="NKZ23" s="30">
        <f t="shared" si="152"/>
        <v>339556</v>
      </c>
      <c r="NLA23" s="30">
        <f t="shared" si="152"/>
        <v>339586</v>
      </c>
      <c r="NLB23" s="30">
        <f t="shared" si="152"/>
        <v>339617</v>
      </c>
      <c r="NLC23" s="30">
        <f t="shared" si="152"/>
        <v>339647</v>
      </c>
      <c r="NLD23" s="30">
        <f t="shared" si="152"/>
        <v>339678</v>
      </c>
      <c r="NLE23" s="30">
        <f t="shared" si="152"/>
        <v>339709</v>
      </c>
      <c r="NLF23" s="30">
        <f t="shared" si="152"/>
        <v>339737</v>
      </c>
      <c r="NLG23" s="30">
        <f t="shared" si="152"/>
        <v>339768</v>
      </c>
      <c r="NLH23" s="30">
        <f t="shared" si="152"/>
        <v>339798</v>
      </c>
      <c r="NLI23" s="30">
        <f t="shared" si="152"/>
        <v>339829</v>
      </c>
      <c r="NLJ23" s="30">
        <f t="shared" si="152"/>
        <v>339859</v>
      </c>
      <c r="NLK23" s="30">
        <f t="shared" si="152"/>
        <v>339890</v>
      </c>
      <c r="NLL23" s="30">
        <f t="shared" si="152"/>
        <v>339921</v>
      </c>
      <c r="NLM23" s="30">
        <f t="shared" si="152"/>
        <v>339951</v>
      </c>
      <c r="NLN23" s="30">
        <f t="shared" si="152"/>
        <v>339982</v>
      </c>
      <c r="NLO23" s="30">
        <f t="shared" si="152"/>
        <v>340012</v>
      </c>
      <c r="NLP23" s="30">
        <f t="shared" si="152"/>
        <v>340043</v>
      </c>
      <c r="NLQ23" s="30">
        <f t="shared" si="152"/>
        <v>340074</v>
      </c>
      <c r="NLR23" s="30">
        <f t="shared" si="152"/>
        <v>340102</v>
      </c>
      <c r="NLS23" s="30">
        <f t="shared" si="152"/>
        <v>340133</v>
      </c>
      <c r="NLT23" s="30">
        <f t="shared" ref="NLT23:NOE23" si="153">EDATE(NLS23,1)</f>
        <v>340163</v>
      </c>
      <c r="NLU23" s="30">
        <f t="shared" si="153"/>
        <v>340194</v>
      </c>
      <c r="NLV23" s="30">
        <f t="shared" si="153"/>
        <v>340224</v>
      </c>
      <c r="NLW23" s="30">
        <f t="shared" si="153"/>
        <v>340255</v>
      </c>
      <c r="NLX23" s="30">
        <f t="shared" si="153"/>
        <v>340286</v>
      </c>
      <c r="NLY23" s="30">
        <f t="shared" si="153"/>
        <v>340316</v>
      </c>
      <c r="NLZ23" s="30">
        <f t="shared" si="153"/>
        <v>340347</v>
      </c>
      <c r="NMA23" s="30">
        <f t="shared" si="153"/>
        <v>340377</v>
      </c>
      <c r="NMB23" s="30">
        <f t="shared" si="153"/>
        <v>340408</v>
      </c>
      <c r="NMC23" s="30">
        <f t="shared" si="153"/>
        <v>340439</v>
      </c>
      <c r="NMD23" s="30">
        <f t="shared" si="153"/>
        <v>340468</v>
      </c>
      <c r="NME23" s="30">
        <f t="shared" si="153"/>
        <v>340499</v>
      </c>
      <c r="NMF23" s="30">
        <f t="shared" si="153"/>
        <v>340529</v>
      </c>
      <c r="NMG23" s="30">
        <f t="shared" si="153"/>
        <v>340560</v>
      </c>
      <c r="NMH23" s="30">
        <f t="shared" si="153"/>
        <v>340590</v>
      </c>
      <c r="NMI23" s="30">
        <f t="shared" si="153"/>
        <v>340621</v>
      </c>
      <c r="NMJ23" s="30">
        <f t="shared" si="153"/>
        <v>340652</v>
      </c>
      <c r="NMK23" s="30">
        <f t="shared" si="153"/>
        <v>340682</v>
      </c>
      <c r="NML23" s="30">
        <f t="shared" si="153"/>
        <v>340713</v>
      </c>
      <c r="NMM23" s="30">
        <f t="shared" si="153"/>
        <v>340743</v>
      </c>
      <c r="NMN23" s="30">
        <f t="shared" si="153"/>
        <v>340774</v>
      </c>
      <c r="NMO23" s="30">
        <f t="shared" si="153"/>
        <v>340805</v>
      </c>
      <c r="NMP23" s="30">
        <f t="shared" si="153"/>
        <v>340833</v>
      </c>
      <c r="NMQ23" s="30">
        <f t="shared" si="153"/>
        <v>340864</v>
      </c>
      <c r="NMR23" s="30">
        <f t="shared" si="153"/>
        <v>340894</v>
      </c>
      <c r="NMS23" s="30">
        <f t="shared" si="153"/>
        <v>340925</v>
      </c>
      <c r="NMT23" s="30">
        <f t="shared" si="153"/>
        <v>340955</v>
      </c>
      <c r="NMU23" s="30">
        <f t="shared" si="153"/>
        <v>340986</v>
      </c>
      <c r="NMV23" s="30">
        <f t="shared" si="153"/>
        <v>341017</v>
      </c>
      <c r="NMW23" s="30">
        <f t="shared" si="153"/>
        <v>341047</v>
      </c>
      <c r="NMX23" s="30">
        <f t="shared" si="153"/>
        <v>341078</v>
      </c>
      <c r="NMY23" s="30">
        <f t="shared" si="153"/>
        <v>341108</v>
      </c>
      <c r="NMZ23" s="30">
        <f t="shared" si="153"/>
        <v>341139</v>
      </c>
      <c r="NNA23" s="30">
        <f t="shared" si="153"/>
        <v>341170</v>
      </c>
      <c r="NNB23" s="30">
        <f t="shared" si="153"/>
        <v>341198</v>
      </c>
      <c r="NNC23" s="30">
        <f t="shared" si="153"/>
        <v>341229</v>
      </c>
      <c r="NND23" s="30">
        <f t="shared" si="153"/>
        <v>341259</v>
      </c>
      <c r="NNE23" s="30">
        <f t="shared" si="153"/>
        <v>341290</v>
      </c>
      <c r="NNF23" s="30">
        <f t="shared" si="153"/>
        <v>341320</v>
      </c>
      <c r="NNG23" s="30">
        <f t="shared" si="153"/>
        <v>341351</v>
      </c>
      <c r="NNH23" s="30">
        <f t="shared" si="153"/>
        <v>341382</v>
      </c>
      <c r="NNI23" s="30">
        <f t="shared" si="153"/>
        <v>341412</v>
      </c>
      <c r="NNJ23" s="30">
        <f t="shared" si="153"/>
        <v>341443</v>
      </c>
      <c r="NNK23" s="30">
        <f t="shared" si="153"/>
        <v>341473</v>
      </c>
      <c r="NNL23" s="30">
        <f t="shared" si="153"/>
        <v>341504</v>
      </c>
      <c r="NNM23" s="30">
        <f t="shared" si="153"/>
        <v>341535</v>
      </c>
      <c r="NNN23" s="30">
        <f t="shared" si="153"/>
        <v>341563</v>
      </c>
      <c r="NNO23" s="30">
        <f t="shared" si="153"/>
        <v>341594</v>
      </c>
      <c r="NNP23" s="30">
        <f t="shared" si="153"/>
        <v>341624</v>
      </c>
      <c r="NNQ23" s="30">
        <f t="shared" si="153"/>
        <v>341655</v>
      </c>
      <c r="NNR23" s="30">
        <f t="shared" si="153"/>
        <v>341685</v>
      </c>
      <c r="NNS23" s="30">
        <f t="shared" si="153"/>
        <v>341716</v>
      </c>
      <c r="NNT23" s="30">
        <f t="shared" si="153"/>
        <v>341747</v>
      </c>
      <c r="NNU23" s="30">
        <f t="shared" si="153"/>
        <v>341777</v>
      </c>
      <c r="NNV23" s="30">
        <f t="shared" si="153"/>
        <v>341808</v>
      </c>
      <c r="NNW23" s="30">
        <f t="shared" si="153"/>
        <v>341838</v>
      </c>
      <c r="NNX23" s="30">
        <f t="shared" si="153"/>
        <v>341869</v>
      </c>
      <c r="NNY23" s="30">
        <f t="shared" si="153"/>
        <v>341900</v>
      </c>
      <c r="NNZ23" s="30">
        <f t="shared" si="153"/>
        <v>341929</v>
      </c>
      <c r="NOA23" s="30">
        <f t="shared" si="153"/>
        <v>341960</v>
      </c>
      <c r="NOB23" s="30">
        <f t="shared" si="153"/>
        <v>341990</v>
      </c>
      <c r="NOC23" s="30">
        <f t="shared" si="153"/>
        <v>342021</v>
      </c>
      <c r="NOD23" s="30">
        <f t="shared" si="153"/>
        <v>342051</v>
      </c>
      <c r="NOE23" s="30">
        <f t="shared" si="153"/>
        <v>342082</v>
      </c>
      <c r="NOF23" s="30">
        <f t="shared" ref="NOF23:NQQ23" si="154">EDATE(NOE23,1)</f>
        <v>342113</v>
      </c>
      <c r="NOG23" s="30">
        <f t="shared" si="154"/>
        <v>342143</v>
      </c>
      <c r="NOH23" s="30">
        <f t="shared" si="154"/>
        <v>342174</v>
      </c>
      <c r="NOI23" s="30">
        <f t="shared" si="154"/>
        <v>342204</v>
      </c>
      <c r="NOJ23" s="30">
        <f t="shared" si="154"/>
        <v>342235</v>
      </c>
      <c r="NOK23" s="30">
        <f t="shared" si="154"/>
        <v>342266</v>
      </c>
      <c r="NOL23" s="30">
        <f t="shared" si="154"/>
        <v>342294</v>
      </c>
      <c r="NOM23" s="30">
        <f t="shared" si="154"/>
        <v>342325</v>
      </c>
      <c r="NON23" s="30">
        <f t="shared" si="154"/>
        <v>342355</v>
      </c>
      <c r="NOO23" s="30">
        <f t="shared" si="154"/>
        <v>342386</v>
      </c>
      <c r="NOP23" s="30">
        <f t="shared" si="154"/>
        <v>342416</v>
      </c>
      <c r="NOQ23" s="30">
        <f t="shared" si="154"/>
        <v>342447</v>
      </c>
      <c r="NOR23" s="30">
        <f t="shared" si="154"/>
        <v>342478</v>
      </c>
      <c r="NOS23" s="30">
        <f t="shared" si="154"/>
        <v>342508</v>
      </c>
      <c r="NOT23" s="30">
        <f t="shared" si="154"/>
        <v>342539</v>
      </c>
      <c r="NOU23" s="30">
        <f t="shared" si="154"/>
        <v>342569</v>
      </c>
      <c r="NOV23" s="30">
        <f t="shared" si="154"/>
        <v>342600</v>
      </c>
      <c r="NOW23" s="30">
        <f t="shared" si="154"/>
        <v>342631</v>
      </c>
      <c r="NOX23" s="30">
        <f t="shared" si="154"/>
        <v>342659</v>
      </c>
      <c r="NOY23" s="30">
        <f t="shared" si="154"/>
        <v>342690</v>
      </c>
      <c r="NOZ23" s="30">
        <f t="shared" si="154"/>
        <v>342720</v>
      </c>
      <c r="NPA23" s="30">
        <f t="shared" si="154"/>
        <v>342751</v>
      </c>
      <c r="NPB23" s="30">
        <f t="shared" si="154"/>
        <v>342781</v>
      </c>
      <c r="NPC23" s="30">
        <f t="shared" si="154"/>
        <v>342812</v>
      </c>
      <c r="NPD23" s="30">
        <f t="shared" si="154"/>
        <v>342843</v>
      </c>
      <c r="NPE23" s="30">
        <f t="shared" si="154"/>
        <v>342873</v>
      </c>
      <c r="NPF23" s="30">
        <f t="shared" si="154"/>
        <v>342904</v>
      </c>
      <c r="NPG23" s="30">
        <f t="shared" si="154"/>
        <v>342934</v>
      </c>
      <c r="NPH23" s="30">
        <f t="shared" si="154"/>
        <v>342965</v>
      </c>
      <c r="NPI23" s="30">
        <f t="shared" si="154"/>
        <v>342996</v>
      </c>
      <c r="NPJ23" s="30">
        <f t="shared" si="154"/>
        <v>343024</v>
      </c>
      <c r="NPK23" s="30">
        <f t="shared" si="154"/>
        <v>343055</v>
      </c>
      <c r="NPL23" s="30">
        <f t="shared" si="154"/>
        <v>343085</v>
      </c>
      <c r="NPM23" s="30">
        <f t="shared" si="154"/>
        <v>343116</v>
      </c>
      <c r="NPN23" s="30">
        <f t="shared" si="154"/>
        <v>343146</v>
      </c>
      <c r="NPO23" s="30">
        <f t="shared" si="154"/>
        <v>343177</v>
      </c>
      <c r="NPP23" s="30">
        <f t="shared" si="154"/>
        <v>343208</v>
      </c>
      <c r="NPQ23" s="30">
        <f t="shared" si="154"/>
        <v>343238</v>
      </c>
      <c r="NPR23" s="30">
        <f t="shared" si="154"/>
        <v>343269</v>
      </c>
      <c r="NPS23" s="30">
        <f t="shared" si="154"/>
        <v>343299</v>
      </c>
      <c r="NPT23" s="30">
        <f t="shared" si="154"/>
        <v>343330</v>
      </c>
      <c r="NPU23" s="30">
        <f t="shared" si="154"/>
        <v>343361</v>
      </c>
      <c r="NPV23" s="30">
        <f t="shared" si="154"/>
        <v>343390</v>
      </c>
      <c r="NPW23" s="30">
        <f t="shared" si="154"/>
        <v>343421</v>
      </c>
      <c r="NPX23" s="30">
        <f t="shared" si="154"/>
        <v>343451</v>
      </c>
      <c r="NPY23" s="30">
        <f t="shared" si="154"/>
        <v>343482</v>
      </c>
      <c r="NPZ23" s="30">
        <f t="shared" si="154"/>
        <v>343512</v>
      </c>
      <c r="NQA23" s="30">
        <f t="shared" si="154"/>
        <v>343543</v>
      </c>
      <c r="NQB23" s="30">
        <f t="shared" si="154"/>
        <v>343574</v>
      </c>
      <c r="NQC23" s="30">
        <f t="shared" si="154"/>
        <v>343604</v>
      </c>
      <c r="NQD23" s="30">
        <f t="shared" si="154"/>
        <v>343635</v>
      </c>
      <c r="NQE23" s="30">
        <f t="shared" si="154"/>
        <v>343665</v>
      </c>
      <c r="NQF23" s="30">
        <f t="shared" si="154"/>
        <v>343696</v>
      </c>
      <c r="NQG23" s="30">
        <f t="shared" si="154"/>
        <v>343727</v>
      </c>
      <c r="NQH23" s="30">
        <f t="shared" si="154"/>
        <v>343755</v>
      </c>
      <c r="NQI23" s="30">
        <f t="shared" si="154"/>
        <v>343786</v>
      </c>
      <c r="NQJ23" s="30">
        <f t="shared" si="154"/>
        <v>343816</v>
      </c>
      <c r="NQK23" s="30">
        <f t="shared" si="154"/>
        <v>343847</v>
      </c>
      <c r="NQL23" s="30">
        <f t="shared" si="154"/>
        <v>343877</v>
      </c>
      <c r="NQM23" s="30">
        <f t="shared" si="154"/>
        <v>343908</v>
      </c>
      <c r="NQN23" s="30">
        <f t="shared" si="154"/>
        <v>343939</v>
      </c>
      <c r="NQO23" s="30">
        <f t="shared" si="154"/>
        <v>343969</v>
      </c>
      <c r="NQP23" s="30">
        <f t="shared" si="154"/>
        <v>344000</v>
      </c>
      <c r="NQQ23" s="30">
        <f t="shared" si="154"/>
        <v>344030</v>
      </c>
      <c r="NQR23" s="30">
        <f t="shared" ref="NQR23:NTC23" si="155">EDATE(NQQ23,1)</f>
        <v>344061</v>
      </c>
      <c r="NQS23" s="30">
        <f t="shared" si="155"/>
        <v>344092</v>
      </c>
      <c r="NQT23" s="30">
        <f t="shared" si="155"/>
        <v>344120</v>
      </c>
      <c r="NQU23" s="30">
        <f t="shared" si="155"/>
        <v>344151</v>
      </c>
      <c r="NQV23" s="30">
        <f t="shared" si="155"/>
        <v>344181</v>
      </c>
      <c r="NQW23" s="30">
        <f t="shared" si="155"/>
        <v>344212</v>
      </c>
      <c r="NQX23" s="30">
        <f t="shared" si="155"/>
        <v>344242</v>
      </c>
      <c r="NQY23" s="30">
        <f t="shared" si="155"/>
        <v>344273</v>
      </c>
      <c r="NQZ23" s="30">
        <f t="shared" si="155"/>
        <v>344304</v>
      </c>
      <c r="NRA23" s="30">
        <f t="shared" si="155"/>
        <v>344334</v>
      </c>
      <c r="NRB23" s="30">
        <f t="shared" si="155"/>
        <v>344365</v>
      </c>
      <c r="NRC23" s="30">
        <f t="shared" si="155"/>
        <v>344395</v>
      </c>
      <c r="NRD23" s="30">
        <f t="shared" si="155"/>
        <v>344426</v>
      </c>
      <c r="NRE23" s="30">
        <f t="shared" si="155"/>
        <v>344457</v>
      </c>
      <c r="NRF23" s="30">
        <f t="shared" si="155"/>
        <v>344485</v>
      </c>
      <c r="NRG23" s="30">
        <f t="shared" si="155"/>
        <v>344516</v>
      </c>
      <c r="NRH23" s="30">
        <f t="shared" si="155"/>
        <v>344546</v>
      </c>
      <c r="NRI23" s="30">
        <f t="shared" si="155"/>
        <v>344577</v>
      </c>
      <c r="NRJ23" s="30">
        <f t="shared" si="155"/>
        <v>344607</v>
      </c>
      <c r="NRK23" s="30">
        <f t="shared" si="155"/>
        <v>344638</v>
      </c>
      <c r="NRL23" s="30">
        <f t="shared" si="155"/>
        <v>344669</v>
      </c>
      <c r="NRM23" s="30">
        <f t="shared" si="155"/>
        <v>344699</v>
      </c>
      <c r="NRN23" s="30">
        <f t="shared" si="155"/>
        <v>344730</v>
      </c>
      <c r="NRO23" s="30">
        <f t="shared" si="155"/>
        <v>344760</v>
      </c>
      <c r="NRP23" s="30">
        <f t="shared" si="155"/>
        <v>344791</v>
      </c>
      <c r="NRQ23" s="30">
        <f t="shared" si="155"/>
        <v>344822</v>
      </c>
      <c r="NRR23" s="30">
        <f t="shared" si="155"/>
        <v>344851</v>
      </c>
      <c r="NRS23" s="30">
        <f t="shared" si="155"/>
        <v>344882</v>
      </c>
      <c r="NRT23" s="30">
        <f t="shared" si="155"/>
        <v>344912</v>
      </c>
      <c r="NRU23" s="30">
        <f t="shared" si="155"/>
        <v>344943</v>
      </c>
      <c r="NRV23" s="30">
        <f t="shared" si="155"/>
        <v>344973</v>
      </c>
      <c r="NRW23" s="30">
        <f t="shared" si="155"/>
        <v>345004</v>
      </c>
      <c r="NRX23" s="30">
        <f t="shared" si="155"/>
        <v>345035</v>
      </c>
      <c r="NRY23" s="30">
        <f t="shared" si="155"/>
        <v>345065</v>
      </c>
      <c r="NRZ23" s="30">
        <f t="shared" si="155"/>
        <v>345096</v>
      </c>
      <c r="NSA23" s="30">
        <f t="shared" si="155"/>
        <v>345126</v>
      </c>
      <c r="NSB23" s="30">
        <f t="shared" si="155"/>
        <v>345157</v>
      </c>
      <c r="NSC23" s="30">
        <f t="shared" si="155"/>
        <v>345188</v>
      </c>
      <c r="NSD23" s="30">
        <f t="shared" si="155"/>
        <v>345216</v>
      </c>
      <c r="NSE23" s="30">
        <f t="shared" si="155"/>
        <v>345247</v>
      </c>
      <c r="NSF23" s="30">
        <f t="shared" si="155"/>
        <v>345277</v>
      </c>
      <c r="NSG23" s="30">
        <f t="shared" si="155"/>
        <v>345308</v>
      </c>
      <c r="NSH23" s="30">
        <f t="shared" si="155"/>
        <v>345338</v>
      </c>
      <c r="NSI23" s="30">
        <f t="shared" si="155"/>
        <v>345369</v>
      </c>
      <c r="NSJ23" s="30">
        <f t="shared" si="155"/>
        <v>345400</v>
      </c>
      <c r="NSK23" s="30">
        <f t="shared" si="155"/>
        <v>345430</v>
      </c>
      <c r="NSL23" s="30">
        <f t="shared" si="155"/>
        <v>345461</v>
      </c>
      <c r="NSM23" s="30">
        <f t="shared" si="155"/>
        <v>345491</v>
      </c>
      <c r="NSN23" s="30">
        <f t="shared" si="155"/>
        <v>345522</v>
      </c>
      <c r="NSO23" s="30">
        <f t="shared" si="155"/>
        <v>345553</v>
      </c>
      <c r="NSP23" s="30">
        <f t="shared" si="155"/>
        <v>345581</v>
      </c>
      <c r="NSQ23" s="30">
        <f t="shared" si="155"/>
        <v>345612</v>
      </c>
      <c r="NSR23" s="30">
        <f t="shared" si="155"/>
        <v>345642</v>
      </c>
      <c r="NSS23" s="30">
        <f t="shared" si="155"/>
        <v>345673</v>
      </c>
      <c r="NST23" s="30">
        <f t="shared" si="155"/>
        <v>345703</v>
      </c>
      <c r="NSU23" s="30">
        <f t="shared" si="155"/>
        <v>345734</v>
      </c>
      <c r="NSV23" s="30">
        <f t="shared" si="155"/>
        <v>345765</v>
      </c>
      <c r="NSW23" s="30">
        <f t="shared" si="155"/>
        <v>345795</v>
      </c>
      <c r="NSX23" s="30">
        <f t="shared" si="155"/>
        <v>345826</v>
      </c>
      <c r="NSY23" s="30">
        <f t="shared" si="155"/>
        <v>345856</v>
      </c>
      <c r="NSZ23" s="30">
        <f t="shared" si="155"/>
        <v>345887</v>
      </c>
      <c r="NTA23" s="30">
        <f t="shared" si="155"/>
        <v>345918</v>
      </c>
      <c r="NTB23" s="30">
        <f t="shared" si="155"/>
        <v>345946</v>
      </c>
      <c r="NTC23" s="30">
        <f t="shared" si="155"/>
        <v>345977</v>
      </c>
      <c r="NTD23" s="30">
        <f t="shared" ref="NTD23:NVO23" si="156">EDATE(NTC23,1)</f>
        <v>346007</v>
      </c>
      <c r="NTE23" s="30">
        <f t="shared" si="156"/>
        <v>346038</v>
      </c>
      <c r="NTF23" s="30">
        <f t="shared" si="156"/>
        <v>346068</v>
      </c>
      <c r="NTG23" s="30">
        <f t="shared" si="156"/>
        <v>346099</v>
      </c>
      <c r="NTH23" s="30">
        <f t="shared" si="156"/>
        <v>346130</v>
      </c>
      <c r="NTI23" s="30">
        <f t="shared" si="156"/>
        <v>346160</v>
      </c>
      <c r="NTJ23" s="30">
        <f t="shared" si="156"/>
        <v>346191</v>
      </c>
      <c r="NTK23" s="30">
        <f t="shared" si="156"/>
        <v>346221</v>
      </c>
      <c r="NTL23" s="30">
        <f t="shared" si="156"/>
        <v>346252</v>
      </c>
      <c r="NTM23" s="30">
        <f t="shared" si="156"/>
        <v>346283</v>
      </c>
      <c r="NTN23" s="30">
        <f t="shared" si="156"/>
        <v>346312</v>
      </c>
      <c r="NTO23" s="30">
        <f t="shared" si="156"/>
        <v>346343</v>
      </c>
      <c r="NTP23" s="30">
        <f t="shared" si="156"/>
        <v>346373</v>
      </c>
      <c r="NTQ23" s="30">
        <f t="shared" si="156"/>
        <v>346404</v>
      </c>
      <c r="NTR23" s="30">
        <f t="shared" si="156"/>
        <v>346434</v>
      </c>
      <c r="NTS23" s="30">
        <f t="shared" si="156"/>
        <v>346465</v>
      </c>
      <c r="NTT23" s="30">
        <f t="shared" si="156"/>
        <v>346496</v>
      </c>
      <c r="NTU23" s="30">
        <f t="shared" si="156"/>
        <v>346526</v>
      </c>
      <c r="NTV23" s="30">
        <f t="shared" si="156"/>
        <v>346557</v>
      </c>
      <c r="NTW23" s="30">
        <f t="shared" si="156"/>
        <v>346587</v>
      </c>
      <c r="NTX23" s="30">
        <f t="shared" si="156"/>
        <v>346618</v>
      </c>
      <c r="NTY23" s="30">
        <f t="shared" si="156"/>
        <v>346649</v>
      </c>
      <c r="NTZ23" s="30">
        <f t="shared" si="156"/>
        <v>346677</v>
      </c>
      <c r="NUA23" s="30">
        <f t="shared" si="156"/>
        <v>346708</v>
      </c>
      <c r="NUB23" s="30">
        <f t="shared" si="156"/>
        <v>346738</v>
      </c>
      <c r="NUC23" s="30">
        <f t="shared" si="156"/>
        <v>346769</v>
      </c>
      <c r="NUD23" s="30">
        <f t="shared" si="156"/>
        <v>346799</v>
      </c>
      <c r="NUE23" s="30">
        <f t="shared" si="156"/>
        <v>346830</v>
      </c>
      <c r="NUF23" s="30">
        <f t="shared" si="156"/>
        <v>346861</v>
      </c>
      <c r="NUG23" s="30">
        <f t="shared" si="156"/>
        <v>346891</v>
      </c>
      <c r="NUH23" s="30">
        <f t="shared" si="156"/>
        <v>346922</v>
      </c>
      <c r="NUI23" s="30">
        <f t="shared" si="156"/>
        <v>346952</v>
      </c>
      <c r="NUJ23" s="30">
        <f t="shared" si="156"/>
        <v>346983</v>
      </c>
      <c r="NUK23" s="30">
        <f t="shared" si="156"/>
        <v>347014</v>
      </c>
      <c r="NUL23" s="30">
        <f t="shared" si="156"/>
        <v>347042</v>
      </c>
      <c r="NUM23" s="30">
        <f t="shared" si="156"/>
        <v>347073</v>
      </c>
      <c r="NUN23" s="30">
        <f t="shared" si="156"/>
        <v>347103</v>
      </c>
      <c r="NUO23" s="30">
        <f t="shared" si="156"/>
        <v>347134</v>
      </c>
      <c r="NUP23" s="30">
        <f t="shared" si="156"/>
        <v>347164</v>
      </c>
      <c r="NUQ23" s="30">
        <f t="shared" si="156"/>
        <v>347195</v>
      </c>
      <c r="NUR23" s="30">
        <f t="shared" si="156"/>
        <v>347226</v>
      </c>
      <c r="NUS23" s="30">
        <f t="shared" si="156"/>
        <v>347256</v>
      </c>
      <c r="NUT23" s="30">
        <f t="shared" si="156"/>
        <v>347287</v>
      </c>
      <c r="NUU23" s="30">
        <f t="shared" si="156"/>
        <v>347317</v>
      </c>
      <c r="NUV23" s="30">
        <f t="shared" si="156"/>
        <v>347348</v>
      </c>
      <c r="NUW23" s="30">
        <f t="shared" si="156"/>
        <v>347379</v>
      </c>
      <c r="NUX23" s="30">
        <f t="shared" si="156"/>
        <v>347407</v>
      </c>
      <c r="NUY23" s="30">
        <f t="shared" si="156"/>
        <v>347438</v>
      </c>
      <c r="NUZ23" s="30">
        <f t="shared" si="156"/>
        <v>347468</v>
      </c>
      <c r="NVA23" s="30">
        <f t="shared" si="156"/>
        <v>347499</v>
      </c>
      <c r="NVB23" s="30">
        <f t="shared" si="156"/>
        <v>347529</v>
      </c>
      <c r="NVC23" s="30">
        <f t="shared" si="156"/>
        <v>347560</v>
      </c>
      <c r="NVD23" s="30">
        <f t="shared" si="156"/>
        <v>347591</v>
      </c>
      <c r="NVE23" s="30">
        <f t="shared" si="156"/>
        <v>347621</v>
      </c>
      <c r="NVF23" s="30">
        <f t="shared" si="156"/>
        <v>347652</v>
      </c>
      <c r="NVG23" s="30">
        <f t="shared" si="156"/>
        <v>347682</v>
      </c>
      <c r="NVH23" s="30">
        <f t="shared" si="156"/>
        <v>347713</v>
      </c>
      <c r="NVI23" s="30">
        <f t="shared" si="156"/>
        <v>347744</v>
      </c>
      <c r="NVJ23" s="30">
        <f t="shared" si="156"/>
        <v>347773</v>
      </c>
      <c r="NVK23" s="30">
        <f t="shared" si="156"/>
        <v>347804</v>
      </c>
      <c r="NVL23" s="30">
        <f t="shared" si="156"/>
        <v>347834</v>
      </c>
      <c r="NVM23" s="30">
        <f t="shared" si="156"/>
        <v>347865</v>
      </c>
      <c r="NVN23" s="30">
        <f t="shared" si="156"/>
        <v>347895</v>
      </c>
      <c r="NVO23" s="30">
        <f t="shared" si="156"/>
        <v>347926</v>
      </c>
      <c r="NVP23" s="30">
        <f t="shared" ref="NVP23:NYA23" si="157">EDATE(NVO23,1)</f>
        <v>347957</v>
      </c>
      <c r="NVQ23" s="30">
        <f t="shared" si="157"/>
        <v>347987</v>
      </c>
      <c r="NVR23" s="30">
        <f t="shared" si="157"/>
        <v>348018</v>
      </c>
      <c r="NVS23" s="30">
        <f t="shared" si="157"/>
        <v>348048</v>
      </c>
      <c r="NVT23" s="30">
        <f t="shared" si="157"/>
        <v>348079</v>
      </c>
      <c r="NVU23" s="30">
        <f t="shared" si="157"/>
        <v>348110</v>
      </c>
      <c r="NVV23" s="30">
        <f t="shared" si="157"/>
        <v>348138</v>
      </c>
      <c r="NVW23" s="30">
        <f t="shared" si="157"/>
        <v>348169</v>
      </c>
      <c r="NVX23" s="30">
        <f t="shared" si="157"/>
        <v>348199</v>
      </c>
      <c r="NVY23" s="30">
        <f t="shared" si="157"/>
        <v>348230</v>
      </c>
      <c r="NVZ23" s="30">
        <f t="shared" si="157"/>
        <v>348260</v>
      </c>
      <c r="NWA23" s="30">
        <f t="shared" si="157"/>
        <v>348291</v>
      </c>
      <c r="NWB23" s="30">
        <f t="shared" si="157"/>
        <v>348322</v>
      </c>
      <c r="NWC23" s="30">
        <f t="shared" si="157"/>
        <v>348352</v>
      </c>
      <c r="NWD23" s="30">
        <f t="shared" si="157"/>
        <v>348383</v>
      </c>
      <c r="NWE23" s="30">
        <f t="shared" si="157"/>
        <v>348413</v>
      </c>
      <c r="NWF23" s="30">
        <f t="shared" si="157"/>
        <v>348444</v>
      </c>
      <c r="NWG23" s="30">
        <f t="shared" si="157"/>
        <v>348475</v>
      </c>
      <c r="NWH23" s="30">
        <f t="shared" si="157"/>
        <v>348503</v>
      </c>
      <c r="NWI23" s="30">
        <f t="shared" si="157"/>
        <v>348534</v>
      </c>
      <c r="NWJ23" s="30">
        <f t="shared" si="157"/>
        <v>348564</v>
      </c>
      <c r="NWK23" s="30">
        <f t="shared" si="157"/>
        <v>348595</v>
      </c>
      <c r="NWL23" s="30">
        <f t="shared" si="157"/>
        <v>348625</v>
      </c>
      <c r="NWM23" s="30">
        <f t="shared" si="157"/>
        <v>348656</v>
      </c>
      <c r="NWN23" s="30">
        <f t="shared" si="157"/>
        <v>348687</v>
      </c>
      <c r="NWO23" s="30">
        <f t="shared" si="157"/>
        <v>348717</v>
      </c>
      <c r="NWP23" s="30">
        <f t="shared" si="157"/>
        <v>348748</v>
      </c>
      <c r="NWQ23" s="30">
        <f t="shared" si="157"/>
        <v>348778</v>
      </c>
      <c r="NWR23" s="30">
        <f t="shared" si="157"/>
        <v>348809</v>
      </c>
      <c r="NWS23" s="30">
        <f t="shared" si="157"/>
        <v>348840</v>
      </c>
      <c r="NWT23" s="30">
        <f t="shared" si="157"/>
        <v>348868</v>
      </c>
      <c r="NWU23" s="30">
        <f t="shared" si="157"/>
        <v>348899</v>
      </c>
      <c r="NWV23" s="30">
        <f t="shared" si="157"/>
        <v>348929</v>
      </c>
      <c r="NWW23" s="30">
        <f t="shared" si="157"/>
        <v>348960</v>
      </c>
      <c r="NWX23" s="30">
        <f t="shared" si="157"/>
        <v>348990</v>
      </c>
      <c r="NWY23" s="30">
        <f t="shared" si="157"/>
        <v>349021</v>
      </c>
      <c r="NWZ23" s="30">
        <f t="shared" si="157"/>
        <v>349052</v>
      </c>
      <c r="NXA23" s="30">
        <f t="shared" si="157"/>
        <v>349082</v>
      </c>
      <c r="NXB23" s="30">
        <f t="shared" si="157"/>
        <v>349113</v>
      </c>
      <c r="NXC23" s="30">
        <f t="shared" si="157"/>
        <v>349143</v>
      </c>
      <c r="NXD23" s="30">
        <f t="shared" si="157"/>
        <v>349174</v>
      </c>
      <c r="NXE23" s="30">
        <f t="shared" si="157"/>
        <v>349205</v>
      </c>
      <c r="NXF23" s="30">
        <f t="shared" si="157"/>
        <v>349234</v>
      </c>
      <c r="NXG23" s="30">
        <f t="shared" si="157"/>
        <v>349265</v>
      </c>
      <c r="NXH23" s="30">
        <f t="shared" si="157"/>
        <v>349295</v>
      </c>
      <c r="NXI23" s="30">
        <f t="shared" si="157"/>
        <v>349326</v>
      </c>
      <c r="NXJ23" s="30">
        <f t="shared" si="157"/>
        <v>349356</v>
      </c>
      <c r="NXK23" s="30">
        <f t="shared" si="157"/>
        <v>349387</v>
      </c>
      <c r="NXL23" s="30">
        <f t="shared" si="157"/>
        <v>349418</v>
      </c>
      <c r="NXM23" s="30">
        <f t="shared" si="157"/>
        <v>349448</v>
      </c>
      <c r="NXN23" s="30">
        <f t="shared" si="157"/>
        <v>349479</v>
      </c>
      <c r="NXO23" s="30">
        <f t="shared" si="157"/>
        <v>349509</v>
      </c>
      <c r="NXP23" s="30">
        <f t="shared" si="157"/>
        <v>349540</v>
      </c>
      <c r="NXQ23" s="30">
        <f t="shared" si="157"/>
        <v>349571</v>
      </c>
      <c r="NXR23" s="30">
        <f t="shared" si="157"/>
        <v>349599</v>
      </c>
      <c r="NXS23" s="30">
        <f t="shared" si="157"/>
        <v>349630</v>
      </c>
      <c r="NXT23" s="30">
        <f t="shared" si="157"/>
        <v>349660</v>
      </c>
      <c r="NXU23" s="30">
        <f t="shared" si="157"/>
        <v>349691</v>
      </c>
      <c r="NXV23" s="30">
        <f t="shared" si="157"/>
        <v>349721</v>
      </c>
      <c r="NXW23" s="30">
        <f t="shared" si="157"/>
        <v>349752</v>
      </c>
      <c r="NXX23" s="30">
        <f t="shared" si="157"/>
        <v>349783</v>
      </c>
      <c r="NXY23" s="30">
        <f t="shared" si="157"/>
        <v>349813</v>
      </c>
      <c r="NXZ23" s="30">
        <f t="shared" si="157"/>
        <v>349844</v>
      </c>
      <c r="NYA23" s="30">
        <f t="shared" si="157"/>
        <v>349874</v>
      </c>
      <c r="NYB23" s="30">
        <f t="shared" ref="NYB23:OAM23" si="158">EDATE(NYA23,1)</f>
        <v>349905</v>
      </c>
      <c r="NYC23" s="30">
        <f t="shared" si="158"/>
        <v>349936</v>
      </c>
      <c r="NYD23" s="30">
        <f t="shared" si="158"/>
        <v>349964</v>
      </c>
      <c r="NYE23" s="30">
        <f t="shared" si="158"/>
        <v>349995</v>
      </c>
      <c r="NYF23" s="30">
        <f t="shared" si="158"/>
        <v>350025</v>
      </c>
      <c r="NYG23" s="30">
        <f t="shared" si="158"/>
        <v>350056</v>
      </c>
      <c r="NYH23" s="30">
        <f t="shared" si="158"/>
        <v>350086</v>
      </c>
      <c r="NYI23" s="30">
        <f t="shared" si="158"/>
        <v>350117</v>
      </c>
      <c r="NYJ23" s="30">
        <f t="shared" si="158"/>
        <v>350148</v>
      </c>
      <c r="NYK23" s="30">
        <f t="shared" si="158"/>
        <v>350178</v>
      </c>
      <c r="NYL23" s="30">
        <f t="shared" si="158"/>
        <v>350209</v>
      </c>
      <c r="NYM23" s="30">
        <f t="shared" si="158"/>
        <v>350239</v>
      </c>
      <c r="NYN23" s="30">
        <f t="shared" si="158"/>
        <v>350270</v>
      </c>
      <c r="NYO23" s="30">
        <f t="shared" si="158"/>
        <v>350301</v>
      </c>
      <c r="NYP23" s="30">
        <f t="shared" si="158"/>
        <v>350329</v>
      </c>
      <c r="NYQ23" s="30">
        <f t="shared" si="158"/>
        <v>350360</v>
      </c>
      <c r="NYR23" s="30">
        <f t="shared" si="158"/>
        <v>350390</v>
      </c>
      <c r="NYS23" s="30">
        <f t="shared" si="158"/>
        <v>350421</v>
      </c>
      <c r="NYT23" s="30">
        <f t="shared" si="158"/>
        <v>350451</v>
      </c>
      <c r="NYU23" s="30">
        <f t="shared" si="158"/>
        <v>350482</v>
      </c>
      <c r="NYV23" s="30">
        <f t="shared" si="158"/>
        <v>350513</v>
      </c>
      <c r="NYW23" s="30">
        <f t="shared" si="158"/>
        <v>350543</v>
      </c>
      <c r="NYX23" s="30">
        <f t="shared" si="158"/>
        <v>350574</v>
      </c>
      <c r="NYY23" s="30">
        <f t="shared" si="158"/>
        <v>350604</v>
      </c>
      <c r="NYZ23" s="30">
        <f t="shared" si="158"/>
        <v>350635</v>
      </c>
      <c r="NZA23" s="30">
        <f t="shared" si="158"/>
        <v>350666</v>
      </c>
      <c r="NZB23" s="30">
        <f t="shared" si="158"/>
        <v>350695</v>
      </c>
      <c r="NZC23" s="30">
        <f t="shared" si="158"/>
        <v>350726</v>
      </c>
      <c r="NZD23" s="30">
        <f t="shared" si="158"/>
        <v>350756</v>
      </c>
      <c r="NZE23" s="30">
        <f t="shared" si="158"/>
        <v>350787</v>
      </c>
      <c r="NZF23" s="30">
        <f t="shared" si="158"/>
        <v>350817</v>
      </c>
      <c r="NZG23" s="30">
        <f t="shared" si="158"/>
        <v>350848</v>
      </c>
      <c r="NZH23" s="30">
        <f t="shared" si="158"/>
        <v>350879</v>
      </c>
      <c r="NZI23" s="30">
        <f t="shared" si="158"/>
        <v>350909</v>
      </c>
      <c r="NZJ23" s="30">
        <f t="shared" si="158"/>
        <v>350940</v>
      </c>
      <c r="NZK23" s="30">
        <f t="shared" si="158"/>
        <v>350970</v>
      </c>
      <c r="NZL23" s="30">
        <f t="shared" si="158"/>
        <v>351001</v>
      </c>
      <c r="NZM23" s="30">
        <f t="shared" si="158"/>
        <v>351032</v>
      </c>
      <c r="NZN23" s="30">
        <f t="shared" si="158"/>
        <v>351060</v>
      </c>
      <c r="NZO23" s="30">
        <f t="shared" si="158"/>
        <v>351091</v>
      </c>
      <c r="NZP23" s="30">
        <f t="shared" si="158"/>
        <v>351121</v>
      </c>
      <c r="NZQ23" s="30">
        <f t="shared" si="158"/>
        <v>351152</v>
      </c>
      <c r="NZR23" s="30">
        <f t="shared" si="158"/>
        <v>351182</v>
      </c>
      <c r="NZS23" s="30">
        <f t="shared" si="158"/>
        <v>351213</v>
      </c>
      <c r="NZT23" s="30">
        <f t="shared" si="158"/>
        <v>351244</v>
      </c>
      <c r="NZU23" s="30">
        <f t="shared" si="158"/>
        <v>351274</v>
      </c>
      <c r="NZV23" s="30">
        <f t="shared" si="158"/>
        <v>351305</v>
      </c>
      <c r="NZW23" s="30">
        <f t="shared" si="158"/>
        <v>351335</v>
      </c>
      <c r="NZX23" s="30">
        <f t="shared" si="158"/>
        <v>351366</v>
      </c>
      <c r="NZY23" s="30">
        <f t="shared" si="158"/>
        <v>351397</v>
      </c>
      <c r="NZZ23" s="30">
        <f t="shared" si="158"/>
        <v>351425</v>
      </c>
      <c r="OAA23" s="30">
        <f t="shared" si="158"/>
        <v>351456</v>
      </c>
      <c r="OAB23" s="30">
        <f t="shared" si="158"/>
        <v>351486</v>
      </c>
      <c r="OAC23" s="30">
        <f t="shared" si="158"/>
        <v>351517</v>
      </c>
      <c r="OAD23" s="30">
        <f t="shared" si="158"/>
        <v>351547</v>
      </c>
      <c r="OAE23" s="30">
        <f t="shared" si="158"/>
        <v>351578</v>
      </c>
      <c r="OAF23" s="30">
        <f t="shared" si="158"/>
        <v>351609</v>
      </c>
      <c r="OAG23" s="30">
        <f t="shared" si="158"/>
        <v>351639</v>
      </c>
      <c r="OAH23" s="30">
        <f t="shared" si="158"/>
        <v>351670</v>
      </c>
      <c r="OAI23" s="30">
        <f t="shared" si="158"/>
        <v>351700</v>
      </c>
      <c r="OAJ23" s="30">
        <f t="shared" si="158"/>
        <v>351731</v>
      </c>
      <c r="OAK23" s="30">
        <f t="shared" si="158"/>
        <v>351762</v>
      </c>
      <c r="OAL23" s="30">
        <f t="shared" si="158"/>
        <v>351790</v>
      </c>
      <c r="OAM23" s="30">
        <f t="shared" si="158"/>
        <v>351821</v>
      </c>
      <c r="OAN23" s="30">
        <f t="shared" ref="OAN23:OCY23" si="159">EDATE(OAM23,1)</f>
        <v>351851</v>
      </c>
      <c r="OAO23" s="30">
        <f t="shared" si="159"/>
        <v>351882</v>
      </c>
      <c r="OAP23" s="30">
        <f t="shared" si="159"/>
        <v>351912</v>
      </c>
      <c r="OAQ23" s="30">
        <f t="shared" si="159"/>
        <v>351943</v>
      </c>
      <c r="OAR23" s="30">
        <f t="shared" si="159"/>
        <v>351974</v>
      </c>
      <c r="OAS23" s="30">
        <f t="shared" si="159"/>
        <v>352004</v>
      </c>
      <c r="OAT23" s="30">
        <f t="shared" si="159"/>
        <v>352035</v>
      </c>
      <c r="OAU23" s="30">
        <f t="shared" si="159"/>
        <v>352065</v>
      </c>
      <c r="OAV23" s="30">
        <f t="shared" si="159"/>
        <v>352096</v>
      </c>
      <c r="OAW23" s="30">
        <f t="shared" si="159"/>
        <v>352127</v>
      </c>
      <c r="OAX23" s="30">
        <f t="shared" si="159"/>
        <v>352156</v>
      </c>
      <c r="OAY23" s="30">
        <f t="shared" si="159"/>
        <v>352187</v>
      </c>
      <c r="OAZ23" s="30">
        <f t="shared" si="159"/>
        <v>352217</v>
      </c>
      <c r="OBA23" s="30">
        <f t="shared" si="159"/>
        <v>352248</v>
      </c>
      <c r="OBB23" s="30">
        <f t="shared" si="159"/>
        <v>352278</v>
      </c>
      <c r="OBC23" s="30">
        <f t="shared" si="159"/>
        <v>352309</v>
      </c>
      <c r="OBD23" s="30">
        <f t="shared" si="159"/>
        <v>352340</v>
      </c>
      <c r="OBE23" s="30">
        <f t="shared" si="159"/>
        <v>352370</v>
      </c>
      <c r="OBF23" s="30">
        <f t="shared" si="159"/>
        <v>352401</v>
      </c>
      <c r="OBG23" s="30">
        <f t="shared" si="159"/>
        <v>352431</v>
      </c>
      <c r="OBH23" s="30">
        <f t="shared" si="159"/>
        <v>352462</v>
      </c>
      <c r="OBI23" s="30">
        <f t="shared" si="159"/>
        <v>352493</v>
      </c>
      <c r="OBJ23" s="30">
        <f t="shared" si="159"/>
        <v>352521</v>
      </c>
      <c r="OBK23" s="30">
        <f t="shared" si="159"/>
        <v>352552</v>
      </c>
      <c r="OBL23" s="30">
        <f t="shared" si="159"/>
        <v>352582</v>
      </c>
      <c r="OBM23" s="30">
        <f t="shared" si="159"/>
        <v>352613</v>
      </c>
      <c r="OBN23" s="30">
        <f t="shared" si="159"/>
        <v>352643</v>
      </c>
      <c r="OBO23" s="30">
        <f t="shared" si="159"/>
        <v>352674</v>
      </c>
      <c r="OBP23" s="30">
        <f t="shared" si="159"/>
        <v>352705</v>
      </c>
      <c r="OBQ23" s="30">
        <f t="shared" si="159"/>
        <v>352735</v>
      </c>
      <c r="OBR23" s="30">
        <f t="shared" si="159"/>
        <v>352766</v>
      </c>
      <c r="OBS23" s="30">
        <f t="shared" si="159"/>
        <v>352796</v>
      </c>
      <c r="OBT23" s="30">
        <f t="shared" si="159"/>
        <v>352827</v>
      </c>
      <c r="OBU23" s="30">
        <f t="shared" si="159"/>
        <v>352858</v>
      </c>
      <c r="OBV23" s="30">
        <f t="shared" si="159"/>
        <v>352886</v>
      </c>
      <c r="OBW23" s="30">
        <f t="shared" si="159"/>
        <v>352917</v>
      </c>
      <c r="OBX23" s="30">
        <f t="shared" si="159"/>
        <v>352947</v>
      </c>
      <c r="OBY23" s="30">
        <f t="shared" si="159"/>
        <v>352978</v>
      </c>
      <c r="OBZ23" s="30">
        <f t="shared" si="159"/>
        <v>353008</v>
      </c>
      <c r="OCA23" s="30">
        <f t="shared" si="159"/>
        <v>353039</v>
      </c>
      <c r="OCB23" s="30">
        <f t="shared" si="159"/>
        <v>353070</v>
      </c>
      <c r="OCC23" s="30">
        <f t="shared" si="159"/>
        <v>353100</v>
      </c>
      <c r="OCD23" s="30">
        <f t="shared" si="159"/>
        <v>353131</v>
      </c>
      <c r="OCE23" s="30">
        <f t="shared" si="159"/>
        <v>353161</v>
      </c>
      <c r="OCF23" s="30">
        <f t="shared" si="159"/>
        <v>353192</v>
      </c>
      <c r="OCG23" s="30">
        <f t="shared" si="159"/>
        <v>353223</v>
      </c>
      <c r="OCH23" s="30">
        <f t="shared" si="159"/>
        <v>353251</v>
      </c>
      <c r="OCI23" s="30">
        <f t="shared" si="159"/>
        <v>353282</v>
      </c>
      <c r="OCJ23" s="30">
        <f t="shared" si="159"/>
        <v>353312</v>
      </c>
      <c r="OCK23" s="30">
        <f t="shared" si="159"/>
        <v>353343</v>
      </c>
      <c r="OCL23" s="30">
        <f t="shared" si="159"/>
        <v>353373</v>
      </c>
      <c r="OCM23" s="30">
        <f t="shared" si="159"/>
        <v>353404</v>
      </c>
      <c r="OCN23" s="30">
        <f t="shared" si="159"/>
        <v>353435</v>
      </c>
      <c r="OCO23" s="30">
        <f t="shared" si="159"/>
        <v>353465</v>
      </c>
      <c r="OCP23" s="30">
        <f t="shared" si="159"/>
        <v>353496</v>
      </c>
      <c r="OCQ23" s="30">
        <f t="shared" si="159"/>
        <v>353526</v>
      </c>
      <c r="OCR23" s="30">
        <f t="shared" si="159"/>
        <v>353557</v>
      </c>
      <c r="OCS23" s="30">
        <f t="shared" si="159"/>
        <v>353588</v>
      </c>
      <c r="OCT23" s="30">
        <f t="shared" si="159"/>
        <v>353617</v>
      </c>
      <c r="OCU23" s="30">
        <f t="shared" si="159"/>
        <v>353648</v>
      </c>
      <c r="OCV23" s="30">
        <f t="shared" si="159"/>
        <v>353678</v>
      </c>
      <c r="OCW23" s="30">
        <f t="shared" si="159"/>
        <v>353709</v>
      </c>
      <c r="OCX23" s="30">
        <f t="shared" si="159"/>
        <v>353739</v>
      </c>
      <c r="OCY23" s="30">
        <f t="shared" si="159"/>
        <v>353770</v>
      </c>
      <c r="OCZ23" s="30">
        <f t="shared" ref="OCZ23:OFK23" si="160">EDATE(OCY23,1)</f>
        <v>353801</v>
      </c>
      <c r="ODA23" s="30">
        <f t="shared" si="160"/>
        <v>353831</v>
      </c>
      <c r="ODB23" s="30">
        <f t="shared" si="160"/>
        <v>353862</v>
      </c>
      <c r="ODC23" s="30">
        <f t="shared" si="160"/>
        <v>353892</v>
      </c>
      <c r="ODD23" s="30">
        <f t="shared" si="160"/>
        <v>353923</v>
      </c>
      <c r="ODE23" s="30">
        <f t="shared" si="160"/>
        <v>353954</v>
      </c>
      <c r="ODF23" s="30">
        <f t="shared" si="160"/>
        <v>353982</v>
      </c>
      <c r="ODG23" s="30">
        <f t="shared" si="160"/>
        <v>354013</v>
      </c>
      <c r="ODH23" s="30">
        <f t="shared" si="160"/>
        <v>354043</v>
      </c>
      <c r="ODI23" s="30">
        <f t="shared" si="160"/>
        <v>354074</v>
      </c>
      <c r="ODJ23" s="30">
        <f t="shared" si="160"/>
        <v>354104</v>
      </c>
      <c r="ODK23" s="30">
        <f t="shared" si="160"/>
        <v>354135</v>
      </c>
      <c r="ODL23" s="30">
        <f t="shared" si="160"/>
        <v>354166</v>
      </c>
      <c r="ODM23" s="30">
        <f t="shared" si="160"/>
        <v>354196</v>
      </c>
      <c r="ODN23" s="30">
        <f t="shared" si="160"/>
        <v>354227</v>
      </c>
      <c r="ODO23" s="30">
        <f t="shared" si="160"/>
        <v>354257</v>
      </c>
      <c r="ODP23" s="30">
        <f t="shared" si="160"/>
        <v>354288</v>
      </c>
      <c r="ODQ23" s="30">
        <f t="shared" si="160"/>
        <v>354319</v>
      </c>
      <c r="ODR23" s="30">
        <f t="shared" si="160"/>
        <v>354347</v>
      </c>
      <c r="ODS23" s="30">
        <f t="shared" si="160"/>
        <v>354378</v>
      </c>
      <c r="ODT23" s="30">
        <f t="shared" si="160"/>
        <v>354408</v>
      </c>
      <c r="ODU23" s="30">
        <f t="shared" si="160"/>
        <v>354439</v>
      </c>
      <c r="ODV23" s="30">
        <f t="shared" si="160"/>
        <v>354469</v>
      </c>
      <c r="ODW23" s="30">
        <f t="shared" si="160"/>
        <v>354500</v>
      </c>
      <c r="ODX23" s="30">
        <f t="shared" si="160"/>
        <v>354531</v>
      </c>
      <c r="ODY23" s="30">
        <f t="shared" si="160"/>
        <v>354561</v>
      </c>
      <c r="ODZ23" s="30">
        <f t="shared" si="160"/>
        <v>354592</v>
      </c>
      <c r="OEA23" s="30">
        <f t="shared" si="160"/>
        <v>354622</v>
      </c>
      <c r="OEB23" s="30">
        <f t="shared" si="160"/>
        <v>354653</v>
      </c>
      <c r="OEC23" s="30">
        <f t="shared" si="160"/>
        <v>354684</v>
      </c>
      <c r="OED23" s="30">
        <f t="shared" si="160"/>
        <v>354712</v>
      </c>
      <c r="OEE23" s="30">
        <f t="shared" si="160"/>
        <v>354743</v>
      </c>
      <c r="OEF23" s="30">
        <f t="shared" si="160"/>
        <v>354773</v>
      </c>
      <c r="OEG23" s="30">
        <f t="shared" si="160"/>
        <v>354804</v>
      </c>
      <c r="OEH23" s="30">
        <f t="shared" si="160"/>
        <v>354834</v>
      </c>
      <c r="OEI23" s="30">
        <f t="shared" si="160"/>
        <v>354865</v>
      </c>
      <c r="OEJ23" s="30">
        <f t="shared" si="160"/>
        <v>354896</v>
      </c>
      <c r="OEK23" s="30">
        <f t="shared" si="160"/>
        <v>354926</v>
      </c>
      <c r="OEL23" s="30">
        <f t="shared" si="160"/>
        <v>354957</v>
      </c>
      <c r="OEM23" s="30">
        <f t="shared" si="160"/>
        <v>354987</v>
      </c>
      <c r="OEN23" s="30">
        <f t="shared" si="160"/>
        <v>355018</v>
      </c>
      <c r="OEO23" s="30">
        <f t="shared" si="160"/>
        <v>355049</v>
      </c>
      <c r="OEP23" s="30">
        <f t="shared" si="160"/>
        <v>355078</v>
      </c>
      <c r="OEQ23" s="30">
        <f t="shared" si="160"/>
        <v>355109</v>
      </c>
      <c r="OER23" s="30">
        <f t="shared" si="160"/>
        <v>355139</v>
      </c>
      <c r="OES23" s="30">
        <f t="shared" si="160"/>
        <v>355170</v>
      </c>
      <c r="OET23" s="30">
        <f t="shared" si="160"/>
        <v>355200</v>
      </c>
      <c r="OEU23" s="30">
        <f t="shared" si="160"/>
        <v>355231</v>
      </c>
      <c r="OEV23" s="30">
        <f t="shared" si="160"/>
        <v>355262</v>
      </c>
      <c r="OEW23" s="30">
        <f t="shared" si="160"/>
        <v>355292</v>
      </c>
      <c r="OEX23" s="30">
        <f t="shared" si="160"/>
        <v>355323</v>
      </c>
      <c r="OEY23" s="30">
        <f t="shared" si="160"/>
        <v>355353</v>
      </c>
      <c r="OEZ23" s="30">
        <f t="shared" si="160"/>
        <v>355384</v>
      </c>
      <c r="OFA23" s="30">
        <f t="shared" si="160"/>
        <v>355415</v>
      </c>
      <c r="OFB23" s="30">
        <f t="shared" si="160"/>
        <v>355443</v>
      </c>
      <c r="OFC23" s="30">
        <f t="shared" si="160"/>
        <v>355474</v>
      </c>
      <c r="OFD23" s="30">
        <f t="shared" si="160"/>
        <v>355504</v>
      </c>
      <c r="OFE23" s="30">
        <f t="shared" si="160"/>
        <v>355535</v>
      </c>
      <c r="OFF23" s="30">
        <f t="shared" si="160"/>
        <v>355565</v>
      </c>
      <c r="OFG23" s="30">
        <f t="shared" si="160"/>
        <v>355596</v>
      </c>
      <c r="OFH23" s="30">
        <f t="shared" si="160"/>
        <v>355627</v>
      </c>
      <c r="OFI23" s="30">
        <f t="shared" si="160"/>
        <v>355657</v>
      </c>
      <c r="OFJ23" s="30">
        <f t="shared" si="160"/>
        <v>355688</v>
      </c>
      <c r="OFK23" s="30">
        <f t="shared" si="160"/>
        <v>355718</v>
      </c>
      <c r="OFL23" s="30">
        <f t="shared" ref="OFL23:OHW23" si="161">EDATE(OFK23,1)</f>
        <v>355749</v>
      </c>
      <c r="OFM23" s="30">
        <f t="shared" si="161"/>
        <v>355780</v>
      </c>
      <c r="OFN23" s="30">
        <f t="shared" si="161"/>
        <v>355808</v>
      </c>
      <c r="OFO23" s="30">
        <f t="shared" si="161"/>
        <v>355839</v>
      </c>
      <c r="OFP23" s="30">
        <f t="shared" si="161"/>
        <v>355869</v>
      </c>
      <c r="OFQ23" s="30">
        <f t="shared" si="161"/>
        <v>355900</v>
      </c>
      <c r="OFR23" s="30">
        <f t="shared" si="161"/>
        <v>355930</v>
      </c>
      <c r="OFS23" s="30">
        <f t="shared" si="161"/>
        <v>355961</v>
      </c>
      <c r="OFT23" s="30">
        <f t="shared" si="161"/>
        <v>355992</v>
      </c>
      <c r="OFU23" s="30">
        <f t="shared" si="161"/>
        <v>356022</v>
      </c>
      <c r="OFV23" s="30">
        <f t="shared" si="161"/>
        <v>356053</v>
      </c>
      <c r="OFW23" s="30">
        <f t="shared" si="161"/>
        <v>356083</v>
      </c>
      <c r="OFX23" s="30">
        <f t="shared" si="161"/>
        <v>356114</v>
      </c>
      <c r="OFY23" s="30">
        <f t="shared" si="161"/>
        <v>356145</v>
      </c>
      <c r="OFZ23" s="30">
        <f t="shared" si="161"/>
        <v>356173</v>
      </c>
      <c r="OGA23" s="30">
        <f t="shared" si="161"/>
        <v>356204</v>
      </c>
      <c r="OGB23" s="30">
        <f t="shared" si="161"/>
        <v>356234</v>
      </c>
      <c r="OGC23" s="30">
        <f t="shared" si="161"/>
        <v>356265</v>
      </c>
      <c r="OGD23" s="30">
        <f t="shared" si="161"/>
        <v>356295</v>
      </c>
      <c r="OGE23" s="30">
        <f t="shared" si="161"/>
        <v>356326</v>
      </c>
      <c r="OGF23" s="30">
        <f t="shared" si="161"/>
        <v>356357</v>
      </c>
      <c r="OGG23" s="30">
        <f t="shared" si="161"/>
        <v>356387</v>
      </c>
      <c r="OGH23" s="30">
        <f t="shared" si="161"/>
        <v>356418</v>
      </c>
      <c r="OGI23" s="30">
        <f t="shared" si="161"/>
        <v>356448</v>
      </c>
      <c r="OGJ23" s="30">
        <f t="shared" si="161"/>
        <v>356479</v>
      </c>
      <c r="OGK23" s="30">
        <f t="shared" si="161"/>
        <v>356510</v>
      </c>
      <c r="OGL23" s="30">
        <f t="shared" si="161"/>
        <v>356539</v>
      </c>
      <c r="OGM23" s="30">
        <f t="shared" si="161"/>
        <v>356570</v>
      </c>
      <c r="OGN23" s="30">
        <f t="shared" si="161"/>
        <v>356600</v>
      </c>
      <c r="OGO23" s="30">
        <f t="shared" si="161"/>
        <v>356631</v>
      </c>
      <c r="OGP23" s="30">
        <f t="shared" si="161"/>
        <v>356661</v>
      </c>
      <c r="OGQ23" s="30">
        <f t="shared" si="161"/>
        <v>356692</v>
      </c>
      <c r="OGR23" s="30">
        <f t="shared" si="161"/>
        <v>356723</v>
      </c>
      <c r="OGS23" s="30">
        <f t="shared" si="161"/>
        <v>356753</v>
      </c>
      <c r="OGT23" s="30">
        <f t="shared" si="161"/>
        <v>356784</v>
      </c>
      <c r="OGU23" s="30">
        <f t="shared" si="161"/>
        <v>356814</v>
      </c>
      <c r="OGV23" s="30">
        <f t="shared" si="161"/>
        <v>356845</v>
      </c>
      <c r="OGW23" s="30">
        <f t="shared" si="161"/>
        <v>356876</v>
      </c>
      <c r="OGX23" s="30">
        <f t="shared" si="161"/>
        <v>356904</v>
      </c>
      <c r="OGY23" s="30">
        <f t="shared" si="161"/>
        <v>356935</v>
      </c>
      <c r="OGZ23" s="30">
        <f t="shared" si="161"/>
        <v>356965</v>
      </c>
      <c r="OHA23" s="30">
        <f t="shared" si="161"/>
        <v>356996</v>
      </c>
      <c r="OHB23" s="30">
        <f t="shared" si="161"/>
        <v>357026</v>
      </c>
      <c r="OHC23" s="30">
        <f t="shared" si="161"/>
        <v>357057</v>
      </c>
      <c r="OHD23" s="30">
        <f t="shared" si="161"/>
        <v>357088</v>
      </c>
      <c r="OHE23" s="30">
        <f t="shared" si="161"/>
        <v>357118</v>
      </c>
      <c r="OHF23" s="30">
        <f t="shared" si="161"/>
        <v>357149</v>
      </c>
      <c r="OHG23" s="30">
        <f t="shared" si="161"/>
        <v>357179</v>
      </c>
      <c r="OHH23" s="30">
        <f t="shared" si="161"/>
        <v>357210</v>
      </c>
      <c r="OHI23" s="30">
        <f t="shared" si="161"/>
        <v>357241</v>
      </c>
      <c r="OHJ23" s="30">
        <f t="shared" si="161"/>
        <v>357269</v>
      </c>
      <c r="OHK23" s="30">
        <f t="shared" si="161"/>
        <v>357300</v>
      </c>
      <c r="OHL23" s="30">
        <f t="shared" si="161"/>
        <v>357330</v>
      </c>
      <c r="OHM23" s="30">
        <f t="shared" si="161"/>
        <v>357361</v>
      </c>
      <c r="OHN23" s="30">
        <f t="shared" si="161"/>
        <v>357391</v>
      </c>
      <c r="OHO23" s="30">
        <f t="shared" si="161"/>
        <v>357422</v>
      </c>
      <c r="OHP23" s="30">
        <f t="shared" si="161"/>
        <v>357453</v>
      </c>
      <c r="OHQ23" s="30">
        <f t="shared" si="161"/>
        <v>357483</v>
      </c>
      <c r="OHR23" s="30">
        <f t="shared" si="161"/>
        <v>357514</v>
      </c>
      <c r="OHS23" s="30">
        <f t="shared" si="161"/>
        <v>357544</v>
      </c>
      <c r="OHT23" s="30">
        <f t="shared" si="161"/>
        <v>357575</v>
      </c>
      <c r="OHU23" s="30">
        <f t="shared" si="161"/>
        <v>357606</v>
      </c>
      <c r="OHV23" s="30">
        <f t="shared" si="161"/>
        <v>357634</v>
      </c>
      <c r="OHW23" s="30">
        <f t="shared" si="161"/>
        <v>357665</v>
      </c>
      <c r="OHX23" s="30">
        <f t="shared" ref="OHX23:OKI23" si="162">EDATE(OHW23,1)</f>
        <v>357695</v>
      </c>
      <c r="OHY23" s="30">
        <f t="shared" si="162"/>
        <v>357726</v>
      </c>
      <c r="OHZ23" s="30">
        <f t="shared" si="162"/>
        <v>357756</v>
      </c>
      <c r="OIA23" s="30">
        <f t="shared" si="162"/>
        <v>357787</v>
      </c>
      <c r="OIB23" s="30">
        <f t="shared" si="162"/>
        <v>357818</v>
      </c>
      <c r="OIC23" s="30">
        <f t="shared" si="162"/>
        <v>357848</v>
      </c>
      <c r="OID23" s="30">
        <f t="shared" si="162"/>
        <v>357879</v>
      </c>
      <c r="OIE23" s="30">
        <f t="shared" si="162"/>
        <v>357909</v>
      </c>
      <c r="OIF23" s="30">
        <f t="shared" si="162"/>
        <v>357940</v>
      </c>
      <c r="OIG23" s="30">
        <f t="shared" si="162"/>
        <v>357971</v>
      </c>
      <c r="OIH23" s="30">
        <f t="shared" si="162"/>
        <v>358000</v>
      </c>
      <c r="OII23" s="30">
        <f t="shared" si="162"/>
        <v>358031</v>
      </c>
      <c r="OIJ23" s="30">
        <f t="shared" si="162"/>
        <v>358061</v>
      </c>
      <c r="OIK23" s="30">
        <f t="shared" si="162"/>
        <v>358092</v>
      </c>
      <c r="OIL23" s="30">
        <f t="shared" si="162"/>
        <v>358122</v>
      </c>
      <c r="OIM23" s="30">
        <f t="shared" si="162"/>
        <v>358153</v>
      </c>
      <c r="OIN23" s="30">
        <f t="shared" si="162"/>
        <v>358184</v>
      </c>
      <c r="OIO23" s="30">
        <f t="shared" si="162"/>
        <v>358214</v>
      </c>
      <c r="OIP23" s="30">
        <f t="shared" si="162"/>
        <v>358245</v>
      </c>
      <c r="OIQ23" s="30">
        <f t="shared" si="162"/>
        <v>358275</v>
      </c>
      <c r="OIR23" s="30">
        <f t="shared" si="162"/>
        <v>358306</v>
      </c>
      <c r="OIS23" s="30">
        <f t="shared" si="162"/>
        <v>358337</v>
      </c>
      <c r="OIT23" s="30">
        <f t="shared" si="162"/>
        <v>358365</v>
      </c>
      <c r="OIU23" s="30">
        <f t="shared" si="162"/>
        <v>358396</v>
      </c>
      <c r="OIV23" s="30">
        <f t="shared" si="162"/>
        <v>358426</v>
      </c>
      <c r="OIW23" s="30">
        <f t="shared" si="162"/>
        <v>358457</v>
      </c>
      <c r="OIX23" s="30">
        <f t="shared" si="162"/>
        <v>358487</v>
      </c>
      <c r="OIY23" s="30">
        <f t="shared" si="162"/>
        <v>358518</v>
      </c>
      <c r="OIZ23" s="30">
        <f t="shared" si="162"/>
        <v>358549</v>
      </c>
      <c r="OJA23" s="30">
        <f t="shared" si="162"/>
        <v>358579</v>
      </c>
      <c r="OJB23" s="30">
        <f t="shared" si="162"/>
        <v>358610</v>
      </c>
      <c r="OJC23" s="30">
        <f t="shared" si="162"/>
        <v>358640</v>
      </c>
      <c r="OJD23" s="30">
        <f t="shared" si="162"/>
        <v>358671</v>
      </c>
      <c r="OJE23" s="30">
        <f t="shared" si="162"/>
        <v>358702</v>
      </c>
      <c r="OJF23" s="30">
        <f t="shared" si="162"/>
        <v>358730</v>
      </c>
      <c r="OJG23" s="30">
        <f t="shared" si="162"/>
        <v>358761</v>
      </c>
      <c r="OJH23" s="30">
        <f t="shared" si="162"/>
        <v>358791</v>
      </c>
      <c r="OJI23" s="30">
        <f t="shared" si="162"/>
        <v>358822</v>
      </c>
      <c r="OJJ23" s="30">
        <f t="shared" si="162"/>
        <v>358852</v>
      </c>
      <c r="OJK23" s="30">
        <f t="shared" si="162"/>
        <v>358883</v>
      </c>
      <c r="OJL23" s="30">
        <f t="shared" si="162"/>
        <v>358914</v>
      </c>
      <c r="OJM23" s="30">
        <f t="shared" si="162"/>
        <v>358944</v>
      </c>
      <c r="OJN23" s="30">
        <f t="shared" si="162"/>
        <v>358975</v>
      </c>
      <c r="OJO23" s="30">
        <f t="shared" si="162"/>
        <v>359005</v>
      </c>
      <c r="OJP23" s="30">
        <f t="shared" si="162"/>
        <v>359036</v>
      </c>
      <c r="OJQ23" s="30">
        <f t="shared" si="162"/>
        <v>359067</v>
      </c>
      <c r="OJR23" s="30">
        <f t="shared" si="162"/>
        <v>359095</v>
      </c>
      <c r="OJS23" s="30">
        <f t="shared" si="162"/>
        <v>359126</v>
      </c>
      <c r="OJT23" s="30">
        <f t="shared" si="162"/>
        <v>359156</v>
      </c>
      <c r="OJU23" s="30">
        <f t="shared" si="162"/>
        <v>359187</v>
      </c>
      <c r="OJV23" s="30">
        <f t="shared" si="162"/>
        <v>359217</v>
      </c>
      <c r="OJW23" s="30">
        <f t="shared" si="162"/>
        <v>359248</v>
      </c>
      <c r="OJX23" s="30">
        <f t="shared" si="162"/>
        <v>359279</v>
      </c>
      <c r="OJY23" s="30">
        <f t="shared" si="162"/>
        <v>359309</v>
      </c>
      <c r="OJZ23" s="30">
        <f t="shared" si="162"/>
        <v>359340</v>
      </c>
      <c r="OKA23" s="30">
        <f t="shared" si="162"/>
        <v>359370</v>
      </c>
      <c r="OKB23" s="30">
        <f t="shared" si="162"/>
        <v>359401</v>
      </c>
      <c r="OKC23" s="30">
        <f t="shared" si="162"/>
        <v>359432</v>
      </c>
      <c r="OKD23" s="30">
        <f t="shared" si="162"/>
        <v>359461</v>
      </c>
      <c r="OKE23" s="30">
        <f t="shared" si="162"/>
        <v>359492</v>
      </c>
      <c r="OKF23" s="30">
        <f t="shared" si="162"/>
        <v>359522</v>
      </c>
      <c r="OKG23" s="30">
        <f t="shared" si="162"/>
        <v>359553</v>
      </c>
      <c r="OKH23" s="30">
        <f t="shared" si="162"/>
        <v>359583</v>
      </c>
      <c r="OKI23" s="30">
        <f t="shared" si="162"/>
        <v>359614</v>
      </c>
      <c r="OKJ23" s="30">
        <f t="shared" ref="OKJ23:OMU23" si="163">EDATE(OKI23,1)</f>
        <v>359645</v>
      </c>
      <c r="OKK23" s="30">
        <f t="shared" si="163"/>
        <v>359675</v>
      </c>
      <c r="OKL23" s="30">
        <f t="shared" si="163"/>
        <v>359706</v>
      </c>
      <c r="OKM23" s="30">
        <f t="shared" si="163"/>
        <v>359736</v>
      </c>
      <c r="OKN23" s="30">
        <f t="shared" si="163"/>
        <v>359767</v>
      </c>
      <c r="OKO23" s="30">
        <f t="shared" si="163"/>
        <v>359798</v>
      </c>
      <c r="OKP23" s="30">
        <f t="shared" si="163"/>
        <v>359826</v>
      </c>
      <c r="OKQ23" s="30">
        <f t="shared" si="163"/>
        <v>359857</v>
      </c>
      <c r="OKR23" s="30">
        <f t="shared" si="163"/>
        <v>359887</v>
      </c>
      <c r="OKS23" s="30">
        <f t="shared" si="163"/>
        <v>359918</v>
      </c>
      <c r="OKT23" s="30">
        <f t="shared" si="163"/>
        <v>359948</v>
      </c>
      <c r="OKU23" s="30">
        <f t="shared" si="163"/>
        <v>359979</v>
      </c>
      <c r="OKV23" s="30">
        <f t="shared" si="163"/>
        <v>360010</v>
      </c>
      <c r="OKW23" s="30">
        <f t="shared" si="163"/>
        <v>360040</v>
      </c>
      <c r="OKX23" s="30">
        <f t="shared" si="163"/>
        <v>360071</v>
      </c>
      <c r="OKY23" s="30">
        <f t="shared" si="163"/>
        <v>360101</v>
      </c>
      <c r="OKZ23" s="30">
        <f t="shared" si="163"/>
        <v>360132</v>
      </c>
      <c r="OLA23" s="30">
        <f t="shared" si="163"/>
        <v>360163</v>
      </c>
      <c r="OLB23" s="30">
        <f t="shared" si="163"/>
        <v>360191</v>
      </c>
      <c r="OLC23" s="30">
        <f t="shared" si="163"/>
        <v>360222</v>
      </c>
      <c r="OLD23" s="30">
        <f t="shared" si="163"/>
        <v>360252</v>
      </c>
      <c r="OLE23" s="30">
        <f t="shared" si="163"/>
        <v>360283</v>
      </c>
      <c r="OLF23" s="30">
        <f t="shared" si="163"/>
        <v>360313</v>
      </c>
      <c r="OLG23" s="30">
        <f t="shared" si="163"/>
        <v>360344</v>
      </c>
      <c r="OLH23" s="30">
        <f t="shared" si="163"/>
        <v>360375</v>
      </c>
      <c r="OLI23" s="30">
        <f t="shared" si="163"/>
        <v>360405</v>
      </c>
      <c r="OLJ23" s="30">
        <f t="shared" si="163"/>
        <v>360436</v>
      </c>
      <c r="OLK23" s="30">
        <f t="shared" si="163"/>
        <v>360466</v>
      </c>
      <c r="OLL23" s="30">
        <f t="shared" si="163"/>
        <v>360497</v>
      </c>
      <c r="OLM23" s="30">
        <f t="shared" si="163"/>
        <v>360528</v>
      </c>
      <c r="OLN23" s="30">
        <f t="shared" si="163"/>
        <v>360556</v>
      </c>
      <c r="OLO23" s="30">
        <f t="shared" si="163"/>
        <v>360587</v>
      </c>
      <c r="OLP23" s="30">
        <f t="shared" si="163"/>
        <v>360617</v>
      </c>
      <c r="OLQ23" s="30">
        <f t="shared" si="163"/>
        <v>360648</v>
      </c>
      <c r="OLR23" s="30">
        <f t="shared" si="163"/>
        <v>360678</v>
      </c>
      <c r="OLS23" s="30">
        <f t="shared" si="163"/>
        <v>360709</v>
      </c>
      <c r="OLT23" s="30">
        <f t="shared" si="163"/>
        <v>360740</v>
      </c>
      <c r="OLU23" s="30">
        <f t="shared" si="163"/>
        <v>360770</v>
      </c>
      <c r="OLV23" s="30">
        <f t="shared" si="163"/>
        <v>360801</v>
      </c>
      <c r="OLW23" s="30">
        <f t="shared" si="163"/>
        <v>360831</v>
      </c>
      <c r="OLX23" s="30">
        <f t="shared" si="163"/>
        <v>360862</v>
      </c>
      <c r="OLY23" s="30">
        <f t="shared" si="163"/>
        <v>360893</v>
      </c>
      <c r="OLZ23" s="30">
        <f t="shared" si="163"/>
        <v>360922</v>
      </c>
      <c r="OMA23" s="30">
        <f t="shared" si="163"/>
        <v>360953</v>
      </c>
      <c r="OMB23" s="30">
        <f t="shared" si="163"/>
        <v>360983</v>
      </c>
      <c r="OMC23" s="30">
        <f t="shared" si="163"/>
        <v>361014</v>
      </c>
      <c r="OMD23" s="30">
        <f t="shared" si="163"/>
        <v>361044</v>
      </c>
      <c r="OME23" s="30">
        <f t="shared" si="163"/>
        <v>361075</v>
      </c>
      <c r="OMF23" s="30">
        <f t="shared" si="163"/>
        <v>361106</v>
      </c>
      <c r="OMG23" s="30">
        <f t="shared" si="163"/>
        <v>361136</v>
      </c>
      <c r="OMH23" s="30">
        <f t="shared" si="163"/>
        <v>361167</v>
      </c>
      <c r="OMI23" s="30">
        <f t="shared" si="163"/>
        <v>361197</v>
      </c>
      <c r="OMJ23" s="30">
        <f t="shared" si="163"/>
        <v>361228</v>
      </c>
      <c r="OMK23" s="30">
        <f t="shared" si="163"/>
        <v>361259</v>
      </c>
      <c r="OML23" s="30">
        <f t="shared" si="163"/>
        <v>361287</v>
      </c>
      <c r="OMM23" s="30">
        <f t="shared" si="163"/>
        <v>361318</v>
      </c>
      <c r="OMN23" s="30">
        <f t="shared" si="163"/>
        <v>361348</v>
      </c>
      <c r="OMO23" s="30">
        <f t="shared" si="163"/>
        <v>361379</v>
      </c>
      <c r="OMP23" s="30">
        <f t="shared" si="163"/>
        <v>361409</v>
      </c>
      <c r="OMQ23" s="30">
        <f t="shared" si="163"/>
        <v>361440</v>
      </c>
      <c r="OMR23" s="30">
        <f t="shared" si="163"/>
        <v>361471</v>
      </c>
      <c r="OMS23" s="30">
        <f t="shared" si="163"/>
        <v>361501</v>
      </c>
      <c r="OMT23" s="30">
        <f t="shared" si="163"/>
        <v>361532</v>
      </c>
      <c r="OMU23" s="30">
        <f t="shared" si="163"/>
        <v>361562</v>
      </c>
      <c r="OMV23" s="30">
        <f t="shared" ref="OMV23:OPG23" si="164">EDATE(OMU23,1)</f>
        <v>361593</v>
      </c>
      <c r="OMW23" s="30">
        <f t="shared" si="164"/>
        <v>361624</v>
      </c>
      <c r="OMX23" s="30">
        <f t="shared" si="164"/>
        <v>361652</v>
      </c>
      <c r="OMY23" s="30">
        <f t="shared" si="164"/>
        <v>361683</v>
      </c>
      <c r="OMZ23" s="30">
        <f t="shared" si="164"/>
        <v>361713</v>
      </c>
      <c r="ONA23" s="30">
        <f t="shared" si="164"/>
        <v>361744</v>
      </c>
      <c r="ONB23" s="30">
        <f t="shared" si="164"/>
        <v>361774</v>
      </c>
      <c r="ONC23" s="30">
        <f t="shared" si="164"/>
        <v>361805</v>
      </c>
      <c r="OND23" s="30">
        <f t="shared" si="164"/>
        <v>361836</v>
      </c>
      <c r="ONE23" s="30">
        <f t="shared" si="164"/>
        <v>361866</v>
      </c>
      <c r="ONF23" s="30">
        <f t="shared" si="164"/>
        <v>361897</v>
      </c>
      <c r="ONG23" s="30">
        <f t="shared" si="164"/>
        <v>361927</v>
      </c>
      <c r="ONH23" s="30">
        <f t="shared" si="164"/>
        <v>361958</v>
      </c>
      <c r="ONI23" s="30">
        <f t="shared" si="164"/>
        <v>361989</v>
      </c>
      <c r="ONJ23" s="30">
        <f t="shared" si="164"/>
        <v>362017</v>
      </c>
      <c r="ONK23" s="30">
        <f t="shared" si="164"/>
        <v>362048</v>
      </c>
      <c r="ONL23" s="30">
        <f t="shared" si="164"/>
        <v>362078</v>
      </c>
      <c r="ONM23" s="30">
        <f t="shared" si="164"/>
        <v>362109</v>
      </c>
      <c r="ONN23" s="30">
        <f t="shared" si="164"/>
        <v>362139</v>
      </c>
      <c r="ONO23" s="30">
        <f t="shared" si="164"/>
        <v>362170</v>
      </c>
      <c r="ONP23" s="30">
        <f t="shared" si="164"/>
        <v>362201</v>
      </c>
      <c r="ONQ23" s="30">
        <f t="shared" si="164"/>
        <v>362231</v>
      </c>
      <c r="ONR23" s="30">
        <f t="shared" si="164"/>
        <v>362262</v>
      </c>
      <c r="ONS23" s="30">
        <f t="shared" si="164"/>
        <v>362292</v>
      </c>
      <c r="ONT23" s="30">
        <f t="shared" si="164"/>
        <v>362323</v>
      </c>
      <c r="ONU23" s="30">
        <f t="shared" si="164"/>
        <v>362354</v>
      </c>
      <c r="ONV23" s="30">
        <f t="shared" si="164"/>
        <v>362383</v>
      </c>
      <c r="ONW23" s="30">
        <f t="shared" si="164"/>
        <v>362414</v>
      </c>
      <c r="ONX23" s="30">
        <f t="shared" si="164"/>
        <v>362444</v>
      </c>
      <c r="ONY23" s="30">
        <f t="shared" si="164"/>
        <v>362475</v>
      </c>
      <c r="ONZ23" s="30">
        <f t="shared" si="164"/>
        <v>362505</v>
      </c>
      <c r="OOA23" s="30">
        <f t="shared" si="164"/>
        <v>362536</v>
      </c>
      <c r="OOB23" s="30">
        <f t="shared" si="164"/>
        <v>362567</v>
      </c>
      <c r="OOC23" s="30">
        <f t="shared" si="164"/>
        <v>362597</v>
      </c>
      <c r="OOD23" s="30">
        <f t="shared" si="164"/>
        <v>362628</v>
      </c>
      <c r="OOE23" s="30">
        <f t="shared" si="164"/>
        <v>362658</v>
      </c>
      <c r="OOF23" s="30">
        <f t="shared" si="164"/>
        <v>362689</v>
      </c>
      <c r="OOG23" s="30">
        <f t="shared" si="164"/>
        <v>362720</v>
      </c>
      <c r="OOH23" s="30">
        <f t="shared" si="164"/>
        <v>362748</v>
      </c>
      <c r="OOI23" s="30">
        <f t="shared" si="164"/>
        <v>362779</v>
      </c>
      <c r="OOJ23" s="30">
        <f t="shared" si="164"/>
        <v>362809</v>
      </c>
      <c r="OOK23" s="30">
        <f t="shared" si="164"/>
        <v>362840</v>
      </c>
      <c r="OOL23" s="30">
        <f t="shared" si="164"/>
        <v>362870</v>
      </c>
      <c r="OOM23" s="30">
        <f t="shared" si="164"/>
        <v>362901</v>
      </c>
      <c r="OON23" s="30">
        <f t="shared" si="164"/>
        <v>362932</v>
      </c>
      <c r="OOO23" s="30">
        <f t="shared" si="164"/>
        <v>362962</v>
      </c>
      <c r="OOP23" s="30">
        <f t="shared" si="164"/>
        <v>362993</v>
      </c>
      <c r="OOQ23" s="30">
        <f t="shared" si="164"/>
        <v>363023</v>
      </c>
      <c r="OOR23" s="30">
        <f t="shared" si="164"/>
        <v>363054</v>
      </c>
      <c r="OOS23" s="30">
        <f t="shared" si="164"/>
        <v>363085</v>
      </c>
      <c r="OOT23" s="30">
        <f t="shared" si="164"/>
        <v>363113</v>
      </c>
      <c r="OOU23" s="30">
        <f t="shared" si="164"/>
        <v>363144</v>
      </c>
      <c r="OOV23" s="30">
        <f t="shared" si="164"/>
        <v>363174</v>
      </c>
      <c r="OOW23" s="30">
        <f t="shared" si="164"/>
        <v>363205</v>
      </c>
      <c r="OOX23" s="30">
        <f t="shared" si="164"/>
        <v>363235</v>
      </c>
      <c r="OOY23" s="30">
        <f t="shared" si="164"/>
        <v>363266</v>
      </c>
      <c r="OOZ23" s="30">
        <f t="shared" si="164"/>
        <v>363297</v>
      </c>
      <c r="OPA23" s="30">
        <f t="shared" si="164"/>
        <v>363327</v>
      </c>
      <c r="OPB23" s="30">
        <f t="shared" si="164"/>
        <v>363358</v>
      </c>
      <c r="OPC23" s="30">
        <f t="shared" si="164"/>
        <v>363388</v>
      </c>
      <c r="OPD23" s="30">
        <f t="shared" si="164"/>
        <v>363419</v>
      </c>
      <c r="OPE23" s="30">
        <f t="shared" si="164"/>
        <v>363450</v>
      </c>
      <c r="OPF23" s="30">
        <f t="shared" si="164"/>
        <v>363478</v>
      </c>
      <c r="OPG23" s="30">
        <f t="shared" si="164"/>
        <v>363509</v>
      </c>
      <c r="OPH23" s="30">
        <f t="shared" ref="OPH23:ORS23" si="165">EDATE(OPG23,1)</f>
        <v>363539</v>
      </c>
      <c r="OPI23" s="30">
        <f t="shared" si="165"/>
        <v>363570</v>
      </c>
      <c r="OPJ23" s="30">
        <f t="shared" si="165"/>
        <v>363600</v>
      </c>
      <c r="OPK23" s="30">
        <f t="shared" si="165"/>
        <v>363631</v>
      </c>
      <c r="OPL23" s="30">
        <f t="shared" si="165"/>
        <v>363662</v>
      </c>
      <c r="OPM23" s="30">
        <f t="shared" si="165"/>
        <v>363692</v>
      </c>
      <c r="OPN23" s="30">
        <f t="shared" si="165"/>
        <v>363723</v>
      </c>
      <c r="OPO23" s="30">
        <f t="shared" si="165"/>
        <v>363753</v>
      </c>
      <c r="OPP23" s="30">
        <f t="shared" si="165"/>
        <v>363784</v>
      </c>
      <c r="OPQ23" s="30">
        <f t="shared" si="165"/>
        <v>363815</v>
      </c>
      <c r="OPR23" s="30">
        <f t="shared" si="165"/>
        <v>363844</v>
      </c>
      <c r="OPS23" s="30">
        <f t="shared" si="165"/>
        <v>363875</v>
      </c>
      <c r="OPT23" s="30">
        <f t="shared" si="165"/>
        <v>363905</v>
      </c>
      <c r="OPU23" s="30">
        <f t="shared" si="165"/>
        <v>363936</v>
      </c>
      <c r="OPV23" s="30">
        <f t="shared" si="165"/>
        <v>363966</v>
      </c>
      <c r="OPW23" s="30">
        <f t="shared" si="165"/>
        <v>363997</v>
      </c>
      <c r="OPX23" s="30">
        <f t="shared" si="165"/>
        <v>364028</v>
      </c>
      <c r="OPY23" s="30">
        <f t="shared" si="165"/>
        <v>364058</v>
      </c>
      <c r="OPZ23" s="30">
        <f t="shared" si="165"/>
        <v>364089</v>
      </c>
      <c r="OQA23" s="30">
        <f t="shared" si="165"/>
        <v>364119</v>
      </c>
      <c r="OQB23" s="30">
        <f t="shared" si="165"/>
        <v>364150</v>
      </c>
      <c r="OQC23" s="30">
        <f t="shared" si="165"/>
        <v>364181</v>
      </c>
      <c r="OQD23" s="30">
        <f t="shared" si="165"/>
        <v>364209</v>
      </c>
      <c r="OQE23" s="30">
        <f t="shared" si="165"/>
        <v>364240</v>
      </c>
      <c r="OQF23" s="30">
        <f t="shared" si="165"/>
        <v>364270</v>
      </c>
      <c r="OQG23" s="30">
        <f t="shared" si="165"/>
        <v>364301</v>
      </c>
      <c r="OQH23" s="30">
        <f t="shared" si="165"/>
        <v>364331</v>
      </c>
      <c r="OQI23" s="30">
        <f t="shared" si="165"/>
        <v>364362</v>
      </c>
      <c r="OQJ23" s="30">
        <f t="shared" si="165"/>
        <v>364393</v>
      </c>
      <c r="OQK23" s="30">
        <f t="shared" si="165"/>
        <v>364423</v>
      </c>
      <c r="OQL23" s="30">
        <f t="shared" si="165"/>
        <v>364454</v>
      </c>
      <c r="OQM23" s="30">
        <f t="shared" si="165"/>
        <v>364484</v>
      </c>
      <c r="OQN23" s="30">
        <f t="shared" si="165"/>
        <v>364515</v>
      </c>
      <c r="OQO23" s="30">
        <f t="shared" si="165"/>
        <v>364546</v>
      </c>
      <c r="OQP23" s="30">
        <f t="shared" si="165"/>
        <v>364574</v>
      </c>
      <c r="OQQ23" s="30">
        <f t="shared" si="165"/>
        <v>364605</v>
      </c>
      <c r="OQR23" s="30">
        <f t="shared" si="165"/>
        <v>364635</v>
      </c>
      <c r="OQS23" s="30">
        <f t="shared" si="165"/>
        <v>364666</v>
      </c>
      <c r="OQT23" s="30">
        <f t="shared" si="165"/>
        <v>364696</v>
      </c>
      <c r="OQU23" s="30">
        <f t="shared" si="165"/>
        <v>364727</v>
      </c>
      <c r="OQV23" s="30">
        <f t="shared" si="165"/>
        <v>364758</v>
      </c>
      <c r="OQW23" s="30">
        <f t="shared" si="165"/>
        <v>364788</v>
      </c>
      <c r="OQX23" s="30">
        <f t="shared" si="165"/>
        <v>364819</v>
      </c>
      <c r="OQY23" s="30">
        <f t="shared" si="165"/>
        <v>364849</v>
      </c>
      <c r="OQZ23" s="30">
        <f t="shared" si="165"/>
        <v>364880</v>
      </c>
      <c r="ORA23" s="30">
        <f t="shared" si="165"/>
        <v>364911</v>
      </c>
      <c r="ORB23" s="30">
        <f t="shared" si="165"/>
        <v>364939</v>
      </c>
      <c r="ORC23" s="30">
        <f t="shared" si="165"/>
        <v>364970</v>
      </c>
      <c r="ORD23" s="30">
        <f t="shared" si="165"/>
        <v>365000</v>
      </c>
      <c r="ORE23" s="30">
        <f t="shared" si="165"/>
        <v>365031</v>
      </c>
      <c r="ORF23" s="30">
        <f t="shared" si="165"/>
        <v>365061</v>
      </c>
      <c r="ORG23" s="30">
        <f t="shared" si="165"/>
        <v>365092</v>
      </c>
      <c r="ORH23" s="30">
        <f t="shared" si="165"/>
        <v>365123</v>
      </c>
      <c r="ORI23" s="30">
        <f t="shared" si="165"/>
        <v>365153</v>
      </c>
      <c r="ORJ23" s="30">
        <f t="shared" si="165"/>
        <v>365184</v>
      </c>
      <c r="ORK23" s="30">
        <f t="shared" si="165"/>
        <v>365214</v>
      </c>
      <c r="ORL23" s="30">
        <f t="shared" si="165"/>
        <v>365245</v>
      </c>
      <c r="ORM23" s="30">
        <f t="shared" si="165"/>
        <v>365276</v>
      </c>
      <c r="ORN23" s="30">
        <f t="shared" si="165"/>
        <v>365304</v>
      </c>
      <c r="ORO23" s="30">
        <f t="shared" si="165"/>
        <v>365335</v>
      </c>
      <c r="ORP23" s="30">
        <f t="shared" si="165"/>
        <v>365365</v>
      </c>
      <c r="ORQ23" s="30">
        <f t="shared" si="165"/>
        <v>365396</v>
      </c>
      <c r="ORR23" s="30">
        <f t="shared" si="165"/>
        <v>365426</v>
      </c>
      <c r="ORS23" s="30">
        <f t="shared" si="165"/>
        <v>365457</v>
      </c>
      <c r="ORT23" s="30">
        <f t="shared" ref="ORT23:OUE23" si="166">EDATE(ORS23,1)</f>
        <v>365488</v>
      </c>
      <c r="ORU23" s="30">
        <f t="shared" si="166"/>
        <v>365518</v>
      </c>
      <c r="ORV23" s="30">
        <f t="shared" si="166"/>
        <v>365549</v>
      </c>
      <c r="ORW23" s="30">
        <f t="shared" si="166"/>
        <v>365579</v>
      </c>
      <c r="ORX23" s="30">
        <f t="shared" si="166"/>
        <v>365610</v>
      </c>
      <c r="ORY23" s="30">
        <f t="shared" si="166"/>
        <v>365641</v>
      </c>
      <c r="ORZ23" s="30">
        <f t="shared" si="166"/>
        <v>365669</v>
      </c>
      <c r="OSA23" s="30">
        <f t="shared" si="166"/>
        <v>365700</v>
      </c>
      <c r="OSB23" s="30">
        <f t="shared" si="166"/>
        <v>365730</v>
      </c>
      <c r="OSC23" s="30">
        <f t="shared" si="166"/>
        <v>365761</v>
      </c>
      <c r="OSD23" s="30">
        <f t="shared" si="166"/>
        <v>365791</v>
      </c>
      <c r="OSE23" s="30">
        <f t="shared" si="166"/>
        <v>365822</v>
      </c>
      <c r="OSF23" s="30">
        <f t="shared" si="166"/>
        <v>365853</v>
      </c>
      <c r="OSG23" s="30">
        <f t="shared" si="166"/>
        <v>365883</v>
      </c>
      <c r="OSH23" s="30">
        <f t="shared" si="166"/>
        <v>365914</v>
      </c>
      <c r="OSI23" s="30">
        <f t="shared" si="166"/>
        <v>365944</v>
      </c>
      <c r="OSJ23" s="30">
        <f t="shared" si="166"/>
        <v>365975</v>
      </c>
      <c r="OSK23" s="30">
        <f t="shared" si="166"/>
        <v>366006</v>
      </c>
      <c r="OSL23" s="30">
        <f t="shared" si="166"/>
        <v>366034</v>
      </c>
      <c r="OSM23" s="30">
        <f t="shared" si="166"/>
        <v>366065</v>
      </c>
      <c r="OSN23" s="30">
        <f t="shared" si="166"/>
        <v>366095</v>
      </c>
      <c r="OSO23" s="30">
        <f t="shared" si="166"/>
        <v>366126</v>
      </c>
      <c r="OSP23" s="30">
        <f t="shared" si="166"/>
        <v>366156</v>
      </c>
      <c r="OSQ23" s="30">
        <f t="shared" si="166"/>
        <v>366187</v>
      </c>
      <c r="OSR23" s="30">
        <f t="shared" si="166"/>
        <v>366218</v>
      </c>
      <c r="OSS23" s="30">
        <f t="shared" si="166"/>
        <v>366248</v>
      </c>
      <c r="OST23" s="30">
        <f t="shared" si="166"/>
        <v>366279</v>
      </c>
      <c r="OSU23" s="30">
        <f t="shared" si="166"/>
        <v>366309</v>
      </c>
      <c r="OSV23" s="30">
        <f t="shared" si="166"/>
        <v>366340</v>
      </c>
      <c r="OSW23" s="30">
        <f t="shared" si="166"/>
        <v>366371</v>
      </c>
      <c r="OSX23" s="30">
        <f t="shared" si="166"/>
        <v>366399</v>
      </c>
      <c r="OSY23" s="30">
        <f t="shared" si="166"/>
        <v>366430</v>
      </c>
      <c r="OSZ23" s="30">
        <f t="shared" si="166"/>
        <v>366460</v>
      </c>
      <c r="OTA23" s="30">
        <f t="shared" si="166"/>
        <v>366491</v>
      </c>
      <c r="OTB23" s="30">
        <f t="shared" si="166"/>
        <v>366521</v>
      </c>
      <c r="OTC23" s="30">
        <f t="shared" si="166"/>
        <v>366552</v>
      </c>
      <c r="OTD23" s="30">
        <f t="shared" si="166"/>
        <v>366583</v>
      </c>
      <c r="OTE23" s="30">
        <f t="shared" si="166"/>
        <v>366613</v>
      </c>
      <c r="OTF23" s="30">
        <f t="shared" si="166"/>
        <v>366644</v>
      </c>
      <c r="OTG23" s="30">
        <f t="shared" si="166"/>
        <v>366674</v>
      </c>
      <c r="OTH23" s="30">
        <f t="shared" si="166"/>
        <v>366705</v>
      </c>
      <c r="OTI23" s="30">
        <f t="shared" si="166"/>
        <v>366736</v>
      </c>
      <c r="OTJ23" s="30">
        <f t="shared" si="166"/>
        <v>366765</v>
      </c>
      <c r="OTK23" s="30">
        <f t="shared" si="166"/>
        <v>366796</v>
      </c>
      <c r="OTL23" s="30">
        <f t="shared" si="166"/>
        <v>366826</v>
      </c>
      <c r="OTM23" s="30">
        <f t="shared" si="166"/>
        <v>366857</v>
      </c>
      <c r="OTN23" s="30">
        <f t="shared" si="166"/>
        <v>366887</v>
      </c>
      <c r="OTO23" s="30">
        <f t="shared" si="166"/>
        <v>366918</v>
      </c>
      <c r="OTP23" s="30">
        <f t="shared" si="166"/>
        <v>366949</v>
      </c>
      <c r="OTQ23" s="30">
        <f t="shared" si="166"/>
        <v>366979</v>
      </c>
      <c r="OTR23" s="30">
        <f t="shared" si="166"/>
        <v>367010</v>
      </c>
      <c r="OTS23" s="30">
        <f t="shared" si="166"/>
        <v>367040</v>
      </c>
      <c r="OTT23" s="30">
        <f t="shared" si="166"/>
        <v>367071</v>
      </c>
      <c r="OTU23" s="30">
        <f t="shared" si="166"/>
        <v>367102</v>
      </c>
      <c r="OTV23" s="30">
        <f t="shared" si="166"/>
        <v>367130</v>
      </c>
      <c r="OTW23" s="30">
        <f t="shared" si="166"/>
        <v>367161</v>
      </c>
      <c r="OTX23" s="30">
        <f t="shared" si="166"/>
        <v>367191</v>
      </c>
      <c r="OTY23" s="30">
        <f t="shared" si="166"/>
        <v>367222</v>
      </c>
      <c r="OTZ23" s="30">
        <f t="shared" si="166"/>
        <v>367252</v>
      </c>
      <c r="OUA23" s="30">
        <f t="shared" si="166"/>
        <v>367283</v>
      </c>
      <c r="OUB23" s="30">
        <f t="shared" si="166"/>
        <v>367314</v>
      </c>
      <c r="OUC23" s="30">
        <f t="shared" si="166"/>
        <v>367344</v>
      </c>
      <c r="OUD23" s="30">
        <f t="shared" si="166"/>
        <v>367375</v>
      </c>
      <c r="OUE23" s="30">
        <f t="shared" si="166"/>
        <v>367405</v>
      </c>
      <c r="OUF23" s="30">
        <f t="shared" ref="OUF23:OWQ23" si="167">EDATE(OUE23,1)</f>
        <v>367436</v>
      </c>
      <c r="OUG23" s="30">
        <f t="shared" si="167"/>
        <v>367467</v>
      </c>
      <c r="OUH23" s="30">
        <f t="shared" si="167"/>
        <v>367495</v>
      </c>
      <c r="OUI23" s="30">
        <f t="shared" si="167"/>
        <v>367526</v>
      </c>
      <c r="OUJ23" s="30">
        <f t="shared" si="167"/>
        <v>367556</v>
      </c>
      <c r="OUK23" s="30">
        <f t="shared" si="167"/>
        <v>367587</v>
      </c>
      <c r="OUL23" s="30">
        <f t="shared" si="167"/>
        <v>367617</v>
      </c>
      <c r="OUM23" s="30">
        <f t="shared" si="167"/>
        <v>367648</v>
      </c>
      <c r="OUN23" s="30">
        <f t="shared" si="167"/>
        <v>367679</v>
      </c>
      <c r="OUO23" s="30">
        <f t="shared" si="167"/>
        <v>367709</v>
      </c>
      <c r="OUP23" s="30">
        <f t="shared" si="167"/>
        <v>367740</v>
      </c>
      <c r="OUQ23" s="30">
        <f t="shared" si="167"/>
        <v>367770</v>
      </c>
      <c r="OUR23" s="30">
        <f t="shared" si="167"/>
        <v>367801</v>
      </c>
      <c r="OUS23" s="30">
        <f t="shared" si="167"/>
        <v>367832</v>
      </c>
      <c r="OUT23" s="30">
        <f t="shared" si="167"/>
        <v>367860</v>
      </c>
      <c r="OUU23" s="30">
        <f t="shared" si="167"/>
        <v>367891</v>
      </c>
      <c r="OUV23" s="30">
        <f t="shared" si="167"/>
        <v>367921</v>
      </c>
      <c r="OUW23" s="30">
        <f t="shared" si="167"/>
        <v>367952</v>
      </c>
      <c r="OUX23" s="30">
        <f t="shared" si="167"/>
        <v>367982</v>
      </c>
      <c r="OUY23" s="30">
        <f t="shared" si="167"/>
        <v>368013</v>
      </c>
      <c r="OUZ23" s="30">
        <f t="shared" si="167"/>
        <v>368044</v>
      </c>
      <c r="OVA23" s="30">
        <f t="shared" si="167"/>
        <v>368074</v>
      </c>
      <c r="OVB23" s="30">
        <f t="shared" si="167"/>
        <v>368105</v>
      </c>
      <c r="OVC23" s="30">
        <f t="shared" si="167"/>
        <v>368135</v>
      </c>
      <c r="OVD23" s="30">
        <f t="shared" si="167"/>
        <v>368166</v>
      </c>
      <c r="OVE23" s="30">
        <f t="shared" si="167"/>
        <v>368197</v>
      </c>
      <c r="OVF23" s="30">
        <f t="shared" si="167"/>
        <v>368226</v>
      </c>
      <c r="OVG23" s="30">
        <f t="shared" si="167"/>
        <v>368257</v>
      </c>
      <c r="OVH23" s="30">
        <f t="shared" si="167"/>
        <v>368287</v>
      </c>
      <c r="OVI23" s="30">
        <f t="shared" si="167"/>
        <v>368318</v>
      </c>
      <c r="OVJ23" s="30">
        <f t="shared" si="167"/>
        <v>368348</v>
      </c>
      <c r="OVK23" s="30">
        <f t="shared" si="167"/>
        <v>368379</v>
      </c>
      <c r="OVL23" s="30">
        <f t="shared" si="167"/>
        <v>368410</v>
      </c>
      <c r="OVM23" s="30">
        <f t="shared" si="167"/>
        <v>368440</v>
      </c>
      <c r="OVN23" s="30">
        <f t="shared" si="167"/>
        <v>368471</v>
      </c>
      <c r="OVO23" s="30">
        <f t="shared" si="167"/>
        <v>368501</v>
      </c>
      <c r="OVP23" s="30">
        <f t="shared" si="167"/>
        <v>368532</v>
      </c>
      <c r="OVQ23" s="30">
        <f t="shared" si="167"/>
        <v>368563</v>
      </c>
      <c r="OVR23" s="30">
        <f t="shared" si="167"/>
        <v>368591</v>
      </c>
      <c r="OVS23" s="30">
        <f t="shared" si="167"/>
        <v>368622</v>
      </c>
      <c r="OVT23" s="30">
        <f t="shared" si="167"/>
        <v>368652</v>
      </c>
      <c r="OVU23" s="30">
        <f t="shared" si="167"/>
        <v>368683</v>
      </c>
      <c r="OVV23" s="30">
        <f t="shared" si="167"/>
        <v>368713</v>
      </c>
      <c r="OVW23" s="30">
        <f t="shared" si="167"/>
        <v>368744</v>
      </c>
      <c r="OVX23" s="30">
        <f t="shared" si="167"/>
        <v>368775</v>
      </c>
      <c r="OVY23" s="30">
        <f t="shared" si="167"/>
        <v>368805</v>
      </c>
      <c r="OVZ23" s="30">
        <f t="shared" si="167"/>
        <v>368836</v>
      </c>
      <c r="OWA23" s="30">
        <f t="shared" si="167"/>
        <v>368866</v>
      </c>
      <c r="OWB23" s="30">
        <f t="shared" si="167"/>
        <v>368897</v>
      </c>
      <c r="OWC23" s="30">
        <f t="shared" si="167"/>
        <v>368928</v>
      </c>
      <c r="OWD23" s="30">
        <f t="shared" si="167"/>
        <v>368956</v>
      </c>
      <c r="OWE23" s="30">
        <f t="shared" si="167"/>
        <v>368987</v>
      </c>
      <c r="OWF23" s="30">
        <f t="shared" si="167"/>
        <v>369017</v>
      </c>
      <c r="OWG23" s="30">
        <f t="shared" si="167"/>
        <v>369048</v>
      </c>
      <c r="OWH23" s="30">
        <f t="shared" si="167"/>
        <v>369078</v>
      </c>
      <c r="OWI23" s="30">
        <f t="shared" si="167"/>
        <v>369109</v>
      </c>
      <c r="OWJ23" s="30">
        <f t="shared" si="167"/>
        <v>369140</v>
      </c>
      <c r="OWK23" s="30">
        <f t="shared" si="167"/>
        <v>369170</v>
      </c>
      <c r="OWL23" s="30">
        <f t="shared" si="167"/>
        <v>369201</v>
      </c>
      <c r="OWM23" s="30">
        <f t="shared" si="167"/>
        <v>369231</v>
      </c>
      <c r="OWN23" s="30">
        <f t="shared" si="167"/>
        <v>369262</v>
      </c>
      <c r="OWO23" s="30">
        <f t="shared" si="167"/>
        <v>369293</v>
      </c>
      <c r="OWP23" s="30">
        <f t="shared" si="167"/>
        <v>369321</v>
      </c>
      <c r="OWQ23" s="30">
        <f t="shared" si="167"/>
        <v>369352</v>
      </c>
      <c r="OWR23" s="30">
        <f t="shared" ref="OWR23:OZC23" si="168">EDATE(OWQ23,1)</f>
        <v>369382</v>
      </c>
      <c r="OWS23" s="30">
        <f t="shared" si="168"/>
        <v>369413</v>
      </c>
      <c r="OWT23" s="30">
        <f t="shared" si="168"/>
        <v>369443</v>
      </c>
      <c r="OWU23" s="30">
        <f t="shared" si="168"/>
        <v>369474</v>
      </c>
      <c r="OWV23" s="30">
        <f t="shared" si="168"/>
        <v>369505</v>
      </c>
      <c r="OWW23" s="30">
        <f t="shared" si="168"/>
        <v>369535</v>
      </c>
      <c r="OWX23" s="30">
        <f t="shared" si="168"/>
        <v>369566</v>
      </c>
      <c r="OWY23" s="30">
        <f t="shared" si="168"/>
        <v>369596</v>
      </c>
      <c r="OWZ23" s="30">
        <f t="shared" si="168"/>
        <v>369627</v>
      </c>
      <c r="OXA23" s="30">
        <f t="shared" si="168"/>
        <v>369658</v>
      </c>
      <c r="OXB23" s="30">
        <f t="shared" si="168"/>
        <v>369687</v>
      </c>
      <c r="OXC23" s="30">
        <f t="shared" si="168"/>
        <v>369718</v>
      </c>
      <c r="OXD23" s="30">
        <f t="shared" si="168"/>
        <v>369748</v>
      </c>
      <c r="OXE23" s="30">
        <f t="shared" si="168"/>
        <v>369779</v>
      </c>
      <c r="OXF23" s="30">
        <f t="shared" si="168"/>
        <v>369809</v>
      </c>
      <c r="OXG23" s="30">
        <f t="shared" si="168"/>
        <v>369840</v>
      </c>
      <c r="OXH23" s="30">
        <f t="shared" si="168"/>
        <v>369871</v>
      </c>
      <c r="OXI23" s="30">
        <f t="shared" si="168"/>
        <v>369901</v>
      </c>
      <c r="OXJ23" s="30">
        <f t="shared" si="168"/>
        <v>369932</v>
      </c>
      <c r="OXK23" s="30">
        <f t="shared" si="168"/>
        <v>369962</v>
      </c>
      <c r="OXL23" s="30">
        <f t="shared" si="168"/>
        <v>369993</v>
      </c>
      <c r="OXM23" s="30">
        <f t="shared" si="168"/>
        <v>370024</v>
      </c>
      <c r="OXN23" s="30">
        <f t="shared" si="168"/>
        <v>370052</v>
      </c>
      <c r="OXO23" s="30">
        <f t="shared" si="168"/>
        <v>370083</v>
      </c>
      <c r="OXP23" s="30">
        <f t="shared" si="168"/>
        <v>370113</v>
      </c>
      <c r="OXQ23" s="30">
        <f t="shared" si="168"/>
        <v>370144</v>
      </c>
      <c r="OXR23" s="30">
        <f t="shared" si="168"/>
        <v>370174</v>
      </c>
      <c r="OXS23" s="30">
        <f t="shared" si="168"/>
        <v>370205</v>
      </c>
      <c r="OXT23" s="30">
        <f t="shared" si="168"/>
        <v>370236</v>
      </c>
      <c r="OXU23" s="30">
        <f t="shared" si="168"/>
        <v>370266</v>
      </c>
      <c r="OXV23" s="30">
        <f t="shared" si="168"/>
        <v>370297</v>
      </c>
      <c r="OXW23" s="30">
        <f t="shared" si="168"/>
        <v>370327</v>
      </c>
      <c r="OXX23" s="30">
        <f t="shared" si="168"/>
        <v>370358</v>
      </c>
      <c r="OXY23" s="30">
        <f t="shared" si="168"/>
        <v>370389</v>
      </c>
      <c r="OXZ23" s="30">
        <f t="shared" si="168"/>
        <v>370417</v>
      </c>
      <c r="OYA23" s="30">
        <f t="shared" si="168"/>
        <v>370448</v>
      </c>
      <c r="OYB23" s="30">
        <f t="shared" si="168"/>
        <v>370478</v>
      </c>
      <c r="OYC23" s="30">
        <f t="shared" si="168"/>
        <v>370509</v>
      </c>
      <c r="OYD23" s="30">
        <f t="shared" si="168"/>
        <v>370539</v>
      </c>
      <c r="OYE23" s="30">
        <f t="shared" si="168"/>
        <v>370570</v>
      </c>
      <c r="OYF23" s="30">
        <f t="shared" si="168"/>
        <v>370601</v>
      </c>
      <c r="OYG23" s="30">
        <f t="shared" si="168"/>
        <v>370631</v>
      </c>
      <c r="OYH23" s="30">
        <f t="shared" si="168"/>
        <v>370662</v>
      </c>
      <c r="OYI23" s="30">
        <f t="shared" si="168"/>
        <v>370692</v>
      </c>
      <c r="OYJ23" s="30">
        <f t="shared" si="168"/>
        <v>370723</v>
      </c>
      <c r="OYK23" s="30">
        <f t="shared" si="168"/>
        <v>370754</v>
      </c>
      <c r="OYL23" s="30">
        <f t="shared" si="168"/>
        <v>370782</v>
      </c>
      <c r="OYM23" s="30">
        <f t="shared" si="168"/>
        <v>370813</v>
      </c>
      <c r="OYN23" s="30">
        <f t="shared" si="168"/>
        <v>370843</v>
      </c>
      <c r="OYO23" s="30">
        <f t="shared" si="168"/>
        <v>370874</v>
      </c>
      <c r="OYP23" s="30">
        <f t="shared" si="168"/>
        <v>370904</v>
      </c>
      <c r="OYQ23" s="30">
        <f t="shared" si="168"/>
        <v>370935</v>
      </c>
      <c r="OYR23" s="30">
        <f t="shared" si="168"/>
        <v>370966</v>
      </c>
      <c r="OYS23" s="30">
        <f t="shared" si="168"/>
        <v>370996</v>
      </c>
      <c r="OYT23" s="30">
        <f t="shared" si="168"/>
        <v>371027</v>
      </c>
      <c r="OYU23" s="30">
        <f t="shared" si="168"/>
        <v>371057</v>
      </c>
      <c r="OYV23" s="30">
        <f t="shared" si="168"/>
        <v>371088</v>
      </c>
      <c r="OYW23" s="30">
        <f t="shared" si="168"/>
        <v>371119</v>
      </c>
      <c r="OYX23" s="30">
        <f t="shared" si="168"/>
        <v>371148</v>
      </c>
      <c r="OYY23" s="30">
        <f t="shared" si="168"/>
        <v>371179</v>
      </c>
      <c r="OYZ23" s="30">
        <f t="shared" si="168"/>
        <v>371209</v>
      </c>
      <c r="OZA23" s="30">
        <f t="shared" si="168"/>
        <v>371240</v>
      </c>
      <c r="OZB23" s="30">
        <f t="shared" si="168"/>
        <v>371270</v>
      </c>
      <c r="OZC23" s="30">
        <f t="shared" si="168"/>
        <v>371301</v>
      </c>
      <c r="OZD23" s="30">
        <f t="shared" ref="OZD23:PBO23" si="169">EDATE(OZC23,1)</f>
        <v>371332</v>
      </c>
      <c r="OZE23" s="30">
        <f t="shared" si="169"/>
        <v>371362</v>
      </c>
      <c r="OZF23" s="30">
        <f t="shared" si="169"/>
        <v>371393</v>
      </c>
      <c r="OZG23" s="30">
        <f t="shared" si="169"/>
        <v>371423</v>
      </c>
      <c r="OZH23" s="30">
        <f t="shared" si="169"/>
        <v>371454</v>
      </c>
      <c r="OZI23" s="30">
        <f t="shared" si="169"/>
        <v>371485</v>
      </c>
      <c r="OZJ23" s="30">
        <f t="shared" si="169"/>
        <v>371513</v>
      </c>
      <c r="OZK23" s="30">
        <f t="shared" si="169"/>
        <v>371544</v>
      </c>
      <c r="OZL23" s="30">
        <f t="shared" si="169"/>
        <v>371574</v>
      </c>
      <c r="OZM23" s="30">
        <f t="shared" si="169"/>
        <v>371605</v>
      </c>
      <c r="OZN23" s="30">
        <f t="shared" si="169"/>
        <v>371635</v>
      </c>
      <c r="OZO23" s="30">
        <f t="shared" si="169"/>
        <v>371666</v>
      </c>
      <c r="OZP23" s="30">
        <f t="shared" si="169"/>
        <v>371697</v>
      </c>
      <c r="OZQ23" s="30">
        <f t="shared" si="169"/>
        <v>371727</v>
      </c>
      <c r="OZR23" s="30">
        <f t="shared" si="169"/>
        <v>371758</v>
      </c>
      <c r="OZS23" s="30">
        <f t="shared" si="169"/>
        <v>371788</v>
      </c>
      <c r="OZT23" s="30">
        <f t="shared" si="169"/>
        <v>371819</v>
      </c>
      <c r="OZU23" s="30">
        <f t="shared" si="169"/>
        <v>371850</v>
      </c>
      <c r="OZV23" s="30">
        <f t="shared" si="169"/>
        <v>371878</v>
      </c>
      <c r="OZW23" s="30">
        <f t="shared" si="169"/>
        <v>371909</v>
      </c>
      <c r="OZX23" s="30">
        <f t="shared" si="169"/>
        <v>371939</v>
      </c>
      <c r="OZY23" s="30">
        <f t="shared" si="169"/>
        <v>371970</v>
      </c>
      <c r="OZZ23" s="30">
        <f t="shared" si="169"/>
        <v>372000</v>
      </c>
      <c r="PAA23" s="30">
        <f t="shared" si="169"/>
        <v>372031</v>
      </c>
      <c r="PAB23" s="30">
        <f t="shared" si="169"/>
        <v>372062</v>
      </c>
      <c r="PAC23" s="30">
        <f t="shared" si="169"/>
        <v>372092</v>
      </c>
      <c r="PAD23" s="30">
        <f t="shared" si="169"/>
        <v>372123</v>
      </c>
      <c r="PAE23" s="30">
        <f t="shared" si="169"/>
        <v>372153</v>
      </c>
      <c r="PAF23" s="30">
        <f t="shared" si="169"/>
        <v>372184</v>
      </c>
      <c r="PAG23" s="30">
        <f t="shared" si="169"/>
        <v>372215</v>
      </c>
      <c r="PAH23" s="30">
        <f t="shared" si="169"/>
        <v>372243</v>
      </c>
      <c r="PAI23" s="30">
        <f t="shared" si="169"/>
        <v>372274</v>
      </c>
      <c r="PAJ23" s="30">
        <f t="shared" si="169"/>
        <v>372304</v>
      </c>
      <c r="PAK23" s="30">
        <f t="shared" si="169"/>
        <v>372335</v>
      </c>
      <c r="PAL23" s="30">
        <f t="shared" si="169"/>
        <v>372365</v>
      </c>
      <c r="PAM23" s="30">
        <f t="shared" si="169"/>
        <v>372396</v>
      </c>
      <c r="PAN23" s="30">
        <f t="shared" si="169"/>
        <v>372427</v>
      </c>
      <c r="PAO23" s="30">
        <f t="shared" si="169"/>
        <v>372457</v>
      </c>
      <c r="PAP23" s="30">
        <f t="shared" si="169"/>
        <v>372488</v>
      </c>
      <c r="PAQ23" s="30">
        <f t="shared" si="169"/>
        <v>372518</v>
      </c>
      <c r="PAR23" s="30">
        <f t="shared" si="169"/>
        <v>372549</v>
      </c>
      <c r="PAS23" s="30">
        <f t="shared" si="169"/>
        <v>372580</v>
      </c>
      <c r="PAT23" s="30">
        <f t="shared" si="169"/>
        <v>372609</v>
      </c>
      <c r="PAU23" s="30">
        <f t="shared" si="169"/>
        <v>372640</v>
      </c>
      <c r="PAV23" s="30">
        <f t="shared" si="169"/>
        <v>372670</v>
      </c>
      <c r="PAW23" s="30">
        <f t="shared" si="169"/>
        <v>372701</v>
      </c>
      <c r="PAX23" s="30">
        <f t="shared" si="169"/>
        <v>372731</v>
      </c>
      <c r="PAY23" s="30">
        <f t="shared" si="169"/>
        <v>372762</v>
      </c>
      <c r="PAZ23" s="30">
        <f t="shared" si="169"/>
        <v>372793</v>
      </c>
      <c r="PBA23" s="30">
        <f t="shared" si="169"/>
        <v>372823</v>
      </c>
      <c r="PBB23" s="30">
        <f t="shared" si="169"/>
        <v>372854</v>
      </c>
      <c r="PBC23" s="30">
        <f t="shared" si="169"/>
        <v>372884</v>
      </c>
      <c r="PBD23" s="30">
        <f t="shared" si="169"/>
        <v>372915</v>
      </c>
      <c r="PBE23" s="30">
        <f t="shared" si="169"/>
        <v>372946</v>
      </c>
      <c r="PBF23" s="30">
        <f t="shared" si="169"/>
        <v>372974</v>
      </c>
      <c r="PBG23" s="30">
        <f t="shared" si="169"/>
        <v>373005</v>
      </c>
      <c r="PBH23" s="30">
        <f t="shared" si="169"/>
        <v>373035</v>
      </c>
      <c r="PBI23" s="30">
        <f t="shared" si="169"/>
        <v>373066</v>
      </c>
      <c r="PBJ23" s="30">
        <f t="shared" si="169"/>
        <v>373096</v>
      </c>
      <c r="PBK23" s="30">
        <f t="shared" si="169"/>
        <v>373127</v>
      </c>
      <c r="PBL23" s="30">
        <f t="shared" si="169"/>
        <v>373158</v>
      </c>
      <c r="PBM23" s="30">
        <f t="shared" si="169"/>
        <v>373188</v>
      </c>
      <c r="PBN23" s="30">
        <f t="shared" si="169"/>
        <v>373219</v>
      </c>
      <c r="PBO23" s="30">
        <f t="shared" si="169"/>
        <v>373249</v>
      </c>
      <c r="PBP23" s="30">
        <f t="shared" ref="PBP23:PEA23" si="170">EDATE(PBO23,1)</f>
        <v>373280</v>
      </c>
      <c r="PBQ23" s="30">
        <f t="shared" si="170"/>
        <v>373311</v>
      </c>
      <c r="PBR23" s="30">
        <f t="shared" si="170"/>
        <v>373339</v>
      </c>
      <c r="PBS23" s="30">
        <f t="shared" si="170"/>
        <v>373370</v>
      </c>
      <c r="PBT23" s="30">
        <f t="shared" si="170"/>
        <v>373400</v>
      </c>
      <c r="PBU23" s="30">
        <f t="shared" si="170"/>
        <v>373431</v>
      </c>
      <c r="PBV23" s="30">
        <f t="shared" si="170"/>
        <v>373461</v>
      </c>
      <c r="PBW23" s="30">
        <f t="shared" si="170"/>
        <v>373492</v>
      </c>
      <c r="PBX23" s="30">
        <f t="shared" si="170"/>
        <v>373523</v>
      </c>
      <c r="PBY23" s="30">
        <f t="shared" si="170"/>
        <v>373553</v>
      </c>
      <c r="PBZ23" s="30">
        <f t="shared" si="170"/>
        <v>373584</v>
      </c>
      <c r="PCA23" s="30">
        <f t="shared" si="170"/>
        <v>373614</v>
      </c>
      <c r="PCB23" s="30">
        <f t="shared" si="170"/>
        <v>373645</v>
      </c>
      <c r="PCC23" s="30">
        <f t="shared" si="170"/>
        <v>373676</v>
      </c>
      <c r="PCD23" s="30">
        <f t="shared" si="170"/>
        <v>373704</v>
      </c>
      <c r="PCE23" s="30">
        <f t="shared" si="170"/>
        <v>373735</v>
      </c>
      <c r="PCF23" s="30">
        <f t="shared" si="170"/>
        <v>373765</v>
      </c>
      <c r="PCG23" s="30">
        <f t="shared" si="170"/>
        <v>373796</v>
      </c>
      <c r="PCH23" s="30">
        <f t="shared" si="170"/>
        <v>373826</v>
      </c>
      <c r="PCI23" s="30">
        <f t="shared" si="170"/>
        <v>373857</v>
      </c>
      <c r="PCJ23" s="30">
        <f t="shared" si="170"/>
        <v>373888</v>
      </c>
      <c r="PCK23" s="30">
        <f t="shared" si="170"/>
        <v>373918</v>
      </c>
      <c r="PCL23" s="30">
        <f t="shared" si="170"/>
        <v>373949</v>
      </c>
      <c r="PCM23" s="30">
        <f t="shared" si="170"/>
        <v>373979</v>
      </c>
      <c r="PCN23" s="30">
        <f t="shared" si="170"/>
        <v>374010</v>
      </c>
      <c r="PCO23" s="30">
        <f t="shared" si="170"/>
        <v>374041</v>
      </c>
      <c r="PCP23" s="30">
        <f t="shared" si="170"/>
        <v>374070</v>
      </c>
      <c r="PCQ23" s="30">
        <f t="shared" si="170"/>
        <v>374101</v>
      </c>
      <c r="PCR23" s="30">
        <f t="shared" si="170"/>
        <v>374131</v>
      </c>
      <c r="PCS23" s="30">
        <f t="shared" si="170"/>
        <v>374162</v>
      </c>
      <c r="PCT23" s="30">
        <f t="shared" si="170"/>
        <v>374192</v>
      </c>
      <c r="PCU23" s="30">
        <f t="shared" si="170"/>
        <v>374223</v>
      </c>
      <c r="PCV23" s="30">
        <f t="shared" si="170"/>
        <v>374254</v>
      </c>
      <c r="PCW23" s="30">
        <f t="shared" si="170"/>
        <v>374284</v>
      </c>
      <c r="PCX23" s="30">
        <f t="shared" si="170"/>
        <v>374315</v>
      </c>
      <c r="PCY23" s="30">
        <f t="shared" si="170"/>
        <v>374345</v>
      </c>
      <c r="PCZ23" s="30">
        <f t="shared" si="170"/>
        <v>374376</v>
      </c>
      <c r="PDA23" s="30">
        <f t="shared" si="170"/>
        <v>374407</v>
      </c>
      <c r="PDB23" s="30">
        <f t="shared" si="170"/>
        <v>374435</v>
      </c>
      <c r="PDC23" s="30">
        <f t="shared" si="170"/>
        <v>374466</v>
      </c>
      <c r="PDD23" s="30">
        <f t="shared" si="170"/>
        <v>374496</v>
      </c>
      <c r="PDE23" s="30">
        <f t="shared" si="170"/>
        <v>374527</v>
      </c>
      <c r="PDF23" s="30">
        <f t="shared" si="170"/>
        <v>374557</v>
      </c>
      <c r="PDG23" s="30">
        <f t="shared" si="170"/>
        <v>374588</v>
      </c>
      <c r="PDH23" s="30">
        <f t="shared" si="170"/>
        <v>374619</v>
      </c>
      <c r="PDI23" s="30">
        <f t="shared" si="170"/>
        <v>374649</v>
      </c>
      <c r="PDJ23" s="30">
        <f t="shared" si="170"/>
        <v>374680</v>
      </c>
      <c r="PDK23" s="30">
        <f t="shared" si="170"/>
        <v>374710</v>
      </c>
      <c r="PDL23" s="30">
        <f t="shared" si="170"/>
        <v>374741</v>
      </c>
      <c r="PDM23" s="30">
        <f t="shared" si="170"/>
        <v>374772</v>
      </c>
      <c r="PDN23" s="30">
        <f t="shared" si="170"/>
        <v>374800</v>
      </c>
      <c r="PDO23" s="30">
        <f t="shared" si="170"/>
        <v>374831</v>
      </c>
      <c r="PDP23" s="30">
        <f t="shared" si="170"/>
        <v>374861</v>
      </c>
      <c r="PDQ23" s="30">
        <f t="shared" si="170"/>
        <v>374892</v>
      </c>
      <c r="PDR23" s="30">
        <f t="shared" si="170"/>
        <v>374922</v>
      </c>
      <c r="PDS23" s="30">
        <f t="shared" si="170"/>
        <v>374953</v>
      </c>
      <c r="PDT23" s="30">
        <f t="shared" si="170"/>
        <v>374984</v>
      </c>
      <c r="PDU23" s="30">
        <f t="shared" si="170"/>
        <v>375014</v>
      </c>
      <c r="PDV23" s="30">
        <f t="shared" si="170"/>
        <v>375045</v>
      </c>
      <c r="PDW23" s="30">
        <f t="shared" si="170"/>
        <v>375075</v>
      </c>
      <c r="PDX23" s="30">
        <f t="shared" si="170"/>
        <v>375106</v>
      </c>
      <c r="PDY23" s="30">
        <f t="shared" si="170"/>
        <v>375137</v>
      </c>
      <c r="PDZ23" s="30">
        <f t="shared" si="170"/>
        <v>375165</v>
      </c>
      <c r="PEA23" s="30">
        <f t="shared" si="170"/>
        <v>375196</v>
      </c>
      <c r="PEB23" s="30">
        <f t="shared" ref="PEB23:PGM23" si="171">EDATE(PEA23,1)</f>
        <v>375226</v>
      </c>
      <c r="PEC23" s="30">
        <f t="shared" si="171"/>
        <v>375257</v>
      </c>
      <c r="PED23" s="30">
        <f t="shared" si="171"/>
        <v>375287</v>
      </c>
      <c r="PEE23" s="30">
        <f t="shared" si="171"/>
        <v>375318</v>
      </c>
      <c r="PEF23" s="30">
        <f t="shared" si="171"/>
        <v>375349</v>
      </c>
      <c r="PEG23" s="30">
        <f t="shared" si="171"/>
        <v>375379</v>
      </c>
      <c r="PEH23" s="30">
        <f t="shared" si="171"/>
        <v>375410</v>
      </c>
      <c r="PEI23" s="30">
        <f t="shared" si="171"/>
        <v>375440</v>
      </c>
      <c r="PEJ23" s="30">
        <f t="shared" si="171"/>
        <v>375471</v>
      </c>
      <c r="PEK23" s="30">
        <f t="shared" si="171"/>
        <v>375502</v>
      </c>
      <c r="PEL23" s="30">
        <f t="shared" si="171"/>
        <v>375531</v>
      </c>
      <c r="PEM23" s="30">
        <f t="shared" si="171"/>
        <v>375562</v>
      </c>
      <c r="PEN23" s="30">
        <f t="shared" si="171"/>
        <v>375592</v>
      </c>
      <c r="PEO23" s="30">
        <f t="shared" si="171"/>
        <v>375623</v>
      </c>
      <c r="PEP23" s="30">
        <f t="shared" si="171"/>
        <v>375653</v>
      </c>
      <c r="PEQ23" s="30">
        <f t="shared" si="171"/>
        <v>375684</v>
      </c>
      <c r="PER23" s="30">
        <f t="shared" si="171"/>
        <v>375715</v>
      </c>
      <c r="PES23" s="30">
        <f t="shared" si="171"/>
        <v>375745</v>
      </c>
      <c r="PET23" s="30">
        <f t="shared" si="171"/>
        <v>375776</v>
      </c>
      <c r="PEU23" s="30">
        <f t="shared" si="171"/>
        <v>375806</v>
      </c>
      <c r="PEV23" s="30">
        <f t="shared" si="171"/>
        <v>375837</v>
      </c>
      <c r="PEW23" s="30">
        <f t="shared" si="171"/>
        <v>375868</v>
      </c>
      <c r="PEX23" s="30">
        <f t="shared" si="171"/>
        <v>375896</v>
      </c>
      <c r="PEY23" s="30">
        <f t="shared" si="171"/>
        <v>375927</v>
      </c>
      <c r="PEZ23" s="30">
        <f t="shared" si="171"/>
        <v>375957</v>
      </c>
      <c r="PFA23" s="30">
        <f t="shared" si="171"/>
        <v>375988</v>
      </c>
      <c r="PFB23" s="30">
        <f t="shared" si="171"/>
        <v>376018</v>
      </c>
      <c r="PFC23" s="30">
        <f t="shared" si="171"/>
        <v>376049</v>
      </c>
      <c r="PFD23" s="30">
        <f t="shared" si="171"/>
        <v>376080</v>
      </c>
      <c r="PFE23" s="30">
        <f t="shared" si="171"/>
        <v>376110</v>
      </c>
      <c r="PFF23" s="30">
        <f t="shared" si="171"/>
        <v>376141</v>
      </c>
      <c r="PFG23" s="30">
        <f t="shared" si="171"/>
        <v>376171</v>
      </c>
      <c r="PFH23" s="30">
        <f t="shared" si="171"/>
        <v>376202</v>
      </c>
      <c r="PFI23" s="30">
        <f t="shared" si="171"/>
        <v>376233</v>
      </c>
      <c r="PFJ23" s="30">
        <f t="shared" si="171"/>
        <v>376261</v>
      </c>
      <c r="PFK23" s="30">
        <f t="shared" si="171"/>
        <v>376292</v>
      </c>
      <c r="PFL23" s="30">
        <f t="shared" si="171"/>
        <v>376322</v>
      </c>
      <c r="PFM23" s="30">
        <f t="shared" si="171"/>
        <v>376353</v>
      </c>
      <c r="PFN23" s="30">
        <f t="shared" si="171"/>
        <v>376383</v>
      </c>
      <c r="PFO23" s="30">
        <f t="shared" si="171"/>
        <v>376414</v>
      </c>
      <c r="PFP23" s="30">
        <f t="shared" si="171"/>
        <v>376445</v>
      </c>
      <c r="PFQ23" s="30">
        <f t="shared" si="171"/>
        <v>376475</v>
      </c>
      <c r="PFR23" s="30">
        <f t="shared" si="171"/>
        <v>376506</v>
      </c>
      <c r="PFS23" s="30">
        <f t="shared" si="171"/>
        <v>376536</v>
      </c>
      <c r="PFT23" s="30">
        <f t="shared" si="171"/>
        <v>376567</v>
      </c>
      <c r="PFU23" s="30">
        <f t="shared" si="171"/>
        <v>376598</v>
      </c>
      <c r="PFV23" s="30">
        <f t="shared" si="171"/>
        <v>376626</v>
      </c>
      <c r="PFW23" s="30">
        <f t="shared" si="171"/>
        <v>376657</v>
      </c>
      <c r="PFX23" s="30">
        <f t="shared" si="171"/>
        <v>376687</v>
      </c>
      <c r="PFY23" s="30">
        <f t="shared" si="171"/>
        <v>376718</v>
      </c>
      <c r="PFZ23" s="30">
        <f t="shared" si="171"/>
        <v>376748</v>
      </c>
      <c r="PGA23" s="30">
        <f t="shared" si="171"/>
        <v>376779</v>
      </c>
      <c r="PGB23" s="30">
        <f t="shared" si="171"/>
        <v>376810</v>
      </c>
      <c r="PGC23" s="30">
        <f t="shared" si="171"/>
        <v>376840</v>
      </c>
      <c r="PGD23" s="30">
        <f t="shared" si="171"/>
        <v>376871</v>
      </c>
      <c r="PGE23" s="30">
        <f t="shared" si="171"/>
        <v>376901</v>
      </c>
      <c r="PGF23" s="30">
        <f t="shared" si="171"/>
        <v>376932</v>
      </c>
      <c r="PGG23" s="30">
        <f t="shared" si="171"/>
        <v>376963</v>
      </c>
      <c r="PGH23" s="30">
        <f t="shared" si="171"/>
        <v>376992</v>
      </c>
      <c r="PGI23" s="30">
        <f t="shared" si="171"/>
        <v>377023</v>
      </c>
      <c r="PGJ23" s="30">
        <f t="shared" si="171"/>
        <v>377053</v>
      </c>
      <c r="PGK23" s="30">
        <f t="shared" si="171"/>
        <v>377084</v>
      </c>
      <c r="PGL23" s="30">
        <f t="shared" si="171"/>
        <v>377114</v>
      </c>
      <c r="PGM23" s="30">
        <f t="shared" si="171"/>
        <v>377145</v>
      </c>
      <c r="PGN23" s="30">
        <f t="shared" ref="PGN23:PIY23" si="172">EDATE(PGM23,1)</f>
        <v>377176</v>
      </c>
      <c r="PGO23" s="30">
        <f t="shared" si="172"/>
        <v>377206</v>
      </c>
      <c r="PGP23" s="30">
        <f t="shared" si="172"/>
        <v>377237</v>
      </c>
      <c r="PGQ23" s="30">
        <f t="shared" si="172"/>
        <v>377267</v>
      </c>
      <c r="PGR23" s="30">
        <f t="shared" si="172"/>
        <v>377298</v>
      </c>
      <c r="PGS23" s="30">
        <f t="shared" si="172"/>
        <v>377329</v>
      </c>
      <c r="PGT23" s="30">
        <f t="shared" si="172"/>
        <v>377357</v>
      </c>
      <c r="PGU23" s="30">
        <f t="shared" si="172"/>
        <v>377388</v>
      </c>
      <c r="PGV23" s="30">
        <f t="shared" si="172"/>
        <v>377418</v>
      </c>
      <c r="PGW23" s="30">
        <f t="shared" si="172"/>
        <v>377449</v>
      </c>
      <c r="PGX23" s="30">
        <f t="shared" si="172"/>
        <v>377479</v>
      </c>
      <c r="PGY23" s="30">
        <f t="shared" si="172"/>
        <v>377510</v>
      </c>
      <c r="PGZ23" s="30">
        <f t="shared" si="172"/>
        <v>377541</v>
      </c>
      <c r="PHA23" s="30">
        <f t="shared" si="172"/>
        <v>377571</v>
      </c>
      <c r="PHB23" s="30">
        <f t="shared" si="172"/>
        <v>377602</v>
      </c>
      <c r="PHC23" s="30">
        <f t="shared" si="172"/>
        <v>377632</v>
      </c>
      <c r="PHD23" s="30">
        <f t="shared" si="172"/>
        <v>377663</v>
      </c>
      <c r="PHE23" s="30">
        <f t="shared" si="172"/>
        <v>377694</v>
      </c>
      <c r="PHF23" s="30">
        <f t="shared" si="172"/>
        <v>377722</v>
      </c>
      <c r="PHG23" s="30">
        <f t="shared" si="172"/>
        <v>377753</v>
      </c>
      <c r="PHH23" s="30">
        <f t="shared" si="172"/>
        <v>377783</v>
      </c>
      <c r="PHI23" s="30">
        <f t="shared" si="172"/>
        <v>377814</v>
      </c>
      <c r="PHJ23" s="30">
        <f t="shared" si="172"/>
        <v>377844</v>
      </c>
      <c r="PHK23" s="30">
        <f t="shared" si="172"/>
        <v>377875</v>
      </c>
      <c r="PHL23" s="30">
        <f t="shared" si="172"/>
        <v>377906</v>
      </c>
      <c r="PHM23" s="30">
        <f t="shared" si="172"/>
        <v>377936</v>
      </c>
      <c r="PHN23" s="30">
        <f t="shared" si="172"/>
        <v>377967</v>
      </c>
      <c r="PHO23" s="30">
        <f t="shared" si="172"/>
        <v>377997</v>
      </c>
      <c r="PHP23" s="30">
        <f t="shared" si="172"/>
        <v>378028</v>
      </c>
      <c r="PHQ23" s="30">
        <f t="shared" si="172"/>
        <v>378059</v>
      </c>
      <c r="PHR23" s="30">
        <f t="shared" si="172"/>
        <v>378087</v>
      </c>
      <c r="PHS23" s="30">
        <f t="shared" si="172"/>
        <v>378118</v>
      </c>
      <c r="PHT23" s="30">
        <f t="shared" si="172"/>
        <v>378148</v>
      </c>
      <c r="PHU23" s="30">
        <f t="shared" si="172"/>
        <v>378179</v>
      </c>
      <c r="PHV23" s="30">
        <f t="shared" si="172"/>
        <v>378209</v>
      </c>
      <c r="PHW23" s="30">
        <f t="shared" si="172"/>
        <v>378240</v>
      </c>
      <c r="PHX23" s="30">
        <f t="shared" si="172"/>
        <v>378271</v>
      </c>
      <c r="PHY23" s="30">
        <f t="shared" si="172"/>
        <v>378301</v>
      </c>
      <c r="PHZ23" s="30">
        <f t="shared" si="172"/>
        <v>378332</v>
      </c>
      <c r="PIA23" s="30">
        <f t="shared" si="172"/>
        <v>378362</v>
      </c>
      <c r="PIB23" s="30">
        <f t="shared" si="172"/>
        <v>378393</v>
      </c>
      <c r="PIC23" s="30">
        <f t="shared" si="172"/>
        <v>378424</v>
      </c>
      <c r="PID23" s="30">
        <f t="shared" si="172"/>
        <v>378453</v>
      </c>
      <c r="PIE23" s="30">
        <f t="shared" si="172"/>
        <v>378484</v>
      </c>
      <c r="PIF23" s="30">
        <f t="shared" si="172"/>
        <v>378514</v>
      </c>
      <c r="PIG23" s="30">
        <f t="shared" si="172"/>
        <v>378545</v>
      </c>
      <c r="PIH23" s="30">
        <f t="shared" si="172"/>
        <v>378575</v>
      </c>
      <c r="PII23" s="30">
        <f t="shared" si="172"/>
        <v>378606</v>
      </c>
      <c r="PIJ23" s="30">
        <f t="shared" si="172"/>
        <v>378637</v>
      </c>
      <c r="PIK23" s="30">
        <f t="shared" si="172"/>
        <v>378667</v>
      </c>
      <c r="PIL23" s="30">
        <f t="shared" si="172"/>
        <v>378698</v>
      </c>
      <c r="PIM23" s="30">
        <f t="shared" si="172"/>
        <v>378728</v>
      </c>
      <c r="PIN23" s="30">
        <f t="shared" si="172"/>
        <v>378759</v>
      </c>
      <c r="PIO23" s="30">
        <f t="shared" si="172"/>
        <v>378790</v>
      </c>
      <c r="PIP23" s="30">
        <f t="shared" si="172"/>
        <v>378818</v>
      </c>
      <c r="PIQ23" s="30">
        <f t="shared" si="172"/>
        <v>378849</v>
      </c>
      <c r="PIR23" s="30">
        <f t="shared" si="172"/>
        <v>378879</v>
      </c>
      <c r="PIS23" s="30">
        <f t="shared" si="172"/>
        <v>378910</v>
      </c>
      <c r="PIT23" s="30">
        <f t="shared" si="172"/>
        <v>378940</v>
      </c>
      <c r="PIU23" s="30">
        <f t="shared" si="172"/>
        <v>378971</v>
      </c>
      <c r="PIV23" s="30">
        <f t="shared" si="172"/>
        <v>379002</v>
      </c>
      <c r="PIW23" s="30">
        <f t="shared" si="172"/>
        <v>379032</v>
      </c>
      <c r="PIX23" s="30">
        <f t="shared" si="172"/>
        <v>379063</v>
      </c>
      <c r="PIY23" s="30">
        <f t="shared" si="172"/>
        <v>379093</v>
      </c>
      <c r="PIZ23" s="30">
        <f t="shared" ref="PIZ23:PLK23" si="173">EDATE(PIY23,1)</f>
        <v>379124</v>
      </c>
      <c r="PJA23" s="30">
        <f t="shared" si="173"/>
        <v>379155</v>
      </c>
      <c r="PJB23" s="30">
        <f t="shared" si="173"/>
        <v>379183</v>
      </c>
      <c r="PJC23" s="30">
        <f t="shared" si="173"/>
        <v>379214</v>
      </c>
      <c r="PJD23" s="30">
        <f t="shared" si="173"/>
        <v>379244</v>
      </c>
      <c r="PJE23" s="30">
        <f t="shared" si="173"/>
        <v>379275</v>
      </c>
      <c r="PJF23" s="30">
        <f t="shared" si="173"/>
        <v>379305</v>
      </c>
      <c r="PJG23" s="30">
        <f t="shared" si="173"/>
        <v>379336</v>
      </c>
      <c r="PJH23" s="30">
        <f t="shared" si="173"/>
        <v>379367</v>
      </c>
      <c r="PJI23" s="30">
        <f t="shared" si="173"/>
        <v>379397</v>
      </c>
      <c r="PJJ23" s="30">
        <f t="shared" si="173"/>
        <v>379428</v>
      </c>
      <c r="PJK23" s="30">
        <f t="shared" si="173"/>
        <v>379458</v>
      </c>
      <c r="PJL23" s="30">
        <f t="shared" si="173"/>
        <v>379489</v>
      </c>
      <c r="PJM23" s="30">
        <f t="shared" si="173"/>
        <v>379520</v>
      </c>
      <c r="PJN23" s="30">
        <f t="shared" si="173"/>
        <v>379548</v>
      </c>
      <c r="PJO23" s="30">
        <f t="shared" si="173"/>
        <v>379579</v>
      </c>
      <c r="PJP23" s="30">
        <f t="shared" si="173"/>
        <v>379609</v>
      </c>
      <c r="PJQ23" s="30">
        <f t="shared" si="173"/>
        <v>379640</v>
      </c>
      <c r="PJR23" s="30">
        <f t="shared" si="173"/>
        <v>379670</v>
      </c>
      <c r="PJS23" s="30">
        <f t="shared" si="173"/>
        <v>379701</v>
      </c>
      <c r="PJT23" s="30">
        <f t="shared" si="173"/>
        <v>379732</v>
      </c>
      <c r="PJU23" s="30">
        <f t="shared" si="173"/>
        <v>379762</v>
      </c>
      <c r="PJV23" s="30">
        <f t="shared" si="173"/>
        <v>379793</v>
      </c>
      <c r="PJW23" s="30">
        <f t="shared" si="173"/>
        <v>379823</v>
      </c>
      <c r="PJX23" s="30">
        <f t="shared" si="173"/>
        <v>379854</v>
      </c>
      <c r="PJY23" s="30">
        <f t="shared" si="173"/>
        <v>379885</v>
      </c>
      <c r="PJZ23" s="30">
        <f t="shared" si="173"/>
        <v>379914</v>
      </c>
      <c r="PKA23" s="30">
        <f t="shared" si="173"/>
        <v>379945</v>
      </c>
      <c r="PKB23" s="30">
        <f t="shared" si="173"/>
        <v>379975</v>
      </c>
      <c r="PKC23" s="30">
        <f t="shared" si="173"/>
        <v>380006</v>
      </c>
      <c r="PKD23" s="30">
        <f t="shared" si="173"/>
        <v>380036</v>
      </c>
      <c r="PKE23" s="30">
        <f t="shared" si="173"/>
        <v>380067</v>
      </c>
      <c r="PKF23" s="30">
        <f t="shared" si="173"/>
        <v>380098</v>
      </c>
      <c r="PKG23" s="30">
        <f t="shared" si="173"/>
        <v>380128</v>
      </c>
      <c r="PKH23" s="30">
        <f t="shared" si="173"/>
        <v>380159</v>
      </c>
      <c r="PKI23" s="30">
        <f t="shared" si="173"/>
        <v>380189</v>
      </c>
      <c r="PKJ23" s="30">
        <f t="shared" si="173"/>
        <v>380220</v>
      </c>
      <c r="PKK23" s="30">
        <f t="shared" si="173"/>
        <v>380251</v>
      </c>
      <c r="PKL23" s="30">
        <f t="shared" si="173"/>
        <v>380279</v>
      </c>
      <c r="PKM23" s="30">
        <f t="shared" si="173"/>
        <v>380310</v>
      </c>
      <c r="PKN23" s="30">
        <f t="shared" si="173"/>
        <v>380340</v>
      </c>
      <c r="PKO23" s="30">
        <f t="shared" si="173"/>
        <v>380371</v>
      </c>
      <c r="PKP23" s="30">
        <f t="shared" si="173"/>
        <v>380401</v>
      </c>
      <c r="PKQ23" s="30">
        <f t="shared" si="173"/>
        <v>380432</v>
      </c>
      <c r="PKR23" s="30">
        <f t="shared" si="173"/>
        <v>380463</v>
      </c>
      <c r="PKS23" s="30">
        <f t="shared" si="173"/>
        <v>380493</v>
      </c>
      <c r="PKT23" s="30">
        <f t="shared" si="173"/>
        <v>380524</v>
      </c>
      <c r="PKU23" s="30">
        <f t="shared" si="173"/>
        <v>380554</v>
      </c>
      <c r="PKV23" s="30">
        <f t="shared" si="173"/>
        <v>380585</v>
      </c>
      <c r="PKW23" s="30">
        <f t="shared" si="173"/>
        <v>380616</v>
      </c>
      <c r="PKX23" s="30">
        <f t="shared" si="173"/>
        <v>380644</v>
      </c>
      <c r="PKY23" s="30">
        <f t="shared" si="173"/>
        <v>380675</v>
      </c>
      <c r="PKZ23" s="30">
        <f t="shared" si="173"/>
        <v>380705</v>
      </c>
      <c r="PLA23" s="30">
        <f t="shared" si="173"/>
        <v>380736</v>
      </c>
      <c r="PLB23" s="30">
        <f t="shared" si="173"/>
        <v>380766</v>
      </c>
      <c r="PLC23" s="30">
        <f t="shared" si="173"/>
        <v>380797</v>
      </c>
      <c r="PLD23" s="30">
        <f t="shared" si="173"/>
        <v>380828</v>
      </c>
      <c r="PLE23" s="30">
        <f t="shared" si="173"/>
        <v>380858</v>
      </c>
      <c r="PLF23" s="30">
        <f t="shared" si="173"/>
        <v>380889</v>
      </c>
      <c r="PLG23" s="30">
        <f t="shared" si="173"/>
        <v>380919</v>
      </c>
      <c r="PLH23" s="30">
        <f t="shared" si="173"/>
        <v>380950</v>
      </c>
      <c r="PLI23" s="30">
        <f t="shared" si="173"/>
        <v>380981</v>
      </c>
      <c r="PLJ23" s="30">
        <f t="shared" si="173"/>
        <v>381009</v>
      </c>
      <c r="PLK23" s="30">
        <f t="shared" si="173"/>
        <v>381040</v>
      </c>
      <c r="PLL23" s="30">
        <f t="shared" ref="PLL23:PNW23" si="174">EDATE(PLK23,1)</f>
        <v>381070</v>
      </c>
      <c r="PLM23" s="30">
        <f t="shared" si="174"/>
        <v>381101</v>
      </c>
      <c r="PLN23" s="30">
        <f t="shared" si="174"/>
        <v>381131</v>
      </c>
      <c r="PLO23" s="30">
        <f t="shared" si="174"/>
        <v>381162</v>
      </c>
      <c r="PLP23" s="30">
        <f t="shared" si="174"/>
        <v>381193</v>
      </c>
      <c r="PLQ23" s="30">
        <f t="shared" si="174"/>
        <v>381223</v>
      </c>
      <c r="PLR23" s="30">
        <f t="shared" si="174"/>
        <v>381254</v>
      </c>
      <c r="PLS23" s="30">
        <f t="shared" si="174"/>
        <v>381284</v>
      </c>
      <c r="PLT23" s="30">
        <f t="shared" si="174"/>
        <v>381315</v>
      </c>
      <c r="PLU23" s="30">
        <f t="shared" si="174"/>
        <v>381346</v>
      </c>
      <c r="PLV23" s="30">
        <f t="shared" si="174"/>
        <v>381375</v>
      </c>
      <c r="PLW23" s="30">
        <f t="shared" si="174"/>
        <v>381406</v>
      </c>
      <c r="PLX23" s="30">
        <f t="shared" si="174"/>
        <v>381436</v>
      </c>
      <c r="PLY23" s="30">
        <f t="shared" si="174"/>
        <v>381467</v>
      </c>
      <c r="PLZ23" s="30">
        <f t="shared" si="174"/>
        <v>381497</v>
      </c>
      <c r="PMA23" s="30">
        <f t="shared" si="174"/>
        <v>381528</v>
      </c>
      <c r="PMB23" s="30">
        <f t="shared" si="174"/>
        <v>381559</v>
      </c>
      <c r="PMC23" s="30">
        <f t="shared" si="174"/>
        <v>381589</v>
      </c>
      <c r="PMD23" s="30">
        <f t="shared" si="174"/>
        <v>381620</v>
      </c>
      <c r="PME23" s="30">
        <f t="shared" si="174"/>
        <v>381650</v>
      </c>
      <c r="PMF23" s="30">
        <f t="shared" si="174"/>
        <v>381681</v>
      </c>
      <c r="PMG23" s="30">
        <f t="shared" si="174"/>
        <v>381712</v>
      </c>
      <c r="PMH23" s="30">
        <f t="shared" si="174"/>
        <v>381740</v>
      </c>
      <c r="PMI23" s="30">
        <f t="shared" si="174"/>
        <v>381771</v>
      </c>
      <c r="PMJ23" s="30">
        <f t="shared" si="174"/>
        <v>381801</v>
      </c>
      <c r="PMK23" s="30">
        <f t="shared" si="174"/>
        <v>381832</v>
      </c>
      <c r="PML23" s="30">
        <f t="shared" si="174"/>
        <v>381862</v>
      </c>
      <c r="PMM23" s="30">
        <f t="shared" si="174"/>
        <v>381893</v>
      </c>
      <c r="PMN23" s="30">
        <f t="shared" si="174"/>
        <v>381924</v>
      </c>
      <c r="PMO23" s="30">
        <f t="shared" si="174"/>
        <v>381954</v>
      </c>
      <c r="PMP23" s="30">
        <f t="shared" si="174"/>
        <v>381985</v>
      </c>
      <c r="PMQ23" s="30">
        <f t="shared" si="174"/>
        <v>382015</v>
      </c>
      <c r="PMR23" s="30">
        <f t="shared" si="174"/>
        <v>382046</v>
      </c>
      <c r="PMS23" s="30">
        <f t="shared" si="174"/>
        <v>382077</v>
      </c>
      <c r="PMT23" s="30">
        <f t="shared" si="174"/>
        <v>382105</v>
      </c>
      <c r="PMU23" s="30">
        <f t="shared" si="174"/>
        <v>382136</v>
      </c>
      <c r="PMV23" s="30">
        <f t="shared" si="174"/>
        <v>382166</v>
      </c>
      <c r="PMW23" s="30">
        <f t="shared" si="174"/>
        <v>382197</v>
      </c>
      <c r="PMX23" s="30">
        <f t="shared" si="174"/>
        <v>382227</v>
      </c>
      <c r="PMY23" s="30">
        <f t="shared" si="174"/>
        <v>382258</v>
      </c>
      <c r="PMZ23" s="30">
        <f t="shared" si="174"/>
        <v>382289</v>
      </c>
      <c r="PNA23" s="30">
        <f t="shared" si="174"/>
        <v>382319</v>
      </c>
      <c r="PNB23" s="30">
        <f t="shared" si="174"/>
        <v>382350</v>
      </c>
      <c r="PNC23" s="30">
        <f t="shared" si="174"/>
        <v>382380</v>
      </c>
      <c r="PND23" s="30">
        <f t="shared" si="174"/>
        <v>382411</v>
      </c>
      <c r="PNE23" s="30">
        <f t="shared" si="174"/>
        <v>382442</v>
      </c>
      <c r="PNF23" s="30">
        <f t="shared" si="174"/>
        <v>382470</v>
      </c>
      <c r="PNG23" s="30">
        <f t="shared" si="174"/>
        <v>382501</v>
      </c>
      <c r="PNH23" s="30">
        <f t="shared" si="174"/>
        <v>382531</v>
      </c>
      <c r="PNI23" s="30">
        <f t="shared" si="174"/>
        <v>382562</v>
      </c>
      <c r="PNJ23" s="30">
        <f t="shared" si="174"/>
        <v>382592</v>
      </c>
      <c r="PNK23" s="30">
        <f t="shared" si="174"/>
        <v>382623</v>
      </c>
      <c r="PNL23" s="30">
        <f t="shared" si="174"/>
        <v>382654</v>
      </c>
      <c r="PNM23" s="30">
        <f t="shared" si="174"/>
        <v>382684</v>
      </c>
      <c r="PNN23" s="30">
        <f t="shared" si="174"/>
        <v>382715</v>
      </c>
      <c r="PNO23" s="30">
        <f t="shared" si="174"/>
        <v>382745</v>
      </c>
      <c r="PNP23" s="30">
        <f t="shared" si="174"/>
        <v>382776</v>
      </c>
      <c r="PNQ23" s="30">
        <f t="shared" si="174"/>
        <v>382807</v>
      </c>
      <c r="PNR23" s="30">
        <f t="shared" si="174"/>
        <v>382836</v>
      </c>
      <c r="PNS23" s="30">
        <f t="shared" si="174"/>
        <v>382867</v>
      </c>
      <c r="PNT23" s="30">
        <f t="shared" si="174"/>
        <v>382897</v>
      </c>
      <c r="PNU23" s="30">
        <f t="shared" si="174"/>
        <v>382928</v>
      </c>
      <c r="PNV23" s="30">
        <f t="shared" si="174"/>
        <v>382958</v>
      </c>
      <c r="PNW23" s="30">
        <f t="shared" si="174"/>
        <v>382989</v>
      </c>
      <c r="PNX23" s="30">
        <f t="shared" ref="PNX23:PQI23" si="175">EDATE(PNW23,1)</f>
        <v>383020</v>
      </c>
      <c r="PNY23" s="30">
        <f t="shared" si="175"/>
        <v>383050</v>
      </c>
      <c r="PNZ23" s="30">
        <f t="shared" si="175"/>
        <v>383081</v>
      </c>
      <c r="POA23" s="30">
        <f t="shared" si="175"/>
        <v>383111</v>
      </c>
      <c r="POB23" s="30">
        <f t="shared" si="175"/>
        <v>383142</v>
      </c>
      <c r="POC23" s="30">
        <f t="shared" si="175"/>
        <v>383173</v>
      </c>
      <c r="POD23" s="30">
        <f t="shared" si="175"/>
        <v>383201</v>
      </c>
      <c r="POE23" s="30">
        <f t="shared" si="175"/>
        <v>383232</v>
      </c>
      <c r="POF23" s="30">
        <f t="shared" si="175"/>
        <v>383262</v>
      </c>
      <c r="POG23" s="30">
        <f t="shared" si="175"/>
        <v>383293</v>
      </c>
      <c r="POH23" s="30">
        <f t="shared" si="175"/>
        <v>383323</v>
      </c>
      <c r="POI23" s="30">
        <f t="shared" si="175"/>
        <v>383354</v>
      </c>
      <c r="POJ23" s="30">
        <f t="shared" si="175"/>
        <v>383385</v>
      </c>
      <c r="POK23" s="30">
        <f t="shared" si="175"/>
        <v>383415</v>
      </c>
      <c r="POL23" s="30">
        <f t="shared" si="175"/>
        <v>383446</v>
      </c>
      <c r="POM23" s="30">
        <f t="shared" si="175"/>
        <v>383476</v>
      </c>
      <c r="PON23" s="30">
        <f t="shared" si="175"/>
        <v>383507</v>
      </c>
      <c r="POO23" s="30">
        <f t="shared" si="175"/>
        <v>383538</v>
      </c>
      <c r="POP23" s="30">
        <f t="shared" si="175"/>
        <v>383566</v>
      </c>
      <c r="POQ23" s="30">
        <f t="shared" si="175"/>
        <v>383597</v>
      </c>
      <c r="POR23" s="30">
        <f t="shared" si="175"/>
        <v>383627</v>
      </c>
      <c r="POS23" s="30">
        <f t="shared" si="175"/>
        <v>383658</v>
      </c>
      <c r="POT23" s="30">
        <f t="shared" si="175"/>
        <v>383688</v>
      </c>
      <c r="POU23" s="30">
        <f t="shared" si="175"/>
        <v>383719</v>
      </c>
      <c r="POV23" s="30">
        <f t="shared" si="175"/>
        <v>383750</v>
      </c>
      <c r="POW23" s="30">
        <f t="shared" si="175"/>
        <v>383780</v>
      </c>
      <c r="POX23" s="30">
        <f t="shared" si="175"/>
        <v>383811</v>
      </c>
      <c r="POY23" s="30">
        <f t="shared" si="175"/>
        <v>383841</v>
      </c>
      <c r="POZ23" s="30">
        <f t="shared" si="175"/>
        <v>383872</v>
      </c>
      <c r="PPA23" s="30">
        <f t="shared" si="175"/>
        <v>383903</v>
      </c>
      <c r="PPB23" s="30">
        <f t="shared" si="175"/>
        <v>383931</v>
      </c>
      <c r="PPC23" s="30">
        <f t="shared" si="175"/>
        <v>383962</v>
      </c>
      <c r="PPD23" s="30">
        <f t="shared" si="175"/>
        <v>383992</v>
      </c>
      <c r="PPE23" s="30">
        <f t="shared" si="175"/>
        <v>384023</v>
      </c>
      <c r="PPF23" s="30">
        <f t="shared" si="175"/>
        <v>384053</v>
      </c>
      <c r="PPG23" s="30">
        <f t="shared" si="175"/>
        <v>384084</v>
      </c>
      <c r="PPH23" s="30">
        <f t="shared" si="175"/>
        <v>384115</v>
      </c>
      <c r="PPI23" s="30">
        <f t="shared" si="175"/>
        <v>384145</v>
      </c>
      <c r="PPJ23" s="30">
        <f t="shared" si="175"/>
        <v>384176</v>
      </c>
      <c r="PPK23" s="30">
        <f t="shared" si="175"/>
        <v>384206</v>
      </c>
      <c r="PPL23" s="30">
        <f t="shared" si="175"/>
        <v>384237</v>
      </c>
      <c r="PPM23" s="30">
        <f t="shared" si="175"/>
        <v>384268</v>
      </c>
      <c r="PPN23" s="30">
        <f t="shared" si="175"/>
        <v>384297</v>
      </c>
      <c r="PPO23" s="30">
        <f t="shared" si="175"/>
        <v>384328</v>
      </c>
      <c r="PPP23" s="30">
        <f t="shared" si="175"/>
        <v>384358</v>
      </c>
      <c r="PPQ23" s="30">
        <f t="shared" si="175"/>
        <v>384389</v>
      </c>
      <c r="PPR23" s="30">
        <f t="shared" si="175"/>
        <v>384419</v>
      </c>
      <c r="PPS23" s="30">
        <f t="shared" si="175"/>
        <v>384450</v>
      </c>
      <c r="PPT23" s="30">
        <f t="shared" si="175"/>
        <v>384481</v>
      </c>
      <c r="PPU23" s="30">
        <f t="shared" si="175"/>
        <v>384511</v>
      </c>
      <c r="PPV23" s="30">
        <f t="shared" si="175"/>
        <v>384542</v>
      </c>
      <c r="PPW23" s="30">
        <f t="shared" si="175"/>
        <v>384572</v>
      </c>
      <c r="PPX23" s="30">
        <f t="shared" si="175"/>
        <v>384603</v>
      </c>
      <c r="PPY23" s="30">
        <f t="shared" si="175"/>
        <v>384634</v>
      </c>
      <c r="PPZ23" s="30">
        <f t="shared" si="175"/>
        <v>384662</v>
      </c>
      <c r="PQA23" s="30">
        <f t="shared" si="175"/>
        <v>384693</v>
      </c>
      <c r="PQB23" s="30">
        <f t="shared" si="175"/>
        <v>384723</v>
      </c>
      <c r="PQC23" s="30">
        <f t="shared" si="175"/>
        <v>384754</v>
      </c>
      <c r="PQD23" s="30">
        <f t="shared" si="175"/>
        <v>384784</v>
      </c>
      <c r="PQE23" s="30">
        <f t="shared" si="175"/>
        <v>384815</v>
      </c>
      <c r="PQF23" s="30">
        <f t="shared" si="175"/>
        <v>384846</v>
      </c>
      <c r="PQG23" s="30">
        <f t="shared" si="175"/>
        <v>384876</v>
      </c>
      <c r="PQH23" s="30">
        <f t="shared" si="175"/>
        <v>384907</v>
      </c>
      <c r="PQI23" s="30">
        <f t="shared" si="175"/>
        <v>384937</v>
      </c>
      <c r="PQJ23" s="30">
        <f t="shared" ref="PQJ23:PSU23" si="176">EDATE(PQI23,1)</f>
        <v>384968</v>
      </c>
      <c r="PQK23" s="30">
        <f t="shared" si="176"/>
        <v>384999</v>
      </c>
      <c r="PQL23" s="30">
        <f t="shared" si="176"/>
        <v>385027</v>
      </c>
      <c r="PQM23" s="30">
        <f t="shared" si="176"/>
        <v>385058</v>
      </c>
      <c r="PQN23" s="30">
        <f t="shared" si="176"/>
        <v>385088</v>
      </c>
      <c r="PQO23" s="30">
        <f t="shared" si="176"/>
        <v>385119</v>
      </c>
      <c r="PQP23" s="30">
        <f t="shared" si="176"/>
        <v>385149</v>
      </c>
      <c r="PQQ23" s="30">
        <f t="shared" si="176"/>
        <v>385180</v>
      </c>
      <c r="PQR23" s="30">
        <f t="shared" si="176"/>
        <v>385211</v>
      </c>
      <c r="PQS23" s="30">
        <f t="shared" si="176"/>
        <v>385241</v>
      </c>
      <c r="PQT23" s="30">
        <f t="shared" si="176"/>
        <v>385272</v>
      </c>
      <c r="PQU23" s="30">
        <f t="shared" si="176"/>
        <v>385302</v>
      </c>
      <c r="PQV23" s="30">
        <f t="shared" si="176"/>
        <v>385333</v>
      </c>
      <c r="PQW23" s="30">
        <f t="shared" si="176"/>
        <v>385364</v>
      </c>
      <c r="PQX23" s="30">
        <f t="shared" si="176"/>
        <v>385392</v>
      </c>
      <c r="PQY23" s="30">
        <f t="shared" si="176"/>
        <v>385423</v>
      </c>
      <c r="PQZ23" s="30">
        <f t="shared" si="176"/>
        <v>385453</v>
      </c>
      <c r="PRA23" s="30">
        <f t="shared" si="176"/>
        <v>385484</v>
      </c>
      <c r="PRB23" s="30">
        <f t="shared" si="176"/>
        <v>385514</v>
      </c>
      <c r="PRC23" s="30">
        <f t="shared" si="176"/>
        <v>385545</v>
      </c>
      <c r="PRD23" s="30">
        <f t="shared" si="176"/>
        <v>385576</v>
      </c>
      <c r="PRE23" s="30">
        <f t="shared" si="176"/>
        <v>385606</v>
      </c>
      <c r="PRF23" s="30">
        <f t="shared" si="176"/>
        <v>385637</v>
      </c>
      <c r="PRG23" s="30">
        <f t="shared" si="176"/>
        <v>385667</v>
      </c>
      <c r="PRH23" s="30">
        <f t="shared" si="176"/>
        <v>385698</v>
      </c>
      <c r="PRI23" s="30">
        <f t="shared" si="176"/>
        <v>385729</v>
      </c>
      <c r="PRJ23" s="30">
        <f t="shared" si="176"/>
        <v>385758</v>
      </c>
      <c r="PRK23" s="30">
        <f t="shared" si="176"/>
        <v>385789</v>
      </c>
      <c r="PRL23" s="30">
        <f t="shared" si="176"/>
        <v>385819</v>
      </c>
      <c r="PRM23" s="30">
        <f t="shared" si="176"/>
        <v>385850</v>
      </c>
      <c r="PRN23" s="30">
        <f t="shared" si="176"/>
        <v>385880</v>
      </c>
      <c r="PRO23" s="30">
        <f t="shared" si="176"/>
        <v>385911</v>
      </c>
      <c r="PRP23" s="30">
        <f t="shared" si="176"/>
        <v>385942</v>
      </c>
      <c r="PRQ23" s="30">
        <f t="shared" si="176"/>
        <v>385972</v>
      </c>
      <c r="PRR23" s="30">
        <f t="shared" si="176"/>
        <v>386003</v>
      </c>
      <c r="PRS23" s="30">
        <f t="shared" si="176"/>
        <v>386033</v>
      </c>
      <c r="PRT23" s="30">
        <f t="shared" si="176"/>
        <v>386064</v>
      </c>
      <c r="PRU23" s="30">
        <f t="shared" si="176"/>
        <v>386095</v>
      </c>
      <c r="PRV23" s="30">
        <f t="shared" si="176"/>
        <v>386123</v>
      </c>
      <c r="PRW23" s="30">
        <f t="shared" si="176"/>
        <v>386154</v>
      </c>
      <c r="PRX23" s="30">
        <f t="shared" si="176"/>
        <v>386184</v>
      </c>
      <c r="PRY23" s="30">
        <f t="shared" si="176"/>
        <v>386215</v>
      </c>
      <c r="PRZ23" s="30">
        <f t="shared" si="176"/>
        <v>386245</v>
      </c>
      <c r="PSA23" s="30">
        <f t="shared" si="176"/>
        <v>386276</v>
      </c>
      <c r="PSB23" s="30">
        <f t="shared" si="176"/>
        <v>386307</v>
      </c>
      <c r="PSC23" s="30">
        <f t="shared" si="176"/>
        <v>386337</v>
      </c>
      <c r="PSD23" s="30">
        <f t="shared" si="176"/>
        <v>386368</v>
      </c>
      <c r="PSE23" s="30">
        <f t="shared" si="176"/>
        <v>386398</v>
      </c>
      <c r="PSF23" s="30">
        <f t="shared" si="176"/>
        <v>386429</v>
      </c>
      <c r="PSG23" s="30">
        <f t="shared" si="176"/>
        <v>386460</v>
      </c>
      <c r="PSH23" s="30">
        <f t="shared" si="176"/>
        <v>386488</v>
      </c>
      <c r="PSI23" s="30">
        <f t="shared" si="176"/>
        <v>386519</v>
      </c>
      <c r="PSJ23" s="30">
        <f t="shared" si="176"/>
        <v>386549</v>
      </c>
      <c r="PSK23" s="30">
        <f t="shared" si="176"/>
        <v>386580</v>
      </c>
      <c r="PSL23" s="30">
        <f t="shared" si="176"/>
        <v>386610</v>
      </c>
      <c r="PSM23" s="30">
        <f t="shared" si="176"/>
        <v>386641</v>
      </c>
      <c r="PSN23" s="30">
        <f t="shared" si="176"/>
        <v>386672</v>
      </c>
      <c r="PSO23" s="30">
        <f t="shared" si="176"/>
        <v>386702</v>
      </c>
      <c r="PSP23" s="30">
        <f t="shared" si="176"/>
        <v>386733</v>
      </c>
      <c r="PSQ23" s="30">
        <f t="shared" si="176"/>
        <v>386763</v>
      </c>
      <c r="PSR23" s="30">
        <f t="shared" si="176"/>
        <v>386794</v>
      </c>
      <c r="PSS23" s="30">
        <f t="shared" si="176"/>
        <v>386825</v>
      </c>
      <c r="PST23" s="30">
        <f t="shared" si="176"/>
        <v>386853</v>
      </c>
      <c r="PSU23" s="30">
        <f t="shared" si="176"/>
        <v>386884</v>
      </c>
      <c r="PSV23" s="30">
        <f t="shared" ref="PSV23:PVG23" si="177">EDATE(PSU23,1)</f>
        <v>386914</v>
      </c>
      <c r="PSW23" s="30">
        <f t="shared" si="177"/>
        <v>386945</v>
      </c>
      <c r="PSX23" s="30">
        <f t="shared" si="177"/>
        <v>386975</v>
      </c>
      <c r="PSY23" s="30">
        <f t="shared" si="177"/>
        <v>387006</v>
      </c>
      <c r="PSZ23" s="30">
        <f t="shared" si="177"/>
        <v>387037</v>
      </c>
      <c r="PTA23" s="30">
        <f t="shared" si="177"/>
        <v>387067</v>
      </c>
      <c r="PTB23" s="30">
        <f t="shared" si="177"/>
        <v>387098</v>
      </c>
      <c r="PTC23" s="30">
        <f t="shared" si="177"/>
        <v>387128</v>
      </c>
      <c r="PTD23" s="30">
        <f t="shared" si="177"/>
        <v>387159</v>
      </c>
      <c r="PTE23" s="30">
        <f t="shared" si="177"/>
        <v>387190</v>
      </c>
      <c r="PTF23" s="30">
        <f t="shared" si="177"/>
        <v>387219</v>
      </c>
      <c r="PTG23" s="30">
        <f t="shared" si="177"/>
        <v>387250</v>
      </c>
      <c r="PTH23" s="30">
        <f t="shared" si="177"/>
        <v>387280</v>
      </c>
      <c r="PTI23" s="30">
        <f t="shared" si="177"/>
        <v>387311</v>
      </c>
      <c r="PTJ23" s="30">
        <f t="shared" si="177"/>
        <v>387341</v>
      </c>
      <c r="PTK23" s="30">
        <f t="shared" si="177"/>
        <v>387372</v>
      </c>
      <c r="PTL23" s="30">
        <f t="shared" si="177"/>
        <v>387403</v>
      </c>
      <c r="PTM23" s="30">
        <f t="shared" si="177"/>
        <v>387433</v>
      </c>
      <c r="PTN23" s="30">
        <f t="shared" si="177"/>
        <v>387464</v>
      </c>
      <c r="PTO23" s="30">
        <f t="shared" si="177"/>
        <v>387494</v>
      </c>
      <c r="PTP23" s="30">
        <f t="shared" si="177"/>
        <v>387525</v>
      </c>
      <c r="PTQ23" s="30">
        <f t="shared" si="177"/>
        <v>387556</v>
      </c>
      <c r="PTR23" s="30">
        <f t="shared" si="177"/>
        <v>387584</v>
      </c>
      <c r="PTS23" s="30">
        <f t="shared" si="177"/>
        <v>387615</v>
      </c>
      <c r="PTT23" s="30">
        <f t="shared" si="177"/>
        <v>387645</v>
      </c>
      <c r="PTU23" s="30">
        <f t="shared" si="177"/>
        <v>387676</v>
      </c>
      <c r="PTV23" s="30">
        <f t="shared" si="177"/>
        <v>387706</v>
      </c>
      <c r="PTW23" s="30">
        <f t="shared" si="177"/>
        <v>387737</v>
      </c>
      <c r="PTX23" s="30">
        <f t="shared" si="177"/>
        <v>387768</v>
      </c>
      <c r="PTY23" s="30">
        <f t="shared" si="177"/>
        <v>387798</v>
      </c>
      <c r="PTZ23" s="30">
        <f t="shared" si="177"/>
        <v>387829</v>
      </c>
      <c r="PUA23" s="30">
        <f t="shared" si="177"/>
        <v>387859</v>
      </c>
      <c r="PUB23" s="30">
        <f t="shared" si="177"/>
        <v>387890</v>
      </c>
      <c r="PUC23" s="30">
        <f t="shared" si="177"/>
        <v>387921</v>
      </c>
      <c r="PUD23" s="30">
        <f t="shared" si="177"/>
        <v>387949</v>
      </c>
      <c r="PUE23" s="30">
        <f t="shared" si="177"/>
        <v>387980</v>
      </c>
      <c r="PUF23" s="30">
        <f t="shared" si="177"/>
        <v>388010</v>
      </c>
      <c r="PUG23" s="30">
        <f t="shared" si="177"/>
        <v>388041</v>
      </c>
      <c r="PUH23" s="30">
        <f t="shared" si="177"/>
        <v>388071</v>
      </c>
      <c r="PUI23" s="30">
        <f t="shared" si="177"/>
        <v>388102</v>
      </c>
      <c r="PUJ23" s="30">
        <f t="shared" si="177"/>
        <v>388133</v>
      </c>
      <c r="PUK23" s="30">
        <f t="shared" si="177"/>
        <v>388163</v>
      </c>
      <c r="PUL23" s="30">
        <f t="shared" si="177"/>
        <v>388194</v>
      </c>
      <c r="PUM23" s="30">
        <f t="shared" si="177"/>
        <v>388224</v>
      </c>
      <c r="PUN23" s="30">
        <f t="shared" si="177"/>
        <v>388255</v>
      </c>
      <c r="PUO23" s="30">
        <f t="shared" si="177"/>
        <v>388286</v>
      </c>
      <c r="PUP23" s="30">
        <f t="shared" si="177"/>
        <v>388314</v>
      </c>
      <c r="PUQ23" s="30">
        <f t="shared" si="177"/>
        <v>388345</v>
      </c>
      <c r="PUR23" s="30">
        <f t="shared" si="177"/>
        <v>388375</v>
      </c>
      <c r="PUS23" s="30">
        <f t="shared" si="177"/>
        <v>388406</v>
      </c>
      <c r="PUT23" s="30">
        <f t="shared" si="177"/>
        <v>388436</v>
      </c>
      <c r="PUU23" s="30">
        <f t="shared" si="177"/>
        <v>388467</v>
      </c>
      <c r="PUV23" s="30">
        <f t="shared" si="177"/>
        <v>388498</v>
      </c>
      <c r="PUW23" s="30">
        <f t="shared" si="177"/>
        <v>388528</v>
      </c>
      <c r="PUX23" s="30">
        <f t="shared" si="177"/>
        <v>388559</v>
      </c>
      <c r="PUY23" s="30">
        <f t="shared" si="177"/>
        <v>388589</v>
      </c>
      <c r="PUZ23" s="30">
        <f t="shared" si="177"/>
        <v>388620</v>
      </c>
      <c r="PVA23" s="30">
        <f t="shared" si="177"/>
        <v>388651</v>
      </c>
      <c r="PVB23" s="30">
        <f t="shared" si="177"/>
        <v>388680</v>
      </c>
      <c r="PVC23" s="30">
        <f t="shared" si="177"/>
        <v>388711</v>
      </c>
      <c r="PVD23" s="30">
        <f t="shared" si="177"/>
        <v>388741</v>
      </c>
      <c r="PVE23" s="30">
        <f t="shared" si="177"/>
        <v>388772</v>
      </c>
      <c r="PVF23" s="30">
        <f t="shared" si="177"/>
        <v>388802</v>
      </c>
      <c r="PVG23" s="30">
        <f t="shared" si="177"/>
        <v>388833</v>
      </c>
      <c r="PVH23" s="30">
        <f t="shared" ref="PVH23:PXS23" si="178">EDATE(PVG23,1)</f>
        <v>388864</v>
      </c>
      <c r="PVI23" s="30">
        <f t="shared" si="178"/>
        <v>388894</v>
      </c>
      <c r="PVJ23" s="30">
        <f t="shared" si="178"/>
        <v>388925</v>
      </c>
      <c r="PVK23" s="30">
        <f t="shared" si="178"/>
        <v>388955</v>
      </c>
      <c r="PVL23" s="30">
        <f t="shared" si="178"/>
        <v>388986</v>
      </c>
      <c r="PVM23" s="30">
        <f t="shared" si="178"/>
        <v>389017</v>
      </c>
      <c r="PVN23" s="30">
        <f t="shared" si="178"/>
        <v>389045</v>
      </c>
      <c r="PVO23" s="30">
        <f t="shared" si="178"/>
        <v>389076</v>
      </c>
      <c r="PVP23" s="30">
        <f t="shared" si="178"/>
        <v>389106</v>
      </c>
      <c r="PVQ23" s="30">
        <f t="shared" si="178"/>
        <v>389137</v>
      </c>
      <c r="PVR23" s="30">
        <f t="shared" si="178"/>
        <v>389167</v>
      </c>
      <c r="PVS23" s="30">
        <f t="shared" si="178"/>
        <v>389198</v>
      </c>
      <c r="PVT23" s="30">
        <f t="shared" si="178"/>
        <v>389229</v>
      </c>
      <c r="PVU23" s="30">
        <f t="shared" si="178"/>
        <v>389259</v>
      </c>
      <c r="PVV23" s="30">
        <f t="shared" si="178"/>
        <v>389290</v>
      </c>
      <c r="PVW23" s="30">
        <f t="shared" si="178"/>
        <v>389320</v>
      </c>
      <c r="PVX23" s="30">
        <f t="shared" si="178"/>
        <v>389351</v>
      </c>
      <c r="PVY23" s="30">
        <f t="shared" si="178"/>
        <v>389382</v>
      </c>
      <c r="PVZ23" s="30">
        <f t="shared" si="178"/>
        <v>389410</v>
      </c>
      <c r="PWA23" s="30">
        <f t="shared" si="178"/>
        <v>389441</v>
      </c>
      <c r="PWB23" s="30">
        <f t="shared" si="178"/>
        <v>389471</v>
      </c>
      <c r="PWC23" s="30">
        <f t="shared" si="178"/>
        <v>389502</v>
      </c>
      <c r="PWD23" s="30">
        <f t="shared" si="178"/>
        <v>389532</v>
      </c>
      <c r="PWE23" s="30">
        <f t="shared" si="178"/>
        <v>389563</v>
      </c>
      <c r="PWF23" s="30">
        <f t="shared" si="178"/>
        <v>389594</v>
      </c>
      <c r="PWG23" s="30">
        <f t="shared" si="178"/>
        <v>389624</v>
      </c>
      <c r="PWH23" s="30">
        <f t="shared" si="178"/>
        <v>389655</v>
      </c>
      <c r="PWI23" s="30">
        <f t="shared" si="178"/>
        <v>389685</v>
      </c>
      <c r="PWJ23" s="30">
        <f t="shared" si="178"/>
        <v>389716</v>
      </c>
      <c r="PWK23" s="30">
        <f t="shared" si="178"/>
        <v>389747</v>
      </c>
      <c r="PWL23" s="30">
        <f t="shared" si="178"/>
        <v>389775</v>
      </c>
      <c r="PWM23" s="30">
        <f t="shared" si="178"/>
        <v>389806</v>
      </c>
      <c r="PWN23" s="30">
        <f t="shared" si="178"/>
        <v>389836</v>
      </c>
      <c r="PWO23" s="30">
        <f t="shared" si="178"/>
        <v>389867</v>
      </c>
      <c r="PWP23" s="30">
        <f t="shared" si="178"/>
        <v>389897</v>
      </c>
      <c r="PWQ23" s="30">
        <f t="shared" si="178"/>
        <v>389928</v>
      </c>
      <c r="PWR23" s="30">
        <f t="shared" si="178"/>
        <v>389959</v>
      </c>
      <c r="PWS23" s="30">
        <f t="shared" si="178"/>
        <v>389989</v>
      </c>
      <c r="PWT23" s="30">
        <f t="shared" si="178"/>
        <v>390020</v>
      </c>
      <c r="PWU23" s="30">
        <f t="shared" si="178"/>
        <v>390050</v>
      </c>
      <c r="PWV23" s="30">
        <f t="shared" si="178"/>
        <v>390081</v>
      </c>
      <c r="PWW23" s="30">
        <f t="shared" si="178"/>
        <v>390112</v>
      </c>
      <c r="PWX23" s="30">
        <f t="shared" si="178"/>
        <v>390141</v>
      </c>
      <c r="PWY23" s="30">
        <f t="shared" si="178"/>
        <v>390172</v>
      </c>
      <c r="PWZ23" s="30">
        <f t="shared" si="178"/>
        <v>390202</v>
      </c>
      <c r="PXA23" s="30">
        <f t="shared" si="178"/>
        <v>390233</v>
      </c>
      <c r="PXB23" s="30">
        <f t="shared" si="178"/>
        <v>390263</v>
      </c>
      <c r="PXC23" s="30">
        <f t="shared" si="178"/>
        <v>390294</v>
      </c>
      <c r="PXD23" s="30">
        <f t="shared" si="178"/>
        <v>390325</v>
      </c>
      <c r="PXE23" s="30">
        <f t="shared" si="178"/>
        <v>390355</v>
      </c>
      <c r="PXF23" s="30">
        <f t="shared" si="178"/>
        <v>390386</v>
      </c>
      <c r="PXG23" s="30">
        <f t="shared" si="178"/>
        <v>390416</v>
      </c>
      <c r="PXH23" s="30">
        <f t="shared" si="178"/>
        <v>390447</v>
      </c>
      <c r="PXI23" s="30">
        <f t="shared" si="178"/>
        <v>390478</v>
      </c>
      <c r="PXJ23" s="30">
        <f t="shared" si="178"/>
        <v>390506</v>
      </c>
      <c r="PXK23" s="30">
        <f t="shared" si="178"/>
        <v>390537</v>
      </c>
      <c r="PXL23" s="30">
        <f t="shared" si="178"/>
        <v>390567</v>
      </c>
      <c r="PXM23" s="30">
        <f t="shared" si="178"/>
        <v>390598</v>
      </c>
      <c r="PXN23" s="30">
        <f t="shared" si="178"/>
        <v>390628</v>
      </c>
      <c r="PXO23" s="30">
        <f t="shared" si="178"/>
        <v>390659</v>
      </c>
      <c r="PXP23" s="30">
        <f t="shared" si="178"/>
        <v>390690</v>
      </c>
      <c r="PXQ23" s="30">
        <f t="shared" si="178"/>
        <v>390720</v>
      </c>
      <c r="PXR23" s="30">
        <f t="shared" si="178"/>
        <v>390751</v>
      </c>
      <c r="PXS23" s="30">
        <f t="shared" si="178"/>
        <v>390781</v>
      </c>
      <c r="PXT23" s="30">
        <f t="shared" ref="PXT23:QAE23" si="179">EDATE(PXS23,1)</f>
        <v>390812</v>
      </c>
      <c r="PXU23" s="30">
        <f t="shared" si="179"/>
        <v>390843</v>
      </c>
      <c r="PXV23" s="30">
        <f t="shared" si="179"/>
        <v>390871</v>
      </c>
      <c r="PXW23" s="30">
        <f t="shared" si="179"/>
        <v>390902</v>
      </c>
      <c r="PXX23" s="30">
        <f t="shared" si="179"/>
        <v>390932</v>
      </c>
      <c r="PXY23" s="30">
        <f t="shared" si="179"/>
        <v>390963</v>
      </c>
      <c r="PXZ23" s="30">
        <f t="shared" si="179"/>
        <v>390993</v>
      </c>
      <c r="PYA23" s="30">
        <f t="shared" si="179"/>
        <v>391024</v>
      </c>
      <c r="PYB23" s="30">
        <f t="shared" si="179"/>
        <v>391055</v>
      </c>
      <c r="PYC23" s="30">
        <f t="shared" si="179"/>
        <v>391085</v>
      </c>
      <c r="PYD23" s="30">
        <f t="shared" si="179"/>
        <v>391116</v>
      </c>
      <c r="PYE23" s="30">
        <f t="shared" si="179"/>
        <v>391146</v>
      </c>
      <c r="PYF23" s="30">
        <f t="shared" si="179"/>
        <v>391177</v>
      </c>
      <c r="PYG23" s="30">
        <f t="shared" si="179"/>
        <v>391208</v>
      </c>
      <c r="PYH23" s="30">
        <f t="shared" si="179"/>
        <v>391236</v>
      </c>
      <c r="PYI23" s="30">
        <f t="shared" si="179"/>
        <v>391267</v>
      </c>
      <c r="PYJ23" s="30">
        <f t="shared" si="179"/>
        <v>391297</v>
      </c>
      <c r="PYK23" s="30">
        <f t="shared" si="179"/>
        <v>391328</v>
      </c>
      <c r="PYL23" s="30">
        <f t="shared" si="179"/>
        <v>391358</v>
      </c>
      <c r="PYM23" s="30">
        <f t="shared" si="179"/>
        <v>391389</v>
      </c>
      <c r="PYN23" s="30">
        <f t="shared" si="179"/>
        <v>391420</v>
      </c>
      <c r="PYO23" s="30">
        <f t="shared" si="179"/>
        <v>391450</v>
      </c>
      <c r="PYP23" s="30">
        <f t="shared" si="179"/>
        <v>391481</v>
      </c>
      <c r="PYQ23" s="30">
        <f t="shared" si="179"/>
        <v>391511</v>
      </c>
      <c r="PYR23" s="30">
        <f t="shared" si="179"/>
        <v>391542</v>
      </c>
      <c r="PYS23" s="30">
        <f t="shared" si="179"/>
        <v>391573</v>
      </c>
      <c r="PYT23" s="30">
        <f t="shared" si="179"/>
        <v>391602</v>
      </c>
      <c r="PYU23" s="30">
        <f t="shared" si="179"/>
        <v>391633</v>
      </c>
      <c r="PYV23" s="30">
        <f t="shared" si="179"/>
        <v>391663</v>
      </c>
      <c r="PYW23" s="30">
        <f t="shared" si="179"/>
        <v>391694</v>
      </c>
      <c r="PYX23" s="30">
        <f t="shared" si="179"/>
        <v>391724</v>
      </c>
      <c r="PYY23" s="30">
        <f t="shared" si="179"/>
        <v>391755</v>
      </c>
      <c r="PYZ23" s="30">
        <f t="shared" si="179"/>
        <v>391786</v>
      </c>
      <c r="PZA23" s="30">
        <f t="shared" si="179"/>
        <v>391816</v>
      </c>
      <c r="PZB23" s="30">
        <f t="shared" si="179"/>
        <v>391847</v>
      </c>
      <c r="PZC23" s="30">
        <f t="shared" si="179"/>
        <v>391877</v>
      </c>
      <c r="PZD23" s="30">
        <f t="shared" si="179"/>
        <v>391908</v>
      </c>
      <c r="PZE23" s="30">
        <f t="shared" si="179"/>
        <v>391939</v>
      </c>
      <c r="PZF23" s="30">
        <f t="shared" si="179"/>
        <v>391967</v>
      </c>
      <c r="PZG23" s="30">
        <f t="shared" si="179"/>
        <v>391998</v>
      </c>
      <c r="PZH23" s="30">
        <f t="shared" si="179"/>
        <v>392028</v>
      </c>
      <c r="PZI23" s="30">
        <f t="shared" si="179"/>
        <v>392059</v>
      </c>
      <c r="PZJ23" s="30">
        <f t="shared" si="179"/>
        <v>392089</v>
      </c>
      <c r="PZK23" s="30">
        <f t="shared" si="179"/>
        <v>392120</v>
      </c>
      <c r="PZL23" s="30">
        <f t="shared" si="179"/>
        <v>392151</v>
      </c>
      <c r="PZM23" s="30">
        <f t="shared" si="179"/>
        <v>392181</v>
      </c>
      <c r="PZN23" s="30">
        <f t="shared" si="179"/>
        <v>392212</v>
      </c>
      <c r="PZO23" s="30">
        <f t="shared" si="179"/>
        <v>392242</v>
      </c>
      <c r="PZP23" s="30">
        <f t="shared" si="179"/>
        <v>392273</v>
      </c>
      <c r="PZQ23" s="30">
        <f t="shared" si="179"/>
        <v>392304</v>
      </c>
      <c r="PZR23" s="30">
        <f t="shared" si="179"/>
        <v>392332</v>
      </c>
      <c r="PZS23" s="30">
        <f t="shared" si="179"/>
        <v>392363</v>
      </c>
      <c r="PZT23" s="30">
        <f t="shared" si="179"/>
        <v>392393</v>
      </c>
      <c r="PZU23" s="30">
        <f t="shared" si="179"/>
        <v>392424</v>
      </c>
      <c r="PZV23" s="30">
        <f t="shared" si="179"/>
        <v>392454</v>
      </c>
      <c r="PZW23" s="30">
        <f t="shared" si="179"/>
        <v>392485</v>
      </c>
      <c r="PZX23" s="30">
        <f t="shared" si="179"/>
        <v>392516</v>
      </c>
      <c r="PZY23" s="30">
        <f t="shared" si="179"/>
        <v>392546</v>
      </c>
      <c r="PZZ23" s="30">
        <f t="shared" si="179"/>
        <v>392577</v>
      </c>
      <c r="QAA23" s="30">
        <f t="shared" si="179"/>
        <v>392607</v>
      </c>
      <c r="QAB23" s="30">
        <f t="shared" si="179"/>
        <v>392638</v>
      </c>
      <c r="QAC23" s="30">
        <f t="shared" si="179"/>
        <v>392669</v>
      </c>
      <c r="QAD23" s="30">
        <f t="shared" si="179"/>
        <v>392697</v>
      </c>
      <c r="QAE23" s="30">
        <f t="shared" si="179"/>
        <v>392728</v>
      </c>
      <c r="QAF23" s="30">
        <f t="shared" ref="QAF23:QCQ23" si="180">EDATE(QAE23,1)</f>
        <v>392758</v>
      </c>
      <c r="QAG23" s="30">
        <f t="shared" si="180"/>
        <v>392789</v>
      </c>
      <c r="QAH23" s="30">
        <f t="shared" si="180"/>
        <v>392819</v>
      </c>
      <c r="QAI23" s="30">
        <f t="shared" si="180"/>
        <v>392850</v>
      </c>
      <c r="QAJ23" s="30">
        <f t="shared" si="180"/>
        <v>392881</v>
      </c>
      <c r="QAK23" s="30">
        <f t="shared" si="180"/>
        <v>392911</v>
      </c>
      <c r="QAL23" s="30">
        <f t="shared" si="180"/>
        <v>392942</v>
      </c>
      <c r="QAM23" s="30">
        <f t="shared" si="180"/>
        <v>392972</v>
      </c>
      <c r="QAN23" s="30">
        <f t="shared" si="180"/>
        <v>393003</v>
      </c>
      <c r="QAO23" s="30">
        <f t="shared" si="180"/>
        <v>393034</v>
      </c>
      <c r="QAP23" s="30">
        <f t="shared" si="180"/>
        <v>393063</v>
      </c>
      <c r="QAQ23" s="30">
        <f t="shared" si="180"/>
        <v>393094</v>
      </c>
      <c r="QAR23" s="30">
        <f t="shared" si="180"/>
        <v>393124</v>
      </c>
      <c r="QAS23" s="30">
        <f t="shared" si="180"/>
        <v>393155</v>
      </c>
      <c r="QAT23" s="30">
        <f t="shared" si="180"/>
        <v>393185</v>
      </c>
      <c r="QAU23" s="30">
        <f t="shared" si="180"/>
        <v>393216</v>
      </c>
      <c r="QAV23" s="30">
        <f t="shared" si="180"/>
        <v>393247</v>
      </c>
      <c r="QAW23" s="30">
        <f t="shared" si="180"/>
        <v>393277</v>
      </c>
      <c r="QAX23" s="30">
        <f t="shared" si="180"/>
        <v>393308</v>
      </c>
      <c r="QAY23" s="30">
        <f t="shared" si="180"/>
        <v>393338</v>
      </c>
      <c r="QAZ23" s="30">
        <f t="shared" si="180"/>
        <v>393369</v>
      </c>
      <c r="QBA23" s="30">
        <f t="shared" si="180"/>
        <v>393400</v>
      </c>
      <c r="QBB23" s="30">
        <f t="shared" si="180"/>
        <v>393428</v>
      </c>
      <c r="QBC23" s="30">
        <f t="shared" si="180"/>
        <v>393459</v>
      </c>
      <c r="QBD23" s="30">
        <f t="shared" si="180"/>
        <v>393489</v>
      </c>
      <c r="QBE23" s="30">
        <f t="shared" si="180"/>
        <v>393520</v>
      </c>
      <c r="QBF23" s="30">
        <f t="shared" si="180"/>
        <v>393550</v>
      </c>
      <c r="QBG23" s="30">
        <f t="shared" si="180"/>
        <v>393581</v>
      </c>
      <c r="QBH23" s="30">
        <f t="shared" si="180"/>
        <v>393612</v>
      </c>
      <c r="QBI23" s="30">
        <f t="shared" si="180"/>
        <v>393642</v>
      </c>
      <c r="QBJ23" s="30">
        <f t="shared" si="180"/>
        <v>393673</v>
      </c>
      <c r="QBK23" s="30">
        <f t="shared" si="180"/>
        <v>393703</v>
      </c>
      <c r="QBL23" s="30">
        <f t="shared" si="180"/>
        <v>393734</v>
      </c>
      <c r="QBM23" s="30">
        <f t="shared" si="180"/>
        <v>393765</v>
      </c>
      <c r="QBN23" s="30">
        <f t="shared" si="180"/>
        <v>393793</v>
      </c>
      <c r="QBO23" s="30">
        <f t="shared" si="180"/>
        <v>393824</v>
      </c>
      <c r="QBP23" s="30">
        <f t="shared" si="180"/>
        <v>393854</v>
      </c>
      <c r="QBQ23" s="30">
        <f t="shared" si="180"/>
        <v>393885</v>
      </c>
      <c r="QBR23" s="30">
        <f t="shared" si="180"/>
        <v>393915</v>
      </c>
      <c r="QBS23" s="30">
        <f t="shared" si="180"/>
        <v>393946</v>
      </c>
      <c r="QBT23" s="30">
        <f t="shared" si="180"/>
        <v>393977</v>
      </c>
      <c r="QBU23" s="30">
        <f t="shared" si="180"/>
        <v>394007</v>
      </c>
      <c r="QBV23" s="30">
        <f t="shared" si="180"/>
        <v>394038</v>
      </c>
      <c r="QBW23" s="30">
        <f t="shared" si="180"/>
        <v>394068</v>
      </c>
      <c r="QBX23" s="30">
        <f t="shared" si="180"/>
        <v>394099</v>
      </c>
      <c r="QBY23" s="30">
        <f t="shared" si="180"/>
        <v>394130</v>
      </c>
      <c r="QBZ23" s="30">
        <f t="shared" si="180"/>
        <v>394158</v>
      </c>
      <c r="QCA23" s="30">
        <f t="shared" si="180"/>
        <v>394189</v>
      </c>
      <c r="QCB23" s="30">
        <f t="shared" si="180"/>
        <v>394219</v>
      </c>
      <c r="QCC23" s="30">
        <f t="shared" si="180"/>
        <v>394250</v>
      </c>
      <c r="QCD23" s="30">
        <f t="shared" si="180"/>
        <v>394280</v>
      </c>
      <c r="QCE23" s="30">
        <f t="shared" si="180"/>
        <v>394311</v>
      </c>
      <c r="QCF23" s="30">
        <f t="shared" si="180"/>
        <v>394342</v>
      </c>
      <c r="QCG23" s="30">
        <f t="shared" si="180"/>
        <v>394372</v>
      </c>
      <c r="QCH23" s="30">
        <f t="shared" si="180"/>
        <v>394403</v>
      </c>
      <c r="QCI23" s="30">
        <f t="shared" si="180"/>
        <v>394433</v>
      </c>
      <c r="QCJ23" s="30">
        <f t="shared" si="180"/>
        <v>394464</v>
      </c>
      <c r="QCK23" s="30">
        <f t="shared" si="180"/>
        <v>394495</v>
      </c>
      <c r="QCL23" s="30">
        <f t="shared" si="180"/>
        <v>394524</v>
      </c>
      <c r="QCM23" s="30">
        <f t="shared" si="180"/>
        <v>394555</v>
      </c>
      <c r="QCN23" s="30">
        <f t="shared" si="180"/>
        <v>394585</v>
      </c>
      <c r="QCO23" s="30">
        <f t="shared" si="180"/>
        <v>394616</v>
      </c>
      <c r="QCP23" s="30">
        <f t="shared" si="180"/>
        <v>394646</v>
      </c>
      <c r="QCQ23" s="30">
        <f t="shared" si="180"/>
        <v>394677</v>
      </c>
      <c r="QCR23" s="30">
        <f t="shared" ref="QCR23:QFC23" si="181">EDATE(QCQ23,1)</f>
        <v>394708</v>
      </c>
      <c r="QCS23" s="30">
        <f t="shared" si="181"/>
        <v>394738</v>
      </c>
      <c r="QCT23" s="30">
        <f t="shared" si="181"/>
        <v>394769</v>
      </c>
      <c r="QCU23" s="30">
        <f t="shared" si="181"/>
        <v>394799</v>
      </c>
      <c r="QCV23" s="30">
        <f t="shared" si="181"/>
        <v>394830</v>
      </c>
      <c r="QCW23" s="30">
        <f t="shared" si="181"/>
        <v>394861</v>
      </c>
      <c r="QCX23" s="30">
        <f t="shared" si="181"/>
        <v>394889</v>
      </c>
      <c r="QCY23" s="30">
        <f t="shared" si="181"/>
        <v>394920</v>
      </c>
      <c r="QCZ23" s="30">
        <f t="shared" si="181"/>
        <v>394950</v>
      </c>
      <c r="QDA23" s="30">
        <f t="shared" si="181"/>
        <v>394981</v>
      </c>
      <c r="QDB23" s="30">
        <f t="shared" si="181"/>
        <v>395011</v>
      </c>
      <c r="QDC23" s="30">
        <f t="shared" si="181"/>
        <v>395042</v>
      </c>
      <c r="QDD23" s="30">
        <f t="shared" si="181"/>
        <v>395073</v>
      </c>
      <c r="QDE23" s="30">
        <f t="shared" si="181"/>
        <v>395103</v>
      </c>
      <c r="QDF23" s="30">
        <f t="shared" si="181"/>
        <v>395134</v>
      </c>
      <c r="QDG23" s="30">
        <f t="shared" si="181"/>
        <v>395164</v>
      </c>
      <c r="QDH23" s="30">
        <f t="shared" si="181"/>
        <v>395195</v>
      </c>
      <c r="QDI23" s="30">
        <f t="shared" si="181"/>
        <v>395226</v>
      </c>
      <c r="QDJ23" s="30">
        <f t="shared" si="181"/>
        <v>395254</v>
      </c>
      <c r="QDK23" s="30">
        <f t="shared" si="181"/>
        <v>395285</v>
      </c>
      <c r="QDL23" s="30">
        <f t="shared" si="181"/>
        <v>395315</v>
      </c>
      <c r="QDM23" s="30">
        <f t="shared" si="181"/>
        <v>395346</v>
      </c>
      <c r="QDN23" s="30">
        <f t="shared" si="181"/>
        <v>395376</v>
      </c>
      <c r="QDO23" s="30">
        <f t="shared" si="181"/>
        <v>395407</v>
      </c>
      <c r="QDP23" s="30">
        <f t="shared" si="181"/>
        <v>395438</v>
      </c>
      <c r="QDQ23" s="30">
        <f t="shared" si="181"/>
        <v>395468</v>
      </c>
      <c r="QDR23" s="30">
        <f t="shared" si="181"/>
        <v>395499</v>
      </c>
      <c r="QDS23" s="30">
        <f t="shared" si="181"/>
        <v>395529</v>
      </c>
      <c r="QDT23" s="30">
        <f t="shared" si="181"/>
        <v>395560</v>
      </c>
      <c r="QDU23" s="30">
        <f t="shared" si="181"/>
        <v>395591</v>
      </c>
      <c r="QDV23" s="30">
        <f t="shared" si="181"/>
        <v>395619</v>
      </c>
      <c r="QDW23" s="30">
        <f t="shared" si="181"/>
        <v>395650</v>
      </c>
      <c r="QDX23" s="30">
        <f t="shared" si="181"/>
        <v>395680</v>
      </c>
      <c r="QDY23" s="30">
        <f t="shared" si="181"/>
        <v>395711</v>
      </c>
      <c r="QDZ23" s="30">
        <f t="shared" si="181"/>
        <v>395741</v>
      </c>
      <c r="QEA23" s="30">
        <f t="shared" si="181"/>
        <v>395772</v>
      </c>
      <c r="QEB23" s="30">
        <f t="shared" si="181"/>
        <v>395803</v>
      </c>
      <c r="QEC23" s="30">
        <f t="shared" si="181"/>
        <v>395833</v>
      </c>
      <c r="QED23" s="30">
        <f t="shared" si="181"/>
        <v>395864</v>
      </c>
      <c r="QEE23" s="30">
        <f t="shared" si="181"/>
        <v>395894</v>
      </c>
      <c r="QEF23" s="30">
        <f t="shared" si="181"/>
        <v>395925</v>
      </c>
      <c r="QEG23" s="30">
        <f t="shared" si="181"/>
        <v>395956</v>
      </c>
      <c r="QEH23" s="30">
        <f t="shared" si="181"/>
        <v>395985</v>
      </c>
      <c r="QEI23" s="30">
        <f t="shared" si="181"/>
        <v>396016</v>
      </c>
      <c r="QEJ23" s="30">
        <f t="shared" si="181"/>
        <v>396046</v>
      </c>
      <c r="QEK23" s="30">
        <f t="shared" si="181"/>
        <v>396077</v>
      </c>
      <c r="QEL23" s="30">
        <f t="shared" si="181"/>
        <v>396107</v>
      </c>
      <c r="QEM23" s="30">
        <f t="shared" si="181"/>
        <v>396138</v>
      </c>
      <c r="QEN23" s="30">
        <f t="shared" si="181"/>
        <v>396169</v>
      </c>
      <c r="QEO23" s="30">
        <f t="shared" si="181"/>
        <v>396199</v>
      </c>
      <c r="QEP23" s="30">
        <f t="shared" si="181"/>
        <v>396230</v>
      </c>
      <c r="QEQ23" s="30">
        <f t="shared" si="181"/>
        <v>396260</v>
      </c>
      <c r="QER23" s="30">
        <f t="shared" si="181"/>
        <v>396291</v>
      </c>
      <c r="QES23" s="30">
        <f t="shared" si="181"/>
        <v>396322</v>
      </c>
      <c r="QET23" s="30">
        <f t="shared" si="181"/>
        <v>396350</v>
      </c>
      <c r="QEU23" s="30">
        <f t="shared" si="181"/>
        <v>396381</v>
      </c>
      <c r="QEV23" s="30">
        <f t="shared" si="181"/>
        <v>396411</v>
      </c>
      <c r="QEW23" s="30">
        <f t="shared" si="181"/>
        <v>396442</v>
      </c>
      <c r="QEX23" s="30">
        <f t="shared" si="181"/>
        <v>396472</v>
      </c>
      <c r="QEY23" s="30">
        <f t="shared" si="181"/>
        <v>396503</v>
      </c>
      <c r="QEZ23" s="30">
        <f t="shared" si="181"/>
        <v>396534</v>
      </c>
      <c r="QFA23" s="30">
        <f t="shared" si="181"/>
        <v>396564</v>
      </c>
      <c r="QFB23" s="30">
        <f t="shared" si="181"/>
        <v>396595</v>
      </c>
      <c r="QFC23" s="30">
        <f t="shared" si="181"/>
        <v>396625</v>
      </c>
      <c r="QFD23" s="30">
        <f t="shared" ref="QFD23:QHO23" si="182">EDATE(QFC23,1)</f>
        <v>396656</v>
      </c>
      <c r="QFE23" s="30">
        <f t="shared" si="182"/>
        <v>396687</v>
      </c>
      <c r="QFF23" s="30">
        <f t="shared" si="182"/>
        <v>396715</v>
      </c>
      <c r="QFG23" s="30">
        <f t="shared" si="182"/>
        <v>396746</v>
      </c>
      <c r="QFH23" s="30">
        <f t="shared" si="182"/>
        <v>396776</v>
      </c>
      <c r="QFI23" s="30">
        <f t="shared" si="182"/>
        <v>396807</v>
      </c>
      <c r="QFJ23" s="30">
        <f t="shared" si="182"/>
        <v>396837</v>
      </c>
      <c r="QFK23" s="30">
        <f t="shared" si="182"/>
        <v>396868</v>
      </c>
      <c r="QFL23" s="30">
        <f t="shared" si="182"/>
        <v>396899</v>
      </c>
      <c r="QFM23" s="30">
        <f t="shared" si="182"/>
        <v>396929</v>
      </c>
      <c r="QFN23" s="30">
        <f t="shared" si="182"/>
        <v>396960</v>
      </c>
      <c r="QFO23" s="30">
        <f t="shared" si="182"/>
        <v>396990</v>
      </c>
      <c r="QFP23" s="30">
        <f t="shared" si="182"/>
        <v>397021</v>
      </c>
      <c r="QFQ23" s="30">
        <f t="shared" si="182"/>
        <v>397052</v>
      </c>
      <c r="QFR23" s="30">
        <f t="shared" si="182"/>
        <v>397080</v>
      </c>
      <c r="QFS23" s="30">
        <f t="shared" si="182"/>
        <v>397111</v>
      </c>
      <c r="QFT23" s="30">
        <f t="shared" si="182"/>
        <v>397141</v>
      </c>
      <c r="QFU23" s="30">
        <f t="shared" si="182"/>
        <v>397172</v>
      </c>
      <c r="QFV23" s="30">
        <f t="shared" si="182"/>
        <v>397202</v>
      </c>
      <c r="QFW23" s="30">
        <f t="shared" si="182"/>
        <v>397233</v>
      </c>
      <c r="QFX23" s="30">
        <f t="shared" si="182"/>
        <v>397264</v>
      </c>
      <c r="QFY23" s="30">
        <f t="shared" si="182"/>
        <v>397294</v>
      </c>
      <c r="QFZ23" s="30">
        <f t="shared" si="182"/>
        <v>397325</v>
      </c>
      <c r="QGA23" s="30">
        <f t="shared" si="182"/>
        <v>397355</v>
      </c>
      <c r="QGB23" s="30">
        <f t="shared" si="182"/>
        <v>397386</v>
      </c>
      <c r="QGC23" s="30">
        <f t="shared" si="182"/>
        <v>397417</v>
      </c>
      <c r="QGD23" s="30">
        <f t="shared" si="182"/>
        <v>397446</v>
      </c>
      <c r="QGE23" s="30">
        <f t="shared" si="182"/>
        <v>397477</v>
      </c>
      <c r="QGF23" s="30">
        <f t="shared" si="182"/>
        <v>397507</v>
      </c>
      <c r="QGG23" s="30">
        <f t="shared" si="182"/>
        <v>397538</v>
      </c>
      <c r="QGH23" s="30">
        <f t="shared" si="182"/>
        <v>397568</v>
      </c>
      <c r="QGI23" s="30">
        <f t="shared" si="182"/>
        <v>397599</v>
      </c>
      <c r="QGJ23" s="30">
        <f t="shared" si="182"/>
        <v>397630</v>
      </c>
      <c r="QGK23" s="30">
        <f t="shared" si="182"/>
        <v>397660</v>
      </c>
      <c r="QGL23" s="30">
        <f t="shared" si="182"/>
        <v>397691</v>
      </c>
      <c r="QGM23" s="30">
        <f t="shared" si="182"/>
        <v>397721</v>
      </c>
      <c r="QGN23" s="30">
        <f t="shared" si="182"/>
        <v>397752</v>
      </c>
      <c r="QGO23" s="30">
        <f t="shared" si="182"/>
        <v>397783</v>
      </c>
      <c r="QGP23" s="30">
        <f t="shared" si="182"/>
        <v>397811</v>
      </c>
      <c r="QGQ23" s="30">
        <f t="shared" si="182"/>
        <v>397842</v>
      </c>
      <c r="QGR23" s="30">
        <f t="shared" si="182"/>
        <v>397872</v>
      </c>
      <c r="QGS23" s="30">
        <f t="shared" si="182"/>
        <v>397903</v>
      </c>
      <c r="QGT23" s="30">
        <f t="shared" si="182"/>
        <v>397933</v>
      </c>
      <c r="QGU23" s="30">
        <f t="shared" si="182"/>
        <v>397964</v>
      </c>
      <c r="QGV23" s="30">
        <f t="shared" si="182"/>
        <v>397995</v>
      </c>
      <c r="QGW23" s="30">
        <f t="shared" si="182"/>
        <v>398025</v>
      </c>
      <c r="QGX23" s="30">
        <f t="shared" si="182"/>
        <v>398056</v>
      </c>
      <c r="QGY23" s="30">
        <f t="shared" si="182"/>
        <v>398086</v>
      </c>
      <c r="QGZ23" s="30">
        <f t="shared" si="182"/>
        <v>398117</v>
      </c>
      <c r="QHA23" s="30">
        <f t="shared" si="182"/>
        <v>398148</v>
      </c>
      <c r="QHB23" s="30">
        <f t="shared" si="182"/>
        <v>398176</v>
      </c>
      <c r="QHC23" s="30">
        <f t="shared" si="182"/>
        <v>398207</v>
      </c>
      <c r="QHD23" s="30">
        <f t="shared" si="182"/>
        <v>398237</v>
      </c>
      <c r="QHE23" s="30">
        <f t="shared" si="182"/>
        <v>398268</v>
      </c>
      <c r="QHF23" s="30">
        <f t="shared" si="182"/>
        <v>398298</v>
      </c>
      <c r="QHG23" s="30">
        <f t="shared" si="182"/>
        <v>398329</v>
      </c>
      <c r="QHH23" s="30">
        <f t="shared" si="182"/>
        <v>398360</v>
      </c>
      <c r="QHI23" s="30">
        <f t="shared" si="182"/>
        <v>398390</v>
      </c>
      <c r="QHJ23" s="30">
        <f t="shared" si="182"/>
        <v>398421</v>
      </c>
      <c r="QHK23" s="30">
        <f t="shared" si="182"/>
        <v>398451</v>
      </c>
      <c r="QHL23" s="30">
        <f t="shared" si="182"/>
        <v>398482</v>
      </c>
      <c r="QHM23" s="30">
        <f t="shared" si="182"/>
        <v>398513</v>
      </c>
      <c r="QHN23" s="30">
        <f t="shared" si="182"/>
        <v>398541</v>
      </c>
      <c r="QHO23" s="30">
        <f t="shared" si="182"/>
        <v>398572</v>
      </c>
      <c r="QHP23" s="30">
        <f t="shared" ref="QHP23:QKA23" si="183">EDATE(QHO23,1)</f>
        <v>398602</v>
      </c>
      <c r="QHQ23" s="30">
        <f t="shared" si="183"/>
        <v>398633</v>
      </c>
      <c r="QHR23" s="30">
        <f t="shared" si="183"/>
        <v>398663</v>
      </c>
      <c r="QHS23" s="30">
        <f t="shared" si="183"/>
        <v>398694</v>
      </c>
      <c r="QHT23" s="30">
        <f t="shared" si="183"/>
        <v>398725</v>
      </c>
      <c r="QHU23" s="30">
        <f t="shared" si="183"/>
        <v>398755</v>
      </c>
      <c r="QHV23" s="30">
        <f t="shared" si="183"/>
        <v>398786</v>
      </c>
      <c r="QHW23" s="30">
        <f t="shared" si="183"/>
        <v>398816</v>
      </c>
      <c r="QHX23" s="30">
        <f t="shared" si="183"/>
        <v>398847</v>
      </c>
      <c r="QHY23" s="30">
        <f t="shared" si="183"/>
        <v>398878</v>
      </c>
      <c r="QHZ23" s="30">
        <f t="shared" si="183"/>
        <v>398907</v>
      </c>
      <c r="QIA23" s="30">
        <f t="shared" si="183"/>
        <v>398938</v>
      </c>
      <c r="QIB23" s="30">
        <f t="shared" si="183"/>
        <v>398968</v>
      </c>
      <c r="QIC23" s="30">
        <f t="shared" si="183"/>
        <v>398999</v>
      </c>
      <c r="QID23" s="30">
        <f t="shared" si="183"/>
        <v>399029</v>
      </c>
      <c r="QIE23" s="30">
        <f t="shared" si="183"/>
        <v>399060</v>
      </c>
      <c r="QIF23" s="30">
        <f t="shared" si="183"/>
        <v>399091</v>
      </c>
      <c r="QIG23" s="30">
        <f t="shared" si="183"/>
        <v>399121</v>
      </c>
      <c r="QIH23" s="30">
        <f t="shared" si="183"/>
        <v>399152</v>
      </c>
      <c r="QII23" s="30">
        <f t="shared" si="183"/>
        <v>399182</v>
      </c>
      <c r="QIJ23" s="30">
        <f t="shared" si="183"/>
        <v>399213</v>
      </c>
      <c r="QIK23" s="30">
        <f t="shared" si="183"/>
        <v>399244</v>
      </c>
      <c r="QIL23" s="30">
        <f t="shared" si="183"/>
        <v>399272</v>
      </c>
      <c r="QIM23" s="30">
        <f t="shared" si="183"/>
        <v>399303</v>
      </c>
      <c r="QIN23" s="30">
        <f t="shared" si="183"/>
        <v>399333</v>
      </c>
      <c r="QIO23" s="30">
        <f t="shared" si="183"/>
        <v>399364</v>
      </c>
      <c r="QIP23" s="30">
        <f t="shared" si="183"/>
        <v>399394</v>
      </c>
      <c r="QIQ23" s="30">
        <f t="shared" si="183"/>
        <v>399425</v>
      </c>
      <c r="QIR23" s="30">
        <f t="shared" si="183"/>
        <v>399456</v>
      </c>
      <c r="QIS23" s="30">
        <f t="shared" si="183"/>
        <v>399486</v>
      </c>
      <c r="QIT23" s="30">
        <f t="shared" si="183"/>
        <v>399517</v>
      </c>
      <c r="QIU23" s="30">
        <f t="shared" si="183"/>
        <v>399547</v>
      </c>
      <c r="QIV23" s="30">
        <f t="shared" si="183"/>
        <v>399578</v>
      </c>
      <c r="QIW23" s="30">
        <f t="shared" si="183"/>
        <v>399609</v>
      </c>
      <c r="QIX23" s="30">
        <f t="shared" si="183"/>
        <v>399637</v>
      </c>
      <c r="QIY23" s="30">
        <f t="shared" si="183"/>
        <v>399668</v>
      </c>
      <c r="QIZ23" s="30">
        <f t="shared" si="183"/>
        <v>399698</v>
      </c>
      <c r="QJA23" s="30">
        <f t="shared" si="183"/>
        <v>399729</v>
      </c>
      <c r="QJB23" s="30">
        <f t="shared" si="183"/>
        <v>399759</v>
      </c>
      <c r="QJC23" s="30">
        <f t="shared" si="183"/>
        <v>399790</v>
      </c>
      <c r="QJD23" s="30">
        <f t="shared" si="183"/>
        <v>399821</v>
      </c>
      <c r="QJE23" s="30">
        <f t="shared" si="183"/>
        <v>399851</v>
      </c>
      <c r="QJF23" s="30">
        <f t="shared" si="183"/>
        <v>399882</v>
      </c>
      <c r="QJG23" s="30">
        <f t="shared" si="183"/>
        <v>399912</v>
      </c>
      <c r="QJH23" s="30">
        <f t="shared" si="183"/>
        <v>399943</v>
      </c>
      <c r="QJI23" s="30">
        <f t="shared" si="183"/>
        <v>399974</v>
      </c>
      <c r="QJJ23" s="30">
        <f t="shared" si="183"/>
        <v>400002</v>
      </c>
      <c r="QJK23" s="30">
        <f t="shared" si="183"/>
        <v>400033</v>
      </c>
      <c r="QJL23" s="30">
        <f t="shared" si="183"/>
        <v>400063</v>
      </c>
      <c r="QJM23" s="30">
        <f t="shared" si="183"/>
        <v>400094</v>
      </c>
      <c r="QJN23" s="30">
        <f t="shared" si="183"/>
        <v>400124</v>
      </c>
      <c r="QJO23" s="30">
        <f t="shared" si="183"/>
        <v>400155</v>
      </c>
      <c r="QJP23" s="30">
        <f t="shared" si="183"/>
        <v>400186</v>
      </c>
      <c r="QJQ23" s="30">
        <f t="shared" si="183"/>
        <v>400216</v>
      </c>
      <c r="QJR23" s="30">
        <f t="shared" si="183"/>
        <v>400247</v>
      </c>
      <c r="QJS23" s="30">
        <f t="shared" si="183"/>
        <v>400277</v>
      </c>
      <c r="QJT23" s="30">
        <f t="shared" si="183"/>
        <v>400308</v>
      </c>
      <c r="QJU23" s="30">
        <f t="shared" si="183"/>
        <v>400339</v>
      </c>
      <c r="QJV23" s="30">
        <f t="shared" si="183"/>
        <v>400368</v>
      </c>
      <c r="QJW23" s="30">
        <f t="shared" si="183"/>
        <v>400399</v>
      </c>
      <c r="QJX23" s="30">
        <f t="shared" si="183"/>
        <v>400429</v>
      </c>
      <c r="QJY23" s="30">
        <f t="shared" si="183"/>
        <v>400460</v>
      </c>
      <c r="QJZ23" s="30">
        <f t="shared" si="183"/>
        <v>400490</v>
      </c>
      <c r="QKA23" s="30">
        <f t="shared" si="183"/>
        <v>400521</v>
      </c>
      <c r="QKB23" s="30">
        <f t="shared" ref="QKB23:QMM23" si="184">EDATE(QKA23,1)</f>
        <v>400552</v>
      </c>
      <c r="QKC23" s="30">
        <f t="shared" si="184"/>
        <v>400582</v>
      </c>
      <c r="QKD23" s="30">
        <f t="shared" si="184"/>
        <v>400613</v>
      </c>
      <c r="QKE23" s="30">
        <f t="shared" si="184"/>
        <v>400643</v>
      </c>
      <c r="QKF23" s="30">
        <f t="shared" si="184"/>
        <v>400674</v>
      </c>
      <c r="QKG23" s="30">
        <f t="shared" si="184"/>
        <v>400705</v>
      </c>
      <c r="QKH23" s="30">
        <f t="shared" si="184"/>
        <v>400733</v>
      </c>
      <c r="QKI23" s="30">
        <f t="shared" si="184"/>
        <v>400764</v>
      </c>
      <c r="QKJ23" s="30">
        <f t="shared" si="184"/>
        <v>400794</v>
      </c>
      <c r="QKK23" s="30">
        <f t="shared" si="184"/>
        <v>400825</v>
      </c>
      <c r="QKL23" s="30">
        <f t="shared" si="184"/>
        <v>400855</v>
      </c>
      <c r="QKM23" s="30">
        <f t="shared" si="184"/>
        <v>400886</v>
      </c>
      <c r="QKN23" s="30">
        <f t="shared" si="184"/>
        <v>400917</v>
      </c>
      <c r="QKO23" s="30">
        <f t="shared" si="184"/>
        <v>400947</v>
      </c>
      <c r="QKP23" s="30">
        <f t="shared" si="184"/>
        <v>400978</v>
      </c>
      <c r="QKQ23" s="30">
        <f t="shared" si="184"/>
        <v>401008</v>
      </c>
      <c r="QKR23" s="30">
        <f t="shared" si="184"/>
        <v>401039</v>
      </c>
      <c r="QKS23" s="30">
        <f t="shared" si="184"/>
        <v>401070</v>
      </c>
      <c r="QKT23" s="30">
        <f t="shared" si="184"/>
        <v>401098</v>
      </c>
      <c r="QKU23" s="30">
        <f t="shared" si="184"/>
        <v>401129</v>
      </c>
      <c r="QKV23" s="30">
        <f t="shared" si="184"/>
        <v>401159</v>
      </c>
      <c r="QKW23" s="30">
        <f t="shared" si="184"/>
        <v>401190</v>
      </c>
      <c r="QKX23" s="30">
        <f t="shared" si="184"/>
        <v>401220</v>
      </c>
      <c r="QKY23" s="30">
        <f t="shared" si="184"/>
        <v>401251</v>
      </c>
      <c r="QKZ23" s="30">
        <f t="shared" si="184"/>
        <v>401282</v>
      </c>
      <c r="QLA23" s="30">
        <f t="shared" si="184"/>
        <v>401312</v>
      </c>
      <c r="QLB23" s="30">
        <f t="shared" si="184"/>
        <v>401343</v>
      </c>
      <c r="QLC23" s="30">
        <f t="shared" si="184"/>
        <v>401373</v>
      </c>
      <c r="QLD23" s="30">
        <f t="shared" si="184"/>
        <v>401404</v>
      </c>
      <c r="QLE23" s="30">
        <f t="shared" si="184"/>
        <v>401435</v>
      </c>
      <c r="QLF23" s="30">
        <f t="shared" si="184"/>
        <v>401463</v>
      </c>
      <c r="QLG23" s="30">
        <f t="shared" si="184"/>
        <v>401494</v>
      </c>
      <c r="QLH23" s="30">
        <f t="shared" si="184"/>
        <v>401524</v>
      </c>
      <c r="QLI23" s="30">
        <f t="shared" si="184"/>
        <v>401555</v>
      </c>
      <c r="QLJ23" s="30">
        <f t="shared" si="184"/>
        <v>401585</v>
      </c>
      <c r="QLK23" s="30">
        <f t="shared" si="184"/>
        <v>401616</v>
      </c>
      <c r="QLL23" s="30">
        <f t="shared" si="184"/>
        <v>401647</v>
      </c>
      <c r="QLM23" s="30">
        <f t="shared" si="184"/>
        <v>401677</v>
      </c>
      <c r="QLN23" s="30">
        <f t="shared" si="184"/>
        <v>401708</v>
      </c>
      <c r="QLO23" s="30">
        <f t="shared" si="184"/>
        <v>401738</v>
      </c>
      <c r="QLP23" s="30">
        <f t="shared" si="184"/>
        <v>401769</v>
      </c>
      <c r="QLQ23" s="30">
        <f t="shared" si="184"/>
        <v>401800</v>
      </c>
      <c r="QLR23" s="30">
        <f t="shared" si="184"/>
        <v>401828</v>
      </c>
      <c r="QLS23" s="30">
        <f t="shared" si="184"/>
        <v>401859</v>
      </c>
      <c r="QLT23" s="30">
        <f t="shared" si="184"/>
        <v>401889</v>
      </c>
      <c r="QLU23" s="30">
        <f t="shared" si="184"/>
        <v>401920</v>
      </c>
      <c r="QLV23" s="30">
        <f t="shared" si="184"/>
        <v>401950</v>
      </c>
      <c r="QLW23" s="30">
        <f t="shared" si="184"/>
        <v>401981</v>
      </c>
      <c r="QLX23" s="30">
        <f t="shared" si="184"/>
        <v>402012</v>
      </c>
      <c r="QLY23" s="30">
        <f t="shared" si="184"/>
        <v>402042</v>
      </c>
      <c r="QLZ23" s="30">
        <f t="shared" si="184"/>
        <v>402073</v>
      </c>
      <c r="QMA23" s="30">
        <f t="shared" si="184"/>
        <v>402103</v>
      </c>
      <c r="QMB23" s="30">
        <f t="shared" si="184"/>
        <v>402134</v>
      </c>
      <c r="QMC23" s="30">
        <f t="shared" si="184"/>
        <v>402165</v>
      </c>
      <c r="QMD23" s="30">
        <f t="shared" si="184"/>
        <v>402193</v>
      </c>
      <c r="QME23" s="30">
        <f t="shared" si="184"/>
        <v>402224</v>
      </c>
      <c r="QMF23" s="30">
        <f t="shared" si="184"/>
        <v>402254</v>
      </c>
      <c r="QMG23" s="30">
        <f t="shared" si="184"/>
        <v>402285</v>
      </c>
      <c r="QMH23" s="30">
        <f t="shared" si="184"/>
        <v>402315</v>
      </c>
      <c r="QMI23" s="30">
        <f t="shared" si="184"/>
        <v>402346</v>
      </c>
      <c r="QMJ23" s="30">
        <f t="shared" si="184"/>
        <v>402377</v>
      </c>
      <c r="QMK23" s="30">
        <f t="shared" si="184"/>
        <v>402407</v>
      </c>
      <c r="QML23" s="30">
        <f t="shared" si="184"/>
        <v>402438</v>
      </c>
      <c r="QMM23" s="30">
        <f t="shared" si="184"/>
        <v>402468</v>
      </c>
      <c r="QMN23" s="30">
        <f t="shared" ref="QMN23:QOY23" si="185">EDATE(QMM23,1)</f>
        <v>402499</v>
      </c>
      <c r="QMO23" s="30">
        <f t="shared" si="185"/>
        <v>402530</v>
      </c>
      <c r="QMP23" s="30">
        <f t="shared" si="185"/>
        <v>402558</v>
      </c>
      <c r="QMQ23" s="30">
        <f t="shared" si="185"/>
        <v>402589</v>
      </c>
      <c r="QMR23" s="30">
        <f t="shared" si="185"/>
        <v>402619</v>
      </c>
      <c r="QMS23" s="30">
        <f t="shared" si="185"/>
        <v>402650</v>
      </c>
      <c r="QMT23" s="30">
        <f t="shared" si="185"/>
        <v>402680</v>
      </c>
      <c r="QMU23" s="30">
        <f t="shared" si="185"/>
        <v>402711</v>
      </c>
      <c r="QMV23" s="30">
        <f t="shared" si="185"/>
        <v>402742</v>
      </c>
      <c r="QMW23" s="30">
        <f t="shared" si="185"/>
        <v>402772</v>
      </c>
      <c r="QMX23" s="30">
        <f t="shared" si="185"/>
        <v>402803</v>
      </c>
      <c r="QMY23" s="30">
        <f t="shared" si="185"/>
        <v>402833</v>
      </c>
      <c r="QMZ23" s="30">
        <f t="shared" si="185"/>
        <v>402864</v>
      </c>
      <c r="QNA23" s="30">
        <f t="shared" si="185"/>
        <v>402895</v>
      </c>
      <c r="QNB23" s="30">
        <f t="shared" si="185"/>
        <v>402923</v>
      </c>
      <c r="QNC23" s="30">
        <f t="shared" si="185"/>
        <v>402954</v>
      </c>
      <c r="QND23" s="30">
        <f t="shared" si="185"/>
        <v>402984</v>
      </c>
      <c r="QNE23" s="30">
        <f t="shared" si="185"/>
        <v>403015</v>
      </c>
      <c r="QNF23" s="30">
        <f t="shared" si="185"/>
        <v>403045</v>
      </c>
      <c r="QNG23" s="30">
        <f t="shared" si="185"/>
        <v>403076</v>
      </c>
      <c r="QNH23" s="30">
        <f t="shared" si="185"/>
        <v>403107</v>
      </c>
      <c r="QNI23" s="30">
        <f t="shared" si="185"/>
        <v>403137</v>
      </c>
      <c r="QNJ23" s="30">
        <f t="shared" si="185"/>
        <v>403168</v>
      </c>
      <c r="QNK23" s="30">
        <f t="shared" si="185"/>
        <v>403198</v>
      </c>
      <c r="QNL23" s="30">
        <f t="shared" si="185"/>
        <v>403229</v>
      </c>
      <c r="QNM23" s="30">
        <f t="shared" si="185"/>
        <v>403260</v>
      </c>
      <c r="QNN23" s="30">
        <f t="shared" si="185"/>
        <v>403289</v>
      </c>
      <c r="QNO23" s="30">
        <f t="shared" si="185"/>
        <v>403320</v>
      </c>
      <c r="QNP23" s="30">
        <f t="shared" si="185"/>
        <v>403350</v>
      </c>
      <c r="QNQ23" s="30">
        <f t="shared" si="185"/>
        <v>403381</v>
      </c>
      <c r="QNR23" s="30">
        <f t="shared" si="185"/>
        <v>403411</v>
      </c>
      <c r="QNS23" s="30">
        <f t="shared" si="185"/>
        <v>403442</v>
      </c>
      <c r="QNT23" s="30">
        <f t="shared" si="185"/>
        <v>403473</v>
      </c>
      <c r="QNU23" s="30">
        <f t="shared" si="185"/>
        <v>403503</v>
      </c>
      <c r="QNV23" s="30">
        <f t="shared" si="185"/>
        <v>403534</v>
      </c>
      <c r="QNW23" s="30">
        <f t="shared" si="185"/>
        <v>403564</v>
      </c>
      <c r="QNX23" s="30">
        <f t="shared" si="185"/>
        <v>403595</v>
      </c>
      <c r="QNY23" s="30">
        <f t="shared" si="185"/>
        <v>403626</v>
      </c>
      <c r="QNZ23" s="30">
        <f t="shared" si="185"/>
        <v>403654</v>
      </c>
      <c r="QOA23" s="30">
        <f t="shared" si="185"/>
        <v>403685</v>
      </c>
      <c r="QOB23" s="30">
        <f t="shared" si="185"/>
        <v>403715</v>
      </c>
      <c r="QOC23" s="30">
        <f t="shared" si="185"/>
        <v>403746</v>
      </c>
      <c r="QOD23" s="30">
        <f t="shared" si="185"/>
        <v>403776</v>
      </c>
      <c r="QOE23" s="30">
        <f t="shared" si="185"/>
        <v>403807</v>
      </c>
      <c r="QOF23" s="30">
        <f t="shared" si="185"/>
        <v>403838</v>
      </c>
      <c r="QOG23" s="30">
        <f t="shared" si="185"/>
        <v>403868</v>
      </c>
      <c r="QOH23" s="30">
        <f t="shared" si="185"/>
        <v>403899</v>
      </c>
      <c r="QOI23" s="30">
        <f t="shared" si="185"/>
        <v>403929</v>
      </c>
      <c r="QOJ23" s="30">
        <f t="shared" si="185"/>
        <v>403960</v>
      </c>
      <c r="QOK23" s="30">
        <f t="shared" si="185"/>
        <v>403991</v>
      </c>
      <c r="QOL23" s="30">
        <f t="shared" si="185"/>
        <v>404019</v>
      </c>
      <c r="QOM23" s="30">
        <f t="shared" si="185"/>
        <v>404050</v>
      </c>
      <c r="QON23" s="30">
        <f t="shared" si="185"/>
        <v>404080</v>
      </c>
      <c r="QOO23" s="30">
        <f t="shared" si="185"/>
        <v>404111</v>
      </c>
      <c r="QOP23" s="30">
        <f t="shared" si="185"/>
        <v>404141</v>
      </c>
      <c r="QOQ23" s="30">
        <f t="shared" si="185"/>
        <v>404172</v>
      </c>
      <c r="QOR23" s="30">
        <f t="shared" si="185"/>
        <v>404203</v>
      </c>
      <c r="QOS23" s="30">
        <f t="shared" si="185"/>
        <v>404233</v>
      </c>
      <c r="QOT23" s="30">
        <f t="shared" si="185"/>
        <v>404264</v>
      </c>
      <c r="QOU23" s="30">
        <f t="shared" si="185"/>
        <v>404294</v>
      </c>
      <c r="QOV23" s="30">
        <f t="shared" si="185"/>
        <v>404325</v>
      </c>
      <c r="QOW23" s="30">
        <f t="shared" si="185"/>
        <v>404356</v>
      </c>
      <c r="QOX23" s="30">
        <f t="shared" si="185"/>
        <v>404384</v>
      </c>
      <c r="QOY23" s="30">
        <f t="shared" si="185"/>
        <v>404415</v>
      </c>
      <c r="QOZ23" s="30">
        <f t="shared" ref="QOZ23:QRK23" si="186">EDATE(QOY23,1)</f>
        <v>404445</v>
      </c>
      <c r="QPA23" s="30">
        <f t="shared" si="186"/>
        <v>404476</v>
      </c>
      <c r="QPB23" s="30">
        <f t="shared" si="186"/>
        <v>404506</v>
      </c>
      <c r="QPC23" s="30">
        <f t="shared" si="186"/>
        <v>404537</v>
      </c>
      <c r="QPD23" s="30">
        <f t="shared" si="186"/>
        <v>404568</v>
      </c>
      <c r="QPE23" s="30">
        <f t="shared" si="186"/>
        <v>404598</v>
      </c>
      <c r="QPF23" s="30">
        <f t="shared" si="186"/>
        <v>404629</v>
      </c>
      <c r="QPG23" s="30">
        <f t="shared" si="186"/>
        <v>404659</v>
      </c>
      <c r="QPH23" s="30">
        <f t="shared" si="186"/>
        <v>404690</v>
      </c>
      <c r="QPI23" s="30">
        <f t="shared" si="186"/>
        <v>404721</v>
      </c>
      <c r="QPJ23" s="30">
        <f t="shared" si="186"/>
        <v>404750</v>
      </c>
      <c r="QPK23" s="30">
        <f t="shared" si="186"/>
        <v>404781</v>
      </c>
      <c r="QPL23" s="30">
        <f t="shared" si="186"/>
        <v>404811</v>
      </c>
      <c r="QPM23" s="30">
        <f t="shared" si="186"/>
        <v>404842</v>
      </c>
      <c r="QPN23" s="30">
        <f t="shared" si="186"/>
        <v>404872</v>
      </c>
      <c r="QPO23" s="30">
        <f t="shared" si="186"/>
        <v>404903</v>
      </c>
      <c r="QPP23" s="30">
        <f t="shared" si="186"/>
        <v>404934</v>
      </c>
      <c r="QPQ23" s="30">
        <f t="shared" si="186"/>
        <v>404964</v>
      </c>
      <c r="QPR23" s="30">
        <f t="shared" si="186"/>
        <v>404995</v>
      </c>
      <c r="QPS23" s="30">
        <f t="shared" si="186"/>
        <v>405025</v>
      </c>
      <c r="QPT23" s="30">
        <f t="shared" si="186"/>
        <v>405056</v>
      </c>
      <c r="QPU23" s="30">
        <f t="shared" si="186"/>
        <v>405087</v>
      </c>
      <c r="QPV23" s="30">
        <f t="shared" si="186"/>
        <v>405115</v>
      </c>
      <c r="QPW23" s="30">
        <f t="shared" si="186"/>
        <v>405146</v>
      </c>
      <c r="QPX23" s="30">
        <f t="shared" si="186"/>
        <v>405176</v>
      </c>
      <c r="QPY23" s="30">
        <f t="shared" si="186"/>
        <v>405207</v>
      </c>
      <c r="QPZ23" s="30">
        <f t="shared" si="186"/>
        <v>405237</v>
      </c>
      <c r="QQA23" s="30">
        <f t="shared" si="186"/>
        <v>405268</v>
      </c>
      <c r="QQB23" s="30">
        <f t="shared" si="186"/>
        <v>405299</v>
      </c>
      <c r="QQC23" s="30">
        <f t="shared" si="186"/>
        <v>405329</v>
      </c>
      <c r="QQD23" s="30">
        <f t="shared" si="186"/>
        <v>405360</v>
      </c>
      <c r="QQE23" s="30">
        <f t="shared" si="186"/>
        <v>405390</v>
      </c>
      <c r="QQF23" s="30">
        <f t="shared" si="186"/>
        <v>405421</v>
      </c>
      <c r="QQG23" s="30">
        <f t="shared" si="186"/>
        <v>405452</v>
      </c>
      <c r="QQH23" s="30">
        <f t="shared" si="186"/>
        <v>405480</v>
      </c>
      <c r="QQI23" s="30">
        <f t="shared" si="186"/>
        <v>405511</v>
      </c>
      <c r="QQJ23" s="30">
        <f t="shared" si="186"/>
        <v>405541</v>
      </c>
      <c r="QQK23" s="30">
        <f t="shared" si="186"/>
        <v>405572</v>
      </c>
      <c r="QQL23" s="30">
        <f t="shared" si="186"/>
        <v>405602</v>
      </c>
      <c r="QQM23" s="30">
        <f t="shared" si="186"/>
        <v>405633</v>
      </c>
      <c r="QQN23" s="30">
        <f t="shared" si="186"/>
        <v>405664</v>
      </c>
      <c r="QQO23" s="30">
        <f t="shared" si="186"/>
        <v>405694</v>
      </c>
      <c r="QQP23" s="30">
        <f t="shared" si="186"/>
        <v>405725</v>
      </c>
      <c r="QQQ23" s="30">
        <f t="shared" si="186"/>
        <v>405755</v>
      </c>
      <c r="QQR23" s="30">
        <f t="shared" si="186"/>
        <v>405786</v>
      </c>
      <c r="QQS23" s="30">
        <f t="shared" si="186"/>
        <v>405817</v>
      </c>
      <c r="QQT23" s="30">
        <f t="shared" si="186"/>
        <v>405845</v>
      </c>
      <c r="QQU23" s="30">
        <f t="shared" si="186"/>
        <v>405876</v>
      </c>
      <c r="QQV23" s="30">
        <f t="shared" si="186"/>
        <v>405906</v>
      </c>
      <c r="QQW23" s="30">
        <f t="shared" si="186"/>
        <v>405937</v>
      </c>
      <c r="QQX23" s="30">
        <f t="shared" si="186"/>
        <v>405967</v>
      </c>
      <c r="QQY23" s="30">
        <f t="shared" si="186"/>
        <v>405998</v>
      </c>
      <c r="QQZ23" s="30">
        <f t="shared" si="186"/>
        <v>406029</v>
      </c>
      <c r="QRA23" s="30">
        <f t="shared" si="186"/>
        <v>406059</v>
      </c>
      <c r="QRB23" s="30">
        <f t="shared" si="186"/>
        <v>406090</v>
      </c>
      <c r="QRC23" s="30">
        <f t="shared" si="186"/>
        <v>406120</v>
      </c>
      <c r="QRD23" s="30">
        <f t="shared" si="186"/>
        <v>406151</v>
      </c>
      <c r="QRE23" s="30">
        <f t="shared" si="186"/>
        <v>406182</v>
      </c>
      <c r="QRF23" s="30">
        <f t="shared" si="186"/>
        <v>406211</v>
      </c>
      <c r="QRG23" s="30">
        <f t="shared" si="186"/>
        <v>406242</v>
      </c>
      <c r="QRH23" s="30">
        <f t="shared" si="186"/>
        <v>406272</v>
      </c>
      <c r="QRI23" s="30">
        <f t="shared" si="186"/>
        <v>406303</v>
      </c>
      <c r="QRJ23" s="30">
        <f t="shared" si="186"/>
        <v>406333</v>
      </c>
      <c r="QRK23" s="30">
        <f t="shared" si="186"/>
        <v>406364</v>
      </c>
      <c r="QRL23" s="30">
        <f t="shared" ref="QRL23:QTW23" si="187">EDATE(QRK23,1)</f>
        <v>406395</v>
      </c>
      <c r="QRM23" s="30">
        <f t="shared" si="187"/>
        <v>406425</v>
      </c>
      <c r="QRN23" s="30">
        <f t="shared" si="187"/>
        <v>406456</v>
      </c>
      <c r="QRO23" s="30">
        <f t="shared" si="187"/>
        <v>406486</v>
      </c>
      <c r="QRP23" s="30">
        <f t="shared" si="187"/>
        <v>406517</v>
      </c>
      <c r="QRQ23" s="30">
        <f t="shared" si="187"/>
        <v>406548</v>
      </c>
      <c r="QRR23" s="30">
        <f t="shared" si="187"/>
        <v>406576</v>
      </c>
      <c r="QRS23" s="30">
        <f t="shared" si="187"/>
        <v>406607</v>
      </c>
      <c r="QRT23" s="30">
        <f t="shared" si="187"/>
        <v>406637</v>
      </c>
      <c r="QRU23" s="30">
        <f t="shared" si="187"/>
        <v>406668</v>
      </c>
      <c r="QRV23" s="30">
        <f t="shared" si="187"/>
        <v>406698</v>
      </c>
      <c r="QRW23" s="30">
        <f t="shared" si="187"/>
        <v>406729</v>
      </c>
      <c r="QRX23" s="30">
        <f t="shared" si="187"/>
        <v>406760</v>
      </c>
      <c r="QRY23" s="30">
        <f t="shared" si="187"/>
        <v>406790</v>
      </c>
      <c r="QRZ23" s="30">
        <f t="shared" si="187"/>
        <v>406821</v>
      </c>
      <c r="QSA23" s="30">
        <f t="shared" si="187"/>
        <v>406851</v>
      </c>
      <c r="QSB23" s="30">
        <f t="shared" si="187"/>
        <v>406882</v>
      </c>
      <c r="QSC23" s="30">
        <f t="shared" si="187"/>
        <v>406913</v>
      </c>
      <c r="QSD23" s="30">
        <f t="shared" si="187"/>
        <v>406941</v>
      </c>
      <c r="QSE23" s="30">
        <f t="shared" si="187"/>
        <v>406972</v>
      </c>
      <c r="QSF23" s="30">
        <f t="shared" si="187"/>
        <v>407002</v>
      </c>
      <c r="QSG23" s="30">
        <f t="shared" si="187"/>
        <v>407033</v>
      </c>
      <c r="QSH23" s="30">
        <f t="shared" si="187"/>
        <v>407063</v>
      </c>
      <c r="QSI23" s="30">
        <f t="shared" si="187"/>
        <v>407094</v>
      </c>
      <c r="QSJ23" s="30">
        <f t="shared" si="187"/>
        <v>407125</v>
      </c>
      <c r="QSK23" s="30">
        <f t="shared" si="187"/>
        <v>407155</v>
      </c>
      <c r="QSL23" s="30">
        <f t="shared" si="187"/>
        <v>407186</v>
      </c>
      <c r="QSM23" s="30">
        <f t="shared" si="187"/>
        <v>407216</v>
      </c>
      <c r="QSN23" s="30">
        <f t="shared" si="187"/>
        <v>407247</v>
      </c>
      <c r="QSO23" s="30">
        <f t="shared" si="187"/>
        <v>407278</v>
      </c>
      <c r="QSP23" s="30">
        <f t="shared" si="187"/>
        <v>407306</v>
      </c>
      <c r="QSQ23" s="30">
        <f t="shared" si="187"/>
        <v>407337</v>
      </c>
      <c r="QSR23" s="30">
        <f t="shared" si="187"/>
        <v>407367</v>
      </c>
      <c r="QSS23" s="30">
        <f t="shared" si="187"/>
        <v>407398</v>
      </c>
      <c r="QST23" s="30">
        <f t="shared" si="187"/>
        <v>407428</v>
      </c>
      <c r="QSU23" s="30">
        <f t="shared" si="187"/>
        <v>407459</v>
      </c>
      <c r="QSV23" s="30">
        <f t="shared" si="187"/>
        <v>407490</v>
      </c>
      <c r="QSW23" s="30">
        <f t="shared" si="187"/>
        <v>407520</v>
      </c>
      <c r="QSX23" s="30">
        <f t="shared" si="187"/>
        <v>407551</v>
      </c>
      <c r="QSY23" s="30">
        <f t="shared" si="187"/>
        <v>407581</v>
      </c>
      <c r="QSZ23" s="30">
        <f t="shared" si="187"/>
        <v>407612</v>
      </c>
      <c r="QTA23" s="30">
        <f t="shared" si="187"/>
        <v>407643</v>
      </c>
      <c r="QTB23" s="30">
        <f t="shared" si="187"/>
        <v>407672</v>
      </c>
      <c r="QTC23" s="30">
        <f t="shared" si="187"/>
        <v>407703</v>
      </c>
      <c r="QTD23" s="30">
        <f t="shared" si="187"/>
        <v>407733</v>
      </c>
      <c r="QTE23" s="30">
        <f t="shared" si="187"/>
        <v>407764</v>
      </c>
      <c r="QTF23" s="30">
        <f t="shared" si="187"/>
        <v>407794</v>
      </c>
      <c r="QTG23" s="30">
        <f t="shared" si="187"/>
        <v>407825</v>
      </c>
      <c r="QTH23" s="30">
        <f t="shared" si="187"/>
        <v>407856</v>
      </c>
      <c r="QTI23" s="30">
        <f t="shared" si="187"/>
        <v>407886</v>
      </c>
      <c r="QTJ23" s="30">
        <f t="shared" si="187"/>
        <v>407917</v>
      </c>
      <c r="QTK23" s="30">
        <f t="shared" si="187"/>
        <v>407947</v>
      </c>
      <c r="QTL23" s="30">
        <f t="shared" si="187"/>
        <v>407978</v>
      </c>
      <c r="QTM23" s="30">
        <f t="shared" si="187"/>
        <v>408009</v>
      </c>
      <c r="QTN23" s="30">
        <f t="shared" si="187"/>
        <v>408037</v>
      </c>
      <c r="QTO23" s="30">
        <f t="shared" si="187"/>
        <v>408068</v>
      </c>
      <c r="QTP23" s="30">
        <f t="shared" si="187"/>
        <v>408098</v>
      </c>
      <c r="QTQ23" s="30">
        <f t="shared" si="187"/>
        <v>408129</v>
      </c>
      <c r="QTR23" s="30">
        <f t="shared" si="187"/>
        <v>408159</v>
      </c>
      <c r="QTS23" s="30">
        <f t="shared" si="187"/>
        <v>408190</v>
      </c>
      <c r="QTT23" s="30">
        <f t="shared" si="187"/>
        <v>408221</v>
      </c>
      <c r="QTU23" s="30">
        <f t="shared" si="187"/>
        <v>408251</v>
      </c>
      <c r="QTV23" s="30">
        <f t="shared" si="187"/>
        <v>408282</v>
      </c>
      <c r="QTW23" s="30">
        <f t="shared" si="187"/>
        <v>408312</v>
      </c>
      <c r="QTX23" s="30">
        <f t="shared" ref="QTX23:QWI23" si="188">EDATE(QTW23,1)</f>
        <v>408343</v>
      </c>
      <c r="QTY23" s="30">
        <f t="shared" si="188"/>
        <v>408374</v>
      </c>
      <c r="QTZ23" s="30">
        <f t="shared" si="188"/>
        <v>408402</v>
      </c>
      <c r="QUA23" s="30">
        <f t="shared" si="188"/>
        <v>408433</v>
      </c>
      <c r="QUB23" s="30">
        <f t="shared" si="188"/>
        <v>408463</v>
      </c>
      <c r="QUC23" s="30">
        <f t="shared" si="188"/>
        <v>408494</v>
      </c>
      <c r="QUD23" s="30">
        <f t="shared" si="188"/>
        <v>408524</v>
      </c>
      <c r="QUE23" s="30">
        <f t="shared" si="188"/>
        <v>408555</v>
      </c>
      <c r="QUF23" s="30">
        <f t="shared" si="188"/>
        <v>408586</v>
      </c>
      <c r="QUG23" s="30">
        <f t="shared" si="188"/>
        <v>408616</v>
      </c>
      <c r="QUH23" s="30">
        <f t="shared" si="188"/>
        <v>408647</v>
      </c>
      <c r="QUI23" s="30">
        <f t="shared" si="188"/>
        <v>408677</v>
      </c>
      <c r="QUJ23" s="30">
        <f t="shared" si="188"/>
        <v>408708</v>
      </c>
      <c r="QUK23" s="30">
        <f t="shared" si="188"/>
        <v>408739</v>
      </c>
      <c r="QUL23" s="30">
        <f t="shared" si="188"/>
        <v>408767</v>
      </c>
      <c r="QUM23" s="30">
        <f t="shared" si="188"/>
        <v>408798</v>
      </c>
      <c r="QUN23" s="30">
        <f t="shared" si="188"/>
        <v>408828</v>
      </c>
      <c r="QUO23" s="30">
        <f t="shared" si="188"/>
        <v>408859</v>
      </c>
      <c r="QUP23" s="30">
        <f t="shared" si="188"/>
        <v>408889</v>
      </c>
      <c r="QUQ23" s="30">
        <f t="shared" si="188"/>
        <v>408920</v>
      </c>
      <c r="QUR23" s="30">
        <f t="shared" si="188"/>
        <v>408951</v>
      </c>
      <c r="QUS23" s="30">
        <f t="shared" si="188"/>
        <v>408981</v>
      </c>
      <c r="QUT23" s="30">
        <f t="shared" si="188"/>
        <v>409012</v>
      </c>
      <c r="QUU23" s="30">
        <f t="shared" si="188"/>
        <v>409042</v>
      </c>
      <c r="QUV23" s="30">
        <f t="shared" si="188"/>
        <v>409073</v>
      </c>
      <c r="QUW23" s="30">
        <f t="shared" si="188"/>
        <v>409104</v>
      </c>
      <c r="QUX23" s="30">
        <f t="shared" si="188"/>
        <v>409133</v>
      </c>
      <c r="QUY23" s="30">
        <f t="shared" si="188"/>
        <v>409164</v>
      </c>
      <c r="QUZ23" s="30">
        <f t="shared" si="188"/>
        <v>409194</v>
      </c>
      <c r="QVA23" s="30">
        <f t="shared" si="188"/>
        <v>409225</v>
      </c>
      <c r="QVB23" s="30">
        <f t="shared" si="188"/>
        <v>409255</v>
      </c>
      <c r="QVC23" s="30">
        <f t="shared" si="188"/>
        <v>409286</v>
      </c>
      <c r="QVD23" s="30">
        <f t="shared" si="188"/>
        <v>409317</v>
      </c>
      <c r="QVE23" s="30">
        <f t="shared" si="188"/>
        <v>409347</v>
      </c>
      <c r="QVF23" s="30">
        <f t="shared" si="188"/>
        <v>409378</v>
      </c>
      <c r="QVG23" s="30">
        <f t="shared" si="188"/>
        <v>409408</v>
      </c>
      <c r="QVH23" s="30">
        <f t="shared" si="188"/>
        <v>409439</v>
      </c>
      <c r="QVI23" s="30">
        <f t="shared" si="188"/>
        <v>409470</v>
      </c>
      <c r="QVJ23" s="30">
        <f t="shared" si="188"/>
        <v>409498</v>
      </c>
      <c r="QVK23" s="30">
        <f t="shared" si="188"/>
        <v>409529</v>
      </c>
      <c r="QVL23" s="30">
        <f t="shared" si="188"/>
        <v>409559</v>
      </c>
      <c r="QVM23" s="30">
        <f t="shared" si="188"/>
        <v>409590</v>
      </c>
      <c r="QVN23" s="30">
        <f t="shared" si="188"/>
        <v>409620</v>
      </c>
      <c r="QVO23" s="30">
        <f t="shared" si="188"/>
        <v>409651</v>
      </c>
      <c r="QVP23" s="30">
        <f t="shared" si="188"/>
        <v>409682</v>
      </c>
      <c r="QVQ23" s="30">
        <f t="shared" si="188"/>
        <v>409712</v>
      </c>
      <c r="QVR23" s="30">
        <f t="shared" si="188"/>
        <v>409743</v>
      </c>
      <c r="QVS23" s="30">
        <f t="shared" si="188"/>
        <v>409773</v>
      </c>
      <c r="QVT23" s="30">
        <f t="shared" si="188"/>
        <v>409804</v>
      </c>
      <c r="QVU23" s="30">
        <f t="shared" si="188"/>
        <v>409835</v>
      </c>
      <c r="QVV23" s="30">
        <f t="shared" si="188"/>
        <v>409863</v>
      </c>
      <c r="QVW23" s="30">
        <f t="shared" si="188"/>
        <v>409894</v>
      </c>
      <c r="QVX23" s="30">
        <f t="shared" si="188"/>
        <v>409924</v>
      </c>
      <c r="QVY23" s="30">
        <f t="shared" si="188"/>
        <v>409955</v>
      </c>
      <c r="QVZ23" s="30">
        <f t="shared" si="188"/>
        <v>409985</v>
      </c>
      <c r="QWA23" s="30">
        <f t="shared" si="188"/>
        <v>410016</v>
      </c>
      <c r="QWB23" s="30">
        <f t="shared" si="188"/>
        <v>410047</v>
      </c>
      <c r="QWC23" s="30">
        <f t="shared" si="188"/>
        <v>410077</v>
      </c>
      <c r="QWD23" s="30">
        <f t="shared" si="188"/>
        <v>410108</v>
      </c>
      <c r="QWE23" s="30">
        <f t="shared" si="188"/>
        <v>410138</v>
      </c>
      <c r="QWF23" s="30">
        <f t="shared" si="188"/>
        <v>410169</v>
      </c>
      <c r="QWG23" s="30">
        <f t="shared" si="188"/>
        <v>410200</v>
      </c>
      <c r="QWH23" s="30">
        <f t="shared" si="188"/>
        <v>410228</v>
      </c>
      <c r="QWI23" s="30">
        <f t="shared" si="188"/>
        <v>410259</v>
      </c>
      <c r="QWJ23" s="30">
        <f t="shared" ref="QWJ23:QYU23" si="189">EDATE(QWI23,1)</f>
        <v>410289</v>
      </c>
      <c r="QWK23" s="30">
        <f t="shared" si="189"/>
        <v>410320</v>
      </c>
      <c r="QWL23" s="30">
        <f t="shared" si="189"/>
        <v>410350</v>
      </c>
      <c r="QWM23" s="30">
        <f t="shared" si="189"/>
        <v>410381</v>
      </c>
      <c r="QWN23" s="30">
        <f t="shared" si="189"/>
        <v>410412</v>
      </c>
      <c r="QWO23" s="30">
        <f t="shared" si="189"/>
        <v>410442</v>
      </c>
      <c r="QWP23" s="30">
        <f t="shared" si="189"/>
        <v>410473</v>
      </c>
      <c r="QWQ23" s="30">
        <f t="shared" si="189"/>
        <v>410503</v>
      </c>
      <c r="QWR23" s="30">
        <f t="shared" si="189"/>
        <v>410534</v>
      </c>
      <c r="QWS23" s="30">
        <f t="shared" si="189"/>
        <v>410565</v>
      </c>
      <c r="QWT23" s="30">
        <f t="shared" si="189"/>
        <v>410594</v>
      </c>
      <c r="QWU23" s="30">
        <f t="shared" si="189"/>
        <v>410625</v>
      </c>
      <c r="QWV23" s="30">
        <f t="shared" si="189"/>
        <v>410655</v>
      </c>
      <c r="QWW23" s="30">
        <f t="shared" si="189"/>
        <v>410686</v>
      </c>
      <c r="QWX23" s="30">
        <f t="shared" si="189"/>
        <v>410716</v>
      </c>
      <c r="QWY23" s="30">
        <f t="shared" si="189"/>
        <v>410747</v>
      </c>
      <c r="QWZ23" s="30">
        <f t="shared" si="189"/>
        <v>410778</v>
      </c>
      <c r="QXA23" s="30">
        <f t="shared" si="189"/>
        <v>410808</v>
      </c>
      <c r="QXB23" s="30">
        <f t="shared" si="189"/>
        <v>410839</v>
      </c>
      <c r="QXC23" s="30">
        <f t="shared" si="189"/>
        <v>410869</v>
      </c>
      <c r="QXD23" s="30">
        <f t="shared" si="189"/>
        <v>410900</v>
      </c>
      <c r="QXE23" s="30">
        <f t="shared" si="189"/>
        <v>410931</v>
      </c>
      <c r="QXF23" s="30">
        <f t="shared" si="189"/>
        <v>410959</v>
      </c>
      <c r="QXG23" s="30">
        <f t="shared" si="189"/>
        <v>410990</v>
      </c>
      <c r="QXH23" s="30">
        <f t="shared" si="189"/>
        <v>411020</v>
      </c>
      <c r="QXI23" s="30">
        <f t="shared" si="189"/>
        <v>411051</v>
      </c>
      <c r="QXJ23" s="30">
        <f t="shared" si="189"/>
        <v>411081</v>
      </c>
      <c r="QXK23" s="30">
        <f t="shared" si="189"/>
        <v>411112</v>
      </c>
      <c r="QXL23" s="30">
        <f t="shared" si="189"/>
        <v>411143</v>
      </c>
      <c r="QXM23" s="30">
        <f t="shared" si="189"/>
        <v>411173</v>
      </c>
      <c r="QXN23" s="30">
        <f t="shared" si="189"/>
        <v>411204</v>
      </c>
      <c r="QXO23" s="30">
        <f t="shared" si="189"/>
        <v>411234</v>
      </c>
      <c r="QXP23" s="30">
        <f t="shared" si="189"/>
        <v>411265</v>
      </c>
      <c r="QXQ23" s="30">
        <f t="shared" si="189"/>
        <v>411296</v>
      </c>
      <c r="QXR23" s="30">
        <f t="shared" si="189"/>
        <v>411324</v>
      </c>
      <c r="QXS23" s="30">
        <f t="shared" si="189"/>
        <v>411355</v>
      </c>
      <c r="QXT23" s="30">
        <f t="shared" si="189"/>
        <v>411385</v>
      </c>
      <c r="QXU23" s="30">
        <f t="shared" si="189"/>
        <v>411416</v>
      </c>
      <c r="QXV23" s="30">
        <f t="shared" si="189"/>
        <v>411446</v>
      </c>
      <c r="QXW23" s="30">
        <f t="shared" si="189"/>
        <v>411477</v>
      </c>
      <c r="QXX23" s="30">
        <f t="shared" si="189"/>
        <v>411508</v>
      </c>
      <c r="QXY23" s="30">
        <f t="shared" si="189"/>
        <v>411538</v>
      </c>
      <c r="QXZ23" s="30">
        <f t="shared" si="189"/>
        <v>411569</v>
      </c>
      <c r="QYA23" s="30">
        <f t="shared" si="189"/>
        <v>411599</v>
      </c>
      <c r="QYB23" s="30">
        <f t="shared" si="189"/>
        <v>411630</v>
      </c>
      <c r="QYC23" s="30">
        <f t="shared" si="189"/>
        <v>411661</v>
      </c>
      <c r="QYD23" s="30">
        <f t="shared" si="189"/>
        <v>411689</v>
      </c>
      <c r="QYE23" s="30">
        <f t="shared" si="189"/>
        <v>411720</v>
      </c>
      <c r="QYF23" s="30">
        <f t="shared" si="189"/>
        <v>411750</v>
      </c>
      <c r="QYG23" s="30">
        <f t="shared" si="189"/>
        <v>411781</v>
      </c>
      <c r="QYH23" s="30">
        <f t="shared" si="189"/>
        <v>411811</v>
      </c>
      <c r="QYI23" s="30">
        <f t="shared" si="189"/>
        <v>411842</v>
      </c>
      <c r="QYJ23" s="30">
        <f t="shared" si="189"/>
        <v>411873</v>
      </c>
      <c r="QYK23" s="30">
        <f t="shared" si="189"/>
        <v>411903</v>
      </c>
      <c r="QYL23" s="30">
        <f t="shared" si="189"/>
        <v>411934</v>
      </c>
      <c r="QYM23" s="30">
        <f t="shared" si="189"/>
        <v>411964</v>
      </c>
      <c r="QYN23" s="30">
        <f t="shared" si="189"/>
        <v>411995</v>
      </c>
      <c r="QYO23" s="30">
        <f t="shared" si="189"/>
        <v>412026</v>
      </c>
      <c r="QYP23" s="30">
        <f t="shared" si="189"/>
        <v>412055</v>
      </c>
      <c r="QYQ23" s="30">
        <f t="shared" si="189"/>
        <v>412086</v>
      </c>
      <c r="QYR23" s="30">
        <f t="shared" si="189"/>
        <v>412116</v>
      </c>
      <c r="QYS23" s="30">
        <f t="shared" si="189"/>
        <v>412147</v>
      </c>
      <c r="QYT23" s="30">
        <f t="shared" si="189"/>
        <v>412177</v>
      </c>
      <c r="QYU23" s="30">
        <f t="shared" si="189"/>
        <v>412208</v>
      </c>
      <c r="QYV23" s="30">
        <f t="shared" ref="QYV23:RBG23" si="190">EDATE(QYU23,1)</f>
        <v>412239</v>
      </c>
      <c r="QYW23" s="30">
        <f t="shared" si="190"/>
        <v>412269</v>
      </c>
      <c r="QYX23" s="30">
        <f t="shared" si="190"/>
        <v>412300</v>
      </c>
      <c r="QYY23" s="30">
        <f t="shared" si="190"/>
        <v>412330</v>
      </c>
      <c r="QYZ23" s="30">
        <f t="shared" si="190"/>
        <v>412361</v>
      </c>
      <c r="QZA23" s="30">
        <f t="shared" si="190"/>
        <v>412392</v>
      </c>
      <c r="QZB23" s="30">
        <f t="shared" si="190"/>
        <v>412420</v>
      </c>
      <c r="QZC23" s="30">
        <f t="shared" si="190"/>
        <v>412451</v>
      </c>
      <c r="QZD23" s="30">
        <f t="shared" si="190"/>
        <v>412481</v>
      </c>
      <c r="QZE23" s="30">
        <f t="shared" si="190"/>
        <v>412512</v>
      </c>
      <c r="QZF23" s="30">
        <f t="shared" si="190"/>
        <v>412542</v>
      </c>
      <c r="QZG23" s="30">
        <f t="shared" si="190"/>
        <v>412573</v>
      </c>
      <c r="QZH23" s="30">
        <f t="shared" si="190"/>
        <v>412604</v>
      </c>
      <c r="QZI23" s="30">
        <f t="shared" si="190"/>
        <v>412634</v>
      </c>
      <c r="QZJ23" s="30">
        <f t="shared" si="190"/>
        <v>412665</v>
      </c>
      <c r="QZK23" s="30">
        <f t="shared" si="190"/>
        <v>412695</v>
      </c>
      <c r="QZL23" s="30">
        <f t="shared" si="190"/>
        <v>412726</v>
      </c>
      <c r="QZM23" s="30">
        <f t="shared" si="190"/>
        <v>412757</v>
      </c>
      <c r="QZN23" s="30">
        <f t="shared" si="190"/>
        <v>412785</v>
      </c>
      <c r="QZO23" s="30">
        <f t="shared" si="190"/>
        <v>412816</v>
      </c>
      <c r="QZP23" s="30">
        <f t="shared" si="190"/>
        <v>412846</v>
      </c>
      <c r="QZQ23" s="30">
        <f t="shared" si="190"/>
        <v>412877</v>
      </c>
      <c r="QZR23" s="30">
        <f t="shared" si="190"/>
        <v>412907</v>
      </c>
      <c r="QZS23" s="30">
        <f t="shared" si="190"/>
        <v>412938</v>
      </c>
      <c r="QZT23" s="30">
        <f t="shared" si="190"/>
        <v>412969</v>
      </c>
      <c r="QZU23" s="30">
        <f t="shared" si="190"/>
        <v>412999</v>
      </c>
      <c r="QZV23" s="30">
        <f t="shared" si="190"/>
        <v>413030</v>
      </c>
      <c r="QZW23" s="30">
        <f t="shared" si="190"/>
        <v>413060</v>
      </c>
      <c r="QZX23" s="30">
        <f t="shared" si="190"/>
        <v>413091</v>
      </c>
      <c r="QZY23" s="30">
        <f t="shared" si="190"/>
        <v>413122</v>
      </c>
      <c r="QZZ23" s="30">
        <f t="shared" si="190"/>
        <v>413150</v>
      </c>
      <c r="RAA23" s="30">
        <f t="shared" si="190"/>
        <v>413181</v>
      </c>
      <c r="RAB23" s="30">
        <f t="shared" si="190"/>
        <v>413211</v>
      </c>
      <c r="RAC23" s="30">
        <f t="shared" si="190"/>
        <v>413242</v>
      </c>
      <c r="RAD23" s="30">
        <f t="shared" si="190"/>
        <v>413272</v>
      </c>
      <c r="RAE23" s="30">
        <f t="shared" si="190"/>
        <v>413303</v>
      </c>
      <c r="RAF23" s="30">
        <f t="shared" si="190"/>
        <v>413334</v>
      </c>
      <c r="RAG23" s="30">
        <f t="shared" si="190"/>
        <v>413364</v>
      </c>
      <c r="RAH23" s="30">
        <f t="shared" si="190"/>
        <v>413395</v>
      </c>
      <c r="RAI23" s="30">
        <f t="shared" si="190"/>
        <v>413425</v>
      </c>
      <c r="RAJ23" s="30">
        <f t="shared" si="190"/>
        <v>413456</v>
      </c>
      <c r="RAK23" s="30">
        <f t="shared" si="190"/>
        <v>413487</v>
      </c>
      <c r="RAL23" s="30">
        <f t="shared" si="190"/>
        <v>413516</v>
      </c>
      <c r="RAM23" s="30">
        <f t="shared" si="190"/>
        <v>413547</v>
      </c>
      <c r="RAN23" s="30">
        <f t="shared" si="190"/>
        <v>413577</v>
      </c>
      <c r="RAO23" s="30">
        <f t="shared" si="190"/>
        <v>413608</v>
      </c>
      <c r="RAP23" s="30">
        <f t="shared" si="190"/>
        <v>413638</v>
      </c>
      <c r="RAQ23" s="30">
        <f t="shared" si="190"/>
        <v>413669</v>
      </c>
      <c r="RAR23" s="30">
        <f t="shared" si="190"/>
        <v>413700</v>
      </c>
      <c r="RAS23" s="30">
        <f t="shared" si="190"/>
        <v>413730</v>
      </c>
      <c r="RAT23" s="30">
        <f t="shared" si="190"/>
        <v>413761</v>
      </c>
      <c r="RAU23" s="30">
        <f t="shared" si="190"/>
        <v>413791</v>
      </c>
      <c r="RAV23" s="30">
        <f t="shared" si="190"/>
        <v>413822</v>
      </c>
      <c r="RAW23" s="30">
        <f t="shared" si="190"/>
        <v>413853</v>
      </c>
      <c r="RAX23" s="30">
        <f t="shared" si="190"/>
        <v>413881</v>
      </c>
      <c r="RAY23" s="30">
        <f t="shared" si="190"/>
        <v>413912</v>
      </c>
      <c r="RAZ23" s="30">
        <f t="shared" si="190"/>
        <v>413942</v>
      </c>
      <c r="RBA23" s="30">
        <f t="shared" si="190"/>
        <v>413973</v>
      </c>
      <c r="RBB23" s="30">
        <f t="shared" si="190"/>
        <v>414003</v>
      </c>
      <c r="RBC23" s="30">
        <f t="shared" si="190"/>
        <v>414034</v>
      </c>
      <c r="RBD23" s="30">
        <f t="shared" si="190"/>
        <v>414065</v>
      </c>
      <c r="RBE23" s="30">
        <f t="shared" si="190"/>
        <v>414095</v>
      </c>
      <c r="RBF23" s="30">
        <f t="shared" si="190"/>
        <v>414126</v>
      </c>
      <c r="RBG23" s="30">
        <f t="shared" si="190"/>
        <v>414156</v>
      </c>
      <c r="RBH23" s="30">
        <f t="shared" ref="RBH23:RDS23" si="191">EDATE(RBG23,1)</f>
        <v>414187</v>
      </c>
      <c r="RBI23" s="30">
        <f t="shared" si="191"/>
        <v>414218</v>
      </c>
      <c r="RBJ23" s="30">
        <f t="shared" si="191"/>
        <v>414246</v>
      </c>
      <c r="RBK23" s="30">
        <f t="shared" si="191"/>
        <v>414277</v>
      </c>
      <c r="RBL23" s="30">
        <f t="shared" si="191"/>
        <v>414307</v>
      </c>
      <c r="RBM23" s="30">
        <f t="shared" si="191"/>
        <v>414338</v>
      </c>
      <c r="RBN23" s="30">
        <f t="shared" si="191"/>
        <v>414368</v>
      </c>
      <c r="RBO23" s="30">
        <f t="shared" si="191"/>
        <v>414399</v>
      </c>
      <c r="RBP23" s="30">
        <f t="shared" si="191"/>
        <v>414430</v>
      </c>
      <c r="RBQ23" s="30">
        <f t="shared" si="191"/>
        <v>414460</v>
      </c>
      <c r="RBR23" s="30">
        <f t="shared" si="191"/>
        <v>414491</v>
      </c>
      <c r="RBS23" s="30">
        <f t="shared" si="191"/>
        <v>414521</v>
      </c>
      <c r="RBT23" s="30">
        <f t="shared" si="191"/>
        <v>414552</v>
      </c>
      <c r="RBU23" s="30">
        <f t="shared" si="191"/>
        <v>414583</v>
      </c>
      <c r="RBV23" s="30">
        <f t="shared" si="191"/>
        <v>414611</v>
      </c>
      <c r="RBW23" s="30">
        <f t="shared" si="191"/>
        <v>414642</v>
      </c>
      <c r="RBX23" s="30">
        <f t="shared" si="191"/>
        <v>414672</v>
      </c>
      <c r="RBY23" s="30">
        <f t="shared" si="191"/>
        <v>414703</v>
      </c>
      <c r="RBZ23" s="30">
        <f t="shared" si="191"/>
        <v>414733</v>
      </c>
      <c r="RCA23" s="30">
        <f t="shared" si="191"/>
        <v>414764</v>
      </c>
      <c r="RCB23" s="30">
        <f t="shared" si="191"/>
        <v>414795</v>
      </c>
      <c r="RCC23" s="30">
        <f t="shared" si="191"/>
        <v>414825</v>
      </c>
      <c r="RCD23" s="30">
        <f t="shared" si="191"/>
        <v>414856</v>
      </c>
      <c r="RCE23" s="30">
        <f t="shared" si="191"/>
        <v>414886</v>
      </c>
      <c r="RCF23" s="30">
        <f t="shared" si="191"/>
        <v>414917</v>
      </c>
      <c r="RCG23" s="30">
        <f t="shared" si="191"/>
        <v>414948</v>
      </c>
      <c r="RCH23" s="30">
        <f t="shared" si="191"/>
        <v>414977</v>
      </c>
      <c r="RCI23" s="30">
        <f t="shared" si="191"/>
        <v>415008</v>
      </c>
      <c r="RCJ23" s="30">
        <f t="shared" si="191"/>
        <v>415038</v>
      </c>
      <c r="RCK23" s="30">
        <f t="shared" si="191"/>
        <v>415069</v>
      </c>
      <c r="RCL23" s="30">
        <f t="shared" si="191"/>
        <v>415099</v>
      </c>
      <c r="RCM23" s="30">
        <f t="shared" si="191"/>
        <v>415130</v>
      </c>
      <c r="RCN23" s="30">
        <f t="shared" si="191"/>
        <v>415161</v>
      </c>
      <c r="RCO23" s="30">
        <f t="shared" si="191"/>
        <v>415191</v>
      </c>
      <c r="RCP23" s="30">
        <f t="shared" si="191"/>
        <v>415222</v>
      </c>
      <c r="RCQ23" s="30">
        <f t="shared" si="191"/>
        <v>415252</v>
      </c>
      <c r="RCR23" s="30">
        <f t="shared" si="191"/>
        <v>415283</v>
      </c>
      <c r="RCS23" s="30">
        <f t="shared" si="191"/>
        <v>415314</v>
      </c>
      <c r="RCT23" s="30">
        <f t="shared" si="191"/>
        <v>415342</v>
      </c>
      <c r="RCU23" s="30">
        <f t="shared" si="191"/>
        <v>415373</v>
      </c>
      <c r="RCV23" s="30">
        <f t="shared" si="191"/>
        <v>415403</v>
      </c>
      <c r="RCW23" s="30">
        <f t="shared" si="191"/>
        <v>415434</v>
      </c>
      <c r="RCX23" s="30">
        <f t="shared" si="191"/>
        <v>415464</v>
      </c>
      <c r="RCY23" s="30">
        <f t="shared" si="191"/>
        <v>415495</v>
      </c>
      <c r="RCZ23" s="30">
        <f t="shared" si="191"/>
        <v>415526</v>
      </c>
      <c r="RDA23" s="30">
        <f t="shared" si="191"/>
        <v>415556</v>
      </c>
      <c r="RDB23" s="30">
        <f t="shared" si="191"/>
        <v>415587</v>
      </c>
      <c r="RDC23" s="30">
        <f t="shared" si="191"/>
        <v>415617</v>
      </c>
      <c r="RDD23" s="30">
        <f t="shared" si="191"/>
        <v>415648</v>
      </c>
      <c r="RDE23" s="30">
        <f t="shared" si="191"/>
        <v>415679</v>
      </c>
      <c r="RDF23" s="30">
        <f t="shared" si="191"/>
        <v>415707</v>
      </c>
      <c r="RDG23" s="30">
        <f t="shared" si="191"/>
        <v>415738</v>
      </c>
      <c r="RDH23" s="30">
        <f t="shared" si="191"/>
        <v>415768</v>
      </c>
      <c r="RDI23" s="30">
        <f t="shared" si="191"/>
        <v>415799</v>
      </c>
      <c r="RDJ23" s="30">
        <f t="shared" si="191"/>
        <v>415829</v>
      </c>
      <c r="RDK23" s="30">
        <f t="shared" si="191"/>
        <v>415860</v>
      </c>
      <c r="RDL23" s="30">
        <f t="shared" si="191"/>
        <v>415891</v>
      </c>
      <c r="RDM23" s="30">
        <f t="shared" si="191"/>
        <v>415921</v>
      </c>
      <c r="RDN23" s="30">
        <f t="shared" si="191"/>
        <v>415952</v>
      </c>
      <c r="RDO23" s="30">
        <f t="shared" si="191"/>
        <v>415982</v>
      </c>
      <c r="RDP23" s="30">
        <f t="shared" si="191"/>
        <v>416013</v>
      </c>
      <c r="RDQ23" s="30">
        <f t="shared" si="191"/>
        <v>416044</v>
      </c>
      <c r="RDR23" s="30">
        <f t="shared" si="191"/>
        <v>416072</v>
      </c>
      <c r="RDS23" s="30">
        <f t="shared" si="191"/>
        <v>416103</v>
      </c>
      <c r="RDT23" s="30">
        <f t="shared" ref="RDT23:RGE23" si="192">EDATE(RDS23,1)</f>
        <v>416133</v>
      </c>
      <c r="RDU23" s="30">
        <f t="shared" si="192"/>
        <v>416164</v>
      </c>
      <c r="RDV23" s="30">
        <f t="shared" si="192"/>
        <v>416194</v>
      </c>
      <c r="RDW23" s="30">
        <f t="shared" si="192"/>
        <v>416225</v>
      </c>
      <c r="RDX23" s="30">
        <f t="shared" si="192"/>
        <v>416256</v>
      </c>
      <c r="RDY23" s="30">
        <f t="shared" si="192"/>
        <v>416286</v>
      </c>
      <c r="RDZ23" s="30">
        <f t="shared" si="192"/>
        <v>416317</v>
      </c>
      <c r="REA23" s="30">
        <f t="shared" si="192"/>
        <v>416347</v>
      </c>
      <c r="REB23" s="30">
        <f t="shared" si="192"/>
        <v>416378</v>
      </c>
      <c r="REC23" s="30">
        <f t="shared" si="192"/>
        <v>416409</v>
      </c>
      <c r="RED23" s="30">
        <f t="shared" si="192"/>
        <v>416438</v>
      </c>
      <c r="REE23" s="30">
        <f t="shared" si="192"/>
        <v>416469</v>
      </c>
      <c r="REF23" s="30">
        <f t="shared" si="192"/>
        <v>416499</v>
      </c>
      <c r="REG23" s="30">
        <f t="shared" si="192"/>
        <v>416530</v>
      </c>
      <c r="REH23" s="30">
        <f t="shared" si="192"/>
        <v>416560</v>
      </c>
      <c r="REI23" s="30">
        <f t="shared" si="192"/>
        <v>416591</v>
      </c>
      <c r="REJ23" s="30">
        <f t="shared" si="192"/>
        <v>416622</v>
      </c>
      <c r="REK23" s="30">
        <f t="shared" si="192"/>
        <v>416652</v>
      </c>
      <c r="REL23" s="30">
        <f t="shared" si="192"/>
        <v>416683</v>
      </c>
      <c r="REM23" s="30">
        <f t="shared" si="192"/>
        <v>416713</v>
      </c>
      <c r="REN23" s="30">
        <f t="shared" si="192"/>
        <v>416744</v>
      </c>
      <c r="REO23" s="30">
        <f t="shared" si="192"/>
        <v>416775</v>
      </c>
      <c r="REP23" s="30">
        <f t="shared" si="192"/>
        <v>416803</v>
      </c>
      <c r="REQ23" s="30">
        <f t="shared" si="192"/>
        <v>416834</v>
      </c>
      <c r="RER23" s="30">
        <f t="shared" si="192"/>
        <v>416864</v>
      </c>
      <c r="RES23" s="30">
        <f t="shared" si="192"/>
        <v>416895</v>
      </c>
      <c r="RET23" s="30">
        <f t="shared" si="192"/>
        <v>416925</v>
      </c>
      <c r="REU23" s="30">
        <f t="shared" si="192"/>
        <v>416956</v>
      </c>
      <c r="REV23" s="30">
        <f t="shared" si="192"/>
        <v>416987</v>
      </c>
      <c r="REW23" s="30">
        <f t="shared" si="192"/>
        <v>417017</v>
      </c>
      <c r="REX23" s="30">
        <f t="shared" si="192"/>
        <v>417048</v>
      </c>
      <c r="REY23" s="30">
        <f t="shared" si="192"/>
        <v>417078</v>
      </c>
      <c r="REZ23" s="30">
        <f t="shared" si="192"/>
        <v>417109</v>
      </c>
      <c r="RFA23" s="30">
        <f t="shared" si="192"/>
        <v>417140</v>
      </c>
      <c r="RFB23" s="30">
        <f t="shared" si="192"/>
        <v>417168</v>
      </c>
      <c r="RFC23" s="30">
        <f t="shared" si="192"/>
        <v>417199</v>
      </c>
      <c r="RFD23" s="30">
        <f t="shared" si="192"/>
        <v>417229</v>
      </c>
      <c r="RFE23" s="30">
        <f t="shared" si="192"/>
        <v>417260</v>
      </c>
      <c r="RFF23" s="30">
        <f t="shared" si="192"/>
        <v>417290</v>
      </c>
      <c r="RFG23" s="30">
        <f t="shared" si="192"/>
        <v>417321</v>
      </c>
      <c r="RFH23" s="30">
        <f t="shared" si="192"/>
        <v>417352</v>
      </c>
      <c r="RFI23" s="30">
        <f t="shared" si="192"/>
        <v>417382</v>
      </c>
      <c r="RFJ23" s="30">
        <f t="shared" si="192"/>
        <v>417413</v>
      </c>
      <c r="RFK23" s="30">
        <f t="shared" si="192"/>
        <v>417443</v>
      </c>
      <c r="RFL23" s="30">
        <f t="shared" si="192"/>
        <v>417474</v>
      </c>
      <c r="RFM23" s="30">
        <f t="shared" si="192"/>
        <v>417505</v>
      </c>
      <c r="RFN23" s="30">
        <f t="shared" si="192"/>
        <v>417533</v>
      </c>
      <c r="RFO23" s="30">
        <f t="shared" si="192"/>
        <v>417564</v>
      </c>
      <c r="RFP23" s="30">
        <f t="shared" si="192"/>
        <v>417594</v>
      </c>
      <c r="RFQ23" s="30">
        <f t="shared" si="192"/>
        <v>417625</v>
      </c>
      <c r="RFR23" s="30">
        <f t="shared" si="192"/>
        <v>417655</v>
      </c>
      <c r="RFS23" s="30">
        <f t="shared" si="192"/>
        <v>417686</v>
      </c>
      <c r="RFT23" s="30">
        <f t="shared" si="192"/>
        <v>417717</v>
      </c>
      <c r="RFU23" s="30">
        <f t="shared" si="192"/>
        <v>417747</v>
      </c>
      <c r="RFV23" s="30">
        <f t="shared" si="192"/>
        <v>417778</v>
      </c>
      <c r="RFW23" s="30">
        <f t="shared" si="192"/>
        <v>417808</v>
      </c>
      <c r="RFX23" s="30">
        <f t="shared" si="192"/>
        <v>417839</v>
      </c>
      <c r="RFY23" s="30">
        <f t="shared" si="192"/>
        <v>417870</v>
      </c>
      <c r="RFZ23" s="30">
        <f t="shared" si="192"/>
        <v>417899</v>
      </c>
      <c r="RGA23" s="30">
        <f t="shared" si="192"/>
        <v>417930</v>
      </c>
      <c r="RGB23" s="30">
        <f t="shared" si="192"/>
        <v>417960</v>
      </c>
      <c r="RGC23" s="30">
        <f t="shared" si="192"/>
        <v>417991</v>
      </c>
      <c r="RGD23" s="30">
        <f t="shared" si="192"/>
        <v>418021</v>
      </c>
      <c r="RGE23" s="30">
        <f t="shared" si="192"/>
        <v>418052</v>
      </c>
      <c r="RGF23" s="30">
        <f t="shared" ref="RGF23:RIQ23" si="193">EDATE(RGE23,1)</f>
        <v>418083</v>
      </c>
      <c r="RGG23" s="30">
        <f t="shared" si="193"/>
        <v>418113</v>
      </c>
      <c r="RGH23" s="30">
        <f t="shared" si="193"/>
        <v>418144</v>
      </c>
      <c r="RGI23" s="30">
        <f t="shared" si="193"/>
        <v>418174</v>
      </c>
      <c r="RGJ23" s="30">
        <f t="shared" si="193"/>
        <v>418205</v>
      </c>
      <c r="RGK23" s="30">
        <f t="shared" si="193"/>
        <v>418236</v>
      </c>
      <c r="RGL23" s="30">
        <f t="shared" si="193"/>
        <v>418264</v>
      </c>
      <c r="RGM23" s="30">
        <f t="shared" si="193"/>
        <v>418295</v>
      </c>
      <c r="RGN23" s="30">
        <f t="shared" si="193"/>
        <v>418325</v>
      </c>
      <c r="RGO23" s="30">
        <f t="shared" si="193"/>
        <v>418356</v>
      </c>
      <c r="RGP23" s="30">
        <f t="shared" si="193"/>
        <v>418386</v>
      </c>
      <c r="RGQ23" s="30">
        <f t="shared" si="193"/>
        <v>418417</v>
      </c>
      <c r="RGR23" s="30">
        <f t="shared" si="193"/>
        <v>418448</v>
      </c>
      <c r="RGS23" s="30">
        <f t="shared" si="193"/>
        <v>418478</v>
      </c>
      <c r="RGT23" s="30">
        <f t="shared" si="193"/>
        <v>418509</v>
      </c>
      <c r="RGU23" s="30">
        <f t="shared" si="193"/>
        <v>418539</v>
      </c>
      <c r="RGV23" s="30">
        <f t="shared" si="193"/>
        <v>418570</v>
      </c>
      <c r="RGW23" s="30">
        <f t="shared" si="193"/>
        <v>418601</v>
      </c>
      <c r="RGX23" s="30">
        <f t="shared" si="193"/>
        <v>418629</v>
      </c>
      <c r="RGY23" s="30">
        <f t="shared" si="193"/>
        <v>418660</v>
      </c>
      <c r="RGZ23" s="30">
        <f t="shared" si="193"/>
        <v>418690</v>
      </c>
      <c r="RHA23" s="30">
        <f t="shared" si="193"/>
        <v>418721</v>
      </c>
      <c r="RHB23" s="30">
        <f t="shared" si="193"/>
        <v>418751</v>
      </c>
      <c r="RHC23" s="30">
        <f t="shared" si="193"/>
        <v>418782</v>
      </c>
      <c r="RHD23" s="30">
        <f t="shared" si="193"/>
        <v>418813</v>
      </c>
      <c r="RHE23" s="30">
        <f t="shared" si="193"/>
        <v>418843</v>
      </c>
      <c r="RHF23" s="30">
        <f t="shared" si="193"/>
        <v>418874</v>
      </c>
      <c r="RHG23" s="30">
        <f t="shared" si="193"/>
        <v>418904</v>
      </c>
      <c r="RHH23" s="30">
        <f t="shared" si="193"/>
        <v>418935</v>
      </c>
      <c r="RHI23" s="30">
        <f t="shared" si="193"/>
        <v>418966</v>
      </c>
      <c r="RHJ23" s="30">
        <f t="shared" si="193"/>
        <v>418994</v>
      </c>
      <c r="RHK23" s="30">
        <f t="shared" si="193"/>
        <v>419025</v>
      </c>
      <c r="RHL23" s="30">
        <f t="shared" si="193"/>
        <v>419055</v>
      </c>
      <c r="RHM23" s="30">
        <f t="shared" si="193"/>
        <v>419086</v>
      </c>
      <c r="RHN23" s="30">
        <f t="shared" si="193"/>
        <v>419116</v>
      </c>
      <c r="RHO23" s="30">
        <f t="shared" si="193"/>
        <v>419147</v>
      </c>
      <c r="RHP23" s="30">
        <f t="shared" si="193"/>
        <v>419178</v>
      </c>
      <c r="RHQ23" s="30">
        <f t="shared" si="193"/>
        <v>419208</v>
      </c>
      <c r="RHR23" s="30">
        <f t="shared" si="193"/>
        <v>419239</v>
      </c>
      <c r="RHS23" s="30">
        <f t="shared" si="193"/>
        <v>419269</v>
      </c>
      <c r="RHT23" s="30">
        <f t="shared" si="193"/>
        <v>419300</v>
      </c>
      <c r="RHU23" s="30">
        <f t="shared" si="193"/>
        <v>419331</v>
      </c>
      <c r="RHV23" s="30">
        <f t="shared" si="193"/>
        <v>419360</v>
      </c>
      <c r="RHW23" s="30">
        <f t="shared" si="193"/>
        <v>419391</v>
      </c>
      <c r="RHX23" s="30">
        <f t="shared" si="193"/>
        <v>419421</v>
      </c>
      <c r="RHY23" s="30">
        <f t="shared" si="193"/>
        <v>419452</v>
      </c>
      <c r="RHZ23" s="30">
        <f t="shared" si="193"/>
        <v>419482</v>
      </c>
      <c r="RIA23" s="30">
        <f t="shared" si="193"/>
        <v>419513</v>
      </c>
      <c r="RIB23" s="30">
        <f t="shared" si="193"/>
        <v>419544</v>
      </c>
      <c r="RIC23" s="30">
        <f t="shared" si="193"/>
        <v>419574</v>
      </c>
      <c r="RID23" s="30">
        <f t="shared" si="193"/>
        <v>419605</v>
      </c>
      <c r="RIE23" s="30">
        <f t="shared" si="193"/>
        <v>419635</v>
      </c>
      <c r="RIF23" s="30">
        <f t="shared" si="193"/>
        <v>419666</v>
      </c>
      <c r="RIG23" s="30">
        <f t="shared" si="193"/>
        <v>419697</v>
      </c>
      <c r="RIH23" s="30">
        <f t="shared" si="193"/>
        <v>419725</v>
      </c>
      <c r="RII23" s="30">
        <f t="shared" si="193"/>
        <v>419756</v>
      </c>
      <c r="RIJ23" s="30">
        <f t="shared" si="193"/>
        <v>419786</v>
      </c>
      <c r="RIK23" s="30">
        <f t="shared" si="193"/>
        <v>419817</v>
      </c>
      <c r="RIL23" s="30">
        <f t="shared" si="193"/>
        <v>419847</v>
      </c>
      <c r="RIM23" s="30">
        <f t="shared" si="193"/>
        <v>419878</v>
      </c>
      <c r="RIN23" s="30">
        <f t="shared" si="193"/>
        <v>419909</v>
      </c>
      <c r="RIO23" s="30">
        <f t="shared" si="193"/>
        <v>419939</v>
      </c>
      <c r="RIP23" s="30">
        <f t="shared" si="193"/>
        <v>419970</v>
      </c>
      <c r="RIQ23" s="30">
        <f t="shared" si="193"/>
        <v>420000</v>
      </c>
      <c r="RIR23" s="30">
        <f t="shared" ref="RIR23:RLC23" si="194">EDATE(RIQ23,1)</f>
        <v>420031</v>
      </c>
      <c r="RIS23" s="30">
        <f t="shared" si="194"/>
        <v>420062</v>
      </c>
      <c r="RIT23" s="30">
        <f t="shared" si="194"/>
        <v>420090</v>
      </c>
      <c r="RIU23" s="30">
        <f t="shared" si="194"/>
        <v>420121</v>
      </c>
      <c r="RIV23" s="30">
        <f t="shared" si="194"/>
        <v>420151</v>
      </c>
      <c r="RIW23" s="30">
        <f t="shared" si="194"/>
        <v>420182</v>
      </c>
      <c r="RIX23" s="30">
        <f t="shared" si="194"/>
        <v>420212</v>
      </c>
      <c r="RIY23" s="30">
        <f t="shared" si="194"/>
        <v>420243</v>
      </c>
      <c r="RIZ23" s="30">
        <f t="shared" si="194"/>
        <v>420274</v>
      </c>
      <c r="RJA23" s="30">
        <f t="shared" si="194"/>
        <v>420304</v>
      </c>
      <c r="RJB23" s="30">
        <f t="shared" si="194"/>
        <v>420335</v>
      </c>
      <c r="RJC23" s="30">
        <f t="shared" si="194"/>
        <v>420365</v>
      </c>
      <c r="RJD23" s="30">
        <f t="shared" si="194"/>
        <v>420396</v>
      </c>
      <c r="RJE23" s="30">
        <f t="shared" si="194"/>
        <v>420427</v>
      </c>
      <c r="RJF23" s="30">
        <f t="shared" si="194"/>
        <v>420455</v>
      </c>
      <c r="RJG23" s="30">
        <f t="shared" si="194"/>
        <v>420486</v>
      </c>
      <c r="RJH23" s="30">
        <f t="shared" si="194"/>
        <v>420516</v>
      </c>
      <c r="RJI23" s="30">
        <f t="shared" si="194"/>
        <v>420547</v>
      </c>
      <c r="RJJ23" s="30">
        <f t="shared" si="194"/>
        <v>420577</v>
      </c>
      <c r="RJK23" s="30">
        <f t="shared" si="194"/>
        <v>420608</v>
      </c>
      <c r="RJL23" s="30">
        <f t="shared" si="194"/>
        <v>420639</v>
      </c>
      <c r="RJM23" s="30">
        <f t="shared" si="194"/>
        <v>420669</v>
      </c>
      <c r="RJN23" s="30">
        <f t="shared" si="194"/>
        <v>420700</v>
      </c>
      <c r="RJO23" s="30">
        <f t="shared" si="194"/>
        <v>420730</v>
      </c>
      <c r="RJP23" s="30">
        <f t="shared" si="194"/>
        <v>420761</v>
      </c>
      <c r="RJQ23" s="30">
        <f t="shared" si="194"/>
        <v>420792</v>
      </c>
      <c r="RJR23" s="30">
        <f t="shared" si="194"/>
        <v>420821</v>
      </c>
      <c r="RJS23" s="30">
        <f t="shared" si="194"/>
        <v>420852</v>
      </c>
      <c r="RJT23" s="30">
        <f t="shared" si="194"/>
        <v>420882</v>
      </c>
      <c r="RJU23" s="30">
        <f t="shared" si="194"/>
        <v>420913</v>
      </c>
      <c r="RJV23" s="30">
        <f t="shared" si="194"/>
        <v>420943</v>
      </c>
      <c r="RJW23" s="30">
        <f t="shared" si="194"/>
        <v>420974</v>
      </c>
      <c r="RJX23" s="30">
        <f t="shared" si="194"/>
        <v>421005</v>
      </c>
      <c r="RJY23" s="30">
        <f t="shared" si="194"/>
        <v>421035</v>
      </c>
      <c r="RJZ23" s="30">
        <f t="shared" si="194"/>
        <v>421066</v>
      </c>
      <c r="RKA23" s="30">
        <f t="shared" si="194"/>
        <v>421096</v>
      </c>
      <c r="RKB23" s="30">
        <f t="shared" si="194"/>
        <v>421127</v>
      </c>
      <c r="RKC23" s="30">
        <f t="shared" si="194"/>
        <v>421158</v>
      </c>
      <c r="RKD23" s="30">
        <f t="shared" si="194"/>
        <v>421186</v>
      </c>
      <c r="RKE23" s="30">
        <f t="shared" si="194"/>
        <v>421217</v>
      </c>
      <c r="RKF23" s="30">
        <f t="shared" si="194"/>
        <v>421247</v>
      </c>
      <c r="RKG23" s="30">
        <f t="shared" si="194"/>
        <v>421278</v>
      </c>
      <c r="RKH23" s="30">
        <f t="shared" si="194"/>
        <v>421308</v>
      </c>
      <c r="RKI23" s="30">
        <f t="shared" si="194"/>
        <v>421339</v>
      </c>
      <c r="RKJ23" s="30">
        <f t="shared" si="194"/>
        <v>421370</v>
      </c>
      <c r="RKK23" s="30">
        <f t="shared" si="194"/>
        <v>421400</v>
      </c>
      <c r="RKL23" s="30">
        <f t="shared" si="194"/>
        <v>421431</v>
      </c>
      <c r="RKM23" s="30">
        <f t="shared" si="194"/>
        <v>421461</v>
      </c>
      <c r="RKN23" s="30">
        <f t="shared" si="194"/>
        <v>421492</v>
      </c>
      <c r="RKO23" s="30">
        <f t="shared" si="194"/>
        <v>421523</v>
      </c>
      <c r="RKP23" s="30">
        <f t="shared" si="194"/>
        <v>421551</v>
      </c>
      <c r="RKQ23" s="30">
        <f t="shared" si="194"/>
        <v>421582</v>
      </c>
      <c r="RKR23" s="30">
        <f t="shared" si="194"/>
        <v>421612</v>
      </c>
      <c r="RKS23" s="30">
        <f t="shared" si="194"/>
        <v>421643</v>
      </c>
      <c r="RKT23" s="30">
        <f t="shared" si="194"/>
        <v>421673</v>
      </c>
      <c r="RKU23" s="30">
        <f t="shared" si="194"/>
        <v>421704</v>
      </c>
      <c r="RKV23" s="30">
        <f t="shared" si="194"/>
        <v>421735</v>
      </c>
      <c r="RKW23" s="30">
        <f t="shared" si="194"/>
        <v>421765</v>
      </c>
      <c r="RKX23" s="30">
        <f t="shared" si="194"/>
        <v>421796</v>
      </c>
      <c r="RKY23" s="30">
        <f t="shared" si="194"/>
        <v>421826</v>
      </c>
      <c r="RKZ23" s="30">
        <f t="shared" si="194"/>
        <v>421857</v>
      </c>
      <c r="RLA23" s="30">
        <f t="shared" si="194"/>
        <v>421888</v>
      </c>
      <c r="RLB23" s="30">
        <f t="shared" si="194"/>
        <v>421916</v>
      </c>
      <c r="RLC23" s="30">
        <f t="shared" si="194"/>
        <v>421947</v>
      </c>
      <c r="RLD23" s="30">
        <f t="shared" ref="RLD23:RNO23" si="195">EDATE(RLC23,1)</f>
        <v>421977</v>
      </c>
      <c r="RLE23" s="30">
        <f t="shared" si="195"/>
        <v>422008</v>
      </c>
      <c r="RLF23" s="30">
        <f t="shared" si="195"/>
        <v>422038</v>
      </c>
      <c r="RLG23" s="30">
        <f t="shared" si="195"/>
        <v>422069</v>
      </c>
      <c r="RLH23" s="30">
        <f t="shared" si="195"/>
        <v>422100</v>
      </c>
      <c r="RLI23" s="30">
        <f t="shared" si="195"/>
        <v>422130</v>
      </c>
      <c r="RLJ23" s="30">
        <f t="shared" si="195"/>
        <v>422161</v>
      </c>
      <c r="RLK23" s="30">
        <f t="shared" si="195"/>
        <v>422191</v>
      </c>
      <c r="RLL23" s="30">
        <f t="shared" si="195"/>
        <v>422222</v>
      </c>
      <c r="RLM23" s="30">
        <f t="shared" si="195"/>
        <v>422253</v>
      </c>
      <c r="RLN23" s="30">
        <f t="shared" si="195"/>
        <v>422282</v>
      </c>
      <c r="RLO23" s="30">
        <f t="shared" si="195"/>
        <v>422313</v>
      </c>
      <c r="RLP23" s="30">
        <f t="shared" si="195"/>
        <v>422343</v>
      </c>
      <c r="RLQ23" s="30">
        <f t="shared" si="195"/>
        <v>422374</v>
      </c>
      <c r="RLR23" s="30">
        <f t="shared" si="195"/>
        <v>422404</v>
      </c>
      <c r="RLS23" s="30">
        <f t="shared" si="195"/>
        <v>422435</v>
      </c>
      <c r="RLT23" s="30">
        <f t="shared" si="195"/>
        <v>422466</v>
      </c>
      <c r="RLU23" s="30">
        <f t="shared" si="195"/>
        <v>422496</v>
      </c>
      <c r="RLV23" s="30">
        <f t="shared" si="195"/>
        <v>422527</v>
      </c>
      <c r="RLW23" s="30">
        <f t="shared" si="195"/>
        <v>422557</v>
      </c>
      <c r="RLX23" s="30">
        <f t="shared" si="195"/>
        <v>422588</v>
      </c>
      <c r="RLY23" s="30">
        <f t="shared" si="195"/>
        <v>422619</v>
      </c>
      <c r="RLZ23" s="30">
        <f t="shared" si="195"/>
        <v>422647</v>
      </c>
      <c r="RMA23" s="30">
        <f t="shared" si="195"/>
        <v>422678</v>
      </c>
      <c r="RMB23" s="30">
        <f t="shared" si="195"/>
        <v>422708</v>
      </c>
      <c r="RMC23" s="30">
        <f t="shared" si="195"/>
        <v>422739</v>
      </c>
      <c r="RMD23" s="30">
        <f t="shared" si="195"/>
        <v>422769</v>
      </c>
      <c r="RME23" s="30">
        <f t="shared" si="195"/>
        <v>422800</v>
      </c>
      <c r="RMF23" s="30">
        <f t="shared" si="195"/>
        <v>422831</v>
      </c>
      <c r="RMG23" s="30">
        <f t="shared" si="195"/>
        <v>422861</v>
      </c>
      <c r="RMH23" s="30">
        <f t="shared" si="195"/>
        <v>422892</v>
      </c>
      <c r="RMI23" s="30">
        <f t="shared" si="195"/>
        <v>422922</v>
      </c>
      <c r="RMJ23" s="30">
        <f t="shared" si="195"/>
        <v>422953</v>
      </c>
      <c r="RMK23" s="30">
        <f t="shared" si="195"/>
        <v>422984</v>
      </c>
      <c r="RML23" s="30">
        <f t="shared" si="195"/>
        <v>423012</v>
      </c>
      <c r="RMM23" s="30">
        <f t="shared" si="195"/>
        <v>423043</v>
      </c>
      <c r="RMN23" s="30">
        <f t="shared" si="195"/>
        <v>423073</v>
      </c>
      <c r="RMO23" s="30">
        <f t="shared" si="195"/>
        <v>423104</v>
      </c>
      <c r="RMP23" s="30">
        <f t="shared" si="195"/>
        <v>423134</v>
      </c>
      <c r="RMQ23" s="30">
        <f t="shared" si="195"/>
        <v>423165</v>
      </c>
      <c r="RMR23" s="30">
        <f t="shared" si="195"/>
        <v>423196</v>
      </c>
      <c r="RMS23" s="30">
        <f t="shared" si="195"/>
        <v>423226</v>
      </c>
      <c r="RMT23" s="30">
        <f t="shared" si="195"/>
        <v>423257</v>
      </c>
      <c r="RMU23" s="30">
        <f t="shared" si="195"/>
        <v>423287</v>
      </c>
      <c r="RMV23" s="30">
        <f t="shared" si="195"/>
        <v>423318</v>
      </c>
      <c r="RMW23" s="30">
        <f t="shared" si="195"/>
        <v>423349</v>
      </c>
      <c r="RMX23" s="30">
        <f t="shared" si="195"/>
        <v>423377</v>
      </c>
      <c r="RMY23" s="30">
        <f t="shared" si="195"/>
        <v>423408</v>
      </c>
      <c r="RMZ23" s="30">
        <f t="shared" si="195"/>
        <v>423438</v>
      </c>
      <c r="RNA23" s="30">
        <f t="shared" si="195"/>
        <v>423469</v>
      </c>
      <c r="RNB23" s="30">
        <f t="shared" si="195"/>
        <v>423499</v>
      </c>
      <c r="RNC23" s="30">
        <f t="shared" si="195"/>
        <v>423530</v>
      </c>
      <c r="RND23" s="30">
        <f t="shared" si="195"/>
        <v>423561</v>
      </c>
      <c r="RNE23" s="30">
        <f t="shared" si="195"/>
        <v>423591</v>
      </c>
      <c r="RNF23" s="30">
        <f t="shared" si="195"/>
        <v>423622</v>
      </c>
      <c r="RNG23" s="30">
        <f t="shared" si="195"/>
        <v>423652</v>
      </c>
      <c r="RNH23" s="30">
        <f t="shared" si="195"/>
        <v>423683</v>
      </c>
      <c r="RNI23" s="30">
        <f t="shared" si="195"/>
        <v>423714</v>
      </c>
      <c r="RNJ23" s="30">
        <f t="shared" si="195"/>
        <v>423743</v>
      </c>
      <c r="RNK23" s="30">
        <f t="shared" si="195"/>
        <v>423774</v>
      </c>
      <c r="RNL23" s="30">
        <f t="shared" si="195"/>
        <v>423804</v>
      </c>
      <c r="RNM23" s="30">
        <f t="shared" si="195"/>
        <v>423835</v>
      </c>
      <c r="RNN23" s="30">
        <f t="shared" si="195"/>
        <v>423865</v>
      </c>
      <c r="RNO23" s="30">
        <f t="shared" si="195"/>
        <v>423896</v>
      </c>
      <c r="RNP23" s="30">
        <f t="shared" ref="RNP23:RQA23" si="196">EDATE(RNO23,1)</f>
        <v>423927</v>
      </c>
      <c r="RNQ23" s="30">
        <f t="shared" si="196"/>
        <v>423957</v>
      </c>
      <c r="RNR23" s="30">
        <f t="shared" si="196"/>
        <v>423988</v>
      </c>
      <c r="RNS23" s="30">
        <f t="shared" si="196"/>
        <v>424018</v>
      </c>
      <c r="RNT23" s="30">
        <f t="shared" si="196"/>
        <v>424049</v>
      </c>
      <c r="RNU23" s="30">
        <f t="shared" si="196"/>
        <v>424080</v>
      </c>
      <c r="RNV23" s="30">
        <f t="shared" si="196"/>
        <v>424108</v>
      </c>
      <c r="RNW23" s="30">
        <f t="shared" si="196"/>
        <v>424139</v>
      </c>
      <c r="RNX23" s="30">
        <f t="shared" si="196"/>
        <v>424169</v>
      </c>
      <c r="RNY23" s="30">
        <f t="shared" si="196"/>
        <v>424200</v>
      </c>
      <c r="RNZ23" s="30">
        <f t="shared" si="196"/>
        <v>424230</v>
      </c>
      <c r="ROA23" s="30">
        <f t="shared" si="196"/>
        <v>424261</v>
      </c>
      <c r="ROB23" s="30">
        <f t="shared" si="196"/>
        <v>424292</v>
      </c>
      <c r="ROC23" s="30">
        <f t="shared" si="196"/>
        <v>424322</v>
      </c>
      <c r="ROD23" s="30">
        <f t="shared" si="196"/>
        <v>424353</v>
      </c>
      <c r="ROE23" s="30">
        <f t="shared" si="196"/>
        <v>424383</v>
      </c>
      <c r="ROF23" s="30">
        <f t="shared" si="196"/>
        <v>424414</v>
      </c>
      <c r="ROG23" s="30">
        <f t="shared" si="196"/>
        <v>424445</v>
      </c>
      <c r="ROH23" s="30">
        <f t="shared" si="196"/>
        <v>424473</v>
      </c>
      <c r="ROI23" s="30">
        <f t="shared" si="196"/>
        <v>424504</v>
      </c>
      <c r="ROJ23" s="30">
        <f t="shared" si="196"/>
        <v>424534</v>
      </c>
      <c r="ROK23" s="30">
        <f t="shared" si="196"/>
        <v>424565</v>
      </c>
      <c r="ROL23" s="30">
        <f t="shared" si="196"/>
        <v>424595</v>
      </c>
      <c r="ROM23" s="30">
        <f t="shared" si="196"/>
        <v>424626</v>
      </c>
      <c r="RON23" s="30">
        <f t="shared" si="196"/>
        <v>424657</v>
      </c>
      <c r="ROO23" s="30">
        <f t="shared" si="196"/>
        <v>424687</v>
      </c>
      <c r="ROP23" s="30">
        <f t="shared" si="196"/>
        <v>424718</v>
      </c>
      <c r="ROQ23" s="30">
        <f t="shared" si="196"/>
        <v>424748</v>
      </c>
      <c r="ROR23" s="30">
        <f t="shared" si="196"/>
        <v>424779</v>
      </c>
      <c r="ROS23" s="30">
        <f t="shared" si="196"/>
        <v>424810</v>
      </c>
      <c r="ROT23" s="30">
        <f t="shared" si="196"/>
        <v>424838</v>
      </c>
      <c r="ROU23" s="30">
        <f t="shared" si="196"/>
        <v>424869</v>
      </c>
      <c r="ROV23" s="30">
        <f t="shared" si="196"/>
        <v>424899</v>
      </c>
      <c r="ROW23" s="30">
        <f t="shared" si="196"/>
        <v>424930</v>
      </c>
      <c r="ROX23" s="30">
        <f t="shared" si="196"/>
        <v>424960</v>
      </c>
      <c r="ROY23" s="30">
        <f t="shared" si="196"/>
        <v>424991</v>
      </c>
      <c r="ROZ23" s="30">
        <f t="shared" si="196"/>
        <v>425022</v>
      </c>
      <c r="RPA23" s="30">
        <f t="shared" si="196"/>
        <v>425052</v>
      </c>
      <c r="RPB23" s="30">
        <f t="shared" si="196"/>
        <v>425083</v>
      </c>
      <c r="RPC23" s="30">
        <f t="shared" si="196"/>
        <v>425113</v>
      </c>
      <c r="RPD23" s="30">
        <f t="shared" si="196"/>
        <v>425144</v>
      </c>
      <c r="RPE23" s="30">
        <f t="shared" si="196"/>
        <v>425175</v>
      </c>
      <c r="RPF23" s="30">
        <f t="shared" si="196"/>
        <v>425204</v>
      </c>
      <c r="RPG23" s="30">
        <f t="shared" si="196"/>
        <v>425235</v>
      </c>
      <c r="RPH23" s="30">
        <f t="shared" si="196"/>
        <v>425265</v>
      </c>
      <c r="RPI23" s="30">
        <f t="shared" si="196"/>
        <v>425296</v>
      </c>
      <c r="RPJ23" s="30">
        <f t="shared" si="196"/>
        <v>425326</v>
      </c>
      <c r="RPK23" s="30">
        <f t="shared" si="196"/>
        <v>425357</v>
      </c>
      <c r="RPL23" s="30">
        <f t="shared" si="196"/>
        <v>425388</v>
      </c>
      <c r="RPM23" s="30">
        <f t="shared" si="196"/>
        <v>425418</v>
      </c>
      <c r="RPN23" s="30">
        <f t="shared" si="196"/>
        <v>425449</v>
      </c>
      <c r="RPO23" s="30">
        <f t="shared" si="196"/>
        <v>425479</v>
      </c>
      <c r="RPP23" s="30">
        <f t="shared" si="196"/>
        <v>425510</v>
      </c>
      <c r="RPQ23" s="30">
        <f t="shared" si="196"/>
        <v>425541</v>
      </c>
      <c r="RPR23" s="30">
        <f t="shared" si="196"/>
        <v>425569</v>
      </c>
      <c r="RPS23" s="30">
        <f t="shared" si="196"/>
        <v>425600</v>
      </c>
      <c r="RPT23" s="30">
        <f t="shared" si="196"/>
        <v>425630</v>
      </c>
      <c r="RPU23" s="30">
        <f t="shared" si="196"/>
        <v>425661</v>
      </c>
      <c r="RPV23" s="30">
        <f t="shared" si="196"/>
        <v>425691</v>
      </c>
      <c r="RPW23" s="30">
        <f t="shared" si="196"/>
        <v>425722</v>
      </c>
      <c r="RPX23" s="30">
        <f t="shared" si="196"/>
        <v>425753</v>
      </c>
      <c r="RPY23" s="30">
        <f t="shared" si="196"/>
        <v>425783</v>
      </c>
      <c r="RPZ23" s="30">
        <f t="shared" si="196"/>
        <v>425814</v>
      </c>
      <c r="RQA23" s="30">
        <f t="shared" si="196"/>
        <v>425844</v>
      </c>
      <c r="RQB23" s="30">
        <f t="shared" ref="RQB23:RSM23" si="197">EDATE(RQA23,1)</f>
        <v>425875</v>
      </c>
      <c r="RQC23" s="30">
        <f t="shared" si="197"/>
        <v>425906</v>
      </c>
      <c r="RQD23" s="30">
        <f t="shared" si="197"/>
        <v>425934</v>
      </c>
      <c r="RQE23" s="30">
        <f t="shared" si="197"/>
        <v>425965</v>
      </c>
      <c r="RQF23" s="30">
        <f t="shared" si="197"/>
        <v>425995</v>
      </c>
      <c r="RQG23" s="30">
        <f t="shared" si="197"/>
        <v>426026</v>
      </c>
      <c r="RQH23" s="30">
        <f t="shared" si="197"/>
        <v>426056</v>
      </c>
      <c r="RQI23" s="30">
        <f t="shared" si="197"/>
        <v>426087</v>
      </c>
      <c r="RQJ23" s="30">
        <f t="shared" si="197"/>
        <v>426118</v>
      </c>
      <c r="RQK23" s="30">
        <f t="shared" si="197"/>
        <v>426148</v>
      </c>
      <c r="RQL23" s="30">
        <f t="shared" si="197"/>
        <v>426179</v>
      </c>
      <c r="RQM23" s="30">
        <f t="shared" si="197"/>
        <v>426209</v>
      </c>
      <c r="RQN23" s="30">
        <f t="shared" si="197"/>
        <v>426240</v>
      </c>
      <c r="RQO23" s="30">
        <f t="shared" si="197"/>
        <v>426271</v>
      </c>
      <c r="RQP23" s="30">
        <f t="shared" si="197"/>
        <v>426299</v>
      </c>
      <c r="RQQ23" s="30">
        <f t="shared" si="197"/>
        <v>426330</v>
      </c>
      <c r="RQR23" s="30">
        <f t="shared" si="197"/>
        <v>426360</v>
      </c>
      <c r="RQS23" s="30">
        <f t="shared" si="197"/>
        <v>426391</v>
      </c>
      <c r="RQT23" s="30">
        <f t="shared" si="197"/>
        <v>426421</v>
      </c>
      <c r="RQU23" s="30">
        <f t="shared" si="197"/>
        <v>426452</v>
      </c>
      <c r="RQV23" s="30">
        <f t="shared" si="197"/>
        <v>426483</v>
      </c>
      <c r="RQW23" s="30">
        <f t="shared" si="197"/>
        <v>426513</v>
      </c>
      <c r="RQX23" s="30">
        <f t="shared" si="197"/>
        <v>426544</v>
      </c>
      <c r="RQY23" s="30">
        <f t="shared" si="197"/>
        <v>426574</v>
      </c>
      <c r="RQZ23" s="30">
        <f t="shared" si="197"/>
        <v>426605</v>
      </c>
      <c r="RRA23" s="30">
        <f t="shared" si="197"/>
        <v>426636</v>
      </c>
      <c r="RRB23" s="30">
        <f t="shared" si="197"/>
        <v>426665</v>
      </c>
      <c r="RRC23" s="30">
        <f t="shared" si="197"/>
        <v>426696</v>
      </c>
      <c r="RRD23" s="30">
        <f t="shared" si="197"/>
        <v>426726</v>
      </c>
      <c r="RRE23" s="30">
        <f t="shared" si="197"/>
        <v>426757</v>
      </c>
      <c r="RRF23" s="30">
        <f t="shared" si="197"/>
        <v>426787</v>
      </c>
      <c r="RRG23" s="30">
        <f t="shared" si="197"/>
        <v>426818</v>
      </c>
      <c r="RRH23" s="30">
        <f t="shared" si="197"/>
        <v>426849</v>
      </c>
      <c r="RRI23" s="30">
        <f t="shared" si="197"/>
        <v>426879</v>
      </c>
      <c r="RRJ23" s="30">
        <f t="shared" si="197"/>
        <v>426910</v>
      </c>
      <c r="RRK23" s="30">
        <f t="shared" si="197"/>
        <v>426940</v>
      </c>
      <c r="RRL23" s="30">
        <f t="shared" si="197"/>
        <v>426971</v>
      </c>
      <c r="RRM23" s="30">
        <f t="shared" si="197"/>
        <v>427002</v>
      </c>
      <c r="RRN23" s="30">
        <f t="shared" si="197"/>
        <v>427030</v>
      </c>
      <c r="RRO23" s="30">
        <f t="shared" si="197"/>
        <v>427061</v>
      </c>
      <c r="RRP23" s="30">
        <f t="shared" si="197"/>
        <v>427091</v>
      </c>
      <c r="RRQ23" s="30">
        <f t="shared" si="197"/>
        <v>427122</v>
      </c>
      <c r="RRR23" s="30">
        <f t="shared" si="197"/>
        <v>427152</v>
      </c>
      <c r="RRS23" s="30">
        <f t="shared" si="197"/>
        <v>427183</v>
      </c>
      <c r="RRT23" s="30">
        <f t="shared" si="197"/>
        <v>427214</v>
      </c>
      <c r="RRU23" s="30">
        <f t="shared" si="197"/>
        <v>427244</v>
      </c>
      <c r="RRV23" s="30">
        <f t="shared" si="197"/>
        <v>427275</v>
      </c>
      <c r="RRW23" s="30">
        <f t="shared" si="197"/>
        <v>427305</v>
      </c>
      <c r="RRX23" s="30">
        <f t="shared" si="197"/>
        <v>427336</v>
      </c>
      <c r="RRY23" s="30">
        <f t="shared" si="197"/>
        <v>427367</v>
      </c>
      <c r="RRZ23" s="30">
        <f t="shared" si="197"/>
        <v>427395</v>
      </c>
      <c r="RSA23" s="30">
        <f t="shared" si="197"/>
        <v>427426</v>
      </c>
      <c r="RSB23" s="30">
        <f t="shared" si="197"/>
        <v>427456</v>
      </c>
      <c r="RSC23" s="30">
        <f t="shared" si="197"/>
        <v>427487</v>
      </c>
      <c r="RSD23" s="30">
        <f t="shared" si="197"/>
        <v>427517</v>
      </c>
      <c r="RSE23" s="30">
        <f t="shared" si="197"/>
        <v>427548</v>
      </c>
      <c r="RSF23" s="30">
        <f t="shared" si="197"/>
        <v>427579</v>
      </c>
      <c r="RSG23" s="30">
        <f t="shared" si="197"/>
        <v>427609</v>
      </c>
      <c r="RSH23" s="30">
        <f t="shared" si="197"/>
        <v>427640</v>
      </c>
      <c r="RSI23" s="30">
        <f t="shared" si="197"/>
        <v>427670</v>
      </c>
      <c r="RSJ23" s="30">
        <f t="shared" si="197"/>
        <v>427701</v>
      </c>
      <c r="RSK23" s="30">
        <f t="shared" si="197"/>
        <v>427732</v>
      </c>
      <c r="RSL23" s="30">
        <f t="shared" si="197"/>
        <v>427760</v>
      </c>
      <c r="RSM23" s="30">
        <f t="shared" si="197"/>
        <v>427791</v>
      </c>
      <c r="RSN23" s="30">
        <f t="shared" ref="RSN23:RUY23" si="198">EDATE(RSM23,1)</f>
        <v>427821</v>
      </c>
      <c r="RSO23" s="30">
        <f t="shared" si="198"/>
        <v>427852</v>
      </c>
      <c r="RSP23" s="30">
        <f t="shared" si="198"/>
        <v>427882</v>
      </c>
      <c r="RSQ23" s="30">
        <f t="shared" si="198"/>
        <v>427913</v>
      </c>
      <c r="RSR23" s="30">
        <f t="shared" si="198"/>
        <v>427944</v>
      </c>
      <c r="RSS23" s="30">
        <f t="shared" si="198"/>
        <v>427974</v>
      </c>
      <c r="RST23" s="30">
        <f t="shared" si="198"/>
        <v>428005</v>
      </c>
      <c r="RSU23" s="30">
        <f t="shared" si="198"/>
        <v>428035</v>
      </c>
      <c r="RSV23" s="30">
        <f t="shared" si="198"/>
        <v>428066</v>
      </c>
      <c r="RSW23" s="30">
        <f t="shared" si="198"/>
        <v>428097</v>
      </c>
      <c r="RSX23" s="30">
        <f t="shared" si="198"/>
        <v>428126</v>
      </c>
      <c r="RSY23" s="30">
        <f t="shared" si="198"/>
        <v>428157</v>
      </c>
      <c r="RSZ23" s="30">
        <f t="shared" si="198"/>
        <v>428187</v>
      </c>
      <c r="RTA23" s="30">
        <f t="shared" si="198"/>
        <v>428218</v>
      </c>
      <c r="RTB23" s="30">
        <f t="shared" si="198"/>
        <v>428248</v>
      </c>
      <c r="RTC23" s="30">
        <f t="shared" si="198"/>
        <v>428279</v>
      </c>
      <c r="RTD23" s="30">
        <f t="shared" si="198"/>
        <v>428310</v>
      </c>
      <c r="RTE23" s="30">
        <f t="shared" si="198"/>
        <v>428340</v>
      </c>
      <c r="RTF23" s="30">
        <f t="shared" si="198"/>
        <v>428371</v>
      </c>
      <c r="RTG23" s="30">
        <f t="shared" si="198"/>
        <v>428401</v>
      </c>
      <c r="RTH23" s="30">
        <f t="shared" si="198"/>
        <v>428432</v>
      </c>
      <c r="RTI23" s="30">
        <f t="shared" si="198"/>
        <v>428463</v>
      </c>
      <c r="RTJ23" s="30">
        <f t="shared" si="198"/>
        <v>428491</v>
      </c>
      <c r="RTK23" s="30">
        <f t="shared" si="198"/>
        <v>428522</v>
      </c>
      <c r="RTL23" s="30">
        <f t="shared" si="198"/>
        <v>428552</v>
      </c>
      <c r="RTM23" s="30">
        <f t="shared" si="198"/>
        <v>428583</v>
      </c>
      <c r="RTN23" s="30">
        <f t="shared" si="198"/>
        <v>428613</v>
      </c>
      <c r="RTO23" s="30">
        <f t="shared" si="198"/>
        <v>428644</v>
      </c>
      <c r="RTP23" s="30">
        <f t="shared" si="198"/>
        <v>428675</v>
      </c>
      <c r="RTQ23" s="30">
        <f t="shared" si="198"/>
        <v>428705</v>
      </c>
      <c r="RTR23" s="30">
        <f t="shared" si="198"/>
        <v>428736</v>
      </c>
      <c r="RTS23" s="30">
        <f t="shared" si="198"/>
        <v>428766</v>
      </c>
      <c r="RTT23" s="30">
        <f t="shared" si="198"/>
        <v>428797</v>
      </c>
      <c r="RTU23" s="30">
        <f t="shared" si="198"/>
        <v>428828</v>
      </c>
      <c r="RTV23" s="30">
        <f t="shared" si="198"/>
        <v>428856</v>
      </c>
      <c r="RTW23" s="30">
        <f t="shared" si="198"/>
        <v>428887</v>
      </c>
      <c r="RTX23" s="30">
        <f t="shared" si="198"/>
        <v>428917</v>
      </c>
      <c r="RTY23" s="30">
        <f t="shared" si="198"/>
        <v>428948</v>
      </c>
      <c r="RTZ23" s="30">
        <f t="shared" si="198"/>
        <v>428978</v>
      </c>
      <c r="RUA23" s="30">
        <f t="shared" si="198"/>
        <v>429009</v>
      </c>
      <c r="RUB23" s="30">
        <f t="shared" si="198"/>
        <v>429040</v>
      </c>
      <c r="RUC23" s="30">
        <f t="shared" si="198"/>
        <v>429070</v>
      </c>
      <c r="RUD23" s="30">
        <f t="shared" si="198"/>
        <v>429101</v>
      </c>
      <c r="RUE23" s="30">
        <f t="shared" si="198"/>
        <v>429131</v>
      </c>
      <c r="RUF23" s="30">
        <f t="shared" si="198"/>
        <v>429162</v>
      </c>
      <c r="RUG23" s="30">
        <f t="shared" si="198"/>
        <v>429193</v>
      </c>
      <c r="RUH23" s="30">
        <f t="shared" si="198"/>
        <v>429221</v>
      </c>
      <c r="RUI23" s="30">
        <f t="shared" si="198"/>
        <v>429252</v>
      </c>
      <c r="RUJ23" s="30">
        <f t="shared" si="198"/>
        <v>429282</v>
      </c>
      <c r="RUK23" s="30">
        <f t="shared" si="198"/>
        <v>429313</v>
      </c>
      <c r="RUL23" s="30">
        <f t="shared" si="198"/>
        <v>429343</v>
      </c>
      <c r="RUM23" s="30">
        <f t="shared" si="198"/>
        <v>429374</v>
      </c>
      <c r="RUN23" s="30">
        <f t="shared" si="198"/>
        <v>429405</v>
      </c>
      <c r="RUO23" s="30">
        <f t="shared" si="198"/>
        <v>429435</v>
      </c>
      <c r="RUP23" s="30">
        <f t="shared" si="198"/>
        <v>429466</v>
      </c>
      <c r="RUQ23" s="30">
        <f t="shared" si="198"/>
        <v>429496</v>
      </c>
      <c r="RUR23" s="30">
        <f t="shared" si="198"/>
        <v>429527</v>
      </c>
      <c r="RUS23" s="30">
        <f t="shared" si="198"/>
        <v>429558</v>
      </c>
      <c r="RUT23" s="30">
        <f t="shared" si="198"/>
        <v>429587</v>
      </c>
      <c r="RUU23" s="30">
        <f t="shared" si="198"/>
        <v>429618</v>
      </c>
      <c r="RUV23" s="30">
        <f t="shared" si="198"/>
        <v>429648</v>
      </c>
      <c r="RUW23" s="30">
        <f t="shared" si="198"/>
        <v>429679</v>
      </c>
      <c r="RUX23" s="30">
        <f t="shared" si="198"/>
        <v>429709</v>
      </c>
      <c r="RUY23" s="30">
        <f t="shared" si="198"/>
        <v>429740</v>
      </c>
      <c r="RUZ23" s="30">
        <f t="shared" ref="RUZ23:RXK23" si="199">EDATE(RUY23,1)</f>
        <v>429771</v>
      </c>
      <c r="RVA23" s="30">
        <f t="shared" si="199"/>
        <v>429801</v>
      </c>
      <c r="RVB23" s="30">
        <f t="shared" si="199"/>
        <v>429832</v>
      </c>
      <c r="RVC23" s="30">
        <f t="shared" si="199"/>
        <v>429862</v>
      </c>
      <c r="RVD23" s="30">
        <f t="shared" si="199"/>
        <v>429893</v>
      </c>
      <c r="RVE23" s="30">
        <f t="shared" si="199"/>
        <v>429924</v>
      </c>
      <c r="RVF23" s="30">
        <f t="shared" si="199"/>
        <v>429952</v>
      </c>
      <c r="RVG23" s="30">
        <f t="shared" si="199"/>
        <v>429983</v>
      </c>
      <c r="RVH23" s="30">
        <f t="shared" si="199"/>
        <v>430013</v>
      </c>
      <c r="RVI23" s="30">
        <f t="shared" si="199"/>
        <v>430044</v>
      </c>
      <c r="RVJ23" s="30">
        <f t="shared" si="199"/>
        <v>430074</v>
      </c>
      <c r="RVK23" s="30">
        <f t="shared" si="199"/>
        <v>430105</v>
      </c>
      <c r="RVL23" s="30">
        <f t="shared" si="199"/>
        <v>430136</v>
      </c>
      <c r="RVM23" s="30">
        <f t="shared" si="199"/>
        <v>430166</v>
      </c>
      <c r="RVN23" s="30">
        <f t="shared" si="199"/>
        <v>430197</v>
      </c>
      <c r="RVO23" s="30">
        <f t="shared" si="199"/>
        <v>430227</v>
      </c>
      <c r="RVP23" s="30">
        <f t="shared" si="199"/>
        <v>430258</v>
      </c>
      <c r="RVQ23" s="30">
        <f t="shared" si="199"/>
        <v>430289</v>
      </c>
      <c r="RVR23" s="30">
        <f t="shared" si="199"/>
        <v>430317</v>
      </c>
      <c r="RVS23" s="30">
        <f t="shared" si="199"/>
        <v>430348</v>
      </c>
      <c r="RVT23" s="30">
        <f t="shared" si="199"/>
        <v>430378</v>
      </c>
      <c r="RVU23" s="30">
        <f t="shared" si="199"/>
        <v>430409</v>
      </c>
      <c r="RVV23" s="30">
        <f t="shared" si="199"/>
        <v>430439</v>
      </c>
      <c r="RVW23" s="30">
        <f t="shared" si="199"/>
        <v>430470</v>
      </c>
      <c r="RVX23" s="30">
        <f t="shared" si="199"/>
        <v>430501</v>
      </c>
      <c r="RVY23" s="30">
        <f t="shared" si="199"/>
        <v>430531</v>
      </c>
      <c r="RVZ23" s="30">
        <f t="shared" si="199"/>
        <v>430562</v>
      </c>
      <c r="RWA23" s="30">
        <f t="shared" si="199"/>
        <v>430592</v>
      </c>
      <c r="RWB23" s="30">
        <f t="shared" si="199"/>
        <v>430623</v>
      </c>
      <c r="RWC23" s="30">
        <f t="shared" si="199"/>
        <v>430654</v>
      </c>
      <c r="RWD23" s="30">
        <f t="shared" si="199"/>
        <v>430682</v>
      </c>
      <c r="RWE23" s="30">
        <f t="shared" si="199"/>
        <v>430713</v>
      </c>
      <c r="RWF23" s="30">
        <f t="shared" si="199"/>
        <v>430743</v>
      </c>
      <c r="RWG23" s="30">
        <f t="shared" si="199"/>
        <v>430774</v>
      </c>
      <c r="RWH23" s="30">
        <f t="shared" si="199"/>
        <v>430804</v>
      </c>
      <c r="RWI23" s="30">
        <f t="shared" si="199"/>
        <v>430835</v>
      </c>
      <c r="RWJ23" s="30">
        <f t="shared" si="199"/>
        <v>430866</v>
      </c>
      <c r="RWK23" s="30">
        <f t="shared" si="199"/>
        <v>430896</v>
      </c>
      <c r="RWL23" s="30">
        <f t="shared" si="199"/>
        <v>430927</v>
      </c>
      <c r="RWM23" s="30">
        <f t="shared" si="199"/>
        <v>430957</v>
      </c>
      <c r="RWN23" s="30">
        <f t="shared" si="199"/>
        <v>430988</v>
      </c>
      <c r="RWO23" s="30">
        <f t="shared" si="199"/>
        <v>431019</v>
      </c>
      <c r="RWP23" s="30">
        <f t="shared" si="199"/>
        <v>431048</v>
      </c>
      <c r="RWQ23" s="30">
        <f t="shared" si="199"/>
        <v>431079</v>
      </c>
      <c r="RWR23" s="30">
        <f t="shared" si="199"/>
        <v>431109</v>
      </c>
      <c r="RWS23" s="30">
        <f t="shared" si="199"/>
        <v>431140</v>
      </c>
      <c r="RWT23" s="30">
        <f t="shared" si="199"/>
        <v>431170</v>
      </c>
      <c r="RWU23" s="30">
        <f t="shared" si="199"/>
        <v>431201</v>
      </c>
      <c r="RWV23" s="30">
        <f t="shared" si="199"/>
        <v>431232</v>
      </c>
      <c r="RWW23" s="30">
        <f t="shared" si="199"/>
        <v>431262</v>
      </c>
      <c r="RWX23" s="30">
        <f t="shared" si="199"/>
        <v>431293</v>
      </c>
      <c r="RWY23" s="30">
        <f t="shared" si="199"/>
        <v>431323</v>
      </c>
      <c r="RWZ23" s="30">
        <f t="shared" si="199"/>
        <v>431354</v>
      </c>
      <c r="RXA23" s="30">
        <f t="shared" si="199"/>
        <v>431385</v>
      </c>
      <c r="RXB23" s="30">
        <f t="shared" si="199"/>
        <v>431413</v>
      </c>
      <c r="RXC23" s="30">
        <f t="shared" si="199"/>
        <v>431444</v>
      </c>
      <c r="RXD23" s="30">
        <f t="shared" si="199"/>
        <v>431474</v>
      </c>
      <c r="RXE23" s="30">
        <f t="shared" si="199"/>
        <v>431505</v>
      </c>
      <c r="RXF23" s="30">
        <f t="shared" si="199"/>
        <v>431535</v>
      </c>
      <c r="RXG23" s="30">
        <f t="shared" si="199"/>
        <v>431566</v>
      </c>
      <c r="RXH23" s="30">
        <f t="shared" si="199"/>
        <v>431597</v>
      </c>
      <c r="RXI23" s="30">
        <f t="shared" si="199"/>
        <v>431627</v>
      </c>
      <c r="RXJ23" s="30">
        <f t="shared" si="199"/>
        <v>431658</v>
      </c>
      <c r="RXK23" s="30">
        <f t="shared" si="199"/>
        <v>431688</v>
      </c>
      <c r="RXL23" s="30">
        <f t="shared" ref="RXL23:RZW23" si="200">EDATE(RXK23,1)</f>
        <v>431719</v>
      </c>
      <c r="RXM23" s="30">
        <f t="shared" si="200"/>
        <v>431750</v>
      </c>
      <c r="RXN23" s="30">
        <f t="shared" si="200"/>
        <v>431778</v>
      </c>
      <c r="RXO23" s="30">
        <f t="shared" si="200"/>
        <v>431809</v>
      </c>
      <c r="RXP23" s="30">
        <f t="shared" si="200"/>
        <v>431839</v>
      </c>
      <c r="RXQ23" s="30">
        <f t="shared" si="200"/>
        <v>431870</v>
      </c>
      <c r="RXR23" s="30">
        <f t="shared" si="200"/>
        <v>431900</v>
      </c>
      <c r="RXS23" s="30">
        <f t="shared" si="200"/>
        <v>431931</v>
      </c>
      <c r="RXT23" s="30">
        <f t="shared" si="200"/>
        <v>431962</v>
      </c>
      <c r="RXU23" s="30">
        <f t="shared" si="200"/>
        <v>431992</v>
      </c>
      <c r="RXV23" s="30">
        <f t="shared" si="200"/>
        <v>432023</v>
      </c>
      <c r="RXW23" s="30">
        <f t="shared" si="200"/>
        <v>432053</v>
      </c>
      <c r="RXX23" s="30">
        <f t="shared" si="200"/>
        <v>432084</v>
      </c>
      <c r="RXY23" s="30">
        <f t="shared" si="200"/>
        <v>432115</v>
      </c>
      <c r="RXZ23" s="30">
        <f t="shared" si="200"/>
        <v>432143</v>
      </c>
      <c r="RYA23" s="30">
        <f t="shared" si="200"/>
        <v>432174</v>
      </c>
      <c r="RYB23" s="30">
        <f t="shared" si="200"/>
        <v>432204</v>
      </c>
      <c r="RYC23" s="30">
        <f t="shared" si="200"/>
        <v>432235</v>
      </c>
      <c r="RYD23" s="30">
        <f t="shared" si="200"/>
        <v>432265</v>
      </c>
      <c r="RYE23" s="30">
        <f t="shared" si="200"/>
        <v>432296</v>
      </c>
      <c r="RYF23" s="30">
        <f t="shared" si="200"/>
        <v>432327</v>
      </c>
      <c r="RYG23" s="30">
        <f t="shared" si="200"/>
        <v>432357</v>
      </c>
      <c r="RYH23" s="30">
        <f t="shared" si="200"/>
        <v>432388</v>
      </c>
      <c r="RYI23" s="30">
        <f t="shared" si="200"/>
        <v>432418</v>
      </c>
      <c r="RYJ23" s="30">
        <f t="shared" si="200"/>
        <v>432449</v>
      </c>
      <c r="RYK23" s="30">
        <f t="shared" si="200"/>
        <v>432480</v>
      </c>
      <c r="RYL23" s="30">
        <f t="shared" si="200"/>
        <v>432509</v>
      </c>
      <c r="RYM23" s="30">
        <f t="shared" si="200"/>
        <v>432540</v>
      </c>
      <c r="RYN23" s="30">
        <f t="shared" si="200"/>
        <v>432570</v>
      </c>
      <c r="RYO23" s="30">
        <f t="shared" si="200"/>
        <v>432601</v>
      </c>
      <c r="RYP23" s="30">
        <f t="shared" si="200"/>
        <v>432631</v>
      </c>
      <c r="RYQ23" s="30">
        <f t="shared" si="200"/>
        <v>432662</v>
      </c>
      <c r="RYR23" s="30">
        <f t="shared" si="200"/>
        <v>432693</v>
      </c>
      <c r="RYS23" s="30">
        <f t="shared" si="200"/>
        <v>432723</v>
      </c>
      <c r="RYT23" s="30">
        <f t="shared" si="200"/>
        <v>432754</v>
      </c>
      <c r="RYU23" s="30">
        <f t="shared" si="200"/>
        <v>432784</v>
      </c>
      <c r="RYV23" s="30">
        <f t="shared" si="200"/>
        <v>432815</v>
      </c>
      <c r="RYW23" s="30">
        <f t="shared" si="200"/>
        <v>432846</v>
      </c>
      <c r="RYX23" s="30">
        <f t="shared" si="200"/>
        <v>432874</v>
      </c>
      <c r="RYY23" s="30">
        <f t="shared" si="200"/>
        <v>432905</v>
      </c>
      <c r="RYZ23" s="30">
        <f t="shared" si="200"/>
        <v>432935</v>
      </c>
      <c r="RZA23" s="30">
        <f t="shared" si="200"/>
        <v>432966</v>
      </c>
      <c r="RZB23" s="30">
        <f t="shared" si="200"/>
        <v>432996</v>
      </c>
      <c r="RZC23" s="30">
        <f t="shared" si="200"/>
        <v>433027</v>
      </c>
      <c r="RZD23" s="30">
        <f t="shared" si="200"/>
        <v>433058</v>
      </c>
      <c r="RZE23" s="30">
        <f t="shared" si="200"/>
        <v>433088</v>
      </c>
      <c r="RZF23" s="30">
        <f t="shared" si="200"/>
        <v>433119</v>
      </c>
      <c r="RZG23" s="30">
        <f t="shared" si="200"/>
        <v>433149</v>
      </c>
      <c r="RZH23" s="30">
        <f t="shared" si="200"/>
        <v>433180</v>
      </c>
      <c r="RZI23" s="30">
        <f t="shared" si="200"/>
        <v>433211</v>
      </c>
      <c r="RZJ23" s="30">
        <f t="shared" si="200"/>
        <v>433239</v>
      </c>
      <c r="RZK23" s="30">
        <f t="shared" si="200"/>
        <v>433270</v>
      </c>
      <c r="RZL23" s="30">
        <f t="shared" si="200"/>
        <v>433300</v>
      </c>
      <c r="RZM23" s="30">
        <f t="shared" si="200"/>
        <v>433331</v>
      </c>
      <c r="RZN23" s="30">
        <f t="shared" si="200"/>
        <v>433361</v>
      </c>
      <c r="RZO23" s="30">
        <f t="shared" si="200"/>
        <v>433392</v>
      </c>
      <c r="RZP23" s="30">
        <f t="shared" si="200"/>
        <v>433423</v>
      </c>
      <c r="RZQ23" s="30">
        <f t="shared" si="200"/>
        <v>433453</v>
      </c>
      <c r="RZR23" s="30">
        <f t="shared" si="200"/>
        <v>433484</v>
      </c>
      <c r="RZS23" s="30">
        <f t="shared" si="200"/>
        <v>433514</v>
      </c>
      <c r="RZT23" s="30">
        <f t="shared" si="200"/>
        <v>433545</v>
      </c>
      <c r="RZU23" s="30">
        <f t="shared" si="200"/>
        <v>433576</v>
      </c>
      <c r="RZV23" s="30">
        <f t="shared" si="200"/>
        <v>433604</v>
      </c>
      <c r="RZW23" s="30">
        <f t="shared" si="200"/>
        <v>433635</v>
      </c>
      <c r="RZX23" s="30">
        <f t="shared" ref="RZX23:SCI23" si="201">EDATE(RZW23,1)</f>
        <v>433665</v>
      </c>
      <c r="RZY23" s="30">
        <f t="shared" si="201"/>
        <v>433696</v>
      </c>
      <c r="RZZ23" s="30">
        <f t="shared" si="201"/>
        <v>433726</v>
      </c>
      <c r="SAA23" s="30">
        <f t="shared" si="201"/>
        <v>433757</v>
      </c>
      <c r="SAB23" s="30">
        <f t="shared" si="201"/>
        <v>433788</v>
      </c>
      <c r="SAC23" s="30">
        <f t="shared" si="201"/>
        <v>433818</v>
      </c>
      <c r="SAD23" s="30">
        <f t="shared" si="201"/>
        <v>433849</v>
      </c>
      <c r="SAE23" s="30">
        <f t="shared" si="201"/>
        <v>433879</v>
      </c>
      <c r="SAF23" s="30">
        <f t="shared" si="201"/>
        <v>433910</v>
      </c>
      <c r="SAG23" s="30">
        <f t="shared" si="201"/>
        <v>433941</v>
      </c>
      <c r="SAH23" s="30">
        <f t="shared" si="201"/>
        <v>433970</v>
      </c>
      <c r="SAI23" s="30">
        <f t="shared" si="201"/>
        <v>434001</v>
      </c>
      <c r="SAJ23" s="30">
        <f t="shared" si="201"/>
        <v>434031</v>
      </c>
      <c r="SAK23" s="30">
        <f t="shared" si="201"/>
        <v>434062</v>
      </c>
      <c r="SAL23" s="30">
        <f t="shared" si="201"/>
        <v>434092</v>
      </c>
      <c r="SAM23" s="30">
        <f t="shared" si="201"/>
        <v>434123</v>
      </c>
      <c r="SAN23" s="30">
        <f t="shared" si="201"/>
        <v>434154</v>
      </c>
      <c r="SAO23" s="30">
        <f t="shared" si="201"/>
        <v>434184</v>
      </c>
      <c r="SAP23" s="30">
        <f t="shared" si="201"/>
        <v>434215</v>
      </c>
      <c r="SAQ23" s="30">
        <f t="shared" si="201"/>
        <v>434245</v>
      </c>
      <c r="SAR23" s="30">
        <f t="shared" si="201"/>
        <v>434276</v>
      </c>
      <c r="SAS23" s="30">
        <f t="shared" si="201"/>
        <v>434307</v>
      </c>
      <c r="SAT23" s="30">
        <f t="shared" si="201"/>
        <v>434335</v>
      </c>
      <c r="SAU23" s="30">
        <f t="shared" si="201"/>
        <v>434366</v>
      </c>
      <c r="SAV23" s="30">
        <f t="shared" si="201"/>
        <v>434396</v>
      </c>
      <c r="SAW23" s="30">
        <f t="shared" si="201"/>
        <v>434427</v>
      </c>
      <c r="SAX23" s="30">
        <f t="shared" si="201"/>
        <v>434457</v>
      </c>
      <c r="SAY23" s="30">
        <f t="shared" si="201"/>
        <v>434488</v>
      </c>
      <c r="SAZ23" s="30">
        <f t="shared" si="201"/>
        <v>434519</v>
      </c>
      <c r="SBA23" s="30">
        <f t="shared" si="201"/>
        <v>434549</v>
      </c>
      <c r="SBB23" s="30">
        <f t="shared" si="201"/>
        <v>434580</v>
      </c>
      <c r="SBC23" s="30">
        <f t="shared" si="201"/>
        <v>434610</v>
      </c>
      <c r="SBD23" s="30">
        <f t="shared" si="201"/>
        <v>434641</v>
      </c>
      <c r="SBE23" s="30">
        <f t="shared" si="201"/>
        <v>434672</v>
      </c>
      <c r="SBF23" s="30">
        <f t="shared" si="201"/>
        <v>434700</v>
      </c>
      <c r="SBG23" s="30">
        <f t="shared" si="201"/>
        <v>434731</v>
      </c>
      <c r="SBH23" s="30">
        <f t="shared" si="201"/>
        <v>434761</v>
      </c>
      <c r="SBI23" s="30">
        <f t="shared" si="201"/>
        <v>434792</v>
      </c>
      <c r="SBJ23" s="30">
        <f t="shared" si="201"/>
        <v>434822</v>
      </c>
      <c r="SBK23" s="30">
        <f t="shared" si="201"/>
        <v>434853</v>
      </c>
      <c r="SBL23" s="30">
        <f t="shared" si="201"/>
        <v>434884</v>
      </c>
      <c r="SBM23" s="30">
        <f t="shared" si="201"/>
        <v>434914</v>
      </c>
      <c r="SBN23" s="30">
        <f t="shared" si="201"/>
        <v>434945</v>
      </c>
      <c r="SBO23" s="30">
        <f t="shared" si="201"/>
        <v>434975</v>
      </c>
      <c r="SBP23" s="30">
        <f t="shared" si="201"/>
        <v>435006</v>
      </c>
      <c r="SBQ23" s="30">
        <f t="shared" si="201"/>
        <v>435037</v>
      </c>
      <c r="SBR23" s="30">
        <f t="shared" si="201"/>
        <v>435065</v>
      </c>
      <c r="SBS23" s="30">
        <f t="shared" si="201"/>
        <v>435096</v>
      </c>
      <c r="SBT23" s="30">
        <f t="shared" si="201"/>
        <v>435126</v>
      </c>
      <c r="SBU23" s="30">
        <f t="shared" si="201"/>
        <v>435157</v>
      </c>
      <c r="SBV23" s="30">
        <f t="shared" si="201"/>
        <v>435187</v>
      </c>
      <c r="SBW23" s="30">
        <f t="shared" si="201"/>
        <v>435218</v>
      </c>
      <c r="SBX23" s="30">
        <f t="shared" si="201"/>
        <v>435249</v>
      </c>
      <c r="SBY23" s="30">
        <f t="shared" si="201"/>
        <v>435279</v>
      </c>
      <c r="SBZ23" s="30">
        <f t="shared" si="201"/>
        <v>435310</v>
      </c>
      <c r="SCA23" s="30">
        <f t="shared" si="201"/>
        <v>435340</v>
      </c>
      <c r="SCB23" s="30">
        <f t="shared" si="201"/>
        <v>435371</v>
      </c>
      <c r="SCC23" s="30">
        <f t="shared" si="201"/>
        <v>435402</v>
      </c>
      <c r="SCD23" s="30">
        <f t="shared" si="201"/>
        <v>435431</v>
      </c>
      <c r="SCE23" s="30">
        <f t="shared" si="201"/>
        <v>435462</v>
      </c>
      <c r="SCF23" s="30">
        <f t="shared" si="201"/>
        <v>435492</v>
      </c>
      <c r="SCG23" s="30">
        <f t="shared" si="201"/>
        <v>435523</v>
      </c>
      <c r="SCH23" s="30">
        <f t="shared" si="201"/>
        <v>435553</v>
      </c>
      <c r="SCI23" s="30">
        <f t="shared" si="201"/>
        <v>435584</v>
      </c>
      <c r="SCJ23" s="30">
        <f t="shared" ref="SCJ23:SEU23" si="202">EDATE(SCI23,1)</f>
        <v>435615</v>
      </c>
      <c r="SCK23" s="30">
        <f t="shared" si="202"/>
        <v>435645</v>
      </c>
      <c r="SCL23" s="30">
        <f t="shared" si="202"/>
        <v>435676</v>
      </c>
      <c r="SCM23" s="30">
        <f t="shared" si="202"/>
        <v>435706</v>
      </c>
      <c r="SCN23" s="30">
        <f t="shared" si="202"/>
        <v>435737</v>
      </c>
      <c r="SCO23" s="30">
        <f t="shared" si="202"/>
        <v>435768</v>
      </c>
      <c r="SCP23" s="30">
        <f t="shared" si="202"/>
        <v>435796</v>
      </c>
      <c r="SCQ23" s="30">
        <f t="shared" si="202"/>
        <v>435827</v>
      </c>
      <c r="SCR23" s="30">
        <f t="shared" si="202"/>
        <v>435857</v>
      </c>
      <c r="SCS23" s="30">
        <f t="shared" si="202"/>
        <v>435888</v>
      </c>
      <c r="SCT23" s="30">
        <f t="shared" si="202"/>
        <v>435918</v>
      </c>
      <c r="SCU23" s="30">
        <f t="shared" si="202"/>
        <v>435949</v>
      </c>
      <c r="SCV23" s="30">
        <f t="shared" si="202"/>
        <v>435980</v>
      </c>
      <c r="SCW23" s="30">
        <f t="shared" si="202"/>
        <v>436010</v>
      </c>
      <c r="SCX23" s="30">
        <f t="shared" si="202"/>
        <v>436041</v>
      </c>
      <c r="SCY23" s="30">
        <f t="shared" si="202"/>
        <v>436071</v>
      </c>
      <c r="SCZ23" s="30">
        <f t="shared" si="202"/>
        <v>436102</v>
      </c>
      <c r="SDA23" s="30">
        <f t="shared" si="202"/>
        <v>436133</v>
      </c>
      <c r="SDB23" s="30">
        <f t="shared" si="202"/>
        <v>436161</v>
      </c>
      <c r="SDC23" s="30">
        <f t="shared" si="202"/>
        <v>436192</v>
      </c>
      <c r="SDD23" s="30">
        <f t="shared" si="202"/>
        <v>436222</v>
      </c>
      <c r="SDE23" s="30">
        <f t="shared" si="202"/>
        <v>436253</v>
      </c>
      <c r="SDF23" s="30">
        <f t="shared" si="202"/>
        <v>436283</v>
      </c>
      <c r="SDG23" s="30">
        <f t="shared" si="202"/>
        <v>436314</v>
      </c>
      <c r="SDH23" s="30">
        <f t="shared" si="202"/>
        <v>436345</v>
      </c>
      <c r="SDI23" s="30">
        <f t="shared" si="202"/>
        <v>436375</v>
      </c>
      <c r="SDJ23" s="30">
        <f t="shared" si="202"/>
        <v>436406</v>
      </c>
      <c r="SDK23" s="30">
        <f t="shared" si="202"/>
        <v>436436</v>
      </c>
      <c r="SDL23" s="30">
        <f t="shared" si="202"/>
        <v>436467</v>
      </c>
      <c r="SDM23" s="30">
        <f t="shared" si="202"/>
        <v>436498</v>
      </c>
      <c r="SDN23" s="30">
        <f t="shared" si="202"/>
        <v>436526</v>
      </c>
      <c r="SDO23" s="30">
        <f t="shared" si="202"/>
        <v>436557</v>
      </c>
      <c r="SDP23" s="30">
        <f t="shared" si="202"/>
        <v>436587</v>
      </c>
      <c r="SDQ23" s="30">
        <f t="shared" si="202"/>
        <v>436618</v>
      </c>
      <c r="SDR23" s="30">
        <f t="shared" si="202"/>
        <v>436648</v>
      </c>
      <c r="SDS23" s="30">
        <f t="shared" si="202"/>
        <v>436679</v>
      </c>
      <c r="SDT23" s="30">
        <f t="shared" si="202"/>
        <v>436710</v>
      </c>
      <c r="SDU23" s="30">
        <f t="shared" si="202"/>
        <v>436740</v>
      </c>
      <c r="SDV23" s="30">
        <f t="shared" si="202"/>
        <v>436771</v>
      </c>
      <c r="SDW23" s="30">
        <f t="shared" si="202"/>
        <v>436801</v>
      </c>
      <c r="SDX23" s="30">
        <f t="shared" si="202"/>
        <v>436832</v>
      </c>
      <c r="SDY23" s="30">
        <f t="shared" si="202"/>
        <v>436863</v>
      </c>
      <c r="SDZ23" s="30">
        <f t="shared" si="202"/>
        <v>436892</v>
      </c>
      <c r="SEA23" s="30">
        <f t="shared" si="202"/>
        <v>436923</v>
      </c>
      <c r="SEB23" s="30">
        <f t="shared" si="202"/>
        <v>436953</v>
      </c>
      <c r="SEC23" s="30">
        <f t="shared" si="202"/>
        <v>436984</v>
      </c>
      <c r="SED23" s="30">
        <f t="shared" si="202"/>
        <v>437014</v>
      </c>
      <c r="SEE23" s="30">
        <f t="shared" si="202"/>
        <v>437045</v>
      </c>
      <c r="SEF23" s="30">
        <f t="shared" si="202"/>
        <v>437076</v>
      </c>
      <c r="SEG23" s="30">
        <f t="shared" si="202"/>
        <v>437106</v>
      </c>
      <c r="SEH23" s="30">
        <f t="shared" si="202"/>
        <v>437137</v>
      </c>
      <c r="SEI23" s="30">
        <f t="shared" si="202"/>
        <v>437167</v>
      </c>
      <c r="SEJ23" s="30">
        <f t="shared" si="202"/>
        <v>437198</v>
      </c>
      <c r="SEK23" s="30">
        <f t="shared" si="202"/>
        <v>437229</v>
      </c>
      <c r="SEL23" s="30">
        <f t="shared" si="202"/>
        <v>437257</v>
      </c>
      <c r="SEM23" s="30">
        <f t="shared" si="202"/>
        <v>437288</v>
      </c>
      <c r="SEN23" s="30">
        <f t="shared" si="202"/>
        <v>437318</v>
      </c>
      <c r="SEO23" s="30">
        <f t="shared" si="202"/>
        <v>437349</v>
      </c>
      <c r="SEP23" s="30">
        <f t="shared" si="202"/>
        <v>437379</v>
      </c>
      <c r="SEQ23" s="30">
        <f t="shared" si="202"/>
        <v>437410</v>
      </c>
      <c r="SER23" s="30">
        <f t="shared" si="202"/>
        <v>437441</v>
      </c>
      <c r="SES23" s="30">
        <f t="shared" si="202"/>
        <v>437471</v>
      </c>
      <c r="SET23" s="30">
        <f t="shared" si="202"/>
        <v>437502</v>
      </c>
      <c r="SEU23" s="30">
        <f t="shared" si="202"/>
        <v>437532</v>
      </c>
      <c r="SEV23" s="30">
        <f t="shared" ref="SEV23:SHG23" si="203">EDATE(SEU23,1)</f>
        <v>437563</v>
      </c>
      <c r="SEW23" s="30">
        <f t="shared" si="203"/>
        <v>437594</v>
      </c>
      <c r="SEX23" s="30">
        <f t="shared" si="203"/>
        <v>437622</v>
      </c>
      <c r="SEY23" s="30">
        <f t="shared" si="203"/>
        <v>437653</v>
      </c>
      <c r="SEZ23" s="30">
        <f t="shared" si="203"/>
        <v>437683</v>
      </c>
      <c r="SFA23" s="30">
        <f t="shared" si="203"/>
        <v>437714</v>
      </c>
      <c r="SFB23" s="30">
        <f t="shared" si="203"/>
        <v>437744</v>
      </c>
      <c r="SFC23" s="30">
        <f t="shared" si="203"/>
        <v>437775</v>
      </c>
      <c r="SFD23" s="30">
        <f t="shared" si="203"/>
        <v>437806</v>
      </c>
      <c r="SFE23" s="30">
        <f t="shared" si="203"/>
        <v>437836</v>
      </c>
      <c r="SFF23" s="30">
        <f t="shared" si="203"/>
        <v>437867</v>
      </c>
      <c r="SFG23" s="30">
        <f t="shared" si="203"/>
        <v>437897</v>
      </c>
      <c r="SFH23" s="30">
        <f t="shared" si="203"/>
        <v>437928</v>
      </c>
      <c r="SFI23" s="30">
        <f t="shared" si="203"/>
        <v>437959</v>
      </c>
      <c r="SFJ23" s="30">
        <f t="shared" si="203"/>
        <v>437987</v>
      </c>
      <c r="SFK23" s="30">
        <f t="shared" si="203"/>
        <v>438018</v>
      </c>
      <c r="SFL23" s="30">
        <f t="shared" si="203"/>
        <v>438048</v>
      </c>
      <c r="SFM23" s="30">
        <f t="shared" si="203"/>
        <v>438079</v>
      </c>
      <c r="SFN23" s="30">
        <f t="shared" si="203"/>
        <v>438109</v>
      </c>
      <c r="SFO23" s="30">
        <f t="shared" si="203"/>
        <v>438140</v>
      </c>
      <c r="SFP23" s="30">
        <f t="shared" si="203"/>
        <v>438171</v>
      </c>
      <c r="SFQ23" s="30">
        <f t="shared" si="203"/>
        <v>438201</v>
      </c>
      <c r="SFR23" s="30">
        <f t="shared" si="203"/>
        <v>438232</v>
      </c>
      <c r="SFS23" s="30">
        <f t="shared" si="203"/>
        <v>438262</v>
      </c>
      <c r="SFT23" s="30">
        <f t="shared" si="203"/>
        <v>438293</v>
      </c>
      <c r="SFU23" s="30">
        <f t="shared" si="203"/>
        <v>438324</v>
      </c>
      <c r="SFV23" s="30">
        <f t="shared" si="203"/>
        <v>438352</v>
      </c>
      <c r="SFW23" s="30">
        <f t="shared" si="203"/>
        <v>438383</v>
      </c>
      <c r="SFX23" s="30">
        <f t="shared" si="203"/>
        <v>438413</v>
      </c>
      <c r="SFY23" s="30">
        <f t="shared" si="203"/>
        <v>438444</v>
      </c>
      <c r="SFZ23" s="30">
        <f t="shared" si="203"/>
        <v>438474</v>
      </c>
      <c r="SGA23" s="30">
        <f t="shared" si="203"/>
        <v>438505</v>
      </c>
      <c r="SGB23" s="30">
        <f t="shared" si="203"/>
        <v>438536</v>
      </c>
      <c r="SGC23" s="30">
        <f t="shared" si="203"/>
        <v>438566</v>
      </c>
      <c r="SGD23" s="30">
        <f t="shared" si="203"/>
        <v>438597</v>
      </c>
      <c r="SGE23" s="30">
        <f t="shared" si="203"/>
        <v>438627</v>
      </c>
      <c r="SGF23" s="30">
        <f t="shared" si="203"/>
        <v>438658</v>
      </c>
      <c r="SGG23" s="30">
        <f t="shared" si="203"/>
        <v>438689</v>
      </c>
      <c r="SGH23" s="30">
        <f t="shared" si="203"/>
        <v>438717</v>
      </c>
      <c r="SGI23" s="30">
        <f t="shared" si="203"/>
        <v>438748</v>
      </c>
      <c r="SGJ23" s="30">
        <f t="shared" si="203"/>
        <v>438778</v>
      </c>
      <c r="SGK23" s="30">
        <f t="shared" si="203"/>
        <v>438809</v>
      </c>
      <c r="SGL23" s="30">
        <f t="shared" si="203"/>
        <v>438839</v>
      </c>
      <c r="SGM23" s="30">
        <f t="shared" si="203"/>
        <v>438870</v>
      </c>
      <c r="SGN23" s="30">
        <f t="shared" si="203"/>
        <v>438901</v>
      </c>
      <c r="SGO23" s="30">
        <f t="shared" si="203"/>
        <v>438931</v>
      </c>
      <c r="SGP23" s="30">
        <f t="shared" si="203"/>
        <v>438962</v>
      </c>
      <c r="SGQ23" s="30">
        <f t="shared" si="203"/>
        <v>438992</v>
      </c>
      <c r="SGR23" s="30">
        <f t="shared" si="203"/>
        <v>439023</v>
      </c>
      <c r="SGS23" s="30">
        <f t="shared" si="203"/>
        <v>439054</v>
      </c>
      <c r="SGT23" s="30">
        <f t="shared" si="203"/>
        <v>439082</v>
      </c>
      <c r="SGU23" s="30">
        <f t="shared" si="203"/>
        <v>439113</v>
      </c>
      <c r="SGV23" s="30">
        <f t="shared" si="203"/>
        <v>439143</v>
      </c>
      <c r="SGW23" s="30">
        <f t="shared" si="203"/>
        <v>439174</v>
      </c>
      <c r="SGX23" s="30">
        <f t="shared" si="203"/>
        <v>439204</v>
      </c>
      <c r="SGY23" s="30">
        <f t="shared" si="203"/>
        <v>439235</v>
      </c>
      <c r="SGZ23" s="30">
        <f t="shared" si="203"/>
        <v>439266</v>
      </c>
      <c r="SHA23" s="30">
        <f t="shared" si="203"/>
        <v>439296</v>
      </c>
      <c r="SHB23" s="30">
        <f t="shared" si="203"/>
        <v>439327</v>
      </c>
      <c r="SHC23" s="30">
        <f t="shared" si="203"/>
        <v>439357</v>
      </c>
      <c r="SHD23" s="30">
        <f t="shared" si="203"/>
        <v>439388</v>
      </c>
      <c r="SHE23" s="30">
        <f t="shared" si="203"/>
        <v>439419</v>
      </c>
      <c r="SHF23" s="30">
        <f t="shared" si="203"/>
        <v>439447</v>
      </c>
      <c r="SHG23" s="30">
        <f t="shared" si="203"/>
        <v>439478</v>
      </c>
      <c r="SHH23" s="30">
        <f t="shared" ref="SHH23:SJS23" si="204">EDATE(SHG23,1)</f>
        <v>439508</v>
      </c>
      <c r="SHI23" s="30">
        <f t="shared" si="204"/>
        <v>439539</v>
      </c>
      <c r="SHJ23" s="30">
        <f t="shared" si="204"/>
        <v>439569</v>
      </c>
      <c r="SHK23" s="30">
        <f t="shared" si="204"/>
        <v>439600</v>
      </c>
      <c r="SHL23" s="30">
        <f t="shared" si="204"/>
        <v>439631</v>
      </c>
      <c r="SHM23" s="30">
        <f t="shared" si="204"/>
        <v>439661</v>
      </c>
      <c r="SHN23" s="30">
        <f t="shared" si="204"/>
        <v>439692</v>
      </c>
      <c r="SHO23" s="30">
        <f t="shared" si="204"/>
        <v>439722</v>
      </c>
      <c r="SHP23" s="30">
        <f t="shared" si="204"/>
        <v>439753</v>
      </c>
      <c r="SHQ23" s="30">
        <f t="shared" si="204"/>
        <v>439784</v>
      </c>
      <c r="SHR23" s="30">
        <f t="shared" si="204"/>
        <v>439813</v>
      </c>
      <c r="SHS23" s="30">
        <f t="shared" si="204"/>
        <v>439844</v>
      </c>
      <c r="SHT23" s="30">
        <f t="shared" si="204"/>
        <v>439874</v>
      </c>
      <c r="SHU23" s="30">
        <f t="shared" si="204"/>
        <v>439905</v>
      </c>
      <c r="SHV23" s="30">
        <f t="shared" si="204"/>
        <v>439935</v>
      </c>
      <c r="SHW23" s="30">
        <f t="shared" si="204"/>
        <v>439966</v>
      </c>
      <c r="SHX23" s="30">
        <f t="shared" si="204"/>
        <v>439997</v>
      </c>
      <c r="SHY23" s="30">
        <f t="shared" si="204"/>
        <v>440027</v>
      </c>
      <c r="SHZ23" s="30">
        <f t="shared" si="204"/>
        <v>440058</v>
      </c>
      <c r="SIA23" s="30">
        <f t="shared" si="204"/>
        <v>440088</v>
      </c>
      <c r="SIB23" s="30">
        <f t="shared" si="204"/>
        <v>440119</v>
      </c>
      <c r="SIC23" s="30">
        <f t="shared" si="204"/>
        <v>440150</v>
      </c>
      <c r="SID23" s="30">
        <f t="shared" si="204"/>
        <v>440178</v>
      </c>
      <c r="SIE23" s="30">
        <f t="shared" si="204"/>
        <v>440209</v>
      </c>
      <c r="SIF23" s="30">
        <f t="shared" si="204"/>
        <v>440239</v>
      </c>
      <c r="SIG23" s="30">
        <f t="shared" si="204"/>
        <v>440270</v>
      </c>
      <c r="SIH23" s="30">
        <f t="shared" si="204"/>
        <v>440300</v>
      </c>
      <c r="SII23" s="30">
        <f t="shared" si="204"/>
        <v>440331</v>
      </c>
      <c r="SIJ23" s="30">
        <f t="shared" si="204"/>
        <v>440362</v>
      </c>
      <c r="SIK23" s="30">
        <f t="shared" si="204"/>
        <v>440392</v>
      </c>
      <c r="SIL23" s="30">
        <f t="shared" si="204"/>
        <v>440423</v>
      </c>
      <c r="SIM23" s="30">
        <f t="shared" si="204"/>
        <v>440453</v>
      </c>
      <c r="SIN23" s="30">
        <f t="shared" si="204"/>
        <v>440484</v>
      </c>
      <c r="SIO23" s="30">
        <f t="shared" si="204"/>
        <v>440515</v>
      </c>
      <c r="SIP23" s="30">
        <f t="shared" si="204"/>
        <v>440543</v>
      </c>
      <c r="SIQ23" s="30">
        <f t="shared" si="204"/>
        <v>440574</v>
      </c>
      <c r="SIR23" s="30">
        <f t="shared" si="204"/>
        <v>440604</v>
      </c>
      <c r="SIS23" s="30">
        <f t="shared" si="204"/>
        <v>440635</v>
      </c>
      <c r="SIT23" s="30">
        <f t="shared" si="204"/>
        <v>440665</v>
      </c>
      <c r="SIU23" s="30">
        <f t="shared" si="204"/>
        <v>440696</v>
      </c>
      <c r="SIV23" s="30">
        <f t="shared" si="204"/>
        <v>440727</v>
      </c>
      <c r="SIW23" s="30">
        <f t="shared" si="204"/>
        <v>440757</v>
      </c>
      <c r="SIX23" s="30">
        <f t="shared" si="204"/>
        <v>440788</v>
      </c>
      <c r="SIY23" s="30">
        <f t="shared" si="204"/>
        <v>440818</v>
      </c>
      <c r="SIZ23" s="30">
        <f t="shared" si="204"/>
        <v>440849</v>
      </c>
      <c r="SJA23" s="30">
        <f t="shared" si="204"/>
        <v>440880</v>
      </c>
      <c r="SJB23" s="30">
        <f t="shared" si="204"/>
        <v>440908</v>
      </c>
      <c r="SJC23" s="30">
        <f t="shared" si="204"/>
        <v>440939</v>
      </c>
      <c r="SJD23" s="30">
        <f t="shared" si="204"/>
        <v>440969</v>
      </c>
      <c r="SJE23" s="30">
        <f t="shared" si="204"/>
        <v>441000</v>
      </c>
      <c r="SJF23" s="30">
        <f t="shared" si="204"/>
        <v>441030</v>
      </c>
      <c r="SJG23" s="30">
        <f t="shared" si="204"/>
        <v>441061</v>
      </c>
      <c r="SJH23" s="30">
        <f t="shared" si="204"/>
        <v>441092</v>
      </c>
      <c r="SJI23" s="30">
        <f t="shared" si="204"/>
        <v>441122</v>
      </c>
      <c r="SJJ23" s="30">
        <f t="shared" si="204"/>
        <v>441153</v>
      </c>
      <c r="SJK23" s="30">
        <f t="shared" si="204"/>
        <v>441183</v>
      </c>
      <c r="SJL23" s="30">
        <f t="shared" si="204"/>
        <v>441214</v>
      </c>
      <c r="SJM23" s="30">
        <f t="shared" si="204"/>
        <v>441245</v>
      </c>
      <c r="SJN23" s="30">
        <f t="shared" si="204"/>
        <v>441274</v>
      </c>
      <c r="SJO23" s="30">
        <f t="shared" si="204"/>
        <v>441305</v>
      </c>
      <c r="SJP23" s="30">
        <f t="shared" si="204"/>
        <v>441335</v>
      </c>
      <c r="SJQ23" s="30">
        <f t="shared" si="204"/>
        <v>441366</v>
      </c>
      <c r="SJR23" s="30">
        <f t="shared" si="204"/>
        <v>441396</v>
      </c>
      <c r="SJS23" s="30">
        <f t="shared" si="204"/>
        <v>441427</v>
      </c>
      <c r="SJT23" s="30">
        <f t="shared" ref="SJT23:SME23" si="205">EDATE(SJS23,1)</f>
        <v>441458</v>
      </c>
      <c r="SJU23" s="30">
        <f t="shared" si="205"/>
        <v>441488</v>
      </c>
      <c r="SJV23" s="30">
        <f t="shared" si="205"/>
        <v>441519</v>
      </c>
      <c r="SJW23" s="30">
        <f t="shared" si="205"/>
        <v>441549</v>
      </c>
      <c r="SJX23" s="30">
        <f t="shared" si="205"/>
        <v>441580</v>
      </c>
      <c r="SJY23" s="30">
        <f t="shared" si="205"/>
        <v>441611</v>
      </c>
      <c r="SJZ23" s="30">
        <f t="shared" si="205"/>
        <v>441639</v>
      </c>
      <c r="SKA23" s="30">
        <f t="shared" si="205"/>
        <v>441670</v>
      </c>
      <c r="SKB23" s="30">
        <f t="shared" si="205"/>
        <v>441700</v>
      </c>
      <c r="SKC23" s="30">
        <f t="shared" si="205"/>
        <v>441731</v>
      </c>
      <c r="SKD23" s="30">
        <f t="shared" si="205"/>
        <v>441761</v>
      </c>
      <c r="SKE23" s="30">
        <f t="shared" si="205"/>
        <v>441792</v>
      </c>
      <c r="SKF23" s="30">
        <f t="shared" si="205"/>
        <v>441823</v>
      </c>
      <c r="SKG23" s="30">
        <f t="shared" si="205"/>
        <v>441853</v>
      </c>
      <c r="SKH23" s="30">
        <f t="shared" si="205"/>
        <v>441884</v>
      </c>
      <c r="SKI23" s="30">
        <f t="shared" si="205"/>
        <v>441914</v>
      </c>
      <c r="SKJ23" s="30">
        <f t="shared" si="205"/>
        <v>441945</v>
      </c>
      <c r="SKK23" s="30">
        <f t="shared" si="205"/>
        <v>441976</v>
      </c>
      <c r="SKL23" s="30">
        <f t="shared" si="205"/>
        <v>442004</v>
      </c>
      <c r="SKM23" s="30">
        <f t="shared" si="205"/>
        <v>442035</v>
      </c>
      <c r="SKN23" s="30">
        <f t="shared" si="205"/>
        <v>442065</v>
      </c>
      <c r="SKO23" s="30">
        <f t="shared" si="205"/>
        <v>442096</v>
      </c>
      <c r="SKP23" s="30">
        <f t="shared" si="205"/>
        <v>442126</v>
      </c>
      <c r="SKQ23" s="30">
        <f t="shared" si="205"/>
        <v>442157</v>
      </c>
      <c r="SKR23" s="30">
        <f t="shared" si="205"/>
        <v>442188</v>
      </c>
      <c r="SKS23" s="30">
        <f t="shared" si="205"/>
        <v>442218</v>
      </c>
      <c r="SKT23" s="30">
        <f t="shared" si="205"/>
        <v>442249</v>
      </c>
      <c r="SKU23" s="30">
        <f t="shared" si="205"/>
        <v>442279</v>
      </c>
      <c r="SKV23" s="30">
        <f t="shared" si="205"/>
        <v>442310</v>
      </c>
      <c r="SKW23" s="30">
        <f t="shared" si="205"/>
        <v>442341</v>
      </c>
      <c r="SKX23" s="30">
        <f t="shared" si="205"/>
        <v>442369</v>
      </c>
      <c r="SKY23" s="30">
        <f t="shared" si="205"/>
        <v>442400</v>
      </c>
      <c r="SKZ23" s="30">
        <f t="shared" si="205"/>
        <v>442430</v>
      </c>
      <c r="SLA23" s="30">
        <f t="shared" si="205"/>
        <v>442461</v>
      </c>
      <c r="SLB23" s="30">
        <f t="shared" si="205"/>
        <v>442491</v>
      </c>
      <c r="SLC23" s="30">
        <f t="shared" si="205"/>
        <v>442522</v>
      </c>
      <c r="SLD23" s="30">
        <f t="shared" si="205"/>
        <v>442553</v>
      </c>
      <c r="SLE23" s="30">
        <f t="shared" si="205"/>
        <v>442583</v>
      </c>
      <c r="SLF23" s="30">
        <f t="shared" si="205"/>
        <v>442614</v>
      </c>
      <c r="SLG23" s="30">
        <f t="shared" si="205"/>
        <v>442644</v>
      </c>
      <c r="SLH23" s="30">
        <f t="shared" si="205"/>
        <v>442675</v>
      </c>
      <c r="SLI23" s="30">
        <f t="shared" si="205"/>
        <v>442706</v>
      </c>
      <c r="SLJ23" s="30">
        <f t="shared" si="205"/>
        <v>442735</v>
      </c>
      <c r="SLK23" s="30">
        <f t="shared" si="205"/>
        <v>442766</v>
      </c>
      <c r="SLL23" s="30">
        <f t="shared" si="205"/>
        <v>442796</v>
      </c>
      <c r="SLM23" s="30">
        <f t="shared" si="205"/>
        <v>442827</v>
      </c>
      <c r="SLN23" s="30">
        <f t="shared" si="205"/>
        <v>442857</v>
      </c>
      <c r="SLO23" s="30">
        <f t="shared" si="205"/>
        <v>442888</v>
      </c>
      <c r="SLP23" s="30">
        <f t="shared" si="205"/>
        <v>442919</v>
      </c>
      <c r="SLQ23" s="30">
        <f t="shared" si="205"/>
        <v>442949</v>
      </c>
      <c r="SLR23" s="30">
        <f t="shared" si="205"/>
        <v>442980</v>
      </c>
      <c r="SLS23" s="30">
        <f t="shared" si="205"/>
        <v>443010</v>
      </c>
      <c r="SLT23" s="30">
        <f t="shared" si="205"/>
        <v>443041</v>
      </c>
      <c r="SLU23" s="30">
        <f t="shared" si="205"/>
        <v>443072</v>
      </c>
      <c r="SLV23" s="30">
        <f t="shared" si="205"/>
        <v>443100</v>
      </c>
      <c r="SLW23" s="30">
        <f t="shared" si="205"/>
        <v>443131</v>
      </c>
      <c r="SLX23" s="30">
        <f t="shared" si="205"/>
        <v>443161</v>
      </c>
      <c r="SLY23" s="30">
        <f t="shared" si="205"/>
        <v>443192</v>
      </c>
      <c r="SLZ23" s="30">
        <f t="shared" si="205"/>
        <v>443222</v>
      </c>
      <c r="SMA23" s="30">
        <f t="shared" si="205"/>
        <v>443253</v>
      </c>
      <c r="SMB23" s="30">
        <f t="shared" si="205"/>
        <v>443284</v>
      </c>
      <c r="SMC23" s="30">
        <f t="shared" si="205"/>
        <v>443314</v>
      </c>
      <c r="SMD23" s="30">
        <f t="shared" si="205"/>
        <v>443345</v>
      </c>
      <c r="SME23" s="30">
        <f t="shared" si="205"/>
        <v>443375</v>
      </c>
      <c r="SMF23" s="30">
        <f t="shared" ref="SMF23:SOQ23" si="206">EDATE(SME23,1)</f>
        <v>443406</v>
      </c>
      <c r="SMG23" s="30">
        <f t="shared" si="206"/>
        <v>443437</v>
      </c>
      <c r="SMH23" s="30">
        <f t="shared" si="206"/>
        <v>443465</v>
      </c>
      <c r="SMI23" s="30">
        <f t="shared" si="206"/>
        <v>443496</v>
      </c>
      <c r="SMJ23" s="30">
        <f t="shared" si="206"/>
        <v>443526</v>
      </c>
      <c r="SMK23" s="30">
        <f t="shared" si="206"/>
        <v>443557</v>
      </c>
      <c r="SML23" s="30">
        <f t="shared" si="206"/>
        <v>443587</v>
      </c>
      <c r="SMM23" s="30">
        <f t="shared" si="206"/>
        <v>443618</v>
      </c>
      <c r="SMN23" s="30">
        <f t="shared" si="206"/>
        <v>443649</v>
      </c>
      <c r="SMO23" s="30">
        <f t="shared" si="206"/>
        <v>443679</v>
      </c>
      <c r="SMP23" s="30">
        <f t="shared" si="206"/>
        <v>443710</v>
      </c>
      <c r="SMQ23" s="30">
        <f t="shared" si="206"/>
        <v>443740</v>
      </c>
      <c r="SMR23" s="30">
        <f t="shared" si="206"/>
        <v>443771</v>
      </c>
      <c r="SMS23" s="30">
        <f t="shared" si="206"/>
        <v>443802</v>
      </c>
      <c r="SMT23" s="30">
        <f t="shared" si="206"/>
        <v>443830</v>
      </c>
      <c r="SMU23" s="30">
        <f t="shared" si="206"/>
        <v>443861</v>
      </c>
      <c r="SMV23" s="30">
        <f t="shared" si="206"/>
        <v>443891</v>
      </c>
      <c r="SMW23" s="30">
        <f t="shared" si="206"/>
        <v>443922</v>
      </c>
      <c r="SMX23" s="30">
        <f t="shared" si="206"/>
        <v>443952</v>
      </c>
      <c r="SMY23" s="30">
        <f t="shared" si="206"/>
        <v>443983</v>
      </c>
      <c r="SMZ23" s="30">
        <f t="shared" si="206"/>
        <v>444014</v>
      </c>
      <c r="SNA23" s="30">
        <f t="shared" si="206"/>
        <v>444044</v>
      </c>
      <c r="SNB23" s="30">
        <f t="shared" si="206"/>
        <v>444075</v>
      </c>
      <c r="SNC23" s="30">
        <f t="shared" si="206"/>
        <v>444105</v>
      </c>
      <c r="SND23" s="30">
        <f t="shared" si="206"/>
        <v>444136</v>
      </c>
      <c r="SNE23" s="30">
        <f t="shared" si="206"/>
        <v>444167</v>
      </c>
      <c r="SNF23" s="30">
        <f t="shared" si="206"/>
        <v>444196</v>
      </c>
      <c r="SNG23" s="30">
        <f t="shared" si="206"/>
        <v>444227</v>
      </c>
      <c r="SNH23" s="30">
        <f t="shared" si="206"/>
        <v>444257</v>
      </c>
      <c r="SNI23" s="30">
        <f t="shared" si="206"/>
        <v>444288</v>
      </c>
      <c r="SNJ23" s="30">
        <f t="shared" si="206"/>
        <v>444318</v>
      </c>
      <c r="SNK23" s="30">
        <f t="shared" si="206"/>
        <v>444349</v>
      </c>
      <c r="SNL23" s="30">
        <f t="shared" si="206"/>
        <v>444380</v>
      </c>
      <c r="SNM23" s="30">
        <f t="shared" si="206"/>
        <v>444410</v>
      </c>
      <c r="SNN23" s="30">
        <f t="shared" si="206"/>
        <v>444441</v>
      </c>
      <c r="SNO23" s="30">
        <f t="shared" si="206"/>
        <v>444471</v>
      </c>
      <c r="SNP23" s="30">
        <f t="shared" si="206"/>
        <v>444502</v>
      </c>
      <c r="SNQ23" s="30">
        <f t="shared" si="206"/>
        <v>444533</v>
      </c>
      <c r="SNR23" s="30">
        <f t="shared" si="206"/>
        <v>444561</v>
      </c>
      <c r="SNS23" s="30">
        <f t="shared" si="206"/>
        <v>444592</v>
      </c>
      <c r="SNT23" s="30">
        <f t="shared" si="206"/>
        <v>444622</v>
      </c>
      <c r="SNU23" s="30">
        <f t="shared" si="206"/>
        <v>444653</v>
      </c>
      <c r="SNV23" s="30">
        <f t="shared" si="206"/>
        <v>444683</v>
      </c>
      <c r="SNW23" s="30">
        <f t="shared" si="206"/>
        <v>444714</v>
      </c>
      <c r="SNX23" s="30">
        <f t="shared" si="206"/>
        <v>444745</v>
      </c>
      <c r="SNY23" s="30">
        <f t="shared" si="206"/>
        <v>444775</v>
      </c>
      <c r="SNZ23" s="30">
        <f t="shared" si="206"/>
        <v>444806</v>
      </c>
      <c r="SOA23" s="30">
        <f t="shared" si="206"/>
        <v>444836</v>
      </c>
      <c r="SOB23" s="30">
        <f t="shared" si="206"/>
        <v>444867</v>
      </c>
      <c r="SOC23" s="30">
        <f t="shared" si="206"/>
        <v>444898</v>
      </c>
      <c r="SOD23" s="30">
        <f t="shared" si="206"/>
        <v>444926</v>
      </c>
      <c r="SOE23" s="30">
        <f t="shared" si="206"/>
        <v>444957</v>
      </c>
      <c r="SOF23" s="30">
        <f t="shared" si="206"/>
        <v>444987</v>
      </c>
      <c r="SOG23" s="30">
        <f t="shared" si="206"/>
        <v>445018</v>
      </c>
      <c r="SOH23" s="30">
        <f t="shared" si="206"/>
        <v>445048</v>
      </c>
      <c r="SOI23" s="30">
        <f t="shared" si="206"/>
        <v>445079</v>
      </c>
      <c r="SOJ23" s="30">
        <f t="shared" si="206"/>
        <v>445110</v>
      </c>
      <c r="SOK23" s="30">
        <f t="shared" si="206"/>
        <v>445140</v>
      </c>
      <c r="SOL23" s="30">
        <f t="shared" si="206"/>
        <v>445171</v>
      </c>
      <c r="SOM23" s="30">
        <f t="shared" si="206"/>
        <v>445201</v>
      </c>
      <c r="SON23" s="30">
        <f t="shared" si="206"/>
        <v>445232</v>
      </c>
      <c r="SOO23" s="30">
        <f t="shared" si="206"/>
        <v>445263</v>
      </c>
      <c r="SOP23" s="30">
        <f t="shared" si="206"/>
        <v>445291</v>
      </c>
      <c r="SOQ23" s="30">
        <f t="shared" si="206"/>
        <v>445322</v>
      </c>
      <c r="SOR23" s="30">
        <f t="shared" ref="SOR23:SRC23" si="207">EDATE(SOQ23,1)</f>
        <v>445352</v>
      </c>
      <c r="SOS23" s="30">
        <f t="shared" si="207"/>
        <v>445383</v>
      </c>
      <c r="SOT23" s="30">
        <f t="shared" si="207"/>
        <v>445413</v>
      </c>
      <c r="SOU23" s="30">
        <f t="shared" si="207"/>
        <v>445444</v>
      </c>
      <c r="SOV23" s="30">
        <f t="shared" si="207"/>
        <v>445475</v>
      </c>
      <c r="SOW23" s="30">
        <f t="shared" si="207"/>
        <v>445505</v>
      </c>
      <c r="SOX23" s="30">
        <f t="shared" si="207"/>
        <v>445536</v>
      </c>
      <c r="SOY23" s="30">
        <f t="shared" si="207"/>
        <v>445566</v>
      </c>
      <c r="SOZ23" s="30">
        <f t="shared" si="207"/>
        <v>445597</v>
      </c>
      <c r="SPA23" s="30">
        <f t="shared" si="207"/>
        <v>445628</v>
      </c>
      <c r="SPB23" s="30">
        <f t="shared" si="207"/>
        <v>445657</v>
      </c>
      <c r="SPC23" s="30">
        <f t="shared" si="207"/>
        <v>445688</v>
      </c>
      <c r="SPD23" s="30">
        <f t="shared" si="207"/>
        <v>445718</v>
      </c>
      <c r="SPE23" s="30">
        <f t="shared" si="207"/>
        <v>445749</v>
      </c>
      <c r="SPF23" s="30">
        <f t="shared" si="207"/>
        <v>445779</v>
      </c>
      <c r="SPG23" s="30">
        <f t="shared" si="207"/>
        <v>445810</v>
      </c>
      <c r="SPH23" s="30">
        <f t="shared" si="207"/>
        <v>445841</v>
      </c>
      <c r="SPI23" s="30">
        <f t="shared" si="207"/>
        <v>445871</v>
      </c>
      <c r="SPJ23" s="30">
        <f t="shared" si="207"/>
        <v>445902</v>
      </c>
      <c r="SPK23" s="30">
        <f t="shared" si="207"/>
        <v>445932</v>
      </c>
      <c r="SPL23" s="30">
        <f t="shared" si="207"/>
        <v>445963</v>
      </c>
      <c r="SPM23" s="30">
        <f t="shared" si="207"/>
        <v>445994</v>
      </c>
      <c r="SPN23" s="30">
        <f t="shared" si="207"/>
        <v>446022</v>
      </c>
      <c r="SPO23" s="30">
        <f t="shared" si="207"/>
        <v>446053</v>
      </c>
      <c r="SPP23" s="30">
        <f t="shared" si="207"/>
        <v>446083</v>
      </c>
      <c r="SPQ23" s="30">
        <f t="shared" si="207"/>
        <v>446114</v>
      </c>
      <c r="SPR23" s="30">
        <f t="shared" si="207"/>
        <v>446144</v>
      </c>
      <c r="SPS23" s="30">
        <f t="shared" si="207"/>
        <v>446175</v>
      </c>
      <c r="SPT23" s="30">
        <f t="shared" si="207"/>
        <v>446206</v>
      </c>
      <c r="SPU23" s="30">
        <f t="shared" si="207"/>
        <v>446236</v>
      </c>
      <c r="SPV23" s="30">
        <f t="shared" si="207"/>
        <v>446267</v>
      </c>
      <c r="SPW23" s="30">
        <f t="shared" si="207"/>
        <v>446297</v>
      </c>
      <c r="SPX23" s="30">
        <f t="shared" si="207"/>
        <v>446328</v>
      </c>
      <c r="SPY23" s="30">
        <f t="shared" si="207"/>
        <v>446359</v>
      </c>
      <c r="SPZ23" s="30">
        <f t="shared" si="207"/>
        <v>446387</v>
      </c>
      <c r="SQA23" s="30">
        <f t="shared" si="207"/>
        <v>446418</v>
      </c>
      <c r="SQB23" s="30">
        <f t="shared" si="207"/>
        <v>446448</v>
      </c>
      <c r="SQC23" s="30">
        <f t="shared" si="207"/>
        <v>446479</v>
      </c>
      <c r="SQD23" s="30">
        <f t="shared" si="207"/>
        <v>446509</v>
      </c>
      <c r="SQE23" s="30">
        <f t="shared" si="207"/>
        <v>446540</v>
      </c>
      <c r="SQF23" s="30">
        <f t="shared" si="207"/>
        <v>446571</v>
      </c>
      <c r="SQG23" s="30">
        <f t="shared" si="207"/>
        <v>446601</v>
      </c>
      <c r="SQH23" s="30">
        <f t="shared" si="207"/>
        <v>446632</v>
      </c>
      <c r="SQI23" s="30">
        <f t="shared" si="207"/>
        <v>446662</v>
      </c>
      <c r="SQJ23" s="30">
        <f t="shared" si="207"/>
        <v>446693</v>
      </c>
      <c r="SQK23" s="30">
        <f t="shared" si="207"/>
        <v>446724</v>
      </c>
      <c r="SQL23" s="30">
        <f t="shared" si="207"/>
        <v>446752</v>
      </c>
      <c r="SQM23" s="30">
        <f t="shared" si="207"/>
        <v>446783</v>
      </c>
      <c r="SQN23" s="30">
        <f t="shared" si="207"/>
        <v>446813</v>
      </c>
      <c r="SQO23" s="30">
        <f t="shared" si="207"/>
        <v>446844</v>
      </c>
      <c r="SQP23" s="30">
        <f t="shared" si="207"/>
        <v>446874</v>
      </c>
      <c r="SQQ23" s="30">
        <f t="shared" si="207"/>
        <v>446905</v>
      </c>
      <c r="SQR23" s="30">
        <f t="shared" si="207"/>
        <v>446936</v>
      </c>
      <c r="SQS23" s="30">
        <f t="shared" si="207"/>
        <v>446966</v>
      </c>
      <c r="SQT23" s="30">
        <f t="shared" si="207"/>
        <v>446997</v>
      </c>
      <c r="SQU23" s="30">
        <f t="shared" si="207"/>
        <v>447027</v>
      </c>
      <c r="SQV23" s="30">
        <f t="shared" si="207"/>
        <v>447058</v>
      </c>
      <c r="SQW23" s="30">
        <f t="shared" si="207"/>
        <v>447089</v>
      </c>
      <c r="SQX23" s="30">
        <f t="shared" si="207"/>
        <v>447118</v>
      </c>
      <c r="SQY23" s="30">
        <f t="shared" si="207"/>
        <v>447149</v>
      </c>
      <c r="SQZ23" s="30">
        <f t="shared" si="207"/>
        <v>447179</v>
      </c>
      <c r="SRA23" s="30">
        <f t="shared" si="207"/>
        <v>447210</v>
      </c>
      <c r="SRB23" s="30">
        <f t="shared" si="207"/>
        <v>447240</v>
      </c>
      <c r="SRC23" s="30">
        <f t="shared" si="207"/>
        <v>447271</v>
      </c>
      <c r="SRD23" s="30">
        <f t="shared" ref="SRD23:STO23" si="208">EDATE(SRC23,1)</f>
        <v>447302</v>
      </c>
      <c r="SRE23" s="30">
        <f t="shared" si="208"/>
        <v>447332</v>
      </c>
      <c r="SRF23" s="30">
        <f t="shared" si="208"/>
        <v>447363</v>
      </c>
      <c r="SRG23" s="30">
        <f t="shared" si="208"/>
        <v>447393</v>
      </c>
      <c r="SRH23" s="30">
        <f t="shared" si="208"/>
        <v>447424</v>
      </c>
      <c r="SRI23" s="30">
        <f t="shared" si="208"/>
        <v>447455</v>
      </c>
      <c r="SRJ23" s="30">
        <f t="shared" si="208"/>
        <v>447483</v>
      </c>
      <c r="SRK23" s="30">
        <f t="shared" si="208"/>
        <v>447514</v>
      </c>
      <c r="SRL23" s="30">
        <f t="shared" si="208"/>
        <v>447544</v>
      </c>
      <c r="SRM23" s="30">
        <f t="shared" si="208"/>
        <v>447575</v>
      </c>
      <c r="SRN23" s="30">
        <f t="shared" si="208"/>
        <v>447605</v>
      </c>
      <c r="SRO23" s="30">
        <f t="shared" si="208"/>
        <v>447636</v>
      </c>
      <c r="SRP23" s="30">
        <f t="shared" si="208"/>
        <v>447667</v>
      </c>
      <c r="SRQ23" s="30">
        <f t="shared" si="208"/>
        <v>447697</v>
      </c>
      <c r="SRR23" s="30">
        <f t="shared" si="208"/>
        <v>447728</v>
      </c>
      <c r="SRS23" s="30">
        <f t="shared" si="208"/>
        <v>447758</v>
      </c>
      <c r="SRT23" s="30">
        <f t="shared" si="208"/>
        <v>447789</v>
      </c>
      <c r="SRU23" s="30">
        <f t="shared" si="208"/>
        <v>447820</v>
      </c>
      <c r="SRV23" s="30">
        <f t="shared" si="208"/>
        <v>447848</v>
      </c>
      <c r="SRW23" s="30">
        <f t="shared" si="208"/>
        <v>447879</v>
      </c>
      <c r="SRX23" s="30">
        <f t="shared" si="208"/>
        <v>447909</v>
      </c>
      <c r="SRY23" s="30">
        <f t="shared" si="208"/>
        <v>447940</v>
      </c>
      <c r="SRZ23" s="30">
        <f t="shared" si="208"/>
        <v>447970</v>
      </c>
      <c r="SSA23" s="30">
        <f t="shared" si="208"/>
        <v>448001</v>
      </c>
      <c r="SSB23" s="30">
        <f t="shared" si="208"/>
        <v>448032</v>
      </c>
      <c r="SSC23" s="30">
        <f t="shared" si="208"/>
        <v>448062</v>
      </c>
      <c r="SSD23" s="30">
        <f t="shared" si="208"/>
        <v>448093</v>
      </c>
      <c r="SSE23" s="30">
        <f t="shared" si="208"/>
        <v>448123</v>
      </c>
      <c r="SSF23" s="30">
        <f t="shared" si="208"/>
        <v>448154</v>
      </c>
      <c r="SSG23" s="30">
        <f t="shared" si="208"/>
        <v>448185</v>
      </c>
      <c r="SSH23" s="30">
        <f t="shared" si="208"/>
        <v>448213</v>
      </c>
      <c r="SSI23" s="30">
        <f t="shared" si="208"/>
        <v>448244</v>
      </c>
      <c r="SSJ23" s="30">
        <f t="shared" si="208"/>
        <v>448274</v>
      </c>
      <c r="SSK23" s="30">
        <f t="shared" si="208"/>
        <v>448305</v>
      </c>
      <c r="SSL23" s="30">
        <f t="shared" si="208"/>
        <v>448335</v>
      </c>
      <c r="SSM23" s="30">
        <f t="shared" si="208"/>
        <v>448366</v>
      </c>
      <c r="SSN23" s="30">
        <f t="shared" si="208"/>
        <v>448397</v>
      </c>
      <c r="SSO23" s="30">
        <f t="shared" si="208"/>
        <v>448427</v>
      </c>
      <c r="SSP23" s="30">
        <f t="shared" si="208"/>
        <v>448458</v>
      </c>
      <c r="SSQ23" s="30">
        <f t="shared" si="208"/>
        <v>448488</v>
      </c>
      <c r="SSR23" s="30">
        <f t="shared" si="208"/>
        <v>448519</v>
      </c>
      <c r="SSS23" s="30">
        <f t="shared" si="208"/>
        <v>448550</v>
      </c>
      <c r="SST23" s="30">
        <f t="shared" si="208"/>
        <v>448579</v>
      </c>
      <c r="SSU23" s="30">
        <f t="shared" si="208"/>
        <v>448610</v>
      </c>
      <c r="SSV23" s="30">
        <f t="shared" si="208"/>
        <v>448640</v>
      </c>
      <c r="SSW23" s="30">
        <f t="shared" si="208"/>
        <v>448671</v>
      </c>
      <c r="SSX23" s="30">
        <f t="shared" si="208"/>
        <v>448701</v>
      </c>
      <c r="SSY23" s="30">
        <f t="shared" si="208"/>
        <v>448732</v>
      </c>
      <c r="SSZ23" s="30">
        <f t="shared" si="208"/>
        <v>448763</v>
      </c>
      <c r="STA23" s="30">
        <f t="shared" si="208"/>
        <v>448793</v>
      </c>
      <c r="STB23" s="30">
        <f t="shared" si="208"/>
        <v>448824</v>
      </c>
      <c r="STC23" s="30">
        <f t="shared" si="208"/>
        <v>448854</v>
      </c>
      <c r="STD23" s="30">
        <f t="shared" si="208"/>
        <v>448885</v>
      </c>
      <c r="STE23" s="30">
        <f t="shared" si="208"/>
        <v>448916</v>
      </c>
      <c r="STF23" s="30">
        <f t="shared" si="208"/>
        <v>448944</v>
      </c>
      <c r="STG23" s="30">
        <f t="shared" si="208"/>
        <v>448975</v>
      </c>
      <c r="STH23" s="30">
        <f t="shared" si="208"/>
        <v>449005</v>
      </c>
      <c r="STI23" s="30">
        <f t="shared" si="208"/>
        <v>449036</v>
      </c>
      <c r="STJ23" s="30">
        <f t="shared" si="208"/>
        <v>449066</v>
      </c>
      <c r="STK23" s="30">
        <f t="shared" si="208"/>
        <v>449097</v>
      </c>
      <c r="STL23" s="30">
        <f t="shared" si="208"/>
        <v>449128</v>
      </c>
      <c r="STM23" s="30">
        <f t="shared" si="208"/>
        <v>449158</v>
      </c>
      <c r="STN23" s="30">
        <f t="shared" si="208"/>
        <v>449189</v>
      </c>
      <c r="STO23" s="30">
        <f t="shared" si="208"/>
        <v>449219</v>
      </c>
      <c r="STP23" s="30">
        <f t="shared" ref="STP23:SWA23" si="209">EDATE(STO23,1)</f>
        <v>449250</v>
      </c>
      <c r="STQ23" s="30">
        <f t="shared" si="209"/>
        <v>449281</v>
      </c>
      <c r="STR23" s="30">
        <f t="shared" si="209"/>
        <v>449309</v>
      </c>
      <c r="STS23" s="30">
        <f t="shared" si="209"/>
        <v>449340</v>
      </c>
      <c r="STT23" s="30">
        <f t="shared" si="209"/>
        <v>449370</v>
      </c>
      <c r="STU23" s="30">
        <f t="shared" si="209"/>
        <v>449401</v>
      </c>
      <c r="STV23" s="30">
        <f t="shared" si="209"/>
        <v>449431</v>
      </c>
      <c r="STW23" s="30">
        <f t="shared" si="209"/>
        <v>449462</v>
      </c>
      <c r="STX23" s="30">
        <f t="shared" si="209"/>
        <v>449493</v>
      </c>
      <c r="STY23" s="30">
        <f t="shared" si="209"/>
        <v>449523</v>
      </c>
      <c r="STZ23" s="30">
        <f t="shared" si="209"/>
        <v>449554</v>
      </c>
      <c r="SUA23" s="30">
        <f t="shared" si="209"/>
        <v>449584</v>
      </c>
      <c r="SUB23" s="30">
        <f t="shared" si="209"/>
        <v>449615</v>
      </c>
      <c r="SUC23" s="30">
        <f t="shared" si="209"/>
        <v>449646</v>
      </c>
      <c r="SUD23" s="30">
        <f t="shared" si="209"/>
        <v>449674</v>
      </c>
      <c r="SUE23" s="30">
        <f t="shared" si="209"/>
        <v>449705</v>
      </c>
      <c r="SUF23" s="30">
        <f t="shared" si="209"/>
        <v>449735</v>
      </c>
      <c r="SUG23" s="30">
        <f t="shared" si="209"/>
        <v>449766</v>
      </c>
      <c r="SUH23" s="30">
        <f t="shared" si="209"/>
        <v>449796</v>
      </c>
      <c r="SUI23" s="30">
        <f t="shared" si="209"/>
        <v>449827</v>
      </c>
      <c r="SUJ23" s="30">
        <f t="shared" si="209"/>
        <v>449858</v>
      </c>
      <c r="SUK23" s="30">
        <f t="shared" si="209"/>
        <v>449888</v>
      </c>
      <c r="SUL23" s="30">
        <f t="shared" si="209"/>
        <v>449919</v>
      </c>
      <c r="SUM23" s="30">
        <f t="shared" si="209"/>
        <v>449949</v>
      </c>
      <c r="SUN23" s="30">
        <f t="shared" si="209"/>
        <v>449980</v>
      </c>
      <c r="SUO23" s="30">
        <f t="shared" si="209"/>
        <v>450011</v>
      </c>
      <c r="SUP23" s="30">
        <f t="shared" si="209"/>
        <v>450040</v>
      </c>
      <c r="SUQ23" s="30">
        <f t="shared" si="209"/>
        <v>450071</v>
      </c>
      <c r="SUR23" s="30">
        <f t="shared" si="209"/>
        <v>450101</v>
      </c>
      <c r="SUS23" s="30">
        <f t="shared" si="209"/>
        <v>450132</v>
      </c>
      <c r="SUT23" s="30">
        <f t="shared" si="209"/>
        <v>450162</v>
      </c>
      <c r="SUU23" s="30">
        <f t="shared" si="209"/>
        <v>450193</v>
      </c>
      <c r="SUV23" s="30">
        <f t="shared" si="209"/>
        <v>450224</v>
      </c>
      <c r="SUW23" s="30">
        <f t="shared" si="209"/>
        <v>450254</v>
      </c>
      <c r="SUX23" s="30">
        <f t="shared" si="209"/>
        <v>450285</v>
      </c>
      <c r="SUY23" s="30">
        <f t="shared" si="209"/>
        <v>450315</v>
      </c>
      <c r="SUZ23" s="30">
        <f t="shared" si="209"/>
        <v>450346</v>
      </c>
      <c r="SVA23" s="30">
        <f t="shared" si="209"/>
        <v>450377</v>
      </c>
      <c r="SVB23" s="30">
        <f t="shared" si="209"/>
        <v>450405</v>
      </c>
      <c r="SVC23" s="30">
        <f t="shared" si="209"/>
        <v>450436</v>
      </c>
      <c r="SVD23" s="30">
        <f t="shared" si="209"/>
        <v>450466</v>
      </c>
      <c r="SVE23" s="30">
        <f t="shared" si="209"/>
        <v>450497</v>
      </c>
      <c r="SVF23" s="30">
        <f t="shared" si="209"/>
        <v>450527</v>
      </c>
      <c r="SVG23" s="30">
        <f t="shared" si="209"/>
        <v>450558</v>
      </c>
      <c r="SVH23" s="30">
        <f t="shared" si="209"/>
        <v>450589</v>
      </c>
      <c r="SVI23" s="30">
        <f t="shared" si="209"/>
        <v>450619</v>
      </c>
      <c r="SVJ23" s="30">
        <f t="shared" si="209"/>
        <v>450650</v>
      </c>
      <c r="SVK23" s="30">
        <f t="shared" si="209"/>
        <v>450680</v>
      </c>
      <c r="SVL23" s="30">
        <f t="shared" si="209"/>
        <v>450711</v>
      </c>
      <c r="SVM23" s="30">
        <f t="shared" si="209"/>
        <v>450742</v>
      </c>
      <c r="SVN23" s="30">
        <f t="shared" si="209"/>
        <v>450770</v>
      </c>
      <c r="SVO23" s="30">
        <f t="shared" si="209"/>
        <v>450801</v>
      </c>
      <c r="SVP23" s="30">
        <f t="shared" si="209"/>
        <v>450831</v>
      </c>
      <c r="SVQ23" s="30">
        <f t="shared" si="209"/>
        <v>450862</v>
      </c>
      <c r="SVR23" s="30">
        <f t="shared" si="209"/>
        <v>450892</v>
      </c>
      <c r="SVS23" s="30">
        <f t="shared" si="209"/>
        <v>450923</v>
      </c>
      <c r="SVT23" s="30">
        <f t="shared" si="209"/>
        <v>450954</v>
      </c>
      <c r="SVU23" s="30">
        <f t="shared" si="209"/>
        <v>450984</v>
      </c>
      <c r="SVV23" s="30">
        <f t="shared" si="209"/>
        <v>451015</v>
      </c>
      <c r="SVW23" s="30">
        <f t="shared" si="209"/>
        <v>451045</v>
      </c>
      <c r="SVX23" s="30">
        <f t="shared" si="209"/>
        <v>451076</v>
      </c>
      <c r="SVY23" s="30">
        <f t="shared" si="209"/>
        <v>451107</v>
      </c>
      <c r="SVZ23" s="30">
        <f t="shared" si="209"/>
        <v>451135</v>
      </c>
      <c r="SWA23" s="30">
        <f t="shared" si="209"/>
        <v>451166</v>
      </c>
      <c r="SWB23" s="30">
        <f t="shared" ref="SWB23:SYM23" si="210">EDATE(SWA23,1)</f>
        <v>451196</v>
      </c>
      <c r="SWC23" s="30">
        <f t="shared" si="210"/>
        <v>451227</v>
      </c>
      <c r="SWD23" s="30">
        <f t="shared" si="210"/>
        <v>451257</v>
      </c>
      <c r="SWE23" s="30">
        <f t="shared" si="210"/>
        <v>451288</v>
      </c>
      <c r="SWF23" s="30">
        <f t="shared" si="210"/>
        <v>451319</v>
      </c>
      <c r="SWG23" s="30">
        <f t="shared" si="210"/>
        <v>451349</v>
      </c>
      <c r="SWH23" s="30">
        <f t="shared" si="210"/>
        <v>451380</v>
      </c>
      <c r="SWI23" s="30">
        <f t="shared" si="210"/>
        <v>451410</v>
      </c>
      <c r="SWJ23" s="30">
        <f t="shared" si="210"/>
        <v>451441</v>
      </c>
      <c r="SWK23" s="30">
        <f t="shared" si="210"/>
        <v>451472</v>
      </c>
      <c r="SWL23" s="30">
        <f t="shared" si="210"/>
        <v>451501</v>
      </c>
      <c r="SWM23" s="30">
        <f t="shared" si="210"/>
        <v>451532</v>
      </c>
      <c r="SWN23" s="30">
        <f t="shared" si="210"/>
        <v>451562</v>
      </c>
      <c r="SWO23" s="30">
        <f t="shared" si="210"/>
        <v>451593</v>
      </c>
      <c r="SWP23" s="30">
        <f t="shared" si="210"/>
        <v>451623</v>
      </c>
      <c r="SWQ23" s="30">
        <f t="shared" si="210"/>
        <v>451654</v>
      </c>
      <c r="SWR23" s="30">
        <f t="shared" si="210"/>
        <v>451685</v>
      </c>
      <c r="SWS23" s="30">
        <f t="shared" si="210"/>
        <v>451715</v>
      </c>
      <c r="SWT23" s="30">
        <f t="shared" si="210"/>
        <v>451746</v>
      </c>
      <c r="SWU23" s="30">
        <f t="shared" si="210"/>
        <v>451776</v>
      </c>
      <c r="SWV23" s="30">
        <f t="shared" si="210"/>
        <v>451807</v>
      </c>
      <c r="SWW23" s="30">
        <f t="shared" si="210"/>
        <v>451838</v>
      </c>
      <c r="SWX23" s="30">
        <f t="shared" si="210"/>
        <v>451866</v>
      </c>
      <c r="SWY23" s="30">
        <f t="shared" si="210"/>
        <v>451897</v>
      </c>
      <c r="SWZ23" s="30">
        <f t="shared" si="210"/>
        <v>451927</v>
      </c>
      <c r="SXA23" s="30">
        <f t="shared" si="210"/>
        <v>451958</v>
      </c>
      <c r="SXB23" s="30">
        <f t="shared" si="210"/>
        <v>451988</v>
      </c>
      <c r="SXC23" s="30">
        <f t="shared" si="210"/>
        <v>452019</v>
      </c>
      <c r="SXD23" s="30">
        <f t="shared" si="210"/>
        <v>452050</v>
      </c>
      <c r="SXE23" s="30">
        <f t="shared" si="210"/>
        <v>452080</v>
      </c>
      <c r="SXF23" s="30">
        <f t="shared" si="210"/>
        <v>452111</v>
      </c>
      <c r="SXG23" s="30">
        <f t="shared" si="210"/>
        <v>452141</v>
      </c>
      <c r="SXH23" s="30">
        <f t="shared" si="210"/>
        <v>452172</v>
      </c>
      <c r="SXI23" s="30">
        <f t="shared" si="210"/>
        <v>452203</v>
      </c>
      <c r="SXJ23" s="30">
        <f t="shared" si="210"/>
        <v>452231</v>
      </c>
      <c r="SXK23" s="30">
        <f t="shared" si="210"/>
        <v>452262</v>
      </c>
      <c r="SXL23" s="30">
        <f t="shared" si="210"/>
        <v>452292</v>
      </c>
      <c r="SXM23" s="30">
        <f t="shared" si="210"/>
        <v>452323</v>
      </c>
      <c r="SXN23" s="30">
        <f t="shared" si="210"/>
        <v>452353</v>
      </c>
      <c r="SXO23" s="30">
        <f t="shared" si="210"/>
        <v>452384</v>
      </c>
      <c r="SXP23" s="30">
        <f t="shared" si="210"/>
        <v>452415</v>
      </c>
      <c r="SXQ23" s="30">
        <f t="shared" si="210"/>
        <v>452445</v>
      </c>
      <c r="SXR23" s="30">
        <f t="shared" si="210"/>
        <v>452476</v>
      </c>
      <c r="SXS23" s="30">
        <f t="shared" si="210"/>
        <v>452506</v>
      </c>
      <c r="SXT23" s="30">
        <f t="shared" si="210"/>
        <v>452537</v>
      </c>
      <c r="SXU23" s="30">
        <f t="shared" si="210"/>
        <v>452568</v>
      </c>
      <c r="SXV23" s="30">
        <f t="shared" si="210"/>
        <v>452596</v>
      </c>
      <c r="SXW23" s="30">
        <f t="shared" si="210"/>
        <v>452627</v>
      </c>
      <c r="SXX23" s="30">
        <f t="shared" si="210"/>
        <v>452657</v>
      </c>
      <c r="SXY23" s="30">
        <f t="shared" si="210"/>
        <v>452688</v>
      </c>
      <c r="SXZ23" s="30">
        <f t="shared" si="210"/>
        <v>452718</v>
      </c>
      <c r="SYA23" s="30">
        <f t="shared" si="210"/>
        <v>452749</v>
      </c>
      <c r="SYB23" s="30">
        <f t="shared" si="210"/>
        <v>452780</v>
      </c>
      <c r="SYC23" s="30">
        <f t="shared" si="210"/>
        <v>452810</v>
      </c>
      <c r="SYD23" s="30">
        <f t="shared" si="210"/>
        <v>452841</v>
      </c>
      <c r="SYE23" s="30">
        <f t="shared" si="210"/>
        <v>452871</v>
      </c>
      <c r="SYF23" s="30">
        <f t="shared" si="210"/>
        <v>452902</v>
      </c>
      <c r="SYG23" s="30">
        <f t="shared" si="210"/>
        <v>452933</v>
      </c>
      <c r="SYH23" s="30">
        <f t="shared" si="210"/>
        <v>452962</v>
      </c>
      <c r="SYI23" s="30">
        <f t="shared" si="210"/>
        <v>452993</v>
      </c>
      <c r="SYJ23" s="30">
        <f t="shared" si="210"/>
        <v>453023</v>
      </c>
      <c r="SYK23" s="30">
        <f t="shared" si="210"/>
        <v>453054</v>
      </c>
      <c r="SYL23" s="30">
        <f t="shared" si="210"/>
        <v>453084</v>
      </c>
      <c r="SYM23" s="30">
        <f t="shared" si="210"/>
        <v>453115</v>
      </c>
      <c r="SYN23" s="30">
        <f t="shared" ref="SYN23:TAY23" si="211">EDATE(SYM23,1)</f>
        <v>453146</v>
      </c>
      <c r="SYO23" s="30">
        <f t="shared" si="211"/>
        <v>453176</v>
      </c>
      <c r="SYP23" s="30">
        <f t="shared" si="211"/>
        <v>453207</v>
      </c>
      <c r="SYQ23" s="30">
        <f t="shared" si="211"/>
        <v>453237</v>
      </c>
      <c r="SYR23" s="30">
        <f t="shared" si="211"/>
        <v>453268</v>
      </c>
      <c r="SYS23" s="30">
        <f t="shared" si="211"/>
        <v>453299</v>
      </c>
      <c r="SYT23" s="30">
        <f t="shared" si="211"/>
        <v>453327</v>
      </c>
      <c r="SYU23" s="30">
        <f t="shared" si="211"/>
        <v>453358</v>
      </c>
      <c r="SYV23" s="30">
        <f t="shared" si="211"/>
        <v>453388</v>
      </c>
      <c r="SYW23" s="30">
        <f t="shared" si="211"/>
        <v>453419</v>
      </c>
      <c r="SYX23" s="30">
        <f t="shared" si="211"/>
        <v>453449</v>
      </c>
      <c r="SYY23" s="30">
        <f t="shared" si="211"/>
        <v>453480</v>
      </c>
      <c r="SYZ23" s="30">
        <f t="shared" si="211"/>
        <v>453511</v>
      </c>
      <c r="SZA23" s="30">
        <f t="shared" si="211"/>
        <v>453541</v>
      </c>
      <c r="SZB23" s="30">
        <f t="shared" si="211"/>
        <v>453572</v>
      </c>
      <c r="SZC23" s="30">
        <f t="shared" si="211"/>
        <v>453602</v>
      </c>
      <c r="SZD23" s="30">
        <f t="shared" si="211"/>
        <v>453633</v>
      </c>
      <c r="SZE23" s="30">
        <f t="shared" si="211"/>
        <v>453664</v>
      </c>
      <c r="SZF23" s="30">
        <f t="shared" si="211"/>
        <v>453692</v>
      </c>
      <c r="SZG23" s="30">
        <f t="shared" si="211"/>
        <v>453723</v>
      </c>
      <c r="SZH23" s="30">
        <f t="shared" si="211"/>
        <v>453753</v>
      </c>
      <c r="SZI23" s="30">
        <f t="shared" si="211"/>
        <v>453784</v>
      </c>
      <c r="SZJ23" s="30">
        <f t="shared" si="211"/>
        <v>453814</v>
      </c>
      <c r="SZK23" s="30">
        <f t="shared" si="211"/>
        <v>453845</v>
      </c>
      <c r="SZL23" s="30">
        <f t="shared" si="211"/>
        <v>453876</v>
      </c>
      <c r="SZM23" s="30">
        <f t="shared" si="211"/>
        <v>453906</v>
      </c>
      <c r="SZN23" s="30">
        <f t="shared" si="211"/>
        <v>453937</v>
      </c>
      <c r="SZO23" s="30">
        <f t="shared" si="211"/>
        <v>453967</v>
      </c>
      <c r="SZP23" s="30">
        <f t="shared" si="211"/>
        <v>453998</v>
      </c>
      <c r="SZQ23" s="30">
        <f t="shared" si="211"/>
        <v>454029</v>
      </c>
      <c r="SZR23" s="30">
        <f t="shared" si="211"/>
        <v>454057</v>
      </c>
      <c r="SZS23" s="30">
        <f t="shared" si="211"/>
        <v>454088</v>
      </c>
      <c r="SZT23" s="30">
        <f t="shared" si="211"/>
        <v>454118</v>
      </c>
      <c r="SZU23" s="30">
        <f t="shared" si="211"/>
        <v>454149</v>
      </c>
      <c r="SZV23" s="30">
        <f t="shared" si="211"/>
        <v>454179</v>
      </c>
      <c r="SZW23" s="30">
        <f t="shared" si="211"/>
        <v>454210</v>
      </c>
      <c r="SZX23" s="30">
        <f t="shared" si="211"/>
        <v>454241</v>
      </c>
      <c r="SZY23" s="30">
        <f t="shared" si="211"/>
        <v>454271</v>
      </c>
      <c r="SZZ23" s="30">
        <f t="shared" si="211"/>
        <v>454302</v>
      </c>
      <c r="TAA23" s="30">
        <f t="shared" si="211"/>
        <v>454332</v>
      </c>
      <c r="TAB23" s="30">
        <f t="shared" si="211"/>
        <v>454363</v>
      </c>
      <c r="TAC23" s="30">
        <f t="shared" si="211"/>
        <v>454394</v>
      </c>
      <c r="TAD23" s="30">
        <f t="shared" si="211"/>
        <v>454423</v>
      </c>
      <c r="TAE23" s="30">
        <f t="shared" si="211"/>
        <v>454454</v>
      </c>
      <c r="TAF23" s="30">
        <f t="shared" si="211"/>
        <v>454484</v>
      </c>
      <c r="TAG23" s="30">
        <f t="shared" si="211"/>
        <v>454515</v>
      </c>
      <c r="TAH23" s="30">
        <f t="shared" si="211"/>
        <v>454545</v>
      </c>
      <c r="TAI23" s="30">
        <f t="shared" si="211"/>
        <v>454576</v>
      </c>
      <c r="TAJ23" s="30">
        <f t="shared" si="211"/>
        <v>454607</v>
      </c>
      <c r="TAK23" s="30">
        <f t="shared" si="211"/>
        <v>454637</v>
      </c>
      <c r="TAL23" s="30">
        <f t="shared" si="211"/>
        <v>454668</v>
      </c>
      <c r="TAM23" s="30">
        <f t="shared" si="211"/>
        <v>454698</v>
      </c>
      <c r="TAN23" s="30">
        <f t="shared" si="211"/>
        <v>454729</v>
      </c>
      <c r="TAO23" s="30">
        <f t="shared" si="211"/>
        <v>454760</v>
      </c>
      <c r="TAP23" s="30">
        <f t="shared" si="211"/>
        <v>454788</v>
      </c>
      <c r="TAQ23" s="30">
        <f t="shared" si="211"/>
        <v>454819</v>
      </c>
      <c r="TAR23" s="30">
        <f t="shared" si="211"/>
        <v>454849</v>
      </c>
      <c r="TAS23" s="30">
        <f t="shared" si="211"/>
        <v>454880</v>
      </c>
      <c r="TAT23" s="30">
        <f t="shared" si="211"/>
        <v>454910</v>
      </c>
      <c r="TAU23" s="30">
        <f t="shared" si="211"/>
        <v>454941</v>
      </c>
      <c r="TAV23" s="30">
        <f t="shared" si="211"/>
        <v>454972</v>
      </c>
      <c r="TAW23" s="30">
        <f t="shared" si="211"/>
        <v>455002</v>
      </c>
      <c r="TAX23" s="30">
        <f t="shared" si="211"/>
        <v>455033</v>
      </c>
      <c r="TAY23" s="30">
        <f t="shared" si="211"/>
        <v>455063</v>
      </c>
      <c r="TAZ23" s="30">
        <f t="shared" ref="TAZ23:TDK23" si="212">EDATE(TAY23,1)</f>
        <v>455094</v>
      </c>
      <c r="TBA23" s="30">
        <f t="shared" si="212"/>
        <v>455125</v>
      </c>
      <c r="TBB23" s="30">
        <f t="shared" si="212"/>
        <v>455153</v>
      </c>
      <c r="TBC23" s="30">
        <f t="shared" si="212"/>
        <v>455184</v>
      </c>
      <c r="TBD23" s="30">
        <f t="shared" si="212"/>
        <v>455214</v>
      </c>
      <c r="TBE23" s="30">
        <f t="shared" si="212"/>
        <v>455245</v>
      </c>
      <c r="TBF23" s="30">
        <f t="shared" si="212"/>
        <v>455275</v>
      </c>
      <c r="TBG23" s="30">
        <f t="shared" si="212"/>
        <v>455306</v>
      </c>
      <c r="TBH23" s="30">
        <f t="shared" si="212"/>
        <v>455337</v>
      </c>
      <c r="TBI23" s="30">
        <f t="shared" si="212"/>
        <v>455367</v>
      </c>
      <c r="TBJ23" s="30">
        <f t="shared" si="212"/>
        <v>455398</v>
      </c>
      <c r="TBK23" s="30">
        <f t="shared" si="212"/>
        <v>455428</v>
      </c>
      <c r="TBL23" s="30">
        <f t="shared" si="212"/>
        <v>455459</v>
      </c>
      <c r="TBM23" s="30">
        <f t="shared" si="212"/>
        <v>455490</v>
      </c>
      <c r="TBN23" s="30">
        <f t="shared" si="212"/>
        <v>455518</v>
      </c>
      <c r="TBO23" s="30">
        <f t="shared" si="212"/>
        <v>455549</v>
      </c>
      <c r="TBP23" s="30">
        <f t="shared" si="212"/>
        <v>455579</v>
      </c>
      <c r="TBQ23" s="30">
        <f t="shared" si="212"/>
        <v>455610</v>
      </c>
      <c r="TBR23" s="30">
        <f t="shared" si="212"/>
        <v>455640</v>
      </c>
      <c r="TBS23" s="30">
        <f t="shared" si="212"/>
        <v>455671</v>
      </c>
      <c r="TBT23" s="30">
        <f t="shared" si="212"/>
        <v>455702</v>
      </c>
      <c r="TBU23" s="30">
        <f t="shared" si="212"/>
        <v>455732</v>
      </c>
      <c r="TBV23" s="30">
        <f t="shared" si="212"/>
        <v>455763</v>
      </c>
      <c r="TBW23" s="30">
        <f t="shared" si="212"/>
        <v>455793</v>
      </c>
      <c r="TBX23" s="30">
        <f t="shared" si="212"/>
        <v>455824</v>
      </c>
      <c r="TBY23" s="30">
        <f t="shared" si="212"/>
        <v>455855</v>
      </c>
      <c r="TBZ23" s="30">
        <f t="shared" si="212"/>
        <v>455884</v>
      </c>
      <c r="TCA23" s="30">
        <f t="shared" si="212"/>
        <v>455915</v>
      </c>
      <c r="TCB23" s="30">
        <f t="shared" si="212"/>
        <v>455945</v>
      </c>
      <c r="TCC23" s="30">
        <f t="shared" si="212"/>
        <v>455976</v>
      </c>
      <c r="TCD23" s="30">
        <f t="shared" si="212"/>
        <v>456006</v>
      </c>
      <c r="TCE23" s="30">
        <f t="shared" si="212"/>
        <v>456037</v>
      </c>
      <c r="TCF23" s="30">
        <f t="shared" si="212"/>
        <v>456068</v>
      </c>
      <c r="TCG23" s="30">
        <f t="shared" si="212"/>
        <v>456098</v>
      </c>
      <c r="TCH23" s="30">
        <f t="shared" si="212"/>
        <v>456129</v>
      </c>
      <c r="TCI23" s="30">
        <f t="shared" si="212"/>
        <v>456159</v>
      </c>
      <c r="TCJ23" s="30">
        <f t="shared" si="212"/>
        <v>456190</v>
      </c>
      <c r="TCK23" s="30">
        <f t="shared" si="212"/>
        <v>456221</v>
      </c>
      <c r="TCL23" s="30">
        <f t="shared" si="212"/>
        <v>456249</v>
      </c>
      <c r="TCM23" s="30">
        <f t="shared" si="212"/>
        <v>456280</v>
      </c>
      <c r="TCN23" s="30">
        <f t="shared" si="212"/>
        <v>456310</v>
      </c>
      <c r="TCO23" s="30">
        <f t="shared" si="212"/>
        <v>456341</v>
      </c>
      <c r="TCP23" s="30">
        <f t="shared" si="212"/>
        <v>456371</v>
      </c>
      <c r="TCQ23" s="30">
        <f t="shared" si="212"/>
        <v>456402</v>
      </c>
      <c r="TCR23" s="30">
        <f t="shared" si="212"/>
        <v>456433</v>
      </c>
      <c r="TCS23" s="30">
        <f t="shared" si="212"/>
        <v>456463</v>
      </c>
      <c r="TCT23" s="30">
        <f t="shared" si="212"/>
        <v>456494</v>
      </c>
      <c r="TCU23" s="30">
        <f t="shared" si="212"/>
        <v>456524</v>
      </c>
      <c r="TCV23" s="30">
        <f t="shared" si="212"/>
        <v>456555</v>
      </c>
      <c r="TCW23" s="30">
        <f t="shared" si="212"/>
        <v>456586</v>
      </c>
      <c r="TCX23" s="30">
        <f t="shared" si="212"/>
        <v>456614</v>
      </c>
      <c r="TCY23" s="30">
        <f t="shared" si="212"/>
        <v>456645</v>
      </c>
      <c r="TCZ23" s="30">
        <f t="shared" si="212"/>
        <v>456675</v>
      </c>
      <c r="TDA23" s="30">
        <f t="shared" si="212"/>
        <v>456706</v>
      </c>
      <c r="TDB23" s="30">
        <f t="shared" si="212"/>
        <v>456736</v>
      </c>
      <c r="TDC23" s="30">
        <f t="shared" si="212"/>
        <v>456767</v>
      </c>
      <c r="TDD23" s="30">
        <f t="shared" si="212"/>
        <v>456798</v>
      </c>
      <c r="TDE23" s="30">
        <f t="shared" si="212"/>
        <v>456828</v>
      </c>
      <c r="TDF23" s="30">
        <f t="shared" si="212"/>
        <v>456859</v>
      </c>
      <c r="TDG23" s="30">
        <f t="shared" si="212"/>
        <v>456889</v>
      </c>
      <c r="TDH23" s="30">
        <f t="shared" si="212"/>
        <v>456920</v>
      </c>
      <c r="TDI23" s="30">
        <f t="shared" si="212"/>
        <v>456951</v>
      </c>
      <c r="TDJ23" s="30">
        <f t="shared" si="212"/>
        <v>456979</v>
      </c>
      <c r="TDK23" s="30">
        <f t="shared" si="212"/>
        <v>457010</v>
      </c>
      <c r="TDL23" s="30">
        <f t="shared" ref="TDL23:TFW23" si="213">EDATE(TDK23,1)</f>
        <v>457040</v>
      </c>
      <c r="TDM23" s="30">
        <f t="shared" si="213"/>
        <v>457071</v>
      </c>
      <c r="TDN23" s="30">
        <f t="shared" si="213"/>
        <v>457101</v>
      </c>
      <c r="TDO23" s="30">
        <f t="shared" si="213"/>
        <v>457132</v>
      </c>
      <c r="TDP23" s="30">
        <f t="shared" si="213"/>
        <v>457163</v>
      </c>
      <c r="TDQ23" s="30">
        <f t="shared" si="213"/>
        <v>457193</v>
      </c>
      <c r="TDR23" s="30">
        <f t="shared" si="213"/>
        <v>457224</v>
      </c>
      <c r="TDS23" s="30">
        <f t="shared" si="213"/>
        <v>457254</v>
      </c>
      <c r="TDT23" s="30">
        <f t="shared" si="213"/>
        <v>457285</v>
      </c>
      <c r="TDU23" s="30">
        <f t="shared" si="213"/>
        <v>457316</v>
      </c>
      <c r="TDV23" s="30">
        <f t="shared" si="213"/>
        <v>457345</v>
      </c>
      <c r="TDW23" s="30">
        <f t="shared" si="213"/>
        <v>457376</v>
      </c>
      <c r="TDX23" s="30">
        <f t="shared" si="213"/>
        <v>457406</v>
      </c>
      <c r="TDY23" s="30">
        <f t="shared" si="213"/>
        <v>457437</v>
      </c>
      <c r="TDZ23" s="30">
        <f t="shared" si="213"/>
        <v>457467</v>
      </c>
      <c r="TEA23" s="30">
        <f t="shared" si="213"/>
        <v>457498</v>
      </c>
      <c r="TEB23" s="30">
        <f t="shared" si="213"/>
        <v>457529</v>
      </c>
      <c r="TEC23" s="30">
        <f t="shared" si="213"/>
        <v>457559</v>
      </c>
      <c r="TED23" s="30">
        <f t="shared" si="213"/>
        <v>457590</v>
      </c>
      <c r="TEE23" s="30">
        <f t="shared" si="213"/>
        <v>457620</v>
      </c>
      <c r="TEF23" s="30">
        <f t="shared" si="213"/>
        <v>457651</v>
      </c>
      <c r="TEG23" s="30">
        <f t="shared" si="213"/>
        <v>457682</v>
      </c>
      <c r="TEH23" s="30">
        <f t="shared" si="213"/>
        <v>457710</v>
      </c>
      <c r="TEI23" s="30">
        <f t="shared" si="213"/>
        <v>457741</v>
      </c>
      <c r="TEJ23" s="30">
        <f t="shared" si="213"/>
        <v>457771</v>
      </c>
      <c r="TEK23" s="30">
        <f t="shared" si="213"/>
        <v>457802</v>
      </c>
      <c r="TEL23" s="30">
        <f t="shared" si="213"/>
        <v>457832</v>
      </c>
      <c r="TEM23" s="30">
        <f t="shared" si="213"/>
        <v>457863</v>
      </c>
      <c r="TEN23" s="30">
        <f t="shared" si="213"/>
        <v>457894</v>
      </c>
      <c r="TEO23" s="30">
        <f t="shared" si="213"/>
        <v>457924</v>
      </c>
      <c r="TEP23" s="30">
        <f t="shared" si="213"/>
        <v>457955</v>
      </c>
      <c r="TEQ23" s="30">
        <f t="shared" si="213"/>
        <v>457985</v>
      </c>
      <c r="TER23" s="30">
        <f t="shared" si="213"/>
        <v>458016</v>
      </c>
      <c r="TES23" s="30">
        <f t="shared" si="213"/>
        <v>458047</v>
      </c>
      <c r="TET23" s="30">
        <f t="shared" si="213"/>
        <v>458075</v>
      </c>
      <c r="TEU23" s="30">
        <f t="shared" si="213"/>
        <v>458106</v>
      </c>
      <c r="TEV23" s="30">
        <f t="shared" si="213"/>
        <v>458136</v>
      </c>
      <c r="TEW23" s="30">
        <f t="shared" si="213"/>
        <v>458167</v>
      </c>
      <c r="TEX23" s="30">
        <f t="shared" si="213"/>
        <v>458197</v>
      </c>
      <c r="TEY23" s="30">
        <f t="shared" si="213"/>
        <v>458228</v>
      </c>
      <c r="TEZ23" s="30">
        <f t="shared" si="213"/>
        <v>458259</v>
      </c>
      <c r="TFA23" s="30">
        <f t="shared" si="213"/>
        <v>458289</v>
      </c>
      <c r="TFB23" s="30">
        <f t="shared" si="213"/>
        <v>458320</v>
      </c>
      <c r="TFC23" s="30">
        <f t="shared" si="213"/>
        <v>458350</v>
      </c>
      <c r="TFD23" s="30">
        <f t="shared" si="213"/>
        <v>458381</v>
      </c>
      <c r="TFE23" s="30">
        <f t="shared" si="213"/>
        <v>458412</v>
      </c>
      <c r="TFF23" s="30">
        <f t="shared" si="213"/>
        <v>458440</v>
      </c>
      <c r="TFG23" s="30">
        <f t="shared" si="213"/>
        <v>458471</v>
      </c>
      <c r="TFH23" s="30">
        <f t="shared" si="213"/>
        <v>458501</v>
      </c>
      <c r="TFI23" s="30">
        <f t="shared" si="213"/>
        <v>458532</v>
      </c>
      <c r="TFJ23" s="30">
        <f t="shared" si="213"/>
        <v>458562</v>
      </c>
      <c r="TFK23" s="30">
        <f t="shared" si="213"/>
        <v>458593</v>
      </c>
      <c r="TFL23" s="30">
        <f t="shared" si="213"/>
        <v>458624</v>
      </c>
      <c r="TFM23" s="30">
        <f t="shared" si="213"/>
        <v>458654</v>
      </c>
      <c r="TFN23" s="30">
        <f t="shared" si="213"/>
        <v>458685</v>
      </c>
      <c r="TFO23" s="30">
        <f t="shared" si="213"/>
        <v>458715</v>
      </c>
      <c r="TFP23" s="30">
        <f t="shared" si="213"/>
        <v>458746</v>
      </c>
      <c r="TFQ23" s="30">
        <f t="shared" si="213"/>
        <v>458777</v>
      </c>
      <c r="TFR23" s="30">
        <f t="shared" si="213"/>
        <v>458806</v>
      </c>
      <c r="TFS23" s="30">
        <f t="shared" si="213"/>
        <v>458837</v>
      </c>
      <c r="TFT23" s="30">
        <f t="shared" si="213"/>
        <v>458867</v>
      </c>
      <c r="TFU23" s="30">
        <f t="shared" si="213"/>
        <v>458898</v>
      </c>
      <c r="TFV23" s="30">
        <f t="shared" si="213"/>
        <v>458928</v>
      </c>
      <c r="TFW23" s="30">
        <f t="shared" si="213"/>
        <v>458959</v>
      </c>
      <c r="TFX23" s="30">
        <f t="shared" ref="TFX23:TII23" si="214">EDATE(TFW23,1)</f>
        <v>458990</v>
      </c>
      <c r="TFY23" s="30">
        <f t="shared" si="214"/>
        <v>459020</v>
      </c>
      <c r="TFZ23" s="30">
        <f t="shared" si="214"/>
        <v>459051</v>
      </c>
      <c r="TGA23" s="30">
        <f t="shared" si="214"/>
        <v>459081</v>
      </c>
      <c r="TGB23" s="30">
        <f t="shared" si="214"/>
        <v>459112</v>
      </c>
      <c r="TGC23" s="30">
        <f t="shared" si="214"/>
        <v>459143</v>
      </c>
      <c r="TGD23" s="30">
        <f t="shared" si="214"/>
        <v>459171</v>
      </c>
      <c r="TGE23" s="30">
        <f t="shared" si="214"/>
        <v>459202</v>
      </c>
      <c r="TGF23" s="30">
        <f t="shared" si="214"/>
        <v>459232</v>
      </c>
      <c r="TGG23" s="30">
        <f t="shared" si="214"/>
        <v>459263</v>
      </c>
      <c r="TGH23" s="30">
        <f t="shared" si="214"/>
        <v>459293</v>
      </c>
      <c r="TGI23" s="30">
        <f t="shared" si="214"/>
        <v>459324</v>
      </c>
      <c r="TGJ23" s="30">
        <f t="shared" si="214"/>
        <v>459355</v>
      </c>
      <c r="TGK23" s="30">
        <f t="shared" si="214"/>
        <v>459385</v>
      </c>
      <c r="TGL23" s="30">
        <f t="shared" si="214"/>
        <v>459416</v>
      </c>
      <c r="TGM23" s="30">
        <f t="shared" si="214"/>
        <v>459446</v>
      </c>
      <c r="TGN23" s="30">
        <f t="shared" si="214"/>
        <v>459477</v>
      </c>
      <c r="TGO23" s="30">
        <f t="shared" si="214"/>
        <v>459508</v>
      </c>
      <c r="TGP23" s="30">
        <f t="shared" si="214"/>
        <v>459536</v>
      </c>
      <c r="TGQ23" s="30">
        <f t="shared" si="214"/>
        <v>459567</v>
      </c>
      <c r="TGR23" s="30">
        <f t="shared" si="214"/>
        <v>459597</v>
      </c>
      <c r="TGS23" s="30">
        <f t="shared" si="214"/>
        <v>459628</v>
      </c>
      <c r="TGT23" s="30">
        <f t="shared" si="214"/>
        <v>459658</v>
      </c>
      <c r="TGU23" s="30">
        <f t="shared" si="214"/>
        <v>459689</v>
      </c>
      <c r="TGV23" s="30">
        <f t="shared" si="214"/>
        <v>459720</v>
      </c>
      <c r="TGW23" s="30">
        <f t="shared" si="214"/>
        <v>459750</v>
      </c>
      <c r="TGX23" s="30">
        <f t="shared" si="214"/>
        <v>459781</v>
      </c>
      <c r="TGY23" s="30">
        <f t="shared" si="214"/>
        <v>459811</v>
      </c>
      <c r="TGZ23" s="30">
        <f t="shared" si="214"/>
        <v>459842</v>
      </c>
      <c r="THA23" s="30">
        <f t="shared" si="214"/>
        <v>459873</v>
      </c>
      <c r="THB23" s="30">
        <f t="shared" si="214"/>
        <v>459901</v>
      </c>
      <c r="THC23" s="30">
        <f t="shared" si="214"/>
        <v>459932</v>
      </c>
      <c r="THD23" s="30">
        <f t="shared" si="214"/>
        <v>459962</v>
      </c>
      <c r="THE23" s="30">
        <f t="shared" si="214"/>
        <v>459993</v>
      </c>
      <c r="THF23" s="30">
        <f t="shared" si="214"/>
        <v>460023</v>
      </c>
      <c r="THG23" s="30">
        <f t="shared" si="214"/>
        <v>460054</v>
      </c>
      <c r="THH23" s="30">
        <f t="shared" si="214"/>
        <v>460085</v>
      </c>
      <c r="THI23" s="30">
        <f t="shared" si="214"/>
        <v>460115</v>
      </c>
      <c r="THJ23" s="30">
        <f t="shared" si="214"/>
        <v>460146</v>
      </c>
      <c r="THK23" s="30">
        <f t="shared" si="214"/>
        <v>460176</v>
      </c>
      <c r="THL23" s="30">
        <f t="shared" si="214"/>
        <v>460207</v>
      </c>
      <c r="THM23" s="30">
        <f t="shared" si="214"/>
        <v>460238</v>
      </c>
      <c r="THN23" s="30">
        <f t="shared" si="214"/>
        <v>460267</v>
      </c>
      <c r="THO23" s="30">
        <f t="shared" si="214"/>
        <v>460298</v>
      </c>
      <c r="THP23" s="30">
        <f t="shared" si="214"/>
        <v>460328</v>
      </c>
      <c r="THQ23" s="30">
        <f t="shared" si="214"/>
        <v>460359</v>
      </c>
      <c r="THR23" s="30">
        <f t="shared" si="214"/>
        <v>460389</v>
      </c>
      <c r="THS23" s="30">
        <f t="shared" si="214"/>
        <v>460420</v>
      </c>
      <c r="THT23" s="30">
        <f t="shared" si="214"/>
        <v>460451</v>
      </c>
      <c r="THU23" s="30">
        <f t="shared" si="214"/>
        <v>460481</v>
      </c>
      <c r="THV23" s="30">
        <f t="shared" si="214"/>
        <v>460512</v>
      </c>
      <c r="THW23" s="30">
        <f t="shared" si="214"/>
        <v>460542</v>
      </c>
      <c r="THX23" s="30">
        <f t="shared" si="214"/>
        <v>460573</v>
      </c>
      <c r="THY23" s="30">
        <f t="shared" si="214"/>
        <v>460604</v>
      </c>
      <c r="THZ23" s="30">
        <f t="shared" si="214"/>
        <v>460632</v>
      </c>
      <c r="TIA23" s="30">
        <f t="shared" si="214"/>
        <v>460663</v>
      </c>
      <c r="TIB23" s="30">
        <f t="shared" si="214"/>
        <v>460693</v>
      </c>
      <c r="TIC23" s="30">
        <f t="shared" si="214"/>
        <v>460724</v>
      </c>
      <c r="TID23" s="30">
        <f t="shared" si="214"/>
        <v>460754</v>
      </c>
      <c r="TIE23" s="30">
        <f t="shared" si="214"/>
        <v>460785</v>
      </c>
      <c r="TIF23" s="30">
        <f t="shared" si="214"/>
        <v>460816</v>
      </c>
      <c r="TIG23" s="30">
        <f t="shared" si="214"/>
        <v>460846</v>
      </c>
      <c r="TIH23" s="30">
        <f t="shared" si="214"/>
        <v>460877</v>
      </c>
      <c r="TII23" s="30">
        <f t="shared" si="214"/>
        <v>460907</v>
      </c>
      <c r="TIJ23" s="30">
        <f t="shared" ref="TIJ23:TKU23" si="215">EDATE(TII23,1)</f>
        <v>460938</v>
      </c>
      <c r="TIK23" s="30">
        <f t="shared" si="215"/>
        <v>460969</v>
      </c>
      <c r="TIL23" s="30">
        <f t="shared" si="215"/>
        <v>460997</v>
      </c>
      <c r="TIM23" s="30">
        <f t="shared" si="215"/>
        <v>461028</v>
      </c>
      <c r="TIN23" s="30">
        <f t="shared" si="215"/>
        <v>461058</v>
      </c>
      <c r="TIO23" s="30">
        <f t="shared" si="215"/>
        <v>461089</v>
      </c>
      <c r="TIP23" s="30">
        <f t="shared" si="215"/>
        <v>461119</v>
      </c>
      <c r="TIQ23" s="30">
        <f t="shared" si="215"/>
        <v>461150</v>
      </c>
      <c r="TIR23" s="30">
        <f t="shared" si="215"/>
        <v>461181</v>
      </c>
      <c r="TIS23" s="30">
        <f t="shared" si="215"/>
        <v>461211</v>
      </c>
      <c r="TIT23" s="30">
        <f t="shared" si="215"/>
        <v>461242</v>
      </c>
      <c r="TIU23" s="30">
        <f t="shared" si="215"/>
        <v>461272</v>
      </c>
      <c r="TIV23" s="30">
        <f t="shared" si="215"/>
        <v>461303</v>
      </c>
      <c r="TIW23" s="30">
        <f t="shared" si="215"/>
        <v>461334</v>
      </c>
      <c r="TIX23" s="30">
        <f t="shared" si="215"/>
        <v>461362</v>
      </c>
      <c r="TIY23" s="30">
        <f t="shared" si="215"/>
        <v>461393</v>
      </c>
      <c r="TIZ23" s="30">
        <f t="shared" si="215"/>
        <v>461423</v>
      </c>
      <c r="TJA23" s="30">
        <f t="shared" si="215"/>
        <v>461454</v>
      </c>
      <c r="TJB23" s="30">
        <f t="shared" si="215"/>
        <v>461484</v>
      </c>
      <c r="TJC23" s="30">
        <f t="shared" si="215"/>
        <v>461515</v>
      </c>
      <c r="TJD23" s="30">
        <f t="shared" si="215"/>
        <v>461546</v>
      </c>
      <c r="TJE23" s="30">
        <f t="shared" si="215"/>
        <v>461576</v>
      </c>
      <c r="TJF23" s="30">
        <f t="shared" si="215"/>
        <v>461607</v>
      </c>
      <c r="TJG23" s="30">
        <f t="shared" si="215"/>
        <v>461637</v>
      </c>
      <c r="TJH23" s="30">
        <f t="shared" si="215"/>
        <v>461668</v>
      </c>
      <c r="TJI23" s="30">
        <f t="shared" si="215"/>
        <v>461699</v>
      </c>
      <c r="TJJ23" s="30">
        <f t="shared" si="215"/>
        <v>461728</v>
      </c>
      <c r="TJK23" s="30">
        <f t="shared" si="215"/>
        <v>461759</v>
      </c>
      <c r="TJL23" s="30">
        <f t="shared" si="215"/>
        <v>461789</v>
      </c>
      <c r="TJM23" s="30">
        <f t="shared" si="215"/>
        <v>461820</v>
      </c>
      <c r="TJN23" s="30">
        <f t="shared" si="215"/>
        <v>461850</v>
      </c>
      <c r="TJO23" s="30">
        <f t="shared" si="215"/>
        <v>461881</v>
      </c>
      <c r="TJP23" s="30">
        <f t="shared" si="215"/>
        <v>461912</v>
      </c>
      <c r="TJQ23" s="30">
        <f t="shared" si="215"/>
        <v>461942</v>
      </c>
      <c r="TJR23" s="30">
        <f t="shared" si="215"/>
        <v>461973</v>
      </c>
      <c r="TJS23" s="30">
        <f t="shared" si="215"/>
        <v>462003</v>
      </c>
      <c r="TJT23" s="30">
        <f t="shared" si="215"/>
        <v>462034</v>
      </c>
      <c r="TJU23" s="30">
        <f t="shared" si="215"/>
        <v>462065</v>
      </c>
      <c r="TJV23" s="30">
        <f t="shared" si="215"/>
        <v>462093</v>
      </c>
      <c r="TJW23" s="30">
        <f t="shared" si="215"/>
        <v>462124</v>
      </c>
      <c r="TJX23" s="30">
        <f t="shared" si="215"/>
        <v>462154</v>
      </c>
      <c r="TJY23" s="30">
        <f t="shared" si="215"/>
        <v>462185</v>
      </c>
      <c r="TJZ23" s="30">
        <f t="shared" si="215"/>
        <v>462215</v>
      </c>
      <c r="TKA23" s="30">
        <f t="shared" si="215"/>
        <v>462246</v>
      </c>
      <c r="TKB23" s="30">
        <f t="shared" si="215"/>
        <v>462277</v>
      </c>
      <c r="TKC23" s="30">
        <f t="shared" si="215"/>
        <v>462307</v>
      </c>
      <c r="TKD23" s="30">
        <f t="shared" si="215"/>
        <v>462338</v>
      </c>
      <c r="TKE23" s="30">
        <f t="shared" si="215"/>
        <v>462368</v>
      </c>
      <c r="TKF23" s="30">
        <f t="shared" si="215"/>
        <v>462399</v>
      </c>
      <c r="TKG23" s="30">
        <f t="shared" si="215"/>
        <v>462430</v>
      </c>
      <c r="TKH23" s="30">
        <f t="shared" si="215"/>
        <v>462458</v>
      </c>
      <c r="TKI23" s="30">
        <f t="shared" si="215"/>
        <v>462489</v>
      </c>
      <c r="TKJ23" s="30">
        <f t="shared" si="215"/>
        <v>462519</v>
      </c>
      <c r="TKK23" s="30">
        <f t="shared" si="215"/>
        <v>462550</v>
      </c>
      <c r="TKL23" s="30">
        <f t="shared" si="215"/>
        <v>462580</v>
      </c>
      <c r="TKM23" s="30">
        <f t="shared" si="215"/>
        <v>462611</v>
      </c>
      <c r="TKN23" s="30">
        <f t="shared" si="215"/>
        <v>462642</v>
      </c>
      <c r="TKO23" s="30">
        <f t="shared" si="215"/>
        <v>462672</v>
      </c>
      <c r="TKP23" s="30">
        <f t="shared" si="215"/>
        <v>462703</v>
      </c>
      <c r="TKQ23" s="30">
        <f t="shared" si="215"/>
        <v>462733</v>
      </c>
      <c r="TKR23" s="30">
        <f t="shared" si="215"/>
        <v>462764</v>
      </c>
      <c r="TKS23" s="30">
        <f t="shared" si="215"/>
        <v>462795</v>
      </c>
      <c r="TKT23" s="30">
        <f t="shared" si="215"/>
        <v>462823</v>
      </c>
      <c r="TKU23" s="30">
        <f t="shared" si="215"/>
        <v>462854</v>
      </c>
      <c r="TKV23" s="30">
        <f t="shared" ref="TKV23:TNG23" si="216">EDATE(TKU23,1)</f>
        <v>462884</v>
      </c>
      <c r="TKW23" s="30">
        <f t="shared" si="216"/>
        <v>462915</v>
      </c>
      <c r="TKX23" s="30">
        <f t="shared" si="216"/>
        <v>462945</v>
      </c>
      <c r="TKY23" s="30">
        <f t="shared" si="216"/>
        <v>462976</v>
      </c>
      <c r="TKZ23" s="30">
        <f t="shared" si="216"/>
        <v>463007</v>
      </c>
      <c r="TLA23" s="30">
        <f t="shared" si="216"/>
        <v>463037</v>
      </c>
      <c r="TLB23" s="30">
        <f t="shared" si="216"/>
        <v>463068</v>
      </c>
      <c r="TLC23" s="30">
        <f t="shared" si="216"/>
        <v>463098</v>
      </c>
      <c r="TLD23" s="30">
        <f t="shared" si="216"/>
        <v>463129</v>
      </c>
      <c r="TLE23" s="30">
        <f t="shared" si="216"/>
        <v>463160</v>
      </c>
      <c r="TLF23" s="30">
        <f t="shared" si="216"/>
        <v>463189</v>
      </c>
      <c r="TLG23" s="30">
        <f t="shared" si="216"/>
        <v>463220</v>
      </c>
      <c r="TLH23" s="30">
        <f t="shared" si="216"/>
        <v>463250</v>
      </c>
      <c r="TLI23" s="30">
        <f t="shared" si="216"/>
        <v>463281</v>
      </c>
      <c r="TLJ23" s="30">
        <f t="shared" si="216"/>
        <v>463311</v>
      </c>
      <c r="TLK23" s="30">
        <f t="shared" si="216"/>
        <v>463342</v>
      </c>
      <c r="TLL23" s="30">
        <f t="shared" si="216"/>
        <v>463373</v>
      </c>
      <c r="TLM23" s="30">
        <f t="shared" si="216"/>
        <v>463403</v>
      </c>
      <c r="TLN23" s="30">
        <f t="shared" si="216"/>
        <v>463434</v>
      </c>
      <c r="TLO23" s="30">
        <f t="shared" si="216"/>
        <v>463464</v>
      </c>
      <c r="TLP23" s="30">
        <f t="shared" si="216"/>
        <v>463495</v>
      </c>
      <c r="TLQ23" s="30">
        <f t="shared" si="216"/>
        <v>463526</v>
      </c>
      <c r="TLR23" s="30">
        <f t="shared" si="216"/>
        <v>463554</v>
      </c>
      <c r="TLS23" s="30">
        <f t="shared" si="216"/>
        <v>463585</v>
      </c>
      <c r="TLT23" s="30">
        <f t="shared" si="216"/>
        <v>463615</v>
      </c>
      <c r="TLU23" s="30">
        <f t="shared" si="216"/>
        <v>463646</v>
      </c>
      <c r="TLV23" s="30">
        <f t="shared" si="216"/>
        <v>463676</v>
      </c>
      <c r="TLW23" s="30">
        <f t="shared" si="216"/>
        <v>463707</v>
      </c>
      <c r="TLX23" s="30">
        <f t="shared" si="216"/>
        <v>463738</v>
      </c>
      <c r="TLY23" s="30">
        <f t="shared" si="216"/>
        <v>463768</v>
      </c>
      <c r="TLZ23" s="30">
        <f t="shared" si="216"/>
        <v>463799</v>
      </c>
      <c r="TMA23" s="30">
        <f t="shared" si="216"/>
        <v>463829</v>
      </c>
      <c r="TMB23" s="30">
        <f t="shared" si="216"/>
        <v>463860</v>
      </c>
      <c r="TMC23" s="30">
        <f t="shared" si="216"/>
        <v>463891</v>
      </c>
      <c r="TMD23" s="30">
        <f t="shared" si="216"/>
        <v>463919</v>
      </c>
      <c r="TME23" s="30">
        <f t="shared" si="216"/>
        <v>463950</v>
      </c>
      <c r="TMF23" s="30">
        <f t="shared" si="216"/>
        <v>463980</v>
      </c>
      <c r="TMG23" s="30">
        <f t="shared" si="216"/>
        <v>464011</v>
      </c>
      <c r="TMH23" s="30">
        <f t="shared" si="216"/>
        <v>464041</v>
      </c>
      <c r="TMI23" s="30">
        <f t="shared" si="216"/>
        <v>464072</v>
      </c>
      <c r="TMJ23" s="30">
        <f t="shared" si="216"/>
        <v>464103</v>
      </c>
      <c r="TMK23" s="30">
        <f t="shared" si="216"/>
        <v>464133</v>
      </c>
      <c r="TML23" s="30">
        <f t="shared" si="216"/>
        <v>464164</v>
      </c>
      <c r="TMM23" s="30">
        <f t="shared" si="216"/>
        <v>464194</v>
      </c>
      <c r="TMN23" s="30">
        <f t="shared" si="216"/>
        <v>464225</v>
      </c>
      <c r="TMO23" s="30">
        <f t="shared" si="216"/>
        <v>464256</v>
      </c>
      <c r="TMP23" s="30">
        <f t="shared" si="216"/>
        <v>464284</v>
      </c>
      <c r="TMQ23" s="30">
        <f t="shared" si="216"/>
        <v>464315</v>
      </c>
      <c r="TMR23" s="30">
        <f t="shared" si="216"/>
        <v>464345</v>
      </c>
      <c r="TMS23" s="30">
        <f t="shared" si="216"/>
        <v>464376</v>
      </c>
      <c r="TMT23" s="30">
        <f t="shared" si="216"/>
        <v>464406</v>
      </c>
      <c r="TMU23" s="30">
        <f t="shared" si="216"/>
        <v>464437</v>
      </c>
      <c r="TMV23" s="30">
        <f t="shared" si="216"/>
        <v>464468</v>
      </c>
      <c r="TMW23" s="30">
        <f t="shared" si="216"/>
        <v>464498</v>
      </c>
      <c r="TMX23" s="30">
        <f t="shared" si="216"/>
        <v>464529</v>
      </c>
      <c r="TMY23" s="30">
        <f t="shared" si="216"/>
        <v>464559</v>
      </c>
      <c r="TMZ23" s="30">
        <f t="shared" si="216"/>
        <v>464590</v>
      </c>
      <c r="TNA23" s="30">
        <f t="shared" si="216"/>
        <v>464621</v>
      </c>
      <c r="TNB23" s="30">
        <f t="shared" si="216"/>
        <v>464650</v>
      </c>
      <c r="TNC23" s="30">
        <f t="shared" si="216"/>
        <v>464681</v>
      </c>
      <c r="TND23" s="30">
        <f t="shared" si="216"/>
        <v>464711</v>
      </c>
      <c r="TNE23" s="30">
        <f t="shared" si="216"/>
        <v>464742</v>
      </c>
      <c r="TNF23" s="30">
        <f t="shared" si="216"/>
        <v>464772</v>
      </c>
      <c r="TNG23" s="30">
        <f t="shared" si="216"/>
        <v>464803</v>
      </c>
      <c r="TNH23" s="30">
        <f t="shared" ref="TNH23:TPS23" si="217">EDATE(TNG23,1)</f>
        <v>464834</v>
      </c>
      <c r="TNI23" s="30">
        <f t="shared" si="217"/>
        <v>464864</v>
      </c>
      <c r="TNJ23" s="30">
        <f t="shared" si="217"/>
        <v>464895</v>
      </c>
      <c r="TNK23" s="30">
        <f t="shared" si="217"/>
        <v>464925</v>
      </c>
      <c r="TNL23" s="30">
        <f t="shared" si="217"/>
        <v>464956</v>
      </c>
      <c r="TNM23" s="30">
        <f t="shared" si="217"/>
        <v>464987</v>
      </c>
      <c r="TNN23" s="30">
        <f t="shared" si="217"/>
        <v>465015</v>
      </c>
      <c r="TNO23" s="30">
        <f t="shared" si="217"/>
        <v>465046</v>
      </c>
      <c r="TNP23" s="30">
        <f t="shared" si="217"/>
        <v>465076</v>
      </c>
      <c r="TNQ23" s="30">
        <f t="shared" si="217"/>
        <v>465107</v>
      </c>
      <c r="TNR23" s="30">
        <f t="shared" si="217"/>
        <v>465137</v>
      </c>
      <c r="TNS23" s="30">
        <f t="shared" si="217"/>
        <v>465168</v>
      </c>
      <c r="TNT23" s="30">
        <f t="shared" si="217"/>
        <v>465199</v>
      </c>
      <c r="TNU23" s="30">
        <f t="shared" si="217"/>
        <v>465229</v>
      </c>
      <c r="TNV23" s="30">
        <f t="shared" si="217"/>
        <v>465260</v>
      </c>
      <c r="TNW23" s="30">
        <f t="shared" si="217"/>
        <v>465290</v>
      </c>
      <c r="TNX23" s="30">
        <f t="shared" si="217"/>
        <v>465321</v>
      </c>
      <c r="TNY23" s="30">
        <f t="shared" si="217"/>
        <v>465352</v>
      </c>
      <c r="TNZ23" s="30">
        <f t="shared" si="217"/>
        <v>465380</v>
      </c>
      <c r="TOA23" s="30">
        <f t="shared" si="217"/>
        <v>465411</v>
      </c>
      <c r="TOB23" s="30">
        <f t="shared" si="217"/>
        <v>465441</v>
      </c>
      <c r="TOC23" s="30">
        <f t="shared" si="217"/>
        <v>465472</v>
      </c>
      <c r="TOD23" s="30">
        <f t="shared" si="217"/>
        <v>465502</v>
      </c>
      <c r="TOE23" s="30">
        <f t="shared" si="217"/>
        <v>465533</v>
      </c>
      <c r="TOF23" s="30">
        <f t="shared" si="217"/>
        <v>465564</v>
      </c>
      <c r="TOG23" s="30">
        <f t="shared" si="217"/>
        <v>465594</v>
      </c>
      <c r="TOH23" s="30">
        <f t="shared" si="217"/>
        <v>465625</v>
      </c>
      <c r="TOI23" s="30">
        <f t="shared" si="217"/>
        <v>465655</v>
      </c>
      <c r="TOJ23" s="30">
        <f t="shared" si="217"/>
        <v>465686</v>
      </c>
      <c r="TOK23" s="30">
        <f t="shared" si="217"/>
        <v>465717</v>
      </c>
      <c r="TOL23" s="30">
        <f t="shared" si="217"/>
        <v>465745</v>
      </c>
      <c r="TOM23" s="30">
        <f t="shared" si="217"/>
        <v>465776</v>
      </c>
      <c r="TON23" s="30">
        <f t="shared" si="217"/>
        <v>465806</v>
      </c>
      <c r="TOO23" s="30">
        <f t="shared" si="217"/>
        <v>465837</v>
      </c>
      <c r="TOP23" s="30">
        <f t="shared" si="217"/>
        <v>465867</v>
      </c>
      <c r="TOQ23" s="30">
        <f t="shared" si="217"/>
        <v>465898</v>
      </c>
      <c r="TOR23" s="30">
        <f t="shared" si="217"/>
        <v>465929</v>
      </c>
      <c r="TOS23" s="30">
        <f t="shared" si="217"/>
        <v>465959</v>
      </c>
      <c r="TOT23" s="30">
        <f t="shared" si="217"/>
        <v>465990</v>
      </c>
      <c r="TOU23" s="30">
        <f t="shared" si="217"/>
        <v>466020</v>
      </c>
      <c r="TOV23" s="30">
        <f t="shared" si="217"/>
        <v>466051</v>
      </c>
      <c r="TOW23" s="30">
        <f t="shared" si="217"/>
        <v>466082</v>
      </c>
      <c r="TOX23" s="30">
        <f t="shared" si="217"/>
        <v>466111</v>
      </c>
      <c r="TOY23" s="30">
        <f t="shared" si="217"/>
        <v>466142</v>
      </c>
      <c r="TOZ23" s="30">
        <f t="shared" si="217"/>
        <v>466172</v>
      </c>
      <c r="TPA23" s="30">
        <f t="shared" si="217"/>
        <v>466203</v>
      </c>
      <c r="TPB23" s="30">
        <f t="shared" si="217"/>
        <v>466233</v>
      </c>
      <c r="TPC23" s="30">
        <f t="shared" si="217"/>
        <v>466264</v>
      </c>
      <c r="TPD23" s="30">
        <f t="shared" si="217"/>
        <v>466295</v>
      </c>
      <c r="TPE23" s="30">
        <f t="shared" si="217"/>
        <v>466325</v>
      </c>
      <c r="TPF23" s="30">
        <f t="shared" si="217"/>
        <v>466356</v>
      </c>
      <c r="TPG23" s="30">
        <f t="shared" si="217"/>
        <v>466386</v>
      </c>
      <c r="TPH23" s="30">
        <f t="shared" si="217"/>
        <v>466417</v>
      </c>
      <c r="TPI23" s="30">
        <f t="shared" si="217"/>
        <v>466448</v>
      </c>
      <c r="TPJ23" s="30">
        <f t="shared" si="217"/>
        <v>466476</v>
      </c>
      <c r="TPK23" s="30">
        <f t="shared" si="217"/>
        <v>466507</v>
      </c>
      <c r="TPL23" s="30">
        <f t="shared" si="217"/>
        <v>466537</v>
      </c>
      <c r="TPM23" s="30">
        <f t="shared" si="217"/>
        <v>466568</v>
      </c>
      <c r="TPN23" s="30">
        <f t="shared" si="217"/>
        <v>466598</v>
      </c>
      <c r="TPO23" s="30">
        <f t="shared" si="217"/>
        <v>466629</v>
      </c>
      <c r="TPP23" s="30">
        <f t="shared" si="217"/>
        <v>466660</v>
      </c>
      <c r="TPQ23" s="30">
        <f t="shared" si="217"/>
        <v>466690</v>
      </c>
      <c r="TPR23" s="30">
        <f t="shared" si="217"/>
        <v>466721</v>
      </c>
      <c r="TPS23" s="30">
        <f t="shared" si="217"/>
        <v>466751</v>
      </c>
      <c r="TPT23" s="30">
        <f t="shared" ref="TPT23:TSE23" si="218">EDATE(TPS23,1)</f>
        <v>466782</v>
      </c>
      <c r="TPU23" s="30">
        <f t="shared" si="218"/>
        <v>466813</v>
      </c>
      <c r="TPV23" s="30">
        <f t="shared" si="218"/>
        <v>466841</v>
      </c>
      <c r="TPW23" s="30">
        <f t="shared" si="218"/>
        <v>466872</v>
      </c>
      <c r="TPX23" s="30">
        <f t="shared" si="218"/>
        <v>466902</v>
      </c>
      <c r="TPY23" s="30">
        <f t="shared" si="218"/>
        <v>466933</v>
      </c>
      <c r="TPZ23" s="30">
        <f t="shared" si="218"/>
        <v>466963</v>
      </c>
      <c r="TQA23" s="30">
        <f t="shared" si="218"/>
        <v>466994</v>
      </c>
      <c r="TQB23" s="30">
        <f t="shared" si="218"/>
        <v>467025</v>
      </c>
      <c r="TQC23" s="30">
        <f t="shared" si="218"/>
        <v>467055</v>
      </c>
      <c r="TQD23" s="30">
        <f t="shared" si="218"/>
        <v>467086</v>
      </c>
      <c r="TQE23" s="30">
        <f t="shared" si="218"/>
        <v>467116</v>
      </c>
      <c r="TQF23" s="30">
        <f t="shared" si="218"/>
        <v>467147</v>
      </c>
      <c r="TQG23" s="30">
        <f t="shared" si="218"/>
        <v>467178</v>
      </c>
      <c r="TQH23" s="30">
        <f t="shared" si="218"/>
        <v>467206</v>
      </c>
      <c r="TQI23" s="30">
        <f t="shared" si="218"/>
        <v>467237</v>
      </c>
      <c r="TQJ23" s="30">
        <f t="shared" si="218"/>
        <v>467267</v>
      </c>
      <c r="TQK23" s="30">
        <f t="shared" si="218"/>
        <v>467298</v>
      </c>
      <c r="TQL23" s="30">
        <f t="shared" si="218"/>
        <v>467328</v>
      </c>
      <c r="TQM23" s="30">
        <f t="shared" si="218"/>
        <v>467359</v>
      </c>
      <c r="TQN23" s="30">
        <f t="shared" si="218"/>
        <v>467390</v>
      </c>
      <c r="TQO23" s="30">
        <f t="shared" si="218"/>
        <v>467420</v>
      </c>
      <c r="TQP23" s="30">
        <f t="shared" si="218"/>
        <v>467451</v>
      </c>
      <c r="TQQ23" s="30">
        <f t="shared" si="218"/>
        <v>467481</v>
      </c>
      <c r="TQR23" s="30">
        <f t="shared" si="218"/>
        <v>467512</v>
      </c>
      <c r="TQS23" s="30">
        <f t="shared" si="218"/>
        <v>467543</v>
      </c>
      <c r="TQT23" s="30">
        <f t="shared" si="218"/>
        <v>467572</v>
      </c>
      <c r="TQU23" s="30">
        <f t="shared" si="218"/>
        <v>467603</v>
      </c>
      <c r="TQV23" s="30">
        <f t="shared" si="218"/>
        <v>467633</v>
      </c>
      <c r="TQW23" s="30">
        <f t="shared" si="218"/>
        <v>467664</v>
      </c>
      <c r="TQX23" s="30">
        <f t="shared" si="218"/>
        <v>467694</v>
      </c>
      <c r="TQY23" s="30">
        <f t="shared" si="218"/>
        <v>467725</v>
      </c>
      <c r="TQZ23" s="30">
        <f t="shared" si="218"/>
        <v>467756</v>
      </c>
      <c r="TRA23" s="30">
        <f t="shared" si="218"/>
        <v>467786</v>
      </c>
      <c r="TRB23" s="30">
        <f t="shared" si="218"/>
        <v>467817</v>
      </c>
      <c r="TRC23" s="30">
        <f t="shared" si="218"/>
        <v>467847</v>
      </c>
      <c r="TRD23" s="30">
        <f t="shared" si="218"/>
        <v>467878</v>
      </c>
      <c r="TRE23" s="30">
        <f t="shared" si="218"/>
        <v>467909</v>
      </c>
      <c r="TRF23" s="30">
        <f t="shared" si="218"/>
        <v>467937</v>
      </c>
      <c r="TRG23" s="30">
        <f t="shared" si="218"/>
        <v>467968</v>
      </c>
      <c r="TRH23" s="30">
        <f t="shared" si="218"/>
        <v>467998</v>
      </c>
      <c r="TRI23" s="30">
        <f t="shared" si="218"/>
        <v>468029</v>
      </c>
      <c r="TRJ23" s="30">
        <f t="shared" si="218"/>
        <v>468059</v>
      </c>
      <c r="TRK23" s="30">
        <f t="shared" si="218"/>
        <v>468090</v>
      </c>
      <c r="TRL23" s="30">
        <f t="shared" si="218"/>
        <v>468121</v>
      </c>
      <c r="TRM23" s="30">
        <f t="shared" si="218"/>
        <v>468151</v>
      </c>
      <c r="TRN23" s="30">
        <f t="shared" si="218"/>
        <v>468182</v>
      </c>
      <c r="TRO23" s="30">
        <f t="shared" si="218"/>
        <v>468212</v>
      </c>
      <c r="TRP23" s="30">
        <f t="shared" si="218"/>
        <v>468243</v>
      </c>
      <c r="TRQ23" s="30">
        <f t="shared" si="218"/>
        <v>468274</v>
      </c>
      <c r="TRR23" s="30">
        <f t="shared" si="218"/>
        <v>468302</v>
      </c>
      <c r="TRS23" s="30">
        <f t="shared" si="218"/>
        <v>468333</v>
      </c>
      <c r="TRT23" s="30">
        <f t="shared" si="218"/>
        <v>468363</v>
      </c>
      <c r="TRU23" s="30">
        <f t="shared" si="218"/>
        <v>468394</v>
      </c>
      <c r="TRV23" s="30">
        <f t="shared" si="218"/>
        <v>468424</v>
      </c>
      <c r="TRW23" s="30">
        <f t="shared" si="218"/>
        <v>468455</v>
      </c>
      <c r="TRX23" s="30">
        <f t="shared" si="218"/>
        <v>468486</v>
      </c>
      <c r="TRY23" s="30">
        <f t="shared" si="218"/>
        <v>468516</v>
      </c>
      <c r="TRZ23" s="30">
        <f t="shared" si="218"/>
        <v>468547</v>
      </c>
      <c r="TSA23" s="30">
        <f t="shared" si="218"/>
        <v>468577</v>
      </c>
      <c r="TSB23" s="30">
        <f t="shared" si="218"/>
        <v>468608</v>
      </c>
      <c r="TSC23" s="30">
        <f t="shared" si="218"/>
        <v>468639</v>
      </c>
      <c r="TSD23" s="30">
        <f t="shared" si="218"/>
        <v>468667</v>
      </c>
      <c r="TSE23" s="30">
        <f t="shared" si="218"/>
        <v>468698</v>
      </c>
      <c r="TSF23" s="30">
        <f t="shared" ref="TSF23:TUQ23" si="219">EDATE(TSE23,1)</f>
        <v>468728</v>
      </c>
      <c r="TSG23" s="30">
        <f t="shared" si="219"/>
        <v>468759</v>
      </c>
      <c r="TSH23" s="30">
        <f t="shared" si="219"/>
        <v>468789</v>
      </c>
      <c r="TSI23" s="30">
        <f t="shared" si="219"/>
        <v>468820</v>
      </c>
      <c r="TSJ23" s="30">
        <f t="shared" si="219"/>
        <v>468851</v>
      </c>
      <c r="TSK23" s="30">
        <f t="shared" si="219"/>
        <v>468881</v>
      </c>
      <c r="TSL23" s="30">
        <f t="shared" si="219"/>
        <v>468912</v>
      </c>
      <c r="TSM23" s="30">
        <f t="shared" si="219"/>
        <v>468942</v>
      </c>
      <c r="TSN23" s="30">
        <f t="shared" si="219"/>
        <v>468973</v>
      </c>
      <c r="TSO23" s="30">
        <f t="shared" si="219"/>
        <v>469004</v>
      </c>
      <c r="TSP23" s="30">
        <f t="shared" si="219"/>
        <v>469033</v>
      </c>
      <c r="TSQ23" s="30">
        <f t="shared" si="219"/>
        <v>469064</v>
      </c>
      <c r="TSR23" s="30">
        <f t="shared" si="219"/>
        <v>469094</v>
      </c>
      <c r="TSS23" s="30">
        <f t="shared" si="219"/>
        <v>469125</v>
      </c>
      <c r="TST23" s="30">
        <f t="shared" si="219"/>
        <v>469155</v>
      </c>
      <c r="TSU23" s="30">
        <f t="shared" si="219"/>
        <v>469186</v>
      </c>
      <c r="TSV23" s="30">
        <f t="shared" si="219"/>
        <v>469217</v>
      </c>
      <c r="TSW23" s="30">
        <f t="shared" si="219"/>
        <v>469247</v>
      </c>
      <c r="TSX23" s="30">
        <f t="shared" si="219"/>
        <v>469278</v>
      </c>
      <c r="TSY23" s="30">
        <f t="shared" si="219"/>
        <v>469308</v>
      </c>
      <c r="TSZ23" s="30">
        <f t="shared" si="219"/>
        <v>469339</v>
      </c>
      <c r="TTA23" s="30">
        <f t="shared" si="219"/>
        <v>469370</v>
      </c>
      <c r="TTB23" s="30">
        <f t="shared" si="219"/>
        <v>469398</v>
      </c>
      <c r="TTC23" s="30">
        <f t="shared" si="219"/>
        <v>469429</v>
      </c>
      <c r="TTD23" s="30">
        <f t="shared" si="219"/>
        <v>469459</v>
      </c>
      <c r="TTE23" s="30">
        <f t="shared" si="219"/>
        <v>469490</v>
      </c>
      <c r="TTF23" s="30">
        <f t="shared" si="219"/>
        <v>469520</v>
      </c>
      <c r="TTG23" s="30">
        <f t="shared" si="219"/>
        <v>469551</v>
      </c>
      <c r="TTH23" s="30">
        <f t="shared" si="219"/>
        <v>469582</v>
      </c>
      <c r="TTI23" s="30">
        <f t="shared" si="219"/>
        <v>469612</v>
      </c>
      <c r="TTJ23" s="30">
        <f t="shared" si="219"/>
        <v>469643</v>
      </c>
      <c r="TTK23" s="30">
        <f t="shared" si="219"/>
        <v>469673</v>
      </c>
      <c r="TTL23" s="30">
        <f t="shared" si="219"/>
        <v>469704</v>
      </c>
      <c r="TTM23" s="30">
        <f t="shared" si="219"/>
        <v>469735</v>
      </c>
      <c r="TTN23" s="30">
        <f t="shared" si="219"/>
        <v>469763</v>
      </c>
      <c r="TTO23" s="30">
        <f t="shared" si="219"/>
        <v>469794</v>
      </c>
      <c r="TTP23" s="30">
        <f t="shared" si="219"/>
        <v>469824</v>
      </c>
      <c r="TTQ23" s="30">
        <f t="shared" si="219"/>
        <v>469855</v>
      </c>
      <c r="TTR23" s="30">
        <f t="shared" si="219"/>
        <v>469885</v>
      </c>
      <c r="TTS23" s="30">
        <f t="shared" si="219"/>
        <v>469916</v>
      </c>
      <c r="TTT23" s="30">
        <f t="shared" si="219"/>
        <v>469947</v>
      </c>
      <c r="TTU23" s="30">
        <f t="shared" si="219"/>
        <v>469977</v>
      </c>
      <c r="TTV23" s="30">
        <f t="shared" si="219"/>
        <v>470008</v>
      </c>
      <c r="TTW23" s="30">
        <f t="shared" si="219"/>
        <v>470038</v>
      </c>
      <c r="TTX23" s="30">
        <f t="shared" si="219"/>
        <v>470069</v>
      </c>
      <c r="TTY23" s="30">
        <f t="shared" si="219"/>
        <v>470100</v>
      </c>
      <c r="TTZ23" s="30">
        <f t="shared" si="219"/>
        <v>470128</v>
      </c>
      <c r="TUA23" s="30">
        <f t="shared" si="219"/>
        <v>470159</v>
      </c>
      <c r="TUB23" s="30">
        <f t="shared" si="219"/>
        <v>470189</v>
      </c>
      <c r="TUC23" s="30">
        <f t="shared" si="219"/>
        <v>470220</v>
      </c>
      <c r="TUD23" s="30">
        <f t="shared" si="219"/>
        <v>470250</v>
      </c>
      <c r="TUE23" s="30">
        <f t="shared" si="219"/>
        <v>470281</v>
      </c>
      <c r="TUF23" s="30">
        <f t="shared" si="219"/>
        <v>470312</v>
      </c>
      <c r="TUG23" s="30">
        <f t="shared" si="219"/>
        <v>470342</v>
      </c>
      <c r="TUH23" s="30">
        <f t="shared" si="219"/>
        <v>470373</v>
      </c>
      <c r="TUI23" s="30">
        <f t="shared" si="219"/>
        <v>470403</v>
      </c>
      <c r="TUJ23" s="30">
        <f t="shared" si="219"/>
        <v>470434</v>
      </c>
      <c r="TUK23" s="30">
        <f t="shared" si="219"/>
        <v>470465</v>
      </c>
      <c r="TUL23" s="30">
        <f t="shared" si="219"/>
        <v>470494</v>
      </c>
      <c r="TUM23" s="30">
        <f t="shared" si="219"/>
        <v>470525</v>
      </c>
      <c r="TUN23" s="30">
        <f t="shared" si="219"/>
        <v>470555</v>
      </c>
      <c r="TUO23" s="30">
        <f t="shared" si="219"/>
        <v>470586</v>
      </c>
      <c r="TUP23" s="30">
        <f t="shared" si="219"/>
        <v>470616</v>
      </c>
      <c r="TUQ23" s="30">
        <f t="shared" si="219"/>
        <v>470647</v>
      </c>
      <c r="TUR23" s="30">
        <f t="shared" ref="TUR23:TXC23" si="220">EDATE(TUQ23,1)</f>
        <v>470678</v>
      </c>
      <c r="TUS23" s="30">
        <f t="shared" si="220"/>
        <v>470708</v>
      </c>
      <c r="TUT23" s="30">
        <f t="shared" si="220"/>
        <v>470739</v>
      </c>
      <c r="TUU23" s="30">
        <f t="shared" si="220"/>
        <v>470769</v>
      </c>
      <c r="TUV23" s="30">
        <f t="shared" si="220"/>
        <v>470800</v>
      </c>
      <c r="TUW23" s="30">
        <f t="shared" si="220"/>
        <v>470831</v>
      </c>
      <c r="TUX23" s="30">
        <f t="shared" si="220"/>
        <v>470859</v>
      </c>
      <c r="TUY23" s="30">
        <f t="shared" si="220"/>
        <v>470890</v>
      </c>
      <c r="TUZ23" s="30">
        <f t="shared" si="220"/>
        <v>470920</v>
      </c>
      <c r="TVA23" s="30">
        <f t="shared" si="220"/>
        <v>470951</v>
      </c>
      <c r="TVB23" s="30">
        <f t="shared" si="220"/>
        <v>470981</v>
      </c>
      <c r="TVC23" s="30">
        <f t="shared" si="220"/>
        <v>471012</v>
      </c>
      <c r="TVD23" s="30">
        <f t="shared" si="220"/>
        <v>471043</v>
      </c>
      <c r="TVE23" s="30">
        <f t="shared" si="220"/>
        <v>471073</v>
      </c>
      <c r="TVF23" s="30">
        <f t="shared" si="220"/>
        <v>471104</v>
      </c>
      <c r="TVG23" s="30">
        <f t="shared" si="220"/>
        <v>471134</v>
      </c>
      <c r="TVH23" s="30">
        <f t="shared" si="220"/>
        <v>471165</v>
      </c>
      <c r="TVI23" s="30">
        <f t="shared" si="220"/>
        <v>471196</v>
      </c>
      <c r="TVJ23" s="30">
        <f t="shared" si="220"/>
        <v>471224</v>
      </c>
      <c r="TVK23" s="30">
        <f t="shared" si="220"/>
        <v>471255</v>
      </c>
      <c r="TVL23" s="30">
        <f t="shared" si="220"/>
        <v>471285</v>
      </c>
      <c r="TVM23" s="30">
        <f t="shared" si="220"/>
        <v>471316</v>
      </c>
      <c r="TVN23" s="30">
        <f t="shared" si="220"/>
        <v>471346</v>
      </c>
      <c r="TVO23" s="30">
        <f t="shared" si="220"/>
        <v>471377</v>
      </c>
      <c r="TVP23" s="30">
        <f t="shared" si="220"/>
        <v>471408</v>
      </c>
      <c r="TVQ23" s="30">
        <f t="shared" si="220"/>
        <v>471438</v>
      </c>
      <c r="TVR23" s="30">
        <f t="shared" si="220"/>
        <v>471469</v>
      </c>
      <c r="TVS23" s="30">
        <f t="shared" si="220"/>
        <v>471499</v>
      </c>
      <c r="TVT23" s="30">
        <f t="shared" si="220"/>
        <v>471530</v>
      </c>
      <c r="TVU23" s="30">
        <f t="shared" si="220"/>
        <v>471561</v>
      </c>
      <c r="TVV23" s="30">
        <f t="shared" si="220"/>
        <v>471589</v>
      </c>
      <c r="TVW23" s="30">
        <f t="shared" si="220"/>
        <v>471620</v>
      </c>
      <c r="TVX23" s="30">
        <f t="shared" si="220"/>
        <v>471650</v>
      </c>
      <c r="TVY23" s="30">
        <f t="shared" si="220"/>
        <v>471681</v>
      </c>
      <c r="TVZ23" s="30">
        <f t="shared" si="220"/>
        <v>471711</v>
      </c>
      <c r="TWA23" s="30">
        <f t="shared" si="220"/>
        <v>471742</v>
      </c>
      <c r="TWB23" s="30">
        <f t="shared" si="220"/>
        <v>471773</v>
      </c>
      <c r="TWC23" s="30">
        <f t="shared" si="220"/>
        <v>471803</v>
      </c>
      <c r="TWD23" s="30">
        <f t="shared" si="220"/>
        <v>471834</v>
      </c>
      <c r="TWE23" s="30">
        <f t="shared" si="220"/>
        <v>471864</v>
      </c>
      <c r="TWF23" s="30">
        <f t="shared" si="220"/>
        <v>471895</v>
      </c>
      <c r="TWG23" s="30">
        <f t="shared" si="220"/>
        <v>471926</v>
      </c>
      <c r="TWH23" s="30">
        <f t="shared" si="220"/>
        <v>471955</v>
      </c>
      <c r="TWI23" s="30">
        <f t="shared" si="220"/>
        <v>471986</v>
      </c>
      <c r="TWJ23" s="30">
        <f t="shared" si="220"/>
        <v>472016</v>
      </c>
      <c r="TWK23" s="30">
        <f t="shared" si="220"/>
        <v>472047</v>
      </c>
      <c r="TWL23" s="30">
        <f t="shared" si="220"/>
        <v>472077</v>
      </c>
      <c r="TWM23" s="30">
        <f t="shared" si="220"/>
        <v>472108</v>
      </c>
      <c r="TWN23" s="30">
        <f t="shared" si="220"/>
        <v>472139</v>
      </c>
      <c r="TWO23" s="30">
        <f t="shared" si="220"/>
        <v>472169</v>
      </c>
      <c r="TWP23" s="30">
        <f t="shared" si="220"/>
        <v>472200</v>
      </c>
      <c r="TWQ23" s="30">
        <f t="shared" si="220"/>
        <v>472230</v>
      </c>
      <c r="TWR23" s="30">
        <f t="shared" si="220"/>
        <v>472261</v>
      </c>
      <c r="TWS23" s="30">
        <f t="shared" si="220"/>
        <v>472292</v>
      </c>
      <c r="TWT23" s="30">
        <f t="shared" si="220"/>
        <v>472320</v>
      </c>
      <c r="TWU23" s="30">
        <f t="shared" si="220"/>
        <v>472351</v>
      </c>
      <c r="TWV23" s="30">
        <f t="shared" si="220"/>
        <v>472381</v>
      </c>
      <c r="TWW23" s="30">
        <f t="shared" si="220"/>
        <v>472412</v>
      </c>
      <c r="TWX23" s="30">
        <f t="shared" si="220"/>
        <v>472442</v>
      </c>
      <c r="TWY23" s="30">
        <f t="shared" si="220"/>
        <v>472473</v>
      </c>
      <c r="TWZ23" s="30">
        <f t="shared" si="220"/>
        <v>472504</v>
      </c>
      <c r="TXA23" s="30">
        <f t="shared" si="220"/>
        <v>472534</v>
      </c>
      <c r="TXB23" s="30">
        <f t="shared" si="220"/>
        <v>472565</v>
      </c>
      <c r="TXC23" s="30">
        <f t="shared" si="220"/>
        <v>472595</v>
      </c>
      <c r="TXD23" s="30">
        <f t="shared" ref="TXD23:TZO23" si="221">EDATE(TXC23,1)</f>
        <v>472626</v>
      </c>
      <c r="TXE23" s="30">
        <f t="shared" si="221"/>
        <v>472657</v>
      </c>
      <c r="TXF23" s="30">
        <f t="shared" si="221"/>
        <v>472685</v>
      </c>
      <c r="TXG23" s="30">
        <f t="shared" si="221"/>
        <v>472716</v>
      </c>
      <c r="TXH23" s="30">
        <f t="shared" si="221"/>
        <v>472746</v>
      </c>
      <c r="TXI23" s="30">
        <f t="shared" si="221"/>
        <v>472777</v>
      </c>
      <c r="TXJ23" s="30">
        <f t="shared" si="221"/>
        <v>472807</v>
      </c>
      <c r="TXK23" s="30">
        <f t="shared" si="221"/>
        <v>472838</v>
      </c>
      <c r="TXL23" s="30">
        <f t="shared" si="221"/>
        <v>472869</v>
      </c>
      <c r="TXM23" s="30">
        <f t="shared" si="221"/>
        <v>472899</v>
      </c>
      <c r="TXN23" s="30">
        <f t="shared" si="221"/>
        <v>472930</v>
      </c>
      <c r="TXO23" s="30">
        <f t="shared" si="221"/>
        <v>472960</v>
      </c>
      <c r="TXP23" s="30">
        <f t="shared" si="221"/>
        <v>472991</v>
      </c>
      <c r="TXQ23" s="30">
        <f t="shared" si="221"/>
        <v>473022</v>
      </c>
      <c r="TXR23" s="30">
        <f t="shared" si="221"/>
        <v>473050</v>
      </c>
      <c r="TXS23" s="30">
        <f t="shared" si="221"/>
        <v>473081</v>
      </c>
      <c r="TXT23" s="30">
        <f t="shared" si="221"/>
        <v>473111</v>
      </c>
      <c r="TXU23" s="30">
        <f t="shared" si="221"/>
        <v>473142</v>
      </c>
      <c r="TXV23" s="30">
        <f t="shared" si="221"/>
        <v>473172</v>
      </c>
      <c r="TXW23" s="30">
        <f t="shared" si="221"/>
        <v>473203</v>
      </c>
      <c r="TXX23" s="30">
        <f t="shared" si="221"/>
        <v>473234</v>
      </c>
      <c r="TXY23" s="30">
        <f t="shared" si="221"/>
        <v>473264</v>
      </c>
      <c r="TXZ23" s="30">
        <f t="shared" si="221"/>
        <v>473295</v>
      </c>
      <c r="TYA23" s="30">
        <f t="shared" si="221"/>
        <v>473325</v>
      </c>
      <c r="TYB23" s="30">
        <f t="shared" si="221"/>
        <v>473356</v>
      </c>
      <c r="TYC23" s="30">
        <f t="shared" si="221"/>
        <v>473387</v>
      </c>
      <c r="TYD23" s="30">
        <f t="shared" si="221"/>
        <v>473416</v>
      </c>
      <c r="TYE23" s="30">
        <f t="shared" si="221"/>
        <v>473447</v>
      </c>
      <c r="TYF23" s="30">
        <f t="shared" si="221"/>
        <v>473477</v>
      </c>
      <c r="TYG23" s="30">
        <f t="shared" si="221"/>
        <v>473508</v>
      </c>
      <c r="TYH23" s="30">
        <f t="shared" si="221"/>
        <v>473538</v>
      </c>
      <c r="TYI23" s="30">
        <f t="shared" si="221"/>
        <v>473569</v>
      </c>
      <c r="TYJ23" s="30">
        <f t="shared" si="221"/>
        <v>473600</v>
      </c>
      <c r="TYK23" s="30">
        <f t="shared" si="221"/>
        <v>473630</v>
      </c>
      <c r="TYL23" s="30">
        <f t="shared" si="221"/>
        <v>473661</v>
      </c>
      <c r="TYM23" s="30">
        <f t="shared" si="221"/>
        <v>473691</v>
      </c>
      <c r="TYN23" s="30">
        <f t="shared" si="221"/>
        <v>473722</v>
      </c>
      <c r="TYO23" s="30">
        <f t="shared" si="221"/>
        <v>473753</v>
      </c>
      <c r="TYP23" s="30">
        <f t="shared" si="221"/>
        <v>473781</v>
      </c>
      <c r="TYQ23" s="30">
        <f t="shared" si="221"/>
        <v>473812</v>
      </c>
      <c r="TYR23" s="30">
        <f t="shared" si="221"/>
        <v>473842</v>
      </c>
      <c r="TYS23" s="30">
        <f t="shared" si="221"/>
        <v>473873</v>
      </c>
      <c r="TYT23" s="30">
        <f t="shared" si="221"/>
        <v>473903</v>
      </c>
      <c r="TYU23" s="30">
        <f t="shared" si="221"/>
        <v>473934</v>
      </c>
      <c r="TYV23" s="30">
        <f t="shared" si="221"/>
        <v>473965</v>
      </c>
      <c r="TYW23" s="30">
        <f t="shared" si="221"/>
        <v>473995</v>
      </c>
      <c r="TYX23" s="30">
        <f t="shared" si="221"/>
        <v>474026</v>
      </c>
      <c r="TYY23" s="30">
        <f t="shared" si="221"/>
        <v>474056</v>
      </c>
      <c r="TYZ23" s="30">
        <f t="shared" si="221"/>
        <v>474087</v>
      </c>
      <c r="TZA23" s="30">
        <f t="shared" si="221"/>
        <v>474118</v>
      </c>
      <c r="TZB23" s="30">
        <f t="shared" si="221"/>
        <v>474146</v>
      </c>
      <c r="TZC23" s="30">
        <f t="shared" si="221"/>
        <v>474177</v>
      </c>
      <c r="TZD23" s="30">
        <f t="shared" si="221"/>
        <v>474207</v>
      </c>
      <c r="TZE23" s="30">
        <f t="shared" si="221"/>
        <v>474238</v>
      </c>
      <c r="TZF23" s="30">
        <f t="shared" si="221"/>
        <v>474268</v>
      </c>
      <c r="TZG23" s="30">
        <f t="shared" si="221"/>
        <v>474299</v>
      </c>
      <c r="TZH23" s="30">
        <f t="shared" si="221"/>
        <v>474330</v>
      </c>
      <c r="TZI23" s="30">
        <f t="shared" si="221"/>
        <v>474360</v>
      </c>
      <c r="TZJ23" s="30">
        <f t="shared" si="221"/>
        <v>474391</v>
      </c>
      <c r="TZK23" s="30">
        <f t="shared" si="221"/>
        <v>474421</v>
      </c>
      <c r="TZL23" s="30">
        <f t="shared" si="221"/>
        <v>474452</v>
      </c>
      <c r="TZM23" s="30">
        <f t="shared" si="221"/>
        <v>474483</v>
      </c>
      <c r="TZN23" s="30">
        <f t="shared" si="221"/>
        <v>474511</v>
      </c>
      <c r="TZO23" s="30">
        <f t="shared" si="221"/>
        <v>474542</v>
      </c>
      <c r="TZP23" s="30">
        <f t="shared" ref="TZP23:UCA23" si="222">EDATE(TZO23,1)</f>
        <v>474572</v>
      </c>
      <c r="TZQ23" s="30">
        <f t="shared" si="222"/>
        <v>474603</v>
      </c>
      <c r="TZR23" s="30">
        <f t="shared" si="222"/>
        <v>474633</v>
      </c>
      <c r="TZS23" s="30">
        <f t="shared" si="222"/>
        <v>474664</v>
      </c>
      <c r="TZT23" s="30">
        <f t="shared" si="222"/>
        <v>474695</v>
      </c>
      <c r="TZU23" s="30">
        <f t="shared" si="222"/>
        <v>474725</v>
      </c>
      <c r="TZV23" s="30">
        <f t="shared" si="222"/>
        <v>474756</v>
      </c>
      <c r="TZW23" s="30">
        <f t="shared" si="222"/>
        <v>474786</v>
      </c>
      <c r="TZX23" s="30">
        <f t="shared" si="222"/>
        <v>474817</v>
      </c>
      <c r="TZY23" s="30">
        <f t="shared" si="222"/>
        <v>474848</v>
      </c>
      <c r="TZZ23" s="30">
        <f t="shared" si="222"/>
        <v>474877</v>
      </c>
      <c r="UAA23" s="30">
        <f t="shared" si="222"/>
        <v>474908</v>
      </c>
      <c r="UAB23" s="30">
        <f t="shared" si="222"/>
        <v>474938</v>
      </c>
      <c r="UAC23" s="30">
        <f t="shared" si="222"/>
        <v>474969</v>
      </c>
      <c r="UAD23" s="30">
        <f t="shared" si="222"/>
        <v>474999</v>
      </c>
      <c r="UAE23" s="30">
        <f t="shared" si="222"/>
        <v>475030</v>
      </c>
      <c r="UAF23" s="30">
        <f t="shared" si="222"/>
        <v>475061</v>
      </c>
      <c r="UAG23" s="30">
        <f t="shared" si="222"/>
        <v>475091</v>
      </c>
      <c r="UAH23" s="30">
        <f t="shared" si="222"/>
        <v>475122</v>
      </c>
      <c r="UAI23" s="30">
        <f t="shared" si="222"/>
        <v>475152</v>
      </c>
      <c r="UAJ23" s="30">
        <f t="shared" si="222"/>
        <v>475183</v>
      </c>
      <c r="UAK23" s="30">
        <f t="shared" si="222"/>
        <v>475214</v>
      </c>
      <c r="UAL23" s="30">
        <f t="shared" si="222"/>
        <v>475242</v>
      </c>
      <c r="UAM23" s="30">
        <f t="shared" si="222"/>
        <v>475273</v>
      </c>
      <c r="UAN23" s="30">
        <f t="shared" si="222"/>
        <v>475303</v>
      </c>
      <c r="UAO23" s="30">
        <f t="shared" si="222"/>
        <v>475334</v>
      </c>
      <c r="UAP23" s="30">
        <f t="shared" si="222"/>
        <v>475364</v>
      </c>
      <c r="UAQ23" s="30">
        <f t="shared" si="222"/>
        <v>475395</v>
      </c>
      <c r="UAR23" s="30">
        <f t="shared" si="222"/>
        <v>475426</v>
      </c>
      <c r="UAS23" s="30">
        <f t="shared" si="222"/>
        <v>475456</v>
      </c>
      <c r="UAT23" s="30">
        <f t="shared" si="222"/>
        <v>475487</v>
      </c>
      <c r="UAU23" s="30">
        <f t="shared" si="222"/>
        <v>475517</v>
      </c>
      <c r="UAV23" s="30">
        <f t="shared" si="222"/>
        <v>475548</v>
      </c>
      <c r="UAW23" s="30">
        <f t="shared" si="222"/>
        <v>475579</v>
      </c>
      <c r="UAX23" s="30">
        <f t="shared" si="222"/>
        <v>475607</v>
      </c>
      <c r="UAY23" s="30">
        <f t="shared" si="222"/>
        <v>475638</v>
      </c>
      <c r="UAZ23" s="30">
        <f t="shared" si="222"/>
        <v>475668</v>
      </c>
      <c r="UBA23" s="30">
        <f t="shared" si="222"/>
        <v>475699</v>
      </c>
      <c r="UBB23" s="30">
        <f t="shared" si="222"/>
        <v>475729</v>
      </c>
      <c r="UBC23" s="30">
        <f t="shared" si="222"/>
        <v>475760</v>
      </c>
      <c r="UBD23" s="30">
        <f t="shared" si="222"/>
        <v>475791</v>
      </c>
      <c r="UBE23" s="30">
        <f t="shared" si="222"/>
        <v>475821</v>
      </c>
      <c r="UBF23" s="30">
        <f t="shared" si="222"/>
        <v>475852</v>
      </c>
      <c r="UBG23" s="30">
        <f t="shared" si="222"/>
        <v>475882</v>
      </c>
      <c r="UBH23" s="30">
        <f t="shared" si="222"/>
        <v>475913</v>
      </c>
      <c r="UBI23" s="30">
        <f t="shared" si="222"/>
        <v>475944</v>
      </c>
      <c r="UBJ23" s="30">
        <f t="shared" si="222"/>
        <v>475972</v>
      </c>
      <c r="UBK23" s="30">
        <f t="shared" si="222"/>
        <v>476003</v>
      </c>
      <c r="UBL23" s="30">
        <f t="shared" si="222"/>
        <v>476033</v>
      </c>
      <c r="UBM23" s="30">
        <f t="shared" si="222"/>
        <v>476064</v>
      </c>
      <c r="UBN23" s="30">
        <f t="shared" si="222"/>
        <v>476094</v>
      </c>
      <c r="UBO23" s="30">
        <f t="shared" si="222"/>
        <v>476125</v>
      </c>
      <c r="UBP23" s="30">
        <f t="shared" si="222"/>
        <v>476156</v>
      </c>
      <c r="UBQ23" s="30">
        <f t="shared" si="222"/>
        <v>476186</v>
      </c>
      <c r="UBR23" s="30">
        <f t="shared" si="222"/>
        <v>476217</v>
      </c>
      <c r="UBS23" s="30">
        <f t="shared" si="222"/>
        <v>476247</v>
      </c>
      <c r="UBT23" s="30">
        <f t="shared" si="222"/>
        <v>476278</v>
      </c>
      <c r="UBU23" s="30">
        <f t="shared" si="222"/>
        <v>476309</v>
      </c>
      <c r="UBV23" s="30">
        <f t="shared" si="222"/>
        <v>476338</v>
      </c>
      <c r="UBW23" s="30">
        <f t="shared" si="222"/>
        <v>476369</v>
      </c>
      <c r="UBX23" s="30">
        <f t="shared" si="222"/>
        <v>476399</v>
      </c>
      <c r="UBY23" s="30">
        <f t="shared" si="222"/>
        <v>476430</v>
      </c>
      <c r="UBZ23" s="30">
        <f t="shared" si="222"/>
        <v>476460</v>
      </c>
      <c r="UCA23" s="30">
        <f t="shared" si="222"/>
        <v>476491</v>
      </c>
      <c r="UCB23" s="30">
        <f t="shared" ref="UCB23:UEM23" si="223">EDATE(UCA23,1)</f>
        <v>476522</v>
      </c>
      <c r="UCC23" s="30">
        <f t="shared" si="223"/>
        <v>476552</v>
      </c>
      <c r="UCD23" s="30">
        <f t="shared" si="223"/>
        <v>476583</v>
      </c>
      <c r="UCE23" s="30">
        <f t="shared" si="223"/>
        <v>476613</v>
      </c>
      <c r="UCF23" s="30">
        <f t="shared" si="223"/>
        <v>476644</v>
      </c>
      <c r="UCG23" s="30">
        <f t="shared" si="223"/>
        <v>476675</v>
      </c>
      <c r="UCH23" s="30">
        <f t="shared" si="223"/>
        <v>476703</v>
      </c>
      <c r="UCI23" s="30">
        <f t="shared" si="223"/>
        <v>476734</v>
      </c>
      <c r="UCJ23" s="30">
        <f t="shared" si="223"/>
        <v>476764</v>
      </c>
      <c r="UCK23" s="30">
        <f t="shared" si="223"/>
        <v>476795</v>
      </c>
      <c r="UCL23" s="30">
        <f t="shared" si="223"/>
        <v>476825</v>
      </c>
      <c r="UCM23" s="30">
        <f t="shared" si="223"/>
        <v>476856</v>
      </c>
      <c r="UCN23" s="30">
        <f t="shared" si="223"/>
        <v>476887</v>
      </c>
      <c r="UCO23" s="30">
        <f t="shared" si="223"/>
        <v>476917</v>
      </c>
      <c r="UCP23" s="30">
        <f t="shared" si="223"/>
        <v>476948</v>
      </c>
      <c r="UCQ23" s="30">
        <f t="shared" si="223"/>
        <v>476978</v>
      </c>
      <c r="UCR23" s="30">
        <f t="shared" si="223"/>
        <v>477009</v>
      </c>
      <c r="UCS23" s="30">
        <f t="shared" si="223"/>
        <v>477040</v>
      </c>
      <c r="UCT23" s="30">
        <f t="shared" si="223"/>
        <v>477068</v>
      </c>
      <c r="UCU23" s="30">
        <f t="shared" si="223"/>
        <v>477099</v>
      </c>
      <c r="UCV23" s="30">
        <f t="shared" si="223"/>
        <v>477129</v>
      </c>
      <c r="UCW23" s="30">
        <f t="shared" si="223"/>
        <v>477160</v>
      </c>
      <c r="UCX23" s="30">
        <f t="shared" si="223"/>
        <v>477190</v>
      </c>
      <c r="UCY23" s="30">
        <f t="shared" si="223"/>
        <v>477221</v>
      </c>
      <c r="UCZ23" s="30">
        <f t="shared" si="223"/>
        <v>477252</v>
      </c>
      <c r="UDA23" s="30">
        <f t="shared" si="223"/>
        <v>477282</v>
      </c>
      <c r="UDB23" s="30">
        <f t="shared" si="223"/>
        <v>477313</v>
      </c>
      <c r="UDC23" s="30">
        <f t="shared" si="223"/>
        <v>477343</v>
      </c>
      <c r="UDD23" s="30">
        <f t="shared" si="223"/>
        <v>477374</v>
      </c>
      <c r="UDE23" s="30">
        <f t="shared" si="223"/>
        <v>477405</v>
      </c>
      <c r="UDF23" s="30">
        <f t="shared" si="223"/>
        <v>477433</v>
      </c>
      <c r="UDG23" s="30">
        <f t="shared" si="223"/>
        <v>477464</v>
      </c>
      <c r="UDH23" s="30">
        <f t="shared" si="223"/>
        <v>477494</v>
      </c>
      <c r="UDI23" s="30">
        <f t="shared" si="223"/>
        <v>477525</v>
      </c>
      <c r="UDJ23" s="30">
        <f t="shared" si="223"/>
        <v>477555</v>
      </c>
      <c r="UDK23" s="30">
        <f t="shared" si="223"/>
        <v>477586</v>
      </c>
      <c r="UDL23" s="30">
        <f t="shared" si="223"/>
        <v>477617</v>
      </c>
      <c r="UDM23" s="30">
        <f t="shared" si="223"/>
        <v>477647</v>
      </c>
      <c r="UDN23" s="30">
        <f t="shared" si="223"/>
        <v>477678</v>
      </c>
      <c r="UDO23" s="30">
        <f t="shared" si="223"/>
        <v>477708</v>
      </c>
      <c r="UDP23" s="30">
        <f t="shared" si="223"/>
        <v>477739</v>
      </c>
      <c r="UDQ23" s="30">
        <f t="shared" si="223"/>
        <v>477770</v>
      </c>
      <c r="UDR23" s="30">
        <f t="shared" si="223"/>
        <v>477799</v>
      </c>
      <c r="UDS23" s="30">
        <f t="shared" si="223"/>
        <v>477830</v>
      </c>
      <c r="UDT23" s="30">
        <f t="shared" si="223"/>
        <v>477860</v>
      </c>
      <c r="UDU23" s="30">
        <f t="shared" si="223"/>
        <v>477891</v>
      </c>
      <c r="UDV23" s="30">
        <f t="shared" si="223"/>
        <v>477921</v>
      </c>
      <c r="UDW23" s="30">
        <f t="shared" si="223"/>
        <v>477952</v>
      </c>
      <c r="UDX23" s="30">
        <f t="shared" si="223"/>
        <v>477983</v>
      </c>
      <c r="UDY23" s="30">
        <f t="shared" si="223"/>
        <v>478013</v>
      </c>
      <c r="UDZ23" s="30">
        <f t="shared" si="223"/>
        <v>478044</v>
      </c>
      <c r="UEA23" s="30">
        <f t="shared" si="223"/>
        <v>478074</v>
      </c>
      <c r="UEB23" s="30">
        <f t="shared" si="223"/>
        <v>478105</v>
      </c>
      <c r="UEC23" s="30">
        <f t="shared" si="223"/>
        <v>478136</v>
      </c>
      <c r="UED23" s="30">
        <f t="shared" si="223"/>
        <v>478164</v>
      </c>
      <c r="UEE23" s="30">
        <f t="shared" si="223"/>
        <v>478195</v>
      </c>
      <c r="UEF23" s="30">
        <f t="shared" si="223"/>
        <v>478225</v>
      </c>
      <c r="UEG23" s="30">
        <f t="shared" si="223"/>
        <v>478256</v>
      </c>
      <c r="UEH23" s="30">
        <f t="shared" si="223"/>
        <v>478286</v>
      </c>
      <c r="UEI23" s="30">
        <f t="shared" si="223"/>
        <v>478317</v>
      </c>
      <c r="UEJ23" s="30">
        <f t="shared" si="223"/>
        <v>478348</v>
      </c>
      <c r="UEK23" s="30">
        <f t="shared" si="223"/>
        <v>478378</v>
      </c>
      <c r="UEL23" s="30">
        <f t="shared" si="223"/>
        <v>478409</v>
      </c>
      <c r="UEM23" s="30">
        <f t="shared" si="223"/>
        <v>478439</v>
      </c>
      <c r="UEN23" s="30">
        <f t="shared" ref="UEN23:UGY23" si="224">EDATE(UEM23,1)</f>
        <v>478470</v>
      </c>
      <c r="UEO23" s="30">
        <f t="shared" si="224"/>
        <v>478501</v>
      </c>
      <c r="UEP23" s="30">
        <f t="shared" si="224"/>
        <v>478529</v>
      </c>
      <c r="UEQ23" s="30">
        <f t="shared" si="224"/>
        <v>478560</v>
      </c>
      <c r="UER23" s="30">
        <f t="shared" si="224"/>
        <v>478590</v>
      </c>
      <c r="UES23" s="30">
        <f t="shared" si="224"/>
        <v>478621</v>
      </c>
      <c r="UET23" s="30">
        <f t="shared" si="224"/>
        <v>478651</v>
      </c>
      <c r="UEU23" s="30">
        <f t="shared" si="224"/>
        <v>478682</v>
      </c>
      <c r="UEV23" s="30">
        <f t="shared" si="224"/>
        <v>478713</v>
      </c>
      <c r="UEW23" s="30">
        <f t="shared" si="224"/>
        <v>478743</v>
      </c>
      <c r="UEX23" s="30">
        <f t="shared" si="224"/>
        <v>478774</v>
      </c>
      <c r="UEY23" s="30">
        <f t="shared" si="224"/>
        <v>478804</v>
      </c>
      <c r="UEZ23" s="30">
        <f t="shared" si="224"/>
        <v>478835</v>
      </c>
      <c r="UFA23" s="30">
        <f t="shared" si="224"/>
        <v>478866</v>
      </c>
      <c r="UFB23" s="30">
        <f t="shared" si="224"/>
        <v>478894</v>
      </c>
      <c r="UFC23" s="30">
        <f t="shared" si="224"/>
        <v>478925</v>
      </c>
      <c r="UFD23" s="30">
        <f t="shared" si="224"/>
        <v>478955</v>
      </c>
      <c r="UFE23" s="30">
        <f t="shared" si="224"/>
        <v>478986</v>
      </c>
      <c r="UFF23" s="30">
        <f t="shared" si="224"/>
        <v>479016</v>
      </c>
      <c r="UFG23" s="30">
        <f t="shared" si="224"/>
        <v>479047</v>
      </c>
      <c r="UFH23" s="30">
        <f t="shared" si="224"/>
        <v>479078</v>
      </c>
      <c r="UFI23" s="30">
        <f t="shared" si="224"/>
        <v>479108</v>
      </c>
      <c r="UFJ23" s="30">
        <f t="shared" si="224"/>
        <v>479139</v>
      </c>
      <c r="UFK23" s="30">
        <f t="shared" si="224"/>
        <v>479169</v>
      </c>
      <c r="UFL23" s="30">
        <f t="shared" si="224"/>
        <v>479200</v>
      </c>
      <c r="UFM23" s="30">
        <f t="shared" si="224"/>
        <v>479231</v>
      </c>
      <c r="UFN23" s="30">
        <f t="shared" si="224"/>
        <v>479260</v>
      </c>
      <c r="UFO23" s="30">
        <f t="shared" si="224"/>
        <v>479291</v>
      </c>
      <c r="UFP23" s="30">
        <f t="shared" si="224"/>
        <v>479321</v>
      </c>
      <c r="UFQ23" s="30">
        <f t="shared" si="224"/>
        <v>479352</v>
      </c>
      <c r="UFR23" s="30">
        <f t="shared" si="224"/>
        <v>479382</v>
      </c>
      <c r="UFS23" s="30">
        <f t="shared" si="224"/>
        <v>479413</v>
      </c>
      <c r="UFT23" s="30">
        <f t="shared" si="224"/>
        <v>479444</v>
      </c>
      <c r="UFU23" s="30">
        <f t="shared" si="224"/>
        <v>479474</v>
      </c>
      <c r="UFV23" s="30">
        <f t="shared" si="224"/>
        <v>479505</v>
      </c>
      <c r="UFW23" s="30">
        <f t="shared" si="224"/>
        <v>479535</v>
      </c>
      <c r="UFX23" s="30">
        <f t="shared" si="224"/>
        <v>479566</v>
      </c>
      <c r="UFY23" s="30">
        <f t="shared" si="224"/>
        <v>479597</v>
      </c>
      <c r="UFZ23" s="30">
        <f t="shared" si="224"/>
        <v>479625</v>
      </c>
      <c r="UGA23" s="30">
        <f t="shared" si="224"/>
        <v>479656</v>
      </c>
      <c r="UGB23" s="30">
        <f t="shared" si="224"/>
        <v>479686</v>
      </c>
      <c r="UGC23" s="30">
        <f t="shared" si="224"/>
        <v>479717</v>
      </c>
      <c r="UGD23" s="30">
        <f t="shared" si="224"/>
        <v>479747</v>
      </c>
      <c r="UGE23" s="30">
        <f t="shared" si="224"/>
        <v>479778</v>
      </c>
      <c r="UGF23" s="30">
        <f t="shared" si="224"/>
        <v>479809</v>
      </c>
      <c r="UGG23" s="30">
        <f t="shared" si="224"/>
        <v>479839</v>
      </c>
      <c r="UGH23" s="30">
        <f t="shared" si="224"/>
        <v>479870</v>
      </c>
      <c r="UGI23" s="30">
        <f t="shared" si="224"/>
        <v>479900</v>
      </c>
      <c r="UGJ23" s="30">
        <f t="shared" si="224"/>
        <v>479931</v>
      </c>
      <c r="UGK23" s="30">
        <f t="shared" si="224"/>
        <v>479962</v>
      </c>
      <c r="UGL23" s="30">
        <f t="shared" si="224"/>
        <v>479990</v>
      </c>
      <c r="UGM23" s="30">
        <f t="shared" si="224"/>
        <v>480021</v>
      </c>
      <c r="UGN23" s="30">
        <f t="shared" si="224"/>
        <v>480051</v>
      </c>
      <c r="UGO23" s="30">
        <f t="shared" si="224"/>
        <v>480082</v>
      </c>
      <c r="UGP23" s="30">
        <f t="shared" si="224"/>
        <v>480112</v>
      </c>
      <c r="UGQ23" s="30">
        <f t="shared" si="224"/>
        <v>480143</v>
      </c>
      <c r="UGR23" s="30">
        <f t="shared" si="224"/>
        <v>480174</v>
      </c>
      <c r="UGS23" s="30">
        <f t="shared" si="224"/>
        <v>480204</v>
      </c>
      <c r="UGT23" s="30">
        <f t="shared" si="224"/>
        <v>480235</v>
      </c>
      <c r="UGU23" s="30">
        <f t="shared" si="224"/>
        <v>480265</v>
      </c>
      <c r="UGV23" s="30">
        <f t="shared" si="224"/>
        <v>480296</v>
      </c>
      <c r="UGW23" s="30">
        <f t="shared" si="224"/>
        <v>480327</v>
      </c>
      <c r="UGX23" s="30">
        <f t="shared" si="224"/>
        <v>480355</v>
      </c>
      <c r="UGY23" s="30">
        <f t="shared" si="224"/>
        <v>480386</v>
      </c>
      <c r="UGZ23" s="30">
        <f t="shared" ref="UGZ23:UJK23" si="225">EDATE(UGY23,1)</f>
        <v>480416</v>
      </c>
      <c r="UHA23" s="30">
        <f t="shared" si="225"/>
        <v>480447</v>
      </c>
      <c r="UHB23" s="30">
        <f t="shared" si="225"/>
        <v>480477</v>
      </c>
      <c r="UHC23" s="30">
        <f t="shared" si="225"/>
        <v>480508</v>
      </c>
      <c r="UHD23" s="30">
        <f t="shared" si="225"/>
        <v>480539</v>
      </c>
      <c r="UHE23" s="30">
        <f t="shared" si="225"/>
        <v>480569</v>
      </c>
      <c r="UHF23" s="30">
        <f t="shared" si="225"/>
        <v>480600</v>
      </c>
      <c r="UHG23" s="30">
        <f t="shared" si="225"/>
        <v>480630</v>
      </c>
      <c r="UHH23" s="30">
        <f t="shared" si="225"/>
        <v>480661</v>
      </c>
      <c r="UHI23" s="30">
        <f t="shared" si="225"/>
        <v>480692</v>
      </c>
      <c r="UHJ23" s="30">
        <f t="shared" si="225"/>
        <v>480721</v>
      </c>
      <c r="UHK23" s="30">
        <f t="shared" si="225"/>
        <v>480752</v>
      </c>
      <c r="UHL23" s="30">
        <f t="shared" si="225"/>
        <v>480782</v>
      </c>
      <c r="UHM23" s="30">
        <f t="shared" si="225"/>
        <v>480813</v>
      </c>
      <c r="UHN23" s="30">
        <f t="shared" si="225"/>
        <v>480843</v>
      </c>
      <c r="UHO23" s="30">
        <f t="shared" si="225"/>
        <v>480874</v>
      </c>
      <c r="UHP23" s="30">
        <f t="shared" si="225"/>
        <v>480905</v>
      </c>
      <c r="UHQ23" s="30">
        <f t="shared" si="225"/>
        <v>480935</v>
      </c>
      <c r="UHR23" s="30">
        <f t="shared" si="225"/>
        <v>480966</v>
      </c>
      <c r="UHS23" s="30">
        <f t="shared" si="225"/>
        <v>480996</v>
      </c>
      <c r="UHT23" s="30">
        <f t="shared" si="225"/>
        <v>481027</v>
      </c>
      <c r="UHU23" s="30">
        <f t="shared" si="225"/>
        <v>481058</v>
      </c>
      <c r="UHV23" s="30">
        <f t="shared" si="225"/>
        <v>481086</v>
      </c>
      <c r="UHW23" s="30">
        <f t="shared" si="225"/>
        <v>481117</v>
      </c>
      <c r="UHX23" s="30">
        <f t="shared" si="225"/>
        <v>481147</v>
      </c>
      <c r="UHY23" s="30">
        <f t="shared" si="225"/>
        <v>481178</v>
      </c>
      <c r="UHZ23" s="30">
        <f t="shared" si="225"/>
        <v>481208</v>
      </c>
      <c r="UIA23" s="30">
        <f t="shared" si="225"/>
        <v>481239</v>
      </c>
      <c r="UIB23" s="30">
        <f t="shared" si="225"/>
        <v>481270</v>
      </c>
      <c r="UIC23" s="30">
        <f t="shared" si="225"/>
        <v>481300</v>
      </c>
      <c r="UID23" s="30">
        <f t="shared" si="225"/>
        <v>481331</v>
      </c>
      <c r="UIE23" s="30">
        <f t="shared" si="225"/>
        <v>481361</v>
      </c>
      <c r="UIF23" s="30">
        <f t="shared" si="225"/>
        <v>481392</v>
      </c>
      <c r="UIG23" s="30">
        <f t="shared" si="225"/>
        <v>481423</v>
      </c>
      <c r="UIH23" s="30">
        <f t="shared" si="225"/>
        <v>481451</v>
      </c>
      <c r="UII23" s="30">
        <f t="shared" si="225"/>
        <v>481482</v>
      </c>
      <c r="UIJ23" s="30">
        <f t="shared" si="225"/>
        <v>481512</v>
      </c>
      <c r="UIK23" s="30">
        <f t="shared" si="225"/>
        <v>481543</v>
      </c>
      <c r="UIL23" s="30">
        <f t="shared" si="225"/>
        <v>481573</v>
      </c>
      <c r="UIM23" s="30">
        <f t="shared" si="225"/>
        <v>481604</v>
      </c>
      <c r="UIN23" s="30">
        <f t="shared" si="225"/>
        <v>481635</v>
      </c>
      <c r="UIO23" s="30">
        <f t="shared" si="225"/>
        <v>481665</v>
      </c>
      <c r="UIP23" s="30">
        <f t="shared" si="225"/>
        <v>481696</v>
      </c>
      <c r="UIQ23" s="30">
        <f t="shared" si="225"/>
        <v>481726</v>
      </c>
      <c r="UIR23" s="30">
        <f t="shared" si="225"/>
        <v>481757</v>
      </c>
      <c r="UIS23" s="30">
        <f t="shared" si="225"/>
        <v>481788</v>
      </c>
      <c r="UIT23" s="30">
        <f t="shared" si="225"/>
        <v>481816</v>
      </c>
      <c r="UIU23" s="30">
        <f t="shared" si="225"/>
        <v>481847</v>
      </c>
      <c r="UIV23" s="30">
        <f t="shared" si="225"/>
        <v>481877</v>
      </c>
      <c r="UIW23" s="30">
        <f t="shared" si="225"/>
        <v>481908</v>
      </c>
      <c r="UIX23" s="30">
        <f t="shared" si="225"/>
        <v>481938</v>
      </c>
      <c r="UIY23" s="30">
        <f t="shared" si="225"/>
        <v>481969</v>
      </c>
      <c r="UIZ23" s="30">
        <f t="shared" si="225"/>
        <v>482000</v>
      </c>
      <c r="UJA23" s="30">
        <f t="shared" si="225"/>
        <v>482030</v>
      </c>
      <c r="UJB23" s="30">
        <f t="shared" si="225"/>
        <v>482061</v>
      </c>
      <c r="UJC23" s="30">
        <f t="shared" si="225"/>
        <v>482091</v>
      </c>
      <c r="UJD23" s="30">
        <f t="shared" si="225"/>
        <v>482122</v>
      </c>
      <c r="UJE23" s="30">
        <f t="shared" si="225"/>
        <v>482153</v>
      </c>
      <c r="UJF23" s="30">
        <f t="shared" si="225"/>
        <v>482182</v>
      </c>
      <c r="UJG23" s="30">
        <f t="shared" si="225"/>
        <v>482213</v>
      </c>
      <c r="UJH23" s="30">
        <f t="shared" si="225"/>
        <v>482243</v>
      </c>
      <c r="UJI23" s="30">
        <f t="shared" si="225"/>
        <v>482274</v>
      </c>
      <c r="UJJ23" s="30">
        <f t="shared" si="225"/>
        <v>482304</v>
      </c>
      <c r="UJK23" s="30">
        <f t="shared" si="225"/>
        <v>482335</v>
      </c>
      <c r="UJL23" s="30">
        <f t="shared" ref="UJL23:ULW23" si="226">EDATE(UJK23,1)</f>
        <v>482366</v>
      </c>
      <c r="UJM23" s="30">
        <f t="shared" si="226"/>
        <v>482396</v>
      </c>
      <c r="UJN23" s="30">
        <f t="shared" si="226"/>
        <v>482427</v>
      </c>
      <c r="UJO23" s="30">
        <f t="shared" si="226"/>
        <v>482457</v>
      </c>
      <c r="UJP23" s="30">
        <f t="shared" si="226"/>
        <v>482488</v>
      </c>
      <c r="UJQ23" s="30">
        <f t="shared" si="226"/>
        <v>482519</v>
      </c>
      <c r="UJR23" s="30">
        <f t="shared" si="226"/>
        <v>482547</v>
      </c>
      <c r="UJS23" s="30">
        <f t="shared" si="226"/>
        <v>482578</v>
      </c>
      <c r="UJT23" s="30">
        <f t="shared" si="226"/>
        <v>482608</v>
      </c>
      <c r="UJU23" s="30">
        <f t="shared" si="226"/>
        <v>482639</v>
      </c>
      <c r="UJV23" s="30">
        <f t="shared" si="226"/>
        <v>482669</v>
      </c>
      <c r="UJW23" s="30">
        <f t="shared" si="226"/>
        <v>482700</v>
      </c>
      <c r="UJX23" s="30">
        <f t="shared" si="226"/>
        <v>482731</v>
      </c>
      <c r="UJY23" s="30">
        <f t="shared" si="226"/>
        <v>482761</v>
      </c>
      <c r="UJZ23" s="30">
        <f t="shared" si="226"/>
        <v>482792</v>
      </c>
      <c r="UKA23" s="30">
        <f t="shared" si="226"/>
        <v>482822</v>
      </c>
      <c r="UKB23" s="30">
        <f t="shared" si="226"/>
        <v>482853</v>
      </c>
      <c r="UKC23" s="30">
        <f t="shared" si="226"/>
        <v>482884</v>
      </c>
      <c r="UKD23" s="30">
        <f t="shared" si="226"/>
        <v>482912</v>
      </c>
      <c r="UKE23" s="30">
        <f t="shared" si="226"/>
        <v>482943</v>
      </c>
      <c r="UKF23" s="30">
        <f t="shared" si="226"/>
        <v>482973</v>
      </c>
      <c r="UKG23" s="30">
        <f t="shared" si="226"/>
        <v>483004</v>
      </c>
      <c r="UKH23" s="30">
        <f t="shared" si="226"/>
        <v>483034</v>
      </c>
      <c r="UKI23" s="30">
        <f t="shared" si="226"/>
        <v>483065</v>
      </c>
      <c r="UKJ23" s="30">
        <f t="shared" si="226"/>
        <v>483096</v>
      </c>
      <c r="UKK23" s="30">
        <f t="shared" si="226"/>
        <v>483126</v>
      </c>
      <c r="UKL23" s="30">
        <f t="shared" si="226"/>
        <v>483157</v>
      </c>
      <c r="UKM23" s="30">
        <f t="shared" si="226"/>
        <v>483187</v>
      </c>
      <c r="UKN23" s="30">
        <f t="shared" si="226"/>
        <v>483218</v>
      </c>
      <c r="UKO23" s="30">
        <f t="shared" si="226"/>
        <v>483249</v>
      </c>
      <c r="UKP23" s="30">
        <f t="shared" si="226"/>
        <v>483277</v>
      </c>
      <c r="UKQ23" s="30">
        <f t="shared" si="226"/>
        <v>483308</v>
      </c>
      <c r="UKR23" s="30">
        <f t="shared" si="226"/>
        <v>483338</v>
      </c>
      <c r="UKS23" s="30">
        <f t="shared" si="226"/>
        <v>483369</v>
      </c>
      <c r="UKT23" s="30">
        <f t="shared" si="226"/>
        <v>483399</v>
      </c>
      <c r="UKU23" s="30">
        <f t="shared" si="226"/>
        <v>483430</v>
      </c>
      <c r="UKV23" s="30">
        <f t="shared" si="226"/>
        <v>483461</v>
      </c>
      <c r="UKW23" s="30">
        <f t="shared" si="226"/>
        <v>483491</v>
      </c>
      <c r="UKX23" s="30">
        <f t="shared" si="226"/>
        <v>483522</v>
      </c>
      <c r="UKY23" s="30">
        <f t="shared" si="226"/>
        <v>483552</v>
      </c>
      <c r="UKZ23" s="30">
        <f t="shared" si="226"/>
        <v>483583</v>
      </c>
      <c r="ULA23" s="30">
        <f t="shared" si="226"/>
        <v>483614</v>
      </c>
      <c r="ULB23" s="30">
        <f t="shared" si="226"/>
        <v>483643</v>
      </c>
      <c r="ULC23" s="30">
        <f t="shared" si="226"/>
        <v>483674</v>
      </c>
      <c r="ULD23" s="30">
        <f t="shared" si="226"/>
        <v>483704</v>
      </c>
      <c r="ULE23" s="30">
        <f t="shared" si="226"/>
        <v>483735</v>
      </c>
      <c r="ULF23" s="30">
        <f t="shared" si="226"/>
        <v>483765</v>
      </c>
      <c r="ULG23" s="30">
        <f t="shared" si="226"/>
        <v>483796</v>
      </c>
      <c r="ULH23" s="30">
        <f t="shared" si="226"/>
        <v>483827</v>
      </c>
      <c r="ULI23" s="30">
        <f t="shared" si="226"/>
        <v>483857</v>
      </c>
      <c r="ULJ23" s="30">
        <f t="shared" si="226"/>
        <v>483888</v>
      </c>
      <c r="ULK23" s="30">
        <f t="shared" si="226"/>
        <v>483918</v>
      </c>
      <c r="ULL23" s="30">
        <f t="shared" si="226"/>
        <v>483949</v>
      </c>
      <c r="ULM23" s="30">
        <f t="shared" si="226"/>
        <v>483980</v>
      </c>
      <c r="ULN23" s="30">
        <f t="shared" si="226"/>
        <v>484008</v>
      </c>
      <c r="ULO23" s="30">
        <f t="shared" si="226"/>
        <v>484039</v>
      </c>
      <c r="ULP23" s="30">
        <f t="shared" si="226"/>
        <v>484069</v>
      </c>
      <c r="ULQ23" s="30">
        <f t="shared" si="226"/>
        <v>484100</v>
      </c>
      <c r="ULR23" s="30">
        <f t="shared" si="226"/>
        <v>484130</v>
      </c>
      <c r="ULS23" s="30">
        <f t="shared" si="226"/>
        <v>484161</v>
      </c>
      <c r="ULT23" s="30">
        <f t="shared" si="226"/>
        <v>484192</v>
      </c>
      <c r="ULU23" s="30">
        <f t="shared" si="226"/>
        <v>484222</v>
      </c>
      <c r="ULV23" s="30">
        <f t="shared" si="226"/>
        <v>484253</v>
      </c>
      <c r="ULW23" s="30">
        <f t="shared" si="226"/>
        <v>484283</v>
      </c>
      <c r="ULX23" s="30">
        <f t="shared" ref="ULX23:UOI23" si="227">EDATE(ULW23,1)</f>
        <v>484314</v>
      </c>
      <c r="ULY23" s="30">
        <f t="shared" si="227"/>
        <v>484345</v>
      </c>
      <c r="ULZ23" s="30">
        <f t="shared" si="227"/>
        <v>484373</v>
      </c>
      <c r="UMA23" s="30">
        <f t="shared" si="227"/>
        <v>484404</v>
      </c>
      <c r="UMB23" s="30">
        <f t="shared" si="227"/>
        <v>484434</v>
      </c>
      <c r="UMC23" s="30">
        <f t="shared" si="227"/>
        <v>484465</v>
      </c>
      <c r="UMD23" s="30">
        <f t="shared" si="227"/>
        <v>484495</v>
      </c>
      <c r="UME23" s="30">
        <f t="shared" si="227"/>
        <v>484526</v>
      </c>
      <c r="UMF23" s="30">
        <f t="shared" si="227"/>
        <v>484557</v>
      </c>
      <c r="UMG23" s="30">
        <f t="shared" si="227"/>
        <v>484587</v>
      </c>
      <c r="UMH23" s="30">
        <f t="shared" si="227"/>
        <v>484618</v>
      </c>
      <c r="UMI23" s="30">
        <f t="shared" si="227"/>
        <v>484648</v>
      </c>
      <c r="UMJ23" s="30">
        <f t="shared" si="227"/>
        <v>484679</v>
      </c>
      <c r="UMK23" s="30">
        <f t="shared" si="227"/>
        <v>484710</v>
      </c>
      <c r="UML23" s="30">
        <f t="shared" si="227"/>
        <v>484738</v>
      </c>
      <c r="UMM23" s="30">
        <f t="shared" si="227"/>
        <v>484769</v>
      </c>
      <c r="UMN23" s="30">
        <f t="shared" si="227"/>
        <v>484799</v>
      </c>
      <c r="UMO23" s="30">
        <f t="shared" si="227"/>
        <v>484830</v>
      </c>
      <c r="UMP23" s="30">
        <f t="shared" si="227"/>
        <v>484860</v>
      </c>
      <c r="UMQ23" s="30">
        <f t="shared" si="227"/>
        <v>484891</v>
      </c>
      <c r="UMR23" s="30">
        <f t="shared" si="227"/>
        <v>484922</v>
      </c>
      <c r="UMS23" s="30">
        <f t="shared" si="227"/>
        <v>484952</v>
      </c>
      <c r="UMT23" s="30">
        <f t="shared" si="227"/>
        <v>484983</v>
      </c>
      <c r="UMU23" s="30">
        <f t="shared" si="227"/>
        <v>485013</v>
      </c>
      <c r="UMV23" s="30">
        <f t="shared" si="227"/>
        <v>485044</v>
      </c>
      <c r="UMW23" s="30">
        <f t="shared" si="227"/>
        <v>485075</v>
      </c>
      <c r="UMX23" s="30">
        <f t="shared" si="227"/>
        <v>485104</v>
      </c>
      <c r="UMY23" s="30">
        <f t="shared" si="227"/>
        <v>485135</v>
      </c>
      <c r="UMZ23" s="30">
        <f t="shared" si="227"/>
        <v>485165</v>
      </c>
      <c r="UNA23" s="30">
        <f t="shared" si="227"/>
        <v>485196</v>
      </c>
      <c r="UNB23" s="30">
        <f t="shared" si="227"/>
        <v>485226</v>
      </c>
      <c r="UNC23" s="30">
        <f t="shared" si="227"/>
        <v>485257</v>
      </c>
      <c r="UND23" s="30">
        <f t="shared" si="227"/>
        <v>485288</v>
      </c>
      <c r="UNE23" s="30">
        <f t="shared" si="227"/>
        <v>485318</v>
      </c>
      <c r="UNF23" s="30">
        <f t="shared" si="227"/>
        <v>485349</v>
      </c>
      <c r="UNG23" s="30">
        <f t="shared" si="227"/>
        <v>485379</v>
      </c>
      <c r="UNH23" s="30">
        <f t="shared" si="227"/>
        <v>485410</v>
      </c>
      <c r="UNI23" s="30">
        <f t="shared" si="227"/>
        <v>485441</v>
      </c>
      <c r="UNJ23" s="30">
        <f t="shared" si="227"/>
        <v>485469</v>
      </c>
      <c r="UNK23" s="30">
        <f t="shared" si="227"/>
        <v>485500</v>
      </c>
      <c r="UNL23" s="30">
        <f t="shared" si="227"/>
        <v>485530</v>
      </c>
      <c r="UNM23" s="30">
        <f t="shared" si="227"/>
        <v>485561</v>
      </c>
      <c r="UNN23" s="30">
        <f t="shared" si="227"/>
        <v>485591</v>
      </c>
      <c r="UNO23" s="30">
        <f t="shared" si="227"/>
        <v>485622</v>
      </c>
      <c r="UNP23" s="30">
        <f t="shared" si="227"/>
        <v>485653</v>
      </c>
      <c r="UNQ23" s="30">
        <f t="shared" si="227"/>
        <v>485683</v>
      </c>
      <c r="UNR23" s="30">
        <f t="shared" si="227"/>
        <v>485714</v>
      </c>
      <c r="UNS23" s="30">
        <f t="shared" si="227"/>
        <v>485744</v>
      </c>
      <c r="UNT23" s="30">
        <f t="shared" si="227"/>
        <v>485775</v>
      </c>
      <c r="UNU23" s="30">
        <f t="shared" si="227"/>
        <v>485806</v>
      </c>
      <c r="UNV23" s="30">
        <f t="shared" si="227"/>
        <v>485834</v>
      </c>
      <c r="UNW23" s="30">
        <f t="shared" si="227"/>
        <v>485865</v>
      </c>
      <c r="UNX23" s="30">
        <f t="shared" si="227"/>
        <v>485895</v>
      </c>
      <c r="UNY23" s="30">
        <f t="shared" si="227"/>
        <v>485926</v>
      </c>
      <c r="UNZ23" s="30">
        <f t="shared" si="227"/>
        <v>485956</v>
      </c>
      <c r="UOA23" s="30">
        <f t="shared" si="227"/>
        <v>485987</v>
      </c>
      <c r="UOB23" s="30">
        <f t="shared" si="227"/>
        <v>486018</v>
      </c>
      <c r="UOC23" s="30">
        <f t="shared" si="227"/>
        <v>486048</v>
      </c>
      <c r="UOD23" s="30">
        <f t="shared" si="227"/>
        <v>486079</v>
      </c>
      <c r="UOE23" s="30">
        <f t="shared" si="227"/>
        <v>486109</v>
      </c>
      <c r="UOF23" s="30">
        <f t="shared" si="227"/>
        <v>486140</v>
      </c>
      <c r="UOG23" s="30">
        <f t="shared" si="227"/>
        <v>486171</v>
      </c>
      <c r="UOH23" s="30">
        <f t="shared" si="227"/>
        <v>486199</v>
      </c>
      <c r="UOI23" s="30">
        <f t="shared" si="227"/>
        <v>486230</v>
      </c>
      <c r="UOJ23" s="30">
        <f t="shared" ref="UOJ23:UQU23" si="228">EDATE(UOI23,1)</f>
        <v>486260</v>
      </c>
      <c r="UOK23" s="30">
        <f t="shared" si="228"/>
        <v>486291</v>
      </c>
      <c r="UOL23" s="30">
        <f t="shared" si="228"/>
        <v>486321</v>
      </c>
      <c r="UOM23" s="30">
        <f t="shared" si="228"/>
        <v>486352</v>
      </c>
      <c r="UON23" s="30">
        <f t="shared" si="228"/>
        <v>486383</v>
      </c>
      <c r="UOO23" s="30">
        <f t="shared" si="228"/>
        <v>486413</v>
      </c>
      <c r="UOP23" s="30">
        <f t="shared" si="228"/>
        <v>486444</v>
      </c>
      <c r="UOQ23" s="30">
        <f t="shared" si="228"/>
        <v>486474</v>
      </c>
      <c r="UOR23" s="30">
        <f t="shared" si="228"/>
        <v>486505</v>
      </c>
      <c r="UOS23" s="30">
        <f t="shared" si="228"/>
        <v>486536</v>
      </c>
      <c r="UOT23" s="30">
        <f t="shared" si="228"/>
        <v>486565</v>
      </c>
      <c r="UOU23" s="30">
        <f t="shared" si="228"/>
        <v>486596</v>
      </c>
      <c r="UOV23" s="30">
        <f t="shared" si="228"/>
        <v>486626</v>
      </c>
      <c r="UOW23" s="30">
        <f t="shared" si="228"/>
        <v>486657</v>
      </c>
      <c r="UOX23" s="30">
        <f t="shared" si="228"/>
        <v>486687</v>
      </c>
      <c r="UOY23" s="30">
        <f t="shared" si="228"/>
        <v>486718</v>
      </c>
      <c r="UOZ23" s="30">
        <f t="shared" si="228"/>
        <v>486749</v>
      </c>
      <c r="UPA23" s="30">
        <f t="shared" si="228"/>
        <v>486779</v>
      </c>
      <c r="UPB23" s="30">
        <f t="shared" si="228"/>
        <v>486810</v>
      </c>
      <c r="UPC23" s="30">
        <f t="shared" si="228"/>
        <v>486840</v>
      </c>
      <c r="UPD23" s="30">
        <f t="shared" si="228"/>
        <v>486871</v>
      </c>
      <c r="UPE23" s="30">
        <f t="shared" si="228"/>
        <v>486902</v>
      </c>
      <c r="UPF23" s="30">
        <f t="shared" si="228"/>
        <v>486930</v>
      </c>
      <c r="UPG23" s="30">
        <f t="shared" si="228"/>
        <v>486961</v>
      </c>
      <c r="UPH23" s="30">
        <f t="shared" si="228"/>
        <v>486991</v>
      </c>
      <c r="UPI23" s="30">
        <f t="shared" si="228"/>
        <v>487022</v>
      </c>
      <c r="UPJ23" s="30">
        <f t="shared" si="228"/>
        <v>487052</v>
      </c>
      <c r="UPK23" s="30">
        <f t="shared" si="228"/>
        <v>487083</v>
      </c>
      <c r="UPL23" s="30">
        <f t="shared" si="228"/>
        <v>487114</v>
      </c>
      <c r="UPM23" s="30">
        <f t="shared" si="228"/>
        <v>487144</v>
      </c>
      <c r="UPN23" s="30">
        <f t="shared" si="228"/>
        <v>487175</v>
      </c>
      <c r="UPO23" s="30">
        <f t="shared" si="228"/>
        <v>487205</v>
      </c>
      <c r="UPP23" s="30">
        <f t="shared" si="228"/>
        <v>487236</v>
      </c>
      <c r="UPQ23" s="30">
        <f t="shared" si="228"/>
        <v>487267</v>
      </c>
      <c r="UPR23" s="30">
        <f t="shared" si="228"/>
        <v>487295</v>
      </c>
      <c r="UPS23" s="30">
        <f t="shared" si="228"/>
        <v>487326</v>
      </c>
      <c r="UPT23" s="30">
        <f t="shared" si="228"/>
        <v>487356</v>
      </c>
      <c r="UPU23" s="30">
        <f t="shared" si="228"/>
        <v>487387</v>
      </c>
      <c r="UPV23" s="30">
        <f t="shared" si="228"/>
        <v>487417</v>
      </c>
      <c r="UPW23" s="30">
        <f t="shared" si="228"/>
        <v>487448</v>
      </c>
      <c r="UPX23" s="30">
        <f t="shared" si="228"/>
        <v>487479</v>
      </c>
      <c r="UPY23" s="30">
        <f t="shared" si="228"/>
        <v>487509</v>
      </c>
      <c r="UPZ23" s="30">
        <f t="shared" si="228"/>
        <v>487540</v>
      </c>
      <c r="UQA23" s="30">
        <f t="shared" si="228"/>
        <v>487570</v>
      </c>
      <c r="UQB23" s="30">
        <f t="shared" si="228"/>
        <v>487601</v>
      </c>
      <c r="UQC23" s="30">
        <f t="shared" si="228"/>
        <v>487632</v>
      </c>
      <c r="UQD23" s="30">
        <f t="shared" si="228"/>
        <v>487660</v>
      </c>
      <c r="UQE23" s="30">
        <f t="shared" si="228"/>
        <v>487691</v>
      </c>
      <c r="UQF23" s="30">
        <f t="shared" si="228"/>
        <v>487721</v>
      </c>
      <c r="UQG23" s="30">
        <f t="shared" si="228"/>
        <v>487752</v>
      </c>
      <c r="UQH23" s="30">
        <f t="shared" si="228"/>
        <v>487782</v>
      </c>
      <c r="UQI23" s="30">
        <f t="shared" si="228"/>
        <v>487813</v>
      </c>
      <c r="UQJ23" s="30">
        <f t="shared" si="228"/>
        <v>487844</v>
      </c>
      <c r="UQK23" s="30">
        <f t="shared" si="228"/>
        <v>487874</v>
      </c>
      <c r="UQL23" s="30">
        <f t="shared" si="228"/>
        <v>487905</v>
      </c>
      <c r="UQM23" s="30">
        <f t="shared" si="228"/>
        <v>487935</v>
      </c>
      <c r="UQN23" s="30">
        <f t="shared" si="228"/>
        <v>487966</v>
      </c>
      <c r="UQO23" s="30">
        <f t="shared" si="228"/>
        <v>487997</v>
      </c>
      <c r="UQP23" s="30">
        <f t="shared" si="228"/>
        <v>488026</v>
      </c>
      <c r="UQQ23" s="30">
        <f t="shared" si="228"/>
        <v>488057</v>
      </c>
      <c r="UQR23" s="30">
        <f t="shared" si="228"/>
        <v>488087</v>
      </c>
      <c r="UQS23" s="30">
        <f t="shared" si="228"/>
        <v>488118</v>
      </c>
      <c r="UQT23" s="30">
        <f t="shared" si="228"/>
        <v>488148</v>
      </c>
      <c r="UQU23" s="30">
        <f t="shared" si="228"/>
        <v>488179</v>
      </c>
      <c r="UQV23" s="30">
        <f t="shared" ref="UQV23:UTG23" si="229">EDATE(UQU23,1)</f>
        <v>488210</v>
      </c>
      <c r="UQW23" s="30">
        <f t="shared" si="229"/>
        <v>488240</v>
      </c>
      <c r="UQX23" s="30">
        <f t="shared" si="229"/>
        <v>488271</v>
      </c>
      <c r="UQY23" s="30">
        <f t="shared" si="229"/>
        <v>488301</v>
      </c>
      <c r="UQZ23" s="30">
        <f t="shared" si="229"/>
        <v>488332</v>
      </c>
      <c r="URA23" s="30">
        <f t="shared" si="229"/>
        <v>488363</v>
      </c>
      <c r="URB23" s="30">
        <f t="shared" si="229"/>
        <v>488391</v>
      </c>
      <c r="URC23" s="30">
        <f t="shared" si="229"/>
        <v>488422</v>
      </c>
      <c r="URD23" s="30">
        <f t="shared" si="229"/>
        <v>488452</v>
      </c>
      <c r="URE23" s="30">
        <f t="shared" si="229"/>
        <v>488483</v>
      </c>
      <c r="URF23" s="30">
        <f t="shared" si="229"/>
        <v>488513</v>
      </c>
      <c r="URG23" s="30">
        <f t="shared" si="229"/>
        <v>488544</v>
      </c>
      <c r="URH23" s="30">
        <f t="shared" si="229"/>
        <v>488575</v>
      </c>
      <c r="URI23" s="30">
        <f t="shared" si="229"/>
        <v>488605</v>
      </c>
      <c r="URJ23" s="30">
        <f t="shared" si="229"/>
        <v>488636</v>
      </c>
      <c r="URK23" s="30">
        <f t="shared" si="229"/>
        <v>488666</v>
      </c>
      <c r="URL23" s="30">
        <f t="shared" si="229"/>
        <v>488697</v>
      </c>
      <c r="URM23" s="30">
        <f t="shared" si="229"/>
        <v>488728</v>
      </c>
      <c r="URN23" s="30">
        <f t="shared" si="229"/>
        <v>488756</v>
      </c>
      <c r="URO23" s="30">
        <f t="shared" si="229"/>
        <v>488787</v>
      </c>
      <c r="URP23" s="30">
        <f t="shared" si="229"/>
        <v>488817</v>
      </c>
      <c r="URQ23" s="30">
        <f t="shared" si="229"/>
        <v>488848</v>
      </c>
      <c r="URR23" s="30">
        <f t="shared" si="229"/>
        <v>488878</v>
      </c>
      <c r="URS23" s="30">
        <f t="shared" si="229"/>
        <v>488909</v>
      </c>
      <c r="URT23" s="30">
        <f t="shared" si="229"/>
        <v>488940</v>
      </c>
      <c r="URU23" s="30">
        <f t="shared" si="229"/>
        <v>488970</v>
      </c>
      <c r="URV23" s="30">
        <f t="shared" si="229"/>
        <v>489001</v>
      </c>
      <c r="URW23" s="30">
        <f t="shared" si="229"/>
        <v>489031</v>
      </c>
      <c r="URX23" s="30">
        <f t="shared" si="229"/>
        <v>489062</v>
      </c>
      <c r="URY23" s="30">
        <f t="shared" si="229"/>
        <v>489093</v>
      </c>
      <c r="URZ23" s="30">
        <f t="shared" si="229"/>
        <v>489121</v>
      </c>
      <c r="USA23" s="30">
        <f t="shared" si="229"/>
        <v>489152</v>
      </c>
      <c r="USB23" s="30">
        <f t="shared" si="229"/>
        <v>489182</v>
      </c>
      <c r="USC23" s="30">
        <f t="shared" si="229"/>
        <v>489213</v>
      </c>
      <c r="USD23" s="30">
        <f t="shared" si="229"/>
        <v>489243</v>
      </c>
      <c r="USE23" s="30">
        <f t="shared" si="229"/>
        <v>489274</v>
      </c>
      <c r="USF23" s="30">
        <f t="shared" si="229"/>
        <v>489305</v>
      </c>
      <c r="USG23" s="30">
        <f t="shared" si="229"/>
        <v>489335</v>
      </c>
      <c r="USH23" s="30">
        <f t="shared" si="229"/>
        <v>489366</v>
      </c>
      <c r="USI23" s="30">
        <f t="shared" si="229"/>
        <v>489396</v>
      </c>
      <c r="USJ23" s="30">
        <f t="shared" si="229"/>
        <v>489427</v>
      </c>
      <c r="USK23" s="30">
        <f t="shared" si="229"/>
        <v>489458</v>
      </c>
      <c r="USL23" s="30">
        <f t="shared" si="229"/>
        <v>489487</v>
      </c>
      <c r="USM23" s="30">
        <f t="shared" si="229"/>
        <v>489518</v>
      </c>
      <c r="USN23" s="30">
        <f t="shared" si="229"/>
        <v>489548</v>
      </c>
      <c r="USO23" s="30">
        <f t="shared" si="229"/>
        <v>489579</v>
      </c>
      <c r="USP23" s="30">
        <f t="shared" si="229"/>
        <v>489609</v>
      </c>
      <c r="USQ23" s="30">
        <f t="shared" si="229"/>
        <v>489640</v>
      </c>
      <c r="USR23" s="30">
        <f t="shared" si="229"/>
        <v>489671</v>
      </c>
      <c r="USS23" s="30">
        <f t="shared" si="229"/>
        <v>489701</v>
      </c>
      <c r="UST23" s="30">
        <f t="shared" si="229"/>
        <v>489732</v>
      </c>
      <c r="USU23" s="30">
        <f t="shared" si="229"/>
        <v>489762</v>
      </c>
      <c r="USV23" s="30">
        <f t="shared" si="229"/>
        <v>489793</v>
      </c>
      <c r="USW23" s="30">
        <f t="shared" si="229"/>
        <v>489824</v>
      </c>
      <c r="USX23" s="30">
        <f t="shared" si="229"/>
        <v>489852</v>
      </c>
      <c r="USY23" s="30">
        <f t="shared" si="229"/>
        <v>489883</v>
      </c>
      <c r="USZ23" s="30">
        <f t="shared" si="229"/>
        <v>489913</v>
      </c>
      <c r="UTA23" s="30">
        <f t="shared" si="229"/>
        <v>489944</v>
      </c>
      <c r="UTB23" s="30">
        <f t="shared" si="229"/>
        <v>489974</v>
      </c>
      <c r="UTC23" s="30">
        <f t="shared" si="229"/>
        <v>490005</v>
      </c>
      <c r="UTD23" s="30">
        <f t="shared" si="229"/>
        <v>490036</v>
      </c>
      <c r="UTE23" s="30">
        <f t="shared" si="229"/>
        <v>490066</v>
      </c>
      <c r="UTF23" s="30">
        <f t="shared" si="229"/>
        <v>490097</v>
      </c>
      <c r="UTG23" s="30">
        <f t="shared" si="229"/>
        <v>490127</v>
      </c>
      <c r="UTH23" s="30">
        <f t="shared" ref="UTH23:UVS23" si="230">EDATE(UTG23,1)</f>
        <v>490158</v>
      </c>
      <c r="UTI23" s="30">
        <f t="shared" si="230"/>
        <v>490189</v>
      </c>
      <c r="UTJ23" s="30">
        <f t="shared" si="230"/>
        <v>490217</v>
      </c>
      <c r="UTK23" s="30">
        <f t="shared" si="230"/>
        <v>490248</v>
      </c>
      <c r="UTL23" s="30">
        <f t="shared" si="230"/>
        <v>490278</v>
      </c>
      <c r="UTM23" s="30">
        <f t="shared" si="230"/>
        <v>490309</v>
      </c>
      <c r="UTN23" s="30">
        <f t="shared" si="230"/>
        <v>490339</v>
      </c>
      <c r="UTO23" s="30">
        <f t="shared" si="230"/>
        <v>490370</v>
      </c>
      <c r="UTP23" s="30">
        <f t="shared" si="230"/>
        <v>490401</v>
      </c>
      <c r="UTQ23" s="30">
        <f t="shared" si="230"/>
        <v>490431</v>
      </c>
      <c r="UTR23" s="30">
        <f t="shared" si="230"/>
        <v>490462</v>
      </c>
      <c r="UTS23" s="30">
        <f t="shared" si="230"/>
        <v>490492</v>
      </c>
      <c r="UTT23" s="30">
        <f t="shared" si="230"/>
        <v>490523</v>
      </c>
      <c r="UTU23" s="30">
        <f t="shared" si="230"/>
        <v>490554</v>
      </c>
      <c r="UTV23" s="30">
        <f t="shared" si="230"/>
        <v>490582</v>
      </c>
      <c r="UTW23" s="30">
        <f t="shared" si="230"/>
        <v>490613</v>
      </c>
      <c r="UTX23" s="30">
        <f t="shared" si="230"/>
        <v>490643</v>
      </c>
      <c r="UTY23" s="30">
        <f t="shared" si="230"/>
        <v>490674</v>
      </c>
      <c r="UTZ23" s="30">
        <f t="shared" si="230"/>
        <v>490704</v>
      </c>
      <c r="UUA23" s="30">
        <f t="shared" si="230"/>
        <v>490735</v>
      </c>
      <c r="UUB23" s="30">
        <f t="shared" si="230"/>
        <v>490766</v>
      </c>
      <c r="UUC23" s="30">
        <f t="shared" si="230"/>
        <v>490796</v>
      </c>
      <c r="UUD23" s="30">
        <f t="shared" si="230"/>
        <v>490827</v>
      </c>
      <c r="UUE23" s="30">
        <f t="shared" si="230"/>
        <v>490857</v>
      </c>
      <c r="UUF23" s="30">
        <f t="shared" si="230"/>
        <v>490888</v>
      </c>
      <c r="UUG23" s="30">
        <f t="shared" si="230"/>
        <v>490919</v>
      </c>
      <c r="UUH23" s="30">
        <f t="shared" si="230"/>
        <v>490948</v>
      </c>
      <c r="UUI23" s="30">
        <f t="shared" si="230"/>
        <v>490979</v>
      </c>
      <c r="UUJ23" s="30">
        <f t="shared" si="230"/>
        <v>491009</v>
      </c>
      <c r="UUK23" s="30">
        <f t="shared" si="230"/>
        <v>491040</v>
      </c>
      <c r="UUL23" s="30">
        <f t="shared" si="230"/>
        <v>491070</v>
      </c>
      <c r="UUM23" s="30">
        <f t="shared" si="230"/>
        <v>491101</v>
      </c>
      <c r="UUN23" s="30">
        <f t="shared" si="230"/>
        <v>491132</v>
      </c>
      <c r="UUO23" s="30">
        <f t="shared" si="230"/>
        <v>491162</v>
      </c>
      <c r="UUP23" s="30">
        <f t="shared" si="230"/>
        <v>491193</v>
      </c>
      <c r="UUQ23" s="30">
        <f t="shared" si="230"/>
        <v>491223</v>
      </c>
      <c r="UUR23" s="30">
        <f t="shared" si="230"/>
        <v>491254</v>
      </c>
      <c r="UUS23" s="30">
        <f t="shared" si="230"/>
        <v>491285</v>
      </c>
      <c r="UUT23" s="30">
        <f t="shared" si="230"/>
        <v>491313</v>
      </c>
      <c r="UUU23" s="30">
        <f t="shared" si="230"/>
        <v>491344</v>
      </c>
      <c r="UUV23" s="30">
        <f t="shared" si="230"/>
        <v>491374</v>
      </c>
      <c r="UUW23" s="30">
        <f t="shared" si="230"/>
        <v>491405</v>
      </c>
      <c r="UUX23" s="30">
        <f t="shared" si="230"/>
        <v>491435</v>
      </c>
      <c r="UUY23" s="30">
        <f t="shared" si="230"/>
        <v>491466</v>
      </c>
      <c r="UUZ23" s="30">
        <f t="shared" si="230"/>
        <v>491497</v>
      </c>
      <c r="UVA23" s="30">
        <f t="shared" si="230"/>
        <v>491527</v>
      </c>
      <c r="UVB23" s="30">
        <f t="shared" si="230"/>
        <v>491558</v>
      </c>
      <c r="UVC23" s="30">
        <f t="shared" si="230"/>
        <v>491588</v>
      </c>
      <c r="UVD23" s="30">
        <f t="shared" si="230"/>
        <v>491619</v>
      </c>
      <c r="UVE23" s="30">
        <f t="shared" si="230"/>
        <v>491650</v>
      </c>
      <c r="UVF23" s="30">
        <f t="shared" si="230"/>
        <v>491678</v>
      </c>
      <c r="UVG23" s="30">
        <f t="shared" si="230"/>
        <v>491709</v>
      </c>
      <c r="UVH23" s="30">
        <f t="shared" si="230"/>
        <v>491739</v>
      </c>
      <c r="UVI23" s="30">
        <f t="shared" si="230"/>
        <v>491770</v>
      </c>
      <c r="UVJ23" s="30">
        <f t="shared" si="230"/>
        <v>491800</v>
      </c>
      <c r="UVK23" s="30">
        <f t="shared" si="230"/>
        <v>491831</v>
      </c>
      <c r="UVL23" s="30">
        <f t="shared" si="230"/>
        <v>491862</v>
      </c>
      <c r="UVM23" s="30">
        <f t="shared" si="230"/>
        <v>491892</v>
      </c>
      <c r="UVN23" s="30">
        <f t="shared" si="230"/>
        <v>491923</v>
      </c>
      <c r="UVO23" s="30">
        <f t="shared" si="230"/>
        <v>491953</v>
      </c>
      <c r="UVP23" s="30">
        <f t="shared" si="230"/>
        <v>491984</v>
      </c>
      <c r="UVQ23" s="30">
        <f t="shared" si="230"/>
        <v>492015</v>
      </c>
      <c r="UVR23" s="30">
        <f t="shared" si="230"/>
        <v>492043</v>
      </c>
      <c r="UVS23" s="30">
        <f t="shared" si="230"/>
        <v>492074</v>
      </c>
      <c r="UVT23" s="30">
        <f t="shared" ref="UVT23:UYE23" si="231">EDATE(UVS23,1)</f>
        <v>492104</v>
      </c>
      <c r="UVU23" s="30">
        <f t="shared" si="231"/>
        <v>492135</v>
      </c>
      <c r="UVV23" s="30">
        <f t="shared" si="231"/>
        <v>492165</v>
      </c>
      <c r="UVW23" s="30">
        <f t="shared" si="231"/>
        <v>492196</v>
      </c>
      <c r="UVX23" s="30">
        <f t="shared" si="231"/>
        <v>492227</v>
      </c>
      <c r="UVY23" s="30">
        <f t="shared" si="231"/>
        <v>492257</v>
      </c>
      <c r="UVZ23" s="30">
        <f t="shared" si="231"/>
        <v>492288</v>
      </c>
      <c r="UWA23" s="30">
        <f t="shared" si="231"/>
        <v>492318</v>
      </c>
      <c r="UWB23" s="30">
        <f t="shared" si="231"/>
        <v>492349</v>
      </c>
      <c r="UWC23" s="30">
        <f t="shared" si="231"/>
        <v>492380</v>
      </c>
      <c r="UWD23" s="30">
        <f t="shared" si="231"/>
        <v>492409</v>
      </c>
      <c r="UWE23" s="30">
        <f t="shared" si="231"/>
        <v>492440</v>
      </c>
      <c r="UWF23" s="30">
        <f t="shared" si="231"/>
        <v>492470</v>
      </c>
      <c r="UWG23" s="30">
        <f t="shared" si="231"/>
        <v>492501</v>
      </c>
      <c r="UWH23" s="30">
        <f t="shared" si="231"/>
        <v>492531</v>
      </c>
      <c r="UWI23" s="30">
        <f t="shared" si="231"/>
        <v>492562</v>
      </c>
      <c r="UWJ23" s="30">
        <f t="shared" si="231"/>
        <v>492593</v>
      </c>
      <c r="UWK23" s="30">
        <f t="shared" si="231"/>
        <v>492623</v>
      </c>
      <c r="UWL23" s="30">
        <f t="shared" si="231"/>
        <v>492654</v>
      </c>
      <c r="UWM23" s="30">
        <f t="shared" si="231"/>
        <v>492684</v>
      </c>
      <c r="UWN23" s="30">
        <f t="shared" si="231"/>
        <v>492715</v>
      </c>
      <c r="UWO23" s="30">
        <f t="shared" si="231"/>
        <v>492746</v>
      </c>
      <c r="UWP23" s="30">
        <f t="shared" si="231"/>
        <v>492774</v>
      </c>
      <c r="UWQ23" s="30">
        <f t="shared" si="231"/>
        <v>492805</v>
      </c>
      <c r="UWR23" s="30">
        <f t="shared" si="231"/>
        <v>492835</v>
      </c>
      <c r="UWS23" s="30">
        <f t="shared" si="231"/>
        <v>492866</v>
      </c>
      <c r="UWT23" s="30">
        <f t="shared" si="231"/>
        <v>492896</v>
      </c>
      <c r="UWU23" s="30">
        <f t="shared" si="231"/>
        <v>492927</v>
      </c>
      <c r="UWV23" s="30">
        <f t="shared" si="231"/>
        <v>492958</v>
      </c>
      <c r="UWW23" s="30">
        <f t="shared" si="231"/>
        <v>492988</v>
      </c>
      <c r="UWX23" s="30">
        <f t="shared" si="231"/>
        <v>493019</v>
      </c>
      <c r="UWY23" s="30">
        <f t="shared" si="231"/>
        <v>493049</v>
      </c>
      <c r="UWZ23" s="30">
        <f t="shared" si="231"/>
        <v>493080</v>
      </c>
      <c r="UXA23" s="30">
        <f t="shared" si="231"/>
        <v>493111</v>
      </c>
      <c r="UXB23" s="30">
        <f t="shared" si="231"/>
        <v>493139</v>
      </c>
      <c r="UXC23" s="30">
        <f t="shared" si="231"/>
        <v>493170</v>
      </c>
      <c r="UXD23" s="30">
        <f t="shared" si="231"/>
        <v>493200</v>
      </c>
      <c r="UXE23" s="30">
        <f t="shared" si="231"/>
        <v>493231</v>
      </c>
      <c r="UXF23" s="30">
        <f t="shared" si="231"/>
        <v>493261</v>
      </c>
      <c r="UXG23" s="30">
        <f t="shared" si="231"/>
        <v>493292</v>
      </c>
      <c r="UXH23" s="30">
        <f t="shared" si="231"/>
        <v>493323</v>
      </c>
      <c r="UXI23" s="30">
        <f t="shared" si="231"/>
        <v>493353</v>
      </c>
      <c r="UXJ23" s="30">
        <f t="shared" si="231"/>
        <v>493384</v>
      </c>
      <c r="UXK23" s="30">
        <f t="shared" si="231"/>
        <v>493414</v>
      </c>
      <c r="UXL23" s="30">
        <f t="shared" si="231"/>
        <v>493445</v>
      </c>
      <c r="UXM23" s="30">
        <f t="shared" si="231"/>
        <v>493476</v>
      </c>
      <c r="UXN23" s="30">
        <f t="shared" si="231"/>
        <v>493504</v>
      </c>
      <c r="UXO23" s="30">
        <f t="shared" si="231"/>
        <v>493535</v>
      </c>
      <c r="UXP23" s="30">
        <f t="shared" si="231"/>
        <v>493565</v>
      </c>
      <c r="UXQ23" s="30">
        <f t="shared" si="231"/>
        <v>493596</v>
      </c>
      <c r="UXR23" s="30">
        <f t="shared" si="231"/>
        <v>493626</v>
      </c>
      <c r="UXS23" s="30">
        <f t="shared" si="231"/>
        <v>493657</v>
      </c>
      <c r="UXT23" s="30">
        <f t="shared" si="231"/>
        <v>493688</v>
      </c>
      <c r="UXU23" s="30">
        <f t="shared" si="231"/>
        <v>493718</v>
      </c>
      <c r="UXV23" s="30">
        <f t="shared" si="231"/>
        <v>493749</v>
      </c>
      <c r="UXW23" s="30">
        <f t="shared" si="231"/>
        <v>493779</v>
      </c>
      <c r="UXX23" s="30">
        <f t="shared" si="231"/>
        <v>493810</v>
      </c>
      <c r="UXY23" s="30">
        <f t="shared" si="231"/>
        <v>493841</v>
      </c>
      <c r="UXZ23" s="30">
        <f t="shared" si="231"/>
        <v>493870</v>
      </c>
      <c r="UYA23" s="30">
        <f t="shared" si="231"/>
        <v>493901</v>
      </c>
      <c r="UYB23" s="30">
        <f t="shared" si="231"/>
        <v>493931</v>
      </c>
      <c r="UYC23" s="30">
        <f t="shared" si="231"/>
        <v>493962</v>
      </c>
      <c r="UYD23" s="30">
        <f t="shared" si="231"/>
        <v>493992</v>
      </c>
      <c r="UYE23" s="30">
        <f t="shared" si="231"/>
        <v>494023</v>
      </c>
      <c r="UYF23" s="30">
        <f t="shared" ref="UYF23:VAQ23" si="232">EDATE(UYE23,1)</f>
        <v>494054</v>
      </c>
      <c r="UYG23" s="30">
        <f t="shared" si="232"/>
        <v>494084</v>
      </c>
      <c r="UYH23" s="30">
        <f t="shared" si="232"/>
        <v>494115</v>
      </c>
      <c r="UYI23" s="30">
        <f t="shared" si="232"/>
        <v>494145</v>
      </c>
      <c r="UYJ23" s="30">
        <f t="shared" si="232"/>
        <v>494176</v>
      </c>
      <c r="UYK23" s="30">
        <f t="shared" si="232"/>
        <v>494207</v>
      </c>
      <c r="UYL23" s="30">
        <f t="shared" si="232"/>
        <v>494235</v>
      </c>
      <c r="UYM23" s="30">
        <f t="shared" si="232"/>
        <v>494266</v>
      </c>
      <c r="UYN23" s="30">
        <f t="shared" si="232"/>
        <v>494296</v>
      </c>
      <c r="UYO23" s="30">
        <f t="shared" si="232"/>
        <v>494327</v>
      </c>
      <c r="UYP23" s="30">
        <f t="shared" si="232"/>
        <v>494357</v>
      </c>
      <c r="UYQ23" s="30">
        <f t="shared" si="232"/>
        <v>494388</v>
      </c>
      <c r="UYR23" s="30">
        <f t="shared" si="232"/>
        <v>494419</v>
      </c>
      <c r="UYS23" s="30">
        <f t="shared" si="232"/>
        <v>494449</v>
      </c>
      <c r="UYT23" s="30">
        <f t="shared" si="232"/>
        <v>494480</v>
      </c>
      <c r="UYU23" s="30">
        <f t="shared" si="232"/>
        <v>494510</v>
      </c>
      <c r="UYV23" s="30">
        <f t="shared" si="232"/>
        <v>494541</v>
      </c>
      <c r="UYW23" s="30">
        <f t="shared" si="232"/>
        <v>494572</v>
      </c>
      <c r="UYX23" s="30">
        <f t="shared" si="232"/>
        <v>494600</v>
      </c>
      <c r="UYY23" s="30">
        <f t="shared" si="232"/>
        <v>494631</v>
      </c>
      <c r="UYZ23" s="30">
        <f t="shared" si="232"/>
        <v>494661</v>
      </c>
      <c r="UZA23" s="30">
        <f t="shared" si="232"/>
        <v>494692</v>
      </c>
      <c r="UZB23" s="30">
        <f t="shared" si="232"/>
        <v>494722</v>
      </c>
      <c r="UZC23" s="30">
        <f t="shared" si="232"/>
        <v>494753</v>
      </c>
      <c r="UZD23" s="30">
        <f t="shared" si="232"/>
        <v>494784</v>
      </c>
      <c r="UZE23" s="30">
        <f t="shared" si="232"/>
        <v>494814</v>
      </c>
      <c r="UZF23" s="30">
        <f t="shared" si="232"/>
        <v>494845</v>
      </c>
      <c r="UZG23" s="30">
        <f t="shared" si="232"/>
        <v>494875</v>
      </c>
      <c r="UZH23" s="30">
        <f t="shared" si="232"/>
        <v>494906</v>
      </c>
      <c r="UZI23" s="30">
        <f t="shared" si="232"/>
        <v>494937</v>
      </c>
      <c r="UZJ23" s="30">
        <f t="shared" si="232"/>
        <v>494965</v>
      </c>
      <c r="UZK23" s="30">
        <f t="shared" si="232"/>
        <v>494996</v>
      </c>
      <c r="UZL23" s="30">
        <f t="shared" si="232"/>
        <v>495026</v>
      </c>
      <c r="UZM23" s="30">
        <f t="shared" si="232"/>
        <v>495057</v>
      </c>
      <c r="UZN23" s="30">
        <f t="shared" si="232"/>
        <v>495087</v>
      </c>
      <c r="UZO23" s="30">
        <f t="shared" si="232"/>
        <v>495118</v>
      </c>
      <c r="UZP23" s="30">
        <f t="shared" si="232"/>
        <v>495149</v>
      </c>
      <c r="UZQ23" s="30">
        <f t="shared" si="232"/>
        <v>495179</v>
      </c>
      <c r="UZR23" s="30">
        <f t="shared" si="232"/>
        <v>495210</v>
      </c>
      <c r="UZS23" s="30">
        <f t="shared" si="232"/>
        <v>495240</v>
      </c>
      <c r="UZT23" s="30">
        <f t="shared" si="232"/>
        <v>495271</v>
      </c>
      <c r="UZU23" s="30">
        <f t="shared" si="232"/>
        <v>495302</v>
      </c>
      <c r="UZV23" s="30">
        <f t="shared" si="232"/>
        <v>495331</v>
      </c>
      <c r="UZW23" s="30">
        <f t="shared" si="232"/>
        <v>495362</v>
      </c>
      <c r="UZX23" s="30">
        <f t="shared" si="232"/>
        <v>495392</v>
      </c>
      <c r="UZY23" s="30">
        <f t="shared" si="232"/>
        <v>495423</v>
      </c>
      <c r="UZZ23" s="30">
        <f t="shared" si="232"/>
        <v>495453</v>
      </c>
      <c r="VAA23" s="30">
        <f t="shared" si="232"/>
        <v>495484</v>
      </c>
      <c r="VAB23" s="30">
        <f t="shared" si="232"/>
        <v>495515</v>
      </c>
      <c r="VAC23" s="30">
        <f t="shared" si="232"/>
        <v>495545</v>
      </c>
      <c r="VAD23" s="30">
        <f t="shared" si="232"/>
        <v>495576</v>
      </c>
      <c r="VAE23" s="30">
        <f t="shared" si="232"/>
        <v>495606</v>
      </c>
      <c r="VAF23" s="30">
        <f t="shared" si="232"/>
        <v>495637</v>
      </c>
      <c r="VAG23" s="30">
        <f t="shared" si="232"/>
        <v>495668</v>
      </c>
      <c r="VAH23" s="30">
        <f t="shared" si="232"/>
        <v>495696</v>
      </c>
      <c r="VAI23" s="30">
        <f t="shared" si="232"/>
        <v>495727</v>
      </c>
      <c r="VAJ23" s="30">
        <f t="shared" si="232"/>
        <v>495757</v>
      </c>
      <c r="VAK23" s="30">
        <f t="shared" si="232"/>
        <v>495788</v>
      </c>
      <c r="VAL23" s="30">
        <f t="shared" si="232"/>
        <v>495818</v>
      </c>
      <c r="VAM23" s="30">
        <f t="shared" si="232"/>
        <v>495849</v>
      </c>
      <c r="VAN23" s="30">
        <f t="shared" si="232"/>
        <v>495880</v>
      </c>
      <c r="VAO23" s="30">
        <f t="shared" si="232"/>
        <v>495910</v>
      </c>
      <c r="VAP23" s="30">
        <f t="shared" si="232"/>
        <v>495941</v>
      </c>
      <c r="VAQ23" s="30">
        <f t="shared" si="232"/>
        <v>495971</v>
      </c>
      <c r="VAR23" s="30">
        <f t="shared" ref="VAR23:VDC23" si="233">EDATE(VAQ23,1)</f>
        <v>496002</v>
      </c>
      <c r="VAS23" s="30">
        <f t="shared" si="233"/>
        <v>496033</v>
      </c>
      <c r="VAT23" s="30">
        <f t="shared" si="233"/>
        <v>496061</v>
      </c>
      <c r="VAU23" s="30">
        <f t="shared" si="233"/>
        <v>496092</v>
      </c>
      <c r="VAV23" s="30">
        <f t="shared" si="233"/>
        <v>496122</v>
      </c>
      <c r="VAW23" s="30">
        <f t="shared" si="233"/>
        <v>496153</v>
      </c>
      <c r="VAX23" s="30">
        <f t="shared" si="233"/>
        <v>496183</v>
      </c>
      <c r="VAY23" s="30">
        <f t="shared" si="233"/>
        <v>496214</v>
      </c>
      <c r="VAZ23" s="30">
        <f t="shared" si="233"/>
        <v>496245</v>
      </c>
      <c r="VBA23" s="30">
        <f t="shared" si="233"/>
        <v>496275</v>
      </c>
      <c r="VBB23" s="30">
        <f t="shared" si="233"/>
        <v>496306</v>
      </c>
      <c r="VBC23" s="30">
        <f t="shared" si="233"/>
        <v>496336</v>
      </c>
      <c r="VBD23" s="30">
        <f t="shared" si="233"/>
        <v>496367</v>
      </c>
      <c r="VBE23" s="30">
        <f t="shared" si="233"/>
        <v>496398</v>
      </c>
      <c r="VBF23" s="30">
        <f t="shared" si="233"/>
        <v>496426</v>
      </c>
      <c r="VBG23" s="30">
        <f t="shared" si="233"/>
        <v>496457</v>
      </c>
      <c r="VBH23" s="30">
        <f t="shared" si="233"/>
        <v>496487</v>
      </c>
      <c r="VBI23" s="30">
        <f t="shared" si="233"/>
        <v>496518</v>
      </c>
      <c r="VBJ23" s="30">
        <f t="shared" si="233"/>
        <v>496548</v>
      </c>
      <c r="VBK23" s="30">
        <f t="shared" si="233"/>
        <v>496579</v>
      </c>
      <c r="VBL23" s="30">
        <f t="shared" si="233"/>
        <v>496610</v>
      </c>
      <c r="VBM23" s="30">
        <f t="shared" si="233"/>
        <v>496640</v>
      </c>
      <c r="VBN23" s="30">
        <f t="shared" si="233"/>
        <v>496671</v>
      </c>
      <c r="VBO23" s="30">
        <f t="shared" si="233"/>
        <v>496701</v>
      </c>
      <c r="VBP23" s="30">
        <f t="shared" si="233"/>
        <v>496732</v>
      </c>
      <c r="VBQ23" s="30">
        <f t="shared" si="233"/>
        <v>496763</v>
      </c>
      <c r="VBR23" s="30">
        <f t="shared" si="233"/>
        <v>496792</v>
      </c>
      <c r="VBS23" s="30">
        <f t="shared" si="233"/>
        <v>496823</v>
      </c>
      <c r="VBT23" s="30">
        <f t="shared" si="233"/>
        <v>496853</v>
      </c>
      <c r="VBU23" s="30">
        <f t="shared" si="233"/>
        <v>496884</v>
      </c>
      <c r="VBV23" s="30">
        <f t="shared" si="233"/>
        <v>496914</v>
      </c>
      <c r="VBW23" s="30">
        <f t="shared" si="233"/>
        <v>496945</v>
      </c>
      <c r="VBX23" s="30">
        <f t="shared" si="233"/>
        <v>496976</v>
      </c>
      <c r="VBY23" s="30">
        <f t="shared" si="233"/>
        <v>497006</v>
      </c>
      <c r="VBZ23" s="30">
        <f t="shared" si="233"/>
        <v>497037</v>
      </c>
      <c r="VCA23" s="30">
        <f t="shared" si="233"/>
        <v>497067</v>
      </c>
      <c r="VCB23" s="30">
        <f t="shared" si="233"/>
        <v>497098</v>
      </c>
      <c r="VCC23" s="30">
        <f t="shared" si="233"/>
        <v>497129</v>
      </c>
      <c r="VCD23" s="30">
        <f t="shared" si="233"/>
        <v>497157</v>
      </c>
      <c r="VCE23" s="30">
        <f t="shared" si="233"/>
        <v>497188</v>
      </c>
      <c r="VCF23" s="30">
        <f t="shared" si="233"/>
        <v>497218</v>
      </c>
      <c r="VCG23" s="30">
        <f t="shared" si="233"/>
        <v>497249</v>
      </c>
      <c r="VCH23" s="30">
        <f t="shared" si="233"/>
        <v>497279</v>
      </c>
      <c r="VCI23" s="30">
        <f t="shared" si="233"/>
        <v>497310</v>
      </c>
      <c r="VCJ23" s="30">
        <f t="shared" si="233"/>
        <v>497341</v>
      </c>
      <c r="VCK23" s="30">
        <f t="shared" si="233"/>
        <v>497371</v>
      </c>
      <c r="VCL23" s="30">
        <f t="shared" si="233"/>
        <v>497402</v>
      </c>
      <c r="VCM23" s="30">
        <f t="shared" si="233"/>
        <v>497432</v>
      </c>
      <c r="VCN23" s="30">
        <f t="shared" si="233"/>
        <v>497463</v>
      </c>
      <c r="VCO23" s="30">
        <f t="shared" si="233"/>
        <v>497494</v>
      </c>
      <c r="VCP23" s="30">
        <f t="shared" si="233"/>
        <v>497522</v>
      </c>
      <c r="VCQ23" s="30">
        <f t="shared" si="233"/>
        <v>497553</v>
      </c>
      <c r="VCR23" s="30">
        <f t="shared" si="233"/>
        <v>497583</v>
      </c>
      <c r="VCS23" s="30">
        <f t="shared" si="233"/>
        <v>497614</v>
      </c>
      <c r="VCT23" s="30">
        <f t="shared" si="233"/>
        <v>497644</v>
      </c>
      <c r="VCU23" s="30">
        <f t="shared" si="233"/>
        <v>497675</v>
      </c>
      <c r="VCV23" s="30">
        <f t="shared" si="233"/>
        <v>497706</v>
      </c>
      <c r="VCW23" s="30">
        <f t="shared" si="233"/>
        <v>497736</v>
      </c>
      <c r="VCX23" s="30">
        <f t="shared" si="233"/>
        <v>497767</v>
      </c>
      <c r="VCY23" s="30">
        <f t="shared" si="233"/>
        <v>497797</v>
      </c>
      <c r="VCZ23" s="30">
        <f t="shared" si="233"/>
        <v>497828</v>
      </c>
      <c r="VDA23" s="30">
        <f t="shared" si="233"/>
        <v>497859</v>
      </c>
      <c r="VDB23" s="30">
        <f t="shared" si="233"/>
        <v>497887</v>
      </c>
      <c r="VDC23" s="30">
        <f t="shared" si="233"/>
        <v>497918</v>
      </c>
      <c r="VDD23" s="30">
        <f t="shared" ref="VDD23:VFO23" si="234">EDATE(VDC23,1)</f>
        <v>497948</v>
      </c>
      <c r="VDE23" s="30">
        <f t="shared" si="234"/>
        <v>497979</v>
      </c>
      <c r="VDF23" s="30">
        <f t="shared" si="234"/>
        <v>498009</v>
      </c>
      <c r="VDG23" s="30">
        <f t="shared" si="234"/>
        <v>498040</v>
      </c>
      <c r="VDH23" s="30">
        <f t="shared" si="234"/>
        <v>498071</v>
      </c>
      <c r="VDI23" s="30">
        <f t="shared" si="234"/>
        <v>498101</v>
      </c>
      <c r="VDJ23" s="30">
        <f t="shared" si="234"/>
        <v>498132</v>
      </c>
      <c r="VDK23" s="30">
        <f t="shared" si="234"/>
        <v>498162</v>
      </c>
      <c r="VDL23" s="30">
        <f t="shared" si="234"/>
        <v>498193</v>
      </c>
      <c r="VDM23" s="30">
        <f t="shared" si="234"/>
        <v>498224</v>
      </c>
      <c r="VDN23" s="30">
        <f t="shared" si="234"/>
        <v>498253</v>
      </c>
      <c r="VDO23" s="30">
        <f t="shared" si="234"/>
        <v>498284</v>
      </c>
      <c r="VDP23" s="30">
        <f t="shared" si="234"/>
        <v>498314</v>
      </c>
      <c r="VDQ23" s="30">
        <f t="shared" si="234"/>
        <v>498345</v>
      </c>
      <c r="VDR23" s="30">
        <f t="shared" si="234"/>
        <v>498375</v>
      </c>
      <c r="VDS23" s="30">
        <f t="shared" si="234"/>
        <v>498406</v>
      </c>
      <c r="VDT23" s="30">
        <f t="shared" si="234"/>
        <v>498437</v>
      </c>
      <c r="VDU23" s="30">
        <f t="shared" si="234"/>
        <v>498467</v>
      </c>
      <c r="VDV23" s="30">
        <f t="shared" si="234"/>
        <v>498498</v>
      </c>
      <c r="VDW23" s="30">
        <f t="shared" si="234"/>
        <v>498528</v>
      </c>
      <c r="VDX23" s="30">
        <f t="shared" si="234"/>
        <v>498559</v>
      </c>
      <c r="VDY23" s="30">
        <f t="shared" si="234"/>
        <v>498590</v>
      </c>
      <c r="VDZ23" s="30">
        <f t="shared" si="234"/>
        <v>498618</v>
      </c>
      <c r="VEA23" s="30">
        <f t="shared" si="234"/>
        <v>498649</v>
      </c>
      <c r="VEB23" s="30">
        <f t="shared" si="234"/>
        <v>498679</v>
      </c>
      <c r="VEC23" s="30">
        <f t="shared" si="234"/>
        <v>498710</v>
      </c>
      <c r="VED23" s="30">
        <f t="shared" si="234"/>
        <v>498740</v>
      </c>
      <c r="VEE23" s="30">
        <f t="shared" si="234"/>
        <v>498771</v>
      </c>
      <c r="VEF23" s="30">
        <f t="shared" si="234"/>
        <v>498802</v>
      </c>
      <c r="VEG23" s="30">
        <f t="shared" si="234"/>
        <v>498832</v>
      </c>
      <c r="VEH23" s="30">
        <f t="shared" si="234"/>
        <v>498863</v>
      </c>
      <c r="VEI23" s="30">
        <f t="shared" si="234"/>
        <v>498893</v>
      </c>
      <c r="VEJ23" s="30">
        <f t="shared" si="234"/>
        <v>498924</v>
      </c>
      <c r="VEK23" s="30">
        <f t="shared" si="234"/>
        <v>498955</v>
      </c>
      <c r="VEL23" s="30">
        <f t="shared" si="234"/>
        <v>498983</v>
      </c>
      <c r="VEM23" s="30">
        <f t="shared" si="234"/>
        <v>499014</v>
      </c>
      <c r="VEN23" s="30">
        <f t="shared" si="234"/>
        <v>499044</v>
      </c>
      <c r="VEO23" s="30">
        <f t="shared" si="234"/>
        <v>499075</v>
      </c>
      <c r="VEP23" s="30">
        <f t="shared" si="234"/>
        <v>499105</v>
      </c>
      <c r="VEQ23" s="30">
        <f t="shared" si="234"/>
        <v>499136</v>
      </c>
      <c r="VER23" s="30">
        <f t="shared" si="234"/>
        <v>499167</v>
      </c>
      <c r="VES23" s="30">
        <f t="shared" si="234"/>
        <v>499197</v>
      </c>
      <c r="VET23" s="30">
        <f t="shared" si="234"/>
        <v>499228</v>
      </c>
      <c r="VEU23" s="30">
        <f t="shared" si="234"/>
        <v>499258</v>
      </c>
      <c r="VEV23" s="30">
        <f t="shared" si="234"/>
        <v>499289</v>
      </c>
      <c r="VEW23" s="30">
        <f t="shared" si="234"/>
        <v>499320</v>
      </c>
      <c r="VEX23" s="30">
        <f t="shared" si="234"/>
        <v>499348</v>
      </c>
      <c r="VEY23" s="30">
        <f t="shared" si="234"/>
        <v>499379</v>
      </c>
      <c r="VEZ23" s="30">
        <f t="shared" si="234"/>
        <v>499409</v>
      </c>
      <c r="VFA23" s="30">
        <f t="shared" si="234"/>
        <v>499440</v>
      </c>
      <c r="VFB23" s="30">
        <f t="shared" si="234"/>
        <v>499470</v>
      </c>
      <c r="VFC23" s="30">
        <f t="shared" si="234"/>
        <v>499501</v>
      </c>
      <c r="VFD23" s="30">
        <f t="shared" si="234"/>
        <v>499532</v>
      </c>
      <c r="VFE23" s="30">
        <f t="shared" si="234"/>
        <v>499562</v>
      </c>
      <c r="VFF23" s="30">
        <f t="shared" si="234"/>
        <v>499593</v>
      </c>
      <c r="VFG23" s="30">
        <f t="shared" si="234"/>
        <v>499623</v>
      </c>
      <c r="VFH23" s="30">
        <f t="shared" si="234"/>
        <v>499654</v>
      </c>
      <c r="VFI23" s="30">
        <f t="shared" si="234"/>
        <v>499685</v>
      </c>
      <c r="VFJ23" s="30">
        <f t="shared" si="234"/>
        <v>499714</v>
      </c>
      <c r="VFK23" s="30">
        <f t="shared" si="234"/>
        <v>499745</v>
      </c>
      <c r="VFL23" s="30">
        <f t="shared" si="234"/>
        <v>499775</v>
      </c>
      <c r="VFM23" s="30">
        <f t="shared" si="234"/>
        <v>499806</v>
      </c>
      <c r="VFN23" s="30">
        <f t="shared" si="234"/>
        <v>499836</v>
      </c>
      <c r="VFO23" s="30">
        <f t="shared" si="234"/>
        <v>499867</v>
      </c>
      <c r="VFP23" s="30">
        <f t="shared" ref="VFP23:VIA23" si="235">EDATE(VFO23,1)</f>
        <v>499898</v>
      </c>
      <c r="VFQ23" s="30">
        <f t="shared" si="235"/>
        <v>499928</v>
      </c>
      <c r="VFR23" s="30">
        <f t="shared" si="235"/>
        <v>499959</v>
      </c>
      <c r="VFS23" s="30">
        <f t="shared" si="235"/>
        <v>499989</v>
      </c>
      <c r="VFT23" s="30">
        <f t="shared" si="235"/>
        <v>500020</v>
      </c>
      <c r="VFU23" s="30">
        <f t="shared" si="235"/>
        <v>500051</v>
      </c>
      <c r="VFV23" s="30">
        <f t="shared" si="235"/>
        <v>500079</v>
      </c>
      <c r="VFW23" s="30">
        <f t="shared" si="235"/>
        <v>500110</v>
      </c>
      <c r="VFX23" s="30">
        <f t="shared" si="235"/>
        <v>500140</v>
      </c>
      <c r="VFY23" s="30">
        <f t="shared" si="235"/>
        <v>500171</v>
      </c>
      <c r="VFZ23" s="30">
        <f t="shared" si="235"/>
        <v>500201</v>
      </c>
      <c r="VGA23" s="30">
        <f t="shared" si="235"/>
        <v>500232</v>
      </c>
      <c r="VGB23" s="30">
        <f t="shared" si="235"/>
        <v>500263</v>
      </c>
      <c r="VGC23" s="30">
        <f t="shared" si="235"/>
        <v>500293</v>
      </c>
      <c r="VGD23" s="30">
        <f t="shared" si="235"/>
        <v>500324</v>
      </c>
      <c r="VGE23" s="30">
        <f t="shared" si="235"/>
        <v>500354</v>
      </c>
      <c r="VGF23" s="30">
        <f t="shared" si="235"/>
        <v>500385</v>
      </c>
      <c r="VGG23" s="30">
        <f t="shared" si="235"/>
        <v>500416</v>
      </c>
      <c r="VGH23" s="30">
        <f t="shared" si="235"/>
        <v>500444</v>
      </c>
      <c r="VGI23" s="30">
        <f t="shared" si="235"/>
        <v>500475</v>
      </c>
      <c r="VGJ23" s="30">
        <f t="shared" si="235"/>
        <v>500505</v>
      </c>
      <c r="VGK23" s="30">
        <f t="shared" si="235"/>
        <v>500536</v>
      </c>
      <c r="VGL23" s="30">
        <f t="shared" si="235"/>
        <v>500566</v>
      </c>
      <c r="VGM23" s="30">
        <f t="shared" si="235"/>
        <v>500597</v>
      </c>
      <c r="VGN23" s="30">
        <f t="shared" si="235"/>
        <v>500628</v>
      </c>
      <c r="VGO23" s="30">
        <f t="shared" si="235"/>
        <v>500658</v>
      </c>
      <c r="VGP23" s="30">
        <f t="shared" si="235"/>
        <v>500689</v>
      </c>
      <c r="VGQ23" s="30">
        <f t="shared" si="235"/>
        <v>500719</v>
      </c>
      <c r="VGR23" s="30">
        <f t="shared" si="235"/>
        <v>500750</v>
      </c>
      <c r="VGS23" s="30">
        <f t="shared" si="235"/>
        <v>500781</v>
      </c>
      <c r="VGT23" s="30">
        <f t="shared" si="235"/>
        <v>500809</v>
      </c>
      <c r="VGU23" s="30">
        <f t="shared" si="235"/>
        <v>500840</v>
      </c>
      <c r="VGV23" s="30">
        <f t="shared" si="235"/>
        <v>500870</v>
      </c>
      <c r="VGW23" s="30">
        <f t="shared" si="235"/>
        <v>500901</v>
      </c>
      <c r="VGX23" s="30">
        <f t="shared" si="235"/>
        <v>500931</v>
      </c>
      <c r="VGY23" s="30">
        <f t="shared" si="235"/>
        <v>500962</v>
      </c>
      <c r="VGZ23" s="30">
        <f t="shared" si="235"/>
        <v>500993</v>
      </c>
      <c r="VHA23" s="30">
        <f t="shared" si="235"/>
        <v>501023</v>
      </c>
      <c r="VHB23" s="30">
        <f t="shared" si="235"/>
        <v>501054</v>
      </c>
      <c r="VHC23" s="30">
        <f t="shared" si="235"/>
        <v>501084</v>
      </c>
      <c r="VHD23" s="30">
        <f t="shared" si="235"/>
        <v>501115</v>
      </c>
      <c r="VHE23" s="30">
        <f t="shared" si="235"/>
        <v>501146</v>
      </c>
      <c r="VHF23" s="30">
        <f t="shared" si="235"/>
        <v>501175</v>
      </c>
      <c r="VHG23" s="30">
        <f t="shared" si="235"/>
        <v>501206</v>
      </c>
      <c r="VHH23" s="30">
        <f t="shared" si="235"/>
        <v>501236</v>
      </c>
      <c r="VHI23" s="30">
        <f t="shared" si="235"/>
        <v>501267</v>
      </c>
      <c r="VHJ23" s="30">
        <f t="shared" si="235"/>
        <v>501297</v>
      </c>
      <c r="VHK23" s="30">
        <f t="shared" si="235"/>
        <v>501328</v>
      </c>
      <c r="VHL23" s="30">
        <f t="shared" si="235"/>
        <v>501359</v>
      </c>
      <c r="VHM23" s="30">
        <f t="shared" si="235"/>
        <v>501389</v>
      </c>
      <c r="VHN23" s="30">
        <f t="shared" si="235"/>
        <v>501420</v>
      </c>
      <c r="VHO23" s="30">
        <f t="shared" si="235"/>
        <v>501450</v>
      </c>
      <c r="VHP23" s="30">
        <f t="shared" si="235"/>
        <v>501481</v>
      </c>
      <c r="VHQ23" s="30">
        <f t="shared" si="235"/>
        <v>501512</v>
      </c>
      <c r="VHR23" s="30">
        <f t="shared" si="235"/>
        <v>501540</v>
      </c>
      <c r="VHS23" s="30">
        <f t="shared" si="235"/>
        <v>501571</v>
      </c>
      <c r="VHT23" s="30">
        <f t="shared" si="235"/>
        <v>501601</v>
      </c>
      <c r="VHU23" s="30">
        <f t="shared" si="235"/>
        <v>501632</v>
      </c>
      <c r="VHV23" s="30">
        <f t="shared" si="235"/>
        <v>501662</v>
      </c>
      <c r="VHW23" s="30">
        <f t="shared" si="235"/>
        <v>501693</v>
      </c>
      <c r="VHX23" s="30">
        <f t="shared" si="235"/>
        <v>501724</v>
      </c>
      <c r="VHY23" s="30">
        <f t="shared" si="235"/>
        <v>501754</v>
      </c>
      <c r="VHZ23" s="30">
        <f t="shared" si="235"/>
        <v>501785</v>
      </c>
      <c r="VIA23" s="30">
        <f t="shared" si="235"/>
        <v>501815</v>
      </c>
      <c r="VIB23" s="30">
        <f t="shared" ref="VIB23:VKM23" si="236">EDATE(VIA23,1)</f>
        <v>501846</v>
      </c>
      <c r="VIC23" s="30">
        <f t="shared" si="236"/>
        <v>501877</v>
      </c>
      <c r="VID23" s="30">
        <f t="shared" si="236"/>
        <v>501905</v>
      </c>
      <c r="VIE23" s="30">
        <f t="shared" si="236"/>
        <v>501936</v>
      </c>
      <c r="VIF23" s="30">
        <f t="shared" si="236"/>
        <v>501966</v>
      </c>
      <c r="VIG23" s="30">
        <f t="shared" si="236"/>
        <v>501997</v>
      </c>
      <c r="VIH23" s="30">
        <f t="shared" si="236"/>
        <v>502027</v>
      </c>
      <c r="VII23" s="30">
        <f t="shared" si="236"/>
        <v>502058</v>
      </c>
      <c r="VIJ23" s="30">
        <f t="shared" si="236"/>
        <v>502089</v>
      </c>
      <c r="VIK23" s="30">
        <f t="shared" si="236"/>
        <v>502119</v>
      </c>
      <c r="VIL23" s="30">
        <f t="shared" si="236"/>
        <v>502150</v>
      </c>
      <c r="VIM23" s="30">
        <f t="shared" si="236"/>
        <v>502180</v>
      </c>
      <c r="VIN23" s="30">
        <f t="shared" si="236"/>
        <v>502211</v>
      </c>
      <c r="VIO23" s="30">
        <f t="shared" si="236"/>
        <v>502242</v>
      </c>
      <c r="VIP23" s="30">
        <f t="shared" si="236"/>
        <v>502270</v>
      </c>
      <c r="VIQ23" s="30">
        <f t="shared" si="236"/>
        <v>502301</v>
      </c>
      <c r="VIR23" s="30">
        <f t="shared" si="236"/>
        <v>502331</v>
      </c>
      <c r="VIS23" s="30">
        <f t="shared" si="236"/>
        <v>502362</v>
      </c>
      <c r="VIT23" s="30">
        <f t="shared" si="236"/>
        <v>502392</v>
      </c>
      <c r="VIU23" s="30">
        <f t="shared" si="236"/>
        <v>502423</v>
      </c>
      <c r="VIV23" s="30">
        <f t="shared" si="236"/>
        <v>502454</v>
      </c>
      <c r="VIW23" s="30">
        <f t="shared" si="236"/>
        <v>502484</v>
      </c>
      <c r="VIX23" s="30">
        <f t="shared" si="236"/>
        <v>502515</v>
      </c>
      <c r="VIY23" s="30">
        <f t="shared" si="236"/>
        <v>502545</v>
      </c>
      <c r="VIZ23" s="30">
        <f t="shared" si="236"/>
        <v>502576</v>
      </c>
      <c r="VJA23" s="30">
        <f t="shared" si="236"/>
        <v>502607</v>
      </c>
      <c r="VJB23" s="30">
        <f t="shared" si="236"/>
        <v>502636</v>
      </c>
      <c r="VJC23" s="30">
        <f t="shared" si="236"/>
        <v>502667</v>
      </c>
      <c r="VJD23" s="30">
        <f t="shared" si="236"/>
        <v>502697</v>
      </c>
      <c r="VJE23" s="30">
        <f t="shared" si="236"/>
        <v>502728</v>
      </c>
      <c r="VJF23" s="30">
        <f t="shared" si="236"/>
        <v>502758</v>
      </c>
      <c r="VJG23" s="30">
        <f t="shared" si="236"/>
        <v>502789</v>
      </c>
      <c r="VJH23" s="30">
        <f t="shared" si="236"/>
        <v>502820</v>
      </c>
      <c r="VJI23" s="30">
        <f t="shared" si="236"/>
        <v>502850</v>
      </c>
      <c r="VJJ23" s="30">
        <f t="shared" si="236"/>
        <v>502881</v>
      </c>
      <c r="VJK23" s="30">
        <f t="shared" si="236"/>
        <v>502911</v>
      </c>
      <c r="VJL23" s="30">
        <f t="shared" si="236"/>
        <v>502942</v>
      </c>
      <c r="VJM23" s="30">
        <f t="shared" si="236"/>
        <v>502973</v>
      </c>
      <c r="VJN23" s="30">
        <f t="shared" si="236"/>
        <v>503001</v>
      </c>
      <c r="VJO23" s="30">
        <f t="shared" si="236"/>
        <v>503032</v>
      </c>
      <c r="VJP23" s="30">
        <f t="shared" si="236"/>
        <v>503062</v>
      </c>
      <c r="VJQ23" s="30">
        <f t="shared" si="236"/>
        <v>503093</v>
      </c>
      <c r="VJR23" s="30">
        <f t="shared" si="236"/>
        <v>503123</v>
      </c>
      <c r="VJS23" s="30">
        <f t="shared" si="236"/>
        <v>503154</v>
      </c>
      <c r="VJT23" s="30">
        <f t="shared" si="236"/>
        <v>503185</v>
      </c>
      <c r="VJU23" s="30">
        <f t="shared" si="236"/>
        <v>503215</v>
      </c>
      <c r="VJV23" s="30">
        <f t="shared" si="236"/>
        <v>503246</v>
      </c>
      <c r="VJW23" s="30">
        <f t="shared" si="236"/>
        <v>503276</v>
      </c>
      <c r="VJX23" s="30">
        <f t="shared" si="236"/>
        <v>503307</v>
      </c>
      <c r="VJY23" s="30">
        <f t="shared" si="236"/>
        <v>503338</v>
      </c>
      <c r="VJZ23" s="30">
        <f t="shared" si="236"/>
        <v>503366</v>
      </c>
      <c r="VKA23" s="30">
        <f t="shared" si="236"/>
        <v>503397</v>
      </c>
      <c r="VKB23" s="30">
        <f t="shared" si="236"/>
        <v>503427</v>
      </c>
      <c r="VKC23" s="30">
        <f t="shared" si="236"/>
        <v>503458</v>
      </c>
      <c r="VKD23" s="30">
        <f t="shared" si="236"/>
        <v>503488</v>
      </c>
      <c r="VKE23" s="30">
        <f t="shared" si="236"/>
        <v>503519</v>
      </c>
      <c r="VKF23" s="30">
        <f t="shared" si="236"/>
        <v>503550</v>
      </c>
      <c r="VKG23" s="30">
        <f t="shared" si="236"/>
        <v>503580</v>
      </c>
      <c r="VKH23" s="30">
        <f t="shared" si="236"/>
        <v>503611</v>
      </c>
      <c r="VKI23" s="30">
        <f t="shared" si="236"/>
        <v>503641</v>
      </c>
      <c r="VKJ23" s="30">
        <f t="shared" si="236"/>
        <v>503672</v>
      </c>
      <c r="VKK23" s="30">
        <f t="shared" si="236"/>
        <v>503703</v>
      </c>
      <c r="VKL23" s="30">
        <f t="shared" si="236"/>
        <v>503731</v>
      </c>
      <c r="VKM23" s="30">
        <f t="shared" si="236"/>
        <v>503762</v>
      </c>
      <c r="VKN23" s="30">
        <f t="shared" ref="VKN23:VMY23" si="237">EDATE(VKM23,1)</f>
        <v>503792</v>
      </c>
      <c r="VKO23" s="30">
        <f t="shared" si="237"/>
        <v>503823</v>
      </c>
      <c r="VKP23" s="30">
        <f t="shared" si="237"/>
        <v>503853</v>
      </c>
      <c r="VKQ23" s="30">
        <f t="shared" si="237"/>
        <v>503884</v>
      </c>
      <c r="VKR23" s="30">
        <f t="shared" si="237"/>
        <v>503915</v>
      </c>
      <c r="VKS23" s="30">
        <f t="shared" si="237"/>
        <v>503945</v>
      </c>
      <c r="VKT23" s="30">
        <f t="shared" si="237"/>
        <v>503976</v>
      </c>
      <c r="VKU23" s="30">
        <f t="shared" si="237"/>
        <v>504006</v>
      </c>
      <c r="VKV23" s="30">
        <f t="shared" si="237"/>
        <v>504037</v>
      </c>
      <c r="VKW23" s="30">
        <f t="shared" si="237"/>
        <v>504068</v>
      </c>
      <c r="VKX23" s="30">
        <f t="shared" si="237"/>
        <v>504097</v>
      </c>
      <c r="VKY23" s="30">
        <f t="shared" si="237"/>
        <v>504128</v>
      </c>
      <c r="VKZ23" s="30">
        <f t="shared" si="237"/>
        <v>504158</v>
      </c>
      <c r="VLA23" s="30">
        <f t="shared" si="237"/>
        <v>504189</v>
      </c>
      <c r="VLB23" s="30">
        <f t="shared" si="237"/>
        <v>504219</v>
      </c>
      <c r="VLC23" s="30">
        <f t="shared" si="237"/>
        <v>504250</v>
      </c>
      <c r="VLD23" s="30">
        <f t="shared" si="237"/>
        <v>504281</v>
      </c>
      <c r="VLE23" s="30">
        <f t="shared" si="237"/>
        <v>504311</v>
      </c>
      <c r="VLF23" s="30">
        <f t="shared" si="237"/>
        <v>504342</v>
      </c>
      <c r="VLG23" s="30">
        <f t="shared" si="237"/>
        <v>504372</v>
      </c>
      <c r="VLH23" s="30">
        <f t="shared" si="237"/>
        <v>504403</v>
      </c>
      <c r="VLI23" s="30">
        <f t="shared" si="237"/>
        <v>504434</v>
      </c>
      <c r="VLJ23" s="30">
        <f t="shared" si="237"/>
        <v>504462</v>
      </c>
      <c r="VLK23" s="30">
        <f t="shared" si="237"/>
        <v>504493</v>
      </c>
      <c r="VLL23" s="30">
        <f t="shared" si="237"/>
        <v>504523</v>
      </c>
      <c r="VLM23" s="30">
        <f t="shared" si="237"/>
        <v>504554</v>
      </c>
      <c r="VLN23" s="30">
        <f t="shared" si="237"/>
        <v>504584</v>
      </c>
      <c r="VLO23" s="30">
        <f t="shared" si="237"/>
        <v>504615</v>
      </c>
      <c r="VLP23" s="30">
        <f t="shared" si="237"/>
        <v>504646</v>
      </c>
      <c r="VLQ23" s="30">
        <f t="shared" si="237"/>
        <v>504676</v>
      </c>
      <c r="VLR23" s="30">
        <f t="shared" si="237"/>
        <v>504707</v>
      </c>
      <c r="VLS23" s="30">
        <f t="shared" si="237"/>
        <v>504737</v>
      </c>
      <c r="VLT23" s="30">
        <f t="shared" si="237"/>
        <v>504768</v>
      </c>
      <c r="VLU23" s="30">
        <f t="shared" si="237"/>
        <v>504799</v>
      </c>
      <c r="VLV23" s="30">
        <f t="shared" si="237"/>
        <v>504827</v>
      </c>
      <c r="VLW23" s="30">
        <f t="shared" si="237"/>
        <v>504858</v>
      </c>
      <c r="VLX23" s="30">
        <f t="shared" si="237"/>
        <v>504888</v>
      </c>
      <c r="VLY23" s="30">
        <f t="shared" si="237"/>
        <v>504919</v>
      </c>
      <c r="VLZ23" s="30">
        <f t="shared" si="237"/>
        <v>504949</v>
      </c>
      <c r="VMA23" s="30">
        <f t="shared" si="237"/>
        <v>504980</v>
      </c>
      <c r="VMB23" s="30">
        <f t="shared" si="237"/>
        <v>505011</v>
      </c>
      <c r="VMC23" s="30">
        <f t="shared" si="237"/>
        <v>505041</v>
      </c>
      <c r="VMD23" s="30">
        <f t="shared" si="237"/>
        <v>505072</v>
      </c>
      <c r="VME23" s="30">
        <f t="shared" si="237"/>
        <v>505102</v>
      </c>
      <c r="VMF23" s="30">
        <f t="shared" si="237"/>
        <v>505133</v>
      </c>
      <c r="VMG23" s="30">
        <f t="shared" si="237"/>
        <v>505164</v>
      </c>
      <c r="VMH23" s="30">
        <f t="shared" si="237"/>
        <v>505192</v>
      </c>
      <c r="VMI23" s="30">
        <f t="shared" si="237"/>
        <v>505223</v>
      </c>
      <c r="VMJ23" s="30">
        <f t="shared" si="237"/>
        <v>505253</v>
      </c>
      <c r="VMK23" s="30">
        <f t="shared" si="237"/>
        <v>505284</v>
      </c>
      <c r="VML23" s="30">
        <f t="shared" si="237"/>
        <v>505314</v>
      </c>
      <c r="VMM23" s="30">
        <f t="shared" si="237"/>
        <v>505345</v>
      </c>
      <c r="VMN23" s="30">
        <f t="shared" si="237"/>
        <v>505376</v>
      </c>
      <c r="VMO23" s="30">
        <f t="shared" si="237"/>
        <v>505406</v>
      </c>
      <c r="VMP23" s="30">
        <f t="shared" si="237"/>
        <v>505437</v>
      </c>
      <c r="VMQ23" s="30">
        <f t="shared" si="237"/>
        <v>505467</v>
      </c>
      <c r="VMR23" s="30">
        <f t="shared" si="237"/>
        <v>505498</v>
      </c>
      <c r="VMS23" s="30">
        <f t="shared" si="237"/>
        <v>505529</v>
      </c>
      <c r="VMT23" s="30">
        <f t="shared" si="237"/>
        <v>505558</v>
      </c>
      <c r="VMU23" s="30">
        <f t="shared" si="237"/>
        <v>505589</v>
      </c>
      <c r="VMV23" s="30">
        <f t="shared" si="237"/>
        <v>505619</v>
      </c>
      <c r="VMW23" s="30">
        <f t="shared" si="237"/>
        <v>505650</v>
      </c>
      <c r="VMX23" s="30">
        <f t="shared" si="237"/>
        <v>505680</v>
      </c>
      <c r="VMY23" s="30">
        <f t="shared" si="237"/>
        <v>505711</v>
      </c>
      <c r="VMZ23" s="30">
        <f t="shared" ref="VMZ23:VPK23" si="238">EDATE(VMY23,1)</f>
        <v>505742</v>
      </c>
      <c r="VNA23" s="30">
        <f t="shared" si="238"/>
        <v>505772</v>
      </c>
      <c r="VNB23" s="30">
        <f t="shared" si="238"/>
        <v>505803</v>
      </c>
      <c r="VNC23" s="30">
        <f t="shared" si="238"/>
        <v>505833</v>
      </c>
      <c r="VND23" s="30">
        <f t="shared" si="238"/>
        <v>505864</v>
      </c>
      <c r="VNE23" s="30">
        <f t="shared" si="238"/>
        <v>505895</v>
      </c>
      <c r="VNF23" s="30">
        <f t="shared" si="238"/>
        <v>505923</v>
      </c>
      <c r="VNG23" s="30">
        <f t="shared" si="238"/>
        <v>505954</v>
      </c>
      <c r="VNH23" s="30">
        <f t="shared" si="238"/>
        <v>505984</v>
      </c>
      <c r="VNI23" s="30">
        <f t="shared" si="238"/>
        <v>506015</v>
      </c>
      <c r="VNJ23" s="30">
        <f t="shared" si="238"/>
        <v>506045</v>
      </c>
      <c r="VNK23" s="30">
        <f t="shared" si="238"/>
        <v>506076</v>
      </c>
      <c r="VNL23" s="30">
        <f t="shared" si="238"/>
        <v>506107</v>
      </c>
      <c r="VNM23" s="30">
        <f t="shared" si="238"/>
        <v>506137</v>
      </c>
      <c r="VNN23" s="30">
        <f t="shared" si="238"/>
        <v>506168</v>
      </c>
      <c r="VNO23" s="30">
        <f t="shared" si="238"/>
        <v>506198</v>
      </c>
      <c r="VNP23" s="30">
        <f t="shared" si="238"/>
        <v>506229</v>
      </c>
      <c r="VNQ23" s="30">
        <f t="shared" si="238"/>
        <v>506260</v>
      </c>
      <c r="VNR23" s="30">
        <f t="shared" si="238"/>
        <v>506288</v>
      </c>
      <c r="VNS23" s="30">
        <f t="shared" si="238"/>
        <v>506319</v>
      </c>
      <c r="VNT23" s="30">
        <f t="shared" si="238"/>
        <v>506349</v>
      </c>
      <c r="VNU23" s="30">
        <f t="shared" si="238"/>
        <v>506380</v>
      </c>
      <c r="VNV23" s="30">
        <f t="shared" si="238"/>
        <v>506410</v>
      </c>
      <c r="VNW23" s="30">
        <f t="shared" si="238"/>
        <v>506441</v>
      </c>
      <c r="VNX23" s="30">
        <f t="shared" si="238"/>
        <v>506472</v>
      </c>
      <c r="VNY23" s="30">
        <f t="shared" si="238"/>
        <v>506502</v>
      </c>
      <c r="VNZ23" s="30">
        <f t="shared" si="238"/>
        <v>506533</v>
      </c>
      <c r="VOA23" s="30">
        <f t="shared" si="238"/>
        <v>506563</v>
      </c>
      <c r="VOB23" s="30">
        <f t="shared" si="238"/>
        <v>506594</v>
      </c>
      <c r="VOC23" s="30">
        <f t="shared" si="238"/>
        <v>506625</v>
      </c>
      <c r="VOD23" s="30">
        <f t="shared" si="238"/>
        <v>506653</v>
      </c>
      <c r="VOE23" s="30">
        <f t="shared" si="238"/>
        <v>506684</v>
      </c>
      <c r="VOF23" s="30">
        <f t="shared" si="238"/>
        <v>506714</v>
      </c>
      <c r="VOG23" s="30">
        <f t="shared" si="238"/>
        <v>506745</v>
      </c>
      <c r="VOH23" s="30">
        <f t="shared" si="238"/>
        <v>506775</v>
      </c>
      <c r="VOI23" s="30">
        <f t="shared" si="238"/>
        <v>506806</v>
      </c>
      <c r="VOJ23" s="30">
        <f t="shared" si="238"/>
        <v>506837</v>
      </c>
      <c r="VOK23" s="30">
        <f t="shared" si="238"/>
        <v>506867</v>
      </c>
      <c r="VOL23" s="30">
        <f t="shared" si="238"/>
        <v>506898</v>
      </c>
      <c r="VOM23" s="30">
        <f t="shared" si="238"/>
        <v>506928</v>
      </c>
      <c r="VON23" s="30">
        <f t="shared" si="238"/>
        <v>506959</v>
      </c>
      <c r="VOO23" s="30">
        <f t="shared" si="238"/>
        <v>506990</v>
      </c>
      <c r="VOP23" s="30">
        <f t="shared" si="238"/>
        <v>507019</v>
      </c>
      <c r="VOQ23" s="30">
        <f t="shared" si="238"/>
        <v>507050</v>
      </c>
      <c r="VOR23" s="30">
        <f t="shared" si="238"/>
        <v>507080</v>
      </c>
      <c r="VOS23" s="30">
        <f t="shared" si="238"/>
        <v>507111</v>
      </c>
      <c r="VOT23" s="30">
        <f t="shared" si="238"/>
        <v>507141</v>
      </c>
      <c r="VOU23" s="30">
        <f t="shared" si="238"/>
        <v>507172</v>
      </c>
      <c r="VOV23" s="30">
        <f t="shared" si="238"/>
        <v>507203</v>
      </c>
      <c r="VOW23" s="30">
        <f t="shared" si="238"/>
        <v>507233</v>
      </c>
      <c r="VOX23" s="30">
        <f t="shared" si="238"/>
        <v>507264</v>
      </c>
      <c r="VOY23" s="30">
        <f t="shared" si="238"/>
        <v>507294</v>
      </c>
      <c r="VOZ23" s="30">
        <f t="shared" si="238"/>
        <v>507325</v>
      </c>
      <c r="VPA23" s="30">
        <f t="shared" si="238"/>
        <v>507356</v>
      </c>
      <c r="VPB23" s="30">
        <f t="shared" si="238"/>
        <v>507384</v>
      </c>
      <c r="VPC23" s="30">
        <f t="shared" si="238"/>
        <v>507415</v>
      </c>
      <c r="VPD23" s="30">
        <f t="shared" si="238"/>
        <v>507445</v>
      </c>
      <c r="VPE23" s="30">
        <f t="shared" si="238"/>
        <v>507476</v>
      </c>
      <c r="VPF23" s="30">
        <f t="shared" si="238"/>
        <v>507506</v>
      </c>
      <c r="VPG23" s="30">
        <f t="shared" si="238"/>
        <v>507537</v>
      </c>
      <c r="VPH23" s="30">
        <f t="shared" si="238"/>
        <v>507568</v>
      </c>
      <c r="VPI23" s="30">
        <f t="shared" si="238"/>
        <v>507598</v>
      </c>
      <c r="VPJ23" s="30">
        <f t="shared" si="238"/>
        <v>507629</v>
      </c>
      <c r="VPK23" s="30">
        <f t="shared" si="238"/>
        <v>507659</v>
      </c>
      <c r="VPL23" s="30">
        <f t="shared" ref="VPL23:VRW23" si="239">EDATE(VPK23,1)</f>
        <v>507690</v>
      </c>
      <c r="VPM23" s="30">
        <f t="shared" si="239"/>
        <v>507721</v>
      </c>
      <c r="VPN23" s="30">
        <f t="shared" si="239"/>
        <v>507749</v>
      </c>
      <c r="VPO23" s="30">
        <f t="shared" si="239"/>
        <v>507780</v>
      </c>
      <c r="VPP23" s="30">
        <f t="shared" si="239"/>
        <v>507810</v>
      </c>
      <c r="VPQ23" s="30">
        <f t="shared" si="239"/>
        <v>507841</v>
      </c>
      <c r="VPR23" s="30">
        <f t="shared" si="239"/>
        <v>507871</v>
      </c>
      <c r="VPS23" s="30">
        <f t="shared" si="239"/>
        <v>507902</v>
      </c>
      <c r="VPT23" s="30">
        <f t="shared" si="239"/>
        <v>507933</v>
      </c>
      <c r="VPU23" s="30">
        <f t="shared" si="239"/>
        <v>507963</v>
      </c>
      <c r="VPV23" s="30">
        <f t="shared" si="239"/>
        <v>507994</v>
      </c>
      <c r="VPW23" s="30">
        <f t="shared" si="239"/>
        <v>508024</v>
      </c>
      <c r="VPX23" s="30">
        <f t="shared" si="239"/>
        <v>508055</v>
      </c>
      <c r="VPY23" s="30">
        <f t="shared" si="239"/>
        <v>508086</v>
      </c>
      <c r="VPZ23" s="30">
        <f t="shared" si="239"/>
        <v>508114</v>
      </c>
      <c r="VQA23" s="30">
        <f t="shared" si="239"/>
        <v>508145</v>
      </c>
      <c r="VQB23" s="30">
        <f t="shared" si="239"/>
        <v>508175</v>
      </c>
      <c r="VQC23" s="30">
        <f t="shared" si="239"/>
        <v>508206</v>
      </c>
      <c r="VQD23" s="30">
        <f t="shared" si="239"/>
        <v>508236</v>
      </c>
      <c r="VQE23" s="30">
        <f t="shared" si="239"/>
        <v>508267</v>
      </c>
      <c r="VQF23" s="30">
        <f t="shared" si="239"/>
        <v>508298</v>
      </c>
      <c r="VQG23" s="30">
        <f t="shared" si="239"/>
        <v>508328</v>
      </c>
      <c r="VQH23" s="30">
        <f t="shared" si="239"/>
        <v>508359</v>
      </c>
      <c r="VQI23" s="30">
        <f t="shared" si="239"/>
        <v>508389</v>
      </c>
      <c r="VQJ23" s="30">
        <f t="shared" si="239"/>
        <v>508420</v>
      </c>
      <c r="VQK23" s="30">
        <f t="shared" si="239"/>
        <v>508451</v>
      </c>
      <c r="VQL23" s="30">
        <f t="shared" si="239"/>
        <v>508480</v>
      </c>
      <c r="VQM23" s="30">
        <f t="shared" si="239"/>
        <v>508511</v>
      </c>
      <c r="VQN23" s="30">
        <f t="shared" si="239"/>
        <v>508541</v>
      </c>
      <c r="VQO23" s="30">
        <f t="shared" si="239"/>
        <v>508572</v>
      </c>
      <c r="VQP23" s="30">
        <f t="shared" si="239"/>
        <v>508602</v>
      </c>
      <c r="VQQ23" s="30">
        <f t="shared" si="239"/>
        <v>508633</v>
      </c>
      <c r="VQR23" s="30">
        <f t="shared" si="239"/>
        <v>508664</v>
      </c>
      <c r="VQS23" s="30">
        <f t="shared" si="239"/>
        <v>508694</v>
      </c>
      <c r="VQT23" s="30">
        <f t="shared" si="239"/>
        <v>508725</v>
      </c>
      <c r="VQU23" s="30">
        <f t="shared" si="239"/>
        <v>508755</v>
      </c>
      <c r="VQV23" s="30">
        <f t="shared" si="239"/>
        <v>508786</v>
      </c>
      <c r="VQW23" s="30">
        <f t="shared" si="239"/>
        <v>508817</v>
      </c>
      <c r="VQX23" s="30">
        <f t="shared" si="239"/>
        <v>508845</v>
      </c>
      <c r="VQY23" s="30">
        <f t="shared" si="239"/>
        <v>508876</v>
      </c>
      <c r="VQZ23" s="30">
        <f t="shared" si="239"/>
        <v>508906</v>
      </c>
      <c r="VRA23" s="30">
        <f t="shared" si="239"/>
        <v>508937</v>
      </c>
      <c r="VRB23" s="30">
        <f t="shared" si="239"/>
        <v>508967</v>
      </c>
      <c r="VRC23" s="30">
        <f t="shared" si="239"/>
        <v>508998</v>
      </c>
      <c r="VRD23" s="30">
        <f t="shared" si="239"/>
        <v>509029</v>
      </c>
      <c r="VRE23" s="30">
        <f t="shared" si="239"/>
        <v>509059</v>
      </c>
      <c r="VRF23" s="30">
        <f t="shared" si="239"/>
        <v>509090</v>
      </c>
      <c r="VRG23" s="30">
        <f t="shared" si="239"/>
        <v>509120</v>
      </c>
      <c r="VRH23" s="30">
        <f t="shared" si="239"/>
        <v>509151</v>
      </c>
      <c r="VRI23" s="30">
        <f t="shared" si="239"/>
        <v>509182</v>
      </c>
      <c r="VRJ23" s="30">
        <f t="shared" si="239"/>
        <v>509210</v>
      </c>
      <c r="VRK23" s="30">
        <f t="shared" si="239"/>
        <v>509241</v>
      </c>
      <c r="VRL23" s="30">
        <f t="shared" si="239"/>
        <v>509271</v>
      </c>
      <c r="VRM23" s="30">
        <f t="shared" si="239"/>
        <v>509302</v>
      </c>
      <c r="VRN23" s="30">
        <f t="shared" si="239"/>
        <v>509332</v>
      </c>
      <c r="VRO23" s="30">
        <f t="shared" si="239"/>
        <v>509363</v>
      </c>
      <c r="VRP23" s="30">
        <f t="shared" si="239"/>
        <v>509394</v>
      </c>
      <c r="VRQ23" s="30">
        <f t="shared" si="239"/>
        <v>509424</v>
      </c>
      <c r="VRR23" s="30">
        <f t="shared" si="239"/>
        <v>509455</v>
      </c>
      <c r="VRS23" s="30">
        <f t="shared" si="239"/>
        <v>509485</v>
      </c>
      <c r="VRT23" s="30">
        <f t="shared" si="239"/>
        <v>509516</v>
      </c>
      <c r="VRU23" s="30">
        <f t="shared" si="239"/>
        <v>509547</v>
      </c>
      <c r="VRV23" s="30">
        <f t="shared" si="239"/>
        <v>509575</v>
      </c>
      <c r="VRW23" s="30">
        <f t="shared" si="239"/>
        <v>509606</v>
      </c>
      <c r="VRX23" s="30">
        <f t="shared" ref="VRX23:VUI23" si="240">EDATE(VRW23,1)</f>
        <v>509636</v>
      </c>
      <c r="VRY23" s="30">
        <f t="shared" si="240"/>
        <v>509667</v>
      </c>
      <c r="VRZ23" s="30">
        <f t="shared" si="240"/>
        <v>509697</v>
      </c>
      <c r="VSA23" s="30">
        <f t="shared" si="240"/>
        <v>509728</v>
      </c>
      <c r="VSB23" s="30">
        <f t="shared" si="240"/>
        <v>509759</v>
      </c>
      <c r="VSC23" s="30">
        <f t="shared" si="240"/>
        <v>509789</v>
      </c>
      <c r="VSD23" s="30">
        <f t="shared" si="240"/>
        <v>509820</v>
      </c>
      <c r="VSE23" s="30">
        <f t="shared" si="240"/>
        <v>509850</v>
      </c>
      <c r="VSF23" s="30">
        <f t="shared" si="240"/>
        <v>509881</v>
      </c>
      <c r="VSG23" s="30">
        <f t="shared" si="240"/>
        <v>509912</v>
      </c>
      <c r="VSH23" s="30">
        <f t="shared" si="240"/>
        <v>509941</v>
      </c>
      <c r="VSI23" s="30">
        <f t="shared" si="240"/>
        <v>509972</v>
      </c>
      <c r="VSJ23" s="30">
        <f t="shared" si="240"/>
        <v>510002</v>
      </c>
      <c r="VSK23" s="30">
        <f t="shared" si="240"/>
        <v>510033</v>
      </c>
      <c r="VSL23" s="30">
        <f t="shared" si="240"/>
        <v>510063</v>
      </c>
      <c r="VSM23" s="30">
        <f t="shared" si="240"/>
        <v>510094</v>
      </c>
      <c r="VSN23" s="30">
        <f t="shared" si="240"/>
        <v>510125</v>
      </c>
      <c r="VSO23" s="30">
        <f t="shared" si="240"/>
        <v>510155</v>
      </c>
      <c r="VSP23" s="30">
        <f t="shared" si="240"/>
        <v>510186</v>
      </c>
      <c r="VSQ23" s="30">
        <f t="shared" si="240"/>
        <v>510216</v>
      </c>
      <c r="VSR23" s="30">
        <f t="shared" si="240"/>
        <v>510247</v>
      </c>
      <c r="VSS23" s="30">
        <f t="shared" si="240"/>
        <v>510278</v>
      </c>
      <c r="VST23" s="30">
        <f t="shared" si="240"/>
        <v>510306</v>
      </c>
      <c r="VSU23" s="30">
        <f t="shared" si="240"/>
        <v>510337</v>
      </c>
      <c r="VSV23" s="30">
        <f t="shared" si="240"/>
        <v>510367</v>
      </c>
      <c r="VSW23" s="30">
        <f t="shared" si="240"/>
        <v>510398</v>
      </c>
      <c r="VSX23" s="30">
        <f t="shared" si="240"/>
        <v>510428</v>
      </c>
      <c r="VSY23" s="30">
        <f t="shared" si="240"/>
        <v>510459</v>
      </c>
      <c r="VSZ23" s="30">
        <f t="shared" si="240"/>
        <v>510490</v>
      </c>
      <c r="VTA23" s="30">
        <f t="shared" si="240"/>
        <v>510520</v>
      </c>
      <c r="VTB23" s="30">
        <f t="shared" si="240"/>
        <v>510551</v>
      </c>
      <c r="VTC23" s="30">
        <f t="shared" si="240"/>
        <v>510581</v>
      </c>
      <c r="VTD23" s="30">
        <f t="shared" si="240"/>
        <v>510612</v>
      </c>
      <c r="VTE23" s="30">
        <f t="shared" si="240"/>
        <v>510643</v>
      </c>
      <c r="VTF23" s="30">
        <f t="shared" si="240"/>
        <v>510671</v>
      </c>
      <c r="VTG23" s="30">
        <f t="shared" si="240"/>
        <v>510702</v>
      </c>
      <c r="VTH23" s="30">
        <f t="shared" si="240"/>
        <v>510732</v>
      </c>
      <c r="VTI23" s="30">
        <f t="shared" si="240"/>
        <v>510763</v>
      </c>
      <c r="VTJ23" s="30">
        <f t="shared" si="240"/>
        <v>510793</v>
      </c>
      <c r="VTK23" s="30">
        <f t="shared" si="240"/>
        <v>510824</v>
      </c>
      <c r="VTL23" s="30">
        <f t="shared" si="240"/>
        <v>510855</v>
      </c>
      <c r="VTM23" s="30">
        <f t="shared" si="240"/>
        <v>510885</v>
      </c>
      <c r="VTN23" s="30">
        <f t="shared" si="240"/>
        <v>510916</v>
      </c>
      <c r="VTO23" s="30">
        <f t="shared" si="240"/>
        <v>510946</v>
      </c>
      <c r="VTP23" s="30">
        <f t="shared" si="240"/>
        <v>510977</v>
      </c>
      <c r="VTQ23" s="30">
        <f t="shared" si="240"/>
        <v>511008</v>
      </c>
      <c r="VTR23" s="30">
        <f t="shared" si="240"/>
        <v>511036</v>
      </c>
      <c r="VTS23" s="30">
        <f t="shared" si="240"/>
        <v>511067</v>
      </c>
      <c r="VTT23" s="30">
        <f t="shared" si="240"/>
        <v>511097</v>
      </c>
      <c r="VTU23" s="30">
        <f t="shared" si="240"/>
        <v>511128</v>
      </c>
      <c r="VTV23" s="30">
        <f t="shared" si="240"/>
        <v>511158</v>
      </c>
      <c r="VTW23" s="30">
        <f t="shared" si="240"/>
        <v>511189</v>
      </c>
      <c r="VTX23" s="30">
        <f t="shared" si="240"/>
        <v>511220</v>
      </c>
      <c r="VTY23" s="30">
        <f t="shared" si="240"/>
        <v>511250</v>
      </c>
      <c r="VTZ23" s="30">
        <f t="shared" si="240"/>
        <v>511281</v>
      </c>
      <c r="VUA23" s="30">
        <f t="shared" si="240"/>
        <v>511311</v>
      </c>
      <c r="VUB23" s="30">
        <f t="shared" si="240"/>
        <v>511342</v>
      </c>
      <c r="VUC23" s="30">
        <f t="shared" si="240"/>
        <v>511373</v>
      </c>
      <c r="VUD23" s="30">
        <f t="shared" si="240"/>
        <v>511401</v>
      </c>
      <c r="VUE23" s="30">
        <f t="shared" si="240"/>
        <v>511432</v>
      </c>
      <c r="VUF23" s="30">
        <f t="shared" si="240"/>
        <v>511462</v>
      </c>
      <c r="VUG23" s="30">
        <f t="shared" si="240"/>
        <v>511493</v>
      </c>
      <c r="VUH23" s="30">
        <f t="shared" si="240"/>
        <v>511523</v>
      </c>
      <c r="VUI23" s="30">
        <f t="shared" si="240"/>
        <v>511554</v>
      </c>
      <c r="VUJ23" s="30">
        <f t="shared" ref="VUJ23:VWU23" si="241">EDATE(VUI23,1)</f>
        <v>511585</v>
      </c>
      <c r="VUK23" s="30">
        <f t="shared" si="241"/>
        <v>511615</v>
      </c>
      <c r="VUL23" s="30">
        <f t="shared" si="241"/>
        <v>511646</v>
      </c>
      <c r="VUM23" s="30">
        <f t="shared" si="241"/>
        <v>511676</v>
      </c>
      <c r="VUN23" s="30">
        <f t="shared" si="241"/>
        <v>511707</v>
      </c>
      <c r="VUO23" s="30">
        <f t="shared" si="241"/>
        <v>511738</v>
      </c>
      <c r="VUP23" s="30">
        <f t="shared" si="241"/>
        <v>511766</v>
      </c>
      <c r="VUQ23" s="30">
        <f t="shared" si="241"/>
        <v>511797</v>
      </c>
      <c r="VUR23" s="30">
        <f t="shared" si="241"/>
        <v>511827</v>
      </c>
      <c r="VUS23" s="30">
        <f t="shared" si="241"/>
        <v>511858</v>
      </c>
      <c r="VUT23" s="30">
        <f t="shared" si="241"/>
        <v>511888</v>
      </c>
      <c r="VUU23" s="30">
        <f t="shared" si="241"/>
        <v>511919</v>
      </c>
      <c r="VUV23" s="30">
        <f t="shared" si="241"/>
        <v>511950</v>
      </c>
      <c r="VUW23" s="30">
        <f t="shared" si="241"/>
        <v>511980</v>
      </c>
      <c r="VUX23" s="30">
        <f t="shared" si="241"/>
        <v>512011</v>
      </c>
      <c r="VUY23" s="30">
        <f t="shared" si="241"/>
        <v>512041</v>
      </c>
      <c r="VUZ23" s="30">
        <f t="shared" si="241"/>
        <v>512072</v>
      </c>
      <c r="VVA23" s="30">
        <f t="shared" si="241"/>
        <v>512103</v>
      </c>
      <c r="VVB23" s="30">
        <f t="shared" si="241"/>
        <v>512131</v>
      </c>
      <c r="VVC23" s="30">
        <f t="shared" si="241"/>
        <v>512162</v>
      </c>
      <c r="VVD23" s="30">
        <f t="shared" si="241"/>
        <v>512192</v>
      </c>
      <c r="VVE23" s="30">
        <f t="shared" si="241"/>
        <v>512223</v>
      </c>
      <c r="VVF23" s="30">
        <f t="shared" si="241"/>
        <v>512253</v>
      </c>
      <c r="VVG23" s="30">
        <f t="shared" si="241"/>
        <v>512284</v>
      </c>
      <c r="VVH23" s="30">
        <f t="shared" si="241"/>
        <v>512315</v>
      </c>
      <c r="VVI23" s="30">
        <f t="shared" si="241"/>
        <v>512345</v>
      </c>
      <c r="VVJ23" s="30">
        <f t="shared" si="241"/>
        <v>512376</v>
      </c>
      <c r="VVK23" s="30">
        <f t="shared" si="241"/>
        <v>512406</v>
      </c>
      <c r="VVL23" s="30">
        <f t="shared" si="241"/>
        <v>512437</v>
      </c>
      <c r="VVM23" s="30">
        <f t="shared" si="241"/>
        <v>512468</v>
      </c>
      <c r="VVN23" s="30">
        <f t="shared" si="241"/>
        <v>512496</v>
      </c>
      <c r="VVO23" s="30">
        <f t="shared" si="241"/>
        <v>512527</v>
      </c>
      <c r="VVP23" s="30">
        <f t="shared" si="241"/>
        <v>512557</v>
      </c>
      <c r="VVQ23" s="30">
        <f t="shared" si="241"/>
        <v>512588</v>
      </c>
      <c r="VVR23" s="30">
        <f t="shared" si="241"/>
        <v>512618</v>
      </c>
      <c r="VVS23" s="30">
        <f t="shared" si="241"/>
        <v>512649</v>
      </c>
      <c r="VVT23" s="30">
        <f t="shared" si="241"/>
        <v>512680</v>
      </c>
      <c r="VVU23" s="30">
        <f t="shared" si="241"/>
        <v>512710</v>
      </c>
      <c r="VVV23" s="30">
        <f t="shared" si="241"/>
        <v>512741</v>
      </c>
      <c r="VVW23" s="30">
        <f t="shared" si="241"/>
        <v>512771</v>
      </c>
      <c r="VVX23" s="30">
        <f t="shared" si="241"/>
        <v>512802</v>
      </c>
      <c r="VVY23" s="30">
        <f t="shared" si="241"/>
        <v>512833</v>
      </c>
      <c r="VVZ23" s="30">
        <f t="shared" si="241"/>
        <v>512862</v>
      </c>
      <c r="VWA23" s="30">
        <f t="shared" si="241"/>
        <v>512893</v>
      </c>
      <c r="VWB23" s="30">
        <f t="shared" si="241"/>
        <v>512923</v>
      </c>
      <c r="VWC23" s="30">
        <f t="shared" si="241"/>
        <v>512954</v>
      </c>
      <c r="VWD23" s="30">
        <f t="shared" si="241"/>
        <v>512984</v>
      </c>
      <c r="VWE23" s="30">
        <f t="shared" si="241"/>
        <v>513015</v>
      </c>
      <c r="VWF23" s="30">
        <f t="shared" si="241"/>
        <v>513046</v>
      </c>
      <c r="VWG23" s="30">
        <f t="shared" si="241"/>
        <v>513076</v>
      </c>
      <c r="VWH23" s="30">
        <f t="shared" si="241"/>
        <v>513107</v>
      </c>
      <c r="VWI23" s="30">
        <f t="shared" si="241"/>
        <v>513137</v>
      </c>
      <c r="VWJ23" s="30">
        <f t="shared" si="241"/>
        <v>513168</v>
      </c>
      <c r="VWK23" s="30">
        <f t="shared" si="241"/>
        <v>513199</v>
      </c>
      <c r="VWL23" s="30">
        <f t="shared" si="241"/>
        <v>513227</v>
      </c>
      <c r="VWM23" s="30">
        <f t="shared" si="241"/>
        <v>513258</v>
      </c>
      <c r="VWN23" s="30">
        <f t="shared" si="241"/>
        <v>513288</v>
      </c>
      <c r="VWO23" s="30">
        <f t="shared" si="241"/>
        <v>513319</v>
      </c>
      <c r="VWP23" s="30">
        <f t="shared" si="241"/>
        <v>513349</v>
      </c>
      <c r="VWQ23" s="30">
        <f t="shared" si="241"/>
        <v>513380</v>
      </c>
      <c r="VWR23" s="30">
        <f t="shared" si="241"/>
        <v>513411</v>
      </c>
      <c r="VWS23" s="30">
        <f t="shared" si="241"/>
        <v>513441</v>
      </c>
      <c r="VWT23" s="30">
        <f t="shared" si="241"/>
        <v>513472</v>
      </c>
      <c r="VWU23" s="30">
        <f t="shared" si="241"/>
        <v>513502</v>
      </c>
      <c r="VWV23" s="30">
        <f t="shared" ref="VWV23:VZG23" si="242">EDATE(VWU23,1)</f>
        <v>513533</v>
      </c>
      <c r="VWW23" s="30">
        <f t="shared" si="242"/>
        <v>513564</v>
      </c>
      <c r="VWX23" s="30">
        <f t="shared" si="242"/>
        <v>513592</v>
      </c>
      <c r="VWY23" s="30">
        <f t="shared" si="242"/>
        <v>513623</v>
      </c>
      <c r="VWZ23" s="30">
        <f t="shared" si="242"/>
        <v>513653</v>
      </c>
      <c r="VXA23" s="30">
        <f t="shared" si="242"/>
        <v>513684</v>
      </c>
      <c r="VXB23" s="30">
        <f t="shared" si="242"/>
        <v>513714</v>
      </c>
      <c r="VXC23" s="30">
        <f t="shared" si="242"/>
        <v>513745</v>
      </c>
      <c r="VXD23" s="30">
        <f t="shared" si="242"/>
        <v>513776</v>
      </c>
      <c r="VXE23" s="30">
        <f t="shared" si="242"/>
        <v>513806</v>
      </c>
      <c r="VXF23" s="30">
        <f t="shared" si="242"/>
        <v>513837</v>
      </c>
      <c r="VXG23" s="30">
        <f t="shared" si="242"/>
        <v>513867</v>
      </c>
      <c r="VXH23" s="30">
        <f t="shared" si="242"/>
        <v>513898</v>
      </c>
      <c r="VXI23" s="30">
        <f t="shared" si="242"/>
        <v>513929</v>
      </c>
      <c r="VXJ23" s="30">
        <f t="shared" si="242"/>
        <v>513957</v>
      </c>
      <c r="VXK23" s="30">
        <f t="shared" si="242"/>
        <v>513988</v>
      </c>
      <c r="VXL23" s="30">
        <f t="shared" si="242"/>
        <v>514018</v>
      </c>
      <c r="VXM23" s="30">
        <f t="shared" si="242"/>
        <v>514049</v>
      </c>
      <c r="VXN23" s="30">
        <f t="shared" si="242"/>
        <v>514079</v>
      </c>
      <c r="VXO23" s="30">
        <f t="shared" si="242"/>
        <v>514110</v>
      </c>
      <c r="VXP23" s="30">
        <f t="shared" si="242"/>
        <v>514141</v>
      </c>
      <c r="VXQ23" s="30">
        <f t="shared" si="242"/>
        <v>514171</v>
      </c>
      <c r="VXR23" s="30">
        <f t="shared" si="242"/>
        <v>514202</v>
      </c>
      <c r="VXS23" s="30">
        <f t="shared" si="242"/>
        <v>514232</v>
      </c>
      <c r="VXT23" s="30">
        <f t="shared" si="242"/>
        <v>514263</v>
      </c>
      <c r="VXU23" s="30">
        <f t="shared" si="242"/>
        <v>514294</v>
      </c>
      <c r="VXV23" s="30">
        <f t="shared" si="242"/>
        <v>514323</v>
      </c>
      <c r="VXW23" s="30">
        <f t="shared" si="242"/>
        <v>514354</v>
      </c>
      <c r="VXX23" s="30">
        <f t="shared" si="242"/>
        <v>514384</v>
      </c>
      <c r="VXY23" s="30">
        <f t="shared" si="242"/>
        <v>514415</v>
      </c>
      <c r="VXZ23" s="30">
        <f t="shared" si="242"/>
        <v>514445</v>
      </c>
      <c r="VYA23" s="30">
        <f t="shared" si="242"/>
        <v>514476</v>
      </c>
      <c r="VYB23" s="30">
        <f t="shared" si="242"/>
        <v>514507</v>
      </c>
      <c r="VYC23" s="30">
        <f t="shared" si="242"/>
        <v>514537</v>
      </c>
      <c r="VYD23" s="30">
        <f t="shared" si="242"/>
        <v>514568</v>
      </c>
      <c r="VYE23" s="30">
        <f t="shared" si="242"/>
        <v>514598</v>
      </c>
      <c r="VYF23" s="30">
        <f t="shared" si="242"/>
        <v>514629</v>
      </c>
      <c r="VYG23" s="30">
        <f t="shared" si="242"/>
        <v>514660</v>
      </c>
      <c r="VYH23" s="30">
        <f t="shared" si="242"/>
        <v>514688</v>
      </c>
      <c r="VYI23" s="30">
        <f t="shared" si="242"/>
        <v>514719</v>
      </c>
      <c r="VYJ23" s="30">
        <f t="shared" si="242"/>
        <v>514749</v>
      </c>
      <c r="VYK23" s="30">
        <f t="shared" si="242"/>
        <v>514780</v>
      </c>
      <c r="VYL23" s="30">
        <f t="shared" si="242"/>
        <v>514810</v>
      </c>
      <c r="VYM23" s="30">
        <f t="shared" si="242"/>
        <v>514841</v>
      </c>
      <c r="VYN23" s="30">
        <f t="shared" si="242"/>
        <v>514872</v>
      </c>
      <c r="VYO23" s="30">
        <f t="shared" si="242"/>
        <v>514902</v>
      </c>
      <c r="VYP23" s="30">
        <f t="shared" si="242"/>
        <v>514933</v>
      </c>
      <c r="VYQ23" s="30">
        <f t="shared" si="242"/>
        <v>514963</v>
      </c>
      <c r="VYR23" s="30">
        <f t="shared" si="242"/>
        <v>514994</v>
      </c>
      <c r="VYS23" s="30">
        <f t="shared" si="242"/>
        <v>515025</v>
      </c>
      <c r="VYT23" s="30">
        <f t="shared" si="242"/>
        <v>515053</v>
      </c>
      <c r="VYU23" s="30">
        <f t="shared" si="242"/>
        <v>515084</v>
      </c>
      <c r="VYV23" s="30">
        <f t="shared" si="242"/>
        <v>515114</v>
      </c>
      <c r="VYW23" s="30">
        <f t="shared" si="242"/>
        <v>515145</v>
      </c>
      <c r="VYX23" s="30">
        <f t="shared" si="242"/>
        <v>515175</v>
      </c>
      <c r="VYY23" s="30">
        <f t="shared" si="242"/>
        <v>515206</v>
      </c>
      <c r="VYZ23" s="30">
        <f t="shared" si="242"/>
        <v>515237</v>
      </c>
      <c r="VZA23" s="30">
        <f t="shared" si="242"/>
        <v>515267</v>
      </c>
      <c r="VZB23" s="30">
        <f t="shared" si="242"/>
        <v>515298</v>
      </c>
      <c r="VZC23" s="30">
        <f t="shared" si="242"/>
        <v>515328</v>
      </c>
      <c r="VZD23" s="30">
        <f t="shared" si="242"/>
        <v>515359</v>
      </c>
      <c r="VZE23" s="30">
        <f t="shared" si="242"/>
        <v>515390</v>
      </c>
      <c r="VZF23" s="30">
        <f t="shared" si="242"/>
        <v>515418</v>
      </c>
      <c r="VZG23" s="30">
        <f t="shared" si="242"/>
        <v>515449</v>
      </c>
      <c r="VZH23" s="30">
        <f t="shared" ref="VZH23:WBS23" si="243">EDATE(VZG23,1)</f>
        <v>515479</v>
      </c>
      <c r="VZI23" s="30">
        <f t="shared" si="243"/>
        <v>515510</v>
      </c>
      <c r="VZJ23" s="30">
        <f t="shared" si="243"/>
        <v>515540</v>
      </c>
      <c r="VZK23" s="30">
        <f t="shared" si="243"/>
        <v>515571</v>
      </c>
      <c r="VZL23" s="30">
        <f t="shared" si="243"/>
        <v>515602</v>
      </c>
      <c r="VZM23" s="30">
        <f t="shared" si="243"/>
        <v>515632</v>
      </c>
      <c r="VZN23" s="30">
        <f t="shared" si="243"/>
        <v>515663</v>
      </c>
      <c r="VZO23" s="30">
        <f t="shared" si="243"/>
        <v>515693</v>
      </c>
      <c r="VZP23" s="30">
        <f t="shared" si="243"/>
        <v>515724</v>
      </c>
      <c r="VZQ23" s="30">
        <f t="shared" si="243"/>
        <v>515755</v>
      </c>
      <c r="VZR23" s="30">
        <f t="shared" si="243"/>
        <v>515784</v>
      </c>
      <c r="VZS23" s="30">
        <f t="shared" si="243"/>
        <v>515815</v>
      </c>
      <c r="VZT23" s="30">
        <f t="shared" si="243"/>
        <v>515845</v>
      </c>
      <c r="VZU23" s="30">
        <f t="shared" si="243"/>
        <v>515876</v>
      </c>
      <c r="VZV23" s="30">
        <f t="shared" si="243"/>
        <v>515906</v>
      </c>
      <c r="VZW23" s="30">
        <f t="shared" si="243"/>
        <v>515937</v>
      </c>
      <c r="VZX23" s="30">
        <f t="shared" si="243"/>
        <v>515968</v>
      </c>
      <c r="VZY23" s="30">
        <f t="shared" si="243"/>
        <v>515998</v>
      </c>
      <c r="VZZ23" s="30">
        <f t="shared" si="243"/>
        <v>516029</v>
      </c>
      <c r="WAA23" s="30">
        <f t="shared" si="243"/>
        <v>516059</v>
      </c>
      <c r="WAB23" s="30">
        <f t="shared" si="243"/>
        <v>516090</v>
      </c>
      <c r="WAC23" s="30">
        <f t="shared" si="243"/>
        <v>516121</v>
      </c>
      <c r="WAD23" s="30">
        <f t="shared" si="243"/>
        <v>516149</v>
      </c>
      <c r="WAE23" s="30">
        <f t="shared" si="243"/>
        <v>516180</v>
      </c>
      <c r="WAF23" s="30">
        <f t="shared" si="243"/>
        <v>516210</v>
      </c>
      <c r="WAG23" s="30">
        <f t="shared" si="243"/>
        <v>516241</v>
      </c>
      <c r="WAH23" s="30">
        <f t="shared" si="243"/>
        <v>516271</v>
      </c>
      <c r="WAI23" s="30">
        <f t="shared" si="243"/>
        <v>516302</v>
      </c>
      <c r="WAJ23" s="30">
        <f t="shared" si="243"/>
        <v>516333</v>
      </c>
      <c r="WAK23" s="30">
        <f t="shared" si="243"/>
        <v>516363</v>
      </c>
      <c r="WAL23" s="30">
        <f t="shared" si="243"/>
        <v>516394</v>
      </c>
      <c r="WAM23" s="30">
        <f t="shared" si="243"/>
        <v>516424</v>
      </c>
      <c r="WAN23" s="30">
        <f t="shared" si="243"/>
        <v>516455</v>
      </c>
      <c r="WAO23" s="30">
        <f t="shared" si="243"/>
        <v>516486</v>
      </c>
      <c r="WAP23" s="30">
        <f t="shared" si="243"/>
        <v>516514</v>
      </c>
      <c r="WAQ23" s="30">
        <f t="shared" si="243"/>
        <v>516545</v>
      </c>
      <c r="WAR23" s="30">
        <f t="shared" si="243"/>
        <v>516575</v>
      </c>
      <c r="WAS23" s="30">
        <f t="shared" si="243"/>
        <v>516606</v>
      </c>
      <c r="WAT23" s="30">
        <f t="shared" si="243"/>
        <v>516636</v>
      </c>
      <c r="WAU23" s="30">
        <f t="shared" si="243"/>
        <v>516667</v>
      </c>
      <c r="WAV23" s="30">
        <f t="shared" si="243"/>
        <v>516698</v>
      </c>
      <c r="WAW23" s="30">
        <f t="shared" si="243"/>
        <v>516728</v>
      </c>
      <c r="WAX23" s="30">
        <f t="shared" si="243"/>
        <v>516759</v>
      </c>
      <c r="WAY23" s="30">
        <f t="shared" si="243"/>
        <v>516789</v>
      </c>
      <c r="WAZ23" s="30">
        <f t="shared" si="243"/>
        <v>516820</v>
      </c>
      <c r="WBA23" s="30">
        <f t="shared" si="243"/>
        <v>516851</v>
      </c>
      <c r="WBB23" s="30">
        <f t="shared" si="243"/>
        <v>516879</v>
      </c>
      <c r="WBC23" s="30">
        <f t="shared" si="243"/>
        <v>516910</v>
      </c>
      <c r="WBD23" s="30">
        <f t="shared" si="243"/>
        <v>516940</v>
      </c>
      <c r="WBE23" s="30">
        <f t="shared" si="243"/>
        <v>516971</v>
      </c>
      <c r="WBF23" s="30">
        <f t="shared" si="243"/>
        <v>517001</v>
      </c>
      <c r="WBG23" s="30">
        <f t="shared" si="243"/>
        <v>517032</v>
      </c>
      <c r="WBH23" s="30">
        <f t="shared" si="243"/>
        <v>517063</v>
      </c>
      <c r="WBI23" s="30">
        <f t="shared" si="243"/>
        <v>517093</v>
      </c>
      <c r="WBJ23" s="30">
        <f t="shared" si="243"/>
        <v>517124</v>
      </c>
      <c r="WBK23" s="30">
        <f t="shared" si="243"/>
        <v>517154</v>
      </c>
      <c r="WBL23" s="30">
        <f t="shared" si="243"/>
        <v>517185</v>
      </c>
      <c r="WBM23" s="30">
        <f t="shared" si="243"/>
        <v>517216</v>
      </c>
      <c r="WBN23" s="30">
        <f t="shared" si="243"/>
        <v>517245</v>
      </c>
      <c r="WBO23" s="30">
        <f t="shared" si="243"/>
        <v>517276</v>
      </c>
      <c r="WBP23" s="30">
        <f t="shared" si="243"/>
        <v>517306</v>
      </c>
      <c r="WBQ23" s="30">
        <f t="shared" si="243"/>
        <v>517337</v>
      </c>
      <c r="WBR23" s="30">
        <f t="shared" si="243"/>
        <v>517367</v>
      </c>
      <c r="WBS23" s="30">
        <f t="shared" si="243"/>
        <v>517398</v>
      </c>
      <c r="WBT23" s="30">
        <f t="shared" ref="WBT23:WEE23" si="244">EDATE(WBS23,1)</f>
        <v>517429</v>
      </c>
      <c r="WBU23" s="30">
        <f t="shared" si="244"/>
        <v>517459</v>
      </c>
      <c r="WBV23" s="30">
        <f t="shared" si="244"/>
        <v>517490</v>
      </c>
      <c r="WBW23" s="30">
        <f t="shared" si="244"/>
        <v>517520</v>
      </c>
      <c r="WBX23" s="30">
        <f t="shared" si="244"/>
        <v>517551</v>
      </c>
      <c r="WBY23" s="30">
        <f t="shared" si="244"/>
        <v>517582</v>
      </c>
      <c r="WBZ23" s="30">
        <f t="shared" si="244"/>
        <v>517610</v>
      </c>
      <c r="WCA23" s="30">
        <f t="shared" si="244"/>
        <v>517641</v>
      </c>
      <c r="WCB23" s="30">
        <f t="shared" si="244"/>
        <v>517671</v>
      </c>
      <c r="WCC23" s="30">
        <f t="shared" si="244"/>
        <v>517702</v>
      </c>
      <c r="WCD23" s="30">
        <f t="shared" si="244"/>
        <v>517732</v>
      </c>
      <c r="WCE23" s="30">
        <f t="shared" si="244"/>
        <v>517763</v>
      </c>
      <c r="WCF23" s="30">
        <f t="shared" si="244"/>
        <v>517794</v>
      </c>
      <c r="WCG23" s="30">
        <f t="shared" si="244"/>
        <v>517824</v>
      </c>
      <c r="WCH23" s="30">
        <f t="shared" si="244"/>
        <v>517855</v>
      </c>
      <c r="WCI23" s="30">
        <f t="shared" si="244"/>
        <v>517885</v>
      </c>
      <c r="WCJ23" s="30">
        <f t="shared" si="244"/>
        <v>517916</v>
      </c>
      <c r="WCK23" s="30">
        <f t="shared" si="244"/>
        <v>517947</v>
      </c>
      <c r="WCL23" s="30">
        <f t="shared" si="244"/>
        <v>517975</v>
      </c>
      <c r="WCM23" s="30">
        <f t="shared" si="244"/>
        <v>518006</v>
      </c>
      <c r="WCN23" s="30">
        <f t="shared" si="244"/>
        <v>518036</v>
      </c>
      <c r="WCO23" s="30">
        <f t="shared" si="244"/>
        <v>518067</v>
      </c>
      <c r="WCP23" s="30">
        <f t="shared" si="244"/>
        <v>518097</v>
      </c>
      <c r="WCQ23" s="30">
        <f t="shared" si="244"/>
        <v>518128</v>
      </c>
      <c r="WCR23" s="30">
        <f t="shared" si="244"/>
        <v>518159</v>
      </c>
      <c r="WCS23" s="30">
        <f t="shared" si="244"/>
        <v>518189</v>
      </c>
      <c r="WCT23" s="30">
        <f t="shared" si="244"/>
        <v>518220</v>
      </c>
      <c r="WCU23" s="30">
        <f t="shared" si="244"/>
        <v>518250</v>
      </c>
      <c r="WCV23" s="30">
        <f t="shared" si="244"/>
        <v>518281</v>
      </c>
      <c r="WCW23" s="30">
        <f t="shared" si="244"/>
        <v>518312</v>
      </c>
      <c r="WCX23" s="30">
        <f t="shared" si="244"/>
        <v>518340</v>
      </c>
      <c r="WCY23" s="30">
        <f t="shared" si="244"/>
        <v>518371</v>
      </c>
      <c r="WCZ23" s="30">
        <f t="shared" si="244"/>
        <v>518401</v>
      </c>
      <c r="WDA23" s="30">
        <f t="shared" si="244"/>
        <v>518432</v>
      </c>
      <c r="WDB23" s="30">
        <f t="shared" si="244"/>
        <v>518462</v>
      </c>
      <c r="WDC23" s="30">
        <f t="shared" si="244"/>
        <v>518493</v>
      </c>
      <c r="WDD23" s="30">
        <f t="shared" si="244"/>
        <v>518524</v>
      </c>
      <c r="WDE23" s="30">
        <f t="shared" si="244"/>
        <v>518554</v>
      </c>
      <c r="WDF23" s="30">
        <f t="shared" si="244"/>
        <v>518585</v>
      </c>
      <c r="WDG23" s="30">
        <f t="shared" si="244"/>
        <v>518615</v>
      </c>
      <c r="WDH23" s="30">
        <f t="shared" si="244"/>
        <v>518646</v>
      </c>
      <c r="WDI23" s="30">
        <f t="shared" si="244"/>
        <v>518677</v>
      </c>
      <c r="WDJ23" s="30">
        <f t="shared" si="244"/>
        <v>518706</v>
      </c>
      <c r="WDK23" s="30">
        <f t="shared" si="244"/>
        <v>518737</v>
      </c>
      <c r="WDL23" s="30">
        <f t="shared" si="244"/>
        <v>518767</v>
      </c>
      <c r="WDM23" s="30">
        <f t="shared" si="244"/>
        <v>518798</v>
      </c>
      <c r="WDN23" s="30">
        <f t="shared" si="244"/>
        <v>518828</v>
      </c>
      <c r="WDO23" s="30">
        <f t="shared" si="244"/>
        <v>518859</v>
      </c>
      <c r="WDP23" s="30">
        <f t="shared" si="244"/>
        <v>518890</v>
      </c>
      <c r="WDQ23" s="30">
        <f t="shared" si="244"/>
        <v>518920</v>
      </c>
      <c r="WDR23" s="30">
        <f t="shared" si="244"/>
        <v>518951</v>
      </c>
      <c r="WDS23" s="30">
        <f t="shared" si="244"/>
        <v>518981</v>
      </c>
      <c r="WDT23" s="30">
        <f t="shared" si="244"/>
        <v>519012</v>
      </c>
      <c r="WDU23" s="30">
        <f t="shared" si="244"/>
        <v>519043</v>
      </c>
      <c r="WDV23" s="30">
        <f t="shared" si="244"/>
        <v>519071</v>
      </c>
      <c r="WDW23" s="30">
        <f t="shared" si="244"/>
        <v>519102</v>
      </c>
      <c r="WDX23" s="30">
        <f t="shared" si="244"/>
        <v>519132</v>
      </c>
      <c r="WDY23" s="30">
        <f t="shared" si="244"/>
        <v>519163</v>
      </c>
      <c r="WDZ23" s="30">
        <f t="shared" si="244"/>
        <v>519193</v>
      </c>
      <c r="WEA23" s="30">
        <f t="shared" si="244"/>
        <v>519224</v>
      </c>
      <c r="WEB23" s="30">
        <f t="shared" si="244"/>
        <v>519255</v>
      </c>
      <c r="WEC23" s="30">
        <f t="shared" si="244"/>
        <v>519285</v>
      </c>
      <c r="WED23" s="30">
        <f t="shared" si="244"/>
        <v>519316</v>
      </c>
      <c r="WEE23" s="30">
        <f t="shared" si="244"/>
        <v>519346</v>
      </c>
      <c r="WEF23" s="30">
        <f t="shared" ref="WEF23:WGQ23" si="245">EDATE(WEE23,1)</f>
        <v>519377</v>
      </c>
      <c r="WEG23" s="30">
        <f t="shared" si="245"/>
        <v>519408</v>
      </c>
      <c r="WEH23" s="30">
        <f t="shared" si="245"/>
        <v>519436</v>
      </c>
      <c r="WEI23" s="30">
        <f t="shared" si="245"/>
        <v>519467</v>
      </c>
      <c r="WEJ23" s="30">
        <f t="shared" si="245"/>
        <v>519497</v>
      </c>
      <c r="WEK23" s="30">
        <f t="shared" si="245"/>
        <v>519528</v>
      </c>
      <c r="WEL23" s="30">
        <f t="shared" si="245"/>
        <v>519558</v>
      </c>
      <c r="WEM23" s="30">
        <f t="shared" si="245"/>
        <v>519589</v>
      </c>
      <c r="WEN23" s="30">
        <f t="shared" si="245"/>
        <v>519620</v>
      </c>
      <c r="WEO23" s="30">
        <f t="shared" si="245"/>
        <v>519650</v>
      </c>
      <c r="WEP23" s="30">
        <f t="shared" si="245"/>
        <v>519681</v>
      </c>
      <c r="WEQ23" s="30">
        <f t="shared" si="245"/>
        <v>519711</v>
      </c>
      <c r="WER23" s="30">
        <f t="shared" si="245"/>
        <v>519742</v>
      </c>
      <c r="WES23" s="30">
        <f t="shared" si="245"/>
        <v>519773</v>
      </c>
      <c r="WET23" s="30">
        <f t="shared" si="245"/>
        <v>519801</v>
      </c>
      <c r="WEU23" s="30">
        <f t="shared" si="245"/>
        <v>519832</v>
      </c>
      <c r="WEV23" s="30">
        <f t="shared" si="245"/>
        <v>519862</v>
      </c>
      <c r="WEW23" s="30">
        <f t="shared" si="245"/>
        <v>519893</v>
      </c>
      <c r="WEX23" s="30">
        <f t="shared" si="245"/>
        <v>519923</v>
      </c>
      <c r="WEY23" s="30">
        <f t="shared" si="245"/>
        <v>519954</v>
      </c>
      <c r="WEZ23" s="30">
        <f t="shared" si="245"/>
        <v>519985</v>
      </c>
      <c r="WFA23" s="30">
        <f t="shared" si="245"/>
        <v>520015</v>
      </c>
      <c r="WFB23" s="30">
        <f t="shared" si="245"/>
        <v>520046</v>
      </c>
      <c r="WFC23" s="30">
        <f t="shared" si="245"/>
        <v>520076</v>
      </c>
      <c r="WFD23" s="30">
        <f t="shared" si="245"/>
        <v>520107</v>
      </c>
      <c r="WFE23" s="30">
        <f t="shared" si="245"/>
        <v>520138</v>
      </c>
      <c r="WFF23" s="30">
        <f t="shared" si="245"/>
        <v>520167</v>
      </c>
      <c r="WFG23" s="30">
        <f t="shared" si="245"/>
        <v>520198</v>
      </c>
      <c r="WFH23" s="30">
        <f t="shared" si="245"/>
        <v>520228</v>
      </c>
      <c r="WFI23" s="30">
        <f t="shared" si="245"/>
        <v>520259</v>
      </c>
      <c r="WFJ23" s="30">
        <f t="shared" si="245"/>
        <v>520289</v>
      </c>
      <c r="WFK23" s="30">
        <f t="shared" si="245"/>
        <v>520320</v>
      </c>
      <c r="WFL23" s="30">
        <f t="shared" si="245"/>
        <v>520351</v>
      </c>
      <c r="WFM23" s="30">
        <f t="shared" si="245"/>
        <v>520381</v>
      </c>
      <c r="WFN23" s="30">
        <f t="shared" si="245"/>
        <v>520412</v>
      </c>
      <c r="WFO23" s="30">
        <f t="shared" si="245"/>
        <v>520442</v>
      </c>
      <c r="WFP23" s="30">
        <f t="shared" si="245"/>
        <v>520473</v>
      </c>
      <c r="WFQ23" s="30">
        <f t="shared" si="245"/>
        <v>520504</v>
      </c>
      <c r="WFR23" s="30">
        <f t="shared" si="245"/>
        <v>520532</v>
      </c>
      <c r="WFS23" s="30">
        <f t="shared" si="245"/>
        <v>520563</v>
      </c>
      <c r="WFT23" s="30">
        <f t="shared" si="245"/>
        <v>520593</v>
      </c>
      <c r="WFU23" s="30">
        <f t="shared" si="245"/>
        <v>520624</v>
      </c>
      <c r="WFV23" s="30">
        <f t="shared" si="245"/>
        <v>520654</v>
      </c>
      <c r="WFW23" s="30">
        <f t="shared" si="245"/>
        <v>520685</v>
      </c>
      <c r="WFX23" s="30">
        <f t="shared" si="245"/>
        <v>520716</v>
      </c>
      <c r="WFY23" s="30">
        <f t="shared" si="245"/>
        <v>520746</v>
      </c>
      <c r="WFZ23" s="30">
        <f t="shared" si="245"/>
        <v>520777</v>
      </c>
      <c r="WGA23" s="30">
        <f t="shared" si="245"/>
        <v>520807</v>
      </c>
      <c r="WGB23" s="30">
        <f t="shared" si="245"/>
        <v>520838</v>
      </c>
      <c r="WGC23" s="30">
        <f t="shared" si="245"/>
        <v>520869</v>
      </c>
      <c r="WGD23" s="30">
        <f t="shared" si="245"/>
        <v>520897</v>
      </c>
      <c r="WGE23" s="30">
        <f t="shared" si="245"/>
        <v>520928</v>
      </c>
      <c r="WGF23" s="30">
        <f t="shared" si="245"/>
        <v>520958</v>
      </c>
      <c r="WGG23" s="30">
        <f t="shared" si="245"/>
        <v>520989</v>
      </c>
      <c r="WGH23" s="30">
        <f t="shared" si="245"/>
        <v>521019</v>
      </c>
      <c r="WGI23" s="30">
        <f t="shared" si="245"/>
        <v>521050</v>
      </c>
      <c r="WGJ23" s="30">
        <f t="shared" si="245"/>
        <v>521081</v>
      </c>
      <c r="WGK23" s="30">
        <f t="shared" si="245"/>
        <v>521111</v>
      </c>
      <c r="WGL23" s="30">
        <f t="shared" si="245"/>
        <v>521142</v>
      </c>
      <c r="WGM23" s="30">
        <f t="shared" si="245"/>
        <v>521172</v>
      </c>
      <c r="WGN23" s="30">
        <f t="shared" si="245"/>
        <v>521203</v>
      </c>
      <c r="WGO23" s="30">
        <f t="shared" si="245"/>
        <v>521234</v>
      </c>
      <c r="WGP23" s="30">
        <f t="shared" si="245"/>
        <v>521262</v>
      </c>
      <c r="WGQ23" s="30">
        <f t="shared" si="245"/>
        <v>521293</v>
      </c>
      <c r="WGR23" s="30">
        <f t="shared" ref="WGR23:WJC23" si="246">EDATE(WGQ23,1)</f>
        <v>521323</v>
      </c>
      <c r="WGS23" s="30">
        <f t="shared" si="246"/>
        <v>521354</v>
      </c>
      <c r="WGT23" s="30">
        <f t="shared" si="246"/>
        <v>521384</v>
      </c>
      <c r="WGU23" s="30">
        <f t="shared" si="246"/>
        <v>521415</v>
      </c>
      <c r="WGV23" s="30">
        <f t="shared" si="246"/>
        <v>521446</v>
      </c>
      <c r="WGW23" s="30">
        <f t="shared" si="246"/>
        <v>521476</v>
      </c>
      <c r="WGX23" s="30">
        <f t="shared" si="246"/>
        <v>521507</v>
      </c>
      <c r="WGY23" s="30">
        <f t="shared" si="246"/>
        <v>521537</v>
      </c>
      <c r="WGZ23" s="30">
        <f t="shared" si="246"/>
        <v>521568</v>
      </c>
      <c r="WHA23" s="30">
        <f t="shared" si="246"/>
        <v>521599</v>
      </c>
      <c r="WHB23" s="30">
        <f t="shared" si="246"/>
        <v>521628</v>
      </c>
      <c r="WHC23" s="30">
        <f t="shared" si="246"/>
        <v>521659</v>
      </c>
      <c r="WHD23" s="30">
        <f t="shared" si="246"/>
        <v>521689</v>
      </c>
      <c r="WHE23" s="30">
        <f t="shared" si="246"/>
        <v>521720</v>
      </c>
      <c r="WHF23" s="30">
        <f t="shared" si="246"/>
        <v>521750</v>
      </c>
      <c r="WHG23" s="30">
        <f t="shared" si="246"/>
        <v>521781</v>
      </c>
      <c r="WHH23" s="30">
        <f t="shared" si="246"/>
        <v>521812</v>
      </c>
      <c r="WHI23" s="30">
        <f t="shared" si="246"/>
        <v>521842</v>
      </c>
      <c r="WHJ23" s="30">
        <f t="shared" si="246"/>
        <v>521873</v>
      </c>
      <c r="WHK23" s="30">
        <f t="shared" si="246"/>
        <v>521903</v>
      </c>
      <c r="WHL23" s="30">
        <f t="shared" si="246"/>
        <v>521934</v>
      </c>
      <c r="WHM23" s="30">
        <f t="shared" si="246"/>
        <v>521965</v>
      </c>
      <c r="WHN23" s="30">
        <f t="shared" si="246"/>
        <v>521993</v>
      </c>
      <c r="WHO23" s="30">
        <f t="shared" si="246"/>
        <v>522024</v>
      </c>
      <c r="WHP23" s="30">
        <f t="shared" si="246"/>
        <v>522054</v>
      </c>
      <c r="WHQ23" s="30">
        <f t="shared" si="246"/>
        <v>522085</v>
      </c>
      <c r="WHR23" s="30">
        <f t="shared" si="246"/>
        <v>522115</v>
      </c>
      <c r="WHS23" s="30">
        <f t="shared" si="246"/>
        <v>522146</v>
      </c>
      <c r="WHT23" s="30">
        <f t="shared" si="246"/>
        <v>522177</v>
      </c>
      <c r="WHU23" s="30">
        <f t="shared" si="246"/>
        <v>522207</v>
      </c>
      <c r="WHV23" s="30">
        <f t="shared" si="246"/>
        <v>522238</v>
      </c>
      <c r="WHW23" s="30">
        <f t="shared" si="246"/>
        <v>522268</v>
      </c>
      <c r="WHX23" s="30">
        <f t="shared" si="246"/>
        <v>522299</v>
      </c>
      <c r="WHY23" s="30">
        <f t="shared" si="246"/>
        <v>522330</v>
      </c>
      <c r="WHZ23" s="30">
        <f t="shared" si="246"/>
        <v>522358</v>
      </c>
      <c r="WIA23" s="30">
        <f t="shared" si="246"/>
        <v>522389</v>
      </c>
      <c r="WIB23" s="30">
        <f t="shared" si="246"/>
        <v>522419</v>
      </c>
      <c r="WIC23" s="30">
        <f t="shared" si="246"/>
        <v>522450</v>
      </c>
      <c r="WID23" s="30">
        <f t="shared" si="246"/>
        <v>522480</v>
      </c>
      <c r="WIE23" s="30">
        <f t="shared" si="246"/>
        <v>522511</v>
      </c>
      <c r="WIF23" s="30">
        <f t="shared" si="246"/>
        <v>522542</v>
      </c>
      <c r="WIG23" s="30">
        <f t="shared" si="246"/>
        <v>522572</v>
      </c>
      <c r="WIH23" s="30">
        <f t="shared" si="246"/>
        <v>522603</v>
      </c>
      <c r="WII23" s="30">
        <f t="shared" si="246"/>
        <v>522633</v>
      </c>
      <c r="WIJ23" s="30">
        <f t="shared" si="246"/>
        <v>522664</v>
      </c>
      <c r="WIK23" s="30">
        <f t="shared" si="246"/>
        <v>522695</v>
      </c>
      <c r="WIL23" s="30">
        <f t="shared" si="246"/>
        <v>522723</v>
      </c>
      <c r="WIM23" s="30">
        <f t="shared" si="246"/>
        <v>522754</v>
      </c>
      <c r="WIN23" s="30">
        <f t="shared" si="246"/>
        <v>522784</v>
      </c>
      <c r="WIO23" s="30">
        <f t="shared" si="246"/>
        <v>522815</v>
      </c>
      <c r="WIP23" s="30">
        <f t="shared" si="246"/>
        <v>522845</v>
      </c>
      <c r="WIQ23" s="30">
        <f t="shared" si="246"/>
        <v>522876</v>
      </c>
      <c r="WIR23" s="30">
        <f t="shared" si="246"/>
        <v>522907</v>
      </c>
      <c r="WIS23" s="30">
        <f t="shared" si="246"/>
        <v>522937</v>
      </c>
      <c r="WIT23" s="30">
        <f t="shared" si="246"/>
        <v>522968</v>
      </c>
      <c r="WIU23" s="30">
        <f t="shared" si="246"/>
        <v>522998</v>
      </c>
      <c r="WIV23" s="30">
        <f t="shared" si="246"/>
        <v>523029</v>
      </c>
      <c r="WIW23" s="30">
        <f t="shared" si="246"/>
        <v>523060</v>
      </c>
      <c r="WIX23" s="30">
        <f t="shared" si="246"/>
        <v>523089</v>
      </c>
      <c r="WIY23" s="30">
        <f t="shared" si="246"/>
        <v>523120</v>
      </c>
      <c r="WIZ23" s="30">
        <f t="shared" si="246"/>
        <v>523150</v>
      </c>
      <c r="WJA23" s="30">
        <f t="shared" si="246"/>
        <v>523181</v>
      </c>
      <c r="WJB23" s="30">
        <f t="shared" si="246"/>
        <v>523211</v>
      </c>
      <c r="WJC23" s="30">
        <f t="shared" si="246"/>
        <v>523242</v>
      </c>
      <c r="WJD23" s="30">
        <f t="shared" ref="WJD23:WLO23" si="247">EDATE(WJC23,1)</f>
        <v>523273</v>
      </c>
      <c r="WJE23" s="30">
        <f t="shared" si="247"/>
        <v>523303</v>
      </c>
      <c r="WJF23" s="30">
        <f t="shared" si="247"/>
        <v>523334</v>
      </c>
      <c r="WJG23" s="30">
        <f t="shared" si="247"/>
        <v>523364</v>
      </c>
      <c r="WJH23" s="30">
        <f t="shared" si="247"/>
        <v>523395</v>
      </c>
      <c r="WJI23" s="30">
        <f t="shared" si="247"/>
        <v>523426</v>
      </c>
      <c r="WJJ23" s="30">
        <f t="shared" si="247"/>
        <v>523454</v>
      </c>
      <c r="WJK23" s="30">
        <f t="shared" si="247"/>
        <v>523485</v>
      </c>
      <c r="WJL23" s="30">
        <f t="shared" si="247"/>
        <v>523515</v>
      </c>
      <c r="WJM23" s="30">
        <f t="shared" si="247"/>
        <v>523546</v>
      </c>
      <c r="WJN23" s="30">
        <f t="shared" si="247"/>
        <v>523576</v>
      </c>
      <c r="WJO23" s="30">
        <f t="shared" si="247"/>
        <v>523607</v>
      </c>
      <c r="WJP23" s="30">
        <f t="shared" si="247"/>
        <v>523638</v>
      </c>
      <c r="WJQ23" s="30">
        <f t="shared" si="247"/>
        <v>523668</v>
      </c>
      <c r="WJR23" s="30">
        <f t="shared" si="247"/>
        <v>523699</v>
      </c>
      <c r="WJS23" s="30">
        <f t="shared" si="247"/>
        <v>523729</v>
      </c>
      <c r="WJT23" s="30">
        <f t="shared" si="247"/>
        <v>523760</v>
      </c>
      <c r="WJU23" s="30">
        <f t="shared" si="247"/>
        <v>523791</v>
      </c>
      <c r="WJV23" s="30">
        <f t="shared" si="247"/>
        <v>523819</v>
      </c>
      <c r="WJW23" s="30">
        <f t="shared" si="247"/>
        <v>523850</v>
      </c>
      <c r="WJX23" s="30">
        <f t="shared" si="247"/>
        <v>523880</v>
      </c>
      <c r="WJY23" s="30">
        <f t="shared" si="247"/>
        <v>523911</v>
      </c>
      <c r="WJZ23" s="30">
        <f t="shared" si="247"/>
        <v>523941</v>
      </c>
      <c r="WKA23" s="30">
        <f t="shared" si="247"/>
        <v>523972</v>
      </c>
      <c r="WKB23" s="30">
        <f t="shared" si="247"/>
        <v>524003</v>
      </c>
      <c r="WKC23" s="30">
        <f t="shared" si="247"/>
        <v>524033</v>
      </c>
      <c r="WKD23" s="30">
        <f t="shared" si="247"/>
        <v>524064</v>
      </c>
      <c r="WKE23" s="30">
        <f t="shared" si="247"/>
        <v>524094</v>
      </c>
      <c r="WKF23" s="30">
        <f t="shared" si="247"/>
        <v>524125</v>
      </c>
      <c r="WKG23" s="30">
        <f t="shared" si="247"/>
        <v>524156</v>
      </c>
      <c r="WKH23" s="30">
        <f t="shared" si="247"/>
        <v>524184</v>
      </c>
      <c r="WKI23" s="30">
        <f t="shared" si="247"/>
        <v>524215</v>
      </c>
      <c r="WKJ23" s="30">
        <f t="shared" si="247"/>
        <v>524245</v>
      </c>
      <c r="WKK23" s="30">
        <f t="shared" si="247"/>
        <v>524276</v>
      </c>
      <c r="WKL23" s="30">
        <f t="shared" si="247"/>
        <v>524306</v>
      </c>
      <c r="WKM23" s="30">
        <f t="shared" si="247"/>
        <v>524337</v>
      </c>
      <c r="WKN23" s="30">
        <f t="shared" si="247"/>
        <v>524368</v>
      </c>
      <c r="WKO23" s="30">
        <f t="shared" si="247"/>
        <v>524398</v>
      </c>
      <c r="WKP23" s="30">
        <f t="shared" si="247"/>
        <v>524429</v>
      </c>
      <c r="WKQ23" s="30">
        <f t="shared" si="247"/>
        <v>524459</v>
      </c>
      <c r="WKR23" s="30">
        <f t="shared" si="247"/>
        <v>524490</v>
      </c>
      <c r="WKS23" s="30">
        <f t="shared" si="247"/>
        <v>524521</v>
      </c>
      <c r="WKT23" s="30">
        <f t="shared" si="247"/>
        <v>524550</v>
      </c>
      <c r="WKU23" s="30">
        <f t="shared" si="247"/>
        <v>524581</v>
      </c>
      <c r="WKV23" s="30">
        <f t="shared" si="247"/>
        <v>524611</v>
      </c>
      <c r="WKW23" s="30">
        <f t="shared" si="247"/>
        <v>524642</v>
      </c>
      <c r="WKX23" s="30">
        <f t="shared" si="247"/>
        <v>524672</v>
      </c>
      <c r="WKY23" s="30">
        <f t="shared" si="247"/>
        <v>524703</v>
      </c>
      <c r="WKZ23" s="30">
        <f t="shared" si="247"/>
        <v>524734</v>
      </c>
      <c r="WLA23" s="30">
        <f t="shared" si="247"/>
        <v>524764</v>
      </c>
      <c r="WLB23" s="30">
        <f t="shared" si="247"/>
        <v>524795</v>
      </c>
      <c r="WLC23" s="30">
        <f t="shared" si="247"/>
        <v>524825</v>
      </c>
      <c r="WLD23" s="30">
        <f t="shared" si="247"/>
        <v>524856</v>
      </c>
      <c r="WLE23" s="30">
        <f t="shared" si="247"/>
        <v>524887</v>
      </c>
      <c r="WLF23" s="30">
        <f t="shared" si="247"/>
        <v>524915</v>
      </c>
      <c r="WLG23" s="30">
        <f t="shared" si="247"/>
        <v>524946</v>
      </c>
      <c r="WLH23" s="30">
        <f t="shared" si="247"/>
        <v>524976</v>
      </c>
      <c r="WLI23" s="30">
        <f t="shared" si="247"/>
        <v>525007</v>
      </c>
      <c r="WLJ23" s="30">
        <f t="shared" si="247"/>
        <v>525037</v>
      </c>
      <c r="WLK23" s="30">
        <f t="shared" si="247"/>
        <v>525068</v>
      </c>
      <c r="WLL23" s="30">
        <f t="shared" si="247"/>
        <v>525099</v>
      </c>
      <c r="WLM23" s="30">
        <f t="shared" si="247"/>
        <v>525129</v>
      </c>
      <c r="WLN23" s="30">
        <f t="shared" si="247"/>
        <v>525160</v>
      </c>
      <c r="WLO23" s="30">
        <f t="shared" si="247"/>
        <v>525190</v>
      </c>
      <c r="WLP23" s="30">
        <f t="shared" ref="WLP23:WOA23" si="248">EDATE(WLO23,1)</f>
        <v>525221</v>
      </c>
      <c r="WLQ23" s="30">
        <f t="shared" si="248"/>
        <v>525252</v>
      </c>
      <c r="WLR23" s="30">
        <f t="shared" si="248"/>
        <v>525280</v>
      </c>
      <c r="WLS23" s="30">
        <f t="shared" si="248"/>
        <v>525311</v>
      </c>
      <c r="WLT23" s="30">
        <f t="shared" si="248"/>
        <v>525341</v>
      </c>
      <c r="WLU23" s="30">
        <f t="shared" si="248"/>
        <v>525372</v>
      </c>
      <c r="WLV23" s="30">
        <f t="shared" si="248"/>
        <v>525402</v>
      </c>
      <c r="WLW23" s="30">
        <f t="shared" si="248"/>
        <v>525433</v>
      </c>
      <c r="WLX23" s="30">
        <f t="shared" si="248"/>
        <v>525464</v>
      </c>
      <c r="WLY23" s="30">
        <f t="shared" si="248"/>
        <v>525494</v>
      </c>
      <c r="WLZ23" s="30">
        <f t="shared" si="248"/>
        <v>525525</v>
      </c>
      <c r="WMA23" s="30">
        <f t="shared" si="248"/>
        <v>525555</v>
      </c>
      <c r="WMB23" s="30">
        <f t="shared" si="248"/>
        <v>525586</v>
      </c>
      <c r="WMC23" s="30">
        <f t="shared" si="248"/>
        <v>525617</v>
      </c>
      <c r="WMD23" s="30">
        <f t="shared" si="248"/>
        <v>525645</v>
      </c>
      <c r="WME23" s="30">
        <f t="shared" si="248"/>
        <v>525676</v>
      </c>
      <c r="WMF23" s="30">
        <f t="shared" si="248"/>
        <v>525706</v>
      </c>
      <c r="WMG23" s="30">
        <f t="shared" si="248"/>
        <v>525737</v>
      </c>
      <c r="WMH23" s="30">
        <f t="shared" si="248"/>
        <v>525767</v>
      </c>
      <c r="WMI23" s="30">
        <f t="shared" si="248"/>
        <v>525798</v>
      </c>
      <c r="WMJ23" s="30">
        <f t="shared" si="248"/>
        <v>525829</v>
      </c>
      <c r="WMK23" s="30">
        <f t="shared" si="248"/>
        <v>525859</v>
      </c>
      <c r="WML23" s="30">
        <f t="shared" si="248"/>
        <v>525890</v>
      </c>
      <c r="WMM23" s="30">
        <f t="shared" si="248"/>
        <v>525920</v>
      </c>
      <c r="WMN23" s="30">
        <f t="shared" si="248"/>
        <v>525951</v>
      </c>
      <c r="WMO23" s="30">
        <f t="shared" si="248"/>
        <v>525982</v>
      </c>
      <c r="WMP23" s="30">
        <f t="shared" si="248"/>
        <v>526011</v>
      </c>
      <c r="WMQ23" s="30">
        <f t="shared" si="248"/>
        <v>526042</v>
      </c>
      <c r="WMR23" s="30">
        <f t="shared" si="248"/>
        <v>526072</v>
      </c>
      <c r="WMS23" s="30">
        <f t="shared" si="248"/>
        <v>526103</v>
      </c>
      <c r="WMT23" s="30">
        <f t="shared" si="248"/>
        <v>526133</v>
      </c>
      <c r="WMU23" s="30">
        <f t="shared" si="248"/>
        <v>526164</v>
      </c>
      <c r="WMV23" s="30">
        <f t="shared" si="248"/>
        <v>526195</v>
      </c>
      <c r="WMW23" s="30">
        <f t="shared" si="248"/>
        <v>526225</v>
      </c>
      <c r="WMX23" s="30">
        <f t="shared" si="248"/>
        <v>526256</v>
      </c>
      <c r="WMY23" s="30">
        <f t="shared" si="248"/>
        <v>526286</v>
      </c>
      <c r="WMZ23" s="30">
        <f t="shared" si="248"/>
        <v>526317</v>
      </c>
      <c r="WNA23" s="30">
        <f t="shared" si="248"/>
        <v>526348</v>
      </c>
      <c r="WNB23" s="30">
        <f t="shared" si="248"/>
        <v>526376</v>
      </c>
      <c r="WNC23" s="30">
        <f t="shared" si="248"/>
        <v>526407</v>
      </c>
      <c r="WND23" s="30">
        <f t="shared" si="248"/>
        <v>526437</v>
      </c>
      <c r="WNE23" s="30">
        <f t="shared" si="248"/>
        <v>526468</v>
      </c>
      <c r="WNF23" s="30">
        <f t="shared" si="248"/>
        <v>526498</v>
      </c>
      <c r="WNG23" s="30">
        <f t="shared" si="248"/>
        <v>526529</v>
      </c>
      <c r="WNH23" s="30">
        <f t="shared" si="248"/>
        <v>526560</v>
      </c>
      <c r="WNI23" s="30">
        <f t="shared" si="248"/>
        <v>526590</v>
      </c>
      <c r="WNJ23" s="30">
        <f t="shared" si="248"/>
        <v>526621</v>
      </c>
      <c r="WNK23" s="30">
        <f t="shared" si="248"/>
        <v>526651</v>
      </c>
      <c r="WNL23" s="30">
        <f t="shared" si="248"/>
        <v>526682</v>
      </c>
      <c r="WNM23" s="30">
        <f t="shared" si="248"/>
        <v>526713</v>
      </c>
      <c r="WNN23" s="30">
        <f t="shared" si="248"/>
        <v>526741</v>
      </c>
      <c r="WNO23" s="30">
        <f t="shared" si="248"/>
        <v>526772</v>
      </c>
      <c r="WNP23" s="30">
        <f t="shared" si="248"/>
        <v>526802</v>
      </c>
      <c r="WNQ23" s="30">
        <f t="shared" si="248"/>
        <v>526833</v>
      </c>
      <c r="WNR23" s="30">
        <f t="shared" si="248"/>
        <v>526863</v>
      </c>
      <c r="WNS23" s="30">
        <f t="shared" si="248"/>
        <v>526894</v>
      </c>
      <c r="WNT23" s="30">
        <f t="shared" si="248"/>
        <v>526925</v>
      </c>
      <c r="WNU23" s="30">
        <f t="shared" si="248"/>
        <v>526955</v>
      </c>
      <c r="WNV23" s="30">
        <f t="shared" si="248"/>
        <v>526986</v>
      </c>
      <c r="WNW23" s="30">
        <f t="shared" si="248"/>
        <v>527016</v>
      </c>
      <c r="WNX23" s="30">
        <f t="shared" si="248"/>
        <v>527047</v>
      </c>
      <c r="WNY23" s="30">
        <f t="shared" si="248"/>
        <v>527078</v>
      </c>
      <c r="WNZ23" s="30">
        <f t="shared" si="248"/>
        <v>527106</v>
      </c>
      <c r="WOA23" s="30">
        <f t="shared" si="248"/>
        <v>527137</v>
      </c>
      <c r="WOB23" s="30">
        <f t="shared" ref="WOB23:WQM23" si="249">EDATE(WOA23,1)</f>
        <v>527167</v>
      </c>
      <c r="WOC23" s="30">
        <f t="shared" si="249"/>
        <v>527198</v>
      </c>
      <c r="WOD23" s="30">
        <f t="shared" si="249"/>
        <v>527228</v>
      </c>
      <c r="WOE23" s="30">
        <f t="shared" si="249"/>
        <v>527259</v>
      </c>
      <c r="WOF23" s="30">
        <f t="shared" si="249"/>
        <v>527290</v>
      </c>
      <c r="WOG23" s="30">
        <f t="shared" si="249"/>
        <v>527320</v>
      </c>
      <c r="WOH23" s="30">
        <f t="shared" si="249"/>
        <v>527351</v>
      </c>
      <c r="WOI23" s="30">
        <f t="shared" si="249"/>
        <v>527381</v>
      </c>
      <c r="WOJ23" s="30">
        <f t="shared" si="249"/>
        <v>527412</v>
      </c>
      <c r="WOK23" s="30">
        <f t="shared" si="249"/>
        <v>527443</v>
      </c>
      <c r="WOL23" s="30">
        <f t="shared" si="249"/>
        <v>527472</v>
      </c>
      <c r="WOM23" s="30">
        <f t="shared" si="249"/>
        <v>527503</v>
      </c>
      <c r="WON23" s="30">
        <f t="shared" si="249"/>
        <v>527533</v>
      </c>
      <c r="WOO23" s="30">
        <f t="shared" si="249"/>
        <v>527564</v>
      </c>
      <c r="WOP23" s="30">
        <f t="shared" si="249"/>
        <v>527594</v>
      </c>
      <c r="WOQ23" s="30">
        <f t="shared" si="249"/>
        <v>527625</v>
      </c>
      <c r="WOR23" s="30">
        <f t="shared" si="249"/>
        <v>527656</v>
      </c>
      <c r="WOS23" s="30">
        <f t="shared" si="249"/>
        <v>527686</v>
      </c>
      <c r="WOT23" s="30">
        <f t="shared" si="249"/>
        <v>527717</v>
      </c>
      <c r="WOU23" s="30">
        <f t="shared" si="249"/>
        <v>527747</v>
      </c>
      <c r="WOV23" s="30">
        <f t="shared" si="249"/>
        <v>527778</v>
      </c>
      <c r="WOW23" s="30">
        <f t="shared" si="249"/>
        <v>527809</v>
      </c>
      <c r="WOX23" s="30">
        <f t="shared" si="249"/>
        <v>527837</v>
      </c>
      <c r="WOY23" s="30">
        <f t="shared" si="249"/>
        <v>527868</v>
      </c>
      <c r="WOZ23" s="30">
        <f t="shared" si="249"/>
        <v>527898</v>
      </c>
      <c r="WPA23" s="30">
        <f t="shared" si="249"/>
        <v>527929</v>
      </c>
      <c r="WPB23" s="30">
        <f t="shared" si="249"/>
        <v>527959</v>
      </c>
      <c r="WPC23" s="30">
        <f t="shared" si="249"/>
        <v>527990</v>
      </c>
      <c r="WPD23" s="30">
        <f t="shared" si="249"/>
        <v>528021</v>
      </c>
      <c r="WPE23" s="30">
        <f t="shared" si="249"/>
        <v>528051</v>
      </c>
      <c r="WPF23" s="30">
        <f t="shared" si="249"/>
        <v>528082</v>
      </c>
      <c r="WPG23" s="30">
        <f t="shared" si="249"/>
        <v>528112</v>
      </c>
      <c r="WPH23" s="30">
        <f t="shared" si="249"/>
        <v>528143</v>
      </c>
      <c r="WPI23" s="30">
        <f t="shared" si="249"/>
        <v>528174</v>
      </c>
      <c r="WPJ23" s="30">
        <f t="shared" si="249"/>
        <v>528202</v>
      </c>
      <c r="WPK23" s="30">
        <f t="shared" si="249"/>
        <v>528233</v>
      </c>
      <c r="WPL23" s="30">
        <f t="shared" si="249"/>
        <v>528263</v>
      </c>
      <c r="WPM23" s="30">
        <f t="shared" si="249"/>
        <v>528294</v>
      </c>
      <c r="WPN23" s="30">
        <f t="shared" si="249"/>
        <v>528324</v>
      </c>
      <c r="WPO23" s="30">
        <f t="shared" si="249"/>
        <v>528355</v>
      </c>
      <c r="WPP23" s="30">
        <f t="shared" si="249"/>
        <v>528386</v>
      </c>
      <c r="WPQ23" s="30">
        <f t="shared" si="249"/>
        <v>528416</v>
      </c>
      <c r="WPR23" s="30">
        <f t="shared" si="249"/>
        <v>528447</v>
      </c>
      <c r="WPS23" s="30">
        <f t="shared" si="249"/>
        <v>528477</v>
      </c>
      <c r="WPT23" s="30">
        <f t="shared" si="249"/>
        <v>528508</v>
      </c>
      <c r="WPU23" s="30">
        <f t="shared" si="249"/>
        <v>528539</v>
      </c>
      <c r="WPV23" s="30">
        <f t="shared" si="249"/>
        <v>528567</v>
      </c>
      <c r="WPW23" s="30">
        <f t="shared" si="249"/>
        <v>528598</v>
      </c>
      <c r="WPX23" s="30">
        <f t="shared" si="249"/>
        <v>528628</v>
      </c>
      <c r="WPY23" s="30">
        <f t="shared" si="249"/>
        <v>528659</v>
      </c>
      <c r="WPZ23" s="30">
        <f t="shared" si="249"/>
        <v>528689</v>
      </c>
      <c r="WQA23" s="30">
        <f t="shared" si="249"/>
        <v>528720</v>
      </c>
      <c r="WQB23" s="30">
        <f t="shared" si="249"/>
        <v>528751</v>
      </c>
      <c r="WQC23" s="30">
        <f t="shared" si="249"/>
        <v>528781</v>
      </c>
      <c r="WQD23" s="30">
        <f t="shared" si="249"/>
        <v>528812</v>
      </c>
      <c r="WQE23" s="30">
        <f t="shared" si="249"/>
        <v>528842</v>
      </c>
      <c r="WQF23" s="30">
        <f t="shared" si="249"/>
        <v>528873</v>
      </c>
      <c r="WQG23" s="30">
        <f t="shared" si="249"/>
        <v>528904</v>
      </c>
      <c r="WQH23" s="30">
        <f t="shared" si="249"/>
        <v>528933</v>
      </c>
      <c r="WQI23" s="30">
        <f t="shared" si="249"/>
        <v>528964</v>
      </c>
      <c r="WQJ23" s="30">
        <f t="shared" si="249"/>
        <v>528994</v>
      </c>
      <c r="WQK23" s="30">
        <f t="shared" si="249"/>
        <v>529025</v>
      </c>
      <c r="WQL23" s="30">
        <f t="shared" si="249"/>
        <v>529055</v>
      </c>
      <c r="WQM23" s="30">
        <f t="shared" si="249"/>
        <v>529086</v>
      </c>
      <c r="WQN23" s="30">
        <f t="shared" ref="WQN23:WSY23" si="250">EDATE(WQM23,1)</f>
        <v>529117</v>
      </c>
      <c r="WQO23" s="30">
        <f t="shared" si="250"/>
        <v>529147</v>
      </c>
      <c r="WQP23" s="30">
        <f t="shared" si="250"/>
        <v>529178</v>
      </c>
      <c r="WQQ23" s="30">
        <f t="shared" si="250"/>
        <v>529208</v>
      </c>
      <c r="WQR23" s="30">
        <f t="shared" si="250"/>
        <v>529239</v>
      </c>
      <c r="WQS23" s="30">
        <f t="shared" si="250"/>
        <v>529270</v>
      </c>
      <c r="WQT23" s="30">
        <f t="shared" si="250"/>
        <v>529298</v>
      </c>
      <c r="WQU23" s="30">
        <f t="shared" si="250"/>
        <v>529329</v>
      </c>
      <c r="WQV23" s="30">
        <f t="shared" si="250"/>
        <v>529359</v>
      </c>
      <c r="WQW23" s="30">
        <f t="shared" si="250"/>
        <v>529390</v>
      </c>
      <c r="WQX23" s="30">
        <f t="shared" si="250"/>
        <v>529420</v>
      </c>
      <c r="WQY23" s="30">
        <f t="shared" si="250"/>
        <v>529451</v>
      </c>
      <c r="WQZ23" s="30">
        <f t="shared" si="250"/>
        <v>529482</v>
      </c>
      <c r="WRA23" s="30">
        <f t="shared" si="250"/>
        <v>529512</v>
      </c>
      <c r="WRB23" s="30">
        <f t="shared" si="250"/>
        <v>529543</v>
      </c>
      <c r="WRC23" s="30">
        <f t="shared" si="250"/>
        <v>529573</v>
      </c>
      <c r="WRD23" s="30">
        <f t="shared" si="250"/>
        <v>529604</v>
      </c>
      <c r="WRE23" s="30">
        <f t="shared" si="250"/>
        <v>529635</v>
      </c>
      <c r="WRF23" s="30">
        <f t="shared" si="250"/>
        <v>529663</v>
      </c>
      <c r="WRG23" s="30">
        <f t="shared" si="250"/>
        <v>529694</v>
      </c>
      <c r="WRH23" s="30">
        <f t="shared" si="250"/>
        <v>529724</v>
      </c>
      <c r="WRI23" s="30">
        <f t="shared" si="250"/>
        <v>529755</v>
      </c>
      <c r="WRJ23" s="30">
        <f t="shared" si="250"/>
        <v>529785</v>
      </c>
      <c r="WRK23" s="30">
        <f t="shared" si="250"/>
        <v>529816</v>
      </c>
      <c r="WRL23" s="30">
        <f t="shared" si="250"/>
        <v>529847</v>
      </c>
      <c r="WRM23" s="30">
        <f t="shared" si="250"/>
        <v>529877</v>
      </c>
      <c r="WRN23" s="30">
        <f t="shared" si="250"/>
        <v>529908</v>
      </c>
      <c r="WRO23" s="30">
        <f t="shared" si="250"/>
        <v>529938</v>
      </c>
      <c r="WRP23" s="30">
        <f t="shared" si="250"/>
        <v>529969</v>
      </c>
      <c r="WRQ23" s="30">
        <f t="shared" si="250"/>
        <v>530000</v>
      </c>
      <c r="WRR23" s="30">
        <f t="shared" si="250"/>
        <v>530028</v>
      </c>
      <c r="WRS23" s="30">
        <f t="shared" si="250"/>
        <v>530059</v>
      </c>
      <c r="WRT23" s="30">
        <f t="shared" si="250"/>
        <v>530089</v>
      </c>
      <c r="WRU23" s="30">
        <f t="shared" si="250"/>
        <v>530120</v>
      </c>
      <c r="WRV23" s="30">
        <f t="shared" si="250"/>
        <v>530150</v>
      </c>
      <c r="WRW23" s="30">
        <f t="shared" si="250"/>
        <v>530181</v>
      </c>
      <c r="WRX23" s="30">
        <f t="shared" si="250"/>
        <v>530212</v>
      </c>
      <c r="WRY23" s="30">
        <f t="shared" si="250"/>
        <v>530242</v>
      </c>
      <c r="WRZ23" s="30">
        <f t="shared" si="250"/>
        <v>530273</v>
      </c>
      <c r="WSA23" s="30">
        <f t="shared" si="250"/>
        <v>530303</v>
      </c>
      <c r="WSB23" s="30">
        <f t="shared" si="250"/>
        <v>530334</v>
      </c>
      <c r="WSC23" s="30">
        <f t="shared" si="250"/>
        <v>530365</v>
      </c>
      <c r="WSD23" s="30">
        <f t="shared" si="250"/>
        <v>530394</v>
      </c>
      <c r="WSE23" s="30">
        <f t="shared" si="250"/>
        <v>530425</v>
      </c>
      <c r="WSF23" s="30">
        <f t="shared" si="250"/>
        <v>530455</v>
      </c>
      <c r="WSG23" s="30">
        <f t="shared" si="250"/>
        <v>530486</v>
      </c>
      <c r="WSH23" s="30">
        <f t="shared" si="250"/>
        <v>530516</v>
      </c>
      <c r="WSI23" s="30">
        <f t="shared" si="250"/>
        <v>530547</v>
      </c>
      <c r="WSJ23" s="30">
        <f t="shared" si="250"/>
        <v>530578</v>
      </c>
      <c r="WSK23" s="30">
        <f t="shared" si="250"/>
        <v>530608</v>
      </c>
      <c r="WSL23" s="30">
        <f t="shared" si="250"/>
        <v>530639</v>
      </c>
      <c r="WSM23" s="30">
        <f t="shared" si="250"/>
        <v>530669</v>
      </c>
      <c r="WSN23" s="30">
        <f t="shared" si="250"/>
        <v>530700</v>
      </c>
      <c r="WSO23" s="30">
        <f t="shared" si="250"/>
        <v>530731</v>
      </c>
      <c r="WSP23" s="30">
        <f t="shared" si="250"/>
        <v>530759</v>
      </c>
      <c r="WSQ23" s="30">
        <f t="shared" si="250"/>
        <v>530790</v>
      </c>
      <c r="WSR23" s="30">
        <f t="shared" si="250"/>
        <v>530820</v>
      </c>
      <c r="WSS23" s="30">
        <f t="shared" si="250"/>
        <v>530851</v>
      </c>
      <c r="WST23" s="30">
        <f t="shared" si="250"/>
        <v>530881</v>
      </c>
      <c r="WSU23" s="30">
        <f t="shared" si="250"/>
        <v>530912</v>
      </c>
      <c r="WSV23" s="30">
        <f t="shared" si="250"/>
        <v>530943</v>
      </c>
      <c r="WSW23" s="30">
        <f t="shared" si="250"/>
        <v>530973</v>
      </c>
      <c r="WSX23" s="30">
        <f t="shared" si="250"/>
        <v>531004</v>
      </c>
      <c r="WSY23" s="30">
        <f t="shared" si="250"/>
        <v>531034</v>
      </c>
      <c r="WSZ23" s="30">
        <f t="shared" ref="WSZ23:WVK23" si="251">EDATE(WSY23,1)</f>
        <v>531065</v>
      </c>
      <c r="WTA23" s="30">
        <f t="shared" si="251"/>
        <v>531096</v>
      </c>
      <c r="WTB23" s="30">
        <f t="shared" si="251"/>
        <v>531124</v>
      </c>
      <c r="WTC23" s="30">
        <f t="shared" si="251"/>
        <v>531155</v>
      </c>
      <c r="WTD23" s="30">
        <f t="shared" si="251"/>
        <v>531185</v>
      </c>
      <c r="WTE23" s="30">
        <f t="shared" si="251"/>
        <v>531216</v>
      </c>
      <c r="WTF23" s="30">
        <f t="shared" si="251"/>
        <v>531246</v>
      </c>
      <c r="WTG23" s="30">
        <f t="shared" si="251"/>
        <v>531277</v>
      </c>
      <c r="WTH23" s="30">
        <f t="shared" si="251"/>
        <v>531308</v>
      </c>
      <c r="WTI23" s="30">
        <f t="shared" si="251"/>
        <v>531338</v>
      </c>
      <c r="WTJ23" s="30">
        <f t="shared" si="251"/>
        <v>531369</v>
      </c>
      <c r="WTK23" s="30">
        <f t="shared" si="251"/>
        <v>531399</v>
      </c>
      <c r="WTL23" s="30">
        <f t="shared" si="251"/>
        <v>531430</v>
      </c>
      <c r="WTM23" s="30">
        <f t="shared" si="251"/>
        <v>531461</v>
      </c>
      <c r="WTN23" s="30">
        <f t="shared" si="251"/>
        <v>531489</v>
      </c>
      <c r="WTO23" s="30">
        <f t="shared" si="251"/>
        <v>531520</v>
      </c>
      <c r="WTP23" s="30">
        <f t="shared" si="251"/>
        <v>531550</v>
      </c>
      <c r="WTQ23" s="30">
        <f t="shared" si="251"/>
        <v>531581</v>
      </c>
      <c r="WTR23" s="30">
        <f t="shared" si="251"/>
        <v>531611</v>
      </c>
      <c r="WTS23" s="30">
        <f t="shared" si="251"/>
        <v>531642</v>
      </c>
      <c r="WTT23" s="30">
        <f t="shared" si="251"/>
        <v>531673</v>
      </c>
      <c r="WTU23" s="30">
        <f t="shared" si="251"/>
        <v>531703</v>
      </c>
      <c r="WTV23" s="30">
        <f t="shared" si="251"/>
        <v>531734</v>
      </c>
      <c r="WTW23" s="30">
        <f t="shared" si="251"/>
        <v>531764</v>
      </c>
      <c r="WTX23" s="30">
        <f t="shared" si="251"/>
        <v>531795</v>
      </c>
      <c r="WTY23" s="30">
        <f t="shared" si="251"/>
        <v>531826</v>
      </c>
      <c r="WTZ23" s="30">
        <f t="shared" si="251"/>
        <v>531855</v>
      </c>
      <c r="WUA23" s="30">
        <f t="shared" si="251"/>
        <v>531886</v>
      </c>
      <c r="WUB23" s="30">
        <f t="shared" si="251"/>
        <v>531916</v>
      </c>
      <c r="WUC23" s="30">
        <f t="shared" si="251"/>
        <v>531947</v>
      </c>
      <c r="WUD23" s="30">
        <f t="shared" si="251"/>
        <v>531977</v>
      </c>
      <c r="WUE23" s="30">
        <f t="shared" si="251"/>
        <v>532008</v>
      </c>
      <c r="WUF23" s="30">
        <f t="shared" si="251"/>
        <v>532039</v>
      </c>
      <c r="WUG23" s="30">
        <f t="shared" si="251"/>
        <v>532069</v>
      </c>
      <c r="WUH23" s="30">
        <f t="shared" si="251"/>
        <v>532100</v>
      </c>
      <c r="WUI23" s="30">
        <f t="shared" si="251"/>
        <v>532130</v>
      </c>
      <c r="WUJ23" s="30">
        <f t="shared" si="251"/>
        <v>532161</v>
      </c>
      <c r="WUK23" s="30">
        <f t="shared" si="251"/>
        <v>532192</v>
      </c>
      <c r="WUL23" s="30">
        <f t="shared" si="251"/>
        <v>532220</v>
      </c>
      <c r="WUM23" s="30">
        <f t="shared" si="251"/>
        <v>532251</v>
      </c>
      <c r="WUN23" s="30">
        <f t="shared" si="251"/>
        <v>532281</v>
      </c>
      <c r="WUO23" s="30">
        <f t="shared" si="251"/>
        <v>532312</v>
      </c>
      <c r="WUP23" s="30">
        <f t="shared" si="251"/>
        <v>532342</v>
      </c>
      <c r="WUQ23" s="30">
        <f t="shared" si="251"/>
        <v>532373</v>
      </c>
      <c r="WUR23" s="30">
        <f t="shared" si="251"/>
        <v>532404</v>
      </c>
      <c r="WUS23" s="30">
        <f t="shared" si="251"/>
        <v>532434</v>
      </c>
      <c r="WUT23" s="30">
        <f t="shared" si="251"/>
        <v>532465</v>
      </c>
      <c r="WUU23" s="30">
        <f t="shared" si="251"/>
        <v>532495</v>
      </c>
      <c r="WUV23" s="30">
        <f t="shared" si="251"/>
        <v>532526</v>
      </c>
      <c r="WUW23" s="30">
        <f t="shared" si="251"/>
        <v>532557</v>
      </c>
      <c r="WUX23" s="30">
        <f t="shared" si="251"/>
        <v>532585</v>
      </c>
      <c r="WUY23" s="30">
        <f t="shared" si="251"/>
        <v>532616</v>
      </c>
      <c r="WUZ23" s="30">
        <f t="shared" si="251"/>
        <v>532646</v>
      </c>
      <c r="WVA23" s="30">
        <f t="shared" si="251"/>
        <v>532677</v>
      </c>
      <c r="WVB23" s="30">
        <f t="shared" si="251"/>
        <v>532707</v>
      </c>
      <c r="WVC23" s="30">
        <f t="shared" si="251"/>
        <v>532738</v>
      </c>
      <c r="WVD23" s="30">
        <f t="shared" si="251"/>
        <v>532769</v>
      </c>
      <c r="WVE23" s="30">
        <f t="shared" si="251"/>
        <v>532799</v>
      </c>
      <c r="WVF23" s="30">
        <f t="shared" si="251"/>
        <v>532830</v>
      </c>
      <c r="WVG23" s="30">
        <f t="shared" si="251"/>
        <v>532860</v>
      </c>
      <c r="WVH23" s="30">
        <f t="shared" si="251"/>
        <v>532891</v>
      </c>
      <c r="WVI23" s="30">
        <f t="shared" si="251"/>
        <v>532922</v>
      </c>
      <c r="WVJ23" s="30">
        <f t="shared" si="251"/>
        <v>532950</v>
      </c>
      <c r="WVK23" s="30">
        <f t="shared" si="251"/>
        <v>532981</v>
      </c>
      <c r="WVL23" s="30">
        <f t="shared" ref="WVL23:WXW23" si="252">EDATE(WVK23,1)</f>
        <v>533011</v>
      </c>
      <c r="WVM23" s="30">
        <f t="shared" si="252"/>
        <v>533042</v>
      </c>
      <c r="WVN23" s="30">
        <f t="shared" si="252"/>
        <v>533072</v>
      </c>
      <c r="WVO23" s="30">
        <f t="shared" si="252"/>
        <v>533103</v>
      </c>
      <c r="WVP23" s="30">
        <f t="shared" si="252"/>
        <v>533134</v>
      </c>
      <c r="WVQ23" s="30">
        <f t="shared" si="252"/>
        <v>533164</v>
      </c>
      <c r="WVR23" s="30">
        <f t="shared" si="252"/>
        <v>533195</v>
      </c>
      <c r="WVS23" s="30">
        <f t="shared" si="252"/>
        <v>533225</v>
      </c>
      <c r="WVT23" s="30">
        <f t="shared" si="252"/>
        <v>533256</v>
      </c>
      <c r="WVU23" s="30">
        <f t="shared" si="252"/>
        <v>533287</v>
      </c>
      <c r="WVV23" s="30">
        <f t="shared" si="252"/>
        <v>533316</v>
      </c>
      <c r="WVW23" s="30">
        <f t="shared" si="252"/>
        <v>533347</v>
      </c>
      <c r="WVX23" s="30">
        <f t="shared" si="252"/>
        <v>533377</v>
      </c>
      <c r="WVY23" s="30">
        <f t="shared" si="252"/>
        <v>533408</v>
      </c>
      <c r="WVZ23" s="30">
        <f t="shared" si="252"/>
        <v>533438</v>
      </c>
      <c r="WWA23" s="30">
        <f t="shared" si="252"/>
        <v>533469</v>
      </c>
      <c r="WWB23" s="30">
        <f t="shared" si="252"/>
        <v>533500</v>
      </c>
      <c r="WWC23" s="30">
        <f t="shared" si="252"/>
        <v>533530</v>
      </c>
      <c r="WWD23" s="30">
        <f t="shared" si="252"/>
        <v>533561</v>
      </c>
      <c r="WWE23" s="30">
        <f t="shared" si="252"/>
        <v>533591</v>
      </c>
      <c r="WWF23" s="30">
        <f t="shared" si="252"/>
        <v>533622</v>
      </c>
      <c r="WWG23" s="30">
        <f t="shared" si="252"/>
        <v>533653</v>
      </c>
      <c r="WWH23" s="30">
        <f t="shared" si="252"/>
        <v>533681</v>
      </c>
      <c r="WWI23" s="30">
        <f t="shared" si="252"/>
        <v>533712</v>
      </c>
      <c r="WWJ23" s="30">
        <f t="shared" si="252"/>
        <v>533742</v>
      </c>
      <c r="WWK23" s="30">
        <f t="shared" si="252"/>
        <v>533773</v>
      </c>
      <c r="WWL23" s="30">
        <f t="shared" si="252"/>
        <v>533803</v>
      </c>
      <c r="WWM23" s="30">
        <f t="shared" si="252"/>
        <v>533834</v>
      </c>
      <c r="WWN23" s="30">
        <f t="shared" si="252"/>
        <v>533865</v>
      </c>
      <c r="WWO23" s="30">
        <f t="shared" si="252"/>
        <v>533895</v>
      </c>
      <c r="WWP23" s="30">
        <f t="shared" si="252"/>
        <v>533926</v>
      </c>
      <c r="WWQ23" s="30">
        <f t="shared" si="252"/>
        <v>533956</v>
      </c>
      <c r="WWR23" s="30">
        <f t="shared" si="252"/>
        <v>533987</v>
      </c>
      <c r="WWS23" s="30">
        <f t="shared" si="252"/>
        <v>534018</v>
      </c>
      <c r="WWT23" s="30">
        <f t="shared" si="252"/>
        <v>534046</v>
      </c>
      <c r="WWU23" s="30">
        <f t="shared" si="252"/>
        <v>534077</v>
      </c>
      <c r="WWV23" s="30">
        <f t="shared" si="252"/>
        <v>534107</v>
      </c>
      <c r="WWW23" s="30">
        <f t="shared" si="252"/>
        <v>534138</v>
      </c>
      <c r="WWX23" s="30">
        <f t="shared" si="252"/>
        <v>534168</v>
      </c>
      <c r="WWY23" s="30">
        <f t="shared" si="252"/>
        <v>534199</v>
      </c>
      <c r="WWZ23" s="30">
        <f t="shared" si="252"/>
        <v>534230</v>
      </c>
      <c r="WXA23" s="30">
        <f t="shared" si="252"/>
        <v>534260</v>
      </c>
      <c r="WXB23" s="30">
        <f t="shared" si="252"/>
        <v>534291</v>
      </c>
      <c r="WXC23" s="30">
        <f t="shared" si="252"/>
        <v>534321</v>
      </c>
      <c r="WXD23" s="30">
        <f t="shared" si="252"/>
        <v>534352</v>
      </c>
      <c r="WXE23" s="30">
        <f t="shared" si="252"/>
        <v>534383</v>
      </c>
      <c r="WXF23" s="30">
        <f t="shared" si="252"/>
        <v>534411</v>
      </c>
      <c r="WXG23" s="30">
        <f t="shared" si="252"/>
        <v>534442</v>
      </c>
      <c r="WXH23" s="30">
        <f t="shared" si="252"/>
        <v>534472</v>
      </c>
      <c r="WXI23" s="30">
        <f t="shared" si="252"/>
        <v>534503</v>
      </c>
      <c r="WXJ23" s="30">
        <f t="shared" si="252"/>
        <v>534533</v>
      </c>
      <c r="WXK23" s="30">
        <f t="shared" si="252"/>
        <v>534564</v>
      </c>
      <c r="WXL23" s="30">
        <f t="shared" si="252"/>
        <v>534595</v>
      </c>
      <c r="WXM23" s="30">
        <f t="shared" si="252"/>
        <v>534625</v>
      </c>
      <c r="WXN23" s="30">
        <f t="shared" si="252"/>
        <v>534656</v>
      </c>
      <c r="WXO23" s="30">
        <f t="shared" si="252"/>
        <v>534686</v>
      </c>
      <c r="WXP23" s="30">
        <f t="shared" si="252"/>
        <v>534717</v>
      </c>
      <c r="WXQ23" s="30">
        <f t="shared" si="252"/>
        <v>534748</v>
      </c>
      <c r="WXR23" s="30">
        <f t="shared" si="252"/>
        <v>534777</v>
      </c>
      <c r="WXS23" s="30">
        <f t="shared" si="252"/>
        <v>534808</v>
      </c>
      <c r="WXT23" s="30">
        <f t="shared" si="252"/>
        <v>534838</v>
      </c>
      <c r="WXU23" s="30">
        <f t="shared" si="252"/>
        <v>534869</v>
      </c>
      <c r="WXV23" s="30">
        <f t="shared" si="252"/>
        <v>534899</v>
      </c>
      <c r="WXW23" s="30">
        <f t="shared" si="252"/>
        <v>534930</v>
      </c>
      <c r="WXX23" s="30">
        <f t="shared" ref="WXX23:XAI23" si="253">EDATE(WXW23,1)</f>
        <v>534961</v>
      </c>
      <c r="WXY23" s="30">
        <f t="shared" si="253"/>
        <v>534991</v>
      </c>
      <c r="WXZ23" s="30">
        <f t="shared" si="253"/>
        <v>535022</v>
      </c>
      <c r="WYA23" s="30">
        <f t="shared" si="253"/>
        <v>535052</v>
      </c>
      <c r="WYB23" s="30">
        <f t="shared" si="253"/>
        <v>535083</v>
      </c>
      <c r="WYC23" s="30">
        <f t="shared" si="253"/>
        <v>535114</v>
      </c>
      <c r="WYD23" s="30">
        <f t="shared" si="253"/>
        <v>535142</v>
      </c>
      <c r="WYE23" s="30">
        <f t="shared" si="253"/>
        <v>535173</v>
      </c>
      <c r="WYF23" s="30">
        <f t="shared" si="253"/>
        <v>535203</v>
      </c>
      <c r="WYG23" s="30">
        <f t="shared" si="253"/>
        <v>535234</v>
      </c>
      <c r="WYH23" s="30">
        <f t="shared" si="253"/>
        <v>535264</v>
      </c>
      <c r="WYI23" s="30">
        <f t="shared" si="253"/>
        <v>535295</v>
      </c>
      <c r="WYJ23" s="30">
        <f t="shared" si="253"/>
        <v>535326</v>
      </c>
      <c r="WYK23" s="30">
        <f t="shared" si="253"/>
        <v>535356</v>
      </c>
      <c r="WYL23" s="30">
        <f t="shared" si="253"/>
        <v>535387</v>
      </c>
      <c r="WYM23" s="30">
        <f t="shared" si="253"/>
        <v>535417</v>
      </c>
      <c r="WYN23" s="30">
        <f t="shared" si="253"/>
        <v>535448</v>
      </c>
      <c r="WYO23" s="30">
        <f t="shared" si="253"/>
        <v>535479</v>
      </c>
      <c r="WYP23" s="30">
        <f t="shared" si="253"/>
        <v>535507</v>
      </c>
      <c r="WYQ23" s="30">
        <f t="shared" si="253"/>
        <v>535538</v>
      </c>
      <c r="WYR23" s="30">
        <f t="shared" si="253"/>
        <v>535568</v>
      </c>
      <c r="WYS23" s="30">
        <f t="shared" si="253"/>
        <v>535599</v>
      </c>
      <c r="WYT23" s="30">
        <f t="shared" si="253"/>
        <v>535629</v>
      </c>
      <c r="WYU23" s="30">
        <f t="shared" si="253"/>
        <v>535660</v>
      </c>
      <c r="WYV23" s="30">
        <f t="shared" si="253"/>
        <v>535691</v>
      </c>
      <c r="WYW23" s="30">
        <f t="shared" si="253"/>
        <v>535721</v>
      </c>
      <c r="WYX23" s="30">
        <f t="shared" si="253"/>
        <v>535752</v>
      </c>
      <c r="WYY23" s="30">
        <f t="shared" si="253"/>
        <v>535782</v>
      </c>
      <c r="WYZ23" s="30">
        <f t="shared" si="253"/>
        <v>535813</v>
      </c>
      <c r="WZA23" s="30">
        <f t="shared" si="253"/>
        <v>535844</v>
      </c>
      <c r="WZB23" s="30">
        <f t="shared" si="253"/>
        <v>535872</v>
      </c>
      <c r="WZC23" s="30">
        <f t="shared" si="253"/>
        <v>535903</v>
      </c>
      <c r="WZD23" s="30">
        <f t="shared" si="253"/>
        <v>535933</v>
      </c>
      <c r="WZE23" s="30">
        <f t="shared" si="253"/>
        <v>535964</v>
      </c>
      <c r="WZF23" s="30">
        <f t="shared" si="253"/>
        <v>535994</v>
      </c>
      <c r="WZG23" s="30">
        <f t="shared" si="253"/>
        <v>536025</v>
      </c>
      <c r="WZH23" s="30">
        <f t="shared" si="253"/>
        <v>536056</v>
      </c>
      <c r="WZI23" s="30">
        <f t="shared" si="253"/>
        <v>536086</v>
      </c>
      <c r="WZJ23" s="30">
        <f t="shared" si="253"/>
        <v>536117</v>
      </c>
      <c r="WZK23" s="30">
        <f t="shared" si="253"/>
        <v>536147</v>
      </c>
      <c r="WZL23" s="30">
        <f t="shared" si="253"/>
        <v>536178</v>
      </c>
      <c r="WZM23" s="30">
        <f t="shared" si="253"/>
        <v>536209</v>
      </c>
      <c r="WZN23" s="30">
        <f t="shared" si="253"/>
        <v>536238</v>
      </c>
      <c r="WZO23" s="30">
        <f t="shared" si="253"/>
        <v>536269</v>
      </c>
      <c r="WZP23" s="30">
        <f t="shared" si="253"/>
        <v>536299</v>
      </c>
      <c r="WZQ23" s="30">
        <f t="shared" si="253"/>
        <v>536330</v>
      </c>
      <c r="WZR23" s="30">
        <f t="shared" si="253"/>
        <v>536360</v>
      </c>
      <c r="WZS23" s="30">
        <f t="shared" si="253"/>
        <v>536391</v>
      </c>
      <c r="WZT23" s="30">
        <f t="shared" si="253"/>
        <v>536422</v>
      </c>
      <c r="WZU23" s="30">
        <f t="shared" si="253"/>
        <v>536452</v>
      </c>
      <c r="WZV23" s="30">
        <f t="shared" si="253"/>
        <v>536483</v>
      </c>
      <c r="WZW23" s="30">
        <f t="shared" si="253"/>
        <v>536513</v>
      </c>
      <c r="WZX23" s="30">
        <f t="shared" si="253"/>
        <v>536544</v>
      </c>
      <c r="WZY23" s="30">
        <f t="shared" si="253"/>
        <v>536575</v>
      </c>
      <c r="WZZ23" s="30">
        <f t="shared" si="253"/>
        <v>536603</v>
      </c>
      <c r="XAA23" s="30">
        <f t="shared" si="253"/>
        <v>536634</v>
      </c>
      <c r="XAB23" s="30">
        <f t="shared" si="253"/>
        <v>536664</v>
      </c>
      <c r="XAC23" s="30">
        <f t="shared" si="253"/>
        <v>536695</v>
      </c>
      <c r="XAD23" s="30">
        <f t="shared" si="253"/>
        <v>536725</v>
      </c>
      <c r="XAE23" s="30">
        <f t="shared" si="253"/>
        <v>536756</v>
      </c>
      <c r="XAF23" s="30">
        <f t="shared" si="253"/>
        <v>536787</v>
      </c>
      <c r="XAG23" s="30">
        <f t="shared" si="253"/>
        <v>536817</v>
      </c>
      <c r="XAH23" s="30">
        <f t="shared" si="253"/>
        <v>536848</v>
      </c>
      <c r="XAI23" s="30">
        <f t="shared" si="253"/>
        <v>536878</v>
      </c>
      <c r="XAJ23" s="30">
        <f t="shared" ref="XAJ23:XCU23" si="254">EDATE(XAI23,1)</f>
        <v>536909</v>
      </c>
      <c r="XAK23" s="30">
        <f t="shared" si="254"/>
        <v>536940</v>
      </c>
      <c r="XAL23" s="30">
        <f t="shared" si="254"/>
        <v>536968</v>
      </c>
      <c r="XAM23" s="30">
        <f t="shared" si="254"/>
        <v>536999</v>
      </c>
      <c r="XAN23" s="30">
        <f t="shared" si="254"/>
        <v>537029</v>
      </c>
      <c r="XAO23" s="30">
        <f t="shared" si="254"/>
        <v>537060</v>
      </c>
      <c r="XAP23" s="30">
        <f t="shared" si="254"/>
        <v>537090</v>
      </c>
      <c r="XAQ23" s="30">
        <f t="shared" si="254"/>
        <v>537121</v>
      </c>
      <c r="XAR23" s="30">
        <f t="shared" si="254"/>
        <v>537152</v>
      </c>
      <c r="XAS23" s="30">
        <f t="shared" si="254"/>
        <v>537182</v>
      </c>
      <c r="XAT23" s="30">
        <f t="shared" si="254"/>
        <v>537213</v>
      </c>
      <c r="XAU23" s="30">
        <f t="shared" si="254"/>
        <v>537243</v>
      </c>
      <c r="XAV23" s="30">
        <f t="shared" si="254"/>
        <v>537274</v>
      </c>
      <c r="XAW23" s="30">
        <f t="shared" si="254"/>
        <v>537305</v>
      </c>
      <c r="XAX23" s="30">
        <f t="shared" si="254"/>
        <v>537333</v>
      </c>
      <c r="XAY23" s="30">
        <f t="shared" si="254"/>
        <v>537364</v>
      </c>
      <c r="XAZ23" s="30">
        <f t="shared" si="254"/>
        <v>537394</v>
      </c>
      <c r="XBA23" s="30">
        <f t="shared" si="254"/>
        <v>537425</v>
      </c>
      <c r="XBB23" s="30">
        <f t="shared" si="254"/>
        <v>537455</v>
      </c>
      <c r="XBC23" s="30">
        <f t="shared" si="254"/>
        <v>537486</v>
      </c>
      <c r="XBD23" s="30">
        <f t="shared" si="254"/>
        <v>537517</v>
      </c>
      <c r="XBE23" s="30">
        <f t="shared" si="254"/>
        <v>537547</v>
      </c>
      <c r="XBF23" s="30">
        <f t="shared" si="254"/>
        <v>537578</v>
      </c>
      <c r="XBG23" s="30">
        <f t="shared" si="254"/>
        <v>537608</v>
      </c>
      <c r="XBH23" s="30">
        <f t="shared" si="254"/>
        <v>537639</v>
      </c>
      <c r="XBI23" s="30">
        <f t="shared" si="254"/>
        <v>537670</v>
      </c>
      <c r="XBJ23" s="30">
        <f t="shared" si="254"/>
        <v>537699</v>
      </c>
      <c r="XBK23" s="30">
        <f t="shared" si="254"/>
        <v>537730</v>
      </c>
      <c r="XBL23" s="30">
        <f t="shared" si="254"/>
        <v>537760</v>
      </c>
      <c r="XBM23" s="30">
        <f t="shared" si="254"/>
        <v>537791</v>
      </c>
      <c r="XBN23" s="30">
        <f t="shared" si="254"/>
        <v>537821</v>
      </c>
      <c r="XBO23" s="30">
        <f t="shared" si="254"/>
        <v>537852</v>
      </c>
      <c r="XBP23" s="30">
        <f t="shared" si="254"/>
        <v>537883</v>
      </c>
      <c r="XBQ23" s="30">
        <f t="shared" si="254"/>
        <v>537913</v>
      </c>
      <c r="XBR23" s="30">
        <f t="shared" si="254"/>
        <v>537944</v>
      </c>
      <c r="XBS23" s="30">
        <f t="shared" si="254"/>
        <v>537974</v>
      </c>
      <c r="XBT23" s="30">
        <f t="shared" si="254"/>
        <v>538005</v>
      </c>
      <c r="XBU23" s="30">
        <f t="shared" si="254"/>
        <v>538036</v>
      </c>
      <c r="XBV23" s="30">
        <f t="shared" si="254"/>
        <v>538064</v>
      </c>
      <c r="XBW23" s="30">
        <f t="shared" si="254"/>
        <v>538095</v>
      </c>
      <c r="XBX23" s="30">
        <f t="shared" si="254"/>
        <v>538125</v>
      </c>
      <c r="XBY23" s="30">
        <f t="shared" si="254"/>
        <v>538156</v>
      </c>
      <c r="XBZ23" s="30">
        <f t="shared" si="254"/>
        <v>538186</v>
      </c>
      <c r="XCA23" s="30">
        <f t="shared" si="254"/>
        <v>538217</v>
      </c>
      <c r="XCB23" s="30">
        <f t="shared" si="254"/>
        <v>538248</v>
      </c>
      <c r="XCC23" s="30">
        <f t="shared" si="254"/>
        <v>538278</v>
      </c>
      <c r="XCD23" s="30">
        <f t="shared" si="254"/>
        <v>538309</v>
      </c>
      <c r="XCE23" s="30">
        <f t="shared" si="254"/>
        <v>538339</v>
      </c>
      <c r="XCF23" s="30">
        <f t="shared" si="254"/>
        <v>538370</v>
      </c>
      <c r="XCG23" s="30">
        <f t="shared" si="254"/>
        <v>538401</v>
      </c>
      <c r="XCH23" s="30">
        <f t="shared" si="254"/>
        <v>538429</v>
      </c>
      <c r="XCI23" s="30">
        <f t="shared" si="254"/>
        <v>538460</v>
      </c>
      <c r="XCJ23" s="30">
        <f t="shared" si="254"/>
        <v>538490</v>
      </c>
      <c r="XCK23" s="30">
        <f t="shared" si="254"/>
        <v>538521</v>
      </c>
      <c r="XCL23" s="30">
        <f t="shared" si="254"/>
        <v>538551</v>
      </c>
      <c r="XCM23" s="30">
        <f t="shared" si="254"/>
        <v>538582</v>
      </c>
      <c r="XCN23" s="30">
        <f t="shared" si="254"/>
        <v>538613</v>
      </c>
      <c r="XCO23" s="30">
        <f t="shared" si="254"/>
        <v>538643</v>
      </c>
      <c r="XCP23" s="30">
        <f t="shared" si="254"/>
        <v>538674</v>
      </c>
      <c r="XCQ23" s="30">
        <f t="shared" si="254"/>
        <v>538704</v>
      </c>
      <c r="XCR23" s="30">
        <f t="shared" si="254"/>
        <v>538735</v>
      </c>
      <c r="XCS23" s="30">
        <f t="shared" si="254"/>
        <v>538766</v>
      </c>
      <c r="XCT23" s="30">
        <f t="shared" si="254"/>
        <v>538794</v>
      </c>
      <c r="XCU23" s="30">
        <f t="shared" si="254"/>
        <v>538825</v>
      </c>
      <c r="XCV23" s="30">
        <f t="shared" ref="XCV23:XFD23" si="255">EDATE(XCU23,1)</f>
        <v>538855</v>
      </c>
      <c r="XCW23" s="30">
        <f t="shared" si="255"/>
        <v>538886</v>
      </c>
      <c r="XCX23" s="30">
        <f t="shared" si="255"/>
        <v>538916</v>
      </c>
      <c r="XCY23" s="30">
        <f t="shared" si="255"/>
        <v>538947</v>
      </c>
      <c r="XCZ23" s="30">
        <f t="shared" si="255"/>
        <v>538978</v>
      </c>
      <c r="XDA23" s="30">
        <f t="shared" si="255"/>
        <v>539008</v>
      </c>
      <c r="XDB23" s="30">
        <f t="shared" si="255"/>
        <v>539039</v>
      </c>
      <c r="XDC23" s="30">
        <f t="shared" si="255"/>
        <v>539069</v>
      </c>
      <c r="XDD23" s="30">
        <f t="shared" si="255"/>
        <v>539100</v>
      </c>
      <c r="XDE23" s="30">
        <f t="shared" si="255"/>
        <v>539131</v>
      </c>
      <c r="XDF23" s="30">
        <f t="shared" si="255"/>
        <v>539160</v>
      </c>
      <c r="XDG23" s="30">
        <f t="shared" si="255"/>
        <v>539191</v>
      </c>
      <c r="XDH23" s="30">
        <f t="shared" si="255"/>
        <v>539221</v>
      </c>
      <c r="XDI23" s="30">
        <f t="shared" si="255"/>
        <v>539252</v>
      </c>
      <c r="XDJ23" s="30">
        <f t="shared" si="255"/>
        <v>539282</v>
      </c>
      <c r="XDK23" s="30">
        <f t="shared" si="255"/>
        <v>539313</v>
      </c>
      <c r="XDL23" s="30">
        <f t="shared" si="255"/>
        <v>539344</v>
      </c>
      <c r="XDM23" s="30">
        <f t="shared" si="255"/>
        <v>539374</v>
      </c>
      <c r="XDN23" s="30">
        <f t="shared" si="255"/>
        <v>539405</v>
      </c>
      <c r="XDO23" s="30">
        <f t="shared" si="255"/>
        <v>539435</v>
      </c>
      <c r="XDP23" s="30">
        <f t="shared" si="255"/>
        <v>539466</v>
      </c>
      <c r="XDQ23" s="30">
        <f t="shared" si="255"/>
        <v>539497</v>
      </c>
      <c r="XDR23" s="30">
        <f t="shared" si="255"/>
        <v>539525</v>
      </c>
      <c r="XDS23" s="30">
        <f t="shared" si="255"/>
        <v>539556</v>
      </c>
      <c r="XDT23" s="30">
        <f t="shared" si="255"/>
        <v>539586</v>
      </c>
      <c r="XDU23" s="30">
        <f t="shared" si="255"/>
        <v>539617</v>
      </c>
      <c r="XDV23" s="30">
        <f t="shared" si="255"/>
        <v>539647</v>
      </c>
      <c r="XDW23" s="30">
        <f t="shared" si="255"/>
        <v>539678</v>
      </c>
      <c r="XDX23" s="30">
        <f t="shared" si="255"/>
        <v>539709</v>
      </c>
      <c r="XDY23" s="30">
        <f t="shared" si="255"/>
        <v>539739</v>
      </c>
      <c r="XDZ23" s="30">
        <f t="shared" si="255"/>
        <v>539770</v>
      </c>
      <c r="XEA23" s="30">
        <f t="shared" si="255"/>
        <v>539800</v>
      </c>
      <c r="XEB23" s="30">
        <f t="shared" si="255"/>
        <v>539831</v>
      </c>
      <c r="XEC23" s="30">
        <f t="shared" si="255"/>
        <v>539862</v>
      </c>
      <c r="XED23" s="30">
        <f t="shared" si="255"/>
        <v>539890</v>
      </c>
      <c r="XEE23" s="30">
        <f t="shared" si="255"/>
        <v>539921</v>
      </c>
      <c r="XEF23" s="30">
        <f t="shared" si="255"/>
        <v>539951</v>
      </c>
      <c r="XEG23" s="30">
        <f t="shared" si="255"/>
        <v>539982</v>
      </c>
      <c r="XEH23" s="30">
        <f t="shared" si="255"/>
        <v>540012</v>
      </c>
      <c r="XEI23" s="30">
        <f t="shared" si="255"/>
        <v>540043</v>
      </c>
      <c r="XEJ23" s="30">
        <f t="shared" si="255"/>
        <v>540074</v>
      </c>
      <c r="XEK23" s="30">
        <f t="shared" si="255"/>
        <v>540104</v>
      </c>
      <c r="XEL23" s="30">
        <f t="shared" si="255"/>
        <v>540135</v>
      </c>
      <c r="XEM23" s="30">
        <f t="shared" si="255"/>
        <v>540165</v>
      </c>
      <c r="XEN23" s="30">
        <f t="shared" si="255"/>
        <v>540196</v>
      </c>
      <c r="XEO23" s="30">
        <f t="shared" si="255"/>
        <v>540227</v>
      </c>
      <c r="XEP23" s="30">
        <f t="shared" si="255"/>
        <v>540255</v>
      </c>
      <c r="XEQ23" s="30">
        <f t="shared" si="255"/>
        <v>540286</v>
      </c>
      <c r="XER23" s="30">
        <f t="shared" si="255"/>
        <v>540316</v>
      </c>
      <c r="XES23" s="30">
        <f t="shared" si="255"/>
        <v>540347</v>
      </c>
      <c r="XET23" s="30">
        <f t="shared" si="255"/>
        <v>540377</v>
      </c>
      <c r="XEU23" s="30">
        <f t="shared" si="255"/>
        <v>540408</v>
      </c>
      <c r="XEV23" s="30">
        <f t="shared" si="255"/>
        <v>540439</v>
      </c>
      <c r="XEW23" s="30">
        <f t="shared" si="255"/>
        <v>540469</v>
      </c>
      <c r="XEX23" s="30">
        <f t="shared" si="255"/>
        <v>540500</v>
      </c>
      <c r="XEY23" s="30">
        <f t="shared" si="255"/>
        <v>540530</v>
      </c>
      <c r="XEZ23" s="30">
        <f t="shared" si="255"/>
        <v>540561</v>
      </c>
      <c r="XFA23" s="30">
        <f t="shared" si="255"/>
        <v>540592</v>
      </c>
      <c r="XFB23" s="30">
        <f t="shared" si="255"/>
        <v>540621</v>
      </c>
      <c r="XFC23" s="30">
        <f t="shared" si="255"/>
        <v>540652</v>
      </c>
      <c r="XFD23" s="30">
        <f t="shared" si="255"/>
        <v>540682</v>
      </c>
    </row>
    <row r="24" spans="1:16384" s="56" customFormat="1" x14ac:dyDescent="0.25">
      <c r="A24" s="23" t="s">
        <v>6</v>
      </c>
      <c r="B24" s="26">
        <f>C19</f>
        <v>13199502</v>
      </c>
      <c r="C24" s="26">
        <f t="shared" ref="C24:Q24" si="256">B30</f>
        <v>13199502</v>
      </c>
      <c r="D24" s="26">
        <f t="shared" si="256"/>
        <v>13199502</v>
      </c>
      <c r="E24" s="26">
        <f t="shared" si="256"/>
        <v>13199502</v>
      </c>
      <c r="F24" s="26">
        <f t="shared" si="256"/>
        <v>13199502</v>
      </c>
      <c r="G24" s="26">
        <f t="shared" si="256"/>
        <v>13199502</v>
      </c>
      <c r="H24" s="26">
        <f t="shared" si="256"/>
        <v>13199502</v>
      </c>
      <c r="I24" s="26">
        <f t="shared" si="256"/>
        <v>13199502</v>
      </c>
      <c r="J24" s="26">
        <f t="shared" si="256"/>
        <v>13199502</v>
      </c>
      <c r="K24" s="26">
        <f t="shared" si="256"/>
        <v>13199502</v>
      </c>
      <c r="L24" s="26">
        <f t="shared" si="256"/>
        <v>13199502</v>
      </c>
      <c r="M24" s="26">
        <f t="shared" si="256"/>
        <v>12744346.758620691</v>
      </c>
      <c r="N24" s="26">
        <f t="shared" si="256"/>
        <v>12744346.758620691</v>
      </c>
      <c r="O24" s="26">
        <f t="shared" si="256"/>
        <v>12744346.758620691</v>
      </c>
      <c r="P24" s="26">
        <f t="shared" si="256"/>
        <v>12289191.517241381</v>
      </c>
      <c r="Q24" s="26">
        <f t="shared" si="256"/>
        <v>12289191.517241381</v>
      </c>
      <c r="R24" s="26">
        <f>Q30</f>
        <v>12289191.517241381</v>
      </c>
      <c r="S24" s="26">
        <f>R30+D18</f>
        <v>13074202.275862072</v>
      </c>
      <c r="T24" s="26">
        <f t="shared" ref="T24" si="257">S30</f>
        <v>13074202.275862072</v>
      </c>
      <c r="U24" s="26">
        <f t="shared" ref="U24" si="258">T30</f>
        <v>13074202.275862072</v>
      </c>
      <c r="V24" s="26">
        <f t="shared" ref="V24" si="259">U30</f>
        <v>12571348.342175068</v>
      </c>
      <c r="W24" s="26">
        <f t="shared" ref="W24" si="260">V30</f>
        <v>12571348.342175068</v>
      </c>
      <c r="X24" s="26">
        <f t="shared" ref="X24" si="261">W30</f>
        <v>12571348.342175068</v>
      </c>
      <c r="Y24" s="26">
        <f t="shared" ref="Y24" si="262">X30</f>
        <v>12068494.408488065</v>
      </c>
      <c r="Z24" s="26">
        <f t="shared" ref="Z24" si="263">Y30</f>
        <v>12068494.408488065</v>
      </c>
      <c r="AA24" s="26">
        <f t="shared" ref="AA24" si="264">Z30</f>
        <v>12068494.408488065</v>
      </c>
      <c r="AB24" s="26">
        <f t="shared" ref="AB24" si="265">AA30</f>
        <v>11565640.474801062</v>
      </c>
      <c r="AC24" s="26">
        <f t="shared" ref="AC24" si="266">AB30</f>
        <v>11565640.474801062</v>
      </c>
      <c r="AD24" s="26">
        <f t="shared" ref="AD24" si="267">AC30</f>
        <v>11565640.474801062</v>
      </c>
      <c r="AE24" s="26">
        <f t="shared" ref="AE24" si="268">AD30</f>
        <v>11062786.541114058</v>
      </c>
      <c r="AF24" s="26">
        <f t="shared" ref="AF24" si="269">AE30</f>
        <v>11062786.541114058</v>
      </c>
      <c r="AG24" s="26">
        <f t="shared" ref="AG24" si="270">AF30</f>
        <v>11062786.541114058</v>
      </c>
      <c r="AH24" s="26">
        <f t="shared" ref="AH24" si="271">AG30</f>
        <v>10559932.607427055</v>
      </c>
      <c r="AI24" s="26">
        <f t="shared" ref="AI24" si="272">AH30</f>
        <v>10559932.607427055</v>
      </c>
      <c r="AJ24" s="26">
        <f t="shared" ref="AJ24" si="273">AI30</f>
        <v>10559932.607427055</v>
      </c>
      <c r="AK24" s="26">
        <f t="shared" ref="AK24" si="274">AJ30</f>
        <v>10057078.673740052</v>
      </c>
      <c r="AL24" s="26">
        <f t="shared" ref="AL24" si="275">AK30</f>
        <v>10057078.673740052</v>
      </c>
      <c r="AM24" s="26">
        <f t="shared" ref="AM24" si="276">AL30</f>
        <v>10057078.673740052</v>
      </c>
      <c r="AN24" s="26">
        <f t="shared" ref="AN24" si="277">AM30</f>
        <v>9554224.7400530484</v>
      </c>
      <c r="AO24" s="26">
        <f t="shared" ref="AO24" si="278">AN30</f>
        <v>9554224.7400530484</v>
      </c>
      <c r="AP24" s="26">
        <f t="shared" ref="AP24" si="279">AO30</f>
        <v>9554224.7400530484</v>
      </c>
      <c r="AQ24" s="26">
        <f t="shared" ref="AQ24" si="280">AP30</f>
        <v>9051370.806366045</v>
      </c>
      <c r="AR24" s="26">
        <f t="shared" ref="AR24" si="281">AQ30</f>
        <v>9051370.806366045</v>
      </c>
      <c r="AS24" s="26">
        <f t="shared" ref="AS24" si="282">AR30</f>
        <v>9051370.806366045</v>
      </c>
      <c r="AT24" s="26">
        <f t="shared" ref="AT24" si="283">AS30</f>
        <v>8548516.8726790417</v>
      </c>
      <c r="AU24" s="26">
        <f t="shared" ref="AU24" si="284">AT30</f>
        <v>8548516.8726790417</v>
      </c>
      <c r="AV24" s="26">
        <f t="shared" ref="AV24" si="285">AU30</f>
        <v>8548516.8726790417</v>
      </c>
      <c r="AW24" s="26">
        <f t="shared" ref="AW24" si="286">AV30</f>
        <v>8045662.9389920393</v>
      </c>
      <c r="AX24" s="26">
        <f t="shared" ref="AX24" si="287">AW30</f>
        <v>8045662.9389920393</v>
      </c>
      <c r="AY24" s="26">
        <f t="shared" ref="AY24" si="288">AX30</f>
        <v>8045662.9389920393</v>
      </c>
      <c r="AZ24" s="26">
        <f t="shared" ref="AZ24" si="289">AY30</f>
        <v>7542809.0053050369</v>
      </c>
      <c r="BA24" s="26">
        <f t="shared" ref="BA24" si="290">AZ30</f>
        <v>7542809.0053050369</v>
      </c>
      <c r="BB24" s="26">
        <f t="shared" ref="BB24" si="291">BA30</f>
        <v>7542809.0053050369</v>
      </c>
      <c r="BC24" s="26">
        <f t="shared" ref="BC24" si="292">BB30</f>
        <v>7039955.0716180345</v>
      </c>
      <c r="BD24" s="26">
        <f t="shared" ref="BD24" si="293">BC30</f>
        <v>7039955.0716180345</v>
      </c>
      <c r="BE24" s="26">
        <f t="shared" ref="BE24" si="294">BD30</f>
        <v>7039955.0716180345</v>
      </c>
      <c r="BF24" s="26">
        <f t="shared" ref="BF24" si="295">BE30</f>
        <v>6537101.1379310321</v>
      </c>
      <c r="BG24" s="26">
        <f t="shared" ref="BG24" si="296">BF30</f>
        <v>6537101.1379310321</v>
      </c>
      <c r="BH24" s="26">
        <f t="shared" ref="BH24" si="297">BG30</f>
        <v>6537101.1379310321</v>
      </c>
      <c r="BI24" s="26">
        <f t="shared" ref="BI24" si="298">BH30</f>
        <v>6034247.2042440297</v>
      </c>
      <c r="BJ24" s="26">
        <f t="shared" ref="BJ24" si="299">BI30</f>
        <v>6034247.2042440297</v>
      </c>
      <c r="BK24" s="26">
        <f t="shared" ref="BK24" si="300">BJ30</f>
        <v>6034247.2042440297</v>
      </c>
      <c r="BL24" s="26">
        <f t="shared" ref="BL24" si="301">BK30</f>
        <v>5531393.2705570273</v>
      </c>
      <c r="BM24" s="26">
        <f t="shared" ref="BM24" si="302">BL30</f>
        <v>5531393.2705570273</v>
      </c>
      <c r="BN24" s="26">
        <f t="shared" ref="BN24" si="303">BM30</f>
        <v>5531393.2705570273</v>
      </c>
      <c r="BO24" s="26">
        <f t="shared" ref="BO24" si="304">BN30</f>
        <v>5028539.3368700249</v>
      </c>
      <c r="BP24" s="26">
        <f t="shared" ref="BP24" si="305">BO30</f>
        <v>5028539.3368700249</v>
      </c>
      <c r="BQ24" s="26">
        <f t="shared" ref="BQ24" si="306">BP30</f>
        <v>5028539.3368700249</v>
      </c>
      <c r="BR24" s="26">
        <f t="shared" ref="BR24" si="307">BQ30</f>
        <v>4525685.4031830225</v>
      </c>
      <c r="BS24" s="26">
        <f t="shared" ref="BS24" si="308">BR30</f>
        <v>4525685.4031830225</v>
      </c>
      <c r="BT24" s="26">
        <f t="shared" ref="BT24" si="309">BS30</f>
        <v>4525685.4031830225</v>
      </c>
      <c r="BU24" s="26">
        <f t="shared" ref="BU24" si="310">BT30</f>
        <v>4022831.4694960197</v>
      </c>
      <c r="BV24" s="26">
        <f t="shared" ref="BV24" si="311">BU30</f>
        <v>4022831.4694960197</v>
      </c>
      <c r="BW24" s="26">
        <f t="shared" ref="BW24" si="312">BV30</f>
        <v>4022831.4694960197</v>
      </c>
      <c r="BX24" s="26">
        <f t="shared" ref="BX24" si="313">BW30</f>
        <v>3519977.5358090168</v>
      </c>
      <c r="BY24" s="26">
        <f t="shared" ref="BY24" si="314">BX30</f>
        <v>3519977.5358090168</v>
      </c>
      <c r="BZ24" s="26">
        <f t="shared" ref="BZ24" si="315">BY30</f>
        <v>3519977.5358090168</v>
      </c>
      <c r="CA24" s="26">
        <f t="shared" ref="CA24" si="316">BZ30</f>
        <v>3017123.6021220139</v>
      </c>
      <c r="CB24" s="26">
        <f t="shared" ref="CB24" si="317">CA30</f>
        <v>3017123.6021220139</v>
      </c>
      <c r="CC24" s="26">
        <f t="shared" ref="CC24" si="318">CB30</f>
        <v>3017123.6021220139</v>
      </c>
      <c r="CD24" s="26">
        <f t="shared" ref="CD24:CE24" si="319">CC30</f>
        <v>2514269.6684350111</v>
      </c>
      <c r="CE24" s="26">
        <f t="shared" si="319"/>
        <v>2514269.6684350111</v>
      </c>
      <c r="CF24" s="26">
        <f t="shared" ref="CF24" si="320">CE30</f>
        <v>2514269.6684350111</v>
      </c>
      <c r="CG24" s="26">
        <f t="shared" ref="CG24" si="321">CF30</f>
        <v>2011415.7347480082</v>
      </c>
      <c r="CH24" s="26">
        <f t="shared" ref="CH24" si="322">CG30</f>
        <v>2011415.7347480082</v>
      </c>
      <c r="CI24" s="26">
        <f t="shared" ref="CI24" si="323">CH30</f>
        <v>2011415.7347480082</v>
      </c>
      <c r="CJ24" s="26">
        <f t="shared" ref="CJ24" si="324">CI30</f>
        <v>1508561.8010610053</v>
      </c>
      <c r="CK24" s="26">
        <f t="shared" ref="CK24" si="325">CJ30</f>
        <v>1508561.8010610053</v>
      </c>
      <c r="CL24" s="26">
        <f t="shared" ref="CL24" si="326">CK30</f>
        <v>1508561.8010610053</v>
      </c>
      <c r="CM24" s="26">
        <f t="shared" ref="CM24" si="327">CL30</f>
        <v>1005707.8673740026</v>
      </c>
      <c r="CN24" s="26">
        <f t="shared" ref="CN24" si="328">CM30</f>
        <v>1005707.8673740026</v>
      </c>
      <c r="CO24" s="26">
        <f t="shared" ref="CO24" si="329">CN30</f>
        <v>1005707.8673740026</v>
      </c>
      <c r="CP24" s="26">
        <f t="shared" ref="CP24" si="330">CO30</f>
        <v>502853.93368699984</v>
      </c>
      <c r="CQ24" s="26">
        <f t="shared" ref="CQ24" si="331">CP30</f>
        <v>502853.93368699984</v>
      </c>
      <c r="CR24" s="26">
        <f t="shared" ref="CR24" si="332">CQ30</f>
        <v>502853.93368699984</v>
      </c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</row>
    <row r="25" spans="1:16384" s="56" customFormat="1" x14ac:dyDescent="0.25">
      <c r="A25" s="23" t="s">
        <v>7</v>
      </c>
      <c r="B25" s="26">
        <f>B24*(B23-C17)*$B$11/360</f>
        <v>10999.584999999999</v>
      </c>
      <c r="C25" s="26">
        <f>B30*(C23-B23)*$B$11/360</f>
        <v>68197.426999999996</v>
      </c>
      <c r="D25" s="26">
        <f>C30*(D23-C23)*$B$11/360</f>
        <v>65997.509999999995</v>
      </c>
      <c r="E25" s="26">
        <f t="shared" ref="E25:K25" si="333">D30*(E23-D23)*$B$11/360</f>
        <v>68197.426999999996</v>
      </c>
      <c r="F25" s="26">
        <f t="shared" si="333"/>
        <v>65997.509999999995</v>
      </c>
      <c r="G25" s="26">
        <f t="shared" si="333"/>
        <v>68197.426999999996</v>
      </c>
      <c r="H25" s="26">
        <f t="shared" si="333"/>
        <v>68197.426999999996</v>
      </c>
      <c r="I25" s="26">
        <f t="shared" si="333"/>
        <v>65997.509999999995</v>
      </c>
      <c r="J25" s="26">
        <f t="shared" si="333"/>
        <v>68197.426999999996</v>
      </c>
      <c r="K25" s="26">
        <f t="shared" si="333"/>
        <v>65997.509999999995</v>
      </c>
      <c r="L25" s="26">
        <f>L24*(GHEL_Loan!$E$26-K23)*$B$11/360+L30*(L23-GHEL_Loan!$E$26)*$B$11/360</f>
        <v>66907.820482758616</v>
      </c>
      <c r="M25" s="26">
        <f t="shared" ref="M25" si="334">L30*(M23-L23)*$B$11/360</f>
        <v>65845.791586206906</v>
      </c>
      <c r="N25" s="26">
        <f t="shared" ref="N25" si="335">M30*(N23-M23)*$B$11/360</f>
        <v>61597.675999999999</v>
      </c>
      <c r="O25" s="26">
        <f>O24*(GHEL_Loan!$F$26-N23)*$B$11/360+O30*(O23-GHEL_Loan!$F$26)*$B$11/360</f>
        <v>64556.185068965526</v>
      </c>
      <c r="P25" s="26">
        <f t="shared" ref="P25" si="336">O30*(P23-O23)*$B$11/360</f>
        <v>61445.957586206896</v>
      </c>
      <c r="Q25" s="26">
        <f t="shared" ref="Q25" si="337">P30*(Q23-P23)*$B$11/360</f>
        <v>63494.156172413801</v>
      </c>
      <c r="R25" s="26">
        <f>R24*(GHEL_Loan!$G$26-Q23)*$B$11/360+R30*(D17-GHEL_Loan!$G$26)*$B$11/360+(R30+D18)*(R23-D17)*$B$11/360</f>
        <v>62712.54227586207</v>
      </c>
      <c r="S25" s="26">
        <f>S24*(S23-R23)*$B$11/360</f>
        <v>67550.045091954031</v>
      </c>
      <c r="T25" s="26">
        <f t="shared" ref="T25" si="338">S30*(T23-S23)*$B$11/360</f>
        <v>67550.045091954031</v>
      </c>
      <c r="U25" s="26">
        <f>U24*(GHEL_Loan!$H$26-T23)*$B$11/360+U30*(U23-GHEL_Loan!$H$26)*$B$11/360</f>
        <v>64030.067556145019</v>
      </c>
      <c r="V25" s="26">
        <f t="shared" ref="V25" si="339">U30*(V23-U23)*$B$11/360</f>
        <v>64951.966434571186</v>
      </c>
      <c r="W25" s="26">
        <f t="shared" ref="W25" si="340">V30*(W23-V23)*$B$11/360</f>
        <v>62856.741710875336</v>
      </c>
      <c r="X25" s="26">
        <f>X24*(GHEL_Loan!$I$26-W23)*$B$11/360+X30*(X23-GHEL_Loan!$I$26)*$B$11/360</f>
        <v>63527.213622458017</v>
      </c>
      <c r="Y25" s="26">
        <f t="shared" ref="Y25" si="341">X30*(Y23-X23)*$B$11/360</f>
        <v>62353.887777188334</v>
      </c>
      <c r="Z25" s="26">
        <f t="shared" ref="Z25" si="342">Y30*(Z23-Y23)*$B$11/360</f>
        <v>56319.640572944307</v>
      </c>
      <c r="AA25" s="26">
        <f>AA24*(GHEL_Loan!$J$26-Z23)*$B$11/360+AA30*(AA23-GHEL_Loan!$J$26)*$B$11/360</f>
        <v>60929.134965075158</v>
      </c>
      <c r="AB25" s="26">
        <f t="shared" ref="AB25" si="343">AA30*(AB23-AA23)*$B$11/360</f>
        <v>57828.202374005305</v>
      </c>
      <c r="AC25" s="26">
        <f t="shared" ref="AC25" si="344">AB30*(AC23-AB23)*$B$11/360</f>
        <v>59755.80911980549</v>
      </c>
      <c r="AD25" s="26">
        <f>AD24*(GHEL_Loan!$K$26-AC23)*$B$11/360+AD30*(AD23-GHEL_Loan!$K$26)*$B$11/360</f>
        <v>56487.258550839964</v>
      </c>
      <c r="AE25" s="26">
        <f t="shared" ref="AE25" si="345">AD30*(AE23-AD23)*$B$11/360</f>
        <v>57157.730462422638</v>
      </c>
      <c r="AF25" s="26">
        <f t="shared" ref="AF25" si="346">AE30*(AF23-AE23)*$B$11/360</f>
        <v>57157.730462422638</v>
      </c>
      <c r="AG25" s="26">
        <f>AG24*(GHEL_Loan!$L$26-AF23)*$B$11/360+AG30*(AG23-GHEL_Loan!$L$26)*$B$11/360</f>
        <v>54140.606860300613</v>
      </c>
      <c r="AH25" s="26">
        <f t="shared" ref="AH25" si="347">AG30*(AH23-AG23)*$B$11/360</f>
        <v>54559.651805039786</v>
      </c>
      <c r="AI25" s="26">
        <f t="shared" ref="AI25" si="348">AH30*(AI23-AH23)*$B$11/360</f>
        <v>52799.663037135273</v>
      </c>
      <c r="AJ25" s="26">
        <f>AJ24*(GHEL_Loan!$M$26-AI23)*$B$11/360+AJ30*(AJ23-GHEL_Loan!$M$26)*$B$11/360</f>
        <v>53302.516970822267</v>
      </c>
      <c r="AK25" s="26">
        <f t="shared" ref="AK25" si="349">AJ30*(AK23-AJ23)*$B$11/360</f>
        <v>51961.573147656934</v>
      </c>
      <c r="AL25" s="26">
        <f t="shared" ref="AL25" si="350">AK30*(AL23-AK23)*$B$11/360</f>
        <v>46933.033810786903</v>
      </c>
      <c r="AM25" s="26">
        <f>AM24*(GHEL_Loan!$N$26-AL23)*$B$11/360+AM30*(AM23-GHEL_Loan!$N$26)*$B$11/360</f>
        <v>50536.820335543758</v>
      </c>
      <c r="AN25" s="26">
        <f t="shared" ref="AN25" si="351">AM30*(AN23-AM23)*$B$11/360</f>
        <v>47771.123700265234</v>
      </c>
      <c r="AO25" s="26">
        <f t="shared" ref="AO25" si="352">AN30*(AO23-AN23)*$B$11/360</f>
        <v>49363.494490274083</v>
      </c>
      <c r="AP25" s="26">
        <f>AP24*(GHEL_Loan!$O$26-AO23)*$B$11/360+AP30*(AP23-GHEL_Loan!$O$26)*$B$11/360</f>
        <v>46597.797854995573</v>
      </c>
      <c r="AQ25" s="26">
        <f t="shared" ref="AQ25" si="353">AP30*(AQ23-AP23)*$B$11/360</f>
        <v>46765.415832891231</v>
      </c>
      <c r="AR25" s="26">
        <f t="shared" ref="AR25" si="354">AQ30*(AR23-AQ23)*$B$11/360</f>
        <v>46765.415832891231</v>
      </c>
      <c r="AS25" s="26">
        <f>AS24*(GHEL_Loan!$P$26-AR23)*$B$11/360+AS30*(AS23-GHEL_Loan!$P$26)*$B$11/360</f>
        <v>43999.719197612714</v>
      </c>
      <c r="AT25" s="26">
        <f t="shared" ref="AT25" si="355">AS30*(AT23-AS23)*$B$11/360</f>
        <v>44167.337175508379</v>
      </c>
      <c r="AU25" s="26">
        <f t="shared" ref="AU25" si="356">AT30*(AU23-AT23)*$B$11/360</f>
        <v>42742.58436339521</v>
      </c>
      <c r="AV25" s="26">
        <f>AV24*(GHEL_Loan!$Q$26-AU23)*$B$11/360+AV30*(AV23-GHEL_Loan!$Q$26)*$B$11/360</f>
        <v>42910.202341290875</v>
      </c>
      <c r="AW25" s="26">
        <f t="shared" ref="AW25" si="357">AV30*(AW23-AV23)*$B$11/360</f>
        <v>41569.258518125527</v>
      </c>
      <c r="AX25" s="26">
        <f t="shared" ref="AX25" si="358">AW30*(AX23-AW23)*$B$11/360</f>
        <v>37546.427048629514</v>
      </c>
      <c r="AY25" s="26">
        <f>AY24*(GHEL_Loan!$R$26-AX23)*$B$11/360+AY30*(AY23-GHEL_Loan!$R$26)*$B$11/360</f>
        <v>40395.932672855866</v>
      </c>
      <c r="AZ25" s="26">
        <f t="shared" ref="AZ25" si="359">AY30*(AZ23-AY23)*$B$11/360</f>
        <v>37714.045026525186</v>
      </c>
      <c r="BA25" s="26">
        <f t="shared" ref="BA25" si="360">AZ30*(BA23-AZ23)*$B$11/360</f>
        <v>38971.179860742683</v>
      </c>
      <c r="BB25" s="26">
        <f>BB24*(GHEL_Loan!$S$26-BA23)*$B$11/360+BB30*(BB23-GHEL_Loan!$S$26)*$B$11/360</f>
        <v>36456.910192307681</v>
      </c>
      <c r="BC25" s="26">
        <f t="shared" ref="BC25" si="361">BB30*(BC23-BB23)*$B$11/360</f>
        <v>36373.101203359845</v>
      </c>
      <c r="BD25" s="26">
        <f t="shared" ref="BD25" si="362">BC30*(BD23-BC23)*$B$11/360</f>
        <v>36373.101203359845</v>
      </c>
      <c r="BE25" s="26">
        <f>BE24*(GHEL_Loan!$T$26-BD23)*$B$11/360+BE30*(BE23-GHEL_Loan!$T$26)*$B$11/360</f>
        <v>33858.83153492483</v>
      </c>
      <c r="BF25" s="26">
        <f t="shared" ref="BF25" si="363">BE30*(BF23-BE23)*$B$11/360</f>
        <v>33775.022545977001</v>
      </c>
      <c r="BG25" s="26">
        <f t="shared" ref="BG25" si="364">BF30*(BG23-BF23)*$B$11/360</f>
        <v>32685.505689655158</v>
      </c>
      <c r="BH25" s="26">
        <f>BH24*(GHEL_Loan!$U$26-BG23)*$B$11/360+BH30*(BH23-GHEL_Loan!$U$26)*$B$11/360</f>
        <v>32350.269733863825</v>
      </c>
      <c r="BI25" s="26">
        <f t="shared" ref="BI25" si="365">BH30*(BI23-BH23)*$B$11/360</f>
        <v>31176.943888594153</v>
      </c>
      <c r="BJ25" s="26">
        <f t="shared" ref="BJ25" si="366">BI30*(BJ23-BI23)*$B$11/360</f>
        <v>29165.528153846142</v>
      </c>
      <c r="BK25" s="26">
        <f>BK24*(GHEL_Loan!$V$26-BJ23)*$B$11/360+BK30*(BK23-GHEL_Loan!$V$26)*$B$11/360</f>
        <v>29752.19107648098</v>
      </c>
      <c r="BL25" s="26">
        <f t="shared" ref="BL25" si="367">BK30*(BL23-BK23)*$B$11/360</f>
        <v>27656.966352785137</v>
      </c>
      <c r="BM25" s="26">
        <f t="shared" ref="BM25" si="368">BL30*(BM23-BL23)*$B$11/360</f>
        <v>28578.865231211308</v>
      </c>
      <c r="BN25" s="26">
        <f>BN24*(GHEL_Loan!$W$26-BM23)*$B$11/360+BN30*(BN23-GHEL_Loan!$W$26)*$B$11/360</f>
        <v>26316.022529619797</v>
      </c>
      <c r="BO25" s="26">
        <f t="shared" ref="BO25" si="369">BN30*(BO23-BN23)*$B$11/360</f>
        <v>25980.786573828464</v>
      </c>
      <c r="BP25" s="26">
        <f t="shared" ref="BP25" si="370">BO30*(BP23-BO23)*$B$11/360</f>
        <v>25980.786573828464</v>
      </c>
      <c r="BQ25" s="26">
        <f>BQ24*(GHEL_Loan!$X$26-BP23)*$B$11/360+BQ30*(BQ23-GHEL_Loan!$X$26)*$B$11/360</f>
        <v>23801.752861184785</v>
      </c>
      <c r="BR25" s="26">
        <f t="shared" ref="BR25" si="371">BQ30*(BR23-BQ23)*$B$11/360</f>
        <v>23382.707916445615</v>
      </c>
      <c r="BS25" s="26">
        <f t="shared" ref="BS25" si="372">BR30*(BS23-BR23)*$B$11/360</f>
        <v>22628.427015915109</v>
      </c>
      <c r="BT25" s="26">
        <f>BT24*(GHEL_Loan!$Y$26-BS23)*$B$11/360+BT30*(BT23-GHEL_Loan!$Y$26)*$B$11/360</f>
        <v>21957.955104332443</v>
      </c>
      <c r="BU25" s="26">
        <f t="shared" ref="BU25" si="373">BT30*(BU23-BT23)*$B$11/360</f>
        <v>20784.629259062764</v>
      </c>
      <c r="BV25" s="26">
        <f t="shared" ref="BV25" si="374">BU30*(BV23-BU23)*$B$11/360</f>
        <v>18773.213524314757</v>
      </c>
      <c r="BW25" s="26">
        <f>BW24*(GHEL_Loan!$Z$26-BV23)*$B$11/360+BW30*(BW23-GHEL_Loan!$Z$26)*$B$11/360</f>
        <v>19359.876446949595</v>
      </c>
      <c r="BX25" s="26">
        <f t="shared" ref="BX25" si="375">BW30*(BX23-BW23)*$B$11/360</f>
        <v>17599.887679045085</v>
      </c>
      <c r="BY25" s="26">
        <f t="shared" ref="BY25" si="376">BX30*(BY23-BX23)*$B$11/360</f>
        <v>18186.550601679919</v>
      </c>
      <c r="BZ25" s="26">
        <f>BZ24*(GHEL_Loan!$AA$26-BY23)*$B$11/360+BZ30*(BZ23-GHEL_Loan!$AA$26)*$B$11/360</f>
        <v>16258.943855879741</v>
      </c>
      <c r="CA25" s="26">
        <f t="shared" ref="CA25" si="377">BZ30*(CA23-BZ23)*$B$11/360</f>
        <v>15588.471944297071</v>
      </c>
      <c r="CB25" s="26">
        <f t="shared" ref="CB25" si="378">CA30*(CB23-CA23)*$B$11/360</f>
        <v>15588.471944297071</v>
      </c>
      <c r="CC25" s="26">
        <f>CC24*(GHEL_Loan!$AB$26-CB23)*$B$11/360+CC30*(CC23-GHEL_Loan!$AB$26)*$B$11/360</f>
        <v>13744.674187444729</v>
      </c>
      <c r="CD25" s="26">
        <f t="shared" ref="CD25" si="379">CC30*(CD23-CC23)*$B$11/360</f>
        <v>12990.393286914223</v>
      </c>
      <c r="CE25" s="26">
        <f t="shared" ref="CE25" si="380">CD30*(CE23-CD23)*$B$11/360</f>
        <v>12571.348342175057</v>
      </c>
      <c r="CF25" s="26">
        <f>CF24*(GHEL_Loan!$AC$26-CE23)*$B$11/360+CF30*(CF23-GHEL_Loan!$AC$26)*$B$11/360</f>
        <v>11565.640474801048</v>
      </c>
      <c r="CG25" s="26">
        <f t="shared" ref="CG25" si="381">CF30*(CG23-CF23)*$B$11/360</f>
        <v>10392.314629531376</v>
      </c>
      <c r="CH25" s="26">
        <f t="shared" ref="CH25" si="382">CG30*(CH23-CG23)*$B$11/360</f>
        <v>9386.6067621573711</v>
      </c>
      <c r="CI25" s="26">
        <f>CI24*(GHEL_Loan!$AD$26-CH23)*$B$11/360+CI30*(CI23-GHEL_Loan!$AD$26)*$B$11/360</f>
        <v>8967.5618174182</v>
      </c>
      <c r="CJ25" s="26">
        <f t="shared" ref="CJ25" si="383">CI30*(CJ23-CI23)*$B$11/360</f>
        <v>7542.8090053050264</v>
      </c>
      <c r="CK25" s="26">
        <f t="shared" ref="CK25" si="384">CJ30*(CK23-CJ23)*$B$11/360</f>
        <v>7794.2359721485282</v>
      </c>
      <c r="CL25" s="26">
        <f>CL24*(GHEL_Loan!$AE$26-CK23)*$B$11/360+CL30*(CL23-GHEL_Loan!$AE$26)*$B$11/360</f>
        <v>6201.8651821396852</v>
      </c>
      <c r="CM25" s="26">
        <f t="shared" ref="CM25" si="385">CL30*(CM23-CL23)*$B$11/360</f>
        <v>5196.15731476568</v>
      </c>
      <c r="CN25" s="26">
        <f t="shared" ref="CN25" si="386">CM30*(CN23-CM23)*$B$11/360</f>
        <v>5196.15731476568</v>
      </c>
      <c r="CO25" s="26">
        <f>CO24*(GHEL_Loan!$AF$26-CN23)*$B$11/360+CO30*(CO23-GHEL_Loan!$AF$26)*$B$11/360</f>
        <v>3687.5955137046722</v>
      </c>
      <c r="CP25" s="26">
        <f t="shared" ref="CP25" si="387">CO30*(CP23-CO23)*$B$11/360</f>
        <v>2598.0786573828323</v>
      </c>
      <c r="CQ25" s="26">
        <f t="shared" ref="CQ25" si="388">CP30*(CQ23-CP23)*$B$11/360</f>
        <v>2514.2696684349989</v>
      </c>
      <c r="CR25" s="26">
        <f>CR24*(GHEL_Loan!$AG$26-CQ23)*$B$11/360+CR30*(CR23-GHEL_Loan!$AG$26)*$B$11/360</f>
        <v>1173.325845269658</v>
      </c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</row>
    <row r="26" spans="1:16384" s="57" customFormat="1" x14ac:dyDescent="0.25">
      <c r="A26" s="49" t="s">
        <v>13</v>
      </c>
      <c r="B26" s="50">
        <f>B25</f>
        <v>10999.584999999999</v>
      </c>
      <c r="C26" s="50">
        <f t="shared" ref="C26:Q26" si="389">B26+C25</f>
        <v>79197.011999999988</v>
      </c>
      <c r="D26" s="50">
        <f t="shared" si="389"/>
        <v>145194.522</v>
      </c>
      <c r="E26" s="50">
        <f t="shared" si="389"/>
        <v>213391.94899999999</v>
      </c>
      <c r="F26" s="50">
        <f t="shared" si="389"/>
        <v>279389.45899999997</v>
      </c>
      <c r="G26" s="50">
        <f t="shared" si="389"/>
        <v>347586.88599999994</v>
      </c>
      <c r="H26" s="50">
        <f t="shared" si="389"/>
        <v>415784.31299999997</v>
      </c>
      <c r="I26" s="50">
        <f t="shared" si="389"/>
        <v>481781.82299999997</v>
      </c>
      <c r="J26" s="50">
        <f t="shared" si="389"/>
        <v>549979.25</v>
      </c>
      <c r="K26" s="50">
        <f t="shared" si="389"/>
        <v>615976.76</v>
      </c>
      <c r="L26" s="50">
        <f t="shared" si="389"/>
        <v>682884.58048275858</v>
      </c>
      <c r="M26" s="50">
        <f t="shared" si="389"/>
        <v>748730.37206896546</v>
      </c>
      <c r="N26" s="50">
        <f t="shared" si="389"/>
        <v>810328.04806896544</v>
      </c>
      <c r="O26" s="50">
        <f t="shared" si="389"/>
        <v>874884.23313793098</v>
      </c>
      <c r="P26" s="50">
        <f t="shared" si="389"/>
        <v>936330.19072413782</v>
      </c>
      <c r="Q26" s="50">
        <f t="shared" si="389"/>
        <v>999824.34689655167</v>
      </c>
      <c r="R26" s="50">
        <f t="shared" ref="R26" si="390">Q26+R25</f>
        <v>1062536.8891724139</v>
      </c>
      <c r="S26" s="50">
        <f t="shared" ref="S26" si="391">R26+S25</f>
        <v>1130086.9342643679</v>
      </c>
      <c r="T26" s="50">
        <f t="shared" ref="T26" si="392">S26+T25</f>
        <v>1197636.979356322</v>
      </c>
      <c r="U26" s="50">
        <f t="shared" ref="U26" si="393">T26+U25</f>
        <v>1261667.0469124671</v>
      </c>
      <c r="V26" s="50">
        <f t="shared" ref="V26" si="394">U26+V25</f>
        <v>1326619.0133470383</v>
      </c>
      <c r="W26" s="50">
        <f t="shared" ref="W26" si="395">V26+W25</f>
        <v>1389475.7550579137</v>
      </c>
      <c r="X26" s="50">
        <f t="shared" ref="X26" si="396">W26+X25</f>
        <v>1453002.9686803718</v>
      </c>
      <c r="Y26" s="50">
        <f t="shared" ref="Y26" si="397">X26+Y25</f>
        <v>1515356.8564575601</v>
      </c>
      <c r="Z26" s="50">
        <f t="shared" ref="Z26" si="398">Y26+Z25</f>
        <v>1571676.4970305045</v>
      </c>
      <c r="AA26" s="50">
        <f t="shared" ref="AA26" si="399">Z26+AA25</f>
        <v>1632605.6319955797</v>
      </c>
      <c r="AB26" s="50">
        <f t="shared" ref="AB26" si="400">AA26+AB25</f>
        <v>1690433.8343695849</v>
      </c>
      <c r="AC26" s="50">
        <f t="shared" ref="AC26" si="401">AB26+AC25</f>
        <v>1750189.6434893904</v>
      </c>
      <c r="AD26" s="50">
        <f t="shared" ref="AD26" si="402">AC26+AD25</f>
        <v>1806676.9020402303</v>
      </c>
      <c r="AE26" s="50">
        <f t="shared" ref="AE26" si="403">AD26+AE25</f>
        <v>1863834.6325026529</v>
      </c>
      <c r="AF26" s="50">
        <f t="shared" ref="AF26" si="404">AE26+AF25</f>
        <v>1920992.3629650755</v>
      </c>
      <c r="AG26" s="50">
        <f t="shared" ref="AG26" si="405">AF26+AG25</f>
        <v>1975132.9698253761</v>
      </c>
      <c r="AH26" s="50">
        <f t="shared" ref="AH26" si="406">AG26+AH25</f>
        <v>2029692.6216304158</v>
      </c>
      <c r="AI26" s="50">
        <f t="shared" ref="AI26" si="407">AH26+AI25</f>
        <v>2082492.2846675511</v>
      </c>
      <c r="AJ26" s="50">
        <f t="shared" ref="AJ26" si="408">AI26+AJ25</f>
        <v>2135794.8016383732</v>
      </c>
      <c r="AK26" s="50">
        <f t="shared" ref="AK26" si="409">AJ26+AK25</f>
        <v>2187756.37478603</v>
      </c>
      <c r="AL26" s="50">
        <f t="shared" ref="AL26" si="410">AK26+AL25</f>
        <v>2234689.4085968169</v>
      </c>
      <c r="AM26" s="50">
        <f t="shared" ref="AM26" si="411">AL26+AM25</f>
        <v>2285226.2289323607</v>
      </c>
      <c r="AN26" s="50">
        <f t="shared" ref="AN26" si="412">AM26+AN25</f>
        <v>2332997.352632626</v>
      </c>
      <c r="AO26" s="50">
        <f t="shared" ref="AO26" si="413">AN26+AO25</f>
        <v>2382360.8471229002</v>
      </c>
      <c r="AP26" s="50">
        <f t="shared" ref="AP26" si="414">AO26+AP25</f>
        <v>2428958.6449778955</v>
      </c>
      <c r="AQ26" s="50">
        <f t="shared" ref="AQ26" si="415">AP26+AQ25</f>
        <v>2475724.0608107867</v>
      </c>
      <c r="AR26" s="50">
        <f t="shared" ref="AR26" si="416">AQ26+AR25</f>
        <v>2522489.4766436778</v>
      </c>
      <c r="AS26" s="50">
        <f t="shared" ref="AS26" si="417">AR26+AS25</f>
        <v>2566489.1958412905</v>
      </c>
      <c r="AT26" s="50">
        <f t="shared" ref="AT26" si="418">AS26+AT25</f>
        <v>2610656.533016799</v>
      </c>
      <c r="AU26" s="50">
        <f t="shared" ref="AU26" si="419">AT26+AU25</f>
        <v>2653399.1173801944</v>
      </c>
      <c r="AV26" s="50">
        <f t="shared" ref="AV26" si="420">AU26+AV25</f>
        <v>2696309.319721485</v>
      </c>
      <c r="AW26" s="50">
        <f t="shared" ref="AW26" si="421">AV26+AW25</f>
        <v>2737878.5782396104</v>
      </c>
      <c r="AX26" s="50">
        <f t="shared" ref="AX26" si="422">AW26+AX25</f>
        <v>2775425.00528824</v>
      </c>
      <c r="AY26" s="50">
        <f t="shared" ref="AY26" si="423">AX26+AY25</f>
        <v>2815820.9379610959</v>
      </c>
      <c r="AZ26" s="50">
        <f t="shared" ref="AZ26" si="424">AY26+AZ25</f>
        <v>2853534.9829876213</v>
      </c>
      <c r="BA26" s="50">
        <f t="shared" ref="BA26" si="425">AZ26+BA25</f>
        <v>2892506.1628483641</v>
      </c>
      <c r="BB26" s="50">
        <f t="shared" ref="BB26" si="426">BA26+BB25</f>
        <v>2928963.0730406716</v>
      </c>
      <c r="BC26" s="50">
        <f t="shared" ref="BC26" si="427">BB26+BC25</f>
        <v>2965336.1742440313</v>
      </c>
      <c r="BD26" s="50">
        <f t="shared" ref="BD26" si="428">BC26+BD25</f>
        <v>3001709.275447391</v>
      </c>
      <c r="BE26" s="50">
        <f t="shared" ref="BE26" si="429">BD26+BE25</f>
        <v>3035568.1069823159</v>
      </c>
      <c r="BF26" s="50">
        <f t="shared" ref="BF26" si="430">BE26+BF25</f>
        <v>3069343.1295282929</v>
      </c>
      <c r="BG26" s="50">
        <f t="shared" ref="BG26" si="431">BF26+BG25</f>
        <v>3102028.6352179479</v>
      </c>
      <c r="BH26" s="50">
        <f t="shared" ref="BH26" si="432">BG26+BH25</f>
        <v>3134378.9049518118</v>
      </c>
      <c r="BI26" s="50">
        <f t="shared" ref="BI26" si="433">BH26+BI25</f>
        <v>3165555.8488404057</v>
      </c>
      <c r="BJ26" s="50">
        <f t="shared" ref="BJ26" si="434">BI26+BJ25</f>
        <v>3194721.3769942517</v>
      </c>
      <c r="BK26" s="50">
        <f t="shared" ref="BK26" si="435">BJ26+BK25</f>
        <v>3224473.5680707325</v>
      </c>
      <c r="BL26" s="50">
        <f t="shared" ref="BL26" si="436">BK26+BL25</f>
        <v>3252130.5344235175</v>
      </c>
      <c r="BM26" s="50">
        <f t="shared" ref="BM26" si="437">BL26+BM25</f>
        <v>3280709.3996547288</v>
      </c>
      <c r="BN26" s="50">
        <f t="shared" ref="BN26" si="438">BM26+BN25</f>
        <v>3307025.4221843486</v>
      </c>
      <c r="BO26" s="50">
        <f t="shared" ref="BO26" si="439">BN26+BO25</f>
        <v>3333006.2087581772</v>
      </c>
      <c r="BP26" s="50">
        <f t="shared" ref="BP26" si="440">BO26+BP25</f>
        <v>3358986.9953320059</v>
      </c>
      <c r="BQ26" s="50">
        <f t="shared" ref="BQ26" si="441">BP26+BQ25</f>
        <v>3382788.7481931909</v>
      </c>
      <c r="BR26" s="50">
        <f t="shared" ref="BR26" si="442">BQ26+BR25</f>
        <v>3406171.4561096365</v>
      </c>
      <c r="BS26" s="50">
        <f t="shared" ref="BS26" si="443">BR26+BS25</f>
        <v>3428799.8831255515</v>
      </c>
      <c r="BT26" s="50">
        <f t="shared" ref="BT26" si="444">BS26+BT25</f>
        <v>3450757.8382298839</v>
      </c>
      <c r="BU26" s="50">
        <f t="shared" ref="BU26" si="445">BT26+BU25</f>
        <v>3471542.4674889469</v>
      </c>
      <c r="BV26" s="50">
        <f t="shared" ref="BV26" si="446">BU26+BV25</f>
        <v>3490315.6810132614</v>
      </c>
      <c r="BW26" s="50">
        <f t="shared" ref="BW26" si="447">BV26+BW25</f>
        <v>3509675.5574602112</v>
      </c>
      <c r="BX26" s="50">
        <f t="shared" ref="BX26" si="448">BW26+BX25</f>
        <v>3527275.4451392563</v>
      </c>
      <c r="BY26" s="50">
        <f t="shared" ref="BY26" si="449">BX26+BY25</f>
        <v>3545461.9957409361</v>
      </c>
      <c r="BZ26" s="50">
        <f t="shared" ref="BZ26" si="450">BY26+BZ25</f>
        <v>3561720.939596816</v>
      </c>
      <c r="CA26" s="50">
        <f t="shared" ref="CA26" si="451">BZ26+CA25</f>
        <v>3577309.4115411132</v>
      </c>
      <c r="CB26" s="50">
        <f t="shared" ref="CB26" si="452">CA26+CB25</f>
        <v>3592897.8834854104</v>
      </c>
      <c r="CC26" s="50">
        <f t="shared" ref="CC26" si="453">CB26+CC25</f>
        <v>3606642.557672855</v>
      </c>
      <c r="CD26" s="50">
        <f t="shared" ref="CD26" si="454">CC26+CD25</f>
        <v>3619632.9509597691</v>
      </c>
      <c r="CE26" s="50">
        <f t="shared" ref="CE26" si="455">CD26+CE25</f>
        <v>3632204.2993019442</v>
      </c>
      <c r="CF26" s="50">
        <f t="shared" ref="CF26" si="456">CE26+CF25</f>
        <v>3643769.9397767452</v>
      </c>
      <c r="CG26" s="50">
        <f t="shared" ref="CG26" si="457">CF26+CG25</f>
        <v>3654162.2544062766</v>
      </c>
      <c r="CH26" s="50">
        <f t="shared" ref="CH26" si="458">CG26+CH25</f>
        <v>3663548.8611684339</v>
      </c>
      <c r="CI26" s="50">
        <f t="shared" ref="CI26" si="459">CH26+CI25</f>
        <v>3672516.4229858522</v>
      </c>
      <c r="CJ26" s="50">
        <f t="shared" ref="CJ26" si="460">CI26+CJ25</f>
        <v>3680059.2319911574</v>
      </c>
      <c r="CK26" s="50">
        <f t="shared" ref="CK26" si="461">CJ26+CK25</f>
        <v>3687853.4679633058</v>
      </c>
      <c r="CL26" s="50">
        <f t="shared" ref="CL26" si="462">CK26+CL25</f>
        <v>3694055.3331454457</v>
      </c>
      <c r="CM26" s="50">
        <f t="shared" ref="CM26" si="463">CL26+CM25</f>
        <v>3699251.4904602114</v>
      </c>
      <c r="CN26" s="50">
        <f t="shared" ref="CN26" si="464">CM26+CN25</f>
        <v>3704447.6477749771</v>
      </c>
      <c r="CO26" s="50">
        <f t="shared" ref="CO26" si="465">CN26+CO25</f>
        <v>3708135.2432886818</v>
      </c>
      <c r="CP26" s="50">
        <f t="shared" ref="CP26" si="466">CO26+CP25</f>
        <v>3710733.3219460645</v>
      </c>
      <c r="CQ26" s="50">
        <f t="shared" ref="CQ26" si="467">CP26+CQ25</f>
        <v>3713247.5916144997</v>
      </c>
      <c r="CR26" s="50">
        <f t="shared" ref="CR26" si="468">CQ26+CR25</f>
        <v>3714420.9174597692</v>
      </c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</row>
    <row r="27" spans="1:16384" s="56" customFormat="1" x14ac:dyDescent="0.25">
      <c r="A27" s="23" t="s">
        <v>8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f>GHEL_Loan!$E$30</f>
        <v>455155.24137931032</v>
      </c>
      <c r="M27" s="26"/>
      <c r="N27" s="26"/>
      <c r="O27" s="26">
        <f>GHEL_Loan!$F$30</f>
        <v>455155.24137931032</v>
      </c>
      <c r="P27" s="26"/>
      <c r="Q27" s="26"/>
      <c r="R27" s="26">
        <f>GHEL_Loan!$G$30</f>
        <v>455155.24137931032</v>
      </c>
      <c r="S27" s="26"/>
      <c r="T27" s="26"/>
      <c r="U27" s="26">
        <f>GHEL_Loan!$H$30</f>
        <v>502853.93368700275</v>
      </c>
      <c r="V27" s="26"/>
      <c r="W27" s="26"/>
      <c r="X27" s="26">
        <f>GHEL_Loan!$I$30</f>
        <v>502853.93368700275</v>
      </c>
      <c r="Y27" s="26"/>
      <c r="Z27" s="26"/>
      <c r="AA27" s="26">
        <f>GHEL_Loan!$J$30</f>
        <v>502853.93368700275</v>
      </c>
      <c r="AB27" s="26"/>
      <c r="AC27" s="26"/>
      <c r="AD27" s="26">
        <f>GHEL_Loan!$K$30</f>
        <v>502853.93368700275</v>
      </c>
      <c r="AE27" s="26"/>
      <c r="AF27" s="26"/>
      <c r="AG27" s="26">
        <f>GHEL_Loan!$L$30</f>
        <v>502853.93368700275</v>
      </c>
      <c r="AH27" s="26"/>
      <c r="AI27" s="26"/>
      <c r="AJ27" s="26">
        <f>GHEL_Loan!$M$30</f>
        <v>502853.93368700275</v>
      </c>
      <c r="AK27" s="26"/>
      <c r="AL27" s="26"/>
      <c r="AM27" s="26">
        <f>GHEL_Loan!$N$30</f>
        <v>502853.93368700275</v>
      </c>
      <c r="AN27" s="26"/>
      <c r="AO27" s="26"/>
      <c r="AP27" s="26">
        <f>GHEL_Loan!$O$30</f>
        <v>502853.93368700275</v>
      </c>
      <c r="AQ27" s="26"/>
      <c r="AR27" s="26"/>
      <c r="AS27" s="26">
        <f>GHEL_Loan!$P$30</f>
        <v>502853.93368700275</v>
      </c>
      <c r="AT27" s="26"/>
      <c r="AU27" s="26"/>
      <c r="AV27" s="26">
        <f>GHEL_Loan!$Q$30</f>
        <v>502853.93368700275</v>
      </c>
      <c r="AW27" s="26"/>
      <c r="AX27" s="26"/>
      <c r="AY27" s="26">
        <f>GHEL_Loan!$R$30</f>
        <v>502853.93368700275</v>
      </c>
      <c r="AZ27" s="26"/>
      <c r="BA27" s="26"/>
      <c r="BB27" s="26">
        <f>GHEL_Loan!$S$30</f>
        <v>502853.93368700275</v>
      </c>
      <c r="BC27" s="26"/>
      <c r="BD27" s="26"/>
      <c r="BE27" s="26">
        <f>GHEL_Loan!$T$30</f>
        <v>502853.93368700275</v>
      </c>
      <c r="BF27" s="26"/>
      <c r="BG27" s="26"/>
      <c r="BH27" s="26">
        <f>GHEL_Loan!$U$30</f>
        <v>502853.93368700275</v>
      </c>
      <c r="BI27" s="26"/>
      <c r="BJ27" s="26"/>
      <c r="BK27" s="26">
        <f>GHEL_Loan!$V$30</f>
        <v>502853.93368700275</v>
      </c>
      <c r="BL27" s="26"/>
      <c r="BM27" s="26"/>
      <c r="BN27" s="26">
        <f>GHEL_Loan!$W$30</f>
        <v>502853.93368700275</v>
      </c>
      <c r="BO27" s="26"/>
      <c r="BP27" s="26"/>
      <c r="BQ27" s="26">
        <f>GHEL_Loan!$X$30</f>
        <v>502853.93368700275</v>
      </c>
      <c r="BR27" s="26"/>
      <c r="BS27" s="26"/>
      <c r="BT27" s="26">
        <f>GHEL_Loan!$Y$30</f>
        <v>502853.93368700275</v>
      </c>
      <c r="BU27" s="26"/>
      <c r="BV27" s="26"/>
      <c r="BW27" s="26">
        <f>GHEL_Loan!$Z$30</f>
        <v>502853.93368700275</v>
      </c>
      <c r="BX27" s="26"/>
      <c r="BY27" s="26"/>
      <c r="BZ27" s="26">
        <f>GHEL_Loan!$AA$30</f>
        <v>502853.93368700275</v>
      </c>
      <c r="CA27" s="26"/>
      <c r="CB27" s="26"/>
      <c r="CC27" s="26">
        <f>GHEL_Loan!$AB$30</f>
        <v>502853.93368700275</v>
      </c>
      <c r="CD27" s="26"/>
      <c r="CE27" s="26"/>
      <c r="CF27" s="26">
        <f>GHEL_Loan!$AC$30</f>
        <v>502853.93368700275</v>
      </c>
      <c r="CG27" s="26"/>
      <c r="CH27" s="26"/>
      <c r="CI27" s="26">
        <f>GHEL_Loan!$AD$30</f>
        <v>502853.93368700275</v>
      </c>
      <c r="CJ27" s="26"/>
      <c r="CK27" s="26"/>
      <c r="CL27" s="26">
        <f>GHEL_Loan!$AE$30</f>
        <v>502853.93368700275</v>
      </c>
      <c r="CM27" s="26"/>
      <c r="CN27" s="26"/>
      <c r="CO27" s="26">
        <f>GHEL_Loan!$AF$30</f>
        <v>502853.93368700275</v>
      </c>
      <c r="CP27" s="26"/>
      <c r="CQ27" s="26"/>
      <c r="CR27" s="26">
        <f>GHEL_Loan!$AG$30</f>
        <v>502853.93368700275</v>
      </c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S27" s="26"/>
    </row>
    <row r="28" spans="1:16384" s="56" customFormat="1" x14ac:dyDescent="0.25">
      <c r="A28" s="23" t="s">
        <v>14</v>
      </c>
      <c r="B28" s="26">
        <f>B27</f>
        <v>0</v>
      </c>
      <c r="C28" s="26">
        <f t="shared" ref="C28:Q28" si="469">B28+C27</f>
        <v>0</v>
      </c>
      <c r="D28" s="26">
        <f t="shared" si="469"/>
        <v>0</v>
      </c>
      <c r="E28" s="26">
        <f t="shared" si="469"/>
        <v>0</v>
      </c>
      <c r="F28" s="26">
        <f t="shared" si="469"/>
        <v>0</v>
      </c>
      <c r="G28" s="26">
        <f t="shared" si="469"/>
        <v>0</v>
      </c>
      <c r="H28" s="26">
        <f t="shared" si="469"/>
        <v>0</v>
      </c>
      <c r="I28" s="26">
        <f t="shared" si="469"/>
        <v>0</v>
      </c>
      <c r="J28" s="26">
        <f t="shared" si="469"/>
        <v>0</v>
      </c>
      <c r="K28" s="26">
        <f t="shared" si="469"/>
        <v>0</v>
      </c>
      <c r="L28" s="26">
        <f t="shared" si="469"/>
        <v>455155.24137931032</v>
      </c>
      <c r="M28" s="26">
        <f t="shared" si="469"/>
        <v>455155.24137931032</v>
      </c>
      <c r="N28" s="26">
        <f t="shared" si="469"/>
        <v>455155.24137931032</v>
      </c>
      <c r="O28" s="26">
        <f t="shared" si="469"/>
        <v>910310.48275862064</v>
      </c>
      <c r="P28" s="26">
        <f t="shared" si="469"/>
        <v>910310.48275862064</v>
      </c>
      <c r="Q28" s="26">
        <f t="shared" si="469"/>
        <v>910310.48275862064</v>
      </c>
      <c r="R28" s="26">
        <f t="shared" ref="R28" si="470">Q28+R27</f>
        <v>1365465.7241379309</v>
      </c>
      <c r="S28" s="26">
        <f t="shared" ref="S28" si="471">R28+S27</f>
        <v>1365465.7241379309</v>
      </c>
      <c r="T28" s="26">
        <f t="shared" ref="T28" si="472">S28+T27</f>
        <v>1365465.7241379309</v>
      </c>
      <c r="U28" s="26">
        <f t="shared" ref="U28" si="473">T28+U27</f>
        <v>1868319.6578249335</v>
      </c>
      <c r="V28" s="26">
        <f t="shared" ref="V28" si="474">U28+V27</f>
        <v>1868319.6578249335</v>
      </c>
      <c r="W28" s="26">
        <f t="shared" ref="W28" si="475">V28+W27</f>
        <v>1868319.6578249335</v>
      </c>
      <c r="X28" s="26">
        <f t="shared" ref="X28" si="476">W28+X27</f>
        <v>2371173.5915119364</v>
      </c>
      <c r="Y28" s="26">
        <f t="shared" ref="Y28" si="477">X28+Y27</f>
        <v>2371173.5915119364</v>
      </c>
      <c r="Z28" s="26">
        <f t="shared" ref="Z28" si="478">Y28+Z27</f>
        <v>2371173.5915119364</v>
      </c>
      <c r="AA28" s="26">
        <f t="shared" ref="AA28" si="479">Z28+AA27</f>
        <v>2874027.5251989393</v>
      </c>
      <c r="AB28" s="26">
        <f t="shared" ref="AB28" si="480">AA28+AB27</f>
        <v>2874027.5251989393</v>
      </c>
      <c r="AC28" s="26">
        <f t="shared" ref="AC28" si="481">AB28+AC27</f>
        <v>2874027.5251989393</v>
      </c>
      <c r="AD28" s="26">
        <f t="shared" ref="AD28" si="482">AC28+AD27</f>
        <v>3376881.4588859421</v>
      </c>
      <c r="AE28" s="26">
        <f t="shared" ref="AE28" si="483">AD28+AE27</f>
        <v>3376881.4588859421</v>
      </c>
      <c r="AF28" s="26">
        <f t="shared" ref="AF28" si="484">AE28+AF27</f>
        <v>3376881.4588859421</v>
      </c>
      <c r="AG28" s="26">
        <f t="shared" ref="AG28" si="485">AF28+AG27</f>
        <v>3879735.392572945</v>
      </c>
      <c r="AH28" s="26">
        <f t="shared" ref="AH28" si="486">AG28+AH27</f>
        <v>3879735.392572945</v>
      </c>
      <c r="AI28" s="26">
        <f t="shared" ref="AI28" si="487">AH28+AI27</f>
        <v>3879735.392572945</v>
      </c>
      <c r="AJ28" s="26">
        <f t="shared" ref="AJ28" si="488">AI28+AJ27</f>
        <v>4382589.3262599474</v>
      </c>
      <c r="AK28" s="26">
        <f t="shared" ref="AK28" si="489">AJ28+AK27</f>
        <v>4382589.3262599474</v>
      </c>
      <c r="AL28" s="26">
        <f t="shared" ref="AL28" si="490">AK28+AL27</f>
        <v>4382589.3262599474</v>
      </c>
      <c r="AM28" s="26">
        <f t="shared" ref="AM28" si="491">AL28+AM27</f>
        <v>4885443.2599469498</v>
      </c>
      <c r="AN28" s="26">
        <f t="shared" ref="AN28" si="492">AM28+AN27</f>
        <v>4885443.2599469498</v>
      </c>
      <c r="AO28" s="26">
        <f t="shared" ref="AO28" si="493">AN28+AO27</f>
        <v>4885443.2599469498</v>
      </c>
      <c r="AP28" s="26">
        <f t="shared" ref="AP28" si="494">AO28+AP27</f>
        <v>5388297.1936339522</v>
      </c>
      <c r="AQ28" s="26">
        <f t="shared" ref="AQ28" si="495">AP28+AQ27</f>
        <v>5388297.1936339522</v>
      </c>
      <c r="AR28" s="26">
        <f t="shared" ref="AR28" si="496">AQ28+AR27</f>
        <v>5388297.1936339522</v>
      </c>
      <c r="AS28" s="26">
        <f t="shared" ref="AS28" si="497">AR28+AS27</f>
        <v>5891151.1273209546</v>
      </c>
      <c r="AT28" s="26">
        <f t="shared" ref="AT28" si="498">AS28+AT27</f>
        <v>5891151.1273209546</v>
      </c>
      <c r="AU28" s="26">
        <f t="shared" ref="AU28" si="499">AT28+AU27</f>
        <v>5891151.1273209546</v>
      </c>
      <c r="AV28" s="26">
        <f t="shared" ref="AV28" si="500">AU28+AV27</f>
        <v>6394005.061007957</v>
      </c>
      <c r="AW28" s="26">
        <f t="shared" ref="AW28" si="501">AV28+AW27</f>
        <v>6394005.061007957</v>
      </c>
      <c r="AX28" s="26">
        <f t="shared" ref="AX28" si="502">AW28+AX27</f>
        <v>6394005.061007957</v>
      </c>
      <c r="AY28" s="26">
        <f t="shared" ref="AY28" si="503">AX28+AY27</f>
        <v>6896858.9946949594</v>
      </c>
      <c r="AZ28" s="26">
        <f t="shared" ref="AZ28" si="504">AY28+AZ27</f>
        <v>6896858.9946949594</v>
      </c>
      <c r="BA28" s="26">
        <f t="shared" ref="BA28" si="505">AZ28+BA27</f>
        <v>6896858.9946949594</v>
      </c>
      <c r="BB28" s="26">
        <f t="shared" ref="BB28" si="506">BA28+BB27</f>
        <v>7399712.9283819618</v>
      </c>
      <c r="BC28" s="26">
        <f t="shared" ref="BC28" si="507">BB28+BC27</f>
        <v>7399712.9283819618</v>
      </c>
      <c r="BD28" s="26">
        <f t="shared" ref="BD28" si="508">BC28+BD27</f>
        <v>7399712.9283819618</v>
      </c>
      <c r="BE28" s="26">
        <f t="shared" ref="BE28" si="509">BD28+BE27</f>
        <v>7902566.8620689642</v>
      </c>
      <c r="BF28" s="26">
        <f t="shared" ref="BF28" si="510">BE28+BF27</f>
        <v>7902566.8620689642</v>
      </c>
      <c r="BG28" s="26">
        <f t="shared" ref="BG28" si="511">BF28+BG27</f>
        <v>7902566.8620689642</v>
      </c>
      <c r="BH28" s="26">
        <f t="shared" ref="BH28" si="512">BG28+BH27</f>
        <v>8405420.7957559675</v>
      </c>
      <c r="BI28" s="26">
        <f t="shared" ref="BI28" si="513">BH28+BI27</f>
        <v>8405420.7957559675</v>
      </c>
      <c r="BJ28" s="26">
        <f t="shared" ref="BJ28" si="514">BI28+BJ27</f>
        <v>8405420.7957559675</v>
      </c>
      <c r="BK28" s="26">
        <f t="shared" ref="BK28" si="515">BJ28+BK27</f>
        <v>8908274.7294429708</v>
      </c>
      <c r="BL28" s="26">
        <f t="shared" ref="BL28" si="516">BK28+BL27</f>
        <v>8908274.7294429708</v>
      </c>
      <c r="BM28" s="26">
        <f t="shared" ref="BM28" si="517">BL28+BM27</f>
        <v>8908274.7294429708</v>
      </c>
      <c r="BN28" s="26">
        <f t="shared" ref="BN28" si="518">BM28+BN27</f>
        <v>9411128.6631299742</v>
      </c>
      <c r="BO28" s="26">
        <f t="shared" ref="BO28" si="519">BN28+BO27</f>
        <v>9411128.6631299742</v>
      </c>
      <c r="BP28" s="26">
        <f t="shared" ref="BP28" si="520">BO28+BP27</f>
        <v>9411128.6631299742</v>
      </c>
      <c r="BQ28" s="26">
        <f t="shared" ref="BQ28" si="521">BP28+BQ27</f>
        <v>9913982.5968169775</v>
      </c>
      <c r="BR28" s="26">
        <f t="shared" ref="BR28" si="522">BQ28+BR27</f>
        <v>9913982.5968169775</v>
      </c>
      <c r="BS28" s="26">
        <f t="shared" ref="BS28" si="523">BR28+BS27</f>
        <v>9913982.5968169775</v>
      </c>
      <c r="BT28" s="26">
        <f t="shared" ref="BT28" si="524">BS28+BT27</f>
        <v>10416836.530503981</v>
      </c>
      <c r="BU28" s="26">
        <f t="shared" ref="BU28" si="525">BT28+BU27</f>
        <v>10416836.530503981</v>
      </c>
      <c r="BV28" s="26">
        <f t="shared" ref="BV28" si="526">BU28+BV27</f>
        <v>10416836.530503981</v>
      </c>
      <c r="BW28" s="26">
        <f t="shared" ref="BW28" si="527">BV28+BW27</f>
        <v>10919690.464190984</v>
      </c>
      <c r="BX28" s="26">
        <f t="shared" ref="BX28" si="528">BW28+BX27</f>
        <v>10919690.464190984</v>
      </c>
      <c r="BY28" s="26">
        <f t="shared" ref="BY28" si="529">BX28+BY27</f>
        <v>10919690.464190984</v>
      </c>
      <c r="BZ28" s="26">
        <f t="shared" ref="BZ28" si="530">BY28+BZ27</f>
        <v>11422544.397877987</v>
      </c>
      <c r="CA28" s="26">
        <f t="shared" ref="CA28" si="531">BZ28+CA27</f>
        <v>11422544.397877987</v>
      </c>
      <c r="CB28" s="26">
        <f t="shared" ref="CB28" si="532">CA28+CB27</f>
        <v>11422544.397877987</v>
      </c>
      <c r="CC28" s="26">
        <f t="shared" ref="CC28" si="533">CB28+CC27</f>
        <v>11925398.331564991</v>
      </c>
      <c r="CD28" s="26">
        <f t="shared" ref="CD28" si="534">CC28+CD27</f>
        <v>11925398.331564991</v>
      </c>
      <c r="CE28" s="26">
        <f t="shared" ref="CE28" si="535">CD28+CE27</f>
        <v>11925398.331564991</v>
      </c>
      <c r="CF28" s="26">
        <f t="shared" ref="CF28" si="536">CE28+CF27</f>
        <v>12428252.265251994</v>
      </c>
      <c r="CG28" s="26">
        <f t="shared" ref="CG28" si="537">CF28+CG27</f>
        <v>12428252.265251994</v>
      </c>
      <c r="CH28" s="26">
        <f t="shared" ref="CH28" si="538">CG28+CH27</f>
        <v>12428252.265251994</v>
      </c>
      <c r="CI28" s="26">
        <f t="shared" ref="CI28" si="539">CH28+CI27</f>
        <v>12931106.198938997</v>
      </c>
      <c r="CJ28" s="26">
        <f t="shared" ref="CJ28" si="540">CI28+CJ27</f>
        <v>12931106.198938997</v>
      </c>
      <c r="CK28" s="26">
        <f t="shared" ref="CK28" si="541">CJ28+CK27</f>
        <v>12931106.198938997</v>
      </c>
      <c r="CL28" s="26">
        <f t="shared" ref="CL28" si="542">CK28+CL27</f>
        <v>13433960.132626001</v>
      </c>
      <c r="CM28" s="26">
        <f t="shared" ref="CM28" si="543">CL28+CM27</f>
        <v>13433960.132626001</v>
      </c>
      <c r="CN28" s="26">
        <f t="shared" ref="CN28" si="544">CM28+CN27</f>
        <v>13433960.132626001</v>
      </c>
      <c r="CO28" s="26">
        <f t="shared" ref="CO28" si="545">CN28+CO27</f>
        <v>13936814.066313004</v>
      </c>
      <c r="CP28" s="26">
        <f t="shared" ref="CP28" si="546">CO28+CP27</f>
        <v>13936814.066313004</v>
      </c>
      <c r="CQ28" s="26">
        <f t="shared" ref="CQ28" si="547">CP28+CQ27</f>
        <v>13936814.066313004</v>
      </c>
      <c r="CR28" s="26">
        <f t="shared" ref="CR28" si="548">CQ28+CR27</f>
        <v>14439668.000000007</v>
      </c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</row>
    <row r="29" spans="1:16384" s="56" customFormat="1" x14ac:dyDescent="0.25">
      <c r="A29" s="23" t="s">
        <v>9</v>
      </c>
      <c r="B29" s="33">
        <f t="shared" ref="B29:Q29" si="549">B27+B25</f>
        <v>10999.584999999999</v>
      </c>
      <c r="C29" s="33">
        <f t="shared" si="549"/>
        <v>68197.426999999996</v>
      </c>
      <c r="D29" s="33">
        <f t="shared" si="549"/>
        <v>65997.509999999995</v>
      </c>
      <c r="E29" s="33">
        <f t="shared" si="549"/>
        <v>68197.426999999996</v>
      </c>
      <c r="F29" s="33">
        <f t="shared" si="549"/>
        <v>65997.509999999995</v>
      </c>
      <c r="G29" s="33">
        <f t="shared" si="549"/>
        <v>68197.426999999996</v>
      </c>
      <c r="H29" s="33">
        <f t="shared" si="549"/>
        <v>68197.426999999996</v>
      </c>
      <c r="I29" s="33">
        <f t="shared" si="549"/>
        <v>65997.509999999995</v>
      </c>
      <c r="J29" s="33">
        <f t="shared" si="549"/>
        <v>68197.426999999996</v>
      </c>
      <c r="K29" s="33">
        <f t="shared" si="549"/>
        <v>65997.509999999995</v>
      </c>
      <c r="L29" s="33">
        <f t="shared" si="549"/>
        <v>522063.06186206895</v>
      </c>
      <c r="M29" s="33">
        <f t="shared" si="549"/>
        <v>65845.791586206906</v>
      </c>
      <c r="N29" s="33">
        <f t="shared" si="549"/>
        <v>61597.675999999999</v>
      </c>
      <c r="O29" s="33">
        <f t="shared" si="549"/>
        <v>519711.42644827586</v>
      </c>
      <c r="P29" s="33">
        <f t="shared" si="549"/>
        <v>61445.957586206896</v>
      </c>
      <c r="Q29" s="33">
        <f t="shared" si="549"/>
        <v>63494.156172413801</v>
      </c>
      <c r="R29" s="33">
        <f t="shared" ref="R29:CC29" si="550">R27+R25</f>
        <v>517867.78365517239</v>
      </c>
      <c r="S29" s="33">
        <f t="shared" si="550"/>
        <v>67550.045091954031</v>
      </c>
      <c r="T29" s="33">
        <f t="shared" si="550"/>
        <v>67550.045091954031</v>
      </c>
      <c r="U29" s="33">
        <f t="shared" si="550"/>
        <v>566884.00124314777</v>
      </c>
      <c r="V29" s="33">
        <f t="shared" si="550"/>
        <v>64951.966434571186</v>
      </c>
      <c r="W29" s="33">
        <f t="shared" si="550"/>
        <v>62856.741710875336</v>
      </c>
      <c r="X29" s="33">
        <f t="shared" si="550"/>
        <v>566381.14730946079</v>
      </c>
      <c r="Y29" s="33">
        <f t="shared" si="550"/>
        <v>62353.887777188334</v>
      </c>
      <c r="Z29" s="33">
        <f t="shared" si="550"/>
        <v>56319.640572944307</v>
      </c>
      <c r="AA29" s="33">
        <f t="shared" si="550"/>
        <v>563783.06865207793</v>
      </c>
      <c r="AB29" s="33">
        <f t="shared" si="550"/>
        <v>57828.202374005305</v>
      </c>
      <c r="AC29" s="33">
        <f t="shared" si="550"/>
        <v>59755.80911980549</v>
      </c>
      <c r="AD29" s="33">
        <f t="shared" si="550"/>
        <v>559341.19223784271</v>
      </c>
      <c r="AE29" s="33">
        <f t="shared" si="550"/>
        <v>57157.730462422638</v>
      </c>
      <c r="AF29" s="33">
        <f t="shared" si="550"/>
        <v>57157.730462422638</v>
      </c>
      <c r="AG29" s="33">
        <f t="shared" si="550"/>
        <v>556994.54054730339</v>
      </c>
      <c r="AH29" s="33">
        <f t="shared" si="550"/>
        <v>54559.651805039786</v>
      </c>
      <c r="AI29" s="33">
        <f t="shared" si="550"/>
        <v>52799.663037135273</v>
      </c>
      <c r="AJ29" s="33">
        <f t="shared" si="550"/>
        <v>556156.45065782499</v>
      </c>
      <c r="AK29" s="33">
        <f t="shared" si="550"/>
        <v>51961.573147656934</v>
      </c>
      <c r="AL29" s="33">
        <f t="shared" si="550"/>
        <v>46933.033810786903</v>
      </c>
      <c r="AM29" s="33">
        <f t="shared" si="550"/>
        <v>553390.75402254646</v>
      </c>
      <c r="AN29" s="33">
        <f t="shared" si="550"/>
        <v>47771.123700265234</v>
      </c>
      <c r="AO29" s="33">
        <f t="shared" si="550"/>
        <v>49363.494490274083</v>
      </c>
      <c r="AP29" s="33">
        <f t="shared" si="550"/>
        <v>549451.73154199834</v>
      </c>
      <c r="AQ29" s="33">
        <f t="shared" si="550"/>
        <v>46765.415832891231</v>
      </c>
      <c r="AR29" s="33">
        <f t="shared" si="550"/>
        <v>46765.415832891231</v>
      </c>
      <c r="AS29" s="33">
        <f t="shared" si="550"/>
        <v>546853.65288461547</v>
      </c>
      <c r="AT29" s="33">
        <f t="shared" si="550"/>
        <v>44167.337175508379</v>
      </c>
      <c r="AU29" s="33">
        <f t="shared" si="550"/>
        <v>42742.58436339521</v>
      </c>
      <c r="AV29" s="33">
        <f t="shared" si="550"/>
        <v>545764.13602829364</v>
      </c>
      <c r="AW29" s="33">
        <f t="shared" si="550"/>
        <v>41569.258518125527</v>
      </c>
      <c r="AX29" s="33">
        <f t="shared" si="550"/>
        <v>37546.427048629514</v>
      </c>
      <c r="AY29" s="33">
        <f t="shared" si="550"/>
        <v>543249.86635985866</v>
      </c>
      <c r="AZ29" s="33">
        <f t="shared" si="550"/>
        <v>37714.045026525186</v>
      </c>
      <c r="BA29" s="33">
        <f t="shared" si="550"/>
        <v>38971.179860742683</v>
      </c>
      <c r="BB29" s="33">
        <f t="shared" si="550"/>
        <v>539310.84387931041</v>
      </c>
      <c r="BC29" s="33">
        <f t="shared" si="550"/>
        <v>36373.101203359845</v>
      </c>
      <c r="BD29" s="33">
        <f t="shared" si="550"/>
        <v>36373.101203359845</v>
      </c>
      <c r="BE29" s="33">
        <f t="shared" si="550"/>
        <v>536712.76522192755</v>
      </c>
      <c r="BF29" s="33">
        <f t="shared" si="550"/>
        <v>33775.022545977001</v>
      </c>
      <c r="BG29" s="33">
        <f t="shared" si="550"/>
        <v>32685.505689655158</v>
      </c>
      <c r="BH29" s="33">
        <f t="shared" si="550"/>
        <v>535204.20342086651</v>
      </c>
      <c r="BI29" s="33">
        <f t="shared" si="550"/>
        <v>31176.943888594153</v>
      </c>
      <c r="BJ29" s="33">
        <f t="shared" si="550"/>
        <v>29165.528153846142</v>
      </c>
      <c r="BK29" s="33">
        <f t="shared" si="550"/>
        <v>532606.12476348376</v>
      </c>
      <c r="BL29" s="33">
        <f t="shared" si="550"/>
        <v>27656.966352785137</v>
      </c>
      <c r="BM29" s="33">
        <f t="shared" si="550"/>
        <v>28578.865231211308</v>
      </c>
      <c r="BN29" s="33">
        <f t="shared" si="550"/>
        <v>529169.95621662249</v>
      </c>
      <c r="BO29" s="33">
        <f t="shared" si="550"/>
        <v>25980.786573828464</v>
      </c>
      <c r="BP29" s="33">
        <f t="shared" si="550"/>
        <v>25980.786573828464</v>
      </c>
      <c r="BQ29" s="33">
        <f t="shared" si="550"/>
        <v>526655.68654818751</v>
      </c>
      <c r="BR29" s="33">
        <f t="shared" si="550"/>
        <v>23382.707916445615</v>
      </c>
      <c r="BS29" s="33">
        <f t="shared" si="550"/>
        <v>22628.427015915109</v>
      </c>
      <c r="BT29" s="33">
        <f t="shared" si="550"/>
        <v>524811.88879133516</v>
      </c>
      <c r="BU29" s="33">
        <f t="shared" si="550"/>
        <v>20784.629259062764</v>
      </c>
      <c r="BV29" s="33">
        <f t="shared" si="550"/>
        <v>18773.213524314757</v>
      </c>
      <c r="BW29" s="33">
        <f t="shared" si="550"/>
        <v>522213.81013395236</v>
      </c>
      <c r="BX29" s="33">
        <f t="shared" si="550"/>
        <v>17599.887679045085</v>
      </c>
      <c r="BY29" s="33">
        <f t="shared" si="550"/>
        <v>18186.550601679919</v>
      </c>
      <c r="BZ29" s="33">
        <f t="shared" si="550"/>
        <v>519112.87754288246</v>
      </c>
      <c r="CA29" s="33">
        <f t="shared" si="550"/>
        <v>15588.471944297071</v>
      </c>
      <c r="CB29" s="33">
        <f t="shared" si="550"/>
        <v>15588.471944297071</v>
      </c>
      <c r="CC29" s="33">
        <f t="shared" si="550"/>
        <v>516598.60787444748</v>
      </c>
      <c r="CD29" s="33">
        <f t="shared" ref="CD29:CE29" si="551">CD27+CD25</f>
        <v>12990.393286914223</v>
      </c>
      <c r="CE29" s="33">
        <f t="shared" si="551"/>
        <v>12571.348342175057</v>
      </c>
      <c r="CF29" s="33">
        <f t="shared" ref="CF29:CI29" si="552">CF27+CF25</f>
        <v>514419.57416180382</v>
      </c>
      <c r="CG29" s="33">
        <f t="shared" si="552"/>
        <v>10392.314629531376</v>
      </c>
      <c r="CH29" s="33">
        <f t="shared" si="552"/>
        <v>9386.6067621573711</v>
      </c>
      <c r="CI29" s="33">
        <f t="shared" si="552"/>
        <v>511821.49550442095</v>
      </c>
      <c r="CJ29" s="33">
        <f t="shared" ref="CJ29:CL29" si="553">CJ27+CJ25</f>
        <v>7542.8090053050264</v>
      </c>
      <c r="CK29" s="33">
        <f t="shared" si="553"/>
        <v>7794.2359721485282</v>
      </c>
      <c r="CL29" s="33">
        <f t="shared" si="553"/>
        <v>509055.79886914243</v>
      </c>
      <c r="CM29" s="33">
        <f t="shared" ref="CM29:CP29" si="554">CM27+CM25</f>
        <v>5196.15731476568</v>
      </c>
      <c r="CN29" s="33">
        <f t="shared" si="554"/>
        <v>5196.15731476568</v>
      </c>
      <c r="CO29" s="33">
        <f t="shared" si="554"/>
        <v>506541.52920070745</v>
      </c>
      <c r="CP29" s="33">
        <f t="shared" si="554"/>
        <v>2598.0786573828323</v>
      </c>
      <c r="CQ29" s="33">
        <f t="shared" ref="CQ29:CR29" si="555">CQ27+CQ25</f>
        <v>2514.2696684349989</v>
      </c>
      <c r="CR29" s="33">
        <f t="shared" si="555"/>
        <v>504027.25953227241</v>
      </c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</row>
    <row r="30" spans="1:16384" s="56" customFormat="1" ht="14.25" thickBot="1" x14ac:dyDescent="0.3">
      <c r="A30" s="34" t="s">
        <v>10</v>
      </c>
      <c r="B30" s="35">
        <f>B24-B27</f>
        <v>13199502</v>
      </c>
      <c r="C30" s="35">
        <f t="shared" ref="C30:BN30" si="556">C24-C27</f>
        <v>13199502</v>
      </c>
      <c r="D30" s="35">
        <f t="shared" si="556"/>
        <v>13199502</v>
      </c>
      <c r="E30" s="35">
        <f t="shared" si="556"/>
        <v>13199502</v>
      </c>
      <c r="F30" s="35">
        <f t="shared" si="556"/>
        <v>13199502</v>
      </c>
      <c r="G30" s="35">
        <f t="shared" si="556"/>
        <v>13199502</v>
      </c>
      <c r="H30" s="35">
        <f t="shared" si="556"/>
        <v>13199502</v>
      </c>
      <c r="I30" s="35">
        <f t="shared" si="556"/>
        <v>13199502</v>
      </c>
      <c r="J30" s="35">
        <f t="shared" si="556"/>
        <v>13199502</v>
      </c>
      <c r="K30" s="35">
        <f t="shared" si="556"/>
        <v>13199502</v>
      </c>
      <c r="L30" s="35">
        <f t="shared" si="556"/>
        <v>12744346.758620691</v>
      </c>
      <c r="M30" s="35">
        <f t="shared" si="556"/>
        <v>12744346.758620691</v>
      </c>
      <c r="N30" s="35">
        <f t="shared" si="556"/>
        <v>12744346.758620691</v>
      </c>
      <c r="O30" s="35">
        <f t="shared" si="556"/>
        <v>12289191.517241381</v>
      </c>
      <c r="P30" s="35">
        <f t="shared" si="556"/>
        <v>12289191.517241381</v>
      </c>
      <c r="Q30" s="35">
        <f t="shared" si="556"/>
        <v>12289191.517241381</v>
      </c>
      <c r="R30" s="35">
        <f t="shared" si="556"/>
        <v>11834036.275862072</v>
      </c>
      <c r="S30" s="35">
        <f t="shared" si="556"/>
        <v>13074202.275862072</v>
      </c>
      <c r="T30" s="35">
        <f t="shared" si="556"/>
        <v>13074202.275862072</v>
      </c>
      <c r="U30" s="35">
        <f t="shared" si="556"/>
        <v>12571348.342175068</v>
      </c>
      <c r="V30" s="35">
        <f t="shared" si="556"/>
        <v>12571348.342175068</v>
      </c>
      <c r="W30" s="35">
        <f t="shared" si="556"/>
        <v>12571348.342175068</v>
      </c>
      <c r="X30" s="35">
        <f t="shared" si="556"/>
        <v>12068494.408488065</v>
      </c>
      <c r="Y30" s="35">
        <f t="shared" si="556"/>
        <v>12068494.408488065</v>
      </c>
      <c r="Z30" s="35">
        <f t="shared" si="556"/>
        <v>12068494.408488065</v>
      </c>
      <c r="AA30" s="35">
        <f t="shared" si="556"/>
        <v>11565640.474801062</v>
      </c>
      <c r="AB30" s="35">
        <f t="shared" si="556"/>
        <v>11565640.474801062</v>
      </c>
      <c r="AC30" s="35">
        <f t="shared" si="556"/>
        <v>11565640.474801062</v>
      </c>
      <c r="AD30" s="35">
        <f t="shared" si="556"/>
        <v>11062786.541114058</v>
      </c>
      <c r="AE30" s="35">
        <f t="shared" si="556"/>
        <v>11062786.541114058</v>
      </c>
      <c r="AF30" s="35">
        <f t="shared" si="556"/>
        <v>11062786.541114058</v>
      </c>
      <c r="AG30" s="35">
        <f t="shared" si="556"/>
        <v>10559932.607427055</v>
      </c>
      <c r="AH30" s="35">
        <f t="shared" si="556"/>
        <v>10559932.607427055</v>
      </c>
      <c r="AI30" s="35">
        <f t="shared" si="556"/>
        <v>10559932.607427055</v>
      </c>
      <c r="AJ30" s="35">
        <f t="shared" si="556"/>
        <v>10057078.673740052</v>
      </c>
      <c r="AK30" s="35">
        <f t="shared" si="556"/>
        <v>10057078.673740052</v>
      </c>
      <c r="AL30" s="35">
        <f t="shared" si="556"/>
        <v>10057078.673740052</v>
      </c>
      <c r="AM30" s="35">
        <f t="shared" si="556"/>
        <v>9554224.7400530484</v>
      </c>
      <c r="AN30" s="35">
        <f t="shared" si="556"/>
        <v>9554224.7400530484</v>
      </c>
      <c r="AO30" s="35">
        <f t="shared" si="556"/>
        <v>9554224.7400530484</v>
      </c>
      <c r="AP30" s="35">
        <f t="shared" si="556"/>
        <v>9051370.806366045</v>
      </c>
      <c r="AQ30" s="35">
        <f t="shared" si="556"/>
        <v>9051370.806366045</v>
      </c>
      <c r="AR30" s="35">
        <f t="shared" si="556"/>
        <v>9051370.806366045</v>
      </c>
      <c r="AS30" s="35">
        <f t="shared" si="556"/>
        <v>8548516.8726790417</v>
      </c>
      <c r="AT30" s="35">
        <f t="shared" si="556"/>
        <v>8548516.8726790417</v>
      </c>
      <c r="AU30" s="35">
        <f t="shared" si="556"/>
        <v>8548516.8726790417</v>
      </c>
      <c r="AV30" s="35">
        <f t="shared" si="556"/>
        <v>8045662.9389920393</v>
      </c>
      <c r="AW30" s="35">
        <f t="shared" si="556"/>
        <v>8045662.9389920393</v>
      </c>
      <c r="AX30" s="35">
        <f t="shared" si="556"/>
        <v>8045662.9389920393</v>
      </c>
      <c r="AY30" s="35">
        <f t="shared" si="556"/>
        <v>7542809.0053050369</v>
      </c>
      <c r="AZ30" s="35">
        <f t="shared" si="556"/>
        <v>7542809.0053050369</v>
      </c>
      <c r="BA30" s="35">
        <f t="shared" si="556"/>
        <v>7542809.0053050369</v>
      </c>
      <c r="BB30" s="35">
        <f t="shared" si="556"/>
        <v>7039955.0716180345</v>
      </c>
      <c r="BC30" s="35">
        <f t="shared" si="556"/>
        <v>7039955.0716180345</v>
      </c>
      <c r="BD30" s="35">
        <f t="shared" si="556"/>
        <v>7039955.0716180345</v>
      </c>
      <c r="BE30" s="35">
        <f t="shared" si="556"/>
        <v>6537101.1379310321</v>
      </c>
      <c r="BF30" s="35">
        <f t="shared" si="556"/>
        <v>6537101.1379310321</v>
      </c>
      <c r="BG30" s="35">
        <f t="shared" si="556"/>
        <v>6537101.1379310321</v>
      </c>
      <c r="BH30" s="35">
        <f t="shared" si="556"/>
        <v>6034247.2042440297</v>
      </c>
      <c r="BI30" s="35">
        <f t="shared" si="556"/>
        <v>6034247.2042440297</v>
      </c>
      <c r="BJ30" s="35">
        <f t="shared" si="556"/>
        <v>6034247.2042440297</v>
      </c>
      <c r="BK30" s="35">
        <f t="shared" si="556"/>
        <v>5531393.2705570273</v>
      </c>
      <c r="BL30" s="35">
        <f t="shared" si="556"/>
        <v>5531393.2705570273</v>
      </c>
      <c r="BM30" s="35">
        <f t="shared" si="556"/>
        <v>5531393.2705570273</v>
      </c>
      <c r="BN30" s="35">
        <f t="shared" si="556"/>
        <v>5028539.3368700249</v>
      </c>
      <c r="BO30" s="35">
        <f t="shared" ref="BO30:CI30" si="557">BO24-BO27</f>
        <v>5028539.3368700249</v>
      </c>
      <c r="BP30" s="35">
        <f t="shared" si="557"/>
        <v>5028539.3368700249</v>
      </c>
      <c r="BQ30" s="35">
        <f t="shared" si="557"/>
        <v>4525685.4031830225</v>
      </c>
      <c r="BR30" s="35">
        <f t="shared" si="557"/>
        <v>4525685.4031830225</v>
      </c>
      <c r="BS30" s="35">
        <f t="shared" si="557"/>
        <v>4525685.4031830225</v>
      </c>
      <c r="BT30" s="35">
        <f t="shared" si="557"/>
        <v>4022831.4694960197</v>
      </c>
      <c r="BU30" s="35">
        <f t="shared" si="557"/>
        <v>4022831.4694960197</v>
      </c>
      <c r="BV30" s="35">
        <f t="shared" si="557"/>
        <v>4022831.4694960197</v>
      </c>
      <c r="BW30" s="35">
        <f t="shared" si="557"/>
        <v>3519977.5358090168</v>
      </c>
      <c r="BX30" s="35">
        <f t="shared" si="557"/>
        <v>3519977.5358090168</v>
      </c>
      <c r="BY30" s="35">
        <f t="shared" si="557"/>
        <v>3519977.5358090168</v>
      </c>
      <c r="BZ30" s="35">
        <f t="shared" si="557"/>
        <v>3017123.6021220139</v>
      </c>
      <c r="CA30" s="35">
        <f t="shared" si="557"/>
        <v>3017123.6021220139</v>
      </c>
      <c r="CB30" s="35">
        <f t="shared" si="557"/>
        <v>3017123.6021220139</v>
      </c>
      <c r="CC30" s="35">
        <f t="shared" si="557"/>
        <v>2514269.6684350111</v>
      </c>
      <c r="CD30" s="35">
        <f t="shared" si="557"/>
        <v>2514269.6684350111</v>
      </c>
      <c r="CE30" s="35">
        <f t="shared" si="557"/>
        <v>2514269.6684350111</v>
      </c>
      <c r="CF30" s="35">
        <f t="shared" si="557"/>
        <v>2011415.7347480082</v>
      </c>
      <c r="CG30" s="35">
        <f t="shared" si="557"/>
        <v>2011415.7347480082</v>
      </c>
      <c r="CH30" s="35">
        <f t="shared" si="557"/>
        <v>2011415.7347480082</v>
      </c>
      <c r="CI30" s="35">
        <f t="shared" si="557"/>
        <v>1508561.8010610053</v>
      </c>
      <c r="CJ30" s="35">
        <f t="shared" ref="CJ30:CL30" si="558">CJ24-CJ27</f>
        <v>1508561.8010610053</v>
      </c>
      <c r="CK30" s="35">
        <f t="shared" si="558"/>
        <v>1508561.8010610053</v>
      </c>
      <c r="CL30" s="35">
        <f t="shared" si="558"/>
        <v>1005707.8673740026</v>
      </c>
      <c r="CM30" s="35">
        <f t="shared" ref="CM30:CP30" si="559">CM24-CM27</f>
        <v>1005707.8673740026</v>
      </c>
      <c r="CN30" s="35">
        <f t="shared" si="559"/>
        <v>1005707.8673740026</v>
      </c>
      <c r="CO30" s="35">
        <f t="shared" si="559"/>
        <v>502853.93368699984</v>
      </c>
      <c r="CP30" s="35">
        <f t="shared" si="559"/>
        <v>502853.93368699984</v>
      </c>
      <c r="CQ30" s="35">
        <f t="shared" ref="CQ30:CR30" si="560">CQ24-CQ27</f>
        <v>502853.93368699984</v>
      </c>
      <c r="CR30" s="35">
        <f t="shared" si="560"/>
        <v>-2.9103830456733704E-9</v>
      </c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</row>
    <row r="31" spans="1:16384" s="56" customFormat="1" x14ac:dyDescent="0.25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16384" s="58" customFormat="1" x14ac:dyDescent="0.25">
      <c r="A32" s="51"/>
      <c r="B32" s="52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CR32" s="150">
        <f>CR26-GHEL_Loan!AG29</f>
        <v>0</v>
      </c>
    </row>
    <row r="33" spans="2:83" x14ac:dyDescent="0.25">
      <c r="B33" s="3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U33" s="31"/>
      <c r="CE33" s="31"/>
    </row>
    <row r="34" spans="2:83" x14ac:dyDescent="0.25"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2:83" x14ac:dyDescent="0.25"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2:83" x14ac:dyDescent="0.25"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</row>
    <row r="37" spans="2:83" x14ac:dyDescent="0.25"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2:83" x14ac:dyDescent="0.25"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2:83" x14ac:dyDescent="0.25"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2:83" x14ac:dyDescent="0.25">
      <c r="E40" s="38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B17:B19 B5:B10 B13:B14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view="pageBreakPreview" zoomScaleNormal="100" zoomScaleSheetLayoutView="100" workbookViewId="0">
      <selection activeCell="D20" sqref="D20"/>
    </sheetView>
  </sheetViews>
  <sheetFormatPr defaultColWidth="9.140625" defaultRowHeight="12.75" x14ac:dyDescent="0.2"/>
  <cols>
    <col min="1" max="1" width="14.5703125" style="104" customWidth="1"/>
    <col min="2" max="2" width="16" style="104" customWidth="1"/>
    <col min="3" max="3" width="15.85546875" style="104" customWidth="1"/>
    <col min="4" max="4" width="18.28515625" style="104" customWidth="1"/>
    <col min="5" max="5" width="17.7109375" style="104" customWidth="1"/>
    <col min="6" max="6" width="21.85546875" style="104" customWidth="1"/>
    <col min="7" max="7" width="17.5703125" style="104" customWidth="1"/>
    <col min="8" max="8" width="15" style="104" bestFit="1" customWidth="1"/>
    <col min="9" max="16384" width="9.140625" style="104"/>
  </cols>
  <sheetData>
    <row r="1" spans="1:5" ht="15" x14ac:dyDescent="0.25">
      <c r="A1" s="105" t="s">
        <v>0</v>
      </c>
      <c r="B1" s="106"/>
      <c r="C1" s="105" t="str">
        <f>GHEL_Loan!C1</f>
        <v>Green Housing Energy Ltd. (GHEL-15 SIPs)</v>
      </c>
      <c r="D1" s="106"/>
      <c r="E1" s="106"/>
    </row>
    <row r="2" spans="1:5" ht="15" x14ac:dyDescent="0.25">
      <c r="A2" s="105"/>
      <c r="B2" s="106"/>
      <c r="C2" s="105"/>
      <c r="D2" s="106"/>
      <c r="E2" s="106"/>
    </row>
    <row r="3" spans="1:5" ht="18.75" x14ac:dyDescent="0.3">
      <c r="A3" s="137" t="str">
        <f>Accrual_GHEL!A3</f>
        <v>Assumptions:</v>
      </c>
      <c r="B3" s="106"/>
      <c r="C3" s="105"/>
      <c r="D3" s="106"/>
      <c r="E3" s="106"/>
    </row>
    <row r="4" spans="1:5" ht="15" x14ac:dyDescent="0.25">
      <c r="A4" s="105"/>
      <c r="B4" s="106"/>
      <c r="C4" s="106"/>
      <c r="D4" s="106"/>
      <c r="E4" s="106"/>
    </row>
    <row r="5" spans="1:5" x14ac:dyDescent="0.2">
      <c r="A5" s="107" t="s">
        <v>4</v>
      </c>
      <c r="B5" s="89"/>
      <c r="C5" s="108">
        <f>GHEL_Loan!C3</f>
        <v>42035</v>
      </c>
      <c r="D5" s="107"/>
      <c r="E5" s="107"/>
    </row>
    <row r="6" spans="1:5" x14ac:dyDescent="0.2">
      <c r="A6" s="89"/>
      <c r="B6" s="89"/>
      <c r="C6" s="89"/>
      <c r="D6" s="89"/>
      <c r="E6" s="89"/>
    </row>
    <row r="7" spans="1:5" x14ac:dyDescent="0.2">
      <c r="A7" s="107" t="s">
        <v>2</v>
      </c>
      <c r="B7" s="89"/>
      <c r="C7" s="109">
        <f>GHEL_Loan!C5</f>
        <v>15099668</v>
      </c>
      <c r="D7" s="107"/>
      <c r="E7" s="89"/>
    </row>
    <row r="8" spans="1:5" x14ac:dyDescent="0.2">
      <c r="A8" s="107"/>
      <c r="B8" s="89"/>
      <c r="C8" s="89"/>
      <c r="D8" s="89"/>
      <c r="E8" s="89"/>
    </row>
    <row r="9" spans="1:5" x14ac:dyDescent="0.2">
      <c r="A9" s="107" t="s">
        <v>5</v>
      </c>
      <c r="B9" s="89"/>
      <c r="C9" s="108">
        <f>Accrual_GHEL!B9</f>
        <v>42059</v>
      </c>
      <c r="D9" s="89"/>
      <c r="E9" s="86"/>
    </row>
    <row r="10" spans="1:5" x14ac:dyDescent="0.2">
      <c r="A10" s="107"/>
      <c r="B10" s="89"/>
      <c r="C10" s="86"/>
      <c r="D10" s="89"/>
      <c r="E10" s="89"/>
    </row>
    <row r="11" spans="1:5" x14ac:dyDescent="0.2">
      <c r="A11" s="107" t="s">
        <v>3</v>
      </c>
      <c r="B11" s="89"/>
      <c r="C11" s="110">
        <f>GHEL_Loan!C10</f>
        <v>0.06</v>
      </c>
      <c r="D11" s="89"/>
      <c r="E11" s="89"/>
    </row>
    <row r="12" spans="1:5" x14ac:dyDescent="0.2">
      <c r="A12" s="107" t="s">
        <v>49</v>
      </c>
      <c r="B12" s="89"/>
      <c r="C12" s="78">
        <f>GHEL_Loan!C11</f>
        <v>8</v>
      </c>
      <c r="D12" s="89" t="s">
        <v>59</v>
      </c>
      <c r="E12" s="89"/>
    </row>
    <row r="13" spans="1:5" x14ac:dyDescent="0.2">
      <c r="A13" s="107" t="s">
        <v>24</v>
      </c>
      <c r="B13" s="89"/>
      <c r="C13" s="86" t="str">
        <f>GHEL_Loan!C12</f>
        <v>Level Principal</v>
      </c>
      <c r="D13" s="89"/>
      <c r="E13" s="89"/>
    </row>
    <row r="14" spans="1:5" x14ac:dyDescent="0.2">
      <c r="A14" s="111" t="s">
        <v>50</v>
      </c>
      <c r="B14" s="89"/>
      <c r="C14" s="112">
        <f>GHEL_Loan!C13</f>
        <v>360</v>
      </c>
      <c r="D14" s="86" t="s">
        <v>51</v>
      </c>
      <c r="E14" s="89"/>
    </row>
    <row r="15" spans="1:5" x14ac:dyDescent="0.2">
      <c r="A15" s="111" t="s">
        <v>52</v>
      </c>
      <c r="B15" s="86"/>
      <c r="C15" s="113">
        <f>GHEL_Loan!C14</f>
        <v>29</v>
      </c>
      <c r="D15" s="89"/>
      <c r="E15" s="89"/>
    </row>
    <row r="16" spans="1:5" x14ac:dyDescent="0.2">
      <c r="A16" s="111"/>
      <c r="B16" s="114"/>
      <c r="C16" s="115"/>
      <c r="D16" s="89"/>
      <c r="E16" s="89"/>
    </row>
    <row r="17" spans="1:8" x14ac:dyDescent="0.2">
      <c r="A17" s="111" t="s">
        <v>53</v>
      </c>
      <c r="B17" s="114"/>
      <c r="C17" s="115"/>
      <c r="D17" s="89"/>
      <c r="E17" s="89"/>
    </row>
    <row r="18" spans="1:8" x14ac:dyDescent="0.2">
      <c r="A18" s="64"/>
      <c r="B18" s="65"/>
      <c r="C18" s="101">
        <f>GHEL_Loan!C19</f>
        <v>42059</v>
      </c>
      <c r="D18" s="101">
        <f>GHEL_Loan!D19</f>
        <v>42059</v>
      </c>
      <c r="E18" s="65"/>
    </row>
    <row r="19" spans="1:8" x14ac:dyDescent="0.2">
      <c r="A19" s="116"/>
      <c r="B19" s="117"/>
      <c r="C19" s="118">
        <f>GHEL_Loan!C20</f>
        <v>8598240</v>
      </c>
      <c r="D19" s="118">
        <f>GHEL_Loan!D20</f>
        <v>4601262</v>
      </c>
      <c r="E19" s="118"/>
    </row>
    <row r="20" spans="1:8" x14ac:dyDescent="0.2">
      <c r="A20" s="119"/>
      <c r="B20" s="120"/>
      <c r="C20" s="121">
        <f>C19</f>
        <v>8598240</v>
      </c>
      <c r="D20" s="121">
        <f>D19+C20</f>
        <v>13199502</v>
      </c>
      <c r="E20" s="121"/>
    </row>
    <row r="23" spans="1:8" x14ac:dyDescent="0.2">
      <c r="A23" s="138" t="str">
        <f t="array" ref="A23:H55">TRANSPOSE(GHEL_Loan!A26:AG33)</f>
        <v>Repayment Date</v>
      </c>
      <c r="B23" s="138" t="str">
        <v>Opening Balance</v>
      </c>
      <c r="C23" s="138" t="str">
        <v>Interest Payment</v>
      </c>
      <c r="D23" s="138" t="str">
        <v>Cumulative interest</v>
      </c>
      <c r="E23" s="138" t="str">
        <v>Principal Payment</v>
      </c>
      <c r="F23" s="138" t="str">
        <v>Cumulative repayment</v>
      </c>
      <c r="G23" s="138" t="str">
        <v>Total Debt Service</v>
      </c>
      <c r="H23" s="138" t="str">
        <v>Closing Balance</v>
      </c>
    </row>
    <row r="24" spans="1:8" s="132" customFormat="1" x14ac:dyDescent="0.2">
      <c r="A24" s="133">
        <v>42078</v>
      </c>
      <c r="B24" s="131">
        <v>13199502</v>
      </c>
      <c r="C24" s="131">
        <v>0</v>
      </c>
      <c r="D24" s="131">
        <v>0</v>
      </c>
      <c r="E24" s="131">
        <v>0</v>
      </c>
      <c r="F24" s="131">
        <v>0</v>
      </c>
      <c r="G24" s="131">
        <v>0</v>
      </c>
      <c r="H24" s="131">
        <v>13199502</v>
      </c>
    </row>
    <row r="25" spans="1:8" s="132" customFormat="1" x14ac:dyDescent="0.2">
      <c r="A25" s="133">
        <v>42170</v>
      </c>
      <c r="B25" s="131">
        <v>13199502</v>
      </c>
      <c r="C25" s="131">
        <v>244190.78699999998</v>
      </c>
      <c r="D25" s="131">
        <v>244190.78699999998</v>
      </c>
      <c r="E25" s="131">
        <v>0</v>
      </c>
      <c r="F25" s="131">
        <v>0</v>
      </c>
      <c r="G25" s="131">
        <v>244190.78699999998</v>
      </c>
      <c r="H25" s="131">
        <v>13199502</v>
      </c>
    </row>
    <row r="26" spans="1:8" s="132" customFormat="1" x14ac:dyDescent="0.2">
      <c r="A26" s="133">
        <v>42262</v>
      </c>
      <c r="B26" s="131">
        <v>13199502</v>
      </c>
      <c r="C26" s="131">
        <v>202392.36400000003</v>
      </c>
      <c r="D26" s="131">
        <v>446583.15100000001</v>
      </c>
      <c r="E26" s="131">
        <v>0</v>
      </c>
      <c r="F26" s="131">
        <v>0</v>
      </c>
      <c r="G26" s="131">
        <v>202392.36400000003</v>
      </c>
      <c r="H26" s="131">
        <v>13199502</v>
      </c>
    </row>
    <row r="27" spans="1:8" s="132" customFormat="1" x14ac:dyDescent="0.2">
      <c r="A27" s="133">
        <v>42353</v>
      </c>
      <c r="B27" s="131">
        <v>13199502</v>
      </c>
      <c r="C27" s="131">
        <v>200192.44700000001</v>
      </c>
      <c r="D27" s="131">
        <v>646775.598</v>
      </c>
      <c r="E27" s="131">
        <v>455155.24137931032</v>
      </c>
      <c r="F27" s="131">
        <v>455155.24137931032</v>
      </c>
      <c r="G27" s="131">
        <v>655347.6883793103</v>
      </c>
      <c r="H27" s="131">
        <v>12744346.758620691</v>
      </c>
    </row>
    <row r="28" spans="1:8" s="132" customFormat="1" x14ac:dyDescent="0.2">
      <c r="A28" s="133">
        <v>42444</v>
      </c>
      <c r="B28" s="131">
        <v>12744346.758620691</v>
      </c>
      <c r="C28" s="131">
        <v>193289.25917241379</v>
      </c>
      <c r="D28" s="131">
        <v>840064.85717241373</v>
      </c>
      <c r="E28" s="131">
        <v>455155.24137931032</v>
      </c>
      <c r="F28" s="131">
        <v>910310.48275862064</v>
      </c>
      <c r="G28" s="131">
        <v>648444.50055172411</v>
      </c>
      <c r="H28" s="131">
        <v>12289191.517241381</v>
      </c>
    </row>
    <row r="29" spans="1:8" s="132" customFormat="1" x14ac:dyDescent="0.2">
      <c r="A29" s="133">
        <v>42536</v>
      </c>
      <c r="B29" s="131">
        <v>12289191.517241381</v>
      </c>
      <c r="C29" s="131">
        <v>188434.26993103451</v>
      </c>
      <c r="D29" s="131">
        <v>1028499.1271034483</v>
      </c>
      <c r="E29" s="131">
        <v>455155.24137931032</v>
      </c>
      <c r="F29" s="131">
        <v>1365465.7241379309</v>
      </c>
      <c r="G29" s="131">
        <v>643589.51131034479</v>
      </c>
      <c r="H29" s="131">
        <v>11834036.275862072</v>
      </c>
    </row>
    <row r="30" spans="1:8" s="132" customFormat="1" x14ac:dyDescent="0.2">
      <c r="A30" s="133">
        <v>42628</v>
      </c>
      <c r="B30" s="131">
        <v>13074202.275862072</v>
      </c>
      <c r="C30" s="131">
        <v>199644.3242298851</v>
      </c>
      <c r="D30" s="131">
        <v>1228143.4513333333</v>
      </c>
      <c r="E30" s="131">
        <v>502853.93368700275</v>
      </c>
      <c r="F30" s="131">
        <v>1868319.6578249335</v>
      </c>
      <c r="G30" s="131">
        <v>702498.25791688787</v>
      </c>
      <c r="H30" s="131">
        <v>12571348.342175068</v>
      </c>
    </row>
    <row r="31" spans="1:8" s="132" customFormat="1" x14ac:dyDescent="0.2">
      <c r="A31" s="133">
        <v>42719</v>
      </c>
      <c r="B31" s="131">
        <v>12571348.342175068</v>
      </c>
      <c r="C31" s="131">
        <v>190665.44985632185</v>
      </c>
      <c r="D31" s="131">
        <v>1418808.9011896551</v>
      </c>
      <c r="E31" s="131">
        <v>502853.93368700275</v>
      </c>
      <c r="F31" s="131">
        <v>2371173.5915119364</v>
      </c>
      <c r="G31" s="131">
        <v>693519.38354332466</v>
      </c>
      <c r="H31" s="131">
        <v>12068494.408488065</v>
      </c>
    </row>
    <row r="32" spans="1:8" s="132" customFormat="1" x14ac:dyDescent="0.2">
      <c r="A32" s="133">
        <v>42809</v>
      </c>
      <c r="B32" s="131">
        <v>12068494.408488065</v>
      </c>
      <c r="C32" s="131">
        <v>181027.41612732096</v>
      </c>
      <c r="D32" s="131">
        <v>1599836.3173169759</v>
      </c>
      <c r="E32" s="131">
        <v>502853.93368700275</v>
      </c>
      <c r="F32" s="131">
        <v>2874027.5251989393</v>
      </c>
      <c r="G32" s="131">
        <v>683881.34981432371</v>
      </c>
      <c r="H32" s="131">
        <v>11565640.474801062</v>
      </c>
    </row>
    <row r="33" spans="1:8" s="132" customFormat="1" x14ac:dyDescent="0.2">
      <c r="A33" s="133">
        <v>42901</v>
      </c>
      <c r="B33" s="131">
        <v>11565640.474801062</v>
      </c>
      <c r="C33" s="131">
        <v>177339.82061361626</v>
      </c>
      <c r="D33" s="131">
        <v>1777176.1379305921</v>
      </c>
      <c r="E33" s="131">
        <v>502853.93368700275</v>
      </c>
      <c r="F33" s="131">
        <v>3376881.4588859421</v>
      </c>
      <c r="G33" s="131">
        <v>680193.75430061901</v>
      </c>
      <c r="H33" s="131">
        <v>11062786.541114058</v>
      </c>
    </row>
    <row r="34" spans="1:8" s="132" customFormat="1" x14ac:dyDescent="0.2">
      <c r="A34" s="133">
        <v>42995</v>
      </c>
      <c r="B34" s="131">
        <v>11062786.541114058</v>
      </c>
      <c r="C34" s="131">
        <v>173316.98914412025</v>
      </c>
      <c r="D34" s="131">
        <v>1950493.1270747124</v>
      </c>
      <c r="E34" s="131">
        <v>502853.93368700275</v>
      </c>
      <c r="F34" s="131">
        <v>3879735.392572945</v>
      </c>
      <c r="G34" s="131">
        <v>676170.922831123</v>
      </c>
      <c r="H34" s="131">
        <v>10559932.607427055</v>
      </c>
    </row>
    <row r="35" spans="1:8" s="132" customFormat="1" x14ac:dyDescent="0.2">
      <c r="A35" s="133">
        <v>43086</v>
      </c>
      <c r="B35" s="131">
        <v>10559932.607427055</v>
      </c>
      <c r="C35" s="131">
        <v>160158.97787931035</v>
      </c>
      <c r="D35" s="131">
        <v>2110652.1049540229</v>
      </c>
      <c r="E35" s="131">
        <v>502853.93368700275</v>
      </c>
      <c r="F35" s="131">
        <v>4382589.3262599474</v>
      </c>
      <c r="G35" s="131">
        <v>663012.91156631312</v>
      </c>
      <c r="H35" s="131">
        <v>10057078.673740052</v>
      </c>
    </row>
    <row r="36" spans="1:8" s="132" customFormat="1" x14ac:dyDescent="0.2">
      <c r="A36" s="133">
        <v>43174</v>
      </c>
      <c r="B36" s="131">
        <v>10057078.673740052</v>
      </c>
      <c r="C36" s="131">
        <v>147503.82054818742</v>
      </c>
      <c r="D36" s="131">
        <v>2258155.9255022104</v>
      </c>
      <c r="E36" s="131">
        <v>502853.93368700275</v>
      </c>
      <c r="F36" s="131">
        <v>4885443.2599469498</v>
      </c>
      <c r="G36" s="131">
        <v>650357.75423519011</v>
      </c>
      <c r="H36" s="131">
        <v>9554224.7400530484</v>
      </c>
    </row>
    <row r="37" spans="1:8" s="132" customFormat="1" x14ac:dyDescent="0.2">
      <c r="A37" s="133">
        <v>43268</v>
      </c>
      <c r="B37" s="131">
        <v>9554224.7400530484</v>
      </c>
      <c r="C37" s="131">
        <v>149682.85426083108</v>
      </c>
      <c r="D37" s="131">
        <v>2407838.7797630415</v>
      </c>
      <c r="E37" s="131">
        <v>502853.93368700275</v>
      </c>
      <c r="F37" s="131">
        <v>5388297.1936339522</v>
      </c>
      <c r="G37" s="131">
        <v>652536.78794783377</v>
      </c>
      <c r="H37" s="131">
        <v>9051370.806366045</v>
      </c>
    </row>
    <row r="38" spans="1:8" s="132" customFormat="1" x14ac:dyDescent="0.2">
      <c r="A38" s="133">
        <v>43359</v>
      </c>
      <c r="B38" s="131">
        <v>9051370.806366045</v>
      </c>
      <c r="C38" s="131">
        <v>137279.12389655167</v>
      </c>
      <c r="D38" s="131">
        <v>2545117.9036595933</v>
      </c>
      <c r="E38" s="131">
        <v>502853.93368700275</v>
      </c>
      <c r="F38" s="131">
        <v>5891151.1273209546</v>
      </c>
      <c r="G38" s="131">
        <v>640133.05758355442</v>
      </c>
      <c r="H38" s="131">
        <v>8548516.8726790417</v>
      </c>
    </row>
    <row r="39" spans="1:8" s="132" customFormat="1" x14ac:dyDescent="0.2">
      <c r="A39" s="133">
        <v>43451</v>
      </c>
      <c r="B39" s="131">
        <v>8548516.8726790417</v>
      </c>
      <c r="C39" s="131">
        <v>131077.25871441196</v>
      </c>
      <c r="D39" s="131">
        <v>2676195.1623740052</v>
      </c>
      <c r="E39" s="131">
        <v>502853.93368700275</v>
      </c>
      <c r="F39" s="131">
        <v>6394005.061007957</v>
      </c>
      <c r="G39" s="131">
        <v>633931.19240141474</v>
      </c>
      <c r="H39" s="131">
        <v>8045662.9389920393</v>
      </c>
    </row>
    <row r="40" spans="1:8" s="132" customFormat="1" x14ac:dyDescent="0.2">
      <c r="A40" s="133">
        <v>43542</v>
      </c>
      <c r="B40" s="131">
        <v>8045662.9389920393</v>
      </c>
      <c r="C40" s="131">
        <v>122025.88790804593</v>
      </c>
      <c r="D40" s="131">
        <v>2798221.0502820513</v>
      </c>
      <c r="E40" s="131">
        <v>502853.93368700275</v>
      </c>
      <c r="F40" s="131">
        <v>6896858.9946949594</v>
      </c>
      <c r="G40" s="131">
        <v>624879.82159504865</v>
      </c>
      <c r="H40" s="131">
        <v>7542809.0053050369</v>
      </c>
    </row>
    <row r="41" spans="1:8" s="132" customFormat="1" x14ac:dyDescent="0.2">
      <c r="A41" s="133">
        <v>43632</v>
      </c>
      <c r="B41" s="131">
        <v>7542809.0053050369</v>
      </c>
      <c r="C41" s="131">
        <v>113142.13507957554</v>
      </c>
      <c r="D41" s="131">
        <v>2911363.185361627</v>
      </c>
      <c r="E41" s="131">
        <v>502853.93368700275</v>
      </c>
      <c r="F41" s="131">
        <v>7399712.9283819618</v>
      </c>
      <c r="G41" s="131">
        <v>615996.06876657833</v>
      </c>
      <c r="H41" s="131">
        <v>7039955.0716180345</v>
      </c>
    </row>
    <row r="42" spans="1:8" s="132" customFormat="1" x14ac:dyDescent="0.2">
      <c r="A42" s="133">
        <v>43723</v>
      </c>
      <c r="B42" s="131">
        <v>7039955.0716180345</v>
      </c>
      <c r="C42" s="131">
        <v>106772.65191954018</v>
      </c>
      <c r="D42" s="131">
        <v>3018135.837281167</v>
      </c>
      <c r="E42" s="131">
        <v>502853.93368700275</v>
      </c>
      <c r="F42" s="131">
        <v>7902566.8620689642</v>
      </c>
      <c r="G42" s="131">
        <v>609626.58560654288</v>
      </c>
      <c r="H42" s="131">
        <v>6537101.1379310321</v>
      </c>
    </row>
    <row r="43" spans="1:8" s="132" customFormat="1" x14ac:dyDescent="0.2">
      <c r="A43" s="133">
        <v>43814</v>
      </c>
      <c r="B43" s="131">
        <v>6537101.1379310321</v>
      </c>
      <c r="C43" s="131">
        <v>99146.033925287324</v>
      </c>
      <c r="D43" s="131">
        <v>3117281.8712064545</v>
      </c>
      <c r="E43" s="131">
        <v>502853.93368700275</v>
      </c>
      <c r="F43" s="131">
        <v>8405420.7957559675</v>
      </c>
      <c r="G43" s="131">
        <v>601999.96761229006</v>
      </c>
      <c r="H43" s="131">
        <v>6034247.2042440297</v>
      </c>
    </row>
    <row r="44" spans="1:8" s="132" customFormat="1" x14ac:dyDescent="0.2">
      <c r="A44" s="133">
        <v>43905</v>
      </c>
      <c r="B44" s="131">
        <v>6034247.2042440297</v>
      </c>
      <c r="C44" s="131">
        <v>91519.41593103444</v>
      </c>
      <c r="D44" s="131">
        <v>3208801.2871374888</v>
      </c>
      <c r="E44" s="131">
        <v>502853.93368700275</v>
      </c>
      <c r="F44" s="131">
        <v>8908274.7294429708</v>
      </c>
      <c r="G44" s="131">
        <v>594373.34961803723</v>
      </c>
      <c r="H44" s="131">
        <v>5531393.2705570273</v>
      </c>
    </row>
    <row r="45" spans="1:8" s="132" customFormat="1" x14ac:dyDescent="0.2">
      <c r="A45" s="133">
        <v>43997</v>
      </c>
      <c r="B45" s="131">
        <v>5531393.2705570273</v>
      </c>
      <c r="C45" s="131">
        <v>84814.696815207761</v>
      </c>
      <c r="D45" s="131">
        <v>3293615.9839526964</v>
      </c>
      <c r="E45" s="131">
        <v>502853.93368700275</v>
      </c>
      <c r="F45" s="131">
        <v>9411128.6631299742</v>
      </c>
      <c r="G45" s="131">
        <v>587668.63050221046</v>
      </c>
      <c r="H45" s="131">
        <v>5028539.3368700249</v>
      </c>
    </row>
    <row r="46" spans="1:8" s="132" customFormat="1" x14ac:dyDescent="0.2">
      <c r="A46" s="133">
        <v>44089</v>
      </c>
      <c r="B46" s="131">
        <v>5028539.3368700249</v>
      </c>
      <c r="C46" s="131">
        <v>77104.269832007049</v>
      </c>
      <c r="D46" s="131">
        <v>3370720.2537847036</v>
      </c>
      <c r="E46" s="131">
        <v>502853.93368700275</v>
      </c>
      <c r="F46" s="131">
        <v>9913982.5968169775</v>
      </c>
      <c r="G46" s="131">
        <v>579958.20351900975</v>
      </c>
      <c r="H46" s="131">
        <v>4525685.4031830225</v>
      </c>
    </row>
    <row r="47" spans="1:8" s="132" customFormat="1" x14ac:dyDescent="0.2">
      <c r="A47" s="133">
        <v>44180</v>
      </c>
      <c r="B47" s="131">
        <v>4525685.4031830225</v>
      </c>
      <c r="C47" s="131">
        <v>68639.561948275834</v>
      </c>
      <c r="D47" s="131">
        <v>3439359.8157329792</v>
      </c>
      <c r="E47" s="131">
        <v>502853.93368700275</v>
      </c>
      <c r="F47" s="131">
        <v>10416836.530503981</v>
      </c>
      <c r="G47" s="131">
        <v>571493.49563527852</v>
      </c>
      <c r="H47" s="131">
        <v>4022831.4694960197</v>
      </c>
    </row>
    <row r="48" spans="1:8" s="132" customFormat="1" x14ac:dyDescent="0.2">
      <c r="A48" s="133">
        <v>44270</v>
      </c>
      <c r="B48" s="131">
        <v>4022831.4694960197</v>
      </c>
      <c r="C48" s="131">
        <v>60342.472042440291</v>
      </c>
      <c r="D48" s="131">
        <v>3499702.2877754197</v>
      </c>
      <c r="E48" s="131">
        <v>502853.93368700275</v>
      </c>
      <c r="F48" s="131">
        <v>10919690.464190984</v>
      </c>
      <c r="G48" s="131">
        <v>563196.40572944307</v>
      </c>
      <c r="H48" s="131">
        <v>3519977.5358090168</v>
      </c>
    </row>
    <row r="49" spans="1:8" s="132" customFormat="1" x14ac:dyDescent="0.2">
      <c r="A49" s="133">
        <v>44362</v>
      </c>
      <c r="B49" s="131">
        <v>3519977.5358090168</v>
      </c>
      <c r="C49" s="131">
        <v>53972.988882404927</v>
      </c>
      <c r="D49" s="131">
        <v>3553675.2766578244</v>
      </c>
      <c r="E49" s="131">
        <v>502853.93368700275</v>
      </c>
      <c r="F49" s="131">
        <v>11422544.397877987</v>
      </c>
      <c r="G49" s="131">
        <v>556826.92256940762</v>
      </c>
      <c r="H49" s="131">
        <v>3017123.6021220139</v>
      </c>
    </row>
    <row r="50" spans="1:8" s="132" customFormat="1" x14ac:dyDescent="0.2">
      <c r="A50" s="133">
        <v>44454</v>
      </c>
      <c r="B50" s="131">
        <v>3017123.6021220139</v>
      </c>
      <c r="C50" s="131">
        <v>46262.561899204207</v>
      </c>
      <c r="D50" s="131">
        <v>3599937.8385570287</v>
      </c>
      <c r="E50" s="131">
        <v>502853.93368700275</v>
      </c>
      <c r="F50" s="131">
        <v>11925398.331564991</v>
      </c>
      <c r="G50" s="131">
        <v>549116.4955862069</v>
      </c>
      <c r="H50" s="131">
        <v>2514269.6684350111</v>
      </c>
    </row>
    <row r="51" spans="1:8" s="132" customFormat="1" x14ac:dyDescent="0.2">
      <c r="A51" s="133">
        <v>44545</v>
      </c>
      <c r="B51" s="131">
        <v>2514269.6684350111</v>
      </c>
      <c r="C51" s="131">
        <v>38133.08997126433</v>
      </c>
      <c r="D51" s="131">
        <v>3638070.928528293</v>
      </c>
      <c r="E51" s="131">
        <v>502853.93368700275</v>
      </c>
      <c r="F51" s="131">
        <v>12428252.265251994</v>
      </c>
      <c r="G51" s="131">
        <v>540987.02365826711</v>
      </c>
      <c r="H51" s="131">
        <v>2011415.7347480082</v>
      </c>
    </row>
    <row r="52" spans="1:8" s="132" customFormat="1" x14ac:dyDescent="0.2">
      <c r="A52" s="133">
        <v>44635</v>
      </c>
      <c r="B52" s="131">
        <v>2011415.7347480082</v>
      </c>
      <c r="C52" s="131">
        <v>30171.23602122012</v>
      </c>
      <c r="D52" s="131">
        <v>3668242.1645495133</v>
      </c>
      <c r="E52" s="131">
        <v>502853.93368700275</v>
      </c>
      <c r="F52" s="131">
        <v>12931106.198938997</v>
      </c>
      <c r="G52" s="131">
        <v>533025.16970822285</v>
      </c>
      <c r="H52" s="131">
        <v>1508561.8010610053</v>
      </c>
    </row>
    <row r="53" spans="1:8" x14ac:dyDescent="0.2">
      <c r="A53" s="133">
        <v>44727</v>
      </c>
      <c r="B53" s="131">
        <v>1508561.8010610053</v>
      </c>
      <c r="C53" s="131">
        <v>23131.280949602082</v>
      </c>
      <c r="D53" s="131">
        <v>3691373.4454991152</v>
      </c>
      <c r="E53" s="131">
        <v>502853.93368700275</v>
      </c>
      <c r="F53" s="131">
        <v>13433960.132626001</v>
      </c>
      <c r="G53" s="131">
        <v>525985.21463660488</v>
      </c>
      <c r="H53" s="131">
        <v>1005707.8673740026</v>
      </c>
    </row>
    <row r="54" spans="1:8" x14ac:dyDescent="0.2">
      <c r="A54" s="133">
        <v>44819</v>
      </c>
      <c r="B54" s="131">
        <v>1005707.8673740026</v>
      </c>
      <c r="C54" s="131">
        <v>15420.853966401373</v>
      </c>
      <c r="D54" s="131">
        <v>3706794.2994655166</v>
      </c>
      <c r="E54" s="131">
        <v>502853.93368700275</v>
      </c>
      <c r="F54" s="131">
        <v>13936814.066313004</v>
      </c>
      <c r="G54" s="131">
        <v>518274.78765340411</v>
      </c>
      <c r="H54" s="131">
        <v>502853.93368699984</v>
      </c>
    </row>
    <row r="55" spans="1:8" x14ac:dyDescent="0.2">
      <c r="A55" s="133">
        <v>44910</v>
      </c>
      <c r="B55" s="131">
        <v>502853.93368699984</v>
      </c>
      <c r="C55" s="131">
        <v>7626.6179942528306</v>
      </c>
      <c r="D55" s="131">
        <v>3714420.9174597696</v>
      </c>
      <c r="E55" s="131">
        <v>502853.93368700275</v>
      </c>
      <c r="F55" s="131">
        <v>14439668.000000007</v>
      </c>
      <c r="G55" s="131">
        <v>510480.55168125557</v>
      </c>
      <c r="H55" s="131">
        <v>-2.9103830456733704E-9</v>
      </c>
    </row>
  </sheetData>
  <pageMargins left="0.7" right="0.7" top="0.75" bottom="0.75" header="0.3" footer="0.3"/>
  <pageSetup scale="67" orientation="portrait" r:id="rId1"/>
  <ignoredErrors>
    <ignoredError sqref="C5:C17 C20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GHEL_Loan</vt:lpstr>
      <vt:lpstr>Accrual_GHEL</vt:lpstr>
      <vt:lpstr>Repayment Schedule</vt:lpstr>
      <vt:lpstr>GHEL_Loan!Print_Area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Hossain Bhuiyan</dc:creator>
  <cp:lastModifiedBy>Mokaddim Jashim Bhuiyan</cp:lastModifiedBy>
  <cp:lastPrinted>2006-10-19T06:35:57Z</cp:lastPrinted>
  <dcterms:created xsi:type="dcterms:W3CDTF">2004-09-21T04:29:34Z</dcterms:created>
  <dcterms:modified xsi:type="dcterms:W3CDTF">2019-12-31T11:14:22Z</dcterms:modified>
</cp:coreProperties>
</file>