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bookViews>
    <workbookView xWindow="0" yWindow="0" windowWidth="13500" windowHeight="7755" tabRatio="760" activeTab="1"/>
  </bookViews>
  <sheets>
    <sheet name="Disbursement" sheetId="4" r:id="rId1"/>
    <sheet name="Summary" sheetId="5" r:id="rId2"/>
    <sheet name="MAGBL_Loan (IDCOL)" sheetId="2" r:id="rId3"/>
    <sheet name="Accrual_MAGBL" sheetId="3" r:id="rId4"/>
    <sheet name="Repayment Schedule" sheetId="7" r:id="rId5"/>
    <sheet name="MAGBL_Loan (BIFFL)" sheetId="9" r:id="rId6"/>
    <sheet name="Repayment Schedule (BIFFL)" sheetId="10" r:id="rId7"/>
  </sheets>
  <definedNames>
    <definedName name="_xlnm.Print_Area" localSheetId="2">'MAGBL_Loan (IDCOL)'!$A$1:$J$35</definedName>
  </definedNames>
  <calcPr calcId="152511"/>
</workbook>
</file>

<file path=xl/calcChain.xml><?xml version="1.0" encoding="utf-8"?>
<calcChain xmlns="http://schemas.openxmlformats.org/spreadsheetml/2006/main">
  <c r="P3" i="5" l="1"/>
  <c r="O3" i="5"/>
  <c r="G52" i="2"/>
  <c r="F52" i="2"/>
  <c r="E13" i="10"/>
  <c r="E12" i="10"/>
  <c r="E29" i="9"/>
  <c r="D34" i="9"/>
  <c r="E28" i="9"/>
  <c r="D29" i="9"/>
  <c r="D28" i="9"/>
  <c r="D28" i="2"/>
  <c r="D29" i="2"/>
  <c r="E18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B27" i="9"/>
  <c r="B36" i="2" l="1"/>
  <c r="D14" i="7"/>
  <c r="E14" i="7"/>
  <c r="D13" i="7"/>
  <c r="E13" i="7"/>
  <c r="D12" i="7"/>
  <c r="E12" i="7"/>
  <c r="I25" i="3"/>
  <c r="I24" i="3"/>
  <c r="E17" i="3"/>
  <c r="E16" i="3"/>
  <c r="E15" i="3"/>
  <c r="C28" i="2"/>
  <c r="D34" i="2"/>
  <c r="E18" i="2"/>
  <c r="E17" i="2"/>
  <c r="E16" i="2"/>
  <c r="D10" i="4"/>
  <c r="D14" i="10" l="1"/>
  <c r="E14" i="10" s="1"/>
  <c r="D13" i="10"/>
  <c r="D12" i="10"/>
  <c r="C29" i="2"/>
  <c r="C34" i="2" s="1"/>
  <c r="D18" i="9"/>
  <c r="D17" i="3"/>
  <c r="D16" i="3"/>
  <c r="D15" i="3"/>
  <c r="D18" i="2"/>
  <c r="D17" i="2"/>
  <c r="D16" i="2"/>
  <c r="D9" i="4"/>
  <c r="C48" i="2" l="1"/>
  <c r="D48" i="2" s="1"/>
  <c r="E48" i="2" s="1"/>
  <c r="F48" i="2" s="1"/>
  <c r="G48" i="2" s="1"/>
  <c r="H48" i="2" s="1"/>
  <c r="C13" i="10" l="1"/>
  <c r="C12" i="10"/>
  <c r="C9" i="10"/>
  <c r="C7" i="10"/>
  <c r="C5" i="10"/>
  <c r="C3" i="10"/>
  <c r="C32" i="9" l="1"/>
  <c r="D32" i="9" s="1"/>
  <c r="E32" i="9" s="1"/>
  <c r="G26" i="9"/>
  <c r="H26" i="9" s="1"/>
  <c r="I26" i="9" s="1"/>
  <c r="J26" i="9" s="1"/>
  <c r="K26" i="9" s="1"/>
  <c r="L26" i="9" s="1"/>
  <c r="M26" i="9" s="1"/>
  <c r="N26" i="9" s="1"/>
  <c r="O26" i="9" s="1"/>
  <c r="P26" i="9" s="1"/>
  <c r="Q26" i="9" s="1"/>
  <c r="R26" i="9" s="1"/>
  <c r="S26" i="9" s="1"/>
  <c r="T26" i="9" s="1"/>
  <c r="U26" i="9" s="1"/>
  <c r="V26" i="9" s="1"/>
  <c r="W26" i="9" s="1"/>
  <c r="X26" i="9" s="1"/>
  <c r="Y26" i="9" s="1"/>
  <c r="Z26" i="9" s="1"/>
  <c r="AA26" i="9" s="1"/>
  <c r="AB26" i="9" s="1"/>
  <c r="AC26" i="9" s="1"/>
  <c r="B21" i="9"/>
  <c r="B28" i="9"/>
  <c r="C1" i="9"/>
  <c r="C51" i="2"/>
  <c r="F51" i="2"/>
  <c r="G51" i="2"/>
  <c r="J51" i="2"/>
  <c r="K51" i="2"/>
  <c r="N51" i="2"/>
  <c r="O51" i="2"/>
  <c r="R51" i="2"/>
  <c r="S51" i="2"/>
  <c r="V51" i="2"/>
  <c r="W51" i="2"/>
  <c r="Z51" i="2"/>
  <c r="AA51" i="2"/>
  <c r="B51" i="2"/>
  <c r="CH35" i="5"/>
  <c r="CH19" i="5"/>
  <c r="CH1" i="5"/>
  <c r="N10" i="5"/>
  <c r="O10" i="5" s="1"/>
  <c r="P10" i="5" s="1"/>
  <c r="K10" i="5"/>
  <c r="H10" i="5"/>
  <c r="E10" i="5"/>
  <c r="CH19" i="3"/>
  <c r="CH23" i="3"/>
  <c r="S27" i="3"/>
  <c r="V27" i="3" s="1"/>
  <c r="Y27" i="3" s="1"/>
  <c r="AB27" i="3" s="1"/>
  <c r="AE27" i="3" s="1"/>
  <c r="AH27" i="3" s="1"/>
  <c r="AK27" i="3" s="1"/>
  <c r="AN27" i="3" s="1"/>
  <c r="AQ27" i="3" s="1"/>
  <c r="AT27" i="3" s="1"/>
  <c r="AW27" i="3" s="1"/>
  <c r="AZ27" i="3" s="1"/>
  <c r="BC27" i="3" s="1"/>
  <c r="BF27" i="3" s="1"/>
  <c r="BI27" i="3" s="1"/>
  <c r="BL27" i="3" s="1"/>
  <c r="BO27" i="3" s="1"/>
  <c r="BR27" i="3" s="1"/>
  <c r="BU27" i="3" s="1"/>
  <c r="BX27" i="3" s="1"/>
  <c r="CA27" i="3" s="1"/>
  <c r="CD27" i="3" s="1"/>
  <c r="CG27" i="3" s="1"/>
  <c r="R27" i="3"/>
  <c r="U27" i="3" s="1"/>
  <c r="X27" i="3" s="1"/>
  <c r="AA27" i="3" s="1"/>
  <c r="AD27" i="3" s="1"/>
  <c r="AG27" i="3" s="1"/>
  <c r="AJ27" i="3" s="1"/>
  <c r="AM27" i="3" s="1"/>
  <c r="AP27" i="3" s="1"/>
  <c r="AS27" i="3" s="1"/>
  <c r="AV27" i="3" s="1"/>
  <c r="AY27" i="3" s="1"/>
  <c r="BB27" i="3" s="1"/>
  <c r="BE27" i="3" s="1"/>
  <c r="BH27" i="3" s="1"/>
  <c r="BK27" i="3" s="1"/>
  <c r="BN27" i="3" s="1"/>
  <c r="BQ27" i="3" s="1"/>
  <c r="BT27" i="3" s="1"/>
  <c r="BW27" i="3" s="1"/>
  <c r="BZ27" i="3" s="1"/>
  <c r="CC27" i="3" s="1"/>
  <c r="CF27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19" i="3"/>
  <c r="AC51" i="2"/>
  <c r="Y51" i="2" l="1"/>
  <c r="U51" i="2"/>
  <c r="Q51" i="2"/>
  <c r="M51" i="2"/>
  <c r="I51" i="2"/>
  <c r="E51" i="2"/>
  <c r="AB51" i="2"/>
  <c r="X51" i="2"/>
  <c r="T51" i="2"/>
  <c r="P51" i="2"/>
  <c r="L51" i="2"/>
  <c r="H51" i="2"/>
  <c r="D51" i="2"/>
  <c r="C18" i="9"/>
  <c r="B29" i="9" s="1"/>
  <c r="B34" i="9" s="1"/>
  <c r="C21" i="9"/>
  <c r="C28" i="9" l="1"/>
  <c r="C29" i="9" s="1"/>
  <c r="D21" i="9"/>
  <c r="E21" i="9"/>
  <c r="L10" i="5"/>
  <c r="M10" i="5" s="1"/>
  <c r="I10" i="5"/>
  <c r="J10" i="5" s="1"/>
  <c r="C10" i="5"/>
  <c r="D10" i="5" s="1"/>
  <c r="F10" i="5"/>
  <c r="G10" i="5" s="1"/>
  <c r="C34" i="9" l="1"/>
  <c r="F21" i="9"/>
  <c r="C21" i="2"/>
  <c r="C17" i="2"/>
  <c r="C16" i="3"/>
  <c r="C17" i="3" s="1"/>
  <c r="C39" i="2"/>
  <c r="D39" i="2" s="1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AG39" i="2" s="1"/>
  <c r="AH39" i="2" s="1"/>
  <c r="AI39" i="2" s="1"/>
  <c r="AJ39" i="2" s="1"/>
  <c r="AK39" i="2" s="1"/>
  <c r="AL39" i="2" s="1"/>
  <c r="AM39" i="2" s="1"/>
  <c r="AN39" i="2" s="1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Y39" i="2" s="1"/>
  <c r="AZ39" i="2" s="1"/>
  <c r="BA39" i="2" s="1"/>
  <c r="BB39" i="2" s="1"/>
  <c r="BC39" i="2" s="1"/>
  <c r="BD39" i="2" s="1"/>
  <c r="BE39" i="2" s="1"/>
  <c r="BF39" i="2" s="1"/>
  <c r="BG39" i="2" s="1"/>
  <c r="BH39" i="2" s="1"/>
  <c r="BI39" i="2" s="1"/>
  <c r="BJ39" i="2" s="1"/>
  <c r="BK39" i="2" s="1"/>
  <c r="BL39" i="2" s="1"/>
  <c r="BM39" i="2" s="1"/>
  <c r="BN39" i="2" s="1"/>
  <c r="BO39" i="2" s="1"/>
  <c r="BP39" i="2" s="1"/>
  <c r="BQ39" i="2" s="1"/>
  <c r="BR39" i="2" s="1"/>
  <c r="BS39" i="2" s="1"/>
  <c r="BT39" i="2" s="1"/>
  <c r="BU39" i="2" s="1"/>
  <c r="BV39" i="2" s="1"/>
  <c r="BW39" i="2" s="1"/>
  <c r="BX39" i="2" s="1"/>
  <c r="BY39" i="2" s="1"/>
  <c r="BZ39" i="2" s="1"/>
  <c r="CA39" i="2" s="1"/>
  <c r="CB39" i="2" s="1"/>
  <c r="CC39" i="2" s="1"/>
  <c r="CD39" i="2" s="1"/>
  <c r="CE39" i="2" s="1"/>
  <c r="CF39" i="2" s="1"/>
  <c r="CG39" i="2" s="1"/>
  <c r="CH39" i="2" s="1"/>
  <c r="B21" i="2"/>
  <c r="C16" i="2"/>
  <c r="C12" i="7" s="1"/>
  <c r="M35" i="5"/>
  <c r="C9" i="7"/>
  <c r="C7" i="7"/>
  <c r="C5" i="7"/>
  <c r="C3" i="7"/>
  <c r="J35" i="5"/>
  <c r="B22" i="5"/>
  <c r="B5" i="5"/>
  <c r="B9" i="3"/>
  <c r="C23" i="3"/>
  <c r="D23" i="3" s="1"/>
  <c r="G26" i="2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C32" i="2"/>
  <c r="D32" i="2"/>
  <c r="E32" i="2" s="1"/>
  <c r="C1" i="2"/>
  <c r="B1" i="3" s="1"/>
  <c r="B1" i="5"/>
  <c r="B19" i="5" s="1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L35" i="5"/>
  <c r="K35" i="5"/>
  <c r="I35" i="5"/>
  <c r="H35" i="5"/>
  <c r="G35" i="5"/>
  <c r="F35" i="5"/>
  <c r="E35" i="5"/>
  <c r="D35" i="5"/>
  <c r="C35" i="5"/>
  <c r="B35" i="5"/>
  <c r="B28" i="3"/>
  <c r="B4" i="5" s="1"/>
  <c r="B6" i="5" s="1"/>
  <c r="B26" i="5"/>
  <c r="B43" i="2"/>
  <c r="B28" i="5"/>
  <c r="C28" i="5" s="1"/>
  <c r="D28" i="5" s="1"/>
  <c r="D14" i="5" s="1"/>
  <c r="B7" i="3"/>
  <c r="B12" i="3"/>
  <c r="B5" i="3"/>
  <c r="D8" i="4"/>
  <c r="B11" i="5"/>
  <c r="C25" i="5" s="1"/>
  <c r="C26" i="5" s="1"/>
  <c r="B12" i="5"/>
  <c r="B24" i="3" l="1"/>
  <c r="B3" i="5" s="1"/>
  <c r="B7" i="5" s="1"/>
  <c r="B25" i="3"/>
  <c r="B28" i="2"/>
  <c r="C1" i="7"/>
  <c r="C1" i="10"/>
  <c r="G21" i="9"/>
  <c r="D1" i="5"/>
  <c r="D19" i="5" s="1"/>
  <c r="E23" i="3"/>
  <c r="E1" i="5" s="1"/>
  <c r="E19" i="5" s="1"/>
  <c r="C1" i="5"/>
  <c r="C19" i="5" s="1"/>
  <c r="C13" i="7"/>
  <c r="E21" i="2"/>
  <c r="D21" i="2"/>
  <c r="B30" i="3"/>
  <c r="C24" i="3" s="1"/>
  <c r="C25" i="3" s="1"/>
  <c r="C18" i="2"/>
  <c r="C15" i="3"/>
  <c r="C28" i="3"/>
  <c r="E28" i="5"/>
  <c r="E14" i="5" s="1"/>
  <c r="C14" i="5"/>
  <c r="B14" i="5"/>
  <c r="C43" i="2"/>
  <c r="C11" i="5"/>
  <c r="C14" i="10" l="1"/>
  <c r="B29" i="2"/>
  <c r="B34" i="2" s="1"/>
  <c r="E30" i="3" s="1"/>
  <c r="H21" i="9"/>
  <c r="C12" i="5"/>
  <c r="D25" i="5"/>
  <c r="D26" i="5" s="1"/>
  <c r="D43" i="2" s="1"/>
  <c r="F23" i="3"/>
  <c r="F1" i="5"/>
  <c r="F19" i="5" s="1"/>
  <c r="G23" i="3"/>
  <c r="F21" i="2"/>
  <c r="C3" i="5"/>
  <c r="C30" i="3"/>
  <c r="D24" i="3" s="1"/>
  <c r="C14" i="7"/>
  <c r="B29" i="3"/>
  <c r="B26" i="3"/>
  <c r="B9" i="5" s="1"/>
  <c r="B13" i="5" s="1"/>
  <c r="B40" i="2"/>
  <c r="F28" i="5"/>
  <c r="G28" i="5" s="1"/>
  <c r="C4" i="5"/>
  <c r="D28" i="3"/>
  <c r="C40" i="2"/>
  <c r="C42" i="2" s="1"/>
  <c r="C44" i="2" s="1"/>
  <c r="C29" i="3"/>
  <c r="B42" i="2" l="1"/>
  <c r="B44" i="2" s="1"/>
  <c r="G41" i="2"/>
  <c r="F41" i="2"/>
  <c r="E41" i="2"/>
  <c r="E34" i="9"/>
  <c r="F28" i="9" s="1"/>
  <c r="F29" i="9" s="1"/>
  <c r="B36" i="9"/>
  <c r="D25" i="3"/>
  <c r="D3" i="5"/>
  <c r="C21" i="5"/>
  <c r="C22" i="5" s="1"/>
  <c r="C5" i="5" s="1"/>
  <c r="I21" i="9"/>
  <c r="D11" i="5"/>
  <c r="D30" i="3"/>
  <c r="G1" i="5"/>
  <c r="G19" i="5" s="1"/>
  <c r="H23" i="3"/>
  <c r="G21" i="2"/>
  <c r="C26" i="3"/>
  <c r="C9" i="5" s="1"/>
  <c r="C13" i="5" s="1"/>
  <c r="F14" i="5"/>
  <c r="E28" i="3"/>
  <c r="D4" i="5"/>
  <c r="G14" i="5"/>
  <c r="H28" i="5"/>
  <c r="Z31" i="9" l="1"/>
  <c r="V31" i="9"/>
  <c r="R31" i="9"/>
  <c r="N31" i="9"/>
  <c r="J31" i="9"/>
  <c r="F31" i="9"/>
  <c r="F32" i="9" s="1"/>
  <c r="AC31" i="9"/>
  <c r="Y31" i="9"/>
  <c r="U31" i="9"/>
  <c r="Q31" i="9"/>
  <c r="M31" i="9"/>
  <c r="I31" i="9"/>
  <c r="AB31" i="9"/>
  <c r="X31" i="9"/>
  <c r="T31" i="9"/>
  <c r="P31" i="9"/>
  <c r="L31" i="9"/>
  <c r="H31" i="9"/>
  <c r="AA31" i="9"/>
  <c r="W31" i="9"/>
  <c r="S31" i="9"/>
  <c r="O31" i="9"/>
  <c r="K31" i="9"/>
  <c r="G31" i="9"/>
  <c r="D21" i="5"/>
  <c r="D22" i="5" s="1"/>
  <c r="D5" i="5" s="1"/>
  <c r="D7" i="5" s="1"/>
  <c r="C7" i="5"/>
  <c r="C6" i="5"/>
  <c r="J21" i="9"/>
  <c r="F30" i="9"/>
  <c r="D12" i="5"/>
  <c r="E25" i="5"/>
  <c r="E26" i="5" s="1"/>
  <c r="I23" i="3"/>
  <c r="H1" i="5"/>
  <c r="H19" i="5" s="1"/>
  <c r="H21" i="2"/>
  <c r="E4" i="5"/>
  <c r="F28" i="3"/>
  <c r="H14" i="5"/>
  <c r="I28" i="5"/>
  <c r="G32" i="9" l="1"/>
  <c r="H32" i="9" s="1"/>
  <c r="I32" i="9" s="1"/>
  <c r="J32" i="9" s="1"/>
  <c r="K32" i="9" s="1"/>
  <c r="L32" i="9" s="1"/>
  <c r="M32" i="9" s="1"/>
  <c r="N32" i="9" s="1"/>
  <c r="O32" i="9" s="1"/>
  <c r="P32" i="9" s="1"/>
  <c r="Q32" i="9" s="1"/>
  <c r="R32" i="9" s="1"/>
  <c r="S32" i="9" s="1"/>
  <c r="T32" i="9" s="1"/>
  <c r="U32" i="9" s="1"/>
  <c r="V32" i="9" s="1"/>
  <c r="W32" i="9" s="1"/>
  <c r="X32" i="9" s="1"/>
  <c r="Y32" i="9" s="1"/>
  <c r="Z32" i="9" s="1"/>
  <c r="AA32" i="9" s="1"/>
  <c r="AB32" i="9" s="1"/>
  <c r="AC32" i="9" s="1"/>
  <c r="F34" i="9"/>
  <c r="G28" i="9" s="1"/>
  <c r="G34" i="9" s="1"/>
  <c r="H28" i="9" s="1"/>
  <c r="F33" i="9"/>
  <c r="E21" i="5"/>
  <c r="E22" i="5" s="1"/>
  <c r="E5" i="5" s="1"/>
  <c r="D6" i="5"/>
  <c r="K21" i="9"/>
  <c r="E11" i="5"/>
  <c r="E43" i="2"/>
  <c r="J23" i="3"/>
  <c r="I1" i="5"/>
  <c r="I19" i="5" s="1"/>
  <c r="I21" i="2"/>
  <c r="G28" i="3"/>
  <c r="F4" i="5"/>
  <c r="J28" i="5"/>
  <c r="I14" i="5"/>
  <c r="G29" i="9" l="1"/>
  <c r="G30" i="9" s="1"/>
  <c r="H41" i="2"/>
  <c r="J41" i="2"/>
  <c r="I41" i="2"/>
  <c r="F21" i="5"/>
  <c r="F22" i="5" s="1"/>
  <c r="E6" i="5"/>
  <c r="L21" i="9"/>
  <c r="H34" i="9"/>
  <c r="I28" i="9" s="1"/>
  <c r="H29" i="9"/>
  <c r="F25" i="5"/>
  <c r="F26" i="5" s="1"/>
  <c r="E12" i="5"/>
  <c r="J1" i="5"/>
  <c r="J19" i="5" s="1"/>
  <c r="K23" i="3"/>
  <c r="J21" i="2"/>
  <c r="E24" i="3"/>
  <c r="H30" i="3"/>
  <c r="H28" i="3"/>
  <c r="G4" i="5"/>
  <c r="J14" i="5"/>
  <c r="K28" i="5"/>
  <c r="G33" i="9" l="1"/>
  <c r="E25" i="3"/>
  <c r="E3" i="5"/>
  <c r="E7" i="5" s="1"/>
  <c r="F5" i="5"/>
  <c r="H33" i="9"/>
  <c r="H30" i="9"/>
  <c r="I34" i="9"/>
  <c r="J28" i="9" s="1"/>
  <c r="I29" i="9"/>
  <c r="M21" i="9"/>
  <c r="F43" i="2"/>
  <c r="F11" i="5"/>
  <c r="K1" i="5"/>
  <c r="K19" i="5" s="1"/>
  <c r="L23" i="3"/>
  <c r="K21" i="2"/>
  <c r="F24" i="3"/>
  <c r="D40" i="2"/>
  <c r="D42" i="2" s="1"/>
  <c r="D44" i="2" s="1"/>
  <c r="D29" i="3"/>
  <c r="D26" i="3"/>
  <c r="I28" i="3"/>
  <c r="H4" i="5"/>
  <c r="L28" i="5"/>
  <c r="K14" i="5"/>
  <c r="G21" i="5" l="1"/>
  <c r="G22" i="5" s="1"/>
  <c r="G5" i="5" s="1"/>
  <c r="F6" i="5"/>
  <c r="N21" i="9"/>
  <c r="I30" i="9"/>
  <c r="I33" i="9"/>
  <c r="J29" i="9"/>
  <c r="J34" i="9"/>
  <c r="K28" i="9" s="1"/>
  <c r="F12" i="5"/>
  <c r="G25" i="5"/>
  <c r="G26" i="5" s="1"/>
  <c r="L1" i="5"/>
  <c r="L19" i="5" s="1"/>
  <c r="M23" i="3"/>
  <c r="L21" i="2"/>
  <c r="D9" i="5"/>
  <c r="D13" i="5" s="1"/>
  <c r="E26" i="3"/>
  <c r="E29" i="3"/>
  <c r="E40" i="2"/>
  <c r="E42" i="2" s="1"/>
  <c r="E44" i="2" s="1"/>
  <c r="F25" i="3"/>
  <c r="F3" i="5"/>
  <c r="F7" i="5" s="1"/>
  <c r="F30" i="3"/>
  <c r="G24" i="3" s="1"/>
  <c r="I4" i="5"/>
  <c r="J28" i="3"/>
  <c r="M28" i="5"/>
  <c r="L14" i="5"/>
  <c r="K41" i="2" l="1"/>
  <c r="M41" i="2"/>
  <c r="G25" i="3"/>
  <c r="G29" i="3" s="1"/>
  <c r="G3" i="5"/>
  <c r="G7" i="5" s="1"/>
  <c r="H21" i="5"/>
  <c r="H22" i="5" s="1"/>
  <c r="G6" i="5"/>
  <c r="K34" i="9"/>
  <c r="L28" i="9" s="1"/>
  <c r="K29" i="9"/>
  <c r="O21" i="9"/>
  <c r="J33" i="9"/>
  <c r="J30" i="9"/>
  <c r="G11" i="5"/>
  <c r="G43" i="2"/>
  <c r="G30" i="3"/>
  <c r="M1" i="5"/>
  <c r="M19" i="5" s="1"/>
  <c r="N23" i="3"/>
  <c r="M21" i="2"/>
  <c r="F29" i="3"/>
  <c r="L41" i="2"/>
  <c r="I3" i="5"/>
  <c r="I30" i="3"/>
  <c r="J24" i="3" s="1"/>
  <c r="I29" i="3"/>
  <c r="F26" i="3"/>
  <c r="E9" i="5"/>
  <c r="E13" i="5" s="1"/>
  <c r="F40" i="2"/>
  <c r="F42" i="2" s="1"/>
  <c r="F44" i="2" s="1"/>
  <c r="J4" i="5"/>
  <c r="K28" i="3"/>
  <c r="M14" i="5"/>
  <c r="N28" i="5"/>
  <c r="H24" i="3" l="1"/>
  <c r="J3" i="5"/>
  <c r="J30" i="3"/>
  <c r="K24" i="3" s="1"/>
  <c r="K25" i="3" s="1"/>
  <c r="J25" i="3"/>
  <c r="E28" i="2"/>
  <c r="E29" i="2" s="1"/>
  <c r="K30" i="3"/>
  <c r="H5" i="5"/>
  <c r="K30" i="9"/>
  <c r="K33" i="9"/>
  <c r="P21" i="9"/>
  <c r="L34" i="9"/>
  <c r="M28" i="9" s="1"/>
  <c r="L29" i="9"/>
  <c r="G12" i="5"/>
  <c r="H25" i="5"/>
  <c r="H26" i="5" s="1"/>
  <c r="O23" i="3"/>
  <c r="N1" i="5"/>
  <c r="N19" i="5" s="1"/>
  <c r="N21" i="2"/>
  <c r="L24" i="3"/>
  <c r="F9" i="5"/>
  <c r="F13" i="5" s="1"/>
  <c r="G26" i="3"/>
  <c r="G40" i="2"/>
  <c r="G42" i="2" s="1"/>
  <c r="G44" i="2" s="1"/>
  <c r="L28" i="3"/>
  <c r="K4" i="5"/>
  <c r="O28" i="5"/>
  <c r="N14" i="5"/>
  <c r="H3" i="5" l="1"/>
  <c r="H7" i="5" s="1"/>
  <c r="H25" i="3"/>
  <c r="H26" i="3" s="1"/>
  <c r="K3" i="5"/>
  <c r="K29" i="3"/>
  <c r="CH41" i="2"/>
  <c r="N41" i="2"/>
  <c r="I21" i="5"/>
  <c r="I22" i="5" s="1"/>
  <c r="I5" i="5" s="1"/>
  <c r="H6" i="5"/>
  <c r="L33" i="9"/>
  <c r="L30" i="9"/>
  <c r="M34" i="9"/>
  <c r="N28" i="9" s="1"/>
  <c r="M29" i="9"/>
  <c r="Q21" i="9"/>
  <c r="H11" i="5"/>
  <c r="H43" i="2"/>
  <c r="P23" i="3"/>
  <c r="O1" i="5"/>
  <c r="O19" i="5" s="1"/>
  <c r="E34" i="2"/>
  <c r="N30" i="3" s="1"/>
  <c r="O21" i="2"/>
  <c r="L30" i="3"/>
  <c r="M24" i="3" s="1"/>
  <c r="L25" i="3"/>
  <c r="L3" i="5"/>
  <c r="J29" i="3"/>
  <c r="G9" i="5"/>
  <c r="G13" i="5" s="1"/>
  <c r="AH41" i="2"/>
  <c r="AO41" i="2"/>
  <c r="CD41" i="2"/>
  <c r="O41" i="2"/>
  <c r="AU41" i="2"/>
  <c r="BN41" i="2"/>
  <c r="X41" i="2"/>
  <c r="AJ41" i="2"/>
  <c r="AF41" i="2"/>
  <c r="CB41" i="2"/>
  <c r="CF41" i="2"/>
  <c r="AT41" i="2"/>
  <c r="BX41" i="2"/>
  <c r="U41" i="2"/>
  <c r="BK41" i="2"/>
  <c r="AV41" i="2"/>
  <c r="CE41" i="2"/>
  <c r="AZ41" i="2"/>
  <c r="BY41" i="2"/>
  <c r="R41" i="2"/>
  <c r="AG41" i="2"/>
  <c r="BD41" i="2"/>
  <c r="BJ41" i="2"/>
  <c r="BW41" i="2"/>
  <c r="AA41" i="2"/>
  <c r="BH41" i="2"/>
  <c r="AM41" i="2"/>
  <c r="AC41" i="2"/>
  <c r="BA41" i="2"/>
  <c r="BV41" i="2"/>
  <c r="BZ41" i="2"/>
  <c r="AQ41" i="2"/>
  <c r="BG41" i="2"/>
  <c r="BL41" i="2"/>
  <c r="AL41" i="2"/>
  <c r="CC41" i="2"/>
  <c r="W41" i="2"/>
  <c r="BR41" i="2"/>
  <c r="AR41" i="2"/>
  <c r="AB41" i="2"/>
  <c r="AD41" i="2"/>
  <c r="BE41" i="2"/>
  <c r="P41" i="2"/>
  <c r="AY41" i="2"/>
  <c r="V41" i="2"/>
  <c r="Y41" i="2"/>
  <c r="AE41" i="2"/>
  <c r="BI41" i="2"/>
  <c r="BO41" i="2"/>
  <c r="AS41" i="2"/>
  <c r="AK41" i="2"/>
  <c r="AX41" i="2"/>
  <c r="BP41" i="2"/>
  <c r="BQ41" i="2"/>
  <c r="BS41" i="2"/>
  <c r="AI41" i="2"/>
  <c r="Q41" i="2"/>
  <c r="BM41" i="2"/>
  <c r="BT41" i="2"/>
  <c r="BF41" i="2"/>
  <c r="T41" i="2"/>
  <c r="BB41" i="2"/>
  <c r="CG41" i="2"/>
  <c r="BC41" i="2"/>
  <c r="Z41" i="2"/>
  <c r="AP41" i="2"/>
  <c r="AN41" i="2"/>
  <c r="S41" i="2"/>
  <c r="AW41" i="2"/>
  <c r="CA41" i="2"/>
  <c r="BU41" i="2"/>
  <c r="L4" i="5"/>
  <c r="M28" i="3"/>
  <c r="P28" i="5"/>
  <c r="O14" i="5"/>
  <c r="H29" i="3" l="1"/>
  <c r="J40" i="2"/>
  <c r="J42" i="2" s="1"/>
  <c r="H40" i="2"/>
  <c r="H42" i="2" s="1"/>
  <c r="H44" i="2" s="1"/>
  <c r="I40" i="2"/>
  <c r="I42" i="2" s="1"/>
  <c r="K40" i="2"/>
  <c r="K42" i="2" s="1"/>
  <c r="F28" i="2"/>
  <c r="M3" i="5"/>
  <c r="M30" i="3"/>
  <c r="N24" i="3" s="1"/>
  <c r="N3" i="5" s="1"/>
  <c r="M25" i="3"/>
  <c r="J21" i="5"/>
  <c r="J22" i="5" s="1"/>
  <c r="I6" i="5"/>
  <c r="I7" i="5"/>
  <c r="R21" i="9"/>
  <c r="N34" i="9"/>
  <c r="O28" i="9" s="1"/>
  <c r="N29" i="9"/>
  <c r="M30" i="9"/>
  <c r="M33" i="9"/>
  <c r="I25" i="5"/>
  <c r="I26" i="5" s="1"/>
  <c r="H12" i="5"/>
  <c r="Q23" i="3"/>
  <c r="P1" i="5"/>
  <c r="P19" i="5" s="1"/>
  <c r="P21" i="2"/>
  <c r="I26" i="3"/>
  <c r="H9" i="5"/>
  <c r="H13" i="5" s="1"/>
  <c r="L29" i="3"/>
  <c r="L40" i="2"/>
  <c r="L42" i="2" s="1"/>
  <c r="M4" i="5"/>
  <c r="N28" i="3"/>
  <c r="Q28" i="5"/>
  <c r="P14" i="5"/>
  <c r="M31" i="2" l="1"/>
  <c r="AL27" i="3" s="1"/>
  <c r="F31" i="2"/>
  <c r="Q27" i="3" s="1"/>
  <c r="R31" i="2"/>
  <c r="BA27" i="3" s="1"/>
  <c r="O31" i="2"/>
  <c r="AR27" i="3" s="1"/>
  <c r="P31" i="2"/>
  <c r="AU27" i="3" s="1"/>
  <c r="U31" i="2"/>
  <c r="BJ27" i="3" s="1"/>
  <c r="F29" i="2"/>
  <c r="V31" i="2"/>
  <c r="BM27" i="3" s="1"/>
  <c r="W31" i="2"/>
  <c r="BP27" i="3" s="1"/>
  <c r="T31" i="2"/>
  <c r="BG27" i="3" s="1"/>
  <c r="Q31" i="2"/>
  <c r="AX27" i="3" s="1"/>
  <c r="F33" i="2"/>
  <c r="G31" i="2"/>
  <c r="T27" i="3" s="1"/>
  <c r="AA31" i="2"/>
  <c r="CB27" i="3" s="1"/>
  <c r="X31" i="2"/>
  <c r="BS27" i="3" s="1"/>
  <c r="Y31" i="2"/>
  <c r="BV27" i="3" s="1"/>
  <c r="N31" i="2"/>
  <c r="AO27" i="3" s="1"/>
  <c r="K31" i="2"/>
  <c r="AF27" i="3" s="1"/>
  <c r="H31" i="2"/>
  <c r="W27" i="3" s="1"/>
  <c r="I31" i="2"/>
  <c r="Z27" i="3" s="1"/>
  <c r="AC31" i="2"/>
  <c r="CH27" i="3" s="1"/>
  <c r="J31" i="2"/>
  <c r="AC27" i="3" s="1"/>
  <c r="Z31" i="2"/>
  <c r="BY27" i="3" s="1"/>
  <c r="S31" i="2"/>
  <c r="BD27" i="3" s="1"/>
  <c r="L31" i="2"/>
  <c r="AI27" i="3" s="1"/>
  <c r="AB31" i="2"/>
  <c r="CE27" i="3" s="1"/>
  <c r="F30" i="2"/>
  <c r="Q10" i="5" s="1"/>
  <c r="R10" i="5" s="1"/>
  <c r="S10" i="5" s="1"/>
  <c r="J5" i="5"/>
  <c r="O34" i="9"/>
  <c r="P28" i="9" s="1"/>
  <c r="O29" i="9"/>
  <c r="N33" i="9"/>
  <c r="N30" i="9"/>
  <c r="S21" i="9"/>
  <c r="I11" i="5"/>
  <c r="I43" i="2"/>
  <c r="I44" i="2" s="1"/>
  <c r="N25" i="3"/>
  <c r="N29" i="3" s="1"/>
  <c r="Q1" i="5"/>
  <c r="Q19" i="5" s="1"/>
  <c r="R23" i="3"/>
  <c r="O24" i="3"/>
  <c r="O30" i="3" s="1"/>
  <c r="P24" i="3" s="1"/>
  <c r="P25" i="3" s="1"/>
  <c r="M40" i="2"/>
  <c r="M42" i="2" s="1"/>
  <c r="Q21" i="2"/>
  <c r="J26" i="3"/>
  <c r="I9" i="5"/>
  <c r="N4" i="5"/>
  <c r="O28" i="3"/>
  <c r="R28" i="5"/>
  <c r="Q14" i="5"/>
  <c r="I13" i="5" l="1"/>
  <c r="D52" i="2"/>
  <c r="E52" i="2"/>
  <c r="B52" i="2"/>
  <c r="C52" i="2"/>
  <c r="K21" i="5"/>
  <c r="K22" i="5" s="1"/>
  <c r="K5" i="5" s="1"/>
  <c r="J6" i="5"/>
  <c r="J7" i="5"/>
  <c r="O30" i="9"/>
  <c r="O33" i="9"/>
  <c r="T21" i="9"/>
  <c r="P34" i="9"/>
  <c r="Q28" i="9" s="1"/>
  <c r="P29" i="9"/>
  <c r="I12" i="5"/>
  <c r="J25" i="5"/>
  <c r="J26" i="5" s="1"/>
  <c r="M29" i="3"/>
  <c r="O25" i="3"/>
  <c r="O29" i="3" s="1"/>
  <c r="R1" i="5"/>
  <c r="R19" i="5" s="1"/>
  <c r="S23" i="3"/>
  <c r="N40" i="2"/>
  <c r="N42" i="2" s="1"/>
  <c r="F32" i="2"/>
  <c r="R21" i="2"/>
  <c r="F34" i="2"/>
  <c r="G28" i="2" s="1"/>
  <c r="P30" i="3"/>
  <c r="Q24" i="3" s="1"/>
  <c r="J9" i="5"/>
  <c r="K26" i="3"/>
  <c r="Q3" i="5"/>
  <c r="R3" i="5" s="1"/>
  <c r="S3" i="5" s="1"/>
  <c r="T3" i="5" s="1"/>
  <c r="U3" i="5" s="1"/>
  <c r="P28" i="3"/>
  <c r="O4" i="5"/>
  <c r="R14" i="5"/>
  <c r="S28" i="5"/>
  <c r="O40" i="2" l="1"/>
  <c r="O42" i="2" s="1"/>
  <c r="L21" i="5"/>
  <c r="L22" i="5" s="1"/>
  <c r="K7" i="5"/>
  <c r="K6" i="5"/>
  <c r="U21" i="9"/>
  <c r="P33" i="9"/>
  <c r="P30" i="9"/>
  <c r="Q34" i="9"/>
  <c r="R28" i="9" s="1"/>
  <c r="Q29" i="9"/>
  <c r="J43" i="2"/>
  <c r="J44" i="2" s="1"/>
  <c r="J11" i="5"/>
  <c r="J13" i="5" s="1"/>
  <c r="T23" i="3"/>
  <c r="S1" i="5"/>
  <c r="S19" i="5" s="1"/>
  <c r="G29" i="2"/>
  <c r="G33" i="2" s="1"/>
  <c r="P29" i="3"/>
  <c r="S21" i="2"/>
  <c r="K9" i="5"/>
  <c r="L26" i="3"/>
  <c r="P40" i="2"/>
  <c r="P42" i="2" s="1"/>
  <c r="Q30" i="3"/>
  <c r="Q28" i="3"/>
  <c r="P4" i="5"/>
  <c r="S14" i="5"/>
  <c r="T28" i="5"/>
  <c r="V3" i="5"/>
  <c r="G30" i="2" l="1"/>
  <c r="T10" i="5" s="1"/>
  <c r="U10" i="5" s="1"/>
  <c r="V10" i="5" s="1"/>
  <c r="R24" i="3"/>
  <c r="R25" i="3" s="1"/>
  <c r="R29" i="3" s="1"/>
  <c r="Q25" i="3"/>
  <c r="Q29" i="3" s="1"/>
  <c r="L5" i="5"/>
  <c r="Q30" i="9"/>
  <c r="Q33" i="9"/>
  <c r="V21" i="9"/>
  <c r="R34" i="9"/>
  <c r="S28" i="9" s="1"/>
  <c r="R29" i="9"/>
  <c r="J12" i="5"/>
  <c r="K25" i="5"/>
  <c r="K26" i="5" s="1"/>
  <c r="T1" i="5"/>
  <c r="T19" i="5" s="1"/>
  <c r="U23" i="3"/>
  <c r="T21" i="2"/>
  <c r="M26" i="3"/>
  <c r="L9" i="5"/>
  <c r="G32" i="2"/>
  <c r="G34" i="2"/>
  <c r="H28" i="2" s="1"/>
  <c r="Q4" i="5"/>
  <c r="R28" i="3"/>
  <c r="T14" i="5"/>
  <c r="U28" i="5"/>
  <c r="W3" i="5"/>
  <c r="Q40" i="2" l="1"/>
  <c r="Q42" i="2" s="1"/>
  <c r="R30" i="3"/>
  <c r="S24" i="3" s="1"/>
  <c r="S25" i="3" s="1"/>
  <c r="M21" i="5"/>
  <c r="M22" i="5" s="1"/>
  <c r="M5" i="5" s="1"/>
  <c r="L6" i="5"/>
  <c r="L7" i="5"/>
  <c r="W21" i="9"/>
  <c r="S34" i="9"/>
  <c r="T28" i="9" s="1"/>
  <c r="S29" i="9"/>
  <c r="R33" i="9"/>
  <c r="R30" i="9"/>
  <c r="K11" i="5"/>
  <c r="K43" i="2"/>
  <c r="K44" i="2" s="1"/>
  <c r="V23" i="3"/>
  <c r="U1" i="5"/>
  <c r="U19" i="5" s="1"/>
  <c r="U21" i="2"/>
  <c r="H29" i="2"/>
  <c r="H33" i="2" s="1"/>
  <c r="R40" i="2"/>
  <c r="R42" i="2" s="1"/>
  <c r="M9" i="5"/>
  <c r="N26" i="3"/>
  <c r="S28" i="3"/>
  <c r="R4" i="5"/>
  <c r="V28" i="5"/>
  <c r="U14" i="5"/>
  <c r="X3" i="5"/>
  <c r="S30" i="3" l="1"/>
  <c r="T24" i="3" s="1"/>
  <c r="T30" i="3" s="1"/>
  <c r="U24" i="3" s="1"/>
  <c r="U25" i="3" s="1"/>
  <c r="H52" i="2"/>
  <c r="N21" i="5"/>
  <c r="N22" i="5" s="1"/>
  <c r="N5" i="5" s="1"/>
  <c r="M7" i="5"/>
  <c r="M6" i="5"/>
  <c r="T34" i="9"/>
  <c r="U28" i="9" s="1"/>
  <c r="T29" i="9"/>
  <c r="X21" i="9"/>
  <c r="S33" i="9"/>
  <c r="S30" i="9"/>
  <c r="L25" i="5"/>
  <c r="L26" i="5" s="1"/>
  <c r="K12" i="5"/>
  <c r="K13" i="5"/>
  <c r="V1" i="5"/>
  <c r="V19" i="5" s="1"/>
  <c r="W23" i="3"/>
  <c r="V21" i="2"/>
  <c r="H30" i="2"/>
  <c r="W10" i="5" s="1"/>
  <c r="X10" i="5" s="1"/>
  <c r="Y10" i="5" s="1"/>
  <c r="O26" i="3"/>
  <c r="N9" i="5"/>
  <c r="S4" i="5"/>
  <c r="T28" i="3"/>
  <c r="V14" i="5"/>
  <c r="W28" i="5"/>
  <c r="Y3" i="5"/>
  <c r="O21" i="5" l="1"/>
  <c r="O22" i="5" s="1"/>
  <c r="N7" i="5"/>
  <c r="N6" i="5"/>
  <c r="Y21" i="9"/>
  <c r="T33" i="9"/>
  <c r="T30" i="9"/>
  <c r="U29" i="9"/>
  <c r="U34" i="9"/>
  <c r="V28" i="9" s="1"/>
  <c r="L11" i="5"/>
  <c r="L43" i="2"/>
  <c r="L44" i="2" s="1"/>
  <c r="T25" i="3"/>
  <c r="T40" i="2" s="1"/>
  <c r="T42" i="2" s="1"/>
  <c r="X23" i="3"/>
  <c r="W1" i="5"/>
  <c r="W19" i="5" s="1"/>
  <c r="W21" i="2"/>
  <c r="S40" i="2"/>
  <c r="S42" i="2" s="1"/>
  <c r="S29" i="3"/>
  <c r="U29" i="3"/>
  <c r="U30" i="3"/>
  <c r="V24" i="3" s="1"/>
  <c r="V25" i="3" s="1"/>
  <c r="P26" i="3"/>
  <c r="O9" i="5"/>
  <c r="H32" i="2"/>
  <c r="H34" i="2"/>
  <c r="I28" i="2" s="1"/>
  <c r="T4" i="5"/>
  <c r="U28" i="3"/>
  <c r="X28" i="5"/>
  <c r="W14" i="5"/>
  <c r="Z3" i="5"/>
  <c r="O5" i="5" l="1"/>
  <c r="Z21" i="9"/>
  <c r="U33" i="9"/>
  <c r="U30" i="9"/>
  <c r="V34" i="9"/>
  <c r="W28" i="9" s="1"/>
  <c r="V29" i="9"/>
  <c r="L12" i="5"/>
  <c r="M25" i="5"/>
  <c r="M26" i="5" s="1"/>
  <c r="L13" i="5"/>
  <c r="T29" i="3"/>
  <c r="Y23" i="3"/>
  <c r="X1" i="5"/>
  <c r="X19" i="5" s="1"/>
  <c r="U40" i="2"/>
  <c r="U42" i="2" s="1"/>
  <c r="X21" i="2"/>
  <c r="I29" i="2"/>
  <c r="I33" i="2" s="1"/>
  <c r="V30" i="3"/>
  <c r="W24" i="3" s="1"/>
  <c r="P9" i="5"/>
  <c r="Q26" i="3"/>
  <c r="U4" i="5"/>
  <c r="V28" i="3"/>
  <c r="Y28" i="5"/>
  <c r="X14" i="5"/>
  <c r="AA3" i="5"/>
  <c r="I52" i="2" l="1"/>
  <c r="P21" i="5"/>
  <c r="P22" i="5" s="1"/>
  <c r="O7" i="5"/>
  <c r="O6" i="5"/>
  <c r="W34" i="9"/>
  <c r="X28" i="9" s="1"/>
  <c r="W29" i="9"/>
  <c r="V30" i="9"/>
  <c r="V33" i="9"/>
  <c r="AA21" i="9"/>
  <c r="M43" i="2"/>
  <c r="M44" i="2" s="1"/>
  <c r="M11" i="5"/>
  <c r="Z23" i="3"/>
  <c r="Y1" i="5"/>
  <c r="Y19" i="5" s="1"/>
  <c r="Y21" i="2"/>
  <c r="R26" i="3"/>
  <c r="Q9" i="5"/>
  <c r="W30" i="3"/>
  <c r="X24" i="3" s="1"/>
  <c r="X25" i="3" s="1"/>
  <c r="I30" i="2"/>
  <c r="Z10" i="5" s="1"/>
  <c r="AA10" i="5" s="1"/>
  <c r="AB10" i="5" s="1"/>
  <c r="W28" i="3"/>
  <c r="V4" i="5"/>
  <c r="Y14" i="5"/>
  <c r="Z28" i="5"/>
  <c r="AB3" i="5"/>
  <c r="P5" i="5" l="1"/>
  <c r="AB21" i="9"/>
  <c r="W33" i="9"/>
  <c r="W30" i="9"/>
  <c r="X34" i="9"/>
  <c r="Y28" i="9" s="1"/>
  <c r="X29" i="9"/>
  <c r="M12" i="5"/>
  <c r="N25" i="5"/>
  <c r="N26" i="5" s="1"/>
  <c r="M13" i="5"/>
  <c r="W25" i="3"/>
  <c r="W29" i="3" s="1"/>
  <c r="Z1" i="5"/>
  <c r="Z19" i="5" s="1"/>
  <c r="AA23" i="3"/>
  <c r="Z21" i="2"/>
  <c r="X29" i="3"/>
  <c r="X30" i="3"/>
  <c r="Y24" i="3" s="1"/>
  <c r="Y25" i="3" s="1"/>
  <c r="V40" i="2"/>
  <c r="V42" i="2" s="1"/>
  <c r="V29" i="3"/>
  <c r="I32" i="2"/>
  <c r="I34" i="2"/>
  <c r="J28" i="2" s="1"/>
  <c r="R9" i="5"/>
  <c r="S26" i="3"/>
  <c r="X28" i="3"/>
  <c r="W4" i="5"/>
  <c r="AA28" i="5"/>
  <c r="Z14" i="5"/>
  <c r="AC3" i="5"/>
  <c r="Q22" i="5" l="1"/>
  <c r="P6" i="5"/>
  <c r="P7" i="5"/>
  <c r="X33" i="9"/>
  <c r="X30" i="9"/>
  <c r="Y34" i="9"/>
  <c r="Z28" i="9" s="1"/>
  <c r="Y29" i="9"/>
  <c r="AC21" i="9"/>
  <c r="N43" i="2"/>
  <c r="N44" i="2" s="1"/>
  <c r="N11" i="5"/>
  <c r="W40" i="2"/>
  <c r="W42" i="2" s="1"/>
  <c r="AB23" i="3"/>
  <c r="AA1" i="5"/>
  <c r="AA19" i="5" s="1"/>
  <c r="X40" i="2"/>
  <c r="X42" i="2" s="1"/>
  <c r="AA21" i="2"/>
  <c r="T26" i="3"/>
  <c r="S9" i="5"/>
  <c r="Y30" i="3"/>
  <c r="Z24" i="3" s="1"/>
  <c r="J29" i="2"/>
  <c r="J33" i="2" s="1"/>
  <c r="Y28" i="3"/>
  <c r="X4" i="5"/>
  <c r="AA14" i="5"/>
  <c r="AB28" i="5"/>
  <c r="AD3" i="5"/>
  <c r="J52" i="2" l="1"/>
  <c r="Q5" i="5"/>
  <c r="Z29" i="9"/>
  <c r="Z34" i="9"/>
  <c r="AA28" i="9" s="1"/>
  <c r="Y30" i="9"/>
  <c r="Y33" i="9"/>
  <c r="O25" i="5"/>
  <c r="O26" i="5" s="1"/>
  <c r="N12" i="5"/>
  <c r="N13" i="5"/>
  <c r="AC23" i="3"/>
  <c r="AB1" i="5"/>
  <c r="AB19" i="5" s="1"/>
  <c r="AC21" i="2"/>
  <c r="AB21" i="2"/>
  <c r="Z30" i="3"/>
  <c r="AA24" i="3" s="1"/>
  <c r="AA25" i="3" s="1"/>
  <c r="J30" i="2"/>
  <c r="AC10" i="5" s="1"/>
  <c r="AD10" i="5" s="1"/>
  <c r="AE10" i="5" s="1"/>
  <c r="U26" i="3"/>
  <c r="T9" i="5"/>
  <c r="Z28" i="3"/>
  <c r="Y4" i="5"/>
  <c r="AC28" i="5"/>
  <c r="AB14" i="5"/>
  <c r="AE3" i="5"/>
  <c r="R22" i="5" l="1"/>
  <c r="Q7" i="5"/>
  <c r="Q6" i="5"/>
  <c r="AA34" i="9"/>
  <c r="AB28" i="9" s="1"/>
  <c r="AA29" i="9"/>
  <c r="Z33" i="9"/>
  <c r="Z30" i="9"/>
  <c r="O11" i="5"/>
  <c r="O43" i="2"/>
  <c r="O44" i="2" s="1"/>
  <c r="Z25" i="3"/>
  <c r="Z29" i="3" s="1"/>
  <c r="AD23" i="3"/>
  <c r="AC1" i="5"/>
  <c r="AC19" i="5" s="1"/>
  <c r="AA29" i="3"/>
  <c r="AA30" i="3"/>
  <c r="AB24" i="3" s="1"/>
  <c r="AB25" i="3" s="1"/>
  <c r="U9" i="5"/>
  <c r="V26" i="3"/>
  <c r="J32" i="2"/>
  <c r="J34" i="2"/>
  <c r="K28" i="2" s="1"/>
  <c r="Y29" i="3"/>
  <c r="Y40" i="2"/>
  <c r="Y42" i="2" s="1"/>
  <c r="AA28" i="3"/>
  <c r="Z4" i="5"/>
  <c r="AC14" i="5"/>
  <c r="AD28" i="5"/>
  <c r="AF3" i="5"/>
  <c r="R5" i="5" l="1"/>
  <c r="AA33" i="9"/>
  <c r="AA30" i="9"/>
  <c r="AB34" i="9"/>
  <c r="AC28" i="9" s="1"/>
  <c r="AB29" i="9"/>
  <c r="P25" i="5"/>
  <c r="P26" i="5" s="1"/>
  <c r="O12" i="5"/>
  <c r="O13" i="5"/>
  <c r="Z40" i="2"/>
  <c r="Z42" i="2" s="1"/>
  <c r="AD1" i="5"/>
  <c r="AD19" i="5" s="1"/>
  <c r="AE23" i="3"/>
  <c r="AA40" i="2"/>
  <c r="AA42" i="2" s="1"/>
  <c r="AB30" i="3"/>
  <c r="AC24" i="3" s="1"/>
  <c r="V9" i="5"/>
  <c r="W26" i="3"/>
  <c r="K29" i="2"/>
  <c r="K33" i="2" s="1"/>
  <c r="AB28" i="3"/>
  <c r="AA4" i="5"/>
  <c r="AD14" i="5"/>
  <c r="AE28" i="5"/>
  <c r="AG3" i="5"/>
  <c r="K52" i="2" l="1"/>
  <c r="S22" i="5"/>
  <c r="S5" i="5" s="1"/>
  <c r="R6" i="5"/>
  <c r="R7" i="5"/>
  <c r="AC34" i="9"/>
  <c r="AC29" i="9"/>
  <c r="AB33" i="9"/>
  <c r="AB30" i="9"/>
  <c r="P43" i="2"/>
  <c r="P44" i="2" s="1"/>
  <c r="P11" i="5"/>
  <c r="AF23" i="3"/>
  <c r="AE1" i="5"/>
  <c r="AE19" i="5" s="1"/>
  <c r="AB40" i="2"/>
  <c r="AB42" i="2" s="1"/>
  <c r="X26" i="3"/>
  <c r="W9" i="5"/>
  <c r="K30" i="2"/>
  <c r="AF10" i="5" s="1"/>
  <c r="AG10" i="5" s="1"/>
  <c r="AH10" i="5" s="1"/>
  <c r="AC30" i="3"/>
  <c r="AD24" i="3" s="1"/>
  <c r="AD25" i="3" s="1"/>
  <c r="AC28" i="3"/>
  <c r="AB4" i="5"/>
  <c r="AF28" i="5"/>
  <c r="AE14" i="5"/>
  <c r="AH3" i="5"/>
  <c r="T21" i="5" l="1"/>
  <c r="T22" i="5" s="1"/>
  <c r="S7" i="5"/>
  <c r="S6" i="5"/>
  <c r="AC33" i="9"/>
  <c r="AC30" i="9"/>
  <c r="Q26" i="5"/>
  <c r="P12" i="5"/>
  <c r="P13" i="5"/>
  <c r="AC25" i="3"/>
  <c r="AC29" i="3" s="1"/>
  <c r="AB29" i="3"/>
  <c r="AF1" i="5"/>
  <c r="AF19" i="5" s="1"/>
  <c r="AG23" i="3"/>
  <c r="K32" i="2"/>
  <c r="K34" i="2"/>
  <c r="L28" i="2" s="1"/>
  <c r="AD30" i="3"/>
  <c r="AE24" i="3" s="1"/>
  <c r="AE25" i="3" s="1"/>
  <c r="AD29" i="3"/>
  <c r="X9" i="5"/>
  <c r="Y26" i="3"/>
  <c r="AD28" i="3"/>
  <c r="AC4" i="5"/>
  <c r="AF14" i="5"/>
  <c r="AG28" i="5"/>
  <c r="AI3" i="5"/>
  <c r="A17" i="10" l="1" a="1"/>
  <c r="C17" i="10" s="1"/>
  <c r="T5" i="5"/>
  <c r="Q43" i="2"/>
  <c r="Q44" i="2" s="1"/>
  <c r="Q11" i="5"/>
  <c r="AC40" i="2"/>
  <c r="AC42" i="2" s="1"/>
  <c r="AG1" i="5"/>
  <c r="AG19" i="5" s="1"/>
  <c r="AH23" i="3"/>
  <c r="Y9" i="5"/>
  <c r="Z26" i="3"/>
  <c r="L29" i="2"/>
  <c r="L33" i="2" s="1"/>
  <c r="L52" i="2" s="1"/>
  <c r="AE30" i="3"/>
  <c r="AF24" i="3" s="1"/>
  <c r="AD4" i="5"/>
  <c r="AE28" i="3"/>
  <c r="AH28" i="5"/>
  <c r="AG14" i="5"/>
  <c r="AJ3" i="5"/>
  <c r="G32" i="10" l="1"/>
  <c r="H43" i="10"/>
  <c r="A43" i="10"/>
  <c r="H38" i="10"/>
  <c r="B44" i="10"/>
  <c r="E26" i="10"/>
  <c r="E18" i="10"/>
  <c r="D41" i="10"/>
  <c r="F35" i="10"/>
  <c r="A27" i="10"/>
  <c r="B28" i="10"/>
  <c r="F26" i="10"/>
  <c r="H20" i="10"/>
  <c r="H34" i="10"/>
  <c r="E20" i="10"/>
  <c r="A36" i="10"/>
  <c r="B23" i="10"/>
  <c r="H39" i="10"/>
  <c r="D40" i="10"/>
  <c r="A33" i="10"/>
  <c r="F22" i="10"/>
  <c r="E37" i="10"/>
  <c r="D39" i="10"/>
  <c r="A19" i="10"/>
  <c r="G44" i="10"/>
  <c r="G28" i="10"/>
  <c r="H44" i="10"/>
  <c r="B34" i="10"/>
  <c r="E19" i="10"/>
  <c r="A34" i="10"/>
  <c r="B22" i="10"/>
  <c r="E38" i="10"/>
  <c r="A39" i="10"/>
  <c r="D32" i="10"/>
  <c r="F21" i="10"/>
  <c r="E33" i="10"/>
  <c r="B19" i="10"/>
  <c r="H28" i="10"/>
  <c r="G40" i="10"/>
  <c r="G24" i="10"/>
  <c r="B40" i="10"/>
  <c r="E29" i="10"/>
  <c r="F42" i="10"/>
  <c r="B29" i="10"/>
  <c r="B17" i="10"/>
  <c r="F43" i="10"/>
  <c r="D36" i="10"/>
  <c r="F28" i="10"/>
  <c r="F17" i="10"/>
  <c r="E22" i="10"/>
  <c r="H33" i="10"/>
  <c r="H24" i="10"/>
  <c r="G36" i="10"/>
  <c r="G20" i="10"/>
  <c r="A38" i="10"/>
  <c r="B43" i="10"/>
  <c r="B33" i="10"/>
  <c r="A26" i="10"/>
  <c r="A18" i="10"/>
  <c r="D28" i="10"/>
  <c r="D24" i="10"/>
  <c r="D20" i="10"/>
  <c r="C44" i="10"/>
  <c r="C40" i="10"/>
  <c r="C36" i="10"/>
  <c r="C32" i="10"/>
  <c r="C28" i="10"/>
  <c r="C24" i="10"/>
  <c r="C20" i="10"/>
  <c r="E43" i="10"/>
  <c r="B38" i="10"/>
  <c r="B32" i="10"/>
  <c r="E24" i="10"/>
  <c r="E17" i="10"/>
  <c r="F38" i="10"/>
  <c r="F32" i="10"/>
  <c r="B26" i="10"/>
  <c r="B20" i="10"/>
  <c r="E42" i="10"/>
  <c r="H37" i="10"/>
  <c r="F41" i="10"/>
  <c r="D38" i="10"/>
  <c r="A35" i="10"/>
  <c r="F30" i="10"/>
  <c r="F25" i="10"/>
  <c r="F20" i="10"/>
  <c r="H40" i="10"/>
  <c r="E31" i="10"/>
  <c r="A44" i="10"/>
  <c r="D35" i="10"/>
  <c r="B37" i="10"/>
  <c r="A31" i="10"/>
  <c r="A23" i="10"/>
  <c r="H30" i="10"/>
  <c r="H26" i="10"/>
  <c r="H22" i="10"/>
  <c r="H18" i="10"/>
  <c r="G42" i="10"/>
  <c r="G38" i="10"/>
  <c r="G34" i="10"/>
  <c r="G30" i="10"/>
  <c r="G26" i="10"/>
  <c r="G22" i="10"/>
  <c r="G18" i="10"/>
  <c r="B42" i="10"/>
  <c r="B36" i="10"/>
  <c r="E30" i="10"/>
  <c r="E23" i="10"/>
  <c r="D43" i="10"/>
  <c r="D37" i="10"/>
  <c r="A32" i="10"/>
  <c r="B24" i="10"/>
  <c r="B18" i="10"/>
  <c r="B41" i="10"/>
  <c r="D44" i="10"/>
  <c r="A41" i="10"/>
  <c r="F37" i="10"/>
  <c r="F33" i="10"/>
  <c r="F29" i="10"/>
  <c r="F24" i="10"/>
  <c r="F18" i="10"/>
  <c r="E39" i="10"/>
  <c r="E28" i="10"/>
  <c r="F40" i="10"/>
  <c r="D33" i="10"/>
  <c r="H35" i="10"/>
  <c r="A30" i="10"/>
  <c r="A22" i="10"/>
  <c r="D30" i="10"/>
  <c r="D26" i="10"/>
  <c r="D22" i="10"/>
  <c r="D18" i="10"/>
  <c r="C42" i="10"/>
  <c r="C38" i="10"/>
  <c r="C34" i="10"/>
  <c r="C30" i="10"/>
  <c r="C26" i="10"/>
  <c r="C22" i="10"/>
  <c r="C18" i="10"/>
  <c r="B31" i="10"/>
  <c r="H41" i="10"/>
  <c r="B35" i="10"/>
  <c r="E32" i="10"/>
  <c r="A29" i="10"/>
  <c r="A25" i="10"/>
  <c r="A21" i="10"/>
  <c r="A17" i="10"/>
  <c r="H29" i="10"/>
  <c r="H27" i="10"/>
  <c r="H25" i="10"/>
  <c r="H23" i="10"/>
  <c r="H21" i="10"/>
  <c r="H19" i="10"/>
  <c r="H17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E41" i="10"/>
  <c r="H36" i="10"/>
  <c r="H32" i="10"/>
  <c r="E27" i="10"/>
  <c r="E21" i="10"/>
  <c r="F44" i="10"/>
  <c r="A40" i="10"/>
  <c r="F34" i="10"/>
  <c r="B30" i="10"/>
  <c r="B25" i="10"/>
  <c r="B21" i="10"/>
  <c r="E44" i="10"/>
  <c r="E40" i="10"/>
  <c r="E36" i="10"/>
  <c r="D42" i="10"/>
  <c r="F39" i="10"/>
  <c r="A37" i="10"/>
  <c r="D34" i="10"/>
  <c r="F31" i="10"/>
  <c r="F27" i="10"/>
  <c r="F23" i="10"/>
  <c r="F19" i="10"/>
  <c r="H42" i="10"/>
  <c r="E35" i="10"/>
  <c r="E25" i="10"/>
  <c r="A42" i="10"/>
  <c r="F36" i="10"/>
  <c r="B27" i="10"/>
  <c r="B39" i="10"/>
  <c r="E34" i="10"/>
  <c r="H31" i="10"/>
  <c r="A28" i="10"/>
  <c r="A24" i="10"/>
  <c r="A20" i="10"/>
  <c r="D31" i="10"/>
  <c r="D29" i="10"/>
  <c r="D27" i="10"/>
  <c r="D25" i="10"/>
  <c r="D23" i="10"/>
  <c r="D21" i="10"/>
  <c r="D19" i="10"/>
  <c r="D17" i="10"/>
  <c r="C43" i="10"/>
  <c r="C41" i="10"/>
  <c r="C39" i="10"/>
  <c r="C37" i="10"/>
  <c r="C35" i="10"/>
  <c r="C33" i="10"/>
  <c r="C31" i="10"/>
  <c r="C29" i="10"/>
  <c r="C27" i="10"/>
  <c r="C25" i="10"/>
  <c r="C23" i="10"/>
  <c r="C21" i="10"/>
  <c r="C19" i="10"/>
  <c r="U21" i="5"/>
  <c r="U22" i="5" s="1"/>
  <c r="T6" i="5"/>
  <c r="T7" i="5"/>
  <c r="R26" i="5"/>
  <c r="Q12" i="5"/>
  <c r="Q13" i="5"/>
  <c r="AH1" i="5"/>
  <c r="AH19" i="5" s="1"/>
  <c r="AI23" i="3"/>
  <c r="AE29" i="3"/>
  <c r="L30" i="2"/>
  <c r="AI10" i="5" s="1"/>
  <c r="AJ10" i="5" s="1"/>
  <c r="AK10" i="5" s="1"/>
  <c r="AA26" i="3"/>
  <c r="Z9" i="5"/>
  <c r="AF30" i="3"/>
  <c r="AG24" i="3" s="1"/>
  <c r="AG25" i="3" s="1"/>
  <c r="AE4" i="5"/>
  <c r="AF28" i="3"/>
  <c r="AH14" i="5"/>
  <c r="AI28" i="5"/>
  <c r="AK3" i="5"/>
  <c r="U5" i="5" l="1"/>
  <c r="R11" i="5"/>
  <c r="R43" i="2"/>
  <c r="R44" i="2" s="1"/>
  <c r="AF25" i="3"/>
  <c r="AF29" i="3" s="1"/>
  <c r="AJ23" i="3"/>
  <c r="AI1" i="5"/>
  <c r="AI19" i="5" s="1"/>
  <c r="AB26" i="3"/>
  <c r="AA9" i="5"/>
  <c r="L32" i="2"/>
  <c r="L34" i="2"/>
  <c r="M28" i="2" s="1"/>
  <c r="AG30" i="3"/>
  <c r="AH24" i="3" s="1"/>
  <c r="AH25" i="3" s="1"/>
  <c r="AG29" i="3"/>
  <c r="AG28" i="3"/>
  <c r="AF4" i="5"/>
  <c r="AJ28" i="5"/>
  <c r="AI14" i="5"/>
  <c r="AL3" i="5"/>
  <c r="V21" i="5" l="1"/>
  <c r="V22" i="5" s="1"/>
  <c r="V5" i="5" s="1"/>
  <c r="U7" i="5"/>
  <c r="U6" i="5"/>
  <c r="R12" i="5"/>
  <c r="S26" i="5"/>
  <c r="R13" i="5"/>
  <c r="AJ1" i="5"/>
  <c r="AJ19" i="5" s="1"/>
  <c r="AK23" i="3"/>
  <c r="AH30" i="3"/>
  <c r="AI24" i="3" s="1"/>
  <c r="M29" i="2"/>
  <c r="M33" i="2" s="1"/>
  <c r="M52" i="2" s="1"/>
  <c r="AC26" i="3"/>
  <c r="AB9" i="5"/>
  <c r="AH28" i="3"/>
  <c r="AG4" i="5"/>
  <c r="AK28" i="5"/>
  <c r="AJ14" i="5"/>
  <c r="AM3" i="5"/>
  <c r="W21" i="5" l="1"/>
  <c r="W22" i="5" s="1"/>
  <c r="W5" i="5" s="1"/>
  <c r="V7" i="5"/>
  <c r="V6" i="5"/>
  <c r="S43" i="2"/>
  <c r="S44" i="2" s="1"/>
  <c r="S11" i="5"/>
  <c r="AL23" i="3"/>
  <c r="AK1" i="5"/>
  <c r="AK19" i="5" s="1"/>
  <c r="AH29" i="3"/>
  <c r="AD26" i="3"/>
  <c r="AC9" i="5"/>
  <c r="M30" i="2"/>
  <c r="AL10" i="5" s="1"/>
  <c r="AM10" i="5" s="1"/>
  <c r="AN10" i="5" s="1"/>
  <c r="AI30" i="3"/>
  <c r="AJ24" i="3" s="1"/>
  <c r="AJ25" i="3" s="1"/>
  <c r="AH4" i="5"/>
  <c r="AI28" i="3"/>
  <c r="AL28" i="5"/>
  <c r="AK14" i="5"/>
  <c r="AN3" i="5"/>
  <c r="X21" i="5" l="1"/>
  <c r="X22" i="5" s="1"/>
  <c r="W7" i="5"/>
  <c r="W6" i="5"/>
  <c r="T25" i="5"/>
  <c r="T26" i="5" s="1"/>
  <c r="S12" i="5"/>
  <c r="S13" i="5"/>
  <c r="AI25" i="3"/>
  <c r="AD40" i="2" s="1"/>
  <c r="AD42" i="2" s="1"/>
  <c r="AL1" i="5"/>
  <c r="AL19" i="5" s="1"/>
  <c r="AM23" i="3"/>
  <c r="M32" i="2"/>
  <c r="M34" i="2"/>
  <c r="N28" i="2" s="1"/>
  <c r="AJ30" i="3"/>
  <c r="AK24" i="3" s="1"/>
  <c r="AK25" i="3" s="1"/>
  <c r="AJ29" i="3"/>
  <c r="AD9" i="5"/>
  <c r="AE26" i="3"/>
  <c r="AJ28" i="3"/>
  <c r="AI4" i="5"/>
  <c r="AL14" i="5"/>
  <c r="AM28" i="5"/>
  <c r="AO3" i="5"/>
  <c r="X5" i="5" l="1"/>
  <c r="T43" i="2"/>
  <c r="T44" i="2" s="1"/>
  <c r="T11" i="5"/>
  <c r="AI29" i="3"/>
  <c r="AN23" i="3"/>
  <c r="AM1" i="5"/>
  <c r="AM19" i="5" s="1"/>
  <c r="AE40" i="2"/>
  <c r="AE42" i="2" s="1"/>
  <c r="N29" i="2"/>
  <c r="N33" i="2" s="1"/>
  <c r="N52" i="2" s="1"/>
  <c r="AK30" i="3"/>
  <c r="AL24" i="3" s="1"/>
  <c r="AE9" i="5"/>
  <c r="AF26" i="3"/>
  <c r="AJ4" i="5"/>
  <c r="AK28" i="3"/>
  <c r="AM14" i="5"/>
  <c r="AN28" i="5"/>
  <c r="AP3" i="5"/>
  <c r="Y21" i="5" l="1"/>
  <c r="Y22" i="5" s="1"/>
  <c r="Y5" i="5" s="1"/>
  <c r="X6" i="5"/>
  <c r="X7" i="5"/>
  <c r="U25" i="5"/>
  <c r="U26" i="5" s="1"/>
  <c r="T13" i="5"/>
  <c r="T12" i="5"/>
  <c r="AO23" i="3"/>
  <c r="AN1" i="5"/>
  <c r="AN19" i="5" s="1"/>
  <c r="AL30" i="3"/>
  <c r="AM24" i="3" s="1"/>
  <c r="AM25" i="3" s="1"/>
  <c r="AG26" i="3"/>
  <c r="AF9" i="5"/>
  <c r="N30" i="2"/>
  <c r="AO10" i="5" s="1"/>
  <c r="AP10" i="5" s="1"/>
  <c r="AQ10" i="5" s="1"/>
  <c r="AK4" i="5"/>
  <c r="AL28" i="3"/>
  <c r="AN14" i="5"/>
  <c r="AO28" i="5"/>
  <c r="AQ3" i="5"/>
  <c r="Z21" i="5" l="1"/>
  <c r="Z22" i="5" s="1"/>
  <c r="Z5" i="5" s="1"/>
  <c r="Y7" i="5"/>
  <c r="Y6" i="5"/>
  <c r="U43" i="2"/>
  <c r="U44" i="2" s="1"/>
  <c r="U11" i="5"/>
  <c r="AL25" i="3"/>
  <c r="AL29" i="3" s="1"/>
  <c r="AP23" i="3"/>
  <c r="AO1" i="5"/>
  <c r="AO19" i="5" s="1"/>
  <c r="AG9" i="5"/>
  <c r="AH26" i="3"/>
  <c r="AF40" i="2"/>
  <c r="AF42" i="2" s="1"/>
  <c r="AK29" i="3"/>
  <c r="N32" i="2"/>
  <c r="N34" i="2"/>
  <c r="O28" i="2" s="1"/>
  <c r="AM30" i="3"/>
  <c r="AN24" i="3" s="1"/>
  <c r="AN25" i="3" s="1"/>
  <c r="AM29" i="3"/>
  <c r="AL4" i="5"/>
  <c r="AM28" i="3"/>
  <c r="AO14" i="5"/>
  <c r="AP28" i="5"/>
  <c r="AR3" i="5"/>
  <c r="AA21" i="5" l="1"/>
  <c r="AA22" i="5" s="1"/>
  <c r="Z7" i="5"/>
  <c r="Z6" i="5"/>
  <c r="V25" i="5"/>
  <c r="V26" i="5" s="1"/>
  <c r="U13" i="5"/>
  <c r="U12" i="5"/>
  <c r="AG40" i="2"/>
  <c r="AG42" i="2" s="1"/>
  <c r="AQ23" i="3"/>
  <c r="AP1" i="5"/>
  <c r="AP19" i="5" s="1"/>
  <c r="AN30" i="3"/>
  <c r="AO24" i="3" s="1"/>
  <c r="AH40" i="2"/>
  <c r="AH42" i="2" s="1"/>
  <c r="AI26" i="3"/>
  <c r="AH9" i="5"/>
  <c r="O29" i="2"/>
  <c r="O33" i="2" s="1"/>
  <c r="O52" i="2" s="1"/>
  <c r="AM4" i="5"/>
  <c r="AN28" i="3"/>
  <c r="AP14" i="5"/>
  <c r="AQ28" i="5"/>
  <c r="AS3" i="5"/>
  <c r="AA5" i="5" l="1"/>
  <c r="V11" i="5"/>
  <c r="V43" i="2"/>
  <c r="V44" i="2" s="1"/>
  <c r="AR23" i="3"/>
  <c r="AQ1" i="5"/>
  <c r="AQ19" i="5" s="1"/>
  <c r="AI40" i="2"/>
  <c r="AI42" i="2" s="1"/>
  <c r="AJ26" i="3"/>
  <c r="AI9" i="5"/>
  <c r="O30" i="2"/>
  <c r="AR10" i="5" s="1"/>
  <c r="AS10" i="5" s="1"/>
  <c r="AT10" i="5" s="1"/>
  <c r="AO30" i="3"/>
  <c r="AP24" i="3" s="1"/>
  <c r="AP25" i="3" s="1"/>
  <c r="AO28" i="3"/>
  <c r="AN4" i="5"/>
  <c r="AQ14" i="5"/>
  <c r="AR28" i="5"/>
  <c r="AT3" i="5"/>
  <c r="AB21" i="5" l="1"/>
  <c r="AB22" i="5" s="1"/>
  <c r="AB5" i="5" s="1"/>
  <c r="AA7" i="5"/>
  <c r="AA6" i="5"/>
  <c r="W25" i="5"/>
  <c r="W26" i="5" s="1"/>
  <c r="V13" i="5"/>
  <c r="V12" i="5"/>
  <c r="AO25" i="3"/>
  <c r="AO29" i="3" s="1"/>
  <c r="AS23" i="3"/>
  <c r="AR1" i="5"/>
  <c r="AR19" i="5" s="1"/>
  <c r="AN29" i="3"/>
  <c r="AK26" i="3"/>
  <c r="AJ9" i="5"/>
  <c r="O32" i="2"/>
  <c r="O34" i="2"/>
  <c r="P28" i="2" s="1"/>
  <c r="AP30" i="3"/>
  <c r="AQ24" i="3" s="1"/>
  <c r="AQ25" i="3" s="1"/>
  <c r="AP28" i="3"/>
  <c r="AO4" i="5"/>
  <c r="AS28" i="5"/>
  <c r="AR14" i="5"/>
  <c r="AU3" i="5"/>
  <c r="AC21" i="5" l="1"/>
  <c r="AC22" i="5" s="1"/>
  <c r="AC5" i="5" s="1"/>
  <c r="AB7" i="5"/>
  <c r="AB6" i="5"/>
  <c r="W11" i="5"/>
  <c r="W43" i="2"/>
  <c r="W44" i="2" s="1"/>
  <c r="AJ40" i="2"/>
  <c r="AJ42" i="2" s="1"/>
  <c r="AT23" i="3"/>
  <c r="AS1" i="5"/>
  <c r="AS19" i="5" s="1"/>
  <c r="AP29" i="3"/>
  <c r="AK40" i="2"/>
  <c r="AK42" i="2" s="1"/>
  <c r="AQ30" i="3"/>
  <c r="AR24" i="3" s="1"/>
  <c r="P29" i="2"/>
  <c r="P33" i="2" s="1"/>
  <c r="P52" i="2" s="1"/>
  <c r="AK9" i="5"/>
  <c r="AL26" i="3"/>
  <c r="AQ28" i="3"/>
  <c r="AP4" i="5"/>
  <c r="AT28" i="5"/>
  <c r="AS14" i="5"/>
  <c r="AV3" i="5"/>
  <c r="AD21" i="5" l="1"/>
  <c r="AD22" i="5" s="1"/>
  <c r="AC6" i="5"/>
  <c r="AC7" i="5"/>
  <c r="X25" i="5"/>
  <c r="X26" i="5" s="1"/>
  <c r="W12" i="5"/>
  <c r="W13" i="5"/>
  <c r="AT1" i="5"/>
  <c r="AT19" i="5" s="1"/>
  <c r="AU23" i="3"/>
  <c r="AR30" i="3"/>
  <c r="AS24" i="3" s="1"/>
  <c r="AS25" i="3" s="1"/>
  <c r="AM26" i="3"/>
  <c r="AL9" i="5"/>
  <c r="P30" i="2"/>
  <c r="AU10" i="5" s="1"/>
  <c r="AV10" i="5" s="1"/>
  <c r="AW10" i="5" s="1"/>
  <c r="AQ4" i="5"/>
  <c r="AR28" i="3"/>
  <c r="AT14" i="5"/>
  <c r="AU28" i="5"/>
  <c r="AW3" i="5"/>
  <c r="AD5" i="5" l="1"/>
  <c r="X43" i="2"/>
  <c r="X44" i="2" s="1"/>
  <c r="X11" i="5"/>
  <c r="AR25" i="3"/>
  <c r="AR29" i="3" s="1"/>
  <c r="AV23" i="3"/>
  <c r="AU1" i="5"/>
  <c r="AU19" i="5" s="1"/>
  <c r="AM9" i="5"/>
  <c r="AN26" i="3"/>
  <c r="P32" i="2"/>
  <c r="P34" i="2"/>
  <c r="Q28" i="2" s="1"/>
  <c r="AL40" i="2"/>
  <c r="AL42" i="2" s="1"/>
  <c r="AQ29" i="3"/>
  <c r="AS29" i="3"/>
  <c r="AS30" i="3"/>
  <c r="AT24" i="3" s="1"/>
  <c r="AT25" i="3" s="1"/>
  <c r="AS28" i="3"/>
  <c r="AR4" i="5"/>
  <c r="AU14" i="5"/>
  <c r="AV28" i="5"/>
  <c r="AX3" i="5"/>
  <c r="AE21" i="5" l="1"/>
  <c r="AE22" i="5" s="1"/>
  <c r="AE5" i="5" s="1"/>
  <c r="AD7" i="5"/>
  <c r="AD6" i="5"/>
  <c r="Y25" i="5"/>
  <c r="Y26" i="5" s="1"/>
  <c r="X13" i="5"/>
  <c r="X12" i="5"/>
  <c r="AM40" i="2"/>
  <c r="AM42" i="2" s="1"/>
  <c r="AV1" i="5"/>
  <c r="AV19" i="5" s="1"/>
  <c r="AW23" i="3"/>
  <c r="AT30" i="3"/>
  <c r="AU24" i="3" s="1"/>
  <c r="AO26" i="3"/>
  <c r="AN9" i="5"/>
  <c r="AN40" i="2"/>
  <c r="AN42" i="2" s="1"/>
  <c r="Q29" i="2"/>
  <c r="Q33" i="2" s="1"/>
  <c r="Q52" i="2" s="1"/>
  <c r="AT28" i="3"/>
  <c r="AS4" i="5"/>
  <c r="AV14" i="5"/>
  <c r="AW28" i="5"/>
  <c r="AY3" i="5"/>
  <c r="AF21" i="5" l="1"/>
  <c r="AF22" i="5" s="1"/>
  <c r="AF5" i="5" s="1"/>
  <c r="AE7" i="5"/>
  <c r="AE6" i="5"/>
  <c r="Y11" i="5"/>
  <c r="Y43" i="2"/>
  <c r="Y44" i="2" s="1"/>
  <c r="AX23" i="3"/>
  <c r="AW1" i="5"/>
  <c r="AW19" i="5" s="1"/>
  <c r="AO40" i="2"/>
  <c r="AO42" i="2" s="1"/>
  <c r="AU30" i="3"/>
  <c r="AV24" i="3" s="1"/>
  <c r="AV25" i="3" s="1"/>
  <c r="Q30" i="2"/>
  <c r="AX10" i="5" s="1"/>
  <c r="AY10" i="5" s="1"/>
  <c r="AZ10" i="5" s="1"/>
  <c r="AO9" i="5"/>
  <c r="AP26" i="3"/>
  <c r="AU28" i="3"/>
  <c r="AT4" i="5"/>
  <c r="AX28" i="5"/>
  <c r="AW14" i="5"/>
  <c r="AZ3" i="5"/>
  <c r="AG21" i="5" l="1"/>
  <c r="AG22" i="5" s="1"/>
  <c r="AF6" i="5"/>
  <c r="AF7" i="5"/>
  <c r="Z25" i="5"/>
  <c r="Z26" i="5" s="1"/>
  <c r="Y13" i="5"/>
  <c r="Y12" i="5"/>
  <c r="AU25" i="3"/>
  <c r="AU29" i="3" s="1"/>
  <c r="AT29" i="3"/>
  <c r="AX1" i="5"/>
  <c r="AX19" i="5" s="1"/>
  <c r="AY23" i="3"/>
  <c r="Q32" i="2"/>
  <c r="Q34" i="2"/>
  <c r="R28" i="2" s="1"/>
  <c r="AP9" i="5"/>
  <c r="AQ26" i="3"/>
  <c r="AV30" i="3"/>
  <c r="AW24" i="3" s="1"/>
  <c r="AW25" i="3" s="1"/>
  <c r="AV28" i="3"/>
  <c r="AU4" i="5"/>
  <c r="AX14" i="5"/>
  <c r="AY28" i="5"/>
  <c r="BA3" i="5"/>
  <c r="AG5" i="5" l="1"/>
  <c r="Z43" i="2"/>
  <c r="Z44" i="2" s="1"/>
  <c r="Z11" i="5"/>
  <c r="AP40" i="2"/>
  <c r="AP42" i="2" s="1"/>
  <c r="AY1" i="5"/>
  <c r="AY19" i="5" s="1"/>
  <c r="AZ23" i="3"/>
  <c r="AW30" i="3"/>
  <c r="AX24" i="3" s="1"/>
  <c r="R29" i="2"/>
  <c r="R33" i="2" s="1"/>
  <c r="R52" i="2" s="1"/>
  <c r="AV29" i="3"/>
  <c r="AQ40" i="2"/>
  <c r="AQ42" i="2" s="1"/>
  <c r="AQ9" i="5"/>
  <c r="AR26" i="3"/>
  <c r="AV4" i="5"/>
  <c r="AW28" i="3"/>
  <c r="AZ28" i="5"/>
  <c r="AY14" i="5"/>
  <c r="BB3" i="5"/>
  <c r="AH21" i="5" l="1"/>
  <c r="AH22" i="5" s="1"/>
  <c r="AH5" i="5" s="1"/>
  <c r="AG6" i="5"/>
  <c r="AG7" i="5"/>
  <c r="AA25" i="5"/>
  <c r="AA26" i="5" s="1"/>
  <c r="Z13" i="5"/>
  <c r="Z12" i="5"/>
  <c r="AZ1" i="5"/>
  <c r="AZ19" i="5" s="1"/>
  <c r="BA23" i="3"/>
  <c r="AW29" i="3"/>
  <c r="R30" i="2"/>
  <c r="BA10" i="5" s="1"/>
  <c r="BB10" i="5" s="1"/>
  <c r="BC10" i="5" s="1"/>
  <c r="AR9" i="5"/>
  <c r="AS26" i="3"/>
  <c r="AX30" i="3"/>
  <c r="AY24" i="3" s="1"/>
  <c r="AY25" i="3" s="1"/>
  <c r="AW4" i="5"/>
  <c r="AX28" i="3"/>
  <c r="BA28" i="5"/>
  <c r="AZ14" i="5"/>
  <c r="BC3" i="5"/>
  <c r="AI21" i="5" l="1"/>
  <c r="AI22" i="5" s="1"/>
  <c r="AI5" i="5" s="1"/>
  <c r="AH7" i="5"/>
  <c r="AH6" i="5"/>
  <c r="AA43" i="2"/>
  <c r="AA44" i="2" s="1"/>
  <c r="AA11" i="5"/>
  <c r="AX25" i="3"/>
  <c r="AX29" i="3" s="1"/>
  <c r="BB23" i="3"/>
  <c r="BA1" i="5"/>
  <c r="BA19" i="5" s="1"/>
  <c r="AR40" i="2"/>
  <c r="AR42" i="2" s="1"/>
  <c r="AY30" i="3"/>
  <c r="AZ24" i="3" s="1"/>
  <c r="AZ25" i="3" s="1"/>
  <c r="R32" i="2"/>
  <c r="R34" i="2"/>
  <c r="S28" i="2" s="1"/>
  <c r="AS9" i="5"/>
  <c r="AT26" i="3"/>
  <c r="AY28" i="3"/>
  <c r="AX4" i="5"/>
  <c r="BB28" i="5"/>
  <c r="BA14" i="5"/>
  <c r="BD3" i="5"/>
  <c r="AJ21" i="5" l="1"/>
  <c r="AJ22" i="5" s="1"/>
  <c r="AI7" i="5"/>
  <c r="AI6" i="5"/>
  <c r="AB25" i="5"/>
  <c r="AB26" i="5" s="1"/>
  <c r="AA12" i="5"/>
  <c r="AA13" i="5"/>
  <c r="AS40" i="2"/>
  <c r="AS42" i="2" s="1"/>
  <c r="BB1" i="5"/>
  <c r="BB19" i="5" s="1"/>
  <c r="BC23" i="3"/>
  <c r="S29" i="2"/>
  <c r="S33" i="2" s="1"/>
  <c r="S52" i="2" s="1"/>
  <c r="AY29" i="3"/>
  <c r="AT40" i="2"/>
  <c r="AT42" i="2" s="1"/>
  <c r="AU26" i="3"/>
  <c r="AT9" i="5"/>
  <c r="AZ30" i="3"/>
  <c r="BA24" i="3" s="1"/>
  <c r="AY4" i="5"/>
  <c r="AZ28" i="3"/>
  <c r="BC28" i="5"/>
  <c r="BB14" i="5"/>
  <c r="BE3" i="5"/>
  <c r="AJ5" i="5" l="1"/>
  <c r="AB11" i="5"/>
  <c r="AB43" i="2"/>
  <c r="AB44" i="2" s="1"/>
  <c r="BD23" i="3"/>
  <c r="BC1" i="5"/>
  <c r="BC19" i="5" s="1"/>
  <c r="AU40" i="2"/>
  <c r="AU42" i="2" s="1"/>
  <c r="AV26" i="3"/>
  <c r="AU9" i="5"/>
  <c r="BA30" i="3"/>
  <c r="BB24" i="3" s="1"/>
  <c r="BB25" i="3" s="1"/>
  <c r="S30" i="2"/>
  <c r="BD10" i="5" s="1"/>
  <c r="BE10" i="5" s="1"/>
  <c r="BF10" i="5" s="1"/>
  <c r="BA28" i="3"/>
  <c r="AZ4" i="5"/>
  <c r="BD28" i="5"/>
  <c r="BC14" i="5"/>
  <c r="BF3" i="5"/>
  <c r="AK21" i="5" l="1"/>
  <c r="AK22" i="5" s="1"/>
  <c r="AJ7" i="5"/>
  <c r="AJ6" i="5"/>
  <c r="AC25" i="5"/>
  <c r="AC26" i="5" s="1"/>
  <c r="AB12" i="5"/>
  <c r="AB13" i="5"/>
  <c r="BA25" i="3"/>
  <c r="BA29" i="3" s="1"/>
  <c r="BE23" i="3"/>
  <c r="BD1" i="5"/>
  <c r="BD19" i="5" s="1"/>
  <c r="AZ29" i="3"/>
  <c r="AV9" i="5"/>
  <c r="AW26" i="3"/>
  <c r="BB29" i="3"/>
  <c r="BB30" i="3"/>
  <c r="BC24" i="3" s="1"/>
  <c r="BC25" i="3" s="1"/>
  <c r="S32" i="2"/>
  <c r="S34" i="2"/>
  <c r="T28" i="2" s="1"/>
  <c r="BA4" i="5"/>
  <c r="BB28" i="3"/>
  <c r="BD14" i="5"/>
  <c r="BE28" i="5"/>
  <c r="BG3" i="5"/>
  <c r="AK5" i="5" l="1"/>
  <c r="AC43" i="2"/>
  <c r="AC44" i="2" s="1"/>
  <c r="AC11" i="5"/>
  <c r="AV40" i="2"/>
  <c r="AV42" i="2" s="1"/>
  <c r="BF23" i="3"/>
  <c r="BE1" i="5"/>
  <c r="BE19" i="5" s="1"/>
  <c r="AW40" i="2"/>
  <c r="AW42" i="2" s="1"/>
  <c r="BC30" i="3"/>
  <c r="BD24" i="3" s="1"/>
  <c r="T29" i="2"/>
  <c r="T33" i="2" s="1"/>
  <c r="T52" i="2" s="1"/>
  <c r="AX26" i="3"/>
  <c r="AW9" i="5"/>
  <c r="BB4" i="5"/>
  <c r="BC28" i="3"/>
  <c r="BE14" i="5"/>
  <c r="BF28" i="5"/>
  <c r="BH3" i="5"/>
  <c r="AL21" i="5" l="1"/>
  <c r="AL22" i="5" s="1"/>
  <c r="AL5" i="5" s="1"/>
  <c r="AK7" i="5"/>
  <c r="AK6" i="5"/>
  <c r="AD25" i="5"/>
  <c r="AD26" i="5" s="1"/>
  <c r="AC12" i="5"/>
  <c r="AC13" i="5"/>
  <c r="BG23" i="3"/>
  <c r="BF1" i="5"/>
  <c r="BF19" i="5" s="1"/>
  <c r="AX40" i="2"/>
  <c r="AX42" i="2" s="1"/>
  <c r="AX9" i="5"/>
  <c r="AY26" i="3"/>
  <c r="BD30" i="3"/>
  <c r="BE24" i="3" s="1"/>
  <c r="BE25" i="3" s="1"/>
  <c r="T30" i="2"/>
  <c r="BG10" i="5" s="1"/>
  <c r="BH10" i="5" s="1"/>
  <c r="BI10" i="5" s="1"/>
  <c r="BD28" i="3"/>
  <c r="BC4" i="5"/>
  <c r="BF14" i="5"/>
  <c r="BG28" i="5"/>
  <c r="BI3" i="5"/>
  <c r="AM21" i="5" l="1"/>
  <c r="AM22" i="5" s="1"/>
  <c r="AL6" i="5"/>
  <c r="AL7" i="5"/>
  <c r="AD11" i="5"/>
  <c r="AD43" i="2"/>
  <c r="AD44" i="2" s="1"/>
  <c r="BD25" i="3"/>
  <c r="BD29" i="3" s="1"/>
  <c r="BH23" i="3"/>
  <c r="BG1" i="5"/>
  <c r="BG19" i="5" s="1"/>
  <c r="BC29" i="3"/>
  <c r="T32" i="2"/>
  <c r="T34" i="2"/>
  <c r="U28" i="2" s="1"/>
  <c r="AZ26" i="3"/>
  <c r="AY9" i="5"/>
  <c r="BE30" i="3"/>
  <c r="BF24" i="3" s="1"/>
  <c r="BF25" i="3" s="1"/>
  <c r="BE29" i="3"/>
  <c r="BD4" i="5"/>
  <c r="BE28" i="3"/>
  <c r="BH28" i="5"/>
  <c r="BG14" i="5"/>
  <c r="BJ3" i="5"/>
  <c r="AM5" i="5" l="1"/>
  <c r="AE25" i="5"/>
  <c r="AE26" i="5" s="1"/>
  <c r="AD12" i="5"/>
  <c r="AD13" i="5"/>
  <c r="AY40" i="2"/>
  <c r="AY42" i="2" s="1"/>
  <c r="BI23" i="3"/>
  <c r="BH1" i="5"/>
  <c r="BH19" i="5" s="1"/>
  <c r="AZ40" i="2"/>
  <c r="AZ42" i="2" s="1"/>
  <c r="BF30" i="3"/>
  <c r="BG24" i="3" s="1"/>
  <c r="AZ9" i="5"/>
  <c r="BA26" i="3"/>
  <c r="U29" i="2"/>
  <c r="U33" i="2" s="1"/>
  <c r="U52" i="2" s="1"/>
  <c r="BE4" i="5"/>
  <c r="BF28" i="3"/>
  <c r="BI28" i="5"/>
  <c r="BH14" i="5"/>
  <c r="BK3" i="5"/>
  <c r="AN21" i="5" l="1"/>
  <c r="AN22" i="5" s="1"/>
  <c r="AN5" i="5" s="1"/>
  <c r="AM6" i="5"/>
  <c r="AM7" i="5"/>
  <c r="AE11" i="5"/>
  <c r="AE43" i="2"/>
  <c r="AE44" i="2" s="1"/>
  <c r="BJ23" i="3"/>
  <c r="BI1" i="5"/>
  <c r="BI19" i="5" s="1"/>
  <c r="BF29" i="3"/>
  <c r="BB26" i="3"/>
  <c r="BA9" i="5"/>
  <c r="U30" i="2"/>
  <c r="BJ10" i="5" s="1"/>
  <c r="BK10" i="5" s="1"/>
  <c r="BL10" i="5" s="1"/>
  <c r="BG30" i="3"/>
  <c r="BH24" i="3" s="1"/>
  <c r="BH25" i="3" s="1"/>
  <c r="BF4" i="5"/>
  <c r="BG28" i="3"/>
  <c r="BJ28" i="5"/>
  <c r="BI14" i="5"/>
  <c r="BL3" i="5"/>
  <c r="AO21" i="5" l="1"/>
  <c r="AO22" i="5" s="1"/>
  <c r="AO5" i="5" s="1"/>
  <c r="AN6" i="5"/>
  <c r="AN7" i="5"/>
  <c r="AF25" i="5"/>
  <c r="AF26" i="5" s="1"/>
  <c r="AE13" i="5"/>
  <c r="AE12" i="5"/>
  <c r="BG25" i="3"/>
  <c r="BG29" i="3" s="1"/>
  <c r="BJ1" i="5"/>
  <c r="BJ19" i="5" s="1"/>
  <c r="BK23" i="3"/>
  <c r="BA40" i="2"/>
  <c r="BA42" i="2" s="1"/>
  <c r="BH30" i="3"/>
  <c r="BI24" i="3" s="1"/>
  <c r="BI25" i="3" s="1"/>
  <c r="U32" i="2"/>
  <c r="U34" i="2"/>
  <c r="V28" i="2" s="1"/>
  <c r="BC26" i="3"/>
  <c r="BB9" i="5"/>
  <c r="BH28" i="3"/>
  <c r="BG4" i="5"/>
  <c r="BJ14" i="5"/>
  <c r="BK28" i="5"/>
  <c r="BM3" i="5"/>
  <c r="AP21" i="5" l="1"/>
  <c r="AP22" i="5" s="1"/>
  <c r="AO7" i="5"/>
  <c r="AO6" i="5"/>
  <c r="AF11" i="5"/>
  <c r="AF43" i="2"/>
  <c r="AF44" i="2" s="1"/>
  <c r="BB40" i="2"/>
  <c r="BB42" i="2" s="1"/>
  <c r="BL23" i="3"/>
  <c r="BK1" i="5"/>
  <c r="BK19" i="5" s="1"/>
  <c r="BC9" i="5"/>
  <c r="BD26" i="3"/>
  <c r="BI30" i="3"/>
  <c r="BJ24" i="3" s="1"/>
  <c r="V29" i="2"/>
  <c r="V33" i="2" s="1"/>
  <c r="V52" i="2" s="1"/>
  <c r="BH29" i="3"/>
  <c r="BC40" i="2"/>
  <c r="BC42" i="2" s="1"/>
  <c r="BI28" i="3"/>
  <c r="BH4" i="5"/>
  <c r="BK14" i="5"/>
  <c r="BL28" i="5"/>
  <c r="BN3" i="5"/>
  <c r="AP5" i="5" l="1"/>
  <c r="AG25" i="5"/>
  <c r="AG26" i="5" s="1"/>
  <c r="AF12" i="5"/>
  <c r="AF13" i="5"/>
  <c r="BL1" i="5"/>
  <c r="BL19" i="5" s="1"/>
  <c r="BM23" i="3"/>
  <c r="BD9" i="5"/>
  <c r="BE26" i="3"/>
  <c r="BJ30" i="3"/>
  <c r="BK24" i="3" s="1"/>
  <c r="BK25" i="3" s="1"/>
  <c r="V30" i="2"/>
  <c r="BM10" i="5" s="1"/>
  <c r="BN10" i="5" s="1"/>
  <c r="BO10" i="5" s="1"/>
  <c r="BI4" i="5"/>
  <c r="BJ28" i="3"/>
  <c r="BM28" i="5"/>
  <c r="BL14" i="5"/>
  <c r="BO3" i="5"/>
  <c r="AQ21" i="5" l="1"/>
  <c r="AQ22" i="5" s="1"/>
  <c r="AQ5" i="5" s="1"/>
  <c r="AP7" i="5"/>
  <c r="AP6" i="5"/>
  <c r="AG11" i="5"/>
  <c r="AG43" i="2"/>
  <c r="AG44" i="2" s="1"/>
  <c r="BJ25" i="3"/>
  <c r="BJ29" i="3" s="1"/>
  <c r="BN23" i="3"/>
  <c r="BM1" i="5"/>
  <c r="BM19" i="5" s="1"/>
  <c r="BK30" i="3"/>
  <c r="BL24" i="3" s="1"/>
  <c r="BL25" i="3" s="1"/>
  <c r="BK29" i="3"/>
  <c r="BD40" i="2"/>
  <c r="BD42" i="2" s="1"/>
  <c r="BI29" i="3"/>
  <c r="BE9" i="5"/>
  <c r="BF26" i="3"/>
  <c r="V32" i="2"/>
  <c r="V34" i="2"/>
  <c r="W28" i="2" s="1"/>
  <c r="BJ4" i="5"/>
  <c r="BK28" i="3"/>
  <c r="BM14" i="5"/>
  <c r="BN28" i="5"/>
  <c r="BP3" i="5"/>
  <c r="BF40" i="2" l="1"/>
  <c r="BF42" i="2" s="1"/>
  <c r="AR21" i="5"/>
  <c r="AR22" i="5" s="1"/>
  <c r="AR5" i="5" s="1"/>
  <c r="AQ7" i="5"/>
  <c r="AQ6" i="5"/>
  <c r="AH25" i="5"/>
  <c r="AH26" i="5" s="1"/>
  <c r="AG13" i="5"/>
  <c r="AG12" i="5"/>
  <c r="BE40" i="2"/>
  <c r="BE42" i="2" s="1"/>
  <c r="BN1" i="5"/>
  <c r="BN19" i="5" s="1"/>
  <c r="BO23" i="3"/>
  <c r="W29" i="2"/>
  <c r="W33" i="2" s="1"/>
  <c r="W52" i="2" s="1"/>
  <c r="BL30" i="3"/>
  <c r="BM24" i="3" s="1"/>
  <c r="BF9" i="5"/>
  <c r="BG26" i="3"/>
  <c r="BK4" i="5"/>
  <c r="BL28" i="3"/>
  <c r="BO28" i="5"/>
  <c r="BN14" i="5"/>
  <c r="BQ3" i="5"/>
  <c r="AS21" i="5" l="1"/>
  <c r="AS22" i="5" s="1"/>
  <c r="AR6" i="5"/>
  <c r="AR7" i="5"/>
  <c r="AH11" i="5"/>
  <c r="AH43" i="2"/>
  <c r="AH44" i="2" s="1"/>
  <c r="BO1" i="5"/>
  <c r="BO19" i="5" s="1"/>
  <c r="BP23" i="3"/>
  <c r="BM30" i="3"/>
  <c r="BN24" i="3" s="1"/>
  <c r="BN25" i="3" s="1"/>
  <c r="BG9" i="5"/>
  <c r="BH26" i="3"/>
  <c r="W30" i="2"/>
  <c r="BP10" i="5" s="1"/>
  <c r="BQ10" i="5" s="1"/>
  <c r="BR10" i="5" s="1"/>
  <c r="BL4" i="5"/>
  <c r="BM28" i="3"/>
  <c r="BP28" i="5"/>
  <c r="BO14" i="5"/>
  <c r="BR3" i="5"/>
  <c r="AS5" i="5" l="1"/>
  <c r="AI25" i="5"/>
  <c r="AI26" i="5" s="1"/>
  <c r="AH12" i="5"/>
  <c r="AH13" i="5"/>
  <c r="BM25" i="3"/>
  <c r="BM29" i="3" s="1"/>
  <c r="BP1" i="5"/>
  <c r="BP19" i="5" s="1"/>
  <c r="BQ23" i="3"/>
  <c r="BI26" i="3"/>
  <c r="BH9" i="5"/>
  <c r="W32" i="2"/>
  <c r="W34" i="2"/>
  <c r="X28" i="2" s="1"/>
  <c r="BG40" i="2"/>
  <c r="BG42" i="2" s="1"/>
  <c r="BL29" i="3"/>
  <c r="BN29" i="3"/>
  <c r="BN30" i="3"/>
  <c r="BO24" i="3" s="1"/>
  <c r="BO25" i="3" s="1"/>
  <c r="BN28" i="3"/>
  <c r="BM4" i="5"/>
  <c r="BQ28" i="5"/>
  <c r="BP14" i="5"/>
  <c r="BS3" i="5"/>
  <c r="BH40" i="2" l="1"/>
  <c r="BH42" i="2" s="1"/>
  <c r="AT21" i="5"/>
  <c r="AT22" i="5" s="1"/>
  <c r="AT5" i="5" s="1"/>
  <c r="AS7" i="5"/>
  <c r="AS6" i="5"/>
  <c r="AI11" i="5"/>
  <c r="AI43" i="2"/>
  <c r="AI44" i="2" s="1"/>
  <c r="BR23" i="3"/>
  <c r="BQ1" i="5"/>
  <c r="BQ19" i="5" s="1"/>
  <c r="BJ26" i="3"/>
  <c r="BI9" i="5"/>
  <c r="BO30" i="3"/>
  <c r="BP24" i="3" s="1"/>
  <c r="BI40" i="2"/>
  <c r="BI42" i="2" s="1"/>
  <c r="X29" i="2"/>
  <c r="X33" i="2" s="1"/>
  <c r="X52" i="2" s="1"/>
  <c r="BN4" i="5"/>
  <c r="BO28" i="3"/>
  <c r="BQ14" i="5"/>
  <c r="BR28" i="5"/>
  <c r="BT3" i="5"/>
  <c r="AU21" i="5" l="1"/>
  <c r="AU22" i="5" s="1"/>
  <c r="AU5" i="5" s="1"/>
  <c r="AT7" i="5"/>
  <c r="AT6" i="5"/>
  <c r="AJ25" i="5"/>
  <c r="AJ26" i="5" s="1"/>
  <c r="AI12" i="5"/>
  <c r="AI13" i="5"/>
  <c r="BR1" i="5"/>
  <c r="BR19" i="5" s="1"/>
  <c r="BS23" i="3"/>
  <c r="BP30" i="3"/>
  <c r="BQ24" i="3" s="1"/>
  <c r="BQ25" i="3" s="1"/>
  <c r="X30" i="2"/>
  <c r="BS10" i="5" s="1"/>
  <c r="BT10" i="5" s="1"/>
  <c r="BU10" i="5" s="1"/>
  <c r="BJ9" i="5"/>
  <c r="BK26" i="3"/>
  <c r="BP28" i="3"/>
  <c r="BO4" i="5"/>
  <c r="BS28" i="5"/>
  <c r="BR14" i="5"/>
  <c r="BU3" i="5"/>
  <c r="AV21" i="5" l="1"/>
  <c r="AV22" i="5" s="1"/>
  <c r="AU7" i="5"/>
  <c r="AU6" i="5"/>
  <c r="AJ11" i="5"/>
  <c r="AJ43" i="2"/>
  <c r="AJ44" i="2" s="1"/>
  <c r="BP25" i="3"/>
  <c r="BP29" i="3" s="1"/>
  <c r="BT23" i="3"/>
  <c r="BS1" i="5"/>
  <c r="BS19" i="5" s="1"/>
  <c r="BL26" i="3"/>
  <c r="BK9" i="5"/>
  <c r="X32" i="2"/>
  <c r="X34" i="2"/>
  <c r="Y28" i="2" s="1"/>
  <c r="BJ40" i="2"/>
  <c r="BJ42" i="2" s="1"/>
  <c r="BO29" i="3"/>
  <c r="BQ30" i="3"/>
  <c r="BR24" i="3" s="1"/>
  <c r="BR25" i="3" s="1"/>
  <c r="BQ29" i="3"/>
  <c r="BP4" i="5"/>
  <c r="BQ28" i="3"/>
  <c r="BT28" i="5"/>
  <c r="BS14" i="5"/>
  <c r="BV3" i="5"/>
  <c r="AV5" i="5" l="1"/>
  <c r="AK25" i="5"/>
  <c r="AK26" i="5" s="1"/>
  <c r="AJ12" i="5"/>
  <c r="AJ13" i="5"/>
  <c r="BK40" i="2"/>
  <c r="BK42" i="2" s="1"/>
  <c r="BU23" i="3"/>
  <c r="BT1" i="5"/>
  <c r="BT19" i="5" s="1"/>
  <c r="BR30" i="3"/>
  <c r="BS24" i="3" s="1"/>
  <c r="BL40" i="2"/>
  <c r="BL42" i="2" s="1"/>
  <c r="Y29" i="2"/>
  <c r="Y33" i="2" s="1"/>
  <c r="Y52" i="2" s="1"/>
  <c r="BL9" i="5"/>
  <c r="BM26" i="3"/>
  <c r="BR28" i="3"/>
  <c r="BQ4" i="5"/>
  <c r="BT14" i="5"/>
  <c r="BU28" i="5"/>
  <c r="BW3" i="5"/>
  <c r="AW21" i="5" l="1"/>
  <c r="AW22" i="5" s="1"/>
  <c r="AW5" i="5" s="1"/>
  <c r="AV7" i="5"/>
  <c r="AV6" i="5"/>
  <c r="AK43" i="2"/>
  <c r="AK44" i="2" s="1"/>
  <c r="AK11" i="5"/>
  <c r="BV23" i="3"/>
  <c r="BU1" i="5"/>
  <c r="BU19" i="5" s="1"/>
  <c r="BR29" i="3"/>
  <c r="BS30" i="3"/>
  <c r="BT24" i="3" s="1"/>
  <c r="BT25" i="3" s="1"/>
  <c r="Y30" i="2"/>
  <c r="BV10" i="5" s="1"/>
  <c r="BW10" i="5" s="1"/>
  <c r="BX10" i="5" s="1"/>
  <c r="BM9" i="5"/>
  <c r="BN26" i="3"/>
  <c r="BS28" i="3"/>
  <c r="BR4" i="5"/>
  <c r="BV28" i="5"/>
  <c r="BU14" i="5"/>
  <c r="BX3" i="5"/>
  <c r="AX21" i="5" l="1"/>
  <c r="AX22" i="5" s="1"/>
  <c r="AW7" i="5"/>
  <c r="AW6" i="5"/>
  <c r="BS25" i="3"/>
  <c r="BN40" i="2" s="1"/>
  <c r="BN42" i="2" s="1"/>
  <c r="AL25" i="5"/>
  <c r="AL26" i="5" s="1"/>
  <c r="AK12" i="5"/>
  <c r="AK13" i="5"/>
  <c r="BW23" i="3"/>
  <c r="BV1" i="5"/>
  <c r="BV19" i="5" s="1"/>
  <c r="BM40" i="2"/>
  <c r="BM42" i="2" s="1"/>
  <c r="BN9" i="5"/>
  <c r="BO26" i="3"/>
  <c r="BT29" i="3"/>
  <c r="BT30" i="3"/>
  <c r="BU24" i="3" s="1"/>
  <c r="BU25" i="3" s="1"/>
  <c r="Y32" i="2"/>
  <c r="Y34" i="2"/>
  <c r="Z28" i="2" s="1"/>
  <c r="BT28" i="3"/>
  <c r="BS4" i="5"/>
  <c r="BW28" i="5"/>
  <c r="BV14" i="5"/>
  <c r="BY3" i="5"/>
  <c r="BS29" i="3" l="1"/>
  <c r="AX5" i="5"/>
  <c r="AL43" i="2"/>
  <c r="AL44" i="2" s="1"/>
  <c r="AL11" i="5"/>
  <c r="BX23" i="3"/>
  <c r="BW1" i="5"/>
  <c r="BW19" i="5" s="1"/>
  <c r="Z29" i="2"/>
  <c r="Z33" i="2" s="1"/>
  <c r="Z52" i="2" s="1"/>
  <c r="BU30" i="3"/>
  <c r="BV24" i="3" s="1"/>
  <c r="BP26" i="3"/>
  <c r="BO9" i="5"/>
  <c r="BO40" i="2"/>
  <c r="BO42" i="2" s="1"/>
  <c r="BT4" i="5"/>
  <c r="BU28" i="3"/>
  <c r="BX28" i="5"/>
  <c r="BW14" i="5"/>
  <c r="BZ3" i="5"/>
  <c r="AY21" i="5" l="1"/>
  <c r="AY22" i="5" s="1"/>
  <c r="AX7" i="5"/>
  <c r="AX6" i="5"/>
  <c r="AM25" i="5"/>
  <c r="AM26" i="5" s="1"/>
  <c r="AL12" i="5"/>
  <c r="AL13" i="5"/>
  <c r="BY23" i="3"/>
  <c r="BX1" i="5"/>
  <c r="BX19" i="5" s="1"/>
  <c r="BP40" i="2"/>
  <c r="BP42" i="2" s="1"/>
  <c r="BP9" i="5"/>
  <c r="BQ26" i="3"/>
  <c r="Z30" i="2"/>
  <c r="BY10" i="5" s="1"/>
  <c r="BZ10" i="5" s="1"/>
  <c r="CA10" i="5" s="1"/>
  <c r="BV30" i="3"/>
  <c r="BW24" i="3" s="1"/>
  <c r="BW25" i="3" s="1"/>
  <c r="BU4" i="5"/>
  <c r="BV28" i="3"/>
  <c r="BY28" i="5"/>
  <c r="BX14" i="5"/>
  <c r="CA3" i="5"/>
  <c r="AY5" i="5" l="1"/>
  <c r="BV25" i="3"/>
  <c r="BV29" i="3" s="1"/>
  <c r="AM11" i="5"/>
  <c r="AM43" i="2"/>
  <c r="AM44" i="2" s="1"/>
  <c r="BZ23" i="3"/>
  <c r="BY1" i="5"/>
  <c r="BY19" i="5" s="1"/>
  <c r="BU29" i="3"/>
  <c r="BW30" i="3"/>
  <c r="BX24" i="3" s="1"/>
  <c r="BX25" i="3" s="1"/>
  <c r="BW29" i="3"/>
  <c r="BR26" i="3"/>
  <c r="BQ9" i="5"/>
  <c r="Z32" i="2"/>
  <c r="Z34" i="2"/>
  <c r="AA28" i="2" s="1"/>
  <c r="BW28" i="3"/>
  <c r="BV4" i="5"/>
  <c r="BZ28" i="5"/>
  <c r="BY14" i="5"/>
  <c r="CB3" i="5"/>
  <c r="BQ40" i="2" l="1"/>
  <c r="BQ42" i="2" s="1"/>
  <c r="AZ21" i="5"/>
  <c r="AZ22" i="5" s="1"/>
  <c r="AZ5" i="5" s="1"/>
  <c r="AY7" i="5"/>
  <c r="AY6" i="5"/>
  <c r="AN25" i="5"/>
  <c r="AN26" i="5" s="1"/>
  <c r="AM13" i="5"/>
  <c r="AM12" i="5"/>
  <c r="BZ1" i="5"/>
  <c r="BZ19" i="5" s="1"/>
  <c r="CA23" i="3"/>
  <c r="BR40" i="2"/>
  <c r="BR42" i="2" s="1"/>
  <c r="AA29" i="2"/>
  <c r="AA33" i="2" s="1"/>
  <c r="AA52" i="2" s="1"/>
  <c r="BS26" i="3"/>
  <c r="BR9" i="5"/>
  <c r="BX30" i="3"/>
  <c r="BY24" i="3" s="1"/>
  <c r="BX28" i="3"/>
  <c r="BW4" i="5"/>
  <c r="BZ14" i="5"/>
  <c r="CA28" i="5"/>
  <c r="CC3" i="5"/>
  <c r="BA21" i="5" l="1"/>
  <c r="BA22" i="5" s="1"/>
  <c r="BA5" i="5" s="1"/>
  <c r="AZ7" i="5"/>
  <c r="AZ6" i="5"/>
  <c r="AN11" i="5"/>
  <c r="AN43" i="2"/>
  <c r="AN44" i="2" s="1"/>
  <c r="CA1" i="5"/>
  <c r="CA19" i="5" s="1"/>
  <c r="CB23" i="3"/>
  <c r="BX29" i="3"/>
  <c r="AA30" i="2"/>
  <c r="CB10" i="5" s="1"/>
  <c r="CC10" i="5" s="1"/>
  <c r="CD10" i="5" s="1"/>
  <c r="BY30" i="3"/>
  <c r="BZ24" i="3" s="1"/>
  <c r="BZ25" i="3" s="1"/>
  <c r="BS9" i="5"/>
  <c r="BT26" i="3"/>
  <c r="BX4" i="5"/>
  <c r="BY28" i="3"/>
  <c r="CB28" i="5"/>
  <c r="CA14" i="5"/>
  <c r="CD3" i="5"/>
  <c r="BY25" i="3" l="1"/>
  <c r="BY29" i="3" s="1"/>
  <c r="BB21" i="5"/>
  <c r="BB22" i="5" s="1"/>
  <c r="BA7" i="5"/>
  <c r="BA6" i="5"/>
  <c r="AO25" i="5"/>
  <c r="AO26" i="5" s="1"/>
  <c r="AN12" i="5"/>
  <c r="AN13" i="5"/>
  <c r="CB1" i="5"/>
  <c r="CB19" i="5" s="1"/>
  <c r="CC23" i="3"/>
  <c r="BS40" i="2"/>
  <c r="BS42" i="2" s="1"/>
  <c r="BZ30" i="3"/>
  <c r="CA24" i="3" s="1"/>
  <c r="CA25" i="3" s="1"/>
  <c r="BU26" i="3"/>
  <c r="BT9" i="5"/>
  <c r="AA32" i="2"/>
  <c r="AA34" i="2"/>
  <c r="AB28" i="2" s="1"/>
  <c r="BY4" i="5"/>
  <c r="BZ28" i="3"/>
  <c r="CC28" i="5"/>
  <c r="CB14" i="5"/>
  <c r="CE3" i="5"/>
  <c r="BT40" i="2" l="1"/>
  <c r="BT42" i="2" s="1"/>
  <c r="BB5" i="5"/>
  <c r="AO11" i="5"/>
  <c r="AO43" i="2"/>
  <c r="AO44" i="2" s="1"/>
  <c r="CD23" i="3"/>
  <c r="CC1" i="5"/>
  <c r="CC19" i="5" s="1"/>
  <c r="AB29" i="2"/>
  <c r="AB33" i="2" s="1"/>
  <c r="AB52" i="2" s="1"/>
  <c r="BV26" i="3"/>
  <c r="BU9" i="5"/>
  <c r="BZ29" i="3"/>
  <c r="BU40" i="2"/>
  <c r="BU42" i="2" s="1"/>
  <c r="CA30" i="3"/>
  <c r="CB24" i="3" s="1"/>
  <c r="CA28" i="3"/>
  <c r="BZ4" i="5"/>
  <c r="CD28" i="5"/>
  <c r="CC14" i="5"/>
  <c r="CF3" i="5"/>
  <c r="BC21" i="5" l="1"/>
  <c r="BC22" i="5" s="1"/>
  <c r="BC5" i="5" s="1"/>
  <c r="BB6" i="5"/>
  <c r="BB7" i="5"/>
  <c r="AP25" i="5"/>
  <c r="AP26" i="5" s="1"/>
  <c r="AO12" i="5"/>
  <c r="AO13" i="5"/>
  <c r="CD1" i="5"/>
  <c r="CD19" i="5" s="1"/>
  <c r="CE23" i="3"/>
  <c r="CA29" i="3"/>
  <c r="BV9" i="5"/>
  <c r="BW26" i="3"/>
  <c r="CB30" i="3"/>
  <c r="CC24" i="3" s="1"/>
  <c r="CC25" i="3" s="1"/>
  <c r="AB30" i="2"/>
  <c r="CE10" i="5" s="1"/>
  <c r="CF10" i="5" s="1"/>
  <c r="CG10" i="5" s="1"/>
  <c r="CB28" i="3"/>
  <c r="CA4" i="5"/>
  <c r="CE28" i="5"/>
  <c r="CD14" i="5"/>
  <c r="CG3" i="5"/>
  <c r="CH3" i="5" s="1"/>
  <c r="BD21" i="5" l="1"/>
  <c r="BD22" i="5" s="1"/>
  <c r="BD5" i="5" s="1"/>
  <c r="BC7" i="5"/>
  <c r="BC6" i="5"/>
  <c r="CB25" i="3"/>
  <c r="BW40" i="2" s="1"/>
  <c r="BW42" i="2" s="1"/>
  <c r="AP11" i="5"/>
  <c r="AP43" i="2"/>
  <c r="AP44" i="2" s="1"/>
  <c r="CE1" i="5"/>
  <c r="CE19" i="5" s="1"/>
  <c r="CF23" i="3"/>
  <c r="BV40" i="2"/>
  <c r="BV42" i="2" s="1"/>
  <c r="AB32" i="2"/>
  <c r="AB34" i="2"/>
  <c r="AC28" i="2" s="1"/>
  <c r="BW9" i="5"/>
  <c r="BX26" i="3"/>
  <c r="CC30" i="3"/>
  <c r="CD24" i="3" s="1"/>
  <c r="CD25" i="3" s="1"/>
  <c r="CC29" i="3"/>
  <c r="CB4" i="5"/>
  <c r="CC28" i="3"/>
  <c r="CF28" i="5"/>
  <c r="CE14" i="5"/>
  <c r="CB29" i="3" l="1"/>
  <c r="BE21" i="5"/>
  <c r="BE22" i="5" s="1"/>
  <c r="BD7" i="5"/>
  <c r="BD6" i="5"/>
  <c r="AQ25" i="5"/>
  <c r="AQ26" i="5" s="1"/>
  <c r="AP13" i="5"/>
  <c r="AP12" i="5"/>
  <c r="CF1" i="5"/>
  <c r="CF19" i="5" s="1"/>
  <c r="CG23" i="3"/>
  <c r="CG1" i="5" s="1"/>
  <c r="CG19" i="5" s="1"/>
  <c r="BX40" i="2"/>
  <c r="BX42" i="2" s="1"/>
  <c r="AC34" i="2"/>
  <c r="AC29" i="2"/>
  <c r="AC33" i="2" s="1"/>
  <c r="AC52" i="2" s="1"/>
  <c r="CD30" i="3"/>
  <c r="CE24" i="3" s="1"/>
  <c r="BY26" i="3"/>
  <c r="BX9" i="5"/>
  <c r="CD28" i="3"/>
  <c r="CC4" i="5"/>
  <c r="CF14" i="5"/>
  <c r="CG28" i="5"/>
  <c r="CG14" i="5" l="1"/>
  <c r="CH28" i="5"/>
  <c r="CH14" i="5" s="1"/>
  <c r="BE5" i="5"/>
  <c r="AQ11" i="5"/>
  <c r="AQ43" i="2"/>
  <c r="AQ44" i="2" s="1"/>
  <c r="CE30" i="3"/>
  <c r="CF24" i="3" s="1"/>
  <c r="CF25" i="3" s="1"/>
  <c r="BZ26" i="3"/>
  <c r="BY9" i="5"/>
  <c r="AC30" i="2"/>
  <c r="CH10" i="5" s="1"/>
  <c r="AC32" i="2"/>
  <c r="CD4" i="5"/>
  <c r="CE28" i="3"/>
  <c r="CE25" i="3" l="1"/>
  <c r="CE29" i="3" s="1"/>
  <c r="BF21" i="5"/>
  <c r="BF22" i="5" s="1"/>
  <c r="BF5" i="5" s="1"/>
  <c r="BE6" i="5"/>
  <c r="BE7" i="5"/>
  <c r="AR25" i="5"/>
  <c r="AR26" i="5" s="1"/>
  <c r="AQ12" i="5"/>
  <c r="AQ13" i="5"/>
  <c r="BY40" i="2"/>
  <c r="BY42" i="2" s="1"/>
  <c r="BZ40" i="2"/>
  <c r="BZ42" i="2" s="1"/>
  <c r="CD29" i="3"/>
  <c r="BZ9" i="5"/>
  <c r="CA26" i="3"/>
  <c r="A17" i="7" a="1"/>
  <c r="CF30" i="3"/>
  <c r="CG24" i="3" s="1"/>
  <c r="CE4" i="5"/>
  <c r="CF28" i="3"/>
  <c r="CA40" i="2" l="1"/>
  <c r="CA42" i="2" s="1"/>
  <c r="BG21" i="5"/>
  <c r="BG22" i="5" s="1"/>
  <c r="BG5" i="5" s="1"/>
  <c r="BF6" i="5"/>
  <c r="BF7" i="5"/>
  <c r="AR11" i="5"/>
  <c r="AR43" i="2"/>
  <c r="AR44" i="2" s="1"/>
  <c r="CG30" i="3"/>
  <c r="CH24" i="3" s="1"/>
  <c r="CG25" i="3"/>
  <c r="CG40" i="2" s="1"/>
  <c r="CG42" i="2" s="1"/>
  <c r="CF29" i="3"/>
  <c r="CB26" i="3"/>
  <c r="CA9" i="5"/>
  <c r="D40" i="7"/>
  <c r="E26" i="7"/>
  <c r="F30" i="7"/>
  <c r="D24" i="7"/>
  <c r="E27" i="7"/>
  <c r="D22" i="7"/>
  <c r="A17" i="7"/>
  <c r="B21" i="7"/>
  <c r="D39" i="7"/>
  <c r="B37" i="7"/>
  <c r="C34" i="7"/>
  <c r="A30" i="7"/>
  <c r="H38" i="7"/>
  <c r="C28" i="7"/>
  <c r="B43" i="7"/>
  <c r="E40" i="7"/>
  <c r="G34" i="7"/>
  <c r="E35" i="7"/>
  <c r="D38" i="7"/>
  <c r="A43" i="7"/>
  <c r="B34" i="7"/>
  <c r="E33" i="7"/>
  <c r="H22" i="7"/>
  <c r="G40" i="7"/>
  <c r="G18" i="7"/>
  <c r="E22" i="7"/>
  <c r="C38" i="7"/>
  <c r="C23" i="7"/>
  <c r="B36" i="7"/>
  <c r="A23" i="7"/>
  <c r="H34" i="7"/>
  <c r="C22" i="7"/>
  <c r="G38" i="7"/>
  <c r="F34" i="7"/>
  <c r="D25" i="7"/>
  <c r="D42" i="7"/>
  <c r="F18" i="7"/>
  <c r="D28" i="7"/>
  <c r="F21" i="7"/>
  <c r="G39" i="7"/>
  <c r="B19" i="7"/>
  <c r="D23" i="7"/>
  <c r="F17" i="7"/>
  <c r="A20" i="7"/>
  <c r="H31" i="7"/>
  <c r="C37" i="7"/>
  <c r="G27" i="7"/>
  <c r="G23" i="7"/>
  <c r="F20" i="7"/>
  <c r="B39" i="7"/>
  <c r="D20" i="7"/>
  <c r="D18" i="7"/>
  <c r="G29" i="7"/>
  <c r="E29" i="7"/>
  <c r="B40" i="7"/>
  <c r="F19" i="7"/>
  <c r="B35" i="7"/>
  <c r="E34" i="7"/>
  <c r="F35" i="7"/>
  <c r="C39" i="7"/>
  <c r="E43" i="7"/>
  <c r="C25" i="7"/>
  <c r="A25" i="7"/>
  <c r="B29" i="7"/>
  <c r="D27" i="7"/>
  <c r="E21" i="7"/>
  <c r="D33" i="7"/>
  <c r="F41" i="7"/>
  <c r="F42" i="7"/>
  <c r="B24" i="7"/>
  <c r="D44" i="7"/>
  <c r="F24" i="7"/>
  <c r="F44" i="7"/>
  <c r="F29" i="7"/>
  <c r="H30" i="7"/>
  <c r="B25" i="7"/>
  <c r="H43" i="7"/>
  <c r="F27" i="7"/>
  <c r="B18" i="7"/>
  <c r="A34" i="7"/>
  <c r="G37" i="7"/>
  <c r="E32" i="7"/>
  <c r="G17" i="7"/>
  <c r="E19" i="7"/>
  <c r="F32" i="7"/>
  <c r="A35" i="7"/>
  <c r="G44" i="7"/>
  <c r="E17" i="7"/>
  <c r="C29" i="7"/>
  <c r="B20" i="7"/>
  <c r="A44" i="7"/>
  <c r="G35" i="7"/>
  <c r="F28" i="7"/>
  <c r="F36" i="7"/>
  <c r="F31" i="7"/>
  <c r="B33" i="7"/>
  <c r="B31" i="7"/>
  <c r="H35" i="7"/>
  <c r="F39" i="7"/>
  <c r="G30" i="7"/>
  <c r="B30" i="7"/>
  <c r="H21" i="7"/>
  <c r="A19" i="7"/>
  <c r="D43" i="7"/>
  <c r="H23" i="7"/>
  <c r="D34" i="7"/>
  <c r="C43" i="7"/>
  <c r="G26" i="7"/>
  <c r="E31" i="7"/>
  <c r="A38" i="7"/>
  <c r="F25" i="7"/>
  <c r="A24" i="7"/>
  <c r="G33" i="7"/>
  <c r="E42" i="7"/>
  <c r="G21" i="7"/>
  <c r="C27" i="7"/>
  <c r="C42" i="7"/>
  <c r="A18" i="7"/>
  <c r="A33" i="7"/>
  <c r="F37" i="7"/>
  <c r="C41" i="7"/>
  <c r="E37" i="7"/>
  <c r="C35" i="7"/>
  <c r="D17" i="7"/>
  <c r="A42" i="7"/>
  <c r="D35" i="7"/>
  <c r="E20" i="7"/>
  <c r="H40" i="7"/>
  <c r="C31" i="7"/>
  <c r="D41" i="7"/>
  <c r="A21" i="7"/>
  <c r="C40" i="7"/>
  <c r="C26" i="7"/>
  <c r="B44" i="7"/>
  <c r="G32" i="7"/>
  <c r="B38" i="7"/>
  <c r="H20" i="7"/>
  <c r="E44" i="7"/>
  <c r="B32" i="7"/>
  <c r="E39" i="7"/>
  <c r="A22" i="7"/>
  <c r="B17" i="7"/>
  <c r="D31" i="7"/>
  <c r="E41" i="7"/>
  <c r="H25" i="7"/>
  <c r="D21" i="7"/>
  <c r="E24" i="7"/>
  <c r="H32" i="7"/>
  <c r="C19" i="7"/>
  <c r="D30" i="7"/>
  <c r="C32" i="7"/>
  <c r="D26" i="7"/>
  <c r="H39" i="7"/>
  <c r="H42" i="7"/>
  <c r="H19" i="7"/>
  <c r="A39" i="7"/>
  <c r="H27" i="7"/>
  <c r="A29" i="7"/>
  <c r="H17" i="7"/>
  <c r="E18" i="7"/>
  <c r="F22" i="7"/>
  <c r="D37" i="7"/>
  <c r="H26" i="7"/>
  <c r="G19" i="7"/>
  <c r="G41" i="7"/>
  <c r="A41" i="7"/>
  <c r="G24" i="7"/>
  <c r="C30" i="7"/>
  <c r="F23" i="7"/>
  <c r="D36" i="7"/>
  <c r="A32" i="7"/>
  <c r="G22" i="7"/>
  <c r="H24" i="7"/>
  <c r="E30" i="7"/>
  <c r="G25" i="7"/>
  <c r="H29" i="7"/>
  <c r="H37" i="7"/>
  <c r="A31" i="7"/>
  <c r="G20" i="7"/>
  <c r="B41" i="7"/>
  <c r="F40" i="7"/>
  <c r="A40" i="7"/>
  <c r="A36" i="7"/>
  <c r="H18" i="7"/>
  <c r="F26" i="7"/>
  <c r="H41" i="7"/>
  <c r="H36" i="7"/>
  <c r="G43" i="7"/>
  <c r="B27" i="7"/>
  <c r="F38" i="7"/>
  <c r="H44" i="7"/>
  <c r="B26" i="7"/>
  <c r="B22" i="7"/>
  <c r="H28" i="7"/>
  <c r="E36" i="7"/>
  <c r="G42" i="7"/>
  <c r="E23" i="7"/>
  <c r="C17" i="7"/>
  <c r="A37" i="7"/>
  <c r="B42" i="7"/>
  <c r="E25" i="7"/>
  <c r="C21" i="7"/>
  <c r="B28" i="7"/>
  <c r="C44" i="7"/>
  <c r="H33" i="7"/>
  <c r="C33" i="7"/>
  <c r="D32" i="7"/>
  <c r="B23" i="7"/>
  <c r="E38" i="7"/>
  <c r="D19" i="7"/>
  <c r="G31" i="7"/>
  <c r="G28" i="7"/>
  <c r="E28" i="7"/>
  <c r="G36" i="7"/>
  <c r="D29" i="7"/>
  <c r="A27" i="7"/>
  <c r="C18" i="7"/>
  <c r="C20" i="7"/>
  <c r="F43" i="7"/>
  <c r="C36" i="7"/>
  <c r="A26" i="7"/>
  <c r="C24" i="7"/>
  <c r="A28" i="7"/>
  <c r="F33" i="7"/>
  <c r="CG28" i="3"/>
  <c r="CF4" i="5"/>
  <c r="BH21" i="5" l="1"/>
  <c r="BH22" i="5" s="1"/>
  <c r="BG7" i="5"/>
  <c r="BG6" i="5"/>
  <c r="AS25" i="5"/>
  <c r="AS26" i="5" s="1"/>
  <c r="AR12" i="5"/>
  <c r="AR13" i="5"/>
  <c r="CG4" i="5"/>
  <c r="CH28" i="3"/>
  <c r="CH4" i="5" s="1"/>
  <c r="CH30" i="3"/>
  <c r="CH25" i="3" s="1"/>
  <c r="CD40" i="2"/>
  <c r="CD42" i="2" s="1"/>
  <c r="CB40" i="2"/>
  <c r="CB42" i="2" s="1"/>
  <c r="CE40" i="2"/>
  <c r="CE42" i="2" s="1"/>
  <c r="CF40" i="2"/>
  <c r="CF42" i="2" s="1"/>
  <c r="CC40" i="2"/>
  <c r="CC42" i="2" s="1"/>
  <c r="CG29" i="3"/>
  <c r="CB9" i="5"/>
  <c r="CC26" i="3"/>
  <c r="CH40" i="2" l="1"/>
  <c r="CH42" i="2" s="1"/>
  <c r="CH29" i="3"/>
  <c r="BH5" i="5"/>
  <c r="AS43" i="2"/>
  <c r="AS44" i="2" s="1"/>
  <c r="AS11" i="5"/>
  <c r="CD26" i="3"/>
  <c r="CC9" i="5"/>
  <c r="BI21" i="5" l="1"/>
  <c r="BI22" i="5" s="1"/>
  <c r="BI5" i="5" s="1"/>
  <c r="BH7" i="5"/>
  <c r="BH6" i="5"/>
  <c r="AT25" i="5"/>
  <c r="AT26" i="5" s="1"/>
  <c r="AS12" i="5"/>
  <c r="AS13" i="5"/>
  <c r="CE26" i="3"/>
  <c r="CD9" i="5"/>
  <c r="BJ21" i="5" l="1"/>
  <c r="BJ22" i="5" s="1"/>
  <c r="BJ5" i="5" s="1"/>
  <c r="BI6" i="5"/>
  <c r="BI7" i="5"/>
  <c r="AT11" i="5"/>
  <c r="AT43" i="2"/>
  <c r="AT44" i="2" s="1"/>
  <c r="CF26" i="3"/>
  <c r="CE9" i="5"/>
  <c r="BK21" i="5" l="1"/>
  <c r="BK22" i="5" s="1"/>
  <c r="BJ7" i="5"/>
  <c r="BJ6" i="5"/>
  <c r="AU25" i="5"/>
  <c r="AU26" i="5" s="1"/>
  <c r="AT12" i="5"/>
  <c r="AT13" i="5"/>
  <c r="CG26" i="3"/>
  <c r="CH26" i="3" s="1"/>
  <c r="CF9" i="5"/>
  <c r="CH9" i="5" l="1"/>
  <c r="CH32" i="3"/>
  <c r="BK5" i="5"/>
  <c r="AU11" i="5"/>
  <c r="AU43" i="2"/>
  <c r="AU44" i="2" s="1"/>
  <c r="CG9" i="5"/>
  <c r="BL21" i="5" l="1"/>
  <c r="BL22" i="5" s="1"/>
  <c r="BL5" i="5" s="1"/>
  <c r="BK7" i="5"/>
  <c r="BK6" i="5"/>
  <c r="AV25" i="5"/>
  <c r="AV26" i="5" s="1"/>
  <c r="AU12" i="5"/>
  <c r="AU13" i="5"/>
  <c r="BM21" i="5" l="1"/>
  <c r="BM22" i="5" s="1"/>
  <c r="BM5" i="5" s="1"/>
  <c r="BL7" i="5"/>
  <c r="BL6" i="5"/>
  <c r="AV11" i="5"/>
  <c r="AV43" i="2"/>
  <c r="AV44" i="2" s="1"/>
  <c r="BN21" i="5" l="1"/>
  <c r="BN22" i="5" s="1"/>
  <c r="BM7" i="5"/>
  <c r="BM6" i="5"/>
  <c r="AW25" i="5"/>
  <c r="AW26" i="5" s="1"/>
  <c r="AV13" i="5"/>
  <c r="AV12" i="5"/>
  <c r="BN5" i="5" l="1"/>
  <c r="AW43" i="2"/>
  <c r="AW44" i="2" s="1"/>
  <c r="AW11" i="5"/>
  <c r="BO21" i="5" l="1"/>
  <c r="BO22" i="5" s="1"/>
  <c r="BN6" i="5"/>
  <c r="BN7" i="5"/>
  <c r="AX25" i="5"/>
  <c r="AX26" i="5" s="1"/>
  <c r="AW12" i="5"/>
  <c r="AW13" i="5"/>
  <c r="BO5" i="5" l="1"/>
  <c r="AX11" i="5"/>
  <c r="AX43" i="2"/>
  <c r="AX44" i="2" s="1"/>
  <c r="BP21" i="5" l="1"/>
  <c r="BP22" i="5" s="1"/>
  <c r="BP5" i="5" s="1"/>
  <c r="BO7" i="5"/>
  <c r="BO6" i="5"/>
  <c r="AY25" i="5"/>
  <c r="AY26" i="5" s="1"/>
  <c r="AX12" i="5"/>
  <c r="AX13" i="5"/>
  <c r="BQ21" i="5" l="1"/>
  <c r="BQ22" i="5" s="1"/>
  <c r="BP7" i="5"/>
  <c r="BP6" i="5"/>
  <c r="AY43" i="2"/>
  <c r="AY44" i="2" s="1"/>
  <c r="AY11" i="5"/>
  <c r="BQ5" i="5" l="1"/>
  <c r="AZ25" i="5"/>
  <c r="AZ26" i="5" s="1"/>
  <c r="AY13" i="5"/>
  <c r="AY12" i="5"/>
  <c r="BR21" i="5" l="1"/>
  <c r="BR22" i="5" s="1"/>
  <c r="BR5" i="5" s="1"/>
  <c r="BQ7" i="5"/>
  <c r="BQ6" i="5"/>
  <c r="AZ43" i="2"/>
  <c r="AZ44" i="2" s="1"/>
  <c r="AZ11" i="5"/>
  <c r="BS21" i="5" l="1"/>
  <c r="BS22" i="5" s="1"/>
  <c r="BR7" i="5"/>
  <c r="BR6" i="5"/>
  <c r="BA25" i="5"/>
  <c r="BA26" i="5" s="1"/>
  <c r="AZ12" i="5"/>
  <c r="AZ13" i="5"/>
  <c r="BS5" i="5" l="1"/>
  <c r="BA11" i="5"/>
  <c r="BA43" i="2"/>
  <c r="BA44" i="2" s="1"/>
  <c r="BT21" i="5" l="1"/>
  <c r="BT22" i="5" s="1"/>
  <c r="BS7" i="5"/>
  <c r="BS6" i="5"/>
  <c r="BB25" i="5"/>
  <c r="BB26" i="5" s="1"/>
  <c r="BA12" i="5"/>
  <c r="BA13" i="5"/>
  <c r="BT5" i="5" l="1"/>
  <c r="BB11" i="5"/>
  <c r="BB43" i="2"/>
  <c r="BB44" i="2" s="1"/>
  <c r="BU21" i="5" l="1"/>
  <c r="BU22" i="5" s="1"/>
  <c r="BU5" i="5" s="1"/>
  <c r="BT7" i="5"/>
  <c r="BT6" i="5"/>
  <c r="BC25" i="5"/>
  <c r="BC26" i="5" s="1"/>
  <c r="BB13" i="5"/>
  <c r="BB12" i="5"/>
  <c r="BV21" i="5" l="1"/>
  <c r="BV22" i="5" s="1"/>
  <c r="BV5" i="5" s="1"/>
  <c r="BU7" i="5"/>
  <c r="BU6" i="5"/>
  <c r="BC11" i="5"/>
  <c r="BC43" i="2"/>
  <c r="BC44" i="2" s="1"/>
  <c r="BW21" i="5" l="1"/>
  <c r="BW22" i="5" s="1"/>
  <c r="BV7" i="5"/>
  <c r="BV6" i="5"/>
  <c r="BD25" i="5"/>
  <c r="BD26" i="5" s="1"/>
  <c r="BC12" i="5"/>
  <c r="BC13" i="5"/>
  <c r="BW5" i="5" l="1"/>
  <c r="BD11" i="5"/>
  <c r="BD43" i="2"/>
  <c r="BD44" i="2" s="1"/>
  <c r="BX21" i="5" l="1"/>
  <c r="BX22" i="5" s="1"/>
  <c r="BX5" i="5" s="1"/>
  <c r="BW6" i="5"/>
  <c r="BW7" i="5"/>
  <c r="BE25" i="5"/>
  <c r="BE26" i="5" s="1"/>
  <c r="BD13" i="5"/>
  <c r="BD12" i="5"/>
  <c r="BY21" i="5" l="1"/>
  <c r="BY22" i="5" s="1"/>
  <c r="BY5" i="5" s="1"/>
  <c r="BX7" i="5"/>
  <c r="BX6" i="5"/>
  <c r="BE43" i="2"/>
  <c r="BE44" i="2" s="1"/>
  <c r="BE11" i="5"/>
  <c r="BZ21" i="5" l="1"/>
  <c r="BZ22" i="5" s="1"/>
  <c r="BY7" i="5"/>
  <c r="BY6" i="5"/>
  <c r="BF25" i="5"/>
  <c r="BF26" i="5" s="1"/>
  <c r="BE12" i="5"/>
  <c r="BE13" i="5"/>
  <c r="BZ5" i="5" l="1"/>
  <c r="BF43" i="2"/>
  <c r="BF44" i="2" s="1"/>
  <c r="BF11" i="5"/>
  <c r="CA21" i="5" l="1"/>
  <c r="CA22" i="5" s="1"/>
  <c r="CA5" i="5" s="1"/>
  <c r="BZ7" i="5"/>
  <c r="BZ6" i="5"/>
  <c r="BG25" i="5"/>
  <c r="BG26" i="5" s="1"/>
  <c r="BF12" i="5"/>
  <c r="BF13" i="5"/>
  <c r="CB21" i="5" l="1"/>
  <c r="CB22" i="5" s="1"/>
  <c r="CA7" i="5"/>
  <c r="CA6" i="5"/>
  <c r="BG43" i="2"/>
  <c r="BG44" i="2" s="1"/>
  <c r="BG11" i="5"/>
  <c r="CB5" i="5" l="1"/>
  <c r="BH25" i="5"/>
  <c r="BH26" i="5" s="1"/>
  <c r="BG13" i="5"/>
  <c r="BG12" i="5"/>
  <c r="CC21" i="5" l="1"/>
  <c r="CC22" i="5" s="1"/>
  <c r="CB7" i="5"/>
  <c r="CB6" i="5"/>
  <c r="BH11" i="5"/>
  <c r="BH43" i="2"/>
  <c r="BH44" i="2" s="1"/>
  <c r="CC5" i="5" l="1"/>
  <c r="BI25" i="5"/>
  <c r="BI26" i="5" s="1"/>
  <c r="BH13" i="5"/>
  <c r="BH12" i="5"/>
  <c r="CD21" i="5" l="1"/>
  <c r="CD22" i="5" s="1"/>
  <c r="CD5" i="5" s="1"/>
  <c r="CC7" i="5"/>
  <c r="CC6" i="5"/>
  <c r="BI11" i="5"/>
  <c r="BI43" i="2"/>
  <c r="BI44" i="2" s="1"/>
  <c r="CE21" i="5" l="1"/>
  <c r="CE22" i="5" s="1"/>
  <c r="CE5" i="5" s="1"/>
  <c r="CD6" i="5"/>
  <c r="CD7" i="5"/>
  <c r="BJ25" i="5"/>
  <c r="BJ26" i="5" s="1"/>
  <c r="BI13" i="5"/>
  <c r="BI12" i="5"/>
  <c r="CF21" i="5" l="1"/>
  <c r="CF22" i="5" s="1"/>
  <c r="CE7" i="5"/>
  <c r="CE6" i="5"/>
  <c r="BJ43" i="2"/>
  <c r="BJ44" i="2" s="1"/>
  <c r="BJ11" i="5"/>
  <c r="CF5" i="5" l="1"/>
  <c r="BK25" i="5"/>
  <c r="BK26" i="5" s="1"/>
  <c r="BJ12" i="5"/>
  <c r="BJ13" i="5"/>
  <c r="CG21" i="5" l="1"/>
  <c r="CG22" i="5" s="1"/>
  <c r="CF6" i="5"/>
  <c r="CF7" i="5"/>
  <c r="BK11" i="5"/>
  <c r="BK43" i="2"/>
  <c r="BK44" i="2" s="1"/>
  <c r="CG5" i="5" l="1"/>
  <c r="BL25" i="5"/>
  <c r="BL26" i="5" s="1"/>
  <c r="BK12" i="5"/>
  <c r="BK13" i="5"/>
  <c r="CH21" i="5" l="1"/>
  <c r="CH22" i="5" s="1"/>
  <c r="CH5" i="5" s="1"/>
  <c r="CG7" i="5"/>
  <c r="CG6" i="5"/>
  <c r="BL43" i="2"/>
  <c r="BL44" i="2" s="1"/>
  <c r="BL11" i="5"/>
  <c r="CH7" i="5" l="1"/>
  <c r="CH6" i="5"/>
  <c r="BM25" i="5"/>
  <c r="BM26" i="5" s="1"/>
  <c r="BL13" i="5"/>
  <c r="BL12" i="5"/>
  <c r="BM43" i="2" l="1"/>
  <c r="BM44" i="2" s="1"/>
  <c r="BM11" i="5"/>
  <c r="BN25" i="5" l="1"/>
  <c r="BN26" i="5" s="1"/>
  <c r="BM12" i="5"/>
  <c r="BM13" i="5"/>
  <c r="BN43" i="2" l="1"/>
  <c r="BN44" i="2" s="1"/>
  <c r="BN11" i="5"/>
  <c r="BO25" i="5" l="1"/>
  <c r="BO26" i="5" s="1"/>
  <c r="BN12" i="5"/>
  <c r="BN13" i="5"/>
  <c r="BO43" i="2" l="1"/>
  <c r="BO44" i="2" s="1"/>
  <c r="BO11" i="5"/>
  <c r="BP25" i="5" l="1"/>
  <c r="BP26" i="5" s="1"/>
  <c r="BO12" i="5"/>
  <c r="BO13" i="5"/>
  <c r="BP11" i="5" l="1"/>
  <c r="BP43" i="2"/>
  <c r="BP44" i="2" s="1"/>
  <c r="BQ25" i="5" l="1"/>
  <c r="BQ26" i="5" s="1"/>
  <c r="BP12" i="5"/>
  <c r="BP13" i="5"/>
  <c r="BQ11" i="5" l="1"/>
  <c r="BQ43" i="2"/>
  <c r="BQ44" i="2" s="1"/>
  <c r="BR25" i="5" l="1"/>
  <c r="BR26" i="5" s="1"/>
  <c r="BQ12" i="5"/>
  <c r="BQ13" i="5"/>
  <c r="BR43" i="2" l="1"/>
  <c r="BR44" i="2" s="1"/>
  <c r="BR11" i="5"/>
  <c r="BS25" i="5" l="1"/>
  <c r="BS26" i="5" s="1"/>
  <c r="BR12" i="5"/>
  <c r="BR13" i="5"/>
  <c r="BS43" i="2" l="1"/>
  <c r="BS44" i="2" s="1"/>
  <c r="BS11" i="5"/>
  <c r="BT25" i="5" l="1"/>
  <c r="BT26" i="5" s="1"/>
  <c r="BS12" i="5"/>
  <c r="BS13" i="5"/>
  <c r="BT11" i="5" l="1"/>
  <c r="BT43" i="2"/>
  <c r="BT44" i="2" s="1"/>
  <c r="BU25" i="5" l="1"/>
  <c r="BU26" i="5" s="1"/>
  <c r="BT12" i="5"/>
  <c r="BT13" i="5"/>
  <c r="BU43" i="2" l="1"/>
  <c r="BU44" i="2" s="1"/>
  <c r="BU11" i="5"/>
  <c r="BV25" i="5" l="1"/>
  <c r="BV26" i="5" s="1"/>
  <c r="BU12" i="5"/>
  <c r="BU13" i="5"/>
  <c r="BV11" i="5" l="1"/>
  <c r="BV43" i="2"/>
  <c r="BV44" i="2" s="1"/>
  <c r="BW25" i="5" l="1"/>
  <c r="BW26" i="5" s="1"/>
  <c r="BV13" i="5"/>
  <c r="BV12" i="5"/>
  <c r="BW43" i="2" l="1"/>
  <c r="BW44" i="2" s="1"/>
  <c r="BW11" i="5"/>
  <c r="BX25" i="5" l="1"/>
  <c r="BX26" i="5" s="1"/>
  <c r="BW12" i="5"/>
  <c r="BW13" i="5"/>
  <c r="BX43" i="2" l="1"/>
  <c r="BX44" i="2" s="1"/>
  <c r="BX11" i="5"/>
  <c r="BY25" i="5" l="1"/>
  <c r="BY26" i="5" s="1"/>
  <c r="BX12" i="5"/>
  <c r="BX13" i="5"/>
  <c r="BY11" i="5" l="1"/>
  <c r="BY43" i="2"/>
  <c r="BY44" i="2" s="1"/>
  <c r="BZ25" i="5" l="1"/>
  <c r="BZ26" i="5" s="1"/>
  <c r="BY12" i="5"/>
  <c r="BY13" i="5"/>
  <c r="BZ43" i="2" l="1"/>
  <c r="BZ44" i="2" s="1"/>
  <c r="BZ11" i="5"/>
  <c r="CA25" i="5" l="1"/>
  <c r="CA26" i="5" s="1"/>
  <c r="BZ13" i="5"/>
  <c r="BZ12" i="5"/>
  <c r="CA11" i="5" l="1"/>
  <c r="CA43" i="2"/>
  <c r="CA44" i="2" s="1"/>
  <c r="CB25" i="5" l="1"/>
  <c r="CB26" i="5" s="1"/>
  <c r="CA12" i="5"/>
  <c r="CA13" i="5"/>
  <c r="CB43" i="2" l="1"/>
  <c r="CB44" i="2" s="1"/>
  <c r="CB11" i="5"/>
  <c r="CC25" i="5" l="1"/>
  <c r="CC26" i="5" s="1"/>
  <c r="CB12" i="5"/>
  <c r="CB13" i="5"/>
  <c r="CC11" i="5" l="1"/>
  <c r="CC43" i="2"/>
  <c r="CC44" i="2" s="1"/>
  <c r="CD25" i="5" l="1"/>
  <c r="CD26" i="5" s="1"/>
  <c r="CC12" i="5"/>
  <c r="CC13" i="5"/>
  <c r="CD43" i="2" l="1"/>
  <c r="CD44" i="2" s="1"/>
  <c r="CD11" i="5"/>
  <c r="CE25" i="5" l="1"/>
  <c r="CE26" i="5" s="1"/>
  <c r="CD12" i="5"/>
  <c r="CD13" i="5"/>
  <c r="CE43" i="2" l="1"/>
  <c r="CE44" i="2" s="1"/>
  <c r="CE11" i="5"/>
  <c r="CF25" i="5" l="1"/>
  <c r="CF26" i="5" s="1"/>
  <c r="CE12" i="5"/>
  <c r="CE13" i="5"/>
  <c r="CF11" i="5" l="1"/>
  <c r="CF43" i="2"/>
  <c r="CF44" i="2" s="1"/>
  <c r="CG25" i="5" l="1"/>
  <c r="CG26" i="5" s="1"/>
  <c r="CF13" i="5"/>
  <c r="CF12" i="5"/>
  <c r="CG11" i="5" l="1"/>
  <c r="CH25" i="5" s="1"/>
  <c r="CH26" i="5" s="1"/>
  <c r="CG43" i="2"/>
  <c r="CG44" i="2" s="1"/>
  <c r="CH11" i="5" l="1"/>
  <c r="CH43" i="2"/>
  <c r="CH44" i="2" s="1"/>
  <c r="CG13" i="5"/>
  <c r="CG12" i="5"/>
  <c r="CH12" i="5" l="1"/>
  <c r="CH13" i="5"/>
</calcChain>
</file>

<file path=xl/sharedStrings.xml><?xml version="1.0" encoding="utf-8"?>
<sst xmlns="http://schemas.openxmlformats.org/spreadsheetml/2006/main" count="159" uniqueCount="82">
  <si>
    <t>Project name:</t>
  </si>
  <si>
    <t>Assumptions:</t>
  </si>
  <si>
    <t>Loan Amount</t>
  </si>
  <si>
    <t>Interest Rate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</si>
  <si>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</si>
  <si>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</si>
  <si>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</si>
  <si>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</si>
  <si>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</si>
  <si>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</si>
  <si>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</si>
  <si>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</si>
  <si>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</si>
  <si>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</si>
  <si>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</si>
  <si>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</si>
  <si>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</si>
  <si>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</si>
  <si>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</si>
  <si>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</si>
  <si>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</si>
  <si>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</si>
  <si>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</si>
  <si>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</si>
  <si>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</si>
  <si>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</si>
  <si>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</si>
  <si>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</si>
  <si>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</si>
  <si>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</si>
  <si>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</si>
  <si>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</si>
  <si>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</si>
  <si>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</si>
  <si>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</si>
  <si>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</si>
  <si>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</si>
  <si>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</si>
  <si>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</si>
  <si>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</si>
  <si>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</si>
  <si>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</si>
  <si>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</si>
  <si>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</si>
  <si>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IDCOL Loan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</si>
  <si>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</si>
  <si>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</si>
  <si>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</si>
  <si>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</si>
  <si>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</si>
  <si>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</si>
  <si>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</si>
  <si>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</si>
  <si>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</si>
  <si>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</si>
  <si>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</si>
  <si>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</si>
  <si>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Maturity date</t>
  </si>
  <si>
    <t>months</t>
  </si>
  <si>
    <t>Payment frequency</t>
  </si>
  <si>
    <t>Quarterly</t>
  </si>
  <si>
    <t>Period</t>
  </si>
  <si>
    <t>Expected Interest Rate</t>
  </si>
  <si>
    <t>Agreement signing date</t>
  </si>
  <si>
    <t>Interest Capitalized</t>
  </si>
  <si>
    <t>Particulars</t>
  </si>
  <si>
    <t>Total interest accrued</t>
  </si>
  <si>
    <t>Total interest capitalized</t>
  </si>
  <si>
    <t>Net interest accrued</t>
  </si>
  <si>
    <t>Total interest received</t>
  </si>
  <si>
    <t>Total interest receivable</t>
  </si>
  <si>
    <t>Total Interest Capitalized</t>
  </si>
  <si>
    <t>Moratorium period (interest and principal)</t>
  </si>
  <si>
    <t>7 years</t>
  </si>
  <si>
    <t>Average Installment Size</t>
  </si>
  <si>
    <t>Makrail Auto Green Bricks Limited (MAGBL)</t>
  </si>
  <si>
    <t>Level Principal</t>
  </si>
  <si>
    <t>Agency Fee</t>
  </si>
  <si>
    <t>Drawdown (BIFFL)</t>
  </si>
  <si>
    <t>Drawdown (IDCOL)</t>
  </si>
  <si>
    <t>Date</t>
  </si>
  <si>
    <t>Amount (BDT)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</si>
</sst>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</numFmts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2" fillId="0" borderId="0" xfId="0" applyFont="1"/>
    <xf numFmtId="10" fontId="11" fillId="0" borderId="0" xfId="0" applyNumberFormat="1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Protection="1">
      <protection locked="0"/>
    </xf>
    <xf numFmtId="43" fontId="12" fillId="0" borderId="0" xfId="1" applyFont="1"/>
    <xf numFmtId="3" fontId="12" fillId="0" borderId="0" xfId="0" applyNumberFormat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3" fontId="12" fillId="0" borderId="1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right"/>
      <protection locked="0"/>
    </xf>
    <xf numFmtId="4" fontId="12" fillId="0" borderId="0" xfId="0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2" fontId="12" fillId="0" borderId="0" xfId="0" applyNumberFormat="1" applyFont="1"/>
    <xf numFmtId="0" fontId="14" fillId="0" borderId="0" xfId="0" applyFont="1" applyFill="1" applyBorder="1" applyProtection="1"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14" fillId="0" borderId="0" xfId="0" applyFont="1" applyFill="1"/>
    <xf numFmtId="1" fontId="12" fillId="0" borderId="0" xfId="0" applyNumberFormat="1" applyFont="1" applyFill="1"/>
    <xf numFmtId="166" fontId="12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" fontId="2" fillId="0" borderId="0" xfId="0" applyNumberFormat="1" applyFont="1" applyFill="1" applyBorder="1" applyProtection="1">
      <protection locked="0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/>
    <xf numFmtId="164" fontId="12" fillId="0" borderId="0" xfId="0" applyNumberFormat="1" applyFont="1"/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164" fontId="12" fillId="0" borderId="10" xfId="1" applyNumberFormat="1" applyFont="1" applyBorder="1"/>
    <xf numFmtId="164" fontId="12" fillId="0" borderId="2" xfId="1" applyNumberFormat="1" applyFont="1" applyBorder="1"/>
    <xf numFmtId="164" fontId="12" fillId="0" borderId="4" xfId="0" applyNumberFormat="1" applyFont="1" applyFill="1" applyBorder="1" applyAlignment="1" applyProtection="1">
      <alignment horizontal="right"/>
      <protection locked="0"/>
    </xf>
    <xf numFmtId="3" fontId="12" fillId="0" borderId="4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 applyBorder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right"/>
      <protection locked="0"/>
    </xf>
    <xf numFmtId="0" fontId="12" fillId="0" borderId="4" xfId="0" applyNumberFormat="1" applyFont="1" applyFill="1" applyBorder="1" applyAlignment="1" applyProtection="1">
      <alignment horizontal="right"/>
      <protection locked="0"/>
    </xf>
    <xf numFmtId="164" fontId="11" fillId="0" borderId="0" xfId="0" applyNumberFormat="1" applyFont="1" applyFill="1" applyBorder="1" applyAlignment="1" applyProtection="1">
      <alignment horizontal="right"/>
      <protection locked="0"/>
    </xf>
    <xf numFmtId="0" fontId="11" fillId="0" borderId="0" xfId="0" applyNumberFormat="1" applyFont="1" applyFill="1" applyBorder="1" applyAlignment="1" applyProtection="1">
      <alignment horizontal="right"/>
      <protection locked="0"/>
    </xf>
    <xf numFmtId="3" fontId="11" fillId="0" borderId="2" xfId="0" applyNumberFormat="1" applyFont="1" applyFill="1" applyBorder="1" applyAlignment="1"/>
    <xf numFmtId="164" fontId="11" fillId="0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Fill="1" applyBorder="1" applyAlignment="1"/>
    <xf numFmtId="164" fontId="11" fillId="0" borderId="5" xfId="0" applyNumberFormat="1" applyFont="1" applyFill="1" applyBorder="1" applyAlignment="1" applyProtection="1">
      <alignment horizontal="right"/>
      <protection locked="0"/>
    </xf>
    <xf numFmtId="3" fontId="12" fillId="0" borderId="5" xfId="0" applyNumberFormat="1" applyFont="1" applyFill="1" applyBorder="1" applyAlignment="1" applyProtection="1">
      <alignment horizontal="right"/>
      <protection locked="0"/>
    </xf>
    <xf numFmtId="3" fontId="11" fillId="0" borderId="6" xfId="0" applyNumberFormat="1" applyFont="1" applyFill="1" applyBorder="1" applyAlignment="1"/>
    <xf numFmtId="164" fontId="11" fillId="0" borderId="6" xfId="0" applyNumberFormat="1" applyFont="1" applyFill="1" applyBorder="1" applyAlignment="1" applyProtection="1">
      <alignment horizontal="right"/>
      <protection locked="0"/>
    </xf>
    <xf numFmtId="3" fontId="12" fillId="0" borderId="6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/>
    <xf numFmtId="165" fontId="12" fillId="0" borderId="4" xfId="1" applyNumberFormat="1" applyFont="1" applyFill="1" applyBorder="1"/>
    <xf numFmtId="0" fontId="12" fillId="0" borderId="0" xfId="0" applyFont="1" applyFill="1" applyBorder="1"/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43" fontId="12" fillId="0" borderId="0" xfId="1" applyFont="1" applyBorder="1"/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Fill="1" applyBorder="1" applyProtection="1">
      <protection locked="0"/>
    </xf>
    <xf numFmtId="10" fontId="2" fillId="0" borderId="1" xfId="0" applyNumberFormat="1" applyFont="1" applyFill="1" applyBorder="1" applyAlignment="1" applyProtection="1">
      <alignment horizontal="right"/>
      <protection locked="0"/>
    </xf>
    <xf numFmtId="164" fontId="12" fillId="0" borderId="4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165" fontId="2" fillId="5" borderId="0" xfId="1" applyNumberFormat="1" applyFont="1" applyFill="1" applyBorder="1" applyProtection="1">
      <protection locked="0"/>
    </xf>
    <xf numFmtId="164" fontId="2" fillId="0" borderId="0" xfId="0" applyNumberFormat="1" applyFont="1" applyFill="1" applyBorder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65" fontId="2" fillId="0" borderId="0" xfId="0" applyNumberFormat="1" applyFont="1" applyFill="1" applyBorder="1" applyProtection="1">
      <protection locked="0"/>
    </xf>
    <xf numFmtId="0" fontId="5" fillId="6" borderId="0" xfId="0" applyFont="1" applyFill="1" applyBorder="1" applyProtection="1">
      <protection locked="0"/>
    </xf>
    <xf numFmtId="165" fontId="5" fillId="6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 applyProtection="1">
      <alignment horizontal="right"/>
      <protection locked="0"/>
    </xf>
    <xf numFmtId="43" fontId="2" fillId="0" borderId="0" xfId="0" applyNumberFormat="1" applyFont="1" applyFill="1" applyBorder="1" applyProtection="1">
      <protection locked="0"/>
    </xf>
    <xf numFmtId="3" fontId="5" fillId="0" borderId="0" xfId="0" applyNumberFormat="1" applyFont="1" applyFill="1" applyBorder="1" applyProtection="1">
      <protection locked="0"/>
    </xf>
    <xf numFmtId="1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11" xfId="0" applyNumberFormat="1" applyFont="1" applyFill="1" applyBorder="1" applyAlignment="1" applyProtection="1">
      <alignment horizontal="right"/>
      <protection locked="0"/>
    </xf>
    <xf numFmtId="10" fontId="2" fillId="0" borderId="0" xfId="0" applyNumberFormat="1" applyFont="1" applyFill="1" applyBorder="1" applyProtection="1">
      <protection locked="0"/>
    </xf>
    <xf numFmtId="15" fontId="12" fillId="0" borderId="0" xfId="0" applyNumberFormat="1" applyFont="1" applyFill="1" applyAlignment="1">
      <alignment horizontal="center"/>
    </xf>
    <xf numFmtId="164" fontId="2" fillId="0" borderId="4" xfId="0" applyNumberFormat="1" applyFont="1" applyFill="1" applyBorder="1" applyAlignment="1" applyProtection="1">
      <alignment horizontal="right" vertical="center"/>
      <protection locked="0"/>
    </xf>
    <xf numFmtId="164" fontId="2" fillId="0" borderId="4" xfId="0" applyNumberFormat="1" applyFont="1" applyFill="1" applyBorder="1" applyAlignment="1" applyProtection="1">
      <alignment horizontal="center" vertical="center"/>
      <protection locked="0"/>
    </xf>
    <xf numFmtId="3" fontId="11" fillId="0" borderId="10" xfId="0" applyNumberFormat="1" applyFont="1" applyFill="1" applyBorder="1" applyAlignment="1"/>
    <xf numFmtId="164" fontId="11" fillId="0" borderId="3" xfId="0" applyNumberFormat="1" applyFont="1" applyFill="1" applyBorder="1" applyAlignment="1" applyProtection="1">
      <alignment horizontal="right"/>
      <protection locked="0"/>
    </xf>
    <xf numFmtId="3" fontId="11" fillId="0" borderId="12" xfId="0" applyNumberFormat="1" applyFont="1" applyFill="1" applyBorder="1" applyAlignment="1"/>
    <xf numFmtId="3" fontId="12" fillId="0" borderId="13" xfId="0" applyNumberFormat="1" applyFont="1" applyFill="1" applyBorder="1" applyAlignment="1" applyProtection="1">
      <alignment horizontal="right"/>
      <protection locked="0"/>
    </xf>
    <xf numFmtId="3" fontId="11" fillId="0" borderId="14" xfId="0" applyNumberFormat="1" applyFont="1" applyFill="1" applyBorder="1" applyAlignment="1"/>
    <xf numFmtId="3" fontId="12" fillId="0" borderId="15" xfId="0" applyNumberFormat="1" applyFont="1" applyFill="1" applyBorder="1" applyAlignment="1" applyProtection="1">
      <alignment horizontal="right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workbookViewId="0">
      <selection activeCell="C10" sqref="C10"/>
    </sheetView>
  </sheetViews>
  <sheetFormatPr defaultRowHeight="13.5" x14ac:dyDescent="0.25"/>
  <cols>
    <col min="1" max="1" width="21.42578125" style="24" bestFit="1" customWidth="1"/>
    <col min="2" max="2" width="17.7109375" style="24" customWidth="1"/>
    <col min="3" max="3" width="17.42578125" style="24" customWidth="1"/>
    <col min="4" max="4" width="24.5703125" style="24" bestFit="1" customWidth="1"/>
    <col min="5" max="5" width="9.140625" style="24"/>
    <col min="6" max="6" width="9.28515625" style="24" bestFit="1" customWidth="1"/>
    <col min="7" max="7" width="17.5703125" style="24" customWidth="1"/>
    <col min="8" max="16384" width="9.140625" style="24"/>
  </cols>
  <sheetData>
    <row r="1" spans="1:7" x14ac:dyDescent="0.25">
      <c r="A1" s="44" t="s">
        <v>15</v>
      </c>
      <c r="B1" s="24" t="s">
        <v>75</v>
      </c>
    </row>
    <row r="2" spans="1:7" x14ac:dyDescent="0.25">
      <c r="A2" s="44" t="s">
        <v>16</v>
      </c>
      <c r="B2" s="24" t="s">
        <v>46</v>
      </c>
    </row>
    <row r="3" spans="1:7" x14ac:dyDescent="0.25">
      <c r="A3" s="44" t="s">
        <v>17</v>
      </c>
      <c r="B3" s="24" t="s">
        <v>44</v>
      </c>
    </row>
    <row r="6" spans="1:7" ht="14.25" thickBot="1" x14ac:dyDescent="0.3"/>
    <row r="7" spans="1:7" ht="15.75" thickBot="1" x14ac:dyDescent="0.35">
      <c r="A7" s="88" t="s">
        <v>18</v>
      </c>
      <c r="B7" s="89" t="s">
        <v>19</v>
      </c>
      <c r="C7" s="89" t="s">
        <v>20</v>
      </c>
      <c r="D7" s="90" t="s">
        <v>21</v>
      </c>
      <c r="G7" s="45"/>
    </row>
    <row r="8" spans="1:7" x14ac:dyDescent="0.25">
      <c r="A8" s="80">
        <v>1</v>
      </c>
      <c r="B8" s="136">
        <v>42549</v>
      </c>
      <c r="C8" s="81">
        <v>55000000</v>
      </c>
      <c r="D8" s="82">
        <f>C8</f>
        <v>55000000</v>
      </c>
      <c r="F8" s="45"/>
      <c r="G8" s="47"/>
    </row>
    <row r="9" spans="1:7" x14ac:dyDescent="0.25">
      <c r="A9" s="80">
        <v>2</v>
      </c>
      <c r="B9" s="136">
        <v>42705</v>
      </c>
      <c r="C9" s="81">
        <v>40000000</v>
      </c>
      <c r="D9" s="82">
        <f>D8+C9</f>
        <v>95000000</v>
      </c>
      <c r="F9" s="45"/>
      <c r="G9" s="47"/>
    </row>
    <row r="10" spans="1:7" x14ac:dyDescent="0.25">
      <c r="A10" s="80">
        <v>3</v>
      </c>
      <c r="B10" s="136">
        <v>42752</v>
      </c>
      <c r="C10" s="81">
        <v>69750000</v>
      </c>
      <c r="D10" s="82">
        <f>D9+C10</f>
        <v>164750000</v>
      </c>
      <c r="G10" s="45"/>
    </row>
    <row r="11" spans="1:7" x14ac:dyDescent="0.25">
      <c r="B11" s="45"/>
      <c r="C11" s="31"/>
      <c r="D11" s="46"/>
      <c r="G11" s="45"/>
    </row>
    <row r="12" spans="1:7" x14ac:dyDescent="0.25">
      <c r="B12" s="45"/>
      <c r="C12" s="31"/>
      <c r="D12" s="46"/>
      <c r="G12" s="45"/>
    </row>
    <row r="13" spans="1:7" x14ac:dyDescent="0.25">
      <c r="B13" s="45"/>
      <c r="C13" s="31"/>
      <c r="D13" s="46"/>
      <c r="G13" s="45"/>
    </row>
    <row r="14" spans="1:7" x14ac:dyDescent="0.25">
      <c r="B14" s="45"/>
      <c r="C14" s="31"/>
      <c r="D14" s="46"/>
      <c r="G14" s="45"/>
    </row>
    <row r="15" spans="1:7" x14ac:dyDescent="0.25">
      <c r="B15" s="45"/>
      <c r="C15" s="31"/>
      <c r="D15" s="46"/>
      <c r="G15" s="45"/>
    </row>
    <row r="16" spans="1:7" x14ac:dyDescent="0.25">
      <c r="B16" s="45"/>
      <c r="C16" s="31"/>
      <c r="D16" s="46"/>
      <c r="E16" s="24" t="s">
        <v>43</v>
      </c>
      <c r="G16" s="45"/>
    </row>
    <row r="17" spans="7:7" x14ac:dyDescent="0.25">
      <c r="G17" s="45"/>
    </row>
    <row r="18" spans="7:7" x14ac:dyDescent="0.25">
      <c r="G18" s="45"/>
    </row>
    <row r="19" spans="7:7" x14ac:dyDescent="0.25">
      <c r="G19" s="45"/>
    </row>
    <row r="20" spans="7:7" x14ac:dyDescent="0.25">
      <c r="G20" s="45"/>
    </row>
    <row r="21" spans="7:7" x14ac:dyDescent="0.25">
      <c r="G21" s="45"/>
    </row>
    <row r="22" spans="7:7" x14ac:dyDescent="0.25">
      <c r="G22" s="4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"/>
  <sheetViews>
    <sheetView showGridLines="0" tabSelected="1" zoomScaleNormal="100" workbookViewId="0">
      <pane xSplit="1" ySplit="1" topLeftCell="L2" activePane="bottomRight" state="frozen"/>
      <selection activeCell="B31" sqref="B31"/>
      <selection pane="topRight" activeCell="B31" sqref="B31"/>
      <selection pane="bottomLeft" activeCell="B31" sqref="B31"/>
      <selection pane="bottomRight" activeCell="Q21" sqref="Q21"/>
    </sheetView>
  </sheetViews>
  <sheetFormatPr defaultRowHeight="13.5" x14ac:dyDescent="0.25"/>
  <cols>
    <col min="1" max="1" width="30.140625" style="37" bestFit="1" customWidth="1"/>
    <col min="2" max="4" width="14.5703125" style="24" bestFit="1" customWidth="1"/>
    <col min="5" max="31" width="15.5703125" style="24" bestFit="1" customWidth="1"/>
    <col min="32" max="37" width="15.5703125" style="24" customWidth="1"/>
    <col min="38" max="39" width="15.5703125" style="24" bestFit="1" customWidth="1"/>
    <col min="40" max="41" width="15.5703125" style="24" customWidth="1"/>
    <col min="42" max="42" width="15.5703125" style="24" bestFit="1" customWidth="1"/>
    <col min="43" max="49" width="15.5703125" style="24" customWidth="1"/>
    <col min="50" max="51" width="15.5703125" style="24" bestFit="1" customWidth="1"/>
    <col min="52" max="53" width="15.5703125" style="24" customWidth="1"/>
    <col min="54" max="85" width="17.28515625" style="24" bestFit="1" customWidth="1"/>
    <col min="86" max="88" width="17.28515625" style="24" customWidth="1"/>
    <col min="89" max="90" width="17.28515625" style="24" bestFit="1" customWidth="1"/>
    <col min="91" max="92" width="17.28515625" style="24" customWidth="1"/>
    <col min="93" max="93" width="17.28515625" style="24" bestFit="1" customWidth="1"/>
    <col min="94" max="100" width="17.28515625" style="24" customWidth="1"/>
    <col min="101" max="102" width="17.28515625" style="24" bestFit="1" customWidth="1"/>
    <col min="103" max="104" width="17.28515625" style="24" customWidth="1"/>
    <col min="105" max="105" width="17.28515625" style="24" bestFit="1" customWidth="1"/>
    <col min="106" max="106" width="9.140625" style="24"/>
    <col min="107" max="107" width="4.7109375" style="24" bestFit="1" customWidth="1"/>
    <col min="108" max="16384" width="9.140625" style="24"/>
  </cols>
  <sheetData>
    <row r="1" spans="1:86" ht="15" x14ac:dyDescent="0.3">
      <c r="B1" s="29">
        <f>Accrual_MAGBL!B23</f>
        <v>42552</v>
      </c>
      <c r="C1" s="29">
        <f>Accrual_MAGBL!C23</f>
        <v>42583</v>
      </c>
      <c r="D1" s="29">
        <f>Accrual_MAGBL!D23</f>
        <v>42614</v>
      </c>
      <c r="E1" s="29">
        <f>Accrual_MAGBL!E23</f>
        <v>42644</v>
      </c>
      <c r="F1" s="29">
        <f>Accrual_MAGBL!F23</f>
        <v>42675</v>
      </c>
      <c r="G1" s="29">
        <f>Accrual_MAGBL!G23</f>
        <v>42705</v>
      </c>
      <c r="H1" s="29">
        <f>Accrual_MAGBL!H23</f>
        <v>42736</v>
      </c>
      <c r="I1" s="29">
        <f>Accrual_MAGBL!I23</f>
        <v>42767</v>
      </c>
      <c r="J1" s="29">
        <f>Accrual_MAGBL!J23</f>
        <v>42795</v>
      </c>
      <c r="K1" s="29">
        <f>Accrual_MAGBL!K23</f>
        <v>42826</v>
      </c>
      <c r="L1" s="29">
        <f>Accrual_MAGBL!L23</f>
        <v>42856</v>
      </c>
      <c r="M1" s="29">
        <f>Accrual_MAGBL!M23</f>
        <v>42887</v>
      </c>
      <c r="N1" s="29">
        <f>Accrual_MAGBL!N23</f>
        <v>42917</v>
      </c>
      <c r="O1" s="29">
        <f>Accrual_MAGBL!O23</f>
        <v>42948</v>
      </c>
      <c r="P1" s="29">
        <f>Accrual_MAGBL!P23</f>
        <v>42979</v>
      </c>
      <c r="Q1" s="29">
        <f>Accrual_MAGBL!Q23</f>
        <v>43009</v>
      </c>
      <c r="R1" s="29">
        <f>Accrual_MAGBL!R23</f>
        <v>43040</v>
      </c>
      <c r="S1" s="29">
        <f>Accrual_MAGBL!S23</f>
        <v>43070</v>
      </c>
      <c r="T1" s="29">
        <f>Accrual_MAGBL!T23</f>
        <v>43101</v>
      </c>
      <c r="U1" s="29">
        <f>Accrual_MAGBL!U23</f>
        <v>43132</v>
      </c>
      <c r="V1" s="29">
        <f>Accrual_MAGBL!V23</f>
        <v>43160</v>
      </c>
      <c r="W1" s="29">
        <f>Accrual_MAGBL!W23</f>
        <v>43191</v>
      </c>
      <c r="X1" s="29">
        <f>Accrual_MAGBL!X23</f>
        <v>43221</v>
      </c>
      <c r="Y1" s="29">
        <f>Accrual_MAGBL!Y23</f>
        <v>43252</v>
      </c>
      <c r="Z1" s="29">
        <f>Accrual_MAGBL!Z23</f>
        <v>43282</v>
      </c>
      <c r="AA1" s="29">
        <f>Accrual_MAGBL!AA23</f>
        <v>43313</v>
      </c>
      <c r="AB1" s="29">
        <f>Accrual_MAGBL!AB23</f>
        <v>43344</v>
      </c>
      <c r="AC1" s="29">
        <f>Accrual_MAGBL!AC23</f>
        <v>43374</v>
      </c>
      <c r="AD1" s="29">
        <f>Accrual_MAGBL!AD23</f>
        <v>43405</v>
      </c>
      <c r="AE1" s="29">
        <f>Accrual_MAGBL!AE23</f>
        <v>43435</v>
      </c>
      <c r="AF1" s="29">
        <f>Accrual_MAGBL!AF23</f>
        <v>43466</v>
      </c>
      <c r="AG1" s="29">
        <f>Accrual_MAGBL!AG23</f>
        <v>43497</v>
      </c>
      <c r="AH1" s="29">
        <f>Accrual_MAGBL!AH23</f>
        <v>43525</v>
      </c>
      <c r="AI1" s="29">
        <f>Accrual_MAGBL!AI23</f>
        <v>43556</v>
      </c>
      <c r="AJ1" s="29">
        <f>Accrual_MAGBL!AJ23</f>
        <v>43586</v>
      </c>
      <c r="AK1" s="29">
        <f>Accrual_MAGBL!AK23</f>
        <v>43617</v>
      </c>
      <c r="AL1" s="29">
        <f>Accrual_MAGBL!AL23</f>
        <v>43647</v>
      </c>
      <c r="AM1" s="29">
        <f>Accrual_MAGBL!AM23</f>
        <v>43678</v>
      </c>
      <c r="AN1" s="29">
        <f>Accrual_MAGBL!AN23</f>
        <v>43709</v>
      </c>
      <c r="AO1" s="29">
        <f>Accrual_MAGBL!AO23</f>
        <v>43739</v>
      </c>
      <c r="AP1" s="29">
        <f>Accrual_MAGBL!AP23</f>
        <v>43770</v>
      </c>
      <c r="AQ1" s="29">
        <f>Accrual_MAGBL!AQ23</f>
        <v>43800</v>
      </c>
      <c r="AR1" s="29">
        <f>Accrual_MAGBL!AR23</f>
        <v>43831</v>
      </c>
      <c r="AS1" s="29">
        <f>Accrual_MAGBL!AS23</f>
        <v>43862</v>
      </c>
      <c r="AT1" s="29">
        <f>Accrual_MAGBL!AT23</f>
        <v>43891</v>
      </c>
      <c r="AU1" s="29">
        <f>Accrual_MAGBL!AU23</f>
        <v>43922</v>
      </c>
      <c r="AV1" s="29">
        <f>Accrual_MAGBL!AV23</f>
        <v>43952</v>
      </c>
      <c r="AW1" s="29">
        <f>Accrual_MAGBL!AW23</f>
        <v>43983</v>
      </c>
      <c r="AX1" s="29">
        <f>Accrual_MAGBL!AX23</f>
        <v>44013</v>
      </c>
      <c r="AY1" s="29">
        <f>Accrual_MAGBL!AY23</f>
        <v>44044</v>
      </c>
      <c r="AZ1" s="29">
        <f>Accrual_MAGBL!AZ23</f>
        <v>44075</v>
      </c>
      <c r="BA1" s="29">
        <f>Accrual_MAGBL!BA23</f>
        <v>44105</v>
      </c>
      <c r="BB1" s="29">
        <f>Accrual_MAGBL!BB23</f>
        <v>44136</v>
      </c>
      <c r="BC1" s="29">
        <f>Accrual_MAGBL!BC23</f>
        <v>44166</v>
      </c>
      <c r="BD1" s="29">
        <f>Accrual_MAGBL!BD23</f>
        <v>44197</v>
      </c>
      <c r="BE1" s="29">
        <f>Accrual_MAGBL!BE23</f>
        <v>44228</v>
      </c>
      <c r="BF1" s="29">
        <f>Accrual_MAGBL!BF23</f>
        <v>44256</v>
      </c>
      <c r="BG1" s="29">
        <f>Accrual_MAGBL!BG23</f>
        <v>44287</v>
      </c>
      <c r="BH1" s="29">
        <f>Accrual_MAGBL!BH23</f>
        <v>44317</v>
      </c>
      <c r="BI1" s="29">
        <f>Accrual_MAGBL!BI23</f>
        <v>44348</v>
      </c>
      <c r="BJ1" s="29">
        <f>Accrual_MAGBL!BJ23</f>
        <v>44378</v>
      </c>
      <c r="BK1" s="29">
        <f>Accrual_MAGBL!BK23</f>
        <v>44409</v>
      </c>
      <c r="BL1" s="29">
        <f>Accrual_MAGBL!BL23</f>
        <v>44440</v>
      </c>
      <c r="BM1" s="29">
        <f>Accrual_MAGBL!BM23</f>
        <v>44470</v>
      </c>
      <c r="BN1" s="29">
        <f>Accrual_MAGBL!BN23</f>
        <v>44501</v>
      </c>
      <c r="BO1" s="29">
        <f>Accrual_MAGBL!BO23</f>
        <v>44531</v>
      </c>
      <c r="BP1" s="29">
        <f>Accrual_MAGBL!BP23</f>
        <v>44562</v>
      </c>
      <c r="BQ1" s="29">
        <f>Accrual_MAGBL!BQ23</f>
        <v>44593</v>
      </c>
      <c r="BR1" s="29">
        <f>Accrual_MAGBL!BR23</f>
        <v>44621</v>
      </c>
      <c r="BS1" s="29">
        <f>Accrual_MAGBL!BS23</f>
        <v>44652</v>
      </c>
      <c r="BT1" s="29">
        <f>Accrual_MAGBL!BT23</f>
        <v>44682</v>
      </c>
      <c r="BU1" s="29">
        <f>Accrual_MAGBL!BU23</f>
        <v>44713</v>
      </c>
      <c r="BV1" s="29">
        <f>Accrual_MAGBL!BV23</f>
        <v>44743</v>
      </c>
      <c r="BW1" s="29">
        <f>Accrual_MAGBL!BW23</f>
        <v>44774</v>
      </c>
      <c r="BX1" s="29">
        <f>Accrual_MAGBL!BX23</f>
        <v>44805</v>
      </c>
      <c r="BY1" s="29">
        <f>Accrual_MAGBL!BY23</f>
        <v>44835</v>
      </c>
      <c r="BZ1" s="29">
        <f>Accrual_MAGBL!BZ23</f>
        <v>44866</v>
      </c>
      <c r="CA1" s="29">
        <f>Accrual_MAGBL!CA23</f>
        <v>44896</v>
      </c>
      <c r="CB1" s="29">
        <f>Accrual_MAGBL!CB23</f>
        <v>44927</v>
      </c>
      <c r="CC1" s="29">
        <f>Accrual_MAGBL!CC23</f>
        <v>44958</v>
      </c>
      <c r="CD1" s="29">
        <f>Accrual_MAGBL!CD23</f>
        <v>44986</v>
      </c>
      <c r="CE1" s="29">
        <f>Accrual_MAGBL!CE23</f>
        <v>45017</v>
      </c>
      <c r="CF1" s="29">
        <f>Accrual_MAGBL!CF23</f>
        <v>45047</v>
      </c>
      <c r="CG1" s="29">
        <f>Accrual_MAGBL!CG23</f>
        <v>45078</v>
      </c>
      <c r="CH1" s="29">
        <f>Accrual_MAGBL!CH23</f>
        <v>45108</v>
      </c>
    </row>
    <row r="2" spans="1:86" ht="15" x14ac:dyDescent="0.3">
      <c r="A2" s="38" t="s">
        <v>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</row>
    <row r="3" spans="1:86" x14ac:dyDescent="0.25">
      <c r="A3" s="39" t="s">
        <v>23</v>
      </c>
      <c r="B3" s="31">
        <f>Accrual_MAGBL!B24</f>
        <v>55000000</v>
      </c>
      <c r="C3" s="31">
        <f>Accrual_MAGBL!C24</f>
        <v>55000000</v>
      </c>
      <c r="D3" s="31">
        <f>Accrual_MAGBL!D24</f>
        <v>55000000</v>
      </c>
      <c r="E3" s="31">
        <f>Accrual_MAGBL!E24+'MAGBL_Loan (IDCOL)'!B29</f>
        <v>56086250</v>
      </c>
      <c r="F3" s="31">
        <f>Accrual_MAGBL!F24</f>
        <v>56086250</v>
      </c>
      <c r="G3" s="31">
        <f>Accrual_MAGBL!G24</f>
        <v>56086250</v>
      </c>
      <c r="H3" s="31">
        <f>Accrual_MAGBL!H24+'MAGBL_Loan (IDCOL)'!C29</f>
        <v>97502212.1875</v>
      </c>
      <c r="I3" s="31">
        <f>Accrual_MAGBL!I24</f>
        <v>167252212.1875</v>
      </c>
      <c r="J3" s="31">
        <f>Accrual_MAGBL!J24</f>
        <v>167252212.1875</v>
      </c>
      <c r="K3" s="31">
        <f>Accrual_MAGBL!K24+'MAGBL_Loan (IDCOL)'!D29</f>
        <v>170439949.46171874</v>
      </c>
      <c r="L3" s="31">
        <f>Accrual_MAGBL!L24</f>
        <v>170439949.46171874</v>
      </c>
      <c r="M3" s="31">
        <f>Accrual_MAGBL!M24</f>
        <v>170439949.46171874</v>
      </c>
      <c r="N3" s="31">
        <f>Accrual_MAGBL!N24+'MAGBL_Loan (IDCOL)'!E29</f>
        <v>174913998.13508886</v>
      </c>
      <c r="O3" s="31">
        <f>N3</f>
        <v>174913998.13508886</v>
      </c>
      <c r="P3" s="31">
        <f>O3</f>
        <v>174913998.13508886</v>
      </c>
      <c r="Q3" s="31">
        <f t="shared" ref="Q3:BX3" si="0">P3</f>
        <v>174913998.13508886</v>
      </c>
      <c r="R3" s="31">
        <f t="shared" si="0"/>
        <v>174913998.13508886</v>
      </c>
      <c r="S3" s="31">
        <f t="shared" si="0"/>
        <v>174913998.13508886</v>
      </c>
      <c r="T3" s="31">
        <f t="shared" si="0"/>
        <v>174913998.13508886</v>
      </c>
      <c r="U3" s="31">
        <f t="shared" si="0"/>
        <v>174913998.13508886</v>
      </c>
      <c r="V3" s="31">
        <f t="shared" si="0"/>
        <v>174913998.13508886</v>
      </c>
      <c r="W3" s="31">
        <f t="shared" si="0"/>
        <v>174913998.13508886</v>
      </c>
      <c r="X3" s="31">
        <f t="shared" si="0"/>
        <v>174913998.13508886</v>
      </c>
      <c r="Y3" s="31">
        <f t="shared" si="0"/>
        <v>174913998.13508886</v>
      </c>
      <c r="Z3" s="31">
        <f t="shared" si="0"/>
        <v>174913998.13508886</v>
      </c>
      <c r="AA3" s="31">
        <f t="shared" si="0"/>
        <v>174913998.13508886</v>
      </c>
      <c r="AB3" s="31">
        <f t="shared" si="0"/>
        <v>174913998.13508886</v>
      </c>
      <c r="AC3" s="31">
        <f t="shared" si="0"/>
        <v>174913998.13508886</v>
      </c>
      <c r="AD3" s="31">
        <f t="shared" si="0"/>
        <v>174913998.13508886</v>
      </c>
      <c r="AE3" s="31">
        <f t="shared" si="0"/>
        <v>174913998.13508886</v>
      </c>
      <c r="AF3" s="31">
        <f t="shared" si="0"/>
        <v>174913998.13508886</v>
      </c>
      <c r="AG3" s="31">
        <f t="shared" si="0"/>
        <v>174913998.13508886</v>
      </c>
      <c r="AH3" s="31">
        <f t="shared" si="0"/>
        <v>174913998.13508886</v>
      </c>
      <c r="AI3" s="31">
        <f t="shared" si="0"/>
        <v>174913998.13508886</v>
      </c>
      <c r="AJ3" s="31">
        <f t="shared" si="0"/>
        <v>174913998.13508886</v>
      </c>
      <c r="AK3" s="31">
        <f t="shared" si="0"/>
        <v>174913998.13508886</v>
      </c>
      <c r="AL3" s="31">
        <f t="shared" si="0"/>
        <v>174913998.13508886</v>
      </c>
      <c r="AM3" s="31">
        <f t="shared" si="0"/>
        <v>174913998.13508886</v>
      </c>
      <c r="AN3" s="31">
        <f t="shared" si="0"/>
        <v>174913998.13508886</v>
      </c>
      <c r="AO3" s="31">
        <f t="shared" si="0"/>
        <v>174913998.13508886</v>
      </c>
      <c r="AP3" s="31">
        <f t="shared" si="0"/>
        <v>174913998.13508886</v>
      </c>
      <c r="AQ3" s="31">
        <f t="shared" si="0"/>
        <v>174913998.13508886</v>
      </c>
      <c r="AR3" s="31">
        <f t="shared" si="0"/>
        <v>174913998.13508886</v>
      </c>
      <c r="AS3" s="31">
        <f t="shared" si="0"/>
        <v>174913998.13508886</v>
      </c>
      <c r="AT3" s="31">
        <f t="shared" si="0"/>
        <v>174913998.13508886</v>
      </c>
      <c r="AU3" s="31">
        <f t="shared" si="0"/>
        <v>174913998.13508886</v>
      </c>
      <c r="AV3" s="31">
        <f t="shared" si="0"/>
        <v>174913998.13508886</v>
      </c>
      <c r="AW3" s="31">
        <f t="shared" si="0"/>
        <v>174913998.13508886</v>
      </c>
      <c r="AX3" s="31">
        <f t="shared" si="0"/>
        <v>174913998.13508886</v>
      </c>
      <c r="AY3" s="31">
        <f t="shared" si="0"/>
        <v>174913998.13508886</v>
      </c>
      <c r="AZ3" s="31">
        <f t="shared" si="0"/>
        <v>174913998.13508886</v>
      </c>
      <c r="BA3" s="31">
        <f t="shared" si="0"/>
        <v>174913998.13508886</v>
      </c>
      <c r="BB3" s="31">
        <f t="shared" si="0"/>
        <v>174913998.13508886</v>
      </c>
      <c r="BC3" s="31">
        <f t="shared" si="0"/>
        <v>174913998.13508886</v>
      </c>
      <c r="BD3" s="31">
        <f t="shared" si="0"/>
        <v>174913998.13508886</v>
      </c>
      <c r="BE3" s="31">
        <f t="shared" si="0"/>
        <v>174913998.13508886</v>
      </c>
      <c r="BF3" s="31">
        <f t="shared" si="0"/>
        <v>174913998.13508886</v>
      </c>
      <c r="BG3" s="31">
        <f t="shared" si="0"/>
        <v>174913998.13508886</v>
      </c>
      <c r="BH3" s="31">
        <f t="shared" si="0"/>
        <v>174913998.13508886</v>
      </c>
      <c r="BI3" s="31">
        <f t="shared" si="0"/>
        <v>174913998.13508886</v>
      </c>
      <c r="BJ3" s="31">
        <f t="shared" si="0"/>
        <v>174913998.13508886</v>
      </c>
      <c r="BK3" s="31">
        <f t="shared" si="0"/>
        <v>174913998.13508886</v>
      </c>
      <c r="BL3" s="31">
        <f t="shared" si="0"/>
        <v>174913998.13508886</v>
      </c>
      <c r="BM3" s="31">
        <f t="shared" si="0"/>
        <v>174913998.13508886</v>
      </c>
      <c r="BN3" s="31">
        <f t="shared" si="0"/>
        <v>174913998.13508886</v>
      </c>
      <c r="BO3" s="31">
        <f t="shared" si="0"/>
        <v>174913998.13508886</v>
      </c>
      <c r="BP3" s="31">
        <f t="shared" si="0"/>
        <v>174913998.13508886</v>
      </c>
      <c r="BQ3" s="31">
        <f t="shared" si="0"/>
        <v>174913998.13508886</v>
      </c>
      <c r="BR3" s="31">
        <f t="shared" si="0"/>
        <v>174913998.13508886</v>
      </c>
      <c r="BS3" s="31">
        <f t="shared" si="0"/>
        <v>174913998.13508886</v>
      </c>
      <c r="BT3" s="31">
        <f t="shared" si="0"/>
        <v>174913998.13508886</v>
      </c>
      <c r="BU3" s="31">
        <f t="shared" si="0"/>
        <v>174913998.13508886</v>
      </c>
      <c r="BV3" s="31">
        <f t="shared" si="0"/>
        <v>174913998.13508886</v>
      </c>
      <c r="BW3" s="31">
        <f t="shared" si="0"/>
        <v>174913998.13508886</v>
      </c>
      <c r="BX3" s="31">
        <f t="shared" si="0"/>
        <v>174913998.13508886</v>
      </c>
      <c r="BY3" s="31">
        <f t="shared" ref="BY3:CH3" si="1">BX3</f>
        <v>174913998.13508886</v>
      </c>
      <c r="BZ3" s="31">
        <f t="shared" si="1"/>
        <v>174913998.13508886</v>
      </c>
      <c r="CA3" s="31">
        <f t="shared" si="1"/>
        <v>174913998.13508886</v>
      </c>
      <c r="CB3" s="31">
        <f t="shared" si="1"/>
        <v>174913998.13508886</v>
      </c>
      <c r="CC3" s="31">
        <f t="shared" si="1"/>
        <v>174913998.13508886</v>
      </c>
      <c r="CD3" s="31">
        <f t="shared" si="1"/>
        <v>174913998.13508886</v>
      </c>
      <c r="CE3" s="31">
        <f t="shared" si="1"/>
        <v>174913998.13508886</v>
      </c>
      <c r="CF3" s="31">
        <f t="shared" si="1"/>
        <v>174913998.13508886</v>
      </c>
      <c r="CG3" s="31">
        <f t="shared" si="1"/>
        <v>174913998.13508886</v>
      </c>
      <c r="CH3" s="31">
        <f t="shared" si="1"/>
        <v>174913998.13508886</v>
      </c>
    </row>
    <row r="4" spans="1:86" x14ac:dyDescent="0.25">
      <c r="A4" s="39" t="s">
        <v>24</v>
      </c>
      <c r="B4" s="31">
        <f>Accrual_MAGBL!B28</f>
        <v>0</v>
      </c>
      <c r="C4" s="31">
        <f>Accrual_MAGBL!C28</f>
        <v>0</v>
      </c>
      <c r="D4" s="31">
        <f>Accrual_MAGBL!D28</f>
        <v>0</v>
      </c>
      <c r="E4" s="31">
        <f>Accrual_MAGBL!E28</f>
        <v>0</v>
      </c>
      <c r="F4" s="31">
        <f>Accrual_MAGBL!F28</f>
        <v>0</v>
      </c>
      <c r="G4" s="31">
        <f>Accrual_MAGBL!G28</f>
        <v>0</v>
      </c>
      <c r="H4" s="31">
        <f>Accrual_MAGBL!H28</f>
        <v>0</v>
      </c>
      <c r="I4" s="31">
        <f>Accrual_MAGBL!I28</f>
        <v>0</v>
      </c>
      <c r="J4" s="31">
        <f>Accrual_MAGBL!J28</f>
        <v>0</v>
      </c>
      <c r="K4" s="31">
        <f>Accrual_MAGBL!K28</f>
        <v>0</v>
      </c>
      <c r="L4" s="31">
        <f>Accrual_MAGBL!L28</f>
        <v>0</v>
      </c>
      <c r="M4" s="31">
        <f>Accrual_MAGBL!M28</f>
        <v>0</v>
      </c>
      <c r="N4" s="31">
        <f>Accrual_MAGBL!N28</f>
        <v>0</v>
      </c>
      <c r="O4" s="31">
        <f>Accrual_MAGBL!O28</f>
        <v>0</v>
      </c>
      <c r="P4" s="31">
        <f>Accrual_MAGBL!P28</f>
        <v>0</v>
      </c>
      <c r="Q4" s="31">
        <f>Accrual_MAGBL!Q28</f>
        <v>5576298.2994589228</v>
      </c>
      <c r="R4" s="31">
        <f>Accrual_MAGBL!R28</f>
        <v>5576298.2994589228</v>
      </c>
      <c r="S4" s="31">
        <f>Accrual_MAGBL!S28</f>
        <v>5576298.2994589228</v>
      </c>
      <c r="T4" s="31">
        <f>Accrual_MAGBL!T28</f>
        <v>11278063.310655672</v>
      </c>
      <c r="U4" s="31">
        <f>Accrual_MAGBL!U28</f>
        <v>11278063.310655672</v>
      </c>
      <c r="V4" s="31">
        <f>Accrual_MAGBL!V28</f>
        <v>11278063.310655672</v>
      </c>
      <c r="W4" s="31">
        <f>Accrual_MAGBL!W28</f>
        <v>17108118.034604348</v>
      </c>
      <c r="X4" s="31">
        <f>Accrual_MAGBL!X28</f>
        <v>17108118.034604348</v>
      </c>
      <c r="Y4" s="31">
        <f>Accrual_MAGBL!Y28</f>
        <v>17108118.034604348</v>
      </c>
      <c r="Z4" s="31">
        <f>Accrual_MAGBL!Z28</f>
        <v>23069348.989841871</v>
      </c>
      <c r="AA4" s="31">
        <f>Accrual_MAGBL!AA28</f>
        <v>23069348.989841871</v>
      </c>
      <c r="AB4" s="31">
        <f>Accrual_MAGBL!AB28</f>
        <v>23069348.989841871</v>
      </c>
      <c r="AC4" s="31">
        <f>Accrual_MAGBL!AC28</f>
        <v>29164707.641572237</v>
      </c>
      <c r="AD4" s="31">
        <f>Accrual_MAGBL!AD28</f>
        <v>29164707.641572237</v>
      </c>
      <c r="AE4" s="31">
        <f>Accrual_MAGBL!AE28</f>
        <v>29164707.641572237</v>
      </c>
      <c r="AF4" s="31">
        <f>Accrual_MAGBL!AF28</f>
        <v>35397211.862966537</v>
      </c>
      <c r="AG4" s="31">
        <f>Accrual_MAGBL!AG28</f>
        <v>35397211.862966537</v>
      </c>
      <c r="AH4" s="31">
        <f>Accrual_MAGBL!AH28</f>
        <v>35397211.862966537</v>
      </c>
      <c r="AI4" s="31">
        <f>Accrual_MAGBL!AI28</f>
        <v>41769947.42934221</v>
      </c>
      <c r="AJ4" s="31">
        <f>Accrual_MAGBL!AJ28</f>
        <v>41769947.42934221</v>
      </c>
      <c r="AK4" s="31">
        <f>Accrual_MAGBL!AK28</f>
        <v>41769947.42934221</v>
      </c>
      <c r="AL4" s="31">
        <f>Accrual_MAGBL!AL28</f>
        <v>48286069.545961335</v>
      </c>
      <c r="AM4" s="31">
        <f>Accrual_MAGBL!AM28</f>
        <v>48286069.545961335</v>
      </c>
      <c r="AN4" s="31">
        <f>Accrual_MAGBL!AN28</f>
        <v>48286069.545961335</v>
      </c>
      <c r="AO4" s="31">
        <f>Accrual_MAGBL!AO28</f>
        <v>54948804.410204388</v>
      </c>
      <c r="AP4" s="31">
        <f>Accrual_MAGBL!AP28</f>
        <v>54948804.410204388</v>
      </c>
      <c r="AQ4" s="31">
        <f>Accrual_MAGBL!AQ28</f>
        <v>54948804.410204388</v>
      </c>
      <c r="AR4" s="31">
        <f>Accrual_MAGBL!AR28</f>
        <v>61761450.808892913</v>
      </c>
      <c r="AS4" s="31">
        <f>Accrual_MAGBL!AS28</f>
        <v>61761450.808892913</v>
      </c>
      <c r="AT4" s="31">
        <f>Accrual_MAGBL!AT28</f>
        <v>61761450.808892913</v>
      </c>
      <c r="AU4" s="31">
        <f>Accrual_MAGBL!AU28</f>
        <v>68727381.751551926</v>
      </c>
      <c r="AV4" s="31">
        <f>Accrual_MAGBL!AV28</f>
        <v>68727381.751551926</v>
      </c>
      <c r="AW4" s="31">
        <f>Accrual_MAGBL!AW28</f>
        <v>68727381.751551926</v>
      </c>
      <c r="AX4" s="31">
        <f>Accrual_MAGBL!AX28</f>
        <v>75850046.140420765</v>
      </c>
      <c r="AY4" s="31">
        <f>Accrual_MAGBL!AY28</f>
        <v>75850046.140420765</v>
      </c>
      <c r="AZ4" s="31">
        <f>Accrual_MAGBL!AZ28</f>
        <v>75850046.140420765</v>
      </c>
      <c r="BA4" s="31">
        <f>Accrual_MAGBL!BA28</f>
        <v>83132970.47803916</v>
      </c>
      <c r="BB4" s="31">
        <f>Accrual_MAGBL!BB28</f>
        <v>83132970.47803916</v>
      </c>
      <c r="BC4" s="31">
        <f>Accrual_MAGBL!BC28</f>
        <v>83132970.47803916</v>
      </c>
      <c r="BD4" s="31">
        <f>Accrual_MAGBL!BD28</f>
        <v>90579760.613253966</v>
      </c>
      <c r="BE4" s="31">
        <f>Accrual_MAGBL!BE28</f>
        <v>90579760.613253966</v>
      </c>
      <c r="BF4" s="31">
        <f>Accrual_MAGBL!BF28</f>
        <v>90579760.613253966</v>
      </c>
      <c r="BG4" s="31">
        <f>Accrual_MAGBL!BG28</f>
        <v>98194103.526511103</v>
      </c>
      <c r="BH4" s="31">
        <f>Accrual_MAGBL!BH28</f>
        <v>98194103.526511103</v>
      </c>
      <c r="BI4" s="31">
        <f>Accrual_MAGBL!BI28</f>
        <v>98194103.526511103</v>
      </c>
      <c r="BJ4" s="31">
        <f>Accrual_MAGBL!BJ28</f>
        <v>105979769.15531653</v>
      </c>
      <c r="BK4" s="31">
        <f>Accrual_MAGBL!BK28</f>
        <v>105979769.15531653</v>
      </c>
      <c r="BL4" s="31">
        <f>Accrual_MAGBL!BL28</f>
        <v>105979769.15531653</v>
      </c>
      <c r="BM4" s="31">
        <f>Accrual_MAGBL!BM28</f>
        <v>113940612.26077008</v>
      </c>
      <c r="BN4" s="31">
        <f>Accrual_MAGBL!BN28</f>
        <v>113940612.26077008</v>
      </c>
      <c r="BO4" s="31">
        <f>Accrual_MAGBL!BO28</f>
        <v>113940612.26077008</v>
      </c>
      <c r="BP4" s="31">
        <f>Accrual_MAGBL!BP28</f>
        <v>122080574.33609633</v>
      </c>
      <c r="BQ4" s="31">
        <f>Accrual_MAGBL!BQ28</f>
        <v>122080574.33609633</v>
      </c>
      <c r="BR4" s="31">
        <f>Accrual_MAGBL!BR28</f>
        <v>122080574.33609633</v>
      </c>
      <c r="BS4" s="31">
        <f>Accrual_MAGBL!BS28</f>
        <v>130403685.55811742</v>
      </c>
      <c r="BT4" s="31">
        <f>Accrual_MAGBL!BT28</f>
        <v>130403685.55811742</v>
      </c>
      <c r="BU4" s="31">
        <f>Accrual_MAGBL!BU28</f>
        <v>130403685.55811742</v>
      </c>
      <c r="BV4" s="31">
        <f>Accrual_MAGBL!BV28</f>
        <v>138914066.78263399</v>
      </c>
      <c r="BW4" s="31">
        <f>Accrual_MAGBL!BW28</f>
        <v>138914066.78263399</v>
      </c>
      <c r="BX4" s="31">
        <f>Accrual_MAGBL!BX28</f>
        <v>138914066.78263399</v>
      </c>
      <c r="BY4" s="31">
        <f>Accrual_MAGBL!BY28</f>
        <v>147615931.58470216</v>
      </c>
      <c r="BZ4" s="31">
        <f>Accrual_MAGBL!BZ28</f>
        <v>147615931.58470216</v>
      </c>
      <c r="CA4" s="31">
        <f>Accrual_MAGBL!CA28</f>
        <v>147615931.58470216</v>
      </c>
      <c r="CB4" s="31">
        <f>Accrual_MAGBL!CB28</f>
        <v>156513588.34481689</v>
      </c>
      <c r="CC4" s="31">
        <f>Accrual_MAGBL!CC28</f>
        <v>156513588.34481689</v>
      </c>
      <c r="CD4" s="31">
        <f>Accrual_MAGBL!CD28</f>
        <v>156513588.34481689</v>
      </c>
      <c r="CE4" s="31">
        <f>Accrual_MAGBL!CE28</f>
        <v>165611442.38203418</v>
      </c>
      <c r="CF4" s="31">
        <f>Accrual_MAGBL!CF28</f>
        <v>165611442.38203418</v>
      </c>
      <c r="CG4" s="31">
        <f>Accrual_MAGBL!CG28</f>
        <v>165611442.38203418</v>
      </c>
      <c r="CH4" s="31">
        <f>Accrual_MAGBL!CH28</f>
        <v>174913998.13508886</v>
      </c>
    </row>
    <row r="5" spans="1:86" x14ac:dyDescent="0.25">
      <c r="A5" s="39" t="s">
        <v>25</v>
      </c>
      <c r="B5" s="31">
        <f t="shared" ref="B5:BD5" si="2">B22</f>
        <v>0</v>
      </c>
      <c r="C5" s="31">
        <f t="shared" si="2"/>
        <v>0</v>
      </c>
      <c r="D5" s="31">
        <f t="shared" si="2"/>
        <v>0</v>
      </c>
      <c r="E5" s="31">
        <f t="shared" si="2"/>
        <v>0</v>
      </c>
      <c r="F5" s="31">
        <f t="shared" si="2"/>
        <v>0</v>
      </c>
      <c r="G5" s="31">
        <f t="shared" si="2"/>
        <v>0</v>
      </c>
      <c r="H5" s="31">
        <f t="shared" si="2"/>
        <v>0</v>
      </c>
      <c r="I5" s="31">
        <f t="shared" si="2"/>
        <v>0</v>
      </c>
      <c r="J5" s="31">
        <f t="shared" si="2"/>
        <v>0</v>
      </c>
      <c r="K5" s="31">
        <f t="shared" si="2"/>
        <v>0</v>
      </c>
      <c r="L5" s="31">
        <f t="shared" si="2"/>
        <v>0</v>
      </c>
      <c r="M5" s="31">
        <f t="shared" si="2"/>
        <v>0</v>
      </c>
      <c r="N5" s="31">
        <f t="shared" si="2"/>
        <v>0</v>
      </c>
      <c r="O5" s="31">
        <f t="shared" si="2"/>
        <v>0</v>
      </c>
      <c r="P5" s="31">
        <f t="shared" si="2"/>
        <v>0</v>
      </c>
      <c r="Q5" s="31">
        <f t="shared" si="2"/>
        <v>0</v>
      </c>
      <c r="R5" s="31">
        <f t="shared" si="2"/>
        <v>0</v>
      </c>
      <c r="S5" s="31">
        <f t="shared" si="2"/>
        <v>0</v>
      </c>
      <c r="T5" s="31">
        <f t="shared" si="2"/>
        <v>11278063.310655672</v>
      </c>
      <c r="U5" s="31">
        <f t="shared" si="2"/>
        <v>11278063.310655672</v>
      </c>
      <c r="V5" s="31">
        <f t="shared" si="2"/>
        <v>11278063.310655672</v>
      </c>
      <c r="W5" s="31">
        <f t="shared" si="2"/>
        <v>17108118.034604348</v>
      </c>
      <c r="X5" s="31">
        <f t="shared" si="2"/>
        <v>17108118.034604348</v>
      </c>
      <c r="Y5" s="31">
        <f t="shared" si="2"/>
        <v>17108118.034604348</v>
      </c>
      <c r="Z5" s="31">
        <f t="shared" si="2"/>
        <v>23069348.989841871</v>
      </c>
      <c r="AA5" s="31">
        <f t="shared" si="2"/>
        <v>23069348.989841871</v>
      </c>
      <c r="AB5" s="31">
        <f t="shared" si="2"/>
        <v>23069348.989841871</v>
      </c>
      <c r="AC5" s="31">
        <f t="shared" si="2"/>
        <v>29164707.641572237</v>
      </c>
      <c r="AD5" s="31">
        <f t="shared" si="2"/>
        <v>29164707.641572237</v>
      </c>
      <c r="AE5" s="31">
        <f t="shared" si="2"/>
        <v>29164707.641572237</v>
      </c>
      <c r="AF5" s="31">
        <f t="shared" si="2"/>
        <v>35397211.862966537</v>
      </c>
      <c r="AG5" s="31">
        <f t="shared" si="2"/>
        <v>35397211.862966537</v>
      </c>
      <c r="AH5" s="31">
        <f t="shared" si="2"/>
        <v>35397211.862966537</v>
      </c>
      <c r="AI5" s="31">
        <f t="shared" si="2"/>
        <v>41769947.42934221</v>
      </c>
      <c r="AJ5" s="31">
        <f t="shared" si="2"/>
        <v>41769947.42934221</v>
      </c>
      <c r="AK5" s="31">
        <f t="shared" si="2"/>
        <v>41769947.42934221</v>
      </c>
      <c r="AL5" s="31">
        <f t="shared" si="2"/>
        <v>48286069.545961335</v>
      </c>
      <c r="AM5" s="31">
        <f t="shared" si="2"/>
        <v>48286069.545961335</v>
      </c>
      <c r="AN5" s="31">
        <f t="shared" si="2"/>
        <v>48286069.545961335</v>
      </c>
      <c r="AO5" s="31">
        <f t="shared" si="2"/>
        <v>54948804.410204388</v>
      </c>
      <c r="AP5" s="31">
        <f t="shared" si="2"/>
        <v>54948804.410204388</v>
      </c>
      <c r="AQ5" s="31">
        <f t="shared" si="2"/>
        <v>54948804.410204388</v>
      </c>
      <c r="AR5" s="31">
        <f t="shared" si="2"/>
        <v>61761450.808892913</v>
      </c>
      <c r="AS5" s="31">
        <f t="shared" si="2"/>
        <v>61761450.808892913</v>
      </c>
      <c r="AT5" s="31">
        <f t="shared" si="2"/>
        <v>61761450.808892913</v>
      </c>
      <c r="AU5" s="31">
        <f t="shared" si="2"/>
        <v>68727381.751551926</v>
      </c>
      <c r="AV5" s="31">
        <f t="shared" si="2"/>
        <v>68727381.751551926</v>
      </c>
      <c r="AW5" s="31">
        <f t="shared" si="2"/>
        <v>68727381.751551926</v>
      </c>
      <c r="AX5" s="31">
        <f t="shared" si="2"/>
        <v>75850046.140420765</v>
      </c>
      <c r="AY5" s="31">
        <f t="shared" si="2"/>
        <v>75850046.140420765</v>
      </c>
      <c r="AZ5" s="31">
        <f t="shared" si="2"/>
        <v>75850046.140420765</v>
      </c>
      <c r="BA5" s="31">
        <f t="shared" si="2"/>
        <v>83132970.47803916</v>
      </c>
      <c r="BB5" s="31">
        <f t="shared" si="2"/>
        <v>83132970.47803916</v>
      </c>
      <c r="BC5" s="31">
        <f t="shared" si="2"/>
        <v>83132970.47803916</v>
      </c>
      <c r="BD5" s="31">
        <f t="shared" si="2"/>
        <v>90579760.613253966</v>
      </c>
      <c r="BE5" s="31">
        <f t="shared" ref="BE5:BS5" si="3">BE22</f>
        <v>90579760.613253966</v>
      </c>
      <c r="BF5" s="31">
        <f t="shared" si="3"/>
        <v>90579760.613253966</v>
      </c>
      <c r="BG5" s="31">
        <f t="shared" si="3"/>
        <v>98194103.526511103</v>
      </c>
      <c r="BH5" s="31">
        <f t="shared" si="3"/>
        <v>98194103.526511103</v>
      </c>
      <c r="BI5" s="31">
        <f t="shared" si="3"/>
        <v>98194103.526511103</v>
      </c>
      <c r="BJ5" s="31">
        <f t="shared" si="3"/>
        <v>105979769.15531653</v>
      </c>
      <c r="BK5" s="31">
        <f t="shared" si="3"/>
        <v>105979769.15531653</v>
      </c>
      <c r="BL5" s="31">
        <f t="shared" si="3"/>
        <v>105979769.15531653</v>
      </c>
      <c r="BM5" s="31">
        <f t="shared" si="3"/>
        <v>113940612.26077008</v>
      </c>
      <c r="BN5" s="31">
        <f t="shared" si="3"/>
        <v>113940612.26077008</v>
      </c>
      <c r="BO5" s="31">
        <f t="shared" si="3"/>
        <v>113940612.26077008</v>
      </c>
      <c r="BP5" s="31">
        <f t="shared" si="3"/>
        <v>122080574.33609633</v>
      </c>
      <c r="BQ5" s="31">
        <f t="shared" si="3"/>
        <v>122080574.33609633</v>
      </c>
      <c r="BR5" s="31">
        <f t="shared" si="3"/>
        <v>122080574.33609633</v>
      </c>
      <c r="BS5" s="31">
        <f t="shared" si="3"/>
        <v>130403685.55811742</v>
      </c>
      <c r="BT5" s="31">
        <f t="shared" ref="BT5:CF5" si="4">BT22</f>
        <v>130403685.55811742</v>
      </c>
      <c r="BU5" s="31">
        <f t="shared" si="4"/>
        <v>130403685.55811742</v>
      </c>
      <c r="BV5" s="31">
        <f t="shared" si="4"/>
        <v>138914066.78263399</v>
      </c>
      <c r="BW5" s="31">
        <f t="shared" si="4"/>
        <v>138914066.78263399</v>
      </c>
      <c r="BX5" s="31">
        <f t="shared" si="4"/>
        <v>138914066.78263399</v>
      </c>
      <c r="BY5" s="31">
        <f t="shared" si="4"/>
        <v>147615931.58470216</v>
      </c>
      <c r="BZ5" s="31">
        <f t="shared" si="4"/>
        <v>147615931.58470216</v>
      </c>
      <c r="CA5" s="31">
        <f t="shared" si="4"/>
        <v>147615931.58470216</v>
      </c>
      <c r="CB5" s="31">
        <f t="shared" si="4"/>
        <v>156513588.34481689</v>
      </c>
      <c r="CC5" s="31">
        <f t="shared" si="4"/>
        <v>156513588.34481689</v>
      </c>
      <c r="CD5" s="31">
        <f t="shared" si="4"/>
        <v>156513588.34481689</v>
      </c>
      <c r="CE5" s="31">
        <f t="shared" si="4"/>
        <v>165611442.38203418</v>
      </c>
      <c r="CF5" s="31">
        <f t="shared" si="4"/>
        <v>165611442.38203418</v>
      </c>
      <c r="CG5" s="31">
        <f>CG22</f>
        <v>165611442.38203418</v>
      </c>
      <c r="CH5" s="31">
        <f>CH22</f>
        <v>174913998.13508886</v>
      </c>
    </row>
    <row r="6" spans="1:86" x14ac:dyDescent="0.25">
      <c r="A6" s="39" t="s">
        <v>26</v>
      </c>
      <c r="B6" s="31">
        <f t="shared" ref="B6:BD6" si="5">IF((B4-B5)&gt;0,(B4-B5),0)</f>
        <v>0</v>
      </c>
      <c r="C6" s="31">
        <f t="shared" si="5"/>
        <v>0</v>
      </c>
      <c r="D6" s="31">
        <f t="shared" si="5"/>
        <v>0</v>
      </c>
      <c r="E6" s="31">
        <f t="shared" si="5"/>
        <v>0</v>
      </c>
      <c r="F6" s="31">
        <f t="shared" si="5"/>
        <v>0</v>
      </c>
      <c r="G6" s="31">
        <f t="shared" si="5"/>
        <v>0</v>
      </c>
      <c r="H6" s="31">
        <f t="shared" si="5"/>
        <v>0</v>
      </c>
      <c r="I6" s="31">
        <f t="shared" si="5"/>
        <v>0</v>
      </c>
      <c r="J6" s="31">
        <f t="shared" si="5"/>
        <v>0</v>
      </c>
      <c r="K6" s="31">
        <f t="shared" si="5"/>
        <v>0</v>
      </c>
      <c r="L6" s="31">
        <f t="shared" si="5"/>
        <v>0</v>
      </c>
      <c r="M6" s="31">
        <f t="shared" si="5"/>
        <v>0</v>
      </c>
      <c r="N6" s="31">
        <f t="shared" si="5"/>
        <v>0</v>
      </c>
      <c r="O6" s="31">
        <f t="shared" si="5"/>
        <v>0</v>
      </c>
      <c r="P6" s="31">
        <f t="shared" si="5"/>
        <v>0</v>
      </c>
      <c r="Q6" s="31">
        <f t="shared" si="5"/>
        <v>5576298.2994589228</v>
      </c>
      <c r="R6" s="31">
        <f t="shared" si="5"/>
        <v>5576298.2994589228</v>
      </c>
      <c r="S6" s="31">
        <f t="shared" si="5"/>
        <v>5576298.2994589228</v>
      </c>
      <c r="T6" s="31">
        <f t="shared" si="5"/>
        <v>0</v>
      </c>
      <c r="U6" s="31">
        <f t="shared" si="5"/>
        <v>0</v>
      </c>
      <c r="V6" s="31">
        <f t="shared" si="5"/>
        <v>0</v>
      </c>
      <c r="W6" s="31">
        <f t="shared" si="5"/>
        <v>0</v>
      </c>
      <c r="X6" s="31">
        <f t="shared" si="5"/>
        <v>0</v>
      </c>
      <c r="Y6" s="31">
        <f t="shared" si="5"/>
        <v>0</v>
      </c>
      <c r="Z6" s="31">
        <f t="shared" si="5"/>
        <v>0</v>
      </c>
      <c r="AA6" s="31">
        <f t="shared" si="5"/>
        <v>0</v>
      </c>
      <c r="AB6" s="31">
        <f t="shared" si="5"/>
        <v>0</v>
      </c>
      <c r="AC6" s="31">
        <f t="shared" si="5"/>
        <v>0</v>
      </c>
      <c r="AD6" s="31">
        <f t="shared" si="5"/>
        <v>0</v>
      </c>
      <c r="AE6" s="31">
        <f t="shared" si="5"/>
        <v>0</v>
      </c>
      <c r="AF6" s="31">
        <f t="shared" si="5"/>
        <v>0</v>
      </c>
      <c r="AG6" s="31">
        <f t="shared" si="5"/>
        <v>0</v>
      </c>
      <c r="AH6" s="31">
        <f t="shared" si="5"/>
        <v>0</v>
      </c>
      <c r="AI6" s="31">
        <f t="shared" si="5"/>
        <v>0</v>
      </c>
      <c r="AJ6" s="31">
        <f t="shared" si="5"/>
        <v>0</v>
      </c>
      <c r="AK6" s="31">
        <f t="shared" si="5"/>
        <v>0</v>
      </c>
      <c r="AL6" s="31">
        <f t="shared" si="5"/>
        <v>0</v>
      </c>
      <c r="AM6" s="31">
        <f t="shared" si="5"/>
        <v>0</v>
      </c>
      <c r="AN6" s="31">
        <f t="shared" si="5"/>
        <v>0</v>
      </c>
      <c r="AO6" s="31">
        <f t="shared" si="5"/>
        <v>0</v>
      </c>
      <c r="AP6" s="31">
        <f t="shared" si="5"/>
        <v>0</v>
      </c>
      <c r="AQ6" s="31">
        <f t="shared" si="5"/>
        <v>0</v>
      </c>
      <c r="AR6" s="31">
        <f t="shared" si="5"/>
        <v>0</v>
      </c>
      <c r="AS6" s="31">
        <f t="shared" si="5"/>
        <v>0</v>
      </c>
      <c r="AT6" s="31">
        <f t="shared" si="5"/>
        <v>0</v>
      </c>
      <c r="AU6" s="31">
        <f t="shared" si="5"/>
        <v>0</v>
      </c>
      <c r="AV6" s="31">
        <f t="shared" si="5"/>
        <v>0</v>
      </c>
      <c r="AW6" s="31">
        <f t="shared" si="5"/>
        <v>0</v>
      </c>
      <c r="AX6" s="31">
        <f t="shared" si="5"/>
        <v>0</v>
      </c>
      <c r="AY6" s="31">
        <f t="shared" si="5"/>
        <v>0</v>
      </c>
      <c r="AZ6" s="31">
        <f t="shared" si="5"/>
        <v>0</v>
      </c>
      <c r="BA6" s="31">
        <f t="shared" si="5"/>
        <v>0</v>
      </c>
      <c r="BB6" s="31">
        <f t="shared" si="5"/>
        <v>0</v>
      </c>
      <c r="BC6" s="31">
        <f t="shared" si="5"/>
        <v>0</v>
      </c>
      <c r="BD6" s="31">
        <f t="shared" si="5"/>
        <v>0</v>
      </c>
      <c r="BE6" s="31">
        <f t="shared" ref="BE6:BT6" si="6">IF((BE4-BE5)&gt;0,(BE4-BE5),0)</f>
        <v>0</v>
      </c>
      <c r="BF6" s="31">
        <f t="shared" si="6"/>
        <v>0</v>
      </c>
      <c r="BG6" s="31">
        <f t="shared" si="6"/>
        <v>0</v>
      </c>
      <c r="BH6" s="31">
        <f t="shared" si="6"/>
        <v>0</v>
      </c>
      <c r="BI6" s="31">
        <f t="shared" si="6"/>
        <v>0</v>
      </c>
      <c r="BJ6" s="31">
        <f t="shared" si="6"/>
        <v>0</v>
      </c>
      <c r="BK6" s="31">
        <f t="shared" si="6"/>
        <v>0</v>
      </c>
      <c r="BL6" s="31">
        <f t="shared" si="6"/>
        <v>0</v>
      </c>
      <c r="BM6" s="31">
        <f t="shared" si="6"/>
        <v>0</v>
      </c>
      <c r="BN6" s="31">
        <f t="shared" si="6"/>
        <v>0</v>
      </c>
      <c r="BO6" s="31">
        <f t="shared" si="6"/>
        <v>0</v>
      </c>
      <c r="BP6" s="31">
        <f t="shared" si="6"/>
        <v>0</v>
      </c>
      <c r="BQ6" s="31">
        <f t="shared" si="6"/>
        <v>0</v>
      </c>
      <c r="BR6" s="31">
        <f t="shared" si="6"/>
        <v>0</v>
      </c>
      <c r="BS6" s="31">
        <f t="shared" si="6"/>
        <v>0</v>
      </c>
      <c r="BT6" s="31">
        <f t="shared" si="6"/>
        <v>0</v>
      </c>
      <c r="BU6" s="31">
        <f t="shared" ref="BU6:CF6" si="7">IF((BU4-BU5)&gt;0,(BU4-BU5),0)</f>
        <v>0</v>
      </c>
      <c r="BV6" s="31">
        <f t="shared" si="7"/>
        <v>0</v>
      </c>
      <c r="BW6" s="31">
        <f t="shared" si="7"/>
        <v>0</v>
      </c>
      <c r="BX6" s="31">
        <f t="shared" si="7"/>
        <v>0</v>
      </c>
      <c r="BY6" s="31">
        <f t="shared" si="7"/>
        <v>0</v>
      </c>
      <c r="BZ6" s="31">
        <f t="shared" si="7"/>
        <v>0</v>
      </c>
      <c r="CA6" s="31">
        <f t="shared" si="7"/>
        <v>0</v>
      </c>
      <c r="CB6" s="31">
        <f t="shared" si="7"/>
        <v>0</v>
      </c>
      <c r="CC6" s="31">
        <f t="shared" si="7"/>
        <v>0</v>
      </c>
      <c r="CD6" s="31">
        <f t="shared" si="7"/>
        <v>0</v>
      </c>
      <c r="CE6" s="31">
        <f t="shared" si="7"/>
        <v>0</v>
      </c>
      <c r="CF6" s="31">
        <f t="shared" si="7"/>
        <v>0</v>
      </c>
      <c r="CG6" s="31">
        <f>IF((CG4-CG5)&gt;0,(CG4-CG5),0)</f>
        <v>0</v>
      </c>
      <c r="CH6" s="31">
        <f>IF((CH4-CH5)&gt;0,(CH4-CH5),0)</f>
        <v>0</v>
      </c>
    </row>
    <row r="7" spans="1:86" x14ac:dyDescent="0.25">
      <c r="A7" s="39" t="s">
        <v>27</v>
      </c>
      <c r="B7" s="31">
        <f t="shared" ref="B7:BD7" si="8">B3-B5</f>
        <v>55000000</v>
      </c>
      <c r="C7" s="31">
        <f t="shared" si="8"/>
        <v>55000000</v>
      </c>
      <c r="D7" s="31">
        <f t="shared" si="8"/>
        <v>55000000</v>
      </c>
      <c r="E7" s="31">
        <f t="shared" si="8"/>
        <v>56086250</v>
      </c>
      <c r="F7" s="31">
        <f t="shared" si="8"/>
        <v>56086250</v>
      </c>
      <c r="G7" s="31">
        <f t="shared" si="8"/>
        <v>56086250</v>
      </c>
      <c r="H7" s="31">
        <f t="shared" si="8"/>
        <v>97502212.1875</v>
      </c>
      <c r="I7" s="31">
        <f t="shared" si="8"/>
        <v>167252212.1875</v>
      </c>
      <c r="J7" s="31">
        <f t="shared" si="8"/>
        <v>167252212.1875</v>
      </c>
      <c r="K7" s="31">
        <f t="shared" si="8"/>
        <v>170439949.46171874</v>
      </c>
      <c r="L7" s="31">
        <f t="shared" si="8"/>
        <v>170439949.46171874</v>
      </c>
      <c r="M7" s="31">
        <f t="shared" si="8"/>
        <v>170439949.46171874</v>
      </c>
      <c r="N7" s="31">
        <f t="shared" si="8"/>
        <v>174913998.13508886</v>
      </c>
      <c r="O7" s="31">
        <f t="shared" si="8"/>
        <v>174913998.13508886</v>
      </c>
      <c r="P7" s="31">
        <f t="shared" si="8"/>
        <v>174913998.13508886</v>
      </c>
      <c r="Q7" s="31">
        <f t="shared" si="8"/>
        <v>174913998.13508886</v>
      </c>
      <c r="R7" s="31">
        <f t="shared" si="8"/>
        <v>174913998.13508886</v>
      </c>
      <c r="S7" s="31">
        <f t="shared" si="8"/>
        <v>174913998.13508886</v>
      </c>
      <c r="T7" s="31">
        <f t="shared" si="8"/>
        <v>163635934.82443318</v>
      </c>
      <c r="U7" s="31">
        <f t="shared" si="8"/>
        <v>163635934.82443318</v>
      </c>
      <c r="V7" s="31">
        <f t="shared" si="8"/>
        <v>163635934.82443318</v>
      </c>
      <c r="W7" s="31">
        <f t="shared" si="8"/>
        <v>157805880.10048452</v>
      </c>
      <c r="X7" s="31">
        <f t="shared" si="8"/>
        <v>157805880.10048452</v>
      </c>
      <c r="Y7" s="31">
        <f t="shared" si="8"/>
        <v>157805880.10048452</v>
      </c>
      <c r="Z7" s="31">
        <f t="shared" si="8"/>
        <v>151844649.14524698</v>
      </c>
      <c r="AA7" s="31">
        <f t="shared" si="8"/>
        <v>151844649.14524698</v>
      </c>
      <c r="AB7" s="31">
        <f t="shared" si="8"/>
        <v>151844649.14524698</v>
      </c>
      <c r="AC7" s="31">
        <f t="shared" si="8"/>
        <v>145749290.49351662</v>
      </c>
      <c r="AD7" s="31">
        <f t="shared" si="8"/>
        <v>145749290.49351662</v>
      </c>
      <c r="AE7" s="31">
        <f t="shared" si="8"/>
        <v>145749290.49351662</v>
      </c>
      <c r="AF7" s="31">
        <f t="shared" si="8"/>
        <v>139516786.27212232</v>
      </c>
      <c r="AG7" s="31">
        <f t="shared" si="8"/>
        <v>139516786.27212232</v>
      </c>
      <c r="AH7" s="31">
        <f t="shared" si="8"/>
        <v>139516786.27212232</v>
      </c>
      <c r="AI7" s="31">
        <f t="shared" si="8"/>
        <v>133144050.70574665</v>
      </c>
      <c r="AJ7" s="31">
        <f t="shared" si="8"/>
        <v>133144050.70574665</v>
      </c>
      <c r="AK7" s="31">
        <f t="shared" si="8"/>
        <v>133144050.70574665</v>
      </c>
      <c r="AL7" s="31">
        <f t="shared" si="8"/>
        <v>126627928.58912753</v>
      </c>
      <c r="AM7" s="31">
        <f t="shared" si="8"/>
        <v>126627928.58912753</v>
      </c>
      <c r="AN7" s="31">
        <f t="shared" si="8"/>
        <v>126627928.58912753</v>
      </c>
      <c r="AO7" s="31">
        <f t="shared" si="8"/>
        <v>119965193.72488448</v>
      </c>
      <c r="AP7" s="31">
        <f t="shared" si="8"/>
        <v>119965193.72488448</v>
      </c>
      <c r="AQ7" s="31">
        <f t="shared" si="8"/>
        <v>119965193.72488448</v>
      </c>
      <c r="AR7" s="31">
        <f t="shared" si="8"/>
        <v>113152547.32619596</v>
      </c>
      <c r="AS7" s="31">
        <f t="shared" si="8"/>
        <v>113152547.32619596</v>
      </c>
      <c r="AT7" s="31">
        <f t="shared" si="8"/>
        <v>113152547.32619596</v>
      </c>
      <c r="AU7" s="31">
        <f t="shared" si="8"/>
        <v>106186616.38353693</v>
      </c>
      <c r="AV7" s="31">
        <f t="shared" si="8"/>
        <v>106186616.38353693</v>
      </c>
      <c r="AW7" s="31">
        <f t="shared" si="8"/>
        <v>106186616.38353693</v>
      </c>
      <c r="AX7" s="31">
        <f t="shared" si="8"/>
        <v>99063951.994668096</v>
      </c>
      <c r="AY7" s="31">
        <f t="shared" si="8"/>
        <v>99063951.994668096</v>
      </c>
      <c r="AZ7" s="31">
        <f t="shared" si="8"/>
        <v>99063951.994668096</v>
      </c>
      <c r="BA7" s="31">
        <f t="shared" si="8"/>
        <v>91781027.657049701</v>
      </c>
      <c r="BB7" s="31">
        <f t="shared" si="8"/>
        <v>91781027.657049701</v>
      </c>
      <c r="BC7" s="31">
        <f t="shared" si="8"/>
        <v>91781027.657049701</v>
      </c>
      <c r="BD7" s="31">
        <f t="shared" si="8"/>
        <v>84334237.521834895</v>
      </c>
      <c r="BE7" s="31">
        <f t="shared" ref="BE7:BS7" si="9">BE3-BE5</f>
        <v>84334237.521834895</v>
      </c>
      <c r="BF7" s="31">
        <f t="shared" si="9"/>
        <v>84334237.521834895</v>
      </c>
      <c r="BG7" s="31">
        <f t="shared" si="9"/>
        <v>76719894.608577758</v>
      </c>
      <c r="BH7" s="31">
        <f t="shared" si="9"/>
        <v>76719894.608577758</v>
      </c>
      <c r="BI7" s="31">
        <f t="shared" si="9"/>
        <v>76719894.608577758</v>
      </c>
      <c r="BJ7" s="31">
        <f t="shared" si="9"/>
        <v>68934228.979772329</v>
      </c>
      <c r="BK7" s="31">
        <f t="shared" si="9"/>
        <v>68934228.979772329</v>
      </c>
      <c r="BL7" s="31">
        <f t="shared" si="9"/>
        <v>68934228.979772329</v>
      </c>
      <c r="BM7" s="31">
        <f t="shared" si="9"/>
        <v>60973385.874318779</v>
      </c>
      <c r="BN7" s="31">
        <f t="shared" si="9"/>
        <v>60973385.874318779</v>
      </c>
      <c r="BO7" s="31">
        <f t="shared" si="9"/>
        <v>60973385.874318779</v>
      </c>
      <c r="BP7" s="31">
        <f t="shared" si="9"/>
        <v>52833423.79899253</v>
      </c>
      <c r="BQ7" s="31">
        <f t="shared" si="9"/>
        <v>52833423.79899253</v>
      </c>
      <c r="BR7" s="31">
        <f t="shared" si="9"/>
        <v>52833423.79899253</v>
      </c>
      <c r="BS7" s="31">
        <f t="shared" si="9"/>
        <v>44510312.576971442</v>
      </c>
      <c r="BT7" s="31">
        <f t="shared" ref="BT7:CF7" si="10">BT3-BT5</f>
        <v>44510312.576971442</v>
      </c>
      <c r="BU7" s="31">
        <f t="shared" si="10"/>
        <v>44510312.576971442</v>
      </c>
      <c r="BV7" s="31">
        <f t="shared" si="10"/>
        <v>35999931.352454871</v>
      </c>
      <c r="BW7" s="31">
        <f t="shared" si="10"/>
        <v>35999931.352454871</v>
      </c>
      <c r="BX7" s="31">
        <f t="shared" si="10"/>
        <v>35999931.352454871</v>
      </c>
      <c r="BY7" s="31">
        <f t="shared" si="10"/>
        <v>27298066.550386697</v>
      </c>
      <c r="BZ7" s="31">
        <f t="shared" si="10"/>
        <v>27298066.550386697</v>
      </c>
      <c r="CA7" s="31">
        <f t="shared" si="10"/>
        <v>27298066.550386697</v>
      </c>
      <c r="CB7" s="31">
        <f t="shared" si="10"/>
        <v>18400409.790271968</v>
      </c>
      <c r="CC7" s="31">
        <f t="shared" si="10"/>
        <v>18400409.790271968</v>
      </c>
      <c r="CD7" s="31">
        <f t="shared" si="10"/>
        <v>18400409.790271968</v>
      </c>
      <c r="CE7" s="31">
        <f t="shared" si="10"/>
        <v>9302555.7530546784</v>
      </c>
      <c r="CF7" s="31">
        <f t="shared" si="10"/>
        <v>9302555.7530546784</v>
      </c>
      <c r="CG7" s="31">
        <f>CG3-CG5</f>
        <v>9302555.7530546784</v>
      </c>
      <c r="CH7" s="31">
        <f>CH3-CH5</f>
        <v>0</v>
      </c>
    </row>
    <row r="8" spans="1:86" ht="15" x14ac:dyDescent="0.3">
      <c r="A8" s="38" t="s">
        <v>28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</row>
    <row r="9" spans="1:86" x14ac:dyDescent="0.25">
      <c r="A9" s="40" t="s">
        <v>29</v>
      </c>
      <c r="B9" s="31">
        <f>Accrual_MAGBL!B26</f>
        <v>41250</v>
      </c>
      <c r="C9" s="31">
        <f>Accrual_MAGBL!C26</f>
        <v>467500</v>
      </c>
      <c r="D9" s="31">
        <f>Accrual_MAGBL!D26</f>
        <v>893750</v>
      </c>
      <c r="E9" s="31">
        <f>Accrual_MAGBL!E26</f>
        <v>1310595</v>
      </c>
      <c r="F9" s="31">
        <f>Accrual_MAGBL!F26</f>
        <v>1745263.4375</v>
      </c>
      <c r="G9" s="31">
        <f>Accrual_MAGBL!G26</f>
        <v>2165910.3125</v>
      </c>
      <c r="H9" s="31">
        <f>Accrual_MAGBL!H26</f>
        <v>2916596.5892968751</v>
      </c>
      <c r="I9" s="31">
        <f>Accrual_MAGBL!I26</f>
        <v>3933801.2337499997</v>
      </c>
      <c r="J9" s="31">
        <f>Accrual_MAGBL!J26</f>
        <v>5104566.7190624997</v>
      </c>
      <c r="K9" s="31">
        <f>Accrual_MAGBL!K26</f>
        <v>6414319.2469310537</v>
      </c>
      <c r="L9" s="31">
        <f>Accrual_MAGBL!L26</f>
        <v>7692618.8678939445</v>
      </c>
      <c r="M9" s="31">
        <f>Accrual_MAGBL!M26</f>
        <v>9013528.4762222655</v>
      </c>
      <c r="N9" s="31">
        <f>Accrual_MAGBL!N26</f>
        <v>10295183.633690184</v>
      </c>
      <c r="O9" s="31">
        <f>Accrual_MAGBL!O26</f>
        <v>11650767.119237123</v>
      </c>
      <c r="P9" s="31">
        <f>Accrual_MAGBL!P26</f>
        <v>13006350.604784062</v>
      </c>
      <c r="Q9" s="31">
        <f>Accrual_MAGBL!Q26</f>
        <v>14294506.323024528</v>
      </c>
      <c r="R9" s="31">
        <f>Accrual_MAGBL!R26</f>
        <v>15606873.49675066</v>
      </c>
      <c r="S9" s="31">
        <f>Accrual_MAGBL!S26</f>
        <v>16876906.245517883</v>
      </c>
      <c r="T9" s="31">
        <f>Accrual_MAGBL!T26</f>
        <v>18163615.47669363</v>
      </c>
      <c r="U9" s="31">
        <f>Accrual_MAGBL!U26</f>
        <v>19431793.971582986</v>
      </c>
      <c r="V9" s="31">
        <f>Accrual_MAGBL!V26</f>
        <v>20577245.515354019</v>
      </c>
      <c r="W9" s="31">
        <f>Accrual_MAGBL!W26</f>
        <v>21820646.277666595</v>
      </c>
      <c r="X9" s="31">
        <f>Accrual_MAGBL!X26</f>
        <v>23004190.37842023</v>
      </c>
      <c r="Y9" s="31">
        <f>Accrual_MAGBL!Y26</f>
        <v>24227185.949198984</v>
      </c>
      <c r="Z9" s="31">
        <f>Accrual_MAGBL!Z26</f>
        <v>25385394.818392858</v>
      </c>
      <c r="AA9" s="31">
        <f>Accrual_MAGBL!AA26</f>
        <v>26562190.849268522</v>
      </c>
      <c r="AB9" s="31">
        <f>Accrual_MAGBL!AB26</f>
        <v>27738986.880144186</v>
      </c>
      <c r="AC9" s="31">
        <f>Accrual_MAGBL!AC26</f>
        <v>28850392.634800751</v>
      </c>
      <c r="AD9" s="31">
        <f>Accrual_MAGBL!AD26</f>
        <v>29979949.636125505</v>
      </c>
      <c r="AE9" s="31">
        <f>Accrual_MAGBL!AE26</f>
        <v>31073069.31482688</v>
      </c>
      <c r="AF9" s="31">
        <f>Accrual_MAGBL!AF26</f>
        <v>32173021.921100009</v>
      </c>
      <c r="AG9" s="31">
        <f>Accrual_MAGBL!AG26</f>
        <v>33254277.014708959</v>
      </c>
      <c r="AH9" s="31">
        <f>Accrual_MAGBL!AH26</f>
        <v>34230894.518613815</v>
      </c>
      <c r="AI9" s="31">
        <f>Accrual_MAGBL!AI26</f>
        <v>35283472.302174076</v>
      </c>
      <c r="AJ9" s="31">
        <f>Accrual_MAGBL!AJ26</f>
        <v>36282052.682467178</v>
      </c>
      <c r="AK9" s="31">
        <f>Accrual_MAGBL!AK26</f>
        <v>37313919.075436711</v>
      </c>
      <c r="AL9" s="31">
        <f>Accrual_MAGBL!AL26</f>
        <v>38283176.906205028</v>
      </c>
      <c r="AM9" s="31">
        <f>Accrual_MAGBL!AM26</f>
        <v>39264543.352770768</v>
      </c>
      <c r="AN9" s="31">
        <f>Accrual_MAGBL!AN26</f>
        <v>40245909.799336508</v>
      </c>
      <c r="AO9" s="31">
        <f>Accrual_MAGBL!AO26</f>
        <v>41168968.324297994</v>
      </c>
      <c r="AP9" s="31">
        <f>Accrual_MAGBL!AP26</f>
        <v>42098698.575665846</v>
      </c>
      <c r="AQ9" s="31">
        <f>Accrual_MAGBL!AQ26</f>
        <v>42998437.528602481</v>
      </c>
      <c r="AR9" s="31">
        <f>Accrual_MAGBL!AR26</f>
        <v>43899214.032775909</v>
      </c>
      <c r="AS9" s="31">
        <f>Accrual_MAGBL!AS26</f>
        <v>44776146.274553925</v>
      </c>
      <c r="AT9" s="31">
        <f>Accrual_MAGBL!AT26</f>
        <v>45596502.242668845</v>
      </c>
      <c r="AU9" s="31">
        <f>Accrual_MAGBL!AU26</f>
        <v>46443829.277940564</v>
      </c>
      <c r="AV9" s="31">
        <f>Accrual_MAGBL!AV26</f>
        <v>47240228.900817089</v>
      </c>
      <c r="AW9" s="31">
        <f>Accrual_MAGBL!AW26</f>
        <v>48063175.177789502</v>
      </c>
      <c r="AX9" s="31">
        <f>Accrual_MAGBL!AX26</f>
        <v>48831084.143110551</v>
      </c>
      <c r="AY9" s="31">
        <f>Accrual_MAGBL!AY26</f>
        <v>49598829.771069229</v>
      </c>
      <c r="AZ9" s="31">
        <f>Accrual_MAGBL!AZ26</f>
        <v>50366575.399027906</v>
      </c>
      <c r="BA9" s="31">
        <f>Accrual_MAGBL!BA26</f>
        <v>51080423.34163744</v>
      </c>
      <c r="BB9" s="31">
        <f>Accrual_MAGBL!BB26</f>
        <v>51791726.305979572</v>
      </c>
      <c r="BC9" s="31">
        <f>Accrual_MAGBL!BC26</f>
        <v>52480084.013407446</v>
      </c>
      <c r="BD9" s="31">
        <f>Accrual_MAGBL!BD26</f>
        <v>53159738.119674921</v>
      </c>
      <c r="BE9" s="31">
        <f>Accrual_MAGBL!BE26</f>
        <v>53813328.460469142</v>
      </c>
      <c r="BF9" s="31">
        <f>Accrual_MAGBL!BF26</f>
        <v>54403668.123121984</v>
      </c>
      <c r="BG9" s="31">
        <f>Accrual_MAGBL!BG26</f>
        <v>55024897.50653486</v>
      </c>
      <c r="BH9" s="31">
        <f>Accrual_MAGBL!BH26</f>
        <v>55600296.716099195</v>
      </c>
      <c r="BI9" s="31">
        <f>Accrual_MAGBL!BI26</f>
        <v>56194875.89931567</v>
      </c>
      <c r="BJ9" s="31">
        <f>Accrual_MAGBL!BJ26</f>
        <v>56739132.446364783</v>
      </c>
      <c r="BK9" s="31">
        <f>Accrual_MAGBL!BK26</f>
        <v>57273372.720958017</v>
      </c>
      <c r="BL9" s="31">
        <f>Accrual_MAGBL!BL26</f>
        <v>57807612.995551251</v>
      </c>
      <c r="BM9" s="31">
        <f>Accrual_MAGBL!BM26</f>
        <v>58292776.340477727</v>
      </c>
      <c r="BN9" s="31">
        <f>Accrual_MAGBL!BN26</f>
        <v>58765320.081003696</v>
      </c>
      <c r="BO9" s="31">
        <f>Accrual_MAGBL!BO26</f>
        <v>59222620.475061089</v>
      </c>
      <c r="BP9" s="31">
        <f>Accrual_MAGBL!BP26</f>
        <v>59660569.37676692</v>
      </c>
      <c r="BQ9" s="31">
        <f>Accrual_MAGBL!BQ26</f>
        <v>60070028.411209114</v>
      </c>
      <c r="BR9" s="31">
        <f>Accrual_MAGBL!BR26</f>
        <v>60439862.377802059</v>
      </c>
      <c r="BS9" s="31">
        <f>Accrual_MAGBL!BS26</f>
        <v>60813948.189550661</v>
      </c>
      <c r="BT9" s="31">
        <f>Accrual_MAGBL!BT26</f>
        <v>61147775.533877946</v>
      </c>
      <c r="BU9" s="31">
        <f>Accrual_MAGBL!BU26</f>
        <v>61492730.456349477</v>
      </c>
      <c r="BV9" s="31">
        <f>Accrual_MAGBL!BV26</f>
        <v>61792516.275778696</v>
      </c>
      <c r="BW9" s="31">
        <f>Accrual_MAGBL!BW26</f>
        <v>62071515.743760221</v>
      </c>
      <c r="BX9" s="31">
        <f>Accrual_MAGBL!BX26</f>
        <v>62350515.211741745</v>
      </c>
      <c r="BY9" s="31">
        <f>Accrual_MAGBL!BY26</f>
        <v>62585707.237676881</v>
      </c>
      <c r="BZ9" s="31">
        <f>Accrual_MAGBL!BZ26</f>
        <v>62797267.253442377</v>
      </c>
      <c r="CA9" s="31">
        <f>Accrual_MAGBL!CA26</f>
        <v>63002002.752570279</v>
      </c>
      <c r="CB9" s="31">
        <f>Accrual_MAGBL!CB26</f>
        <v>63175747.72710529</v>
      </c>
      <c r="CC9" s="31">
        <f>Accrual_MAGBL!CC26</f>
        <v>63318350.902979895</v>
      </c>
      <c r="CD9" s="31">
        <f>Accrual_MAGBL!CD26</f>
        <v>63447153.771511801</v>
      </c>
      <c r="CE9" s="31">
        <f>Accrual_MAGBL!CE26</f>
        <v>63551091.067728236</v>
      </c>
      <c r="CF9" s="31">
        <f>Accrual_MAGBL!CF26</f>
        <v>63620860.235876143</v>
      </c>
      <c r="CG9" s="31">
        <f>Accrual_MAGBL!CG26</f>
        <v>63692955.04296232</v>
      </c>
      <c r="CH9" s="31">
        <f>Accrual_MAGBL!CH26</f>
        <v>63725513.98809801</v>
      </c>
    </row>
    <row r="10" spans="1:86" x14ac:dyDescent="0.25">
      <c r="A10" s="39" t="s">
        <v>30</v>
      </c>
      <c r="B10" s="31">
        <v>0</v>
      </c>
      <c r="C10" s="31">
        <f>B10</f>
        <v>0</v>
      </c>
      <c r="D10" s="31">
        <f>C10</f>
        <v>0</v>
      </c>
      <c r="E10" s="31">
        <f>'MAGBL_Loan (IDCOL)'!$B$30</f>
        <v>0</v>
      </c>
      <c r="F10" s="31">
        <f t="shared" ref="F10:M10" si="11">E10</f>
        <v>0</v>
      </c>
      <c r="G10" s="31">
        <f t="shared" si="11"/>
        <v>0</v>
      </c>
      <c r="H10" s="31">
        <f>'MAGBL_Loan (IDCOL)'!$C$30</f>
        <v>0</v>
      </c>
      <c r="I10" s="31">
        <f t="shared" si="11"/>
        <v>0</v>
      </c>
      <c r="J10" s="31">
        <f t="shared" si="11"/>
        <v>0</v>
      </c>
      <c r="K10" s="31">
        <f>'MAGBL_Loan (IDCOL)'!$D$30</f>
        <v>0</v>
      </c>
      <c r="L10" s="31">
        <f t="shared" si="11"/>
        <v>0</v>
      </c>
      <c r="M10" s="31">
        <f t="shared" si="11"/>
        <v>0</v>
      </c>
      <c r="N10" s="31">
        <f>'MAGBL_Loan (IDCOL)'!$E$30</f>
        <v>0</v>
      </c>
      <c r="O10" s="31">
        <f>N10</f>
        <v>0</v>
      </c>
      <c r="P10" s="31">
        <f t="shared" ref="P10:CA10" si="12">O10</f>
        <v>0</v>
      </c>
      <c r="Q10" s="31">
        <f>'MAGBL_Loan (IDCOL)'!$F$30</f>
        <v>3410822.9636342325</v>
      </c>
      <c r="R10" s="31">
        <f t="shared" si="12"/>
        <v>3410822.9636342325</v>
      </c>
      <c r="S10" s="31">
        <f t="shared" si="12"/>
        <v>3410822.9636342325</v>
      </c>
      <c r="T10" s="31">
        <f>'MAGBL_Loan (IDCOL)'!$G$30</f>
        <v>7263255.6348948134</v>
      </c>
      <c r="U10" s="31">
        <f t="shared" si="12"/>
        <v>7263255.6348948134</v>
      </c>
      <c r="V10" s="31">
        <f t="shared" si="12"/>
        <v>7263255.6348948134</v>
      </c>
      <c r="W10" s="31">
        <f>'MAGBL_Loan (IDCOL)'!$H$30</f>
        <v>10985973.152150668</v>
      </c>
      <c r="X10" s="31">
        <f t="shared" si="12"/>
        <v>10985973.152150668</v>
      </c>
      <c r="Y10" s="31">
        <f t="shared" si="12"/>
        <v>10985973.152150668</v>
      </c>
      <c r="Z10" s="31">
        <f>'MAGBL_Loan (IDCOL)'!$I$30</f>
        <v>14576056.92443669</v>
      </c>
      <c r="AA10" s="31">
        <f t="shared" si="12"/>
        <v>14576056.92443669</v>
      </c>
      <c r="AB10" s="31">
        <f t="shared" si="12"/>
        <v>14576056.92443669</v>
      </c>
      <c r="AC10" s="31">
        <f>'MAGBL_Loan (IDCOL)'!$J$30</f>
        <v>18030522.692491058</v>
      </c>
      <c r="AD10" s="31">
        <f t="shared" si="12"/>
        <v>18030522.692491058</v>
      </c>
      <c r="AE10" s="31">
        <f t="shared" si="12"/>
        <v>18030522.692491058</v>
      </c>
      <c r="AF10" s="31">
        <f>'MAGBL_Loan (IDCOL)'!$K$30</f>
        <v>21346319.051218562</v>
      </c>
      <c r="AG10" s="31">
        <f t="shared" si="12"/>
        <v>21346319.051218562</v>
      </c>
      <c r="AH10" s="31">
        <f t="shared" si="12"/>
        <v>21346319.051218562</v>
      </c>
      <c r="AI10" s="31">
        <f>'MAGBL_Loan (IDCOL)'!$L$30</f>
        <v>24520325.938909344</v>
      </c>
      <c r="AJ10" s="31">
        <f t="shared" si="12"/>
        <v>24520325.938909344</v>
      </c>
      <c r="AK10" s="31">
        <f t="shared" si="12"/>
        <v>24520325.938909344</v>
      </c>
      <c r="AL10" s="31">
        <f>'MAGBL_Loan (IDCOL)'!$M$30</f>
        <v>27549353.09246508</v>
      </c>
      <c r="AM10" s="31">
        <f t="shared" si="12"/>
        <v>27549353.09246508</v>
      </c>
      <c r="AN10" s="31">
        <f t="shared" si="12"/>
        <v>27549353.09246508</v>
      </c>
      <c r="AO10" s="31">
        <f>'MAGBL_Loan (IDCOL)'!$N$30</f>
        <v>30525109.414309576</v>
      </c>
      <c r="AP10" s="31">
        <f t="shared" si="12"/>
        <v>30525109.414309576</v>
      </c>
      <c r="AQ10" s="31">
        <f t="shared" si="12"/>
        <v>30525109.414309576</v>
      </c>
      <c r="AR10" s="31">
        <f>'MAGBL_Loan (IDCOL)'!$O$30</f>
        <v>33254317.571550697</v>
      </c>
      <c r="AS10" s="31">
        <f t="shared" si="12"/>
        <v>33254317.571550697</v>
      </c>
      <c r="AT10" s="31">
        <f t="shared" si="12"/>
        <v>33254317.571550697</v>
      </c>
      <c r="AU10" s="31">
        <f>'MAGBL_Loan (IDCOL)'!$P$30</f>
        <v>35828538.023221657</v>
      </c>
      <c r="AV10" s="31">
        <f t="shared" si="12"/>
        <v>35828538.023221657</v>
      </c>
      <c r="AW10" s="31">
        <f t="shared" si="12"/>
        <v>35828538.023221657</v>
      </c>
      <c r="AX10" s="31">
        <f>'MAGBL_Loan (IDCOL)'!$Q$30</f>
        <v>38270830.200043008</v>
      </c>
      <c r="AY10" s="31">
        <f t="shared" si="12"/>
        <v>38270830.200043008</v>
      </c>
      <c r="AZ10" s="31">
        <f t="shared" si="12"/>
        <v>38270830.200043008</v>
      </c>
      <c r="BA10" s="31">
        <f>'MAGBL_Loan (IDCOL)'!$R$30</f>
        <v>40549301.095920376</v>
      </c>
      <c r="BB10" s="31">
        <f t="shared" si="12"/>
        <v>40549301.095920376</v>
      </c>
      <c r="BC10" s="31">
        <f t="shared" si="12"/>
        <v>40549301.095920376</v>
      </c>
      <c r="BD10" s="31">
        <f>'MAGBL_Loan (IDCOL)'!$S$30</f>
        <v>42637319.475118257</v>
      </c>
      <c r="BE10" s="31">
        <f t="shared" si="12"/>
        <v>42637319.475118257</v>
      </c>
      <c r="BF10" s="31">
        <f t="shared" si="12"/>
        <v>42637319.475118257</v>
      </c>
      <c r="BG10" s="31">
        <f>'MAGBL_Loan (IDCOL)'!$T$30</f>
        <v>44534839.819359541</v>
      </c>
      <c r="BH10" s="31">
        <f t="shared" si="12"/>
        <v>44534839.819359541</v>
      </c>
      <c r="BI10" s="31">
        <f t="shared" si="12"/>
        <v>44534839.819359541</v>
      </c>
      <c r="BJ10" s="31">
        <f>'MAGBL_Loan (IDCOL)'!$U$30</f>
        <v>46299397.395356826</v>
      </c>
      <c r="BK10" s="31">
        <f t="shared" si="12"/>
        <v>46299397.395356826</v>
      </c>
      <c r="BL10" s="31">
        <f t="shared" si="12"/>
        <v>46299397.395356826</v>
      </c>
      <c r="BM10" s="31">
        <f>'MAGBL_Loan (IDCOL)'!$V$30</f>
        <v>47884884.661891587</v>
      </c>
      <c r="BN10" s="31">
        <f t="shared" si="12"/>
        <v>47884884.661891587</v>
      </c>
      <c r="BO10" s="31">
        <f t="shared" si="12"/>
        <v>47884884.661891587</v>
      </c>
      <c r="BP10" s="31">
        <f>'MAGBL_Loan (IDCOL)'!$W$30</f>
        <v>49272029.190532342</v>
      </c>
      <c r="BQ10" s="31">
        <f t="shared" si="12"/>
        <v>49272029.190532342</v>
      </c>
      <c r="BR10" s="31">
        <f t="shared" si="12"/>
        <v>49272029.190532342</v>
      </c>
      <c r="BS10" s="31">
        <f>'MAGBL_Loan (IDCOL)'!$X$30</f>
        <v>50460781.226009674</v>
      </c>
      <c r="BT10" s="31">
        <f t="shared" si="12"/>
        <v>50460781.226009674</v>
      </c>
      <c r="BU10" s="31">
        <f t="shared" si="12"/>
        <v>50460781.226009674</v>
      </c>
      <c r="BV10" s="31">
        <f>'MAGBL_Loan (IDCOL)'!$Y$30</f>
        <v>51484518.415280014</v>
      </c>
      <c r="BW10" s="31">
        <f t="shared" si="12"/>
        <v>51484518.415280014</v>
      </c>
      <c r="BX10" s="31">
        <f t="shared" si="12"/>
        <v>51484518.415280014</v>
      </c>
      <c r="BY10" s="31">
        <f>'MAGBL_Loan (IDCOL)'!$Z$30</f>
        <v>52312516.836386479</v>
      </c>
      <c r="BZ10" s="31">
        <f t="shared" si="12"/>
        <v>52312516.836386479</v>
      </c>
      <c r="CA10" s="31">
        <f t="shared" si="12"/>
        <v>52312516.836386479</v>
      </c>
      <c r="CB10" s="31">
        <f>'MAGBL_Loan (IDCOL)'!$AA$30</f>
        <v>52933547.850407779</v>
      </c>
      <c r="CC10" s="31">
        <f t="shared" ref="CC10:CG10" si="13">CB10</f>
        <v>52933547.850407779</v>
      </c>
      <c r="CD10" s="31">
        <f t="shared" si="13"/>
        <v>52933547.850407779</v>
      </c>
      <c r="CE10" s="31">
        <f>'MAGBL_Loan (IDCOL)'!$AB$30</f>
        <v>53347557.070688896</v>
      </c>
      <c r="CF10" s="31">
        <f t="shared" si="13"/>
        <v>53347557.070688896</v>
      </c>
      <c r="CG10" s="31">
        <f t="shared" si="13"/>
        <v>53347557.070688896</v>
      </c>
      <c r="CH10" s="31">
        <f>'MAGBL_Loan (IDCOL)'!$AC$30</f>
        <v>53561515.853009157</v>
      </c>
    </row>
    <row r="11" spans="1:86" x14ac:dyDescent="0.25">
      <c r="A11" s="39" t="s">
        <v>31</v>
      </c>
      <c r="B11" s="31">
        <f>B26</f>
        <v>0</v>
      </c>
      <c r="C11" s="31">
        <f>C26</f>
        <v>0</v>
      </c>
      <c r="D11" s="31">
        <f>D26</f>
        <v>0</v>
      </c>
      <c r="E11" s="31">
        <f>E26</f>
        <v>0</v>
      </c>
      <c r="F11" s="31">
        <f>F26</f>
        <v>0</v>
      </c>
      <c r="G11" s="31">
        <f t="shared" ref="G11:M11" si="14">G26</f>
        <v>0</v>
      </c>
      <c r="H11" s="31">
        <f t="shared" si="14"/>
        <v>0</v>
      </c>
      <c r="I11" s="31">
        <f t="shared" si="14"/>
        <v>0</v>
      </c>
      <c r="J11" s="31">
        <f t="shared" si="14"/>
        <v>0</v>
      </c>
      <c r="K11" s="31">
        <f t="shared" si="14"/>
        <v>0</v>
      </c>
      <c r="L11" s="31">
        <f t="shared" si="14"/>
        <v>0</v>
      </c>
      <c r="M11" s="31">
        <f t="shared" si="14"/>
        <v>0</v>
      </c>
      <c r="N11" s="31">
        <f t="shared" ref="N11:AR11" si="15">N26</f>
        <v>0</v>
      </c>
      <c r="O11" s="31">
        <f t="shared" si="15"/>
        <v>0</v>
      </c>
      <c r="P11" s="31">
        <f t="shared" si="15"/>
        <v>0</v>
      </c>
      <c r="Q11" s="31">
        <f t="shared" si="15"/>
        <v>0</v>
      </c>
      <c r="R11" s="31">
        <f t="shared" si="15"/>
        <v>0</v>
      </c>
      <c r="S11" s="31">
        <f t="shared" si="15"/>
        <v>0</v>
      </c>
      <c r="T11" s="31">
        <f t="shared" si="15"/>
        <v>7263255.6348948134</v>
      </c>
      <c r="U11" s="31">
        <f t="shared" si="15"/>
        <v>7263255.6348948134</v>
      </c>
      <c r="V11" s="31">
        <f t="shared" si="15"/>
        <v>7263255.6348948134</v>
      </c>
      <c r="W11" s="31">
        <f t="shared" si="15"/>
        <v>10985973.152150668</v>
      </c>
      <c r="X11" s="31">
        <f t="shared" si="15"/>
        <v>10985973.152150668</v>
      </c>
      <c r="Y11" s="31">
        <f t="shared" si="15"/>
        <v>10985973.152150668</v>
      </c>
      <c r="Z11" s="31">
        <f t="shared" si="15"/>
        <v>14576056.92443669</v>
      </c>
      <c r="AA11" s="31">
        <f t="shared" si="15"/>
        <v>14576056.92443669</v>
      </c>
      <c r="AB11" s="31">
        <f t="shared" si="15"/>
        <v>14576056.92443669</v>
      </c>
      <c r="AC11" s="31">
        <f t="shared" si="15"/>
        <v>18030522.692491058</v>
      </c>
      <c r="AD11" s="31">
        <f t="shared" si="15"/>
        <v>18030522.692491058</v>
      </c>
      <c r="AE11" s="31">
        <f t="shared" si="15"/>
        <v>18030522.692491058</v>
      </c>
      <c r="AF11" s="31">
        <f t="shared" si="15"/>
        <v>21346319.051218562</v>
      </c>
      <c r="AG11" s="31">
        <f t="shared" si="15"/>
        <v>21346319.051218562</v>
      </c>
      <c r="AH11" s="31">
        <f t="shared" si="15"/>
        <v>21346319.051218562</v>
      </c>
      <c r="AI11" s="31">
        <f t="shared" si="15"/>
        <v>24520325.938909344</v>
      </c>
      <c r="AJ11" s="31">
        <f t="shared" si="15"/>
        <v>24520325.938909344</v>
      </c>
      <c r="AK11" s="31">
        <f t="shared" si="15"/>
        <v>24520325.938909344</v>
      </c>
      <c r="AL11" s="31">
        <f t="shared" si="15"/>
        <v>27549353.09246508</v>
      </c>
      <c r="AM11" s="31">
        <f t="shared" si="15"/>
        <v>27549353.09246508</v>
      </c>
      <c r="AN11" s="31">
        <f t="shared" si="15"/>
        <v>27549353.09246508</v>
      </c>
      <c r="AO11" s="31">
        <f t="shared" si="15"/>
        <v>30525109.414309576</v>
      </c>
      <c r="AP11" s="31">
        <f t="shared" si="15"/>
        <v>30525109.414309576</v>
      </c>
      <c r="AQ11" s="31">
        <f t="shared" si="15"/>
        <v>30525109.414309576</v>
      </c>
      <c r="AR11" s="31">
        <f t="shared" si="15"/>
        <v>33254317.571550697</v>
      </c>
      <c r="AS11" s="31">
        <f t="shared" ref="AS11:BX11" si="16">AS26</f>
        <v>33254317.571550697</v>
      </c>
      <c r="AT11" s="31">
        <f t="shared" si="16"/>
        <v>33254317.571550697</v>
      </c>
      <c r="AU11" s="31">
        <f t="shared" si="16"/>
        <v>35828538.023221657</v>
      </c>
      <c r="AV11" s="31">
        <f t="shared" si="16"/>
        <v>35828538.023221657</v>
      </c>
      <c r="AW11" s="31">
        <f t="shared" si="16"/>
        <v>35828538.023221657</v>
      </c>
      <c r="AX11" s="31">
        <f t="shared" si="16"/>
        <v>38270830.200043008</v>
      </c>
      <c r="AY11" s="31">
        <f t="shared" si="16"/>
        <v>38270830.200043008</v>
      </c>
      <c r="AZ11" s="31">
        <f t="shared" si="16"/>
        <v>38270830.200043008</v>
      </c>
      <c r="BA11" s="31">
        <f t="shared" si="16"/>
        <v>40549301.095920376</v>
      </c>
      <c r="BB11" s="31">
        <f t="shared" si="16"/>
        <v>40549301.095920376</v>
      </c>
      <c r="BC11" s="31">
        <f t="shared" si="16"/>
        <v>40549301.095920376</v>
      </c>
      <c r="BD11" s="31">
        <f t="shared" si="16"/>
        <v>42637319.475118257</v>
      </c>
      <c r="BE11" s="31">
        <f t="shared" si="16"/>
        <v>42637319.475118257</v>
      </c>
      <c r="BF11" s="31">
        <f t="shared" si="16"/>
        <v>42637319.475118257</v>
      </c>
      <c r="BG11" s="31">
        <f t="shared" si="16"/>
        <v>44534839.819359541</v>
      </c>
      <c r="BH11" s="31">
        <f t="shared" si="16"/>
        <v>44534839.819359541</v>
      </c>
      <c r="BI11" s="31">
        <f t="shared" si="16"/>
        <v>44534839.819359541</v>
      </c>
      <c r="BJ11" s="31">
        <f t="shared" si="16"/>
        <v>46299397.395356826</v>
      </c>
      <c r="BK11" s="31">
        <f t="shared" si="16"/>
        <v>46299397.395356826</v>
      </c>
      <c r="BL11" s="31">
        <f t="shared" si="16"/>
        <v>46299397.395356826</v>
      </c>
      <c r="BM11" s="31">
        <f t="shared" si="16"/>
        <v>47884884.661891587</v>
      </c>
      <c r="BN11" s="31">
        <f t="shared" si="16"/>
        <v>47884884.661891587</v>
      </c>
      <c r="BO11" s="31">
        <f t="shared" si="16"/>
        <v>47884884.661891587</v>
      </c>
      <c r="BP11" s="31">
        <f t="shared" si="16"/>
        <v>49272029.190532342</v>
      </c>
      <c r="BQ11" s="31">
        <f t="shared" si="16"/>
        <v>49272029.190532342</v>
      </c>
      <c r="BR11" s="31">
        <f t="shared" si="16"/>
        <v>49272029.190532342</v>
      </c>
      <c r="BS11" s="31">
        <f t="shared" si="16"/>
        <v>50460781.226009674</v>
      </c>
      <c r="BT11" s="31">
        <f t="shared" si="16"/>
        <v>50460781.226009674</v>
      </c>
      <c r="BU11" s="31">
        <f t="shared" si="16"/>
        <v>50460781.226009674</v>
      </c>
      <c r="BV11" s="31">
        <f t="shared" si="16"/>
        <v>51484518.415280014</v>
      </c>
      <c r="BW11" s="31">
        <f t="shared" si="16"/>
        <v>51484518.415280014</v>
      </c>
      <c r="BX11" s="31">
        <f t="shared" si="16"/>
        <v>51484518.415280014</v>
      </c>
      <c r="BY11" s="31">
        <f t="shared" ref="BY11:CF11" si="17">BY26</f>
        <v>52312516.836386479</v>
      </c>
      <c r="BZ11" s="31">
        <f t="shared" si="17"/>
        <v>52312516.836386479</v>
      </c>
      <c r="CA11" s="31">
        <f t="shared" si="17"/>
        <v>52312516.836386479</v>
      </c>
      <c r="CB11" s="31">
        <f t="shared" si="17"/>
        <v>52933547.850407779</v>
      </c>
      <c r="CC11" s="31">
        <f t="shared" si="17"/>
        <v>52933547.850407779</v>
      </c>
      <c r="CD11" s="31">
        <f t="shared" si="17"/>
        <v>52933547.850407779</v>
      </c>
      <c r="CE11" s="31">
        <f t="shared" si="17"/>
        <v>53347557.070688896</v>
      </c>
      <c r="CF11" s="31">
        <f t="shared" si="17"/>
        <v>53347557.070688896</v>
      </c>
      <c r="CG11" s="31">
        <f>CG26</f>
        <v>53347557.070688896</v>
      </c>
      <c r="CH11" s="31">
        <f>CH26</f>
        <v>53561515.853009157</v>
      </c>
    </row>
    <row r="12" spans="1:86" x14ac:dyDescent="0.25">
      <c r="A12" s="39" t="s">
        <v>32</v>
      </c>
      <c r="B12" s="31">
        <f>IF((B10-B11)&gt;0,(B10-B11),0)</f>
        <v>0</v>
      </c>
      <c r="C12" s="31">
        <f>IF((C10-C11)&gt;0,(C10-C11),0)</f>
        <v>0</v>
      </c>
      <c r="D12" s="31">
        <f t="shared" ref="D12:BO12" si="18">IF((D10-D11)&gt;0,(D10-D11),0)</f>
        <v>0</v>
      </c>
      <c r="E12" s="31">
        <f t="shared" si="18"/>
        <v>0</v>
      </c>
      <c r="F12" s="31">
        <f t="shared" si="18"/>
        <v>0</v>
      </c>
      <c r="G12" s="31">
        <f t="shared" si="18"/>
        <v>0</v>
      </c>
      <c r="H12" s="31">
        <f t="shared" si="18"/>
        <v>0</v>
      </c>
      <c r="I12" s="31">
        <f t="shared" si="18"/>
        <v>0</v>
      </c>
      <c r="J12" s="31">
        <f t="shared" si="18"/>
        <v>0</v>
      </c>
      <c r="K12" s="31">
        <f t="shared" si="18"/>
        <v>0</v>
      </c>
      <c r="L12" s="31">
        <f t="shared" si="18"/>
        <v>0</v>
      </c>
      <c r="M12" s="31">
        <f t="shared" si="18"/>
        <v>0</v>
      </c>
      <c r="N12" s="31">
        <f t="shared" si="18"/>
        <v>0</v>
      </c>
      <c r="O12" s="31">
        <f t="shared" si="18"/>
        <v>0</v>
      </c>
      <c r="P12" s="31">
        <f t="shared" si="18"/>
        <v>0</v>
      </c>
      <c r="Q12" s="31">
        <f t="shared" si="18"/>
        <v>3410822.9636342325</v>
      </c>
      <c r="R12" s="31">
        <f t="shared" si="18"/>
        <v>3410822.9636342325</v>
      </c>
      <c r="S12" s="31">
        <f t="shared" si="18"/>
        <v>3410822.9636342325</v>
      </c>
      <c r="T12" s="31">
        <f t="shared" si="18"/>
        <v>0</v>
      </c>
      <c r="U12" s="31">
        <f t="shared" si="18"/>
        <v>0</v>
      </c>
      <c r="V12" s="31">
        <f t="shared" si="18"/>
        <v>0</v>
      </c>
      <c r="W12" s="31">
        <f t="shared" si="18"/>
        <v>0</v>
      </c>
      <c r="X12" s="31">
        <f t="shared" si="18"/>
        <v>0</v>
      </c>
      <c r="Y12" s="31">
        <f t="shared" si="18"/>
        <v>0</v>
      </c>
      <c r="Z12" s="31">
        <f t="shared" si="18"/>
        <v>0</v>
      </c>
      <c r="AA12" s="31">
        <f t="shared" si="18"/>
        <v>0</v>
      </c>
      <c r="AB12" s="31">
        <f t="shared" si="18"/>
        <v>0</v>
      </c>
      <c r="AC12" s="31">
        <f t="shared" si="18"/>
        <v>0</v>
      </c>
      <c r="AD12" s="31">
        <f t="shared" si="18"/>
        <v>0</v>
      </c>
      <c r="AE12" s="31">
        <f t="shared" si="18"/>
        <v>0</v>
      </c>
      <c r="AF12" s="31">
        <f t="shared" si="18"/>
        <v>0</v>
      </c>
      <c r="AG12" s="31">
        <f t="shared" si="18"/>
        <v>0</v>
      </c>
      <c r="AH12" s="31">
        <f t="shared" si="18"/>
        <v>0</v>
      </c>
      <c r="AI12" s="31">
        <f t="shared" si="18"/>
        <v>0</v>
      </c>
      <c r="AJ12" s="31">
        <f t="shared" si="18"/>
        <v>0</v>
      </c>
      <c r="AK12" s="31">
        <f t="shared" si="18"/>
        <v>0</v>
      </c>
      <c r="AL12" s="31">
        <f t="shared" si="18"/>
        <v>0</v>
      </c>
      <c r="AM12" s="31">
        <f t="shared" si="18"/>
        <v>0</v>
      </c>
      <c r="AN12" s="31">
        <f t="shared" si="18"/>
        <v>0</v>
      </c>
      <c r="AO12" s="31">
        <f t="shared" si="18"/>
        <v>0</v>
      </c>
      <c r="AP12" s="31">
        <f t="shared" si="18"/>
        <v>0</v>
      </c>
      <c r="AQ12" s="31">
        <f t="shared" si="18"/>
        <v>0</v>
      </c>
      <c r="AR12" s="31">
        <f t="shared" si="18"/>
        <v>0</v>
      </c>
      <c r="AS12" s="31">
        <f t="shared" si="18"/>
        <v>0</v>
      </c>
      <c r="AT12" s="31">
        <f t="shared" si="18"/>
        <v>0</v>
      </c>
      <c r="AU12" s="31">
        <f t="shared" si="18"/>
        <v>0</v>
      </c>
      <c r="AV12" s="31">
        <f t="shared" si="18"/>
        <v>0</v>
      </c>
      <c r="AW12" s="31">
        <f t="shared" si="18"/>
        <v>0</v>
      </c>
      <c r="AX12" s="31">
        <f t="shared" si="18"/>
        <v>0</v>
      </c>
      <c r="AY12" s="31">
        <f t="shared" si="18"/>
        <v>0</v>
      </c>
      <c r="AZ12" s="31">
        <f t="shared" si="18"/>
        <v>0</v>
      </c>
      <c r="BA12" s="31">
        <f t="shared" si="18"/>
        <v>0</v>
      </c>
      <c r="BB12" s="31">
        <f t="shared" si="18"/>
        <v>0</v>
      </c>
      <c r="BC12" s="31">
        <f t="shared" si="18"/>
        <v>0</v>
      </c>
      <c r="BD12" s="31">
        <f t="shared" si="18"/>
        <v>0</v>
      </c>
      <c r="BE12" s="31">
        <f t="shared" si="18"/>
        <v>0</v>
      </c>
      <c r="BF12" s="31">
        <f t="shared" si="18"/>
        <v>0</v>
      </c>
      <c r="BG12" s="31">
        <f t="shared" si="18"/>
        <v>0</v>
      </c>
      <c r="BH12" s="31">
        <f t="shared" si="18"/>
        <v>0</v>
      </c>
      <c r="BI12" s="31">
        <f t="shared" si="18"/>
        <v>0</v>
      </c>
      <c r="BJ12" s="31">
        <f t="shared" si="18"/>
        <v>0</v>
      </c>
      <c r="BK12" s="31">
        <f t="shared" si="18"/>
        <v>0</v>
      </c>
      <c r="BL12" s="31">
        <f t="shared" si="18"/>
        <v>0</v>
      </c>
      <c r="BM12" s="31">
        <f t="shared" si="18"/>
        <v>0</v>
      </c>
      <c r="BN12" s="31">
        <f t="shared" si="18"/>
        <v>0</v>
      </c>
      <c r="BO12" s="31">
        <f t="shared" si="18"/>
        <v>0</v>
      </c>
      <c r="BP12" s="31">
        <f t="shared" ref="BP12:CF12" si="19">IF((BP10-BP11)&gt;0,(BP10-BP11),0)</f>
        <v>0</v>
      </c>
      <c r="BQ12" s="31">
        <f t="shared" si="19"/>
        <v>0</v>
      </c>
      <c r="BR12" s="31">
        <f t="shared" si="19"/>
        <v>0</v>
      </c>
      <c r="BS12" s="31">
        <f t="shared" si="19"/>
        <v>0</v>
      </c>
      <c r="BT12" s="31">
        <f t="shared" si="19"/>
        <v>0</v>
      </c>
      <c r="BU12" s="31">
        <f t="shared" si="19"/>
        <v>0</v>
      </c>
      <c r="BV12" s="31">
        <f t="shared" si="19"/>
        <v>0</v>
      </c>
      <c r="BW12" s="31">
        <f t="shared" si="19"/>
        <v>0</v>
      </c>
      <c r="BX12" s="31">
        <f t="shared" si="19"/>
        <v>0</v>
      </c>
      <c r="BY12" s="31">
        <f t="shared" si="19"/>
        <v>0</v>
      </c>
      <c r="BZ12" s="31">
        <f t="shared" si="19"/>
        <v>0</v>
      </c>
      <c r="CA12" s="31">
        <f t="shared" si="19"/>
        <v>0</v>
      </c>
      <c r="CB12" s="31">
        <f t="shared" si="19"/>
        <v>0</v>
      </c>
      <c r="CC12" s="31">
        <f t="shared" si="19"/>
        <v>0</v>
      </c>
      <c r="CD12" s="31">
        <f t="shared" si="19"/>
        <v>0</v>
      </c>
      <c r="CE12" s="31">
        <f t="shared" si="19"/>
        <v>0</v>
      </c>
      <c r="CF12" s="31">
        <f t="shared" si="19"/>
        <v>0</v>
      </c>
      <c r="CG12" s="31">
        <f>IF((CG10-CG11)&gt;0,(CG10-CG11),0)</f>
        <v>0</v>
      </c>
      <c r="CH12" s="31">
        <f>IF((CH10-CH11)&gt;0,(CH10-CH11),0)</f>
        <v>0</v>
      </c>
    </row>
    <row r="13" spans="1:86" x14ac:dyDescent="0.25">
      <c r="A13" s="39" t="s">
        <v>33</v>
      </c>
      <c r="B13" s="31">
        <f>B9-B11</f>
        <v>41250</v>
      </c>
      <c r="C13" s="31">
        <f t="shared" ref="C13:BN13" si="20">C9-C11</f>
        <v>467500</v>
      </c>
      <c r="D13" s="31">
        <f t="shared" si="20"/>
        <v>893750</v>
      </c>
      <c r="E13" s="31">
        <f t="shared" si="20"/>
        <v>1310595</v>
      </c>
      <c r="F13" s="31">
        <f t="shared" si="20"/>
        <v>1745263.4375</v>
      </c>
      <c r="G13" s="31">
        <f t="shared" si="20"/>
        <v>2165910.3125</v>
      </c>
      <c r="H13" s="31">
        <f t="shared" si="20"/>
        <v>2916596.5892968751</v>
      </c>
      <c r="I13" s="31">
        <f t="shared" si="20"/>
        <v>3933801.2337499997</v>
      </c>
      <c r="J13" s="31">
        <f t="shared" si="20"/>
        <v>5104566.7190624997</v>
      </c>
      <c r="K13" s="31">
        <f t="shared" si="20"/>
        <v>6414319.2469310537</v>
      </c>
      <c r="L13" s="31">
        <f t="shared" si="20"/>
        <v>7692618.8678939445</v>
      </c>
      <c r="M13" s="31">
        <f t="shared" si="20"/>
        <v>9013528.4762222655</v>
      </c>
      <c r="N13" s="31">
        <f t="shared" si="20"/>
        <v>10295183.633690184</v>
      </c>
      <c r="O13" s="31">
        <f t="shared" si="20"/>
        <v>11650767.119237123</v>
      </c>
      <c r="P13" s="31">
        <f t="shared" si="20"/>
        <v>13006350.604784062</v>
      </c>
      <c r="Q13" s="31">
        <f t="shared" si="20"/>
        <v>14294506.323024528</v>
      </c>
      <c r="R13" s="31">
        <f t="shared" si="20"/>
        <v>15606873.49675066</v>
      </c>
      <c r="S13" s="31">
        <f t="shared" si="20"/>
        <v>16876906.245517883</v>
      </c>
      <c r="T13" s="31">
        <f t="shared" si="20"/>
        <v>10900359.841798816</v>
      </c>
      <c r="U13" s="31">
        <f t="shared" si="20"/>
        <v>12168538.336688172</v>
      </c>
      <c r="V13" s="31">
        <f t="shared" si="20"/>
        <v>13313989.880459204</v>
      </c>
      <c r="W13" s="31">
        <f t="shared" si="20"/>
        <v>10834673.125515927</v>
      </c>
      <c r="X13" s="31">
        <f t="shared" si="20"/>
        <v>12018217.226269562</v>
      </c>
      <c r="Y13" s="31">
        <f t="shared" si="20"/>
        <v>13241212.797048315</v>
      </c>
      <c r="Z13" s="31">
        <f t="shared" si="20"/>
        <v>10809337.893956168</v>
      </c>
      <c r="AA13" s="31">
        <f t="shared" si="20"/>
        <v>11986133.924831832</v>
      </c>
      <c r="AB13" s="31">
        <f t="shared" si="20"/>
        <v>13162929.955707496</v>
      </c>
      <c r="AC13" s="31">
        <f t="shared" si="20"/>
        <v>10819869.942309693</v>
      </c>
      <c r="AD13" s="31">
        <f t="shared" si="20"/>
        <v>11949426.943634447</v>
      </c>
      <c r="AE13" s="31">
        <f t="shared" si="20"/>
        <v>13042546.622335821</v>
      </c>
      <c r="AF13" s="31">
        <f t="shared" si="20"/>
        <v>10826702.869881447</v>
      </c>
      <c r="AG13" s="31">
        <f t="shared" si="20"/>
        <v>11907957.963490397</v>
      </c>
      <c r="AH13" s="31">
        <f t="shared" si="20"/>
        <v>12884575.467395253</v>
      </c>
      <c r="AI13" s="31">
        <f t="shared" si="20"/>
        <v>10763146.363264732</v>
      </c>
      <c r="AJ13" s="31">
        <f t="shared" si="20"/>
        <v>11761726.743557833</v>
      </c>
      <c r="AK13" s="31">
        <f t="shared" si="20"/>
        <v>12793593.136527367</v>
      </c>
      <c r="AL13" s="31">
        <f t="shared" si="20"/>
        <v>10733823.813739948</v>
      </c>
      <c r="AM13" s="31">
        <f t="shared" si="20"/>
        <v>11715190.260305688</v>
      </c>
      <c r="AN13" s="31">
        <f t="shared" si="20"/>
        <v>12696556.706871428</v>
      </c>
      <c r="AO13" s="31">
        <f t="shared" si="20"/>
        <v>10643858.909988418</v>
      </c>
      <c r="AP13" s="31">
        <f t="shared" si="20"/>
        <v>11573589.16135627</v>
      </c>
      <c r="AQ13" s="31">
        <f t="shared" si="20"/>
        <v>12473328.114292905</v>
      </c>
      <c r="AR13" s="31">
        <f t="shared" si="20"/>
        <v>10644896.461225212</v>
      </c>
      <c r="AS13" s="31">
        <f t="shared" si="20"/>
        <v>11521828.703003228</v>
      </c>
      <c r="AT13" s="31">
        <f t="shared" si="20"/>
        <v>12342184.671118148</v>
      </c>
      <c r="AU13" s="31">
        <f t="shared" si="20"/>
        <v>10615291.254718907</v>
      </c>
      <c r="AV13" s="31">
        <f t="shared" si="20"/>
        <v>11411690.877595432</v>
      </c>
      <c r="AW13" s="31">
        <f t="shared" si="20"/>
        <v>12234637.154567845</v>
      </c>
      <c r="AX13" s="31">
        <f t="shared" si="20"/>
        <v>10560253.943067543</v>
      </c>
      <c r="AY13" s="31">
        <f t="shared" si="20"/>
        <v>11327999.571026221</v>
      </c>
      <c r="AZ13" s="31">
        <f t="shared" si="20"/>
        <v>12095745.198984899</v>
      </c>
      <c r="BA13" s="31">
        <f t="shared" si="20"/>
        <v>10531122.245717064</v>
      </c>
      <c r="BB13" s="31">
        <f t="shared" si="20"/>
        <v>11242425.210059196</v>
      </c>
      <c r="BC13" s="31">
        <f t="shared" si="20"/>
        <v>11930782.91748707</v>
      </c>
      <c r="BD13" s="31">
        <f t="shared" si="20"/>
        <v>10522418.644556664</v>
      </c>
      <c r="BE13" s="31">
        <f t="shared" si="20"/>
        <v>11176008.985350884</v>
      </c>
      <c r="BF13" s="31">
        <f t="shared" si="20"/>
        <v>11766348.648003727</v>
      </c>
      <c r="BG13" s="31">
        <f t="shared" si="20"/>
        <v>10490057.687175319</v>
      </c>
      <c r="BH13" s="31">
        <f t="shared" si="20"/>
        <v>11065456.896739654</v>
      </c>
      <c r="BI13" s="31">
        <f t="shared" si="20"/>
        <v>11660036.079956129</v>
      </c>
      <c r="BJ13" s="31">
        <f t="shared" si="20"/>
        <v>10439735.051007956</v>
      </c>
      <c r="BK13" s="31">
        <f t="shared" si="20"/>
        <v>10973975.32560119</v>
      </c>
      <c r="BL13" s="31">
        <f t="shared" si="20"/>
        <v>11508215.600194424</v>
      </c>
      <c r="BM13" s="31">
        <f t="shared" si="20"/>
        <v>10407891.67858614</v>
      </c>
      <c r="BN13" s="31">
        <f t="shared" si="20"/>
        <v>10880435.419112109</v>
      </c>
      <c r="BO13" s="31">
        <f t="shared" ref="BO13:CF13" si="21">BO9-BO11</f>
        <v>11337735.813169502</v>
      </c>
      <c r="BP13" s="31">
        <f t="shared" si="21"/>
        <v>10388540.186234578</v>
      </c>
      <c r="BQ13" s="31">
        <f t="shared" si="21"/>
        <v>10797999.220676772</v>
      </c>
      <c r="BR13" s="31">
        <f t="shared" si="21"/>
        <v>11167833.187269717</v>
      </c>
      <c r="BS13" s="31">
        <f t="shared" si="21"/>
        <v>10353166.963540986</v>
      </c>
      <c r="BT13" s="31">
        <f t="shared" si="21"/>
        <v>10686994.307868272</v>
      </c>
      <c r="BU13" s="31">
        <f t="shared" si="21"/>
        <v>11031949.230339803</v>
      </c>
      <c r="BV13" s="31">
        <f t="shared" si="21"/>
        <v>10307997.860498682</v>
      </c>
      <c r="BW13" s="31">
        <f t="shared" si="21"/>
        <v>10586997.328480206</v>
      </c>
      <c r="BX13" s="31">
        <f t="shared" si="21"/>
        <v>10865996.796461731</v>
      </c>
      <c r="BY13" s="31">
        <f t="shared" si="21"/>
        <v>10273190.401290402</v>
      </c>
      <c r="BZ13" s="31">
        <f t="shared" si="21"/>
        <v>10484750.417055897</v>
      </c>
      <c r="CA13" s="31">
        <f t="shared" si="21"/>
        <v>10689485.9161838</v>
      </c>
      <c r="CB13" s="31">
        <f t="shared" si="21"/>
        <v>10242199.87669751</v>
      </c>
      <c r="CC13" s="31">
        <f t="shared" si="21"/>
        <v>10384803.052572116</v>
      </c>
      <c r="CD13" s="31">
        <f t="shared" si="21"/>
        <v>10513605.921104021</v>
      </c>
      <c r="CE13" s="31">
        <f t="shared" si="21"/>
        <v>10203533.99703934</v>
      </c>
      <c r="CF13" s="31">
        <f t="shared" si="21"/>
        <v>10273303.165187247</v>
      </c>
      <c r="CG13" s="31">
        <f>CG9-CG11</f>
        <v>10345397.972273424</v>
      </c>
      <c r="CH13" s="31">
        <f>CH9-CH11</f>
        <v>10163998.135088854</v>
      </c>
    </row>
    <row r="14" spans="1:86" x14ac:dyDescent="0.25">
      <c r="A14" s="39" t="s">
        <v>34</v>
      </c>
      <c r="B14" s="31">
        <f t="shared" ref="B14:BD14" si="22">B28</f>
        <v>0</v>
      </c>
      <c r="C14" s="31">
        <f t="shared" si="22"/>
        <v>0</v>
      </c>
      <c r="D14" s="31">
        <f t="shared" si="22"/>
        <v>0</v>
      </c>
      <c r="E14" s="31">
        <f t="shared" si="22"/>
        <v>0</v>
      </c>
      <c r="F14" s="31">
        <f t="shared" si="22"/>
        <v>0</v>
      </c>
      <c r="G14" s="31">
        <f t="shared" si="22"/>
        <v>0</v>
      </c>
      <c r="H14" s="31">
        <f t="shared" si="22"/>
        <v>0</v>
      </c>
      <c r="I14" s="31">
        <f t="shared" si="22"/>
        <v>0</v>
      </c>
      <c r="J14" s="31">
        <f t="shared" si="22"/>
        <v>0</v>
      </c>
      <c r="K14" s="31">
        <f t="shared" si="22"/>
        <v>0</v>
      </c>
      <c r="L14" s="31">
        <f t="shared" si="22"/>
        <v>0</v>
      </c>
      <c r="M14" s="31">
        <f t="shared" si="22"/>
        <v>0</v>
      </c>
      <c r="N14" s="31">
        <f t="shared" si="22"/>
        <v>0</v>
      </c>
      <c r="O14" s="31">
        <f t="shared" si="22"/>
        <v>0</v>
      </c>
      <c r="P14" s="31">
        <f t="shared" si="22"/>
        <v>0</v>
      </c>
      <c r="Q14" s="31">
        <f t="shared" si="22"/>
        <v>0</v>
      </c>
      <c r="R14" s="31">
        <f t="shared" si="22"/>
        <v>0</v>
      </c>
      <c r="S14" s="31">
        <f t="shared" si="22"/>
        <v>0</v>
      </c>
      <c r="T14" s="31">
        <f t="shared" si="22"/>
        <v>0</v>
      </c>
      <c r="U14" s="31">
        <f t="shared" si="22"/>
        <v>0</v>
      </c>
      <c r="V14" s="31">
        <f t="shared" si="22"/>
        <v>0</v>
      </c>
      <c r="W14" s="31">
        <f t="shared" si="22"/>
        <v>0</v>
      </c>
      <c r="X14" s="31">
        <f t="shared" si="22"/>
        <v>0</v>
      </c>
      <c r="Y14" s="31">
        <f t="shared" si="22"/>
        <v>0</v>
      </c>
      <c r="Z14" s="31">
        <f t="shared" si="22"/>
        <v>0</v>
      </c>
      <c r="AA14" s="31">
        <f t="shared" si="22"/>
        <v>0</v>
      </c>
      <c r="AB14" s="31">
        <f t="shared" si="22"/>
        <v>0</v>
      </c>
      <c r="AC14" s="31">
        <f t="shared" si="22"/>
        <v>0</v>
      </c>
      <c r="AD14" s="31">
        <f t="shared" si="22"/>
        <v>0</v>
      </c>
      <c r="AE14" s="31">
        <f t="shared" si="22"/>
        <v>0</v>
      </c>
      <c r="AF14" s="31">
        <f t="shared" si="22"/>
        <v>0</v>
      </c>
      <c r="AG14" s="31">
        <f t="shared" si="22"/>
        <v>0</v>
      </c>
      <c r="AH14" s="31">
        <f t="shared" si="22"/>
        <v>0</v>
      </c>
      <c r="AI14" s="31">
        <f t="shared" si="22"/>
        <v>0</v>
      </c>
      <c r="AJ14" s="31">
        <f t="shared" si="22"/>
        <v>0</v>
      </c>
      <c r="AK14" s="31">
        <f t="shared" si="22"/>
        <v>0</v>
      </c>
      <c r="AL14" s="31">
        <f t="shared" si="22"/>
        <v>0</v>
      </c>
      <c r="AM14" s="31">
        <f t="shared" si="22"/>
        <v>0</v>
      </c>
      <c r="AN14" s="31">
        <f t="shared" si="22"/>
        <v>0</v>
      </c>
      <c r="AO14" s="31">
        <f t="shared" si="22"/>
        <v>0</v>
      </c>
      <c r="AP14" s="31">
        <f t="shared" si="22"/>
        <v>0</v>
      </c>
      <c r="AQ14" s="31">
        <f t="shared" si="22"/>
        <v>0</v>
      </c>
      <c r="AR14" s="31">
        <f t="shared" si="22"/>
        <v>0</v>
      </c>
      <c r="AS14" s="31">
        <f t="shared" si="22"/>
        <v>0</v>
      </c>
      <c r="AT14" s="31">
        <f t="shared" si="22"/>
        <v>0</v>
      </c>
      <c r="AU14" s="31">
        <f t="shared" si="22"/>
        <v>0</v>
      </c>
      <c r="AV14" s="31">
        <f t="shared" si="22"/>
        <v>0</v>
      </c>
      <c r="AW14" s="31">
        <f t="shared" si="22"/>
        <v>0</v>
      </c>
      <c r="AX14" s="31">
        <f t="shared" si="22"/>
        <v>0</v>
      </c>
      <c r="AY14" s="31">
        <f t="shared" si="22"/>
        <v>0</v>
      </c>
      <c r="AZ14" s="31">
        <f t="shared" si="22"/>
        <v>0</v>
      </c>
      <c r="BA14" s="31">
        <f t="shared" si="22"/>
        <v>0</v>
      </c>
      <c r="BB14" s="31">
        <f t="shared" si="22"/>
        <v>0</v>
      </c>
      <c r="BC14" s="31">
        <f t="shared" si="22"/>
        <v>0</v>
      </c>
      <c r="BD14" s="31">
        <f t="shared" si="22"/>
        <v>0</v>
      </c>
      <c r="BE14" s="31">
        <f t="shared" ref="BE14:BS14" si="23">BE28</f>
        <v>0</v>
      </c>
      <c r="BF14" s="31">
        <f t="shared" si="23"/>
        <v>0</v>
      </c>
      <c r="BG14" s="31">
        <f t="shared" si="23"/>
        <v>0</v>
      </c>
      <c r="BH14" s="31">
        <f t="shared" si="23"/>
        <v>0</v>
      </c>
      <c r="BI14" s="31">
        <f t="shared" si="23"/>
        <v>0</v>
      </c>
      <c r="BJ14" s="31">
        <f t="shared" si="23"/>
        <v>0</v>
      </c>
      <c r="BK14" s="31">
        <f t="shared" si="23"/>
        <v>0</v>
      </c>
      <c r="BL14" s="31">
        <f t="shared" si="23"/>
        <v>0</v>
      </c>
      <c r="BM14" s="31">
        <f t="shared" si="23"/>
        <v>0</v>
      </c>
      <c r="BN14" s="31">
        <f t="shared" si="23"/>
        <v>0</v>
      </c>
      <c r="BO14" s="31">
        <f t="shared" si="23"/>
        <v>0</v>
      </c>
      <c r="BP14" s="31">
        <f t="shared" si="23"/>
        <v>0</v>
      </c>
      <c r="BQ14" s="31">
        <f t="shared" si="23"/>
        <v>0</v>
      </c>
      <c r="BR14" s="31">
        <f t="shared" si="23"/>
        <v>0</v>
      </c>
      <c r="BS14" s="31">
        <f t="shared" si="23"/>
        <v>0</v>
      </c>
      <c r="BT14" s="31">
        <f t="shared" ref="BT14:CF14" si="24">BT28</f>
        <v>0</v>
      </c>
      <c r="BU14" s="31">
        <f t="shared" si="24"/>
        <v>0</v>
      </c>
      <c r="BV14" s="31">
        <f t="shared" si="24"/>
        <v>0</v>
      </c>
      <c r="BW14" s="31">
        <f t="shared" si="24"/>
        <v>0</v>
      </c>
      <c r="BX14" s="31">
        <f t="shared" si="24"/>
        <v>0</v>
      </c>
      <c r="BY14" s="31">
        <f t="shared" si="24"/>
        <v>0</v>
      </c>
      <c r="BZ14" s="31">
        <f t="shared" si="24"/>
        <v>0</v>
      </c>
      <c r="CA14" s="31">
        <f t="shared" si="24"/>
        <v>0</v>
      </c>
      <c r="CB14" s="31">
        <f t="shared" si="24"/>
        <v>0</v>
      </c>
      <c r="CC14" s="31">
        <f t="shared" si="24"/>
        <v>0</v>
      </c>
      <c r="CD14" s="31">
        <f t="shared" si="24"/>
        <v>0</v>
      </c>
      <c r="CE14" s="31">
        <f t="shared" si="24"/>
        <v>0</v>
      </c>
      <c r="CF14" s="31">
        <f t="shared" si="24"/>
        <v>0</v>
      </c>
      <c r="CG14" s="31">
        <f>CG28</f>
        <v>0</v>
      </c>
      <c r="CH14" s="31">
        <f>CH28</f>
        <v>0</v>
      </c>
    </row>
    <row r="15" spans="1:86" x14ac:dyDescent="0.25">
      <c r="A15" s="4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</row>
    <row r="16" spans="1:86" x14ac:dyDescent="0.25">
      <c r="A16" s="4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</row>
    <row r="17" spans="1:86" x14ac:dyDescent="0.25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</row>
    <row r="18" spans="1:86" x14ac:dyDescent="0.25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</row>
    <row r="19" spans="1:86" ht="15" x14ac:dyDescent="0.3">
      <c r="B19" s="29">
        <f>B1</f>
        <v>42552</v>
      </c>
      <c r="C19" s="29">
        <f t="shared" ref="C19:BN19" si="25">C1</f>
        <v>42583</v>
      </c>
      <c r="D19" s="29">
        <f t="shared" si="25"/>
        <v>42614</v>
      </c>
      <c r="E19" s="29">
        <f t="shared" si="25"/>
        <v>42644</v>
      </c>
      <c r="F19" s="29">
        <f t="shared" si="25"/>
        <v>42675</v>
      </c>
      <c r="G19" s="29">
        <f t="shared" si="25"/>
        <v>42705</v>
      </c>
      <c r="H19" s="29">
        <f t="shared" si="25"/>
        <v>42736</v>
      </c>
      <c r="I19" s="29">
        <f t="shared" si="25"/>
        <v>42767</v>
      </c>
      <c r="J19" s="29">
        <f t="shared" si="25"/>
        <v>42795</v>
      </c>
      <c r="K19" s="29">
        <f t="shared" si="25"/>
        <v>42826</v>
      </c>
      <c r="L19" s="29">
        <f t="shared" si="25"/>
        <v>42856</v>
      </c>
      <c r="M19" s="29">
        <f t="shared" si="25"/>
        <v>42887</v>
      </c>
      <c r="N19" s="29">
        <f t="shared" si="25"/>
        <v>42917</v>
      </c>
      <c r="O19" s="29">
        <f t="shared" si="25"/>
        <v>42948</v>
      </c>
      <c r="P19" s="29">
        <f t="shared" si="25"/>
        <v>42979</v>
      </c>
      <c r="Q19" s="29">
        <f t="shared" si="25"/>
        <v>43009</v>
      </c>
      <c r="R19" s="29">
        <f t="shared" si="25"/>
        <v>43040</v>
      </c>
      <c r="S19" s="29">
        <f t="shared" si="25"/>
        <v>43070</v>
      </c>
      <c r="T19" s="29">
        <f t="shared" si="25"/>
        <v>43101</v>
      </c>
      <c r="U19" s="29">
        <f t="shared" si="25"/>
        <v>43132</v>
      </c>
      <c r="V19" s="29">
        <f t="shared" si="25"/>
        <v>43160</v>
      </c>
      <c r="W19" s="29">
        <f t="shared" si="25"/>
        <v>43191</v>
      </c>
      <c r="X19" s="29">
        <f t="shared" si="25"/>
        <v>43221</v>
      </c>
      <c r="Y19" s="29">
        <f t="shared" si="25"/>
        <v>43252</v>
      </c>
      <c r="Z19" s="29">
        <f t="shared" si="25"/>
        <v>43282</v>
      </c>
      <c r="AA19" s="29">
        <f t="shared" si="25"/>
        <v>43313</v>
      </c>
      <c r="AB19" s="29">
        <f t="shared" si="25"/>
        <v>43344</v>
      </c>
      <c r="AC19" s="29">
        <f t="shared" si="25"/>
        <v>43374</v>
      </c>
      <c r="AD19" s="29">
        <f t="shared" si="25"/>
        <v>43405</v>
      </c>
      <c r="AE19" s="29">
        <f t="shared" si="25"/>
        <v>43435</v>
      </c>
      <c r="AF19" s="29">
        <f t="shared" si="25"/>
        <v>43466</v>
      </c>
      <c r="AG19" s="29">
        <f t="shared" si="25"/>
        <v>43497</v>
      </c>
      <c r="AH19" s="29">
        <f t="shared" si="25"/>
        <v>43525</v>
      </c>
      <c r="AI19" s="29">
        <f t="shared" si="25"/>
        <v>43556</v>
      </c>
      <c r="AJ19" s="29">
        <f t="shared" si="25"/>
        <v>43586</v>
      </c>
      <c r="AK19" s="29">
        <f t="shared" si="25"/>
        <v>43617</v>
      </c>
      <c r="AL19" s="29">
        <f t="shared" si="25"/>
        <v>43647</v>
      </c>
      <c r="AM19" s="29">
        <f t="shared" si="25"/>
        <v>43678</v>
      </c>
      <c r="AN19" s="29">
        <f t="shared" si="25"/>
        <v>43709</v>
      </c>
      <c r="AO19" s="29">
        <f t="shared" si="25"/>
        <v>43739</v>
      </c>
      <c r="AP19" s="29">
        <f t="shared" si="25"/>
        <v>43770</v>
      </c>
      <c r="AQ19" s="29">
        <f t="shared" si="25"/>
        <v>43800</v>
      </c>
      <c r="AR19" s="29">
        <f t="shared" si="25"/>
        <v>43831</v>
      </c>
      <c r="AS19" s="29">
        <f t="shared" si="25"/>
        <v>43862</v>
      </c>
      <c r="AT19" s="29">
        <f t="shared" si="25"/>
        <v>43891</v>
      </c>
      <c r="AU19" s="29">
        <f t="shared" si="25"/>
        <v>43922</v>
      </c>
      <c r="AV19" s="29">
        <f t="shared" si="25"/>
        <v>43952</v>
      </c>
      <c r="AW19" s="29">
        <f t="shared" si="25"/>
        <v>43983</v>
      </c>
      <c r="AX19" s="29">
        <f t="shared" si="25"/>
        <v>44013</v>
      </c>
      <c r="AY19" s="29">
        <f t="shared" si="25"/>
        <v>44044</v>
      </c>
      <c r="AZ19" s="29">
        <f t="shared" si="25"/>
        <v>44075</v>
      </c>
      <c r="BA19" s="29">
        <f t="shared" si="25"/>
        <v>44105</v>
      </c>
      <c r="BB19" s="29">
        <f t="shared" si="25"/>
        <v>44136</v>
      </c>
      <c r="BC19" s="29">
        <f t="shared" si="25"/>
        <v>44166</v>
      </c>
      <c r="BD19" s="29">
        <f t="shared" si="25"/>
        <v>44197</v>
      </c>
      <c r="BE19" s="29">
        <f t="shared" si="25"/>
        <v>44228</v>
      </c>
      <c r="BF19" s="29">
        <f t="shared" si="25"/>
        <v>44256</v>
      </c>
      <c r="BG19" s="29">
        <f t="shared" si="25"/>
        <v>44287</v>
      </c>
      <c r="BH19" s="29">
        <f t="shared" si="25"/>
        <v>44317</v>
      </c>
      <c r="BI19" s="29">
        <f t="shared" si="25"/>
        <v>44348</v>
      </c>
      <c r="BJ19" s="29">
        <f t="shared" si="25"/>
        <v>44378</v>
      </c>
      <c r="BK19" s="29">
        <f t="shared" si="25"/>
        <v>44409</v>
      </c>
      <c r="BL19" s="29">
        <f t="shared" si="25"/>
        <v>44440</v>
      </c>
      <c r="BM19" s="29">
        <f t="shared" si="25"/>
        <v>44470</v>
      </c>
      <c r="BN19" s="29">
        <f t="shared" si="25"/>
        <v>44501</v>
      </c>
      <c r="BO19" s="29">
        <f t="shared" ref="BO19:CH19" si="26">BO1</f>
        <v>44531</v>
      </c>
      <c r="BP19" s="29">
        <f t="shared" si="26"/>
        <v>44562</v>
      </c>
      <c r="BQ19" s="29">
        <f t="shared" si="26"/>
        <v>44593</v>
      </c>
      <c r="BR19" s="29">
        <f t="shared" si="26"/>
        <v>44621</v>
      </c>
      <c r="BS19" s="29">
        <f t="shared" si="26"/>
        <v>44652</v>
      </c>
      <c r="BT19" s="29">
        <f t="shared" si="26"/>
        <v>44682</v>
      </c>
      <c r="BU19" s="29">
        <f t="shared" si="26"/>
        <v>44713</v>
      </c>
      <c r="BV19" s="29">
        <f t="shared" si="26"/>
        <v>44743</v>
      </c>
      <c r="BW19" s="29">
        <f t="shared" si="26"/>
        <v>44774</v>
      </c>
      <c r="BX19" s="29">
        <f t="shared" si="26"/>
        <v>44805</v>
      </c>
      <c r="BY19" s="29">
        <f t="shared" si="26"/>
        <v>44835</v>
      </c>
      <c r="BZ19" s="29">
        <f t="shared" si="26"/>
        <v>44866</v>
      </c>
      <c r="CA19" s="29">
        <f t="shared" si="26"/>
        <v>44896</v>
      </c>
      <c r="CB19" s="29">
        <f t="shared" si="26"/>
        <v>44927</v>
      </c>
      <c r="CC19" s="29">
        <f t="shared" si="26"/>
        <v>44958</v>
      </c>
      <c r="CD19" s="29">
        <f t="shared" si="26"/>
        <v>44986</v>
      </c>
      <c r="CE19" s="29">
        <f t="shared" si="26"/>
        <v>45017</v>
      </c>
      <c r="CF19" s="29">
        <f t="shared" si="26"/>
        <v>45047</v>
      </c>
      <c r="CG19" s="29">
        <f t="shared" si="26"/>
        <v>45078</v>
      </c>
      <c r="CH19" s="29">
        <f t="shared" si="26"/>
        <v>45108</v>
      </c>
    </row>
    <row r="20" spans="1:86" ht="15" x14ac:dyDescent="0.3">
      <c r="A20" s="42" t="s">
        <v>35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</row>
    <row r="21" spans="1:86" x14ac:dyDescent="0.25">
      <c r="A21" s="39" t="s">
        <v>36</v>
      </c>
      <c r="B21" s="43">
        <v>0</v>
      </c>
      <c r="C21" s="43">
        <f t="shared" ref="C21:N21" si="27">C4-B5</f>
        <v>0</v>
      </c>
      <c r="D21" s="43">
        <f t="shared" si="27"/>
        <v>0</v>
      </c>
      <c r="E21" s="43">
        <f t="shared" si="27"/>
        <v>0</v>
      </c>
      <c r="F21" s="43">
        <f t="shared" si="27"/>
        <v>0</v>
      </c>
      <c r="G21" s="43">
        <f t="shared" si="27"/>
        <v>0</v>
      </c>
      <c r="H21" s="43">
        <f t="shared" si="27"/>
        <v>0</v>
      </c>
      <c r="I21" s="43">
        <f t="shared" si="27"/>
        <v>0</v>
      </c>
      <c r="J21" s="43">
        <f t="shared" si="27"/>
        <v>0</v>
      </c>
      <c r="K21" s="43">
        <f t="shared" si="27"/>
        <v>0</v>
      </c>
      <c r="L21" s="43">
        <f t="shared" si="27"/>
        <v>0</v>
      </c>
      <c r="M21" s="43">
        <f t="shared" si="27"/>
        <v>0</v>
      </c>
      <c r="N21" s="43">
        <f t="shared" si="27"/>
        <v>0</v>
      </c>
      <c r="O21" s="43">
        <f>O4-N5</f>
        <v>0</v>
      </c>
      <c r="P21" s="43">
        <f>P4-O5</f>
        <v>0</v>
      </c>
      <c r="Q21" s="43">
        <v>0</v>
      </c>
      <c r="R21" s="43"/>
      <c r="S21" s="43"/>
      <c r="T21" s="43">
        <f t="shared" ref="Q21:CB21" si="28">T4-S5</f>
        <v>11278063.310655672</v>
      </c>
      <c r="U21" s="43">
        <f t="shared" si="28"/>
        <v>0</v>
      </c>
      <c r="V21" s="43">
        <f t="shared" si="28"/>
        <v>0</v>
      </c>
      <c r="W21" s="43">
        <f t="shared" si="28"/>
        <v>5830054.7239486761</v>
      </c>
      <c r="X21" s="43">
        <f t="shared" si="28"/>
        <v>0</v>
      </c>
      <c r="Y21" s="43">
        <f t="shared" si="28"/>
        <v>0</v>
      </c>
      <c r="Z21" s="43">
        <f t="shared" si="28"/>
        <v>5961230.9552375227</v>
      </c>
      <c r="AA21" s="43">
        <f t="shared" si="28"/>
        <v>0</v>
      </c>
      <c r="AB21" s="43">
        <f t="shared" si="28"/>
        <v>0</v>
      </c>
      <c r="AC21" s="43">
        <f t="shared" si="28"/>
        <v>6095358.6517303661</v>
      </c>
      <c r="AD21" s="43">
        <f t="shared" si="28"/>
        <v>0</v>
      </c>
      <c r="AE21" s="43">
        <f t="shared" si="28"/>
        <v>0</v>
      </c>
      <c r="AF21" s="43">
        <f t="shared" si="28"/>
        <v>6232504.2213943005</v>
      </c>
      <c r="AG21" s="43">
        <f t="shared" si="28"/>
        <v>0</v>
      </c>
      <c r="AH21" s="43">
        <f t="shared" si="28"/>
        <v>0</v>
      </c>
      <c r="AI21" s="43">
        <f t="shared" si="28"/>
        <v>6372735.5663756728</v>
      </c>
      <c r="AJ21" s="43">
        <f t="shared" si="28"/>
        <v>0</v>
      </c>
      <c r="AK21" s="43">
        <f t="shared" si="28"/>
        <v>0</v>
      </c>
      <c r="AL21" s="43">
        <f t="shared" si="28"/>
        <v>6516122.116619125</v>
      </c>
      <c r="AM21" s="43">
        <f t="shared" si="28"/>
        <v>0</v>
      </c>
      <c r="AN21" s="43">
        <f t="shared" si="28"/>
        <v>0</v>
      </c>
      <c r="AO21" s="43">
        <f t="shared" si="28"/>
        <v>6662734.8642430529</v>
      </c>
      <c r="AP21" s="43">
        <f t="shared" si="28"/>
        <v>0</v>
      </c>
      <c r="AQ21" s="43">
        <f t="shared" si="28"/>
        <v>0</v>
      </c>
      <c r="AR21" s="43">
        <f t="shared" si="28"/>
        <v>6812646.398688525</v>
      </c>
      <c r="AS21" s="43">
        <f t="shared" si="28"/>
        <v>0</v>
      </c>
      <c r="AT21" s="43">
        <f t="shared" si="28"/>
        <v>0</v>
      </c>
      <c r="AU21" s="43">
        <f t="shared" si="28"/>
        <v>6965930.942659013</v>
      </c>
      <c r="AV21" s="43">
        <f t="shared" si="28"/>
        <v>0</v>
      </c>
      <c r="AW21" s="43">
        <f t="shared" si="28"/>
        <v>0</v>
      </c>
      <c r="AX21" s="43">
        <f t="shared" si="28"/>
        <v>7122664.3888688385</v>
      </c>
      <c r="AY21" s="43">
        <f t="shared" si="28"/>
        <v>0</v>
      </c>
      <c r="AZ21" s="43">
        <f t="shared" si="28"/>
        <v>0</v>
      </c>
      <c r="BA21" s="43">
        <f t="shared" si="28"/>
        <v>7282924.3376183957</v>
      </c>
      <c r="BB21" s="43">
        <f t="shared" si="28"/>
        <v>0</v>
      </c>
      <c r="BC21" s="43">
        <f t="shared" si="28"/>
        <v>0</v>
      </c>
      <c r="BD21" s="43">
        <f t="shared" si="28"/>
        <v>7446790.1352148056</v>
      </c>
      <c r="BE21" s="43">
        <f t="shared" si="28"/>
        <v>0</v>
      </c>
      <c r="BF21" s="43">
        <f t="shared" si="28"/>
        <v>0</v>
      </c>
      <c r="BG21" s="43">
        <f t="shared" si="28"/>
        <v>7614342.9132571369</v>
      </c>
      <c r="BH21" s="43">
        <f t="shared" si="28"/>
        <v>0</v>
      </c>
      <c r="BI21" s="43">
        <f t="shared" si="28"/>
        <v>0</v>
      </c>
      <c r="BJ21" s="43">
        <f t="shared" si="28"/>
        <v>7785665.6288054287</v>
      </c>
      <c r="BK21" s="43">
        <f t="shared" si="28"/>
        <v>0</v>
      </c>
      <c r="BL21" s="43">
        <f t="shared" si="28"/>
        <v>0</v>
      </c>
      <c r="BM21" s="43">
        <f t="shared" si="28"/>
        <v>7960843.1054535508</v>
      </c>
      <c r="BN21" s="43">
        <f t="shared" si="28"/>
        <v>0</v>
      </c>
      <c r="BO21" s="43">
        <f t="shared" si="28"/>
        <v>0</v>
      </c>
      <c r="BP21" s="43">
        <f t="shared" si="28"/>
        <v>8139962.075326249</v>
      </c>
      <c r="BQ21" s="43">
        <f t="shared" si="28"/>
        <v>0</v>
      </c>
      <c r="BR21" s="43">
        <f t="shared" si="28"/>
        <v>0</v>
      </c>
      <c r="BS21" s="43">
        <f t="shared" si="28"/>
        <v>8323111.222021088</v>
      </c>
      <c r="BT21" s="43">
        <f t="shared" si="28"/>
        <v>0</v>
      </c>
      <c r="BU21" s="43">
        <f t="shared" si="28"/>
        <v>0</v>
      </c>
      <c r="BV21" s="43">
        <f t="shared" si="28"/>
        <v>8510381.2245165706</v>
      </c>
      <c r="BW21" s="43">
        <f t="shared" si="28"/>
        <v>0</v>
      </c>
      <c r="BX21" s="43">
        <f t="shared" si="28"/>
        <v>0</v>
      </c>
      <c r="BY21" s="43">
        <f t="shared" si="28"/>
        <v>8701864.8020681739</v>
      </c>
      <c r="BZ21" s="43">
        <f t="shared" si="28"/>
        <v>0</v>
      </c>
      <c r="CA21" s="43">
        <f t="shared" si="28"/>
        <v>0</v>
      </c>
      <c r="CB21" s="43">
        <f t="shared" si="28"/>
        <v>8897656.7601147294</v>
      </c>
      <c r="CC21" s="43">
        <f t="shared" ref="CC21:CH21" si="29">CC4-CB5</f>
        <v>0</v>
      </c>
      <c r="CD21" s="43">
        <f t="shared" si="29"/>
        <v>0</v>
      </c>
      <c r="CE21" s="43">
        <f t="shared" si="29"/>
        <v>9097854.0372172892</v>
      </c>
      <c r="CF21" s="43">
        <f t="shared" si="29"/>
        <v>0</v>
      </c>
      <c r="CG21" s="43">
        <f t="shared" si="29"/>
        <v>0</v>
      </c>
      <c r="CH21" s="43">
        <f t="shared" si="29"/>
        <v>9302555.7530546784</v>
      </c>
    </row>
    <row r="22" spans="1:86" x14ac:dyDescent="0.25">
      <c r="A22" s="39" t="s">
        <v>37</v>
      </c>
      <c r="B22" s="31">
        <f>B21</f>
        <v>0</v>
      </c>
      <c r="C22" s="31">
        <f t="shared" ref="C22:BD22" si="30">B22+C21</f>
        <v>0</v>
      </c>
      <c r="D22" s="31">
        <f t="shared" si="30"/>
        <v>0</v>
      </c>
      <c r="E22" s="31">
        <f t="shared" si="30"/>
        <v>0</v>
      </c>
      <c r="F22" s="31">
        <f t="shared" si="30"/>
        <v>0</v>
      </c>
      <c r="G22" s="31">
        <f t="shared" si="30"/>
        <v>0</v>
      </c>
      <c r="H22" s="31">
        <f t="shared" si="30"/>
        <v>0</v>
      </c>
      <c r="I22" s="31">
        <f t="shared" si="30"/>
        <v>0</v>
      </c>
      <c r="J22" s="31">
        <f t="shared" si="30"/>
        <v>0</v>
      </c>
      <c r="K22" s="31">
        <f t="shared" si="30"/>
        <v>0</v>
      </c>
      <c r="L22" s="31">
        <f t="shared" si="30"/>
        <v>0</v>
      </c>
      <c r="M22" s="31">
        <f t="shared" si="30"/>
        <v>0</v>
      </c>
      <c r="N22" s="31">
        <f t="shared" si="30"/>
        <v>0</v>
      </c>
      <c r="O22" s="31">
        <f t="shared" si="30"/>
        <v>0</v>
      </c>
      <c r="P22" s="31">
        <f t="shared" si="30"/>
        <v>0</v>
      </c>
      <c r="Q22" s="31">
        <f t="shared" si="30"/>
        <v>0</v>
      </c>
      <c r="R22" s="31">
        <f t="shared" si="30"/>
        <v>0</v>
      </c>
      <c r="S22" s="31">
        <f t="shared" si="30"/>
        <v>0</v>
      </c>
      <c r="T22" s="31">
        <f t="shared" si="30"/>
        <v>11278063.310655672</v>
      </c>
      <c r="U22" s="31">
        <f t="shared" si="30"/>
        <v>11278063.310655672</v>
      </c>
      <c r="V22" s="31">
        <f t="shared" si="30"/>
        <v>11278063.310655672</v>
      </c>
      <c r="W22" s="31">
        <f t="shared" si="30"/>
        <v>17108118.034604348</v>
      </c>
      <c r="X22" s="31">
        <f t="shared" si="30"/>
        <v>17108118.034604348</v>
      </c>
      <c r="Y22" s="31">
        <f t="shared" si="30"/>
        <v>17108118.034604348</v>
      </c>
      <c r="Z22" s="31">
        <f t="shared" si="30"/>
        <v>23069348.989841871</v>
      </c>
      <c r="AA22" s="31">
        <f t="shared" si="30"/>
        <v>23069348.989841871</v>
      </c>
      <c r="AB22" s="31">
        <f t="shared" si="30"/>
        <v>23069348.989841871</v>
      </c>
      <c r="AC22" s="31">
        <f t="shared" si="30"/>
        <v>29164707.641572237</v>
      </c>
      <c r="AD22" s="31">
        <f t="shared" si="30"/>
        <v>29164707.641572237</v>
      </c>
      <c r="AE22" s="31">
        <f t="shared" si="30"/>
        <v>29164707.641572237</v>
      </c>
      <c r="AF22" s="31">
        <f t="shared" si="30"/>
        <v>35397211.862966537</v>
      </c>
      <c r="AG22" s="31">
        <f t="shared" si="30"/>
        <v>35397211.862966537</v>
      </c>
      <c r="AH22" s="31">
        <f t="shared" si="30"/>
        <v>35397211.862966537</v>
      </c>
      <c r="AI22" s="31">
        <f t="shared" si="30"/>
        <v>41769947.42934221</v>
      </c>
      <c r="AJ22" s="31">
        <f t="shared" si="30"/>
        <v>41769947.42934221</v>
      </c>
      <c r="AK22" s="31">
        <f t="shared" si="30"/>
        <v>41769947.42934221</v>
      </c>
      <c r="AL22" s="31">
        <f t="shared" si="30"/>
        <v>48286069.545961335</v>
      </c>
      <c r="AM22" s="31">
        <f t="shared" si="30"/>
        <v>48286069.545961335</v>
      </c>
      <c r="AN22" s="31">
        <f t="shared" si="30"/>
        <v>48286069.545961335</v>
      </c>
      <c r="AO22" s="31">
        <f t="shared" si="30"/>
        <v>54948804.410204388</v>
      </c>
      <c r="AP22" s="31">
        <f t="shared" si="30"/>
        <v>54948804.410204388</v>
      </c>
      <c r="AQ22" s="31">
        <f t="shared" si="30"/>
        <v>54948804.410204388</v>
      </c>
      <c r="AR22" s="31">
        <f t="shared" si="30"/>
        <v>61761450.808892913</v>
      </c>
      <c r="AS22" s="31">
        <f t="shared" si="30"/>
        <v>61761450.808892913</v>
      </c>
      <c r="AT22" s="31">
        <f t="shared" si="30"/>
        <v>61761450.808892913</v>
      </c>
      <c r="AU22" s="31">
        <f t="shared" si="30"/>
        <v>68727381.751551926</v>
      </c>
      <c r="AV22" s="31">
        <f t="shared" si="30"/>
        <v>68727381.751551926</v>
      </c>
      <c r="AW22" s="31">
        <f t="shared" si="30"/>
        <v>68727381.751551926</v>
      </c>
      <c r="AX22" s="31">
        <f t="shared" si="30"/>
        <v>75850046.140420765</v>
      </c>
      <c r="AY22" s="31">
        <f t="shared" si="30"/>
        <v>75850046.140420765</v>
      </c>
      <c r="AZ22" s="31">
        <f t="shared" si="30"/>
        <v>75850046.140420765</v>
      </c>
      <c r="BA22" s="31">
        <f t="shared" si="30"/>
        <v>83132970.47803916</v>
      </c>
      <c r="BB22" s="31">
        <f t="shared" si="30"/>
        <v>83132970.47803916</v>
      </c>
      <c r="BC22" s="31">
        <f t="shared" si="30"/>
        <v>83132970.47803916</v>
      </c>
      <c r="BD22" s="31">
        <f t="shared" si="30"/>
        <v>90579760.613253966</v>
      </c>
      <c r="BE22" s="31">
        <f t="shared" ref="BE22:BT22" si="31">BD22+BE21</f>
        <v>90579760.613253966</v>
      </c>
      <c r="BF22" s="31">
        <f t="shared" si="31"/>
        <v>90579760.613253966</v>
      </c>
      <c r="BG22" s="31">
        <f t="shared" si="31"/>
        <v>98194103.526511103</v>
      </c>
      <c r="BH22" s="31">
        <f t="shared" si="31"/>
        <v>98194103.526511103</v>
      </c>
      <c r="BI22" s="31">
        <f t="shared" si="31"/>
        <v>98194103.526511103</v>
      </c>
      <c r="BJ22" s="31">
        <f t="shared" si="31"/>
        <v>105979769.15531653</v>
      </c>
      <c r="BK22" s="31">
        <f t="shared" si="31"/>
        <v>105979769.15531653</v>
      </c>
      <c r="BL22" s="31">
        <f t="shared" si="31"/>
        <v>105979769.15531653</v>
      </c>
      <c r="BM22" s="31">
        <f t="shared" si="31"/>
        <v>113940612.26077008</v>
      </c>
      <c r="BN22" s="31">
        <f t="shared" si="31"/>
        <v>113940612.26077008</v>
      </c>
      <c r="BO22" s="31">
        <f t="shared" si="31"/>
        <v>113940612.26077008</v>
      </c>
      <c r="BP22" s="31">
        <f t="shared" si="31"/>
        <v>122080574.33609633</v>
      </c>
      <c r="BQ22" s="31">
        <f t="shared" si="31"/>
        <v>122080574.33609633</v>
      </c>
      <c r="BR22" s="31">
        <f t="shared" si="31"/>
        <v>122080574.33609633</v>
      </c>
      <c r="BS22" s="31">
        <f t="shared" si="31"/>
        <v>130403685.55811742</v>
      </c>
      <c r="BT22" s="31">
        <f t="shared" si="31"/>
        <v>130403685.55811742</v>
      </c>
      <c r="BU22" s="31">
        <f t="shared" ref="BU22:CF22" si="32">BT22+BU21</f>
        <v>130403685.55811742</v>
      </c>
      <c r="BV22" s="31">
        <f t="shared" si="32"/>
        <v>138914066.78263399</v>
      </c>
      <c r="BW22" s="31">
        <f t="shared" si="32"/>
        <v>138914066.78263399</v>
      </c>
      <c r="BX22" s="31">
        <f t="shared" si="32"/>
        <v>138914066.78263399</v>
      </c>
      <c r="BY22" s="31">
        <f t="shared" si="32"/>
        <v>147615931.58470216</v>
      </c>
      <c r="BZ22" s="31">
        <f t="shared" si="32"/>
        <v>147615931.58470216</v>
      </c>
      <c r="CA22" s="31">
        <f t="shared" si="32"/>
        <v>147615931.58470216</v>
      </c>
      <c r="CB22" s="31">
        <f t="shared" si="32"/>
        <v>156513588.34481689</v>
      </c>
      <c r="CC22" s="31">
        <f t="shared" si="32"/>
        <v>156513588.34481689</v>
      </c>
      <c r="CD22" s="31">
        <f t="shared" si="32"/>
        <v>156513588.34481689</v>
      </c>
      <c r="CE22" s="31">
        <f t="shared" si="32"/>
        <v>165611442.38203418</v>
      </c>
      <c r="CF22" s="31">
        <f t="shared" si="32"/>
        <v>165611442.38203418</v>
      </c>
      <c r="CG22" s="31">
        <f>CF22+CG21</f>
        <v>165611442.38203418</v>
      </c>
      <c r="CH22" s="31">
        <f>CG22+CH21</f>
        <v>174913998.13508886</v>
      </c>
    </row>
    <row r="23" spans="1:86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</row>
    <row r="24" spans="1:86" ht="15" x14ac:dyDescent="0.3">
      <c r="A24" s="42" t="s">
        <v>40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</row>
    <row r="25" spans="1:86" s="87" customFormat="1" x14ac:dyDescent="0.25">
      <c r="A25" s="39" t="s">
        <v>41</v>
      </c>
      <c r="B25" s="31">
        <v>0</v>
      </c>
      <c r="C25" s="86">
        <f t="shared" ref="C25:R25" si="33">C10-B11</f>
        <v>0</v>
      </c>
      <c r="D25" s="86">
        <f t="shared" si="33"/>
        <v>0</v>
      </c>
      <c r="E25" s="86">
        <f t="shared" si="33"/>
        <v>0</v>
      </c>
      <c r="F25" s="86">
        <f t="shared" si="33"/>
        <v>0</v>
      </c>
      <c r="G25" s="86">
        <f t="shared" si="33"/>
        <v>0</v>
      </c>
      <c r="H25" s="86">
        <f t="shared" si="33"/>
        <v>0</v>
      </c>
      <c r="I25" s="86">
        <f t="shared" si="33"/>
        <v>0</v>
      </c>
      <c r="J25" s="86">
        <f t="shared" si="33"/>
        <v>0</v>
      </c>
      <c r="K25" s="86">
        <f t="shared" si="33"/>
        <v>0</v>
      </c>
      <c r="L25" s="86">
        <f t="shared" si="33"/>
        <v>0</v>
      </c>
      <c r="M25" s="86">
        <f t="shared" si="33"/>
        <v>0</v>
      </c>
      <c r="N25" s="86">
        <f t="shared" si="33"/>
        <v>0</v>
      </c>
      <c r="O25" s="86">
        <f t="shared" si="33"/>
        <v>0</v>
      </c>
      <c r="P25" s="86">
        <f t="shared" si="33"/>
        <v>0</v>
      </c>
      <c r="Q25" s="86">
        <v>0</v>
      </c>
      <c r="R25" s="86"/>
      <c r="S25" s="86"/>
      <c r="T25" s="86">
        <f t="shared" ref="T25:CE25" si="34">T10-S11</f>
        <v>7263255.6348948134</v>
      </c>
      <c r="U25" s="86">
        <f t="shared" si="34"/>
        <v>0</v>
      </c>
      <c r="V25" s="86">
        <f t="shared" si="34"/>
        <v>0</v>
      </c>
      <c r="W25" s="86">
        <f t="shared" si="34"/>
        <v>3722717.5172558548</v>
      </c>
      <c r="X25" s="86">
        <f t="shared" si="34"/>
        <v>0</v>
      </c>
      <c r="Y25" s="86">
        <f t="shared" si="34"/>
        <v>0</v>
      </c>
      <c r="Z25" s="86">
        <f t="shared" si="34"/>
        <v>3590083.7722860221</v>
      </c>
      <c r="AA25" s="86">
        <f t="shared" si="34"/>
        <v>0</v>
      </c>
      <c r="AB25" s="86">
        <f t="shared" si="34"/>
        <v>0</v>
      </c>
      <c r="AC25" s="86">
        <f t="shared" si="34"/>
        <v>3454465.768054368</v>
      </c>
      <c r="AD25" s="86">
        <f t="shared" si="34"/>
        <v>0</v>
      </c>
      <c r="AE25" s="86">
        <f t="shared" si="34"/>
        <v>0</v>
      </c>
      <c r="AF25" s="86">
        <f t="shared" si="34"/>
        <v>3315796.3587275036</v>
      </c>
      <c r="AG25" s="86">
        <f t="shared" si="34"/>
        <v>0</v>
      </c>
      <c r="AH25" s="86">
        <f t="shared" si="34"/>
        <v>0</v>
      </c>
      <c r="AI25" s="86">
        <f t="shared" si="34"/>
        <v>3174006.8876907825</v>
      </c>
      <c r="AJ25" s="86">
        <f t="shared" si="34"/>
        <v>0</v>
      </c>
      <c r="AK25" s="86">
        <f t="shared" si="34"/>
        <v>0</v>
      </c>
      <c r="AL25" s="86">
        <f t="shared" si="34"/>
        <v>3029027.1535557359</v>
      </c>
      <c r="AM25" s="86">
        <f t="shared" si="34"/>
        <v>0</v>
      </c>
      <c r="AN25" s="86">
        <f t="shared" si="34"/>
        <v>0</v>
      </c>
      <c r="AO25" s="86">
        <f t="shared" si="34"/>
        <v>2975756.3218444958</v>
      </c>
      <c r="AP25" s="86">
        <f t="shared" si="34"/>
        <v>0</v>
      </c>
      <c r="AQ25" s="86">
        <f t="shared" si="34"/>
        <v>0</v>
      </c>
      <c r="AR25" s="86">
        <f t="shared" si="34"/>
        <v>2729208.1572411209</v>
      </c>
      <c r="AS25" s="86">
        <f t="shared" si="34"/>
        <v>0</v>
      </c>
      <c r="AT25" s="86">
        <f t="shared" si="34"/>
        <v>0</v>
      </c>
      <c r="AU25" s="86">
        <f t="shared" si="34"/>
        <v>2574220.4516709596</v>
      </c>
      <c r="AV25" s="86">
        <f t="shared" si="34"/>
        <v>0</v>
      </c>
      <c r="AW25" s="86">
        <f t="shared" si="34"/>
        <v>0</v>
      </c>
      <c r="AX25" s="86">
        <f t="shared" si="34"/>
        <v>2442292.1768213511</v>
      </c>
      <c r="AY25" s="86">
        <f t="shared" si="34"/>
        <v>0</v>
      </c>
      <c r="AZ25" s="86">
        <f t="shared" si="34"/>
        <v>0</v>
      </c>
      <c r="BA25" s="86">
        <f t="shared" si="34"/>
        <v>2278470.8958773687</v>
      </c>
      <c r="BB25" s="86">
        <f t="shared" si="34"/>
        <v>0</v>
      </c>
      <c r="BC25" s="86">
        <f t="shared" si="34"/>
        <v>0</v>
      </c>
      <c r="BD25" s="86">
        <f t="shared" si="34"/>
        <v>2088018.3791978806</v>
      </c>
      <c r="BE25" s="86">
        <f t="shared" si="34"/>
        <v>0</v>
      </c>
      <c r="BF25" s="86">
        <f t="shared" si="34"/>
        <v>0</v>
      </c>
      <c r="BG25" s="86">
        <f t="shared" si="34"/>
        <v>1897520.3442412838</v>
      </c>
      <c r="BH25" s="86">
        <f t="shared" si="34"/>
        <v>0</v>
      </c>
      <c r="BI25" s="86">
        <f t="shared" si="34"/>
        <v>0</v>
      </c>
      <c r="BJ25" s="86">
        <f t="shared" si="34"/>
        <v>1764557.5759972855</v>
      </c>
      <c r="BK25" s="86">
        <f t="shared" si="34"/>
        <v>0</v>
      </c>
      <c r="BL25" s="86">
        <f t="shared" si="34"/>
        <v>0</v>
      </c>
      <c r="BM25" s="86">
        <f t="shared" si="34"/>
        <v>1585487.2665347606</v>
      </c>
      <c r="BN25" s="86">
        <f t="shared" si="34"/>
        <v>0</v>
      </c>
      <c r="BO25" s="86">
        <f t="shared" si="34"/>
        <v>0</v>
      </c>
      <c r="BP25" s="86">
        <f t="shared" si="34"/>
        <v>1387144.5286407545</v>
      </c>
      <c r="BQ25" s="86">
        <f t="shared" si="34"/>
        <v>0</v>
      </c>
      <c r="BR25" s="86">
        <f t="shared" si="34"/>
        <v>0</v>
      </c>
      <c r="BS25" s="86">
        <f t="shared" si="34"/>
        <v>1188752.0354773328</v>
      </c>
      <c r="BT25" s="86">
        <f t="shared" si="34"/>
        <v>0</v>
      </c>
      <c r="BU25" s="86">
        <f t="shared" si="34"/>
        <v>0</v>
      </c>
      <c r="BV25" s="86">
        <f t="shared" si="34"/>
        <v>1023737.1892703399</v>
      </c>
      <c r="BW25" s="86">
        <f t="shared" si="34"/>
        <v>0</v>
      </c>
      <c r="BX25" s="86">
        <f t="shared" si="34"/>
        <v>0</v>
      </c>
      <c r="BY25" s="86">
        <f t="shared" si="34"/>
        <v>827998.42110646516</v>
      </c>
      <c r="BZ25" s="86">
        <f t="shared" si="34"/>
        <v>0</v>
      </c>
      <c r="CA25" s="86">
        <f t="shared" si="34"/>
        <v>0</v>
      </c>
      <c r="CB25" s="86">
        <f t="shared" si="34"/>
        <v>621031.01402129978</v>
      </c>
      <c r="CC25" s="86">
        <f t="shared" si="34"/>
        <v>0</v>
      </c>
      <c r="CD25" s="86">
        <f t="shared" si="34"/>
        <v>0</v>
      </c>
      <c r="CE25" s="86">
        <f t="shared" si="34"/>
        <v>414009.22028111666</v>
      </c>
      <c r="CF25" s="86">
        <f t="shared" ref="CF25:CG25" si="35">CF10-CE11</f>
        <v>0</v>
      </c>
      <c r="CG25" s="86">
        <f t="shared" si="35"/>
        <v>0</v>
      </c>
      <c r="CH25" s="86">
        <f t="shared" ref="CH25" si="36">CH10-CG11</f>
        <v>213958.782320261</v>
      </c>
    </row>
    <row r="26" spans="1:86" x14ac:dyDescent="0.25">
      <c r="A26" s="39" t="s">
        <v>42</v>
      </c>
      <c r="B26" s="31">
        <f>B25</f>
        <v>0</v>
      </c>
      <c r="C26" s="31">
        <f>B26+C25</f>
        <v>0</v>
      </c>
      <c r="D26" s="31">
        <f>C26+D25</f>
        <v>0</v>
      </c>
      <c r="E26" s="31">
        <f>D26+E25</f>
        <v>0</v>
      </c>
      <c r="F26" s="31">
        <f>E26+F25</f>
        <v>0</v>
      </c>
      <c r="G26" s="31">
        <f t="shared" ref="G26:M26" si="37">F26+G25</f>
        <v>0</v>
      </c>
      <c r="H26" s="31">
        <f t="shared" si="37"/>
        <v>0</v>
      </c>
      <c r="I26" s="31">
        <f t="shared" si="37"/>
        <v>0</v>
      </c>
      <c r="J26" s="31">
        <f t="shared" si="37"/>
        <v>0</v>
      </c>
      <c r="K26" s="31">
        <f t="shared" si="37"/>
        <v>0</v>
      </c>
      <c r="L26" s="31">
        <f t="shared" si="37"/>
        <v>0</v>
      </c>
      <c r="M26" s="31">
        <f t="shared" si="37"/>
        <v>0</v>
      </c>
      <c r="N26" s="31">
        <f t="shared" ref="N26:AS26" si="38">M26+N25</f>
        <v>0</v>
      </c>
      <c r="O26" s="31">
        <f t="shared" si="38"/>
        <v>0</v>
      </c>
      <c r="P26" s="31">
        <f t="shared" si="38"/>
        <v>0</v>
      </c>
      <c r="Q26" s="31">
        <f t="shared" si="38"/>
        <v>0</v>
      </c>
      <c r="R26" s="31">
        <f t="shared" si="38"/>
        <v>0</v>
      </c>
      <c r="S26" s="31">
        <f t="shared" si="38"/>
        <v>0</v>
      </c>
      <c r="T26" s="31">
        <f t="shared" si="38"/>
        <v>7263255.6348948134</v>
      </c>
      <c r="U26" s="31">
        <f t="shared" si="38"/>
        <v>7263255.6348948134</v>
      </c>
      <c r="V26" s="31">
        <f t="shared" si="38"/>
        <v>7263255.6348948134</v>
      </c>
      <c r="W26" s="31">
        <f t="shared" si="38"/>
        <v>10985973.152150668</v>
      </c>
      <c r="X26" s="31">
        <f t="shared" si="38"/>
        <v>10985973.152150668</v>
      </c>
      <c r="Y26" s="31">
        <f t="shared" si="38"/>
        <v>10985973.152150668</v>
      </c>
      <c r="Z26" s="31">
        <f t="shared" si="38"/>
        <v>14576056.92443669</v>
      </c>
      <c r="AA26" s="31">
        <f t="shared" si="38"/>
        <v>14576056.92443669</v>
      </c>
      <c r="AB26" s="31">
        <f t="shared" si="38"/>
        <v>14576056.92443669</v>
      </c>
      <c r="AC26" s="31">
        <f t="shared" si="38"/>
        <v>18030522.692491058</v>
      </c>
      <c r="AD26" s="31">
        <f t="shared" si="38"/>
        <v>18030522.692491058</v>
      </c>
      <c r="AE26" s="31">
        <f t="shared" si="38"/>
        <v>18030522.692491058</v>
      </c>
      <c r="AF26" s="31">
        <f t="shared" si="38"/>
        <v>21346319.051218562</v>
      </c>
      <c r="AG26" s="31">
        <f t="shared" si="38"/>
        <v>21346319.051218562</v>
      </c>
      <c r="AH26" s="31">
        <f t="shared" si="38"/>
        <v>21346319.051218562</v>
      </c>
      <c r="AI26" s="31">
        <f t="shared" si="38"/>
        <v>24520325.938909344</v>
      </c>
      <c r="AJ26" s="31">
        <f t="shared" si="38"/>
        <v>24520325.938909344</v>
      </c>
      <c r="AK26" s="31">
        <f t="shared" si="38"/>
        <v>24520325.938909344</v>
      </c>
      <c r="AL26" s="31">
        <f t="shared" si="38"/>
        <v>27549353.09246508</v>
      </c>
      <c r="AM26" s="31">
        <f t="shared" si="38"/>
        <v>27549353.09246508</v>
      </c>
      <c r="AN26" s="31">
        <f t="shared" si="38"/>
        <v>27549353.09246508</v>
      </c>
      <c r="AO26" s="31">
        <f t="shared" si="38"/>
        <v>30525109.414309576</v>
      </c>
      <c r="AP26" s="31">
        <f t="shared" si="38"/>
        <v>30525109.414309576</v>
      </c>
      <c r="AQ26" s="31">
        <f t="shared" si="38"/>
        <v>30525109.414309576</v>
      </c>
      <c r="AR26" s="31">
        <f t="shared" si="38"/>
        <v>33254317.571550697</v>
      </c>
      <c r="AS26" s="31">
        <f t="shared" si="38"/>
        <v>33254317.571550697</v>
      </c>
      <c r="AT26" s="31">
        <f t="shared" ref="AT26:BY26" si="39">AS26+AT25</f>
        <v>33254317.571550697</v>
      </c>
      <c r="AU26" s="31">
        <f t="shared" si="39"/>
        <v>35828538.023221657</v>
      </c>
      <c r="AV26" s="31">
        <f t="shared" si="39"/>
        <v>35828538.023221657</v>
      </c>
      <c r="AW26" s="31">
        <f t="shared" si="39"/>
        <v>35828538.023221657</v>
      </c>
      <c r="AX26" s="31">
        <f t="shared" si="39"/>
        <v>38270830.200043008</v>
      </c>
      <c r="AY26" s="31">
        <f t="shared" si="39"/>
        <v>38270830.200043008</v>
      </c>
      <c r="AZ26" s="31">
        <f t="shared" si="39"/>
        <v>38270830.200043008</v>
      </c>
      <c r="BA26" s="31">
        <f t="shared" si="39"/>
        <v>40549301.095920376</v>
      </c>
      <c r="BB26" s="31">
        <f t="shared" si="39"/>
        <v>40549301.095920376</v>
      </c>
      <c r="BC26" s="31">
        <f t="shared" si="39"/>
        <v>40549301.095920376</v>
      </c>
      <c r="BD26" s="31">
        <f t="shared" si="39"/>
        <v>42637319.475118257</v>
      </c>
      <c r="BE26" s="31">
        <f t="shared" si="39"/>
        <v>42637319.475118257</v>
      </c>
      <c r="BF26" s="31">
        <f t="shared" si="39"/>
        <v>42637319.475118257</v>
      </c>
      <c r="BG26" s="31">
        <f t="shared" si="39"/>
        <v>44534839.819359541</v>
      </c>
      <c r="BH26" s="31">
        <f t="shared" si="39"/>
        <v>44534839.819359541</v>
      </c>
      <c r="BI26" s="31">
        <f t="shared" si="39"/>
        <v>44534839.819359541</v>
      </c>
      <c r="BJ26" s="31">
        <f t="shared" si="39"/>
        <v>46299397.395356826</v>
      </c>
      <c r="BK26" s="31">
        <f t="shared" si="39"/>
        <v>46299397.395356826</v>
      </c>
      <c r="BL26" s="31">
        <f t="shared" si="39"/>
        <v>46299397.395356826</v>
      </c>
      <c r="BM26" s="31">
        <f t="shared" si="39"/>
        <v>47884884.661891587</v>
      </c>
      <c r="BN26" s="31">
        <f t="shared" si="39"/>
        <v>47884884.661891587</v>
      </c>
      <c r="BO26" s="31">
        <f t="shared" si="39"/>
        <v>47884884.661891587</v>
      </c>
      <c r="BP26" s="31">
        <f t="shared" si="39"/>
        <v>49272029.190532342</v>
      </c>
      <c r="BQ26" s="31">
        <f t="shared" si="39"/>
        <v>49272029.190532342</v>
      </c>
      <c r="BR26" s="31">
        <f t="shared" si="39"/>
        <v>49272029.190532342</v>
      </c>
      <c r="BS26" s="31">
        <f t="shared" si="39"/>
        <v>50460781.226009674</v>
      </c>
      <c r="BT26" s="31">
        <f t="shared" si="39"/>
        <v>50460781.226009674</v>
      </c>
      <c r="BU26" s="31">
        <f t="shared" si="39"/>
        <v>50460781.226009674</v>
      </c>
      <c r="BV26" s="31">
        <f t="shared" si="39"/>
        <v>51484518.415280014</v>
      </c>
      <c r="BW26" s="31">
        <f t="shared" si="39"/>
        <v>51484518.415280014</v>
      </c>
      <c r="BX26" s="31">
        <f t="shared" si="39"/>
        <v>51484518.415280014</v>
      </c>
      <c r="BY26" s="31">
        <f t="shared" si="39"/>
        <v>52312516.836386479</v>
      </c>
      <c r="BZ26" s="31">
        <f t="shared" ref="BZ26:CH26" si="40">BY26+BZ25</f>
        <v>52312516.836386479</v>
      </c>
      <c r="CA26" s="31">
        <f t="shared" si="40"/>
        <v>52312516.836386479</v>
      </c>
      <c r="CB26" s="31">
        <f t="shared" si="40"/>
        <v>52933547.850407779</v>
      </c>
      <c r="CC26" s="31">
        <f t="shared" si="40"/>
        <v>52933547.850407779</v>
      </c>
      <c r="CD26" s="31">
        <f t="shared" si="40"/>
        <v>52933547.850407779</v>
      </c>
      <c r="CE26" s="31">
        <f t="shared" si="40"/>
        <v>53347557.070688896</v>
      </c>
      <c r="CF26" s="31">
        <f t="shared" si="40"/>
        <v>53347557.070688896</v>
      </c>
      <c r="CG26" s="31">
        <f t="shared" si="40"/>
        <v>53347557.070688896</v>
      </c>
      <c r="CH26" s="31">
        <f t="shared" si="40"/>
        <v>53561515.853009157</v>
      </c>
    </row>
    <row r="27" spans="1:86" x14ac:dyDescent="0.25">
      <c r="A27" s="39" t="s">
        <v>38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</row>
    <row r="28" spans="1:86" x14ac:dyDescent="0.25">
      <c r="A28" s="37" t="s">
        <v>39</v>
      </c>
      <c r="B28" s="31">
        <f>B27</f>
        <v>0</v>
      </c>
      <c r="C28" s="31">
        <f t="shared" ref="C28:K28" si="41">B28+C27</f>
        <v>0</v>
      </c>
      <c r="D28" s="31">
        <f t="shared" si="41"/>
        <v>0</v>
      </c>
      <c r="E28" s="31">
        <f t="shared" si="41"/>
        <v>0</v>
      </c>
      <c r="F28" s="31">
        <f t="shared" si="41"/>
        <v>0</v>
      </c>
      <c r="G28" s="31">
        <f t="shared" si="41"/>
        <v>0</v>
      </c>
      <c r="H28" s="31">
        <f t="shared" si="41"/>
        <v>0</v>
      </c>
      <c r="I28" s="31">
        <f t="shared" si="41"/>
        <v>0</v>
      </c>
      <c r="J28" s="31">
        <f t="shared" si="41"/>
        <v>0</v>
      </c>
      <c r="K28" s="31">
        <f t="shared" si="41"/>
        <v>0</v>
      </c>
      <c r="L28" s="31">
        <f t="shared" ref="L28:AQ28" si="42">K28+L27</f>
        <v>0</v>
      </c>
      <c r="M28" s="31">
        <f t="shared" si="42"/>
        <v>0</v>
      </c>
      <c r="N28" s="31">
        <f t="shared" si="42"/>
        <v>0</v>
      </c>
      <c r="O28" s="31">
        <f t="shared" si="42"/>
        <v>0</v>
      </c>
      <c r="P28" s="31">
        <f t="shared" si="42"/>
        <v>0</v>
      </c>
      <c r="Q28" s="31">
        <f t="shared" si="42"/>
        <v>0</v>
      </c>
      <c r="R28" s="31">
        <f t="shared" si="42"/>
        <v>0</v>
      </c>
      <c r="S28" s="31">
        <f t="shared" si="42"/>
        <v>0</v>
      </c>
      <c r="T28" s="31">
        <f t="shared" si="42"/>
        <v>0</v>
      </c>
      <c r="U28" s="31">
        <f t="shared" si="42"/>
        <v>0</v>
      </c>
      <c r="V28" s="31">
        <f t="shared" si="42"/>
        <v>0</v>
      </c>
      <c r="W28" s="31">
        <f t="shared" si="42"/>
        <v>0</v>
      </c>
      <c r="X28" s="31">
        <f t="shared" si="42"/>
        <v>0</v>
      </c>
      <c r="Y28" s="31">
        <f t="shared" si="42"/>
        <v>0</v>
      </c>
      <c r="Z28" s="31">
        <f t="shared" si="42"/>
        <v>0</v>
      </c>
      <c r="AA28" s="31">
        <f t="shared" si="42"/>
        <v>0</v>
      </c>
      <c r="AB28" s="31">
        <f t="shared" si="42"/>
        <v>0</v>
      </c>
      <c r="AC28" s="31">
        <f t="shared" si="42"/>
        <v>0</v>
      </c>
      <c r="AD28" s="31">
        <f t="shared" si="42"/>
        <v>0</v>
      </c>
      <c r="AE28" s="31">
        <f t="shared" si="42"/>
        <v>0</v>
      </c>
      <c r="AF28" s="31">
        <f t="shared" si="42"/>
        <v>0</v>
      </c>
      <c r="AG28" s="31">
        <f t="shared" si="42"/>
        <v>0</v>
      </c>
      <c r="AH28" s="31">
        <f t="shared" si="42"/>
        <v>0</v>
      </c>
      <c r="AI28" s="31">
        <f t="shared" si="42"/>
        <v>0</v>
      </c>
      <c r="AJ28" s="31">
        <f t="shared" si="42"/>
        <v>0</v>
      </c>
      <c r="AK28" s="31">
        <f t="shared" si="42"/>
        <v>0</v>
      </c>
      <c r="AL28" s="31">
        <f t="shared" si="42"/>
        <v>0</v>
      </c>
      <c r="AM28" s="31">
        <f t="shared" si="42"/>
        <v>0</v>
      </c>
      <c r="AN28" s="31">
        <f t="shared" si="42"/>
        <v>0</v>
      </c>
      <c r="AO28" s="31">
        <f t="shared" si="42"/>
        <v>0</v>
      </c>
      <c r="AP28" s="31">
        <f t="shared" si="42"/>
        <v>0</v>
      </c>
      <c r="AQ28" s="31">
        <f t="shared" si="42"/>
        <v>0</v>
      </c>
      <c r="AR28" s="31">
        <f t="shared" ref="AR28:BW28" si="43">AQ28+AR27</f>
        <v>0</v>
      </c>
      <c r="AS28" s="31">
        <f t="shared" si="43"/>
        <v>0</v>
      </c>
      <c r="AT28" s="31">
        <f t="shared" si="43"/>
        <v>0</v>
      </c>
      <c r="AU28" s="31">
        <f t="shared" si="43"/>
        <v>0</v>
      </c>
      <c r="AV28" s="31">
        <f t="shared" si="43"/>
        <v>0</v>
      </c>
      <c r="AW28" s="31">
        <f t="shared" si="43"/>
        <v>0</v>
      </c>
      <c r="AX28" s="31">
        <f t="shared" si="43"/>
        <v>0</v>
      </c>
      <c r="AY28" s="31">
        <f t="shared" si="43"/>
        <v>0</v>
      </c>
      <c r="AZ28" s="31">
        <f t="shared" si="43"/>
        <v>0</v>
      </c>
      <c r="BA28" s="31">
        <f t="shared" si="43"/>
        <v>0</v>
      </c>
      <c r="BB28" s="31">
        <f t="shared" si="43"/>
        <v>0</v>
      </c>
      <c r="BC28" s="31">
        <f t="shared" si="43"/>
        <v>0</v>
      </c>
      <c r="BD28" s="31">
        <f t="shared" si="43"/>
        <v>0</v>
      </c>
      <c r="BE28" s="31">
        <f t="shared" si="43"/>
        <v>0</v>
      </c>
      <c r="BF28" s="31">
        <f t="shared" si="43"/>
        <v>0</v>
      </c>
      <c r="BG28" s="31">
        <f t="shared" si="43"/>
        <v>0</v>
      </c>
      <c r="BH28" s="31">
        <f t="shared" si="43"/>
        <v>0</v>
      </c>
      <c r="BI28" s="31">
        <f t="shared" si="43"/>
        <v>0</v>
      </c>
      <c r="BJ28" s="31">
        <f t="shared" si="43"/>
        <v>0</v>
      </c>
      <c r="BK28" s="31">
        <f t="shared" si="43"/>
        <v>0</v>
      </c>
      <c r="BL28" s="31">
        <f t="shared" si="43"/>
        <v>0</v>
      </c>
      <c r="BM28" s="31">
        <f t="shared" si="43"/>
        <v>0</v>
      </c>
      <c r="BN28" s="31">
        <f t="shared" si="43"/>
        <v>0</v>
      </c>
      <c r="BO28" s="31">
        <f t="shared" si="43"/>
        <v>0</v>
      </c>
      <c r="BP28" s="31">
        <f t="shared" si="43"/>
        <v>0</v>
      </c>
      <c r="BQ28" s="31">
        <f t="shared" si="43"/>
        <v>0</v>
      </c>
      <c r="BR28" s="31">
        <f t="shared" si="43"/>
        <v>0</v>
      </c>
      <c r="BS28" s="31">
        <f t="shared" si="43"/>
        <v>0</v>
      </c>
      <c r="BT28" s="31">
        <f t="shared" si="43"/>
        <v>0</v>
      </c>
      <c r="BU28" s="31">
        <f t="shared" si="43"/>
        <v>0</v>
      </c>
      <c r="BV28" s="31">
        <f t="shared" si="43"/>
        <v>0</v>
      </c>
      <c r="BW28" s="31">
        <f t="shared" si="43"/>
        <v>0</v>
      </c>
      <c r="BX28" s="31">
        <f t="shared" ref="BX28:CH28" si="44">BW28+BX27</f>
        <v>0</v>
      </c>
      <c r="BY28" s="31">
        <f t="shared" si="44"/>
        <v>0</v>
      </c>
      <c r="BZ28" s="31">
        <f t="shared" si="44"/>
        <v>0</v>
      </c>
      <c r="CA28" s="31">
        <f t="shared" si="44"/>
        <v>0</v>
      </c>
      <c r="CB28" s="31">
        <f t="shared" si="44"/>
        <v>0</v>
      </c>
      <c r="CC28" s="31">
        <f t="shared" si="44"/>
        <v>0</v>
      </c>
      <c r="CD28" s="31">
        <f t="shared" si="44"/>
        <v>0</v>
      </c>
      <c r="CE28" s="31">
        <f t="shared" si="44"/>
        <v>0</v>
      </c>
      <c r="CF28" s="31">
        <f t="shared" si="44"/>
        <v>0</v>
      </c>
      <c r="CG28" s="31">
        <f t="shared" si="44"/>
        <v>0</v>
      </c>
      <c r="CH28" s="31">
        <f t="shared" si="44"/>
        <v>0</v>
      </c>
    </row>
    <row r="29" spans="1:86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</row>
    <row r="30" spans="1:86" s="91" customFormat="1" ht="15" x14ac:dyDescent="0.3">
      <c r="A30" s="123" t="s">
        <v>53</v>
      </c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</row>
    <row r="31" spans="1:86" ht="15" x14ac:dyDescent="0.3">
      <c r="A31" s="92" t="s">
        <v>54</v>
      </c>
      <c r="B31" s="31"/>
      <c r="C31" s="31"/>
      <c r="D31" s="31"/>
      <c r="E31" s="118"/>
      <c r="F31" s="31"/>
      <c r="G31" s="31"/>
      <c r="H31" s="118"/>
      <c r="I31" s="31"/>
      <c r="J31" s="118"/>
      <c r="K31" s="118"/>
      <c r="L31" s="31"/>
      <c r="M31" s="118"/>
      <c r="N31" s="118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</row>
    <row r="32" spans="1:86" x14ac:dyDescent="0.25">
      <c r="A32" s="93" t="s">
        <v>28</v>
      </c>
      <c r="B32" s="31"/>
      <c r="C32" s="31"/>
      <c r="D32" s="31"/>
      <c r="E32" s="118"/>
      <c r="F32" s="31"/>
      <c r="G32" s="31"/>
      <c r="H32" s="118"/>
      <c r="I32" s="31"/>
      <c r="J32" s="118"/>
      <c r="K32" s="118"/>
      <c r="L32" s="31"/>
      <c r="M32" s="118"/>
      <c r="N32" s="118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</row>
    <row r="33" spans="1:86" x14ac:dyDescent="0.25">
      <c r="A33" s="93" t="s">
        <v>22</v>
      </c>
      <c r="B33" s="31"/>
      <c r="C33" s="31"/>
      <c r="D33" s="31"/>
      <c r="E33" s="118"/>
      <c r="F33" s="31"/>
      <c r="G33" s="31"/>
      <c r="H33" s="118"/>
      <c r="I33" s="31"/>
      <c r="J33" s="118"/>
      <c r="K33" s="118"/>
      <c r="L33" s="31"/>
      <c r="M33" s="118"/>
      <c r="N33" s="118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</row>
    <row r="34" spans="1:86" x14ac:dyDescent="0.25">
      <c r="A34" s="93" t="s">
        <v>55</v>
      </c>
      <c r="B34" s="31"/>
      <c r="C34" s="31"/>
      <c r="D34" s="31"/>
      <c r="E34" s="118"/>
      <c r="F34" s="31"/>
      <c r="G34" s="31"/>
      <c r="H34" s="118"/>
      <c r="I34" s="31"/>
      <c r="J34" s="118"/>
      <c r="K34" s="118"/>
      <c r="L34" s="31"/>
      <c r="M34" s="118"/>
      <c r="N34" s="118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</row>
    <row r="35" spans="1:86" ht="15" x14ac:dyDescent="0.3">
      <c r="A35" s="42" t="s">
        <v>56</v>
      </c>
      <c r="B35" s="31">
        <f>SUM(B32:B34)</f>
        <v>0</v>
      </c>
      <c r="C35" s="31">
        <f t="shared" ref="C35:BN35" si="45">SUM(C32:C34)</f>
        <v>0</v>
      </c>
      <c r="D35" s="31">
        <f t="shared" si="45"/>
        <v>0</v>
      </c>
      <c r="E35" s="118">
        <f t="shared" si="45"/>
        <v>0</v>
      </c>
      <c r="F35" s="31">
        <f t="shared" si="45"/>
        <v>0</v>
      </c>
      <c r="G35" s="31">
        <f t="shared" si="45"/>
        <v>0</v>
      </c>
      <c r="H35" s="118">
        <f t="shared" si="45"/>
        <v>0</v>
      </c>
      <c r="I35" s="31">
        <f t="shared" si="45"/>
        <v>0</v>
      </c>
      <c r="J35" s="31">
        <f t="shared" si="45"/>
        <v>0</v>
      </c>
      <c r="K35" s="118">
        <f t="shared" si="45"/>
        <v>0</v>
      </c>
      <c r="L35" s="31">
        <f t="shared" si="45"/>
        <v>0</v>
      </c>
      <c r="M35" s="31">
        <f>SUM(M32:M34)</f>
        <v>0</v>
      </c>
      <c r="N35" s="118">
        <f t="shared" si="45"/>
        <v>0</v>
      </c>
      <c r="O35" s="31">
        <f t="shared" si="45"/>
        <v>0</v>
      </c>
      <c r="P35" s="31">
        <f t="shared" si="45"/>
        <v>0</v>
      </c>
      <c r="Q35" s="31">
        <f t="shared" si="45"/>
        <v>0</v>
      </c>
      <c r="R35" s="31">
        <f t="shared" si="45"/>
        <v>0</v>
      </c>
      <c r="S35" s="31">
        <f t="shared" si="45"/>
        <v>0</v>
      </c>
      <c r="T35" s="31">
        <f t="shared" si="45"/>
        <v>0</v>
      </c>
      <c r="U35" s="31">
        <f t="shared" si="45"/>
        <v>0</v>
      </c>
      <c r="V35" s="31">
        <f t="shared" si="45"/>
        <v>0</v>
      </c>
      <c r="W35" s="31">
        <f t="shared" si="45"/>
        <v>0</v>
      </c>
      <c r="X35" s="31">
        <f t="shared" si="45"/>
        <v>0</v>
      </c>
      <c r="Y35" s="31">
        <f t="shared" si="45"/>
        <v>0</v>
      </c>
      <c r="Z35" s="31">
        <f t="shared" si="45"/>
        <v>0</v>
      </c>
      <c r="AA35" s="31">
        <f t="shared" si="45"/>
        <v>0</v>
      </c>
      <c r="AB35" s="31">
        <f t="shared" si="45"/>
        <v>0</v>
      </c>
      <c r="AC35" s="31">
        <f t="shared" si="45"/>
        <v>0</v>
      </c>
      <c r="AD35" s="31">
        <f t="shared" si="45"/>
        <v>0</v>
      </c>
      <c r="AE35" s="31">
        <f t="shared" si="45"/>
        <v>0</v>
      </c>
      <c r="AF35" s="31">
        <f t="shared" si="45"/>
        <v>0</v>
      </c>
      <c r="AG35" s="31">
        <f t="shared" si="45"/>
        <v>0</v>
      </c>
      <c r="AH35" s="31">
        <f t="shared" si="45"/>
        <v>0</v>
      </c>
      <c r="AI35" s="31">
        <f t="shared" si="45"/>
        <v>0</v>
      </c>
      <c r="AJ35" s="31">
        <f t="shared" si="45"/>
        <v>0</v>
      </c>
      <c r="AK35" s="31">
        <f t="shared" si="45"/>
        <v>0</v>
      </c>
      <c r="AL35" s="31">
        <f t="shared" si="45"/>
        <v>0</v>
      </c>
      <c r="AM35" s="31">
        <f t="shared" si="45"/>
        <v>0</v>
      </c>
      <c r="AN35" s="31">
        <f t="shared" si="45"/>
        <v>0</v>
      </c>
      <c r="AO35" s="31">
        <f t="shared" si="45"/>
        <v>0</v>
      </c>
      <c r="AP35" s="31">
        <f t="shared" si="45"/>
        <v>0</v>
      </c>
      <c r="AQ35" s="31">
        <f t="shared" si="45"/>
        <v>0</v>
      </c>
      <c r="AR35" s="31">
        <f t="shared" si="45"/>
        <v>0</v>
      </c>
      <c r="AS35" s="31">
        <f t="shared" si="45"/>
        <v>0</v>
      </c>
      <c r="AT35" s="31">
        <f t="shared" si="45"/>
        <v>0</v>
      </c>
      <c r="AU35" s="31">
        <f t="shared" si="45"/>
        <v>0</v>
      </c>
      <c r="AV35" s="31">
        <f t="shared" si="45"/>
        <v>0</v>
      </c>
      <c r="AW35" s="31">
        <f t="shared" si="45"/>
        <v>0</v>
      </c>
      <c r="AX35" s="31">
        <f t="shared" si="45"/>
        <v>0</v>
      </c>
      <c r="AY35" s="31">
        <f t="shared" si="45"/>
        <v>0</v>
      </c>
      <c r="AZ35" s="31">
        <f t="shared" si="45"/>
        <v>0</v>
      </c>
      <c r="BA35" s="31">
        <f t="shared" si="45"/>
        <v>0</v>
      </c>
      <c r="BB35" s="31">
        <f t="shared" si="45"/>
        <v>0</v>
      </c>
      <c r="BC35" s="31">
        <f t="shared" si="45"/>
        <v>0</v>
      </c>
      <c r="BD35" s="31">
        <f t="shared" si="45"/>
        <v>0</v>
      </c>
      <c r="BE35" s="31">
        <f t="shared" si="45"/>
        <v>0</v>
      </c>
      <c r="BF35" s="31">
        <f t="shared" si="45"/>
        <v>0</v>
      </c>
      <c r="BG35" s="31">
        <f t="shared" si="45"/>
        <v>0</v>
      </c>
      <c r="BH35" s="31">
        <f t="shared" si="45"/>
        <v>0</v>
      </c>
      <c r="BI35" s="31">
        <f t="shared" si="45"/>
        <v>0</v>
      </c>
      <c r="BJ35" s="31">
        <f t="shared" si="45"/>
        <v>0</v>
      </c>
      <c r="BK35" s="31">
        <f t="shared" si="45"/>
        <v>0</v>
      </c>
      <c r="BL35" s="31">
        <f t="shared" si="45"/>
        <v>0</v>
      </c>
      <c r="BM35" s="31">
        <f t="shared" si="45"/>
        <v>0</v>
      </c>
      <c r="BN35" s="31">
        <f t="shared" si="45"/>
        <v>0</v>
      </c>
      <c r="BO35" s="31">
        <f t="shared" ref="BO35:CH35" si="46">SUM(BO32:BO34)</f>
        <v>0</v>
      </c>
      <c r="BP35" s="31">
        <f t="shared" si="46"/>
        <v>0</v>
      </c>
      <c r="BQ35" s="31">
        <f t="shared" si="46"/>
        <v>0</v>
      </c>
      <c r="BR35" s="31">
        <f t="shared" si="46"/>
        <v>0</v>
      </c>
      <c r="BS35" s="31">
        <f t="shared" si="46"/>
        <v>0</v>
      </c>
      <c r="BT35" s="31">
        <f t="shared" si="46"/>
        <v>0</v>
      </c>
      <c r="BU35" s="31">
        <f t="shared" si="46"/>
        <v>0</v>
      </c>
      <c r="BV35" s="31">
        <f t="shared" si="46"/>
        <v>0</v>
      </c>
      <c r="BW35" s="31">
        <f t="shared" si="46"/>
        <v>0</v>
      </c>
      <c r="BX35" s="31">
        <f t="shared" si="46"/>
        <v>0</v>
      </c>
      <c r="BY35" s="31">
        <f t="shared" si="46"/>
        <v>0</v>
      </c>
      <c r="BZ35" s="31">
        <f t="shared" si="46"/>
        <v>0</v>
      </c>
      <c r="CA35" s="31">
        <f t="shared" si="46"/>
        <v>0</v>
      </c>
      <c r="CB35" s="31">
        <f t="shared" si="46"/>
        <v>0</v>
      </c>
      <c r="CC35" s="31">
        <f t="shared" si="46"/>
        <v>0</v>
      </c>
      <c r="CD35" s="31">
        <f t="shared" si="46"/>
        <v>0</v>
      </c>
      <c r="CE35" s="31">
        <f t="shared" si="46"/>
        <v>0</v>
      </c>
      <c r="CF35" s="31">
        <f t="shared" si="46"/>
        <v>0</v>
      </c>
      <c r="CG35" s="31">
        <f t="shared" si="46"/>
        <v>0</v>
      </c>
      <c r="CH35" s="31">
        <f t="shared" si="46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52"/>
  <sheetViews>
    <sheetView showGridLines="0" topLeftCell="A16" workbookViewId="0">
      <selection activeCell="F31" sqref="F31"/>
    </sheetView>
  </sheetViews>
  <sheetFormatPr defaultColWidth="8" defaultRowHeight="12.75" x14ac:dyDescent="0.2"/>
  <cols>
    <col min="1" max="1" width="29" style="3" bestFit="1" customWidth="1"/>
    <col min="2" max="2" width="12" style="3" customWidth="1"/>
    <col min="3" max="3" width="14.5703125" style="3" customWidth="1"/>
    <col min="4" max="13" width="10.7109375" style="3" customWidth="1"/>
    <col min="14" max="14" width="9.5703125" style="3" bestFit="1" customWidth="1"/>
    <col min="15" max="23" width="9" style="3" bestFit="1" customWidth="1"/>
    <col min="24" max="86" width="9.85546875" style="3" bestFit="1" customWidth="1"/>
    <col min="87" max="16384" width="8" style="3"/>
  </cols>
  <sheetData>
    <row r="1" spans="1:7" s="11" customFormat="1" ht="15" x14ac:dyDescent="0.25">
      <c r="A1" s="10" t="s">
        <v>0</v>
      </c>
      <c r="C1" s="10" t="str">
        <f>Disbursement!B1</f>
        <v>Makrail Auto Green Bricks Limited (MAGBL)</v>
      </c>
    </row>
    <row r="2" spans="1:7" s="11" customFormat="1" ht="15" x14ac:dyDescent="0.25">
      <c r="A2" s="10"/>
    </row>
    <row r="3" spans="1:7" s="12" customFormat="1" x14ac:dyDescent="0.2">
      <c r="A3" s="12" t="s">
        <v>63</v>
      </c>
      <c r="B3" s="3"/>
      <c r="C3" s="73">
        <v>42467</v>
      </c>
    </row>
    <row r="5" spans="1:7" x14ac:dyDescent="0.2">
      <c r="A5" s="12" t="s">
        <v>2</v>
      </c>
      <c r="C5" s="74">
        <v>175000000</v>
      </c>
      <c r="D5" s="12"/>
    </row>
    <row r="6" spans="1:7" x14ac:dyDescent="0.2">
      <c r="A6" s="12"/>
    </row>
    <row r="7" spans="1:7" x14ac:dyDescent="0.2">
      <c r="A7" s="12" t="s">
        <v>59</v>
      </c>
      <c r="C7" s="73" t="s">
        <v>60</v>
      </c>
    </row>
    <row r="8" spans="1:7" x14ac:dyDescent="0.2">
      <c r="A8" s="12" t="s">
        <v>3</v>
      </c>
      <c r="C8" s="75">
        <v>0.09</v>
      </c>
    </row>
    <row r="9" spans="1:7" x14ac:dyDescent="0.2">
      <c r="A9" s="12" t="s">
        <v>57</v>
      </c>
      <c r="C9" s="77">
        <v>84</v>
      </c>
      <c r="D9" s="3" t="s">
        <v>58</v>
      </c>
    </row>
    <row r="10" spans="1:7" x14ac:dyDescent="0.2">
      <c r="A10" s="12" t="s">
        <v>72</v>
      </c>
      <c r="C10" s="134">
        <v>12</v>
      </c>
      <c r="D10" s="3" t="s">
        <v>58</v>
      </c>
    </row>
    <row r="11" spans="1:7" x14ac:dyDescent="0.2">
      <c r="A11" s="12" t="s">
        <v>22</v>
      </c>
      <c r="C11" s="137" t="s">
        <v>76</v>
      </c>
    </row>
    <row r="12" spans="1:7" x14ac:dyDescent="0.2">
      <c r="A12" s="62" t="s">
        <v>48</v>
      </c>
      <c r="C12" s="76">
        <v>360</v>
      </c>
      <c r="D12" s="54" t="s">
        <v>49</v>
      </c>
    </row>
    <row r="13" spans="1:7" x14ac:dyDescent="0.2">
      <c r="A13" s="62" t="s">
        <v>50</v>
      </c>
      <c r="B13" s="54"/>
      <c r="C13" s="77">
        <v>24</v>
      </c>
    </row>
    <row r="14" spans="1:7" x14ac:dyDescent="0.2">
      <c r="A14" s="62"/>
      <c r="B14" s="59"/>
      <c r="C14" s="61"/>
    </row>
    <row r="15" spans="1:7" x14ac:dyDescent="0.2">
      <c r="A15" s="62" t="s">
        <v>51</v>
      </c>
      <c r="B15" s="59"/>
      <c r="C15" s="61"/>
    </row>
    <row r="16" spans="1:7" x14ac:dyDescent="0.2">
      <c r="A16" s="63"/>
      <c r="B16" s="64"/>
      <c r="C16" s="64">
        <f>Disbursement!B8</f>
        <v>42549</v>
      </c>
      <c r="D16" s="64">
        <f>Disbursement!B9</f>
        <v>42705</v>
      </c>
      <c r="E16" s="64">
        <f>Disbursement!B10</f>
        <v>42752</v>
      </c>
      <c r="G16" s="125"/>
    </row>
    <row r="17" spans="1:228" x14ac:dyDescent="0.2">
      <c r="A17" s="65"/>
      <c r="B17" s="66"/>
      <c r="C17" s="69">
        <f>Disbursement!C8</f>
        <v>55000000</v>
      </c>
      <c r="D17" s="69">
        <f>Disbursement!C9</f>
        <v>40000000</v>
      </c>
      <c r="E17" s="69">
        <f>Disbursement!C10</f>
        <v>69750000</v>
      </c>
    </row>
    <row r="18" spans="1:228" x14ac:dyDescent="0.2">
      <c r="A18" s="67"/>
      <c r="B18" s="68"/>
      <c r="C18" s="71">
        <f>C17</f>
        <v>55000000</v>
      </c>
      <c r="D18" s="71">
        <f>C18+D17</f>
        <v>95000000</v>
      </c>
      <c r="E18" s="71">
        <f>D18+E17</f>
        <v>164750000</v>
      </c>
    </row>
    <row r="19" spans="1:228" x14ac:dyDescent="0.2">
      <c r="A19" s="60"/>
      <c r="B19" s="59"/>
      <c r="C19" s="61"/>
    </row>
    <row r="20" spans="1:228" x14ac:dyDescent="0.2">
      <c r="A20" s="12"/>
    </row>
    <row r="21" spans="1:228" x14ac:dyDescent="0.2">
      <c r="A21" s="14" t="s">
        <v>61</v>
      </c>
      <c r="B21" s="119">
        <f>B27</f>
        <v>42628</v>
      </c>
      <c r="C21" s="119">
        <f t="shared" ref="C21:AC21" si="0">C27</f>
        <v>42719</v>
      </c>
      <c r="D21" s="119">
        <f t="shared" si="0"/>
        <v>42809</v>
      </c>
      <c r="E21" s="119">
        <f t="shared" si="0"/>
        <v>42914</v>
      </c>
      <c r="F21" s="119">
        <f t="shared" si="0"/>
        <v>42992</v>
      </c>
      <c r="G21" s="119">
        <f t="shared" si="0"/>
        <v>43083</v>
      </c>
      <c r="H21" s="119">
        <f t="shared" si="0"/>
        <v>43174</v>
      </c>
      <c r="I21" s="119">
        <f t="shared" si="0"/>
        <v>43265</v>
      </c>
      <c r="J21" s="119">
        <f t="shared" si="0"/>
        <v>43356</v>
      </c>
      <c r="K21" s="119">
        <f t="shared" si="0"/>
        <v>43447</v>
      </c>
      <c r="L21" s="119">
        <f t="shared" si="0"/>
        <v>43538</v>
      </c>
      <c r="M21" s="119">
        <f t="shared" si="0"/>
        <v>43629</v>
      </c>
      <c r="N21" s="119">
        <f t="shared" si="0"/>
        <v>43723</v>
      </c>
      <c r="O21" s="119">
        <f t="shared" si="0"/>
        <v>43814</v>
      </c>
      <c r="P21" s="119">
        <f t="shared" si="0"/>
        <v>43905</v>
      </c>
      <c r="Q21" s="119">
        <f t="shared" si="0"/>
        <v>43997</v>
      </c>
      <c r="R21" s="119">
        <f t="shared" si="0"/>
        <v>44089</v>
      </c>
      <c r="S21" s="119">
        <f t="shared" si="0"/>
        <v>44180</v>
      </c>
      <c r="T21" s="119">
        <f t="shared" si="0"/>
        <v>44270</v>
      </c>
      <c r="U21" s="119">
        <f t="shared" si="0"/>
        <v>44362</v>
      </c>
      <c r="V21" s="119">
        <f t="shared" si="0"/>
        <v>44454</v>
      </c>
      <c r="W21" s="119">
        <f t="shared" si="0"/>
        <v>44545</v>
      </c>
      <c r="X21" s="119">
        <f t="shared" si="0"/>
        <v>44635</v>
      </c>
      <c r="Y21" s="119">
        <f t="shared" si="0"/>
        <v>44727</v>
      </c>
      <c r="Z21" s="119">
        <f t="shared" si="0"/>
        <v>44819</v>
      </c>
      <c r="AA21" s="119">
        <f t="shared" si="0"/>
        <v>44910</v>
      </c>
      <c r="AB21" s="119">
        <f t="shared" si="0"/>
        <v>45000</v>
      </c>
      <c r="AC21" s="119">
        <f t="shared" si="0"/>
        <v>45092</v>
      </c>
    </row>
    <row r="22" spans="1:228" ht="13.5" customHeight="1" thickBot="1" x14ac:dyDescent="0.25">
      <c r="A22" s="120" t="s">
        <v>62</v>
      </c>
      <c r="B22" s="121">
        <v>0.09</v>
      </c>
      <c r="C22" s="121">
        <v>0.09</v>
      </c>
      <c r="D22" s="121">
        <v>0.09</v>
      </c>
      <c r="E22" s="121">
        <v>0.09</v>
      </c>
      <c r="F22" s="121">
        <v>0.09</v>
      </c>
      <c r="G22" s="121">
        <v>0.09</v>
      </c>
      <c r="H22" s="121">
        <v>0.09</v>
      </c>
      <c r="I22" s="121">
        <v>0.09</v>
      </c>
      <c r="J22" s="121">
        <v>0.09</v>
      </c>
      <c r="K22" s="121">
        <v>0.09</v>
      </c>
      <c r="L22" s="121">
        <v>0.09</v>
      </c>
      <c r="M22" s="121">
        <v>0.09</v>
      </c>
      <c r="N22" s="121">
        <v>0.09</v>
      </c>
      <c r="O22" s="121">
        <v>0.09</v>
      </c>
      <c r="P22" s="121">
        <v>0.09</v>
      </c>
      <c r="Q22" s="121">
        <v>0.09</v>
      </c>
      <c r="R22" s="121">
        <v>0.09</v>
      </c>
      <c r="S22" s="121">
        <v>0.09</v>
      </c>
      <c r="T22" s="121">
        <v>0.09</v>
      </c>
      <c r="U22" s="121">
        <v>0.09</v>
      </c>
      <c r="V22" s="121">
        <v>0.09</v>
      </c>
      <c r="W22" s="121">
        <v>0.09</v>
      </c>
      <c r="X22" s="121">
        <v>0.09</v>
      </c>
      <c r="Y22" s="121">
        <v>0.09</v>
      </c>
      <c r="Z22" s="121">
        <v>0.09</v>
      </c>
      <c r="AA22" s="121">
        <v>0.09</v>
      </c>
      <c r="AB22" s="121">
        <v>0.09</v>
      </c>
      <c r="AC22" s="121">
        <v>0.09</v>
      </c>
    </row>
    <row r="23" spans="1:228" ht="13.5" customHeight="1" x14ac:dyDescent="0.2">
      <c r="A23" s="12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</row>
    <row r="24" spans="1:228" x14ac:dyDescent="0.2">
      <c r="B24" s="54"/>
      <c r="C24" s="4"/>
      <c r="D24" s="4"/>
      <c r="E24" s="4"/>
      <c r="F24" s="1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8" x14ac:dyDescent="0.2">
      <c r="A25" s="12" t="s">
        <v>45</v>
      </c>
      <c r="B25" s="145" t="s">
        <v>64</v>
      </c>
      <c r="C25" s="146"/>
      <c r="D25" s="146"/>
      <c r="E25" s="14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8" x14ac:dyDescent="0.2">
      <c r="A26" s="14" t="s">
        <v>9</v>
      </c>
      <c r="B26" s="15"/>
      <c r="C26" s="15"/>
      <c r="D26" s="15"/>
      <c r="E26" s="15"/>
      <c r="F26" s="15">
        <v>1</v>
      </c>
      <c r="G26" s="15">
        <f t="shared" ref="G26:AC26" si="1">F26+1</f>
        <v>2</v>
      </c>
      <c r="H26" s="15">
        <f t="shared" si="1"/>
        <v>3</v>
      </c>
      <c r="I26" s="15">
        <f t="shared" si="1"/>
        <v>4</v>
      </c>
      <c r="J26" s="15">
        <f t="shared" si="1"/>
        <v>5</v>
      </c>
      <c r="K26" s="15">
        <f t="shared" si="1"/>
        <v>6</v>
      </c>
      <c r="L26" s="15">
        <f t="shared" si="1"/>
        <v>7</v>
      </c>
      <c r="M26" s="15">
        <f t="shared" si="1"/>
        <v>8</v>
      </c>
      <c r="N26" s="15">
        <f t="shared" si="1"/>
        <v>9</v>
      </c>
      <c r="O26" s="15">
        <f t="shared" si="1"/>
        <v>10</v>
      </c>
      <c r="P26" s="15">
        <f t="shared" si="1"/>
        <v>11</v>
      </c>
      <c r="Q26" s="15">
        <f t="shared" si="1"/>
        <v>12</v>
      </c>
      <c r="R26" s="15">
        <f t="shared" si="1"/>
        <v>13</v>
      </c>
      <c r="S26" s="15">
        <f t="shared" si="1"/>
        <v>14</v>
      </c>
      <c r="T26" s="15">
        <f t="shared" si="1"/>
        <v>15</v>
      </c>
      <c r="U26" s="15">
        <f t="shared" si="1"/>
        <v>16</v>
      </c>
      <c r="V26" s="15">
        <f t="shared" si="1"/>
        <v>17</v>
      </c>
      <c r="W26" s="15">
        <f t="shared" si="1"/>
        <v>18</v>
      </c>
      <c r="X26" s="15">
        <f t="shared" si="1"/>
        <v>19</v>
      </c>
      <c r="Y26" s="15">
        <f t="shared" si="1"/>
        <v>20</v>
      </c>
      <c r="Z26" s="15">
        <f t="shared" si="1"/>
        <v>21</v>
      </c>
      <c r="AA26" s="15">
        <f t="shared" si="1"/>
        <v>22</v>
      </c>
      <c r="AB26" s="15">
        <f t="shared" si="1"/>
        <v>23</v>
      </c>
      <c r="AC26" s="15">
        <f t="shared" si="1"/>
        <v>24</v>
      </c>
    </row>
    <row r="27" spans="1:228" x14ac:dyDescent="0.2">
      <c r="A27" s="85" t="s">
        <v>10</v>
      </c>
      <c r="B27" s="84">
        <v>42628</v>
      </c>
      <c r="C27" s="84">
        <v>42719</v>
      </c>
      <c r="D27" s="84">
        <v>42809</v>
      </c>
      <c r="E27" s="84">
        <v>42914</v>
      </c>
      <c r="F27" s="84">
        <v>42992</v>
      </c>
      <c r="G27" s="84">
        <v>43083</v>
      </c>
      <c r="H27" s="84">
        <v>43174</v>
      </c>
      <c r="I27" s="84">
        <v>43265</v>
      </c>
      <c r="J27" s="84">
        <v>43356</v>
      </c>
      <c r="K27" s="84">
        <v>43447</v>
      </c>
      <c r="L27" s="84">
        <v>43538</v>
      </c>
      <c r="M27" s="84">
        <v>43629</v>
      </c>
      <c r="N27" s="84">
        <v>43723</v>
      </c>
      <c r="O27" s="84">
        <v>43814</v>
      </c>
      <c r="P27" s="84">
        <v>43905</v>
      </c>
      <c r="Q27" s="84">
        <v>43997</v>
      </c>
      <c r="R27" s="84">
        <v>44089</v>
      </c>
      <c r="S27" s="84">
        <v>44180</v>
      </c>
      <c r="T27" s="84">
        <v>44270</v>
      </c>
      <c r="U27" s="84">
        <v>44362</v>
      </c>
      <c r="V27" s="84">
        <v>44454</v>
      </c>
      <c r="W27" s="84">
        <v>44545</v>
      </c>
      <c r="X27" s="84">
        <v>44635</v>
      </c>
      <c r="Y27" s="84">
        <v>44727</v>
      </c>
      <c r="Z27" s="84">
        <v>44819</v>
      </c>
      <c r="AA27" s="84">
        <v>44910</v>
      </c>
      <c r="AB27" s="84">
        <v>45000</v>
      </c>
      <c r="AC27" s="84">
        <v>45092</v>
      </c>
    </row>
    <row r="28" spans="1:228" x14ac:dyDescent="0.2">
      <c r="A28" s="3" t="s">
        <v>4</v>
      </c>
      <c r="B28" s="9">
        <f>C17</f>
        <v>55000000</v>
      </c>
      <c r="C28" s="4">
        <f>B34+D17</f>
        <v>96086250</v>
      </c>
      <c r="D28" s="4">
        <f>C34+E17</f>
        <v>167252212.1875</v>
      </c>
      <c r="E28" s="4">
        <f>D34</f>
        <v>170439949.46171874</v>
      </c>
      <c r="F28" s="4">
        <f t="shared" ref="F28:AC28" si="2">E34</f>
        <v>174913998.13508886</v>
      </c>
      <c r="G28" s="4">
        <f t="shared" si="2"/>
        <v>169337699.83562994</v>
      </c>
      <c r="H28" s="4">
        <f t="shared" si="2"/>
        <v>163635934.82443318</v>
      </c>
      <c r="I28" s="4">
        <f t="shared" si="2"/>
        <v>157805880.10048449</v>
      </c>
      <c r="J28" s="4">
        <f t="shared" si="2"/>
        <v>151844649.14524698</v>
      </c>
      <c r="K28" s="4">
        <f t="shared" si="2"/>
        <v>145749290.49351662</v>
      </c>
      <c r="L28" s="4">
        <f t="shared" si="2"/>
        <v>139516786.27212232</v>
      </c>
      <c r="M28" s="4">
        <f t="shared" si="2"/>
        <v>133144050.70574665</v>
      </c>
      <c r="N28" s="4">
        <f t="shared" si="2"/>
        <v>126627928.58912753</v>
      </c>
      <c r="O28" s="4">
        <f t="shared" si="2"/>
        <v>119965193.72488448</v>
      </c>
      <c r="P28" s="4">
        <f t="shared" si="2"/>
        <v>113152547.32619596</v>
      </c>
      <c r="Q28" s="4">
        <f t="shared" si="2"/>
        <v>106186616.38353693</v>
      </c>
      <c r="R28" s="4">
        <f t="shared" si="2"/>
        <v>99063951.994668096</v>
      </c>
      <c r="S28" s="4">
        <f t="shared" si="2"/>
        <v>91781027.657049701</v>
      </c>
      <c r="T28" s="4">
        <f t="shared" si="2"/>
        <v>84334237.521834895</v>
      </c>
      <c r="U28" s="4">
        <f t="shared" si="2"/>
        <v>76719894.608577758</v>
      </c>
      <c r="V28" s="4">
        <f t="shared" si="2"/>
        <v>68934228.979772329</v>
      </c>
      <c r="W28" s="4">
        <f t="shared" si="2"/>
        <v>60973385.874318786</v>
      </c>
      <c r="X28" s="4">
        <f t="shared" si="2"/>
        <v>52833423.798992537</v>
      </c>
      <c r="Y28" s="4">
        <f t="shared" si="2"/>
        <v>44510312.576971449</v>
      </c>
      <c r="Z28" s="4">
        <f t="shared" si="2"/>
        <v>35999931.352454886</v>
      </c>
      <c r="AA28" s="4">
        <f t="shared" si="2"/>
        <v>27298066.550386697</v>
      </c>
      <c r="AB28" s="4">
        <f t="shared" si="2"/>
        <v>18400409.790271975</v>
      </c>
      <c r="AC28" s="4">
        <f t="shared" si="2"/>
        <v>9302555.7530546729</v>
      </c>
    </row>
    <row r="29" spans="1:228" s="8" customFormat="1" x14ac:dyDescent="0.2">
      <c r="A29" s="8" t="s">
        <v>5</v>
      </c>
      <c r="B29" s="124">
        <f>C18*(B27-C16)*B22/360</f>
        <v>1086250</v>
      </c>
      <c r="C29" s="124">
        <f>B34*(D16-B27)*C22/360+C28*(C27-D16)*C22/360</f>
        <v>1415962.1875</v>
      </c>
      <c r="D29" s="124">
        <f>C34*(E16-C27)*D22/360+(C34+E17)*(D27-E16)*D22/360</f>
        <v>3187737.2742187502</v>
      </c>
      <c r="E29" s="124">
        <f>E28*(E27-D27)*E22/360</f>
        <v>4474048.6733701173</v>
      </c>
      <c r="F29" s="8">
        <f>F28*(F27-E27)*F22/360</f>
        <v>3410822.9636342325</v>
      </c>
      <c r="G29" s="8">
        <f t="shared" ref="G29:AC29" si="3">G28*(G27-F27)*G22/360</f>
        <v>3852432.6712605809</v>
      </c>
      <c r="H29" s="8">
        <f t="shared" si="3"/>
        <v>3722717.5172558548</v>
      </c>
      <c r="I29" s="8">
        <f t="shared" si="3"/>
        <v>3590083.7722860225</v>
      </c>
      <c r="J29" s="8">
        <f t="shared" si="3"/>
        <v>3454465.7680543689</v>
      </c>
      <c r="K29" s="8">
        <f t="shared" si="3"/>
        <v>3315796.3587275036</v>
      </c>
      <c r="L29" s="8">
        <f t="shared" si="3"/>
        <v>3174006.887690783</v>
      </c>
      <c r="M29" s="8">
        <f t="shared" si="3"/>
        <v>3029027.1535557364</v>
      </c>
      <c r="N29" s="8">
        <f t="shared" si="3"/>
        <v>2975756.3218444968</v>
      </c>
      <c r="O29" s="8">
        <f t="shared" si="3"/>
        <v>2729208.1572411214</v>
      </c>
      <c r="P29" s="8">
        <f t="shared" si="3"/>
        <v>2574220.4516709577</v>
      </c>
      <c r="Q29" s="8">
        <f t="shared" si="3"/>
        <v>2442292.1768213492</v>
      </c>
      <c r="R29" s="8">
        <f t="shared" si="3"/>
        <v>2278470.895877366</v>
      </c>
      <c r="S29" s="8">
        <f t="shared" si="3"/>
        <v>2088018.3791978806</v>
      </c>
      <c r="T29" s="8">
        <f t="shared" si="3"/>
        <v>1897520.344241285</v>
      </c>
      <c r="U29" s="8">
        <f t="shared" si="3"/>
        <v>1764557.5759972883</v>
      </c>
      <c r="V29" s="8">
        <f t="shared" si="3"/>
        <v>1585487.2665347636</v>
      </c>
      <c r="W29" s="8">
        <f t="shared" si="3"/>
        <v>1387144.5286407522</v>
      </c>
      <c r="X29" s="8">
        <f t="shared" si="3"/>
        <v>1188752.0354773321</v>
      </c>
      <c r="Y29" s="8">
        <f t="shared" si="3"/>
        <v>1023737.1892703432</v>
      </c>
      <c r="Z29" s="8">
        <f t="shared" si="3"/>
        <v>827998.42110646237</v>
      </c>
      <c r="AA29" s="8">
        <f t="shared" si="3"/>
        <v>621031.01402129733</v>
      </c>
      <c r="AB29" s="8">
        <f t="shared" si="3"/>
        <v>414009.22028111946</v>
      </c>
      <c r="AC29" s="8">
        <f t="shared" si="3"/>
        <v>213958.78232025748</v>
      </c>
    </row>
    <row r="30" spans="1:228" x14ac:dyDescent="0.2">
      <c r="A30" s="3" t="s">
        <v>11</v>
      </c>
      <c r="B30" s="4">
        <v>0</v>
      </c>
      <c r="C30" s="4">
        <v>0</v>
      </c>
      <c r="D30" s="4">
        <v>0</v>
      </c>
      <c r="E30" s="4">
        <v>0</v>
      </c>
      <c r="F30" s="4">
        <f>F29+E30</f>
        <v>3410822.9636342325</v>
      </c>
      <c r="G30" s="4">
        <f t="shared" ref="G30:AC30" si="4">G29+F30</f>
        <v>7263255.6348948134</v>
      </c>
      <c r="H30" s="4">
        <f t="shared" si="4"/>
        <v>10985973.152150668</v>
      </c>
      <c r="I30" s="4">
        <f t="shared" si="4"/>
        <v>14576056.92443669</v>
      </c>
      <c r="J30" s="4">
        <f t="shared" si="4"/>
        <v>18030522.692491058</v>
      </c>
      <c r="K30" s="4">
        <f t="shared" si="4"/>
        <v>21346319.051218562</v>
      </c>
      <c r="L30" s="4">
        <f t="shared" si="4"/>
        <v>24520325.938909344</v>
      </c>
      <c r="M30" s="4">
        <f t="shared" si="4"/>
        <v>27549353.09246508</v>
      </c>
      <c r="N30" s="4">
        <f t="shared" si="4"/>
        <v>30525109.414309576</v>
      </c>
      <c r="O30" s="4">
        <f t="shared" si="4"/>
        <v>33254317.571550697</v>
      </c>
      <c r="P30" s="4">
        <f t="shared" si="4"/>
        <v>35828538.023221657</v>
      </c>
      <c r="Q30" s="4">
        <f t="shared" si="4"/>
        <v>38270830.200043008</v>
      </c>
      <c r="R30" s="4">
        <f t="shared" si="4"/>
        <v>40549301.095920376</v>
      </c>
      <c r="S30" s="4">
        <f t="shared" si="4"/>
        <v>42637319.475118257</v>
      </c>
      <c r="T30" s="4">
        <f t="shared" si="4"/>
        <v>44534839.819359541</v>
      </c>
      <c r="U30" s="4">
        <f t="shared" si="4"/>
        <v>46299397.395356826</v>
      </c>
      <c r="V30" s="4">
        <f t="shared" si="4"/>
        <v>47884884.661891587</v>
      </c>
      <c r="W30" s="4">
        <f t="shared" si="4"/>
        <v>49272029.190532342</v>
      </c>
      <c r="X30" s="4">
        <f t="shared" si="4"/>
        <v>50460781.226009674</v>
      </c>
      <c r="Y30" s="4">
        <f t="shared" si="4"/>
        <v>51484518.415280014</v>
      </c>
      <c r="Z30" s="4">
        <f t="shared" si="4"/>
        <v>52312516.836386479</v>
      </c>
      <c r="AA30" s="4">
        <f t="shared" si="4"/>
        <v>52933547.850407779</v>
      </c>
      <c r="AB30" s="4">
        <f t="shared" si="4"/>
        <v>53347557.070688896</v>
      </c>
      <c r="AC30" s="4">
        <f t="shared" si="4"/>
        <v>53561515.853009157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</row>
    <row r="31" spans="1:228" x14ac:dyDescent="0.2">
      <c r="A31" s="3" t="s">
        <v>6</v>
      </c>
      <c r="B31" s="4">
        <v>0</v>
      </c>
      <c r="C31" s="4">
        <v>0</v>
      </c>
      <c r="D31" s="4">
        <v>0</v>
      </c>
      <c r="E31" s="4">
        <v>0</v>
      </c>
      <c r="F31" s="4">
        <f>-PPMT(F22/4,F26,$C$13,$F$28)</f>
        <v>5576298.2994589228</v>
      </c>
      <c r="G31" s="4">
        <f t="shared" ref="G31:AC31" si="5">-PPMT(G22/4,G26,$C$13,$F$28)</f>
        <v>5701765.0111967493</v>
      </c>
      <c r="H31" s="4">
        <f t="shared" si="5"/>
        <v>5830054.7239486761</v>
      </c>
      <c r="I31" s="4">
        <f t="shared" si="5"/>
        <v>5961230.9552375218</v>
      </c>
      <c r="J31" s="4">
        <f t="shared" si="5"/>
        <v>6095358.6517303651</v>
      </c>
      <c r="K31" s="4">
        <f t="shared" si="5"/>
        <v>6232504.2213942986</v>
      </c>
      <c r="L31" s="4">
        <f t="shared" si="5"/>
        <v>6372735.56637567</v>
      </c>
      <c r="M31" s="4">
        <f t="shared" si="5"/>
        <v>6516122.1166191231</v>
      </c>
      <c r="N31" s="4">
        <f t="shared" si="5"/>
        <v>6662734.8642430529</v>
      </c>
      <c r="O31" s="4">
        <f t="shared" si="5"/>
        <v>6812646.3986885222</v>
      </c>
      <c r="P31" s="4">
        <f t="shared" si="5"/>
        <v>6965930.9426590139</v>
      </c>
      <c r="Q31" s="4">
        <f t="shared" si="5"/>
        <v>7122664.3888688413</v>
      </c>
      <c r="R31" s="4">
        <f t="shared" si="5"/>
        <v>7282924.3376183892</v>
      </c>
      <c r="S31" s="4">
        <f t="shared" si="5"/>
        <v>7446790.1352148037</v>
      </c>
      <c r="T31" s="4">
        <f t="shared" si="5"/>
        <v>7614342.9132571369</v>
      </c>
      <c r="U31" s="4">
        <f t="shared" si="5"/>
        <v>7785665.6288054232</v>
      </c>
      <c r="V31" s="4">
        <f t="shared" si="5"/>
        <v>7960843.1054535452</v>
      </c>
      <c r="W31" s="4">
        <f t="shared" si="5"/>
        <v>8139962.075326249</v>
      </c>
      <c r="X31" s="4">
        <f t="shared" si="5"/>
        <v>8323111.2220210899</v>
      </c>
      <c r="Y31" s="4">
        <f t="shared" si="5"/>
        <v>8510381.224516565</v>
      </c>
      <c r="Z31" s="4">
        <f t="shared" si="5"/>
        <v>8701864.8020681869</v>
      </c>
      <c r="AA31" s="4">
        <f t="shared" si="5"/>
        <v>8897656.760114722</v>
      </c>
      <c r="AB31" s="4">
        <f t="shared" si="5"/>
        <v>9097854.0372173022</v>
      </c>
      <c r="AC31" s="4">
        <f t="shared" si="5"/>
        <v>9302555.7530546915</v>
      </c>
    </row>
    <row r="32" spans="1:228" x14ac:dyDescent="0.2">
      <c r="A32" s="3" t="s">
        <v>12</v>
      </c>
      <c r="B32" s="4">
        <v>0</v>
      </c>
      <c r="C32" s="4">
        <f t="shared" ref="C32:AC32" si="6">C31+B32</f>
        <v>0</v>
      </c>
      <c r="D32" s="4">
        <f t="shared" si="6"/>
        <v>0</v>
      </c>
      <c r="E32" s="4">
        <f t="shared" si="6"/>
        <v>0</v>
      </c>
      <c r="F32" s="4">
        <f t="shared" si="6"/>
        <v>5576298.2994589228</v>
      </c>
      <c r="G32" s="4">
        <f t="shared" si="6"/>
        <v>11278063.310655672</v>
      </c>
      <c r="H32" s="4">
        <f t="shared" si="6"/>
        <v>17108118.034604348</v>
      </c>
      <c r="I32" s="4">
        <f t="shared" si="6"/>
        <v>23069348.989841871</v>
      </c>
      <c r="J32" s="4">
        <f t="shared" si="6"/>
        <v>29164707.641572237</v>
      </c>
      <c r="K32" s="4">
        <f t="shared" si="6"/>
        <v>35397211.862966537</v>
      </c>
      <c r="L32" s="4">
        <f t="shared" si="6"/>
        <v>41769947.42934221</v>
      </c>
      <c r="M32" s="4">
        <f t="shared" si="6"/>
        <v>48286069.545961335</v>
      </c>
      <c r="N32" s="4">
        <f t="shared" si="6"/>
        <v>54948804.410204388</v>
      </c>
      <c r="O32" s="4">
        <f t="shared" si="6"/>
        <v>61761450.808892913</v>
      </c>
      <c r="P32" s="4">
        <f t="shared" si="6"/>
        <v>68727381.751551926</v>
      </c>
      <c r="Q32" s="4">
        <f t="shared" si="6"/>
        <v>75850046.140420765</v>
      </c>
      <c r="R32" s="4">
        <f t="shared" si="6"/>
        <v>83132970.47803916</v>
      </c>
      <c r="S32" s="4">
        <f t="shared" si="6"/>
        <v>90579760.613253966</v>
      </c>
      <c r="T32" s="4">
        <f t="shared" si="6"/>
        <v>98194103.526511103</v>
      </c>
      <c r="U32" s="4">
        <f t="shared" si="6"/>
        <v>105979769.15531653</v>
      </c>
      <c r="V32" s="4">
        <f t="shared" si="6"/>
        <v>113940612.26077008</v>
      </c>
      <c r="W32" s="4">
        <f t="shared" si="6"/>
        <v>122080574.33609633</v>
      </c>
      <c r="X32" s="4">
        <f t="shared" si="6"/>
        <v>130403685.55811742</v>
      </c>
      <c r="Y32" s="4">
        <f t="shared" si="6"/>
        <v>138914066.78263399</v>
      </c>
      <c r="Z32" s="4">
        <f t="shared" si="6"/>
        <v>147615931.58470216</v>
      </c>
      <c r="AA32" s="4">
        <f t="shared" si="6"/>
        <v>156513588.34481689</v>
      </c>
      <c r="AB32" s="4">
        <f t="shared" si="6"/>
        <v>165611442.38203418</v>
      </c>
      <c r="AC32" s="4">
        <f t="shared" si="6"/>
        <v>174913998.13508886</v>
      </c>
    </row>
    <row r="33" spans="1:86" x14ac:dyDescent="0.2">
      <c r="A33" s="3" t="s">
        <v>7</v>
      </c>
      <c r="B33" s="16">
        <v>0</v>
      </c>
      <c r="C33" s="16">
        <v>0</v>
      </c>
      <c r="D33" s="16">
        <v>0</v>
      </c>
      <c r="E33" s="16">
        <v>0</v>
      </c>
      <c r="F33" s="16">
        <f>F29+F31</f>
        <v>8987121.2630931549</v>
      </c>
      <c r="G33" s="16">
        <f t="shared" ref="G33:AC33" si="7">G29+G31</f>
        <v>9554197.6824573297</v>
      </c>
      <c r="H33" s="16">
        <f t="shared" si="7"/>
        <v>9552772.24120453</v>
      </c>
      <c r="I33" s="16">
        <f t="shared" si="7"/>
        <v>9551314.7275235448</v>
      </c>
      <c r="J33" s="16">
        <f t="shared" si="7"/>
        <v>9549824.419784734</v>
      </c>
      <c r="K33" s="16">
        <f t="shared" si="7"/>
        <v>9548300.5801218022</v>
      </c>
      <c r="L33" s="16">
        <f t="shared" si="7"/>
        <v>9546742.4540664535</v>
      </c>
      <c r="M33" s="16">
        <f t="shared" si="7"/>
        <v>9545149.2701748591</v>
      </c>
      <c r="N33" s="16">
        <f t="shared" si="7"/>
        <v>9638491.1860875487</v>
      </c>
      <c r="O33" s="16">
        <f t="shared" si="7"/>
        <v>9541854.555929644</v>
      </c>
      <c r="P33" s="16">
        <f t="shared" si="7"/>
        <v>9540151.3943299726</v>
      </c>
      <c r="Q33" s="16">
        <f t="shared" si="7"/>
        <v>9564956.5656901896</v>
      </c>
      <c r="R33" s="16">
        <f t="shared" si="7"/>
        <v>9561395.2334957551</v>
      </c>
      <c r="S33" s="16">
        <f t="shared" si="7"/>
        <v>9534808.5144126844</v>
      </c>
      <c r="T33" s="16">
        <f t="shared" si="7"/>
        <v>9511863.2574984226</v>
      </c>
      <c r="U33" s="16">
        <f t="shared" si="7"/>
        <v>9550223.2048027106</v>
      </c>
      <c r="V33" s="16">
        <f t="shared" si="7"/>
        <v>9546330.3719883095</v>
      </c>
      <c r="W33" s="16">
        <f t="shared" si="7"/>
        <v>9527106.6039670017</v>
      </c>
      <c r="X33" s="16">
        <f t="shared" si="7"/>
        <v>9511863.2574984226</v>
      </c>
      <c r="Y33" s="16">
        <f t="shared" si="7"/>
        <v>9534118.4137869086</v>
      </c>
      <c r="Z33" s="16">
        <f t="shared" si="7"/>
        <v>9529863.2231746502</v>
      </c>
      <c r="AA33" s="16">
        <f t="shared" si="7"/>
        <v>9518687.7741360199</v>
      </c>
      <c r="AB33" s="16">
        <f t="shared" si="7"/>
        <v>9511863.2574984208</v>
      </c>
      <c r="AC33" s="16">
        <f t="shared" si="7"/>
        <v>9516514.5353749488</v>
      </c>
    </row>
    <row r="34" spans="1:86" ht="13.5" thickBot="1" x14ac:dyDescent="0.25">
      <c r="A34" s="6" t="s">
        <v>8</v>
      </c>
      <c r="B34" s="17">
        <f>B28+B29</f>
        <v>56086250</v>
      </c>
      <c r="C34" s="17">
        <f>C28+C29</f>
        <v>97502212.1875</v>
      </c>
      <c r="D34" s="17">
        <f>D28+D29</f>
        <v>170439949.46171874</v>
      </c>
      <c r="E34" s="17">
        <f>E28+E29</f>
        <v>174913998.13508886</v>
      </c>
      <c r="F34" s="17">
        <f t="shared" ref="F34:R34" si="8">F28-F31</f>
        <v>169337699.83562994</v>
      </c>
      <c r="G34" s="17">
        <f t="shared" si="8"/>
        <v>163635934.82443318</v>
      </c>
      <c r="H34" s="17">
        <f t="shared" si="8"/>
        <v>157805880.10048449</v>
      </c>
      <c r="I34" s="17">
        <f t="shared" si="8"/>
        <v>151844649.14524698</v>
      </c>
      <c r="J34" s="17">
        <f t="shared" si="8"/>
        <v>145749290.49351662</v>
      </c>
      <c r="K34" s="17">
        <f t="shared" si="8"/>
        <v>139516786.27212232</v>
      </c>
      <c r="L34" s="17">
        <f t="shared" si="8"/>
        <v>133144050.70574665</v>
      </c>
      <c r="M34" s="17">
        <f t="shared" si="8"/>
        <v>126627928.58912753</v>
      </c>
      <c r="N34" s="17">
        <f t="shared" si="8"/>
        <v>119965193.72488448</v>
      </c>
      <c r="O34" s="17">
        <f t="shared" si="8"/>
        <v>113152547.32619596</v>
      </c>
      <c r="P34" s="17">
        <f t="shared" si="8"/>
        <v>106186616.38353693</v>
      </c>
      <c r="Q34" s="17">
        <f t="shared" si="8"/>
        <v>99063951.994668096</v>
      </c>
      <c r="R34" s="17">
        <f t="shared" si="8"/>
        <v>91781027.657049701</v>
      </c>
      <c r="S34" s="17">
        <f>S28-S31</f>
        <v>84334237.521834895</v>
      </c>
      <c r="T34" s="17">
        <f t="shared" ref="T34:AC34" si="9">T28-T31</f>
        <v>76719894.608577758</v>
      </c>
      <c r="U34" s="17">
        <f t="shared" si="9"/>
        <v>68934228.979772329</v>
      </c>
      <c r="V34" s="17">
        <f t="shared" si="9"/>
        <v>60973385.874318786</v>
      </c>
      <c r="W34" s="17">
        <f t="shared" si="9"/>
        <v>52833423.798992537</v>
      </c>
      <c r="X34" s="17">
        <f t="shared" si="9"/>
        <v>44510312.576971449</v>
      </c>
      <c r="Y34" s="17">
        <f t="shared" si="9"/>
        <v>35999931.352454886</v>
      </c>
      <c r="Z34" s="17">
        <f t="shared" si="9"/>
        <v>27298066.550386697</v>
      </c>
      <c r="AA34" s="17">
        <f t="shared" si="9"/>
        <v>18400409.790271975</v>
      </c>
      <c r="AB34" s="17">
        <f t="shared" si="9"/>
        <v>9302555.7530546729</v>
      </c>
      <c r="AC34" s="17">
        <f t="shared" si="9"/>
        <v>-1.862645149230957E-8</v>
      </c>
    </row>
    <row r="35" spans="1:86" x14ac:dyDescent="0.2">
      <c r="C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86" x14ac:dyDescent="0.2">
      <c r="A36" s="128" t="s">
        <v>71</v>
      </c>
      <c r="B36" s="129">
        <f>SUM(B29:E29)</f>
        <v>10163998.135088868</v>
      </c>
      <c r="C36" s="5"/>
      <c r="D36" s="7"/>
      <c r="E36" s="7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</row>
    <row r="37" spans="1:86" x14ac:dyDescent="0.2">
      <c r="B37" s="83"/>
      <c r="C37" s="5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86" x14ac:dyDescent="0.2">
      <c r="C38" s="5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86" x14ac:dyDescent="0.2">
      <c r="A39" s="14" t="s">
        <v>65</v>
      </c>
      <c r="B39" s="126">
        <v>42551</v>
      </c>
      <c r="C39" s="126">
        <f>EOMONTH(B39,1)</f>
        <v>42582</v>
      </c>
      <c r="D39" s="126">
        <f t="shared" ref="D39:J39" si="10">EOMONTH(C39,1)</f>
        <v>42613</v>
      </c>
      <c r="E39" s="126">
        <f t="shared" si="10"/>
        <v>42643</v>
      </c>
      <c r="F39" s="126">
        <f t="shared" si="10"/>
        <v>42674</v>
      </c>
      <c r="G39" s="126">
        <f t="shared" si="10"/>
        <v>42704</v>
      </c>
      <c r="H39" s="126">
        <f t="shared" si="10"/>
        <v>42735</v>
      </c>
      <c r="I39" s="126">
        <f t="shared" si="10"/>
        <v>42766</v>
      </c>
      <c r="J39" s="126">
        <f t="shared" si="10"/>
        <v>42794</v>
      </c>
      <c r="K39" s="126">
        <f t="shared" ref="K39:AP39" si="11">EOMONTH(J39,1)</f>
        <v>42825</v>
      </c>
      <c r="L39" s="126">
        <f t="shared" si="11"/>
        <v>42855</v>
      </c>
      <c r="M39" s="126">
        <f t="shared" si="11"/>
        <v>42886</v>
      </c>
      <c r="N39" s="126">
        <f t="shared" si="11"/>
        <v>42916</v>
      </c>
      <c r="O39" s="126">
        <f t="shared" si="11"/>
        <v>42947</v>
      </c>
      <c r="P39" s="126">
        <f t="shared" si="11"/>
        <v>42978</v>
      </c>
      <c r="Q39" s="126">
        <f t="shared" si="11"/>
        <v>43008</v>
      </c>
      <c r="R39" s="126">
        <f t="shared" si="11"/>
        <v>43039</v>
      </c>
      <c r="S39" s="126">
        <f t="shared" si="11"/>
        <v>43069</v>
      </c>
      <c r="T39" s="126">
        <f t="shared" si="11"/>
        <v>43100</v>
      </c>
      <c r="U39" s="126">
        <f t="shared" si="11"/>
        <v>43131</v>
      </c>
      <c r="V39" s="126">
        <f t="shared" si="11"/>
        <v>43159</v>
      </c>
      <c r="W39" s="126">
        <f t="shared" si="11"/>
        <v>43190</v>
      </c>
      <c r="X39" s="126">
        <f t="shared" si="11"/>
        <v>43220</v>
      </c>
      <c r="Y39" s="126">
        <f t="shared" si="11"/>
        <v>43251</v>
      </c>
      <c r="Z39" s="126">
        <f t="shared" si="11"/>
        <v>43281</v>
      </c>
      <c r="AA39" s="126">
        <f t="shared" si="11"/>
        <v>43312</v>
      </c>
      <c r="AB39" s="126">
        <f t="shared" si="11"/>
        <v>43343</v>
      </c>
      <c r="AC39" s="126">
        <f t="shared" si="11"/>
        <v>43373</v>
      </c>
      <c r="AD39" s="126">
        <f t="shared" si="11"/>
        <v>43404</v>
      </c>
      <c r="AE39" s="126">
        <f t="shared" si="11"/>
        <v>43434</v>
      </c>
      <c r="AF39" s="126">
        <f t="shared" si="11"/>
        <v>43465</v>
      </c>
      <c r="AG39" s="126">
        <f t="shared" si="11"/>
        <v>43496</v>
      </c>
      <c r="AH39" s="126">
        <f t="shared" si="11"/>
        <v>43524</v>
      </c>
      <c r="AI39" s="126">
        <f t="shared" si="11"/>
        <v>43555</v>
      </c>
      <c r="AJ39" s="126">
        <f t="shared" si="11"/>
        <v>43585</v>
      </c>
      <c r="AK39" s="126">
        <f t="shared" si="11"/>
        <v>43616</v>
      </c>
      <c r="AL39" s="126">
        <f t="shared" si="11"/>
        <v>43646</v>
      </c>
      <c r="AM39" s="126">
        <f t="shared" si="11"/>
        <v>43677</v>
      </c>
      <c r="AN39" s="126">
        <f t="shared" si="11"/>
        <v>43708</v>
      </c>
      <c r="AO39" s="126">
        <f t="shared" si="11"/>
        <v>43738</v>
      </c>
      <c r="AP39" s="126">
        <f t="shared" si="11"/>
        <v>43769</v>
      </c>
      <c r="AQ39" s="126">
        <f t="shared" ref="AQ39:BV39" si="12">EOMONTH(AP39,1)</f>
        <v>43799</v>
      </c>
      <c r="AR39" s="126">
        <f t="shared" si="12"/>
        <v>43830</v>
      </c>
      <c r="AS39" s="126">
        <f t="shared" si="12"/>
        <v>43861</v>
      </c>
      <c r="AT39" s="126">
        <f t="shared" si="12"/>
        <v>43890</v>
      </c>
      <c r="AU39" s="126">
        <f t="shared" si="12"/>
        <v>43921</v>
      </c>
      <c r="AV39" s="126">
        <f t="shared" si="12"/>
        <v>43951</v>
      </c>
      <c r="AW39" s="126">
        <f t="shared" si="12"/>
        <v>43982</v>
      </c>
      <c r="AX39" s="126">
        <f t="shared" si="12"/>
        <v>44012</v>
      </c>
      <c r="AY39" s="126">
        <f t="shared" si="12"/>
        <v>44043</v>
      </c>
      <c r="AZ39" s="126">
        <f t="shared" si="12"/>
        <v>44074</v>
      </c>
      <c r="BA39" s="126">
        <f t="shared" si="12"/>
        <v>44104</v>
      </c>
      <c r="BB39" s="126">
        <f t="shared" si="12"/>
        <v>44135</v>
      </c>
      <c r="BC39" s="126">
        <f t="shared" si="12"/>
        <v>44165</v>
      </c>
      <c r="BD39" s="126">
        <f t="shared" si="12"/>
        <v>44196</v>
      </c>
      <c r="BE39" s="126">
        <f t="shared" si="12"/>
        <v>44227</v>
      </c>
      <c r="BF39" s="126">
        <f t="shared" si="12"/>
        <v>44255</v>
      </c>
      <c r="BG39" s="126">
        <f t="shared" si="12"/>
        <v>44286</v>
      </c>
      <c r="BH39" s="126">
        <f t="shared" si="12"/>
        <v>44316</v>
      </c>
      <c r="BI39" s="126">
        <f t="shared" si="12"/>
        <v>44347</v>
      </c>
      <c r="BJ39" s="126">
        <f t="shared" si="12"/>
        <v>44377</v>
      </c>
      <c r="BK39" s="126">
        <f t="shared" si="12"/>
        <v>44408</v>
      </c>
      <c r="BL39" s="126">
        <f t="shared" si="12"/>
        <v>44439</v>
      </c>
      <c r="BM39" s="126">
        <f t="shared" si="12"/>
        <v>44469</v>
      </c>
      <c r="BN39" s="126">
        <f t="shared" si="12"/>
        <v>44500</v>
      </c>
      <c r="BO39" s="126">
        <f t="shared" si="12"/>
        <v>44530</v>
      </c>
      <c r="BP39" s="126">
        <f t="shared" si="12"/>
        <v>44561</v>
      </c>
      <c r="BQ39" s="126">
        <f t="shared" si="12"/>
        <v>44592</v>
      </c>
      <c r="BR39" s="126">
        <f t="shared" si="12"/>
        <v>44620</v>
      </c>
      <c r="BS39" s="126">
        <f t="shared" si="12"/>
        <v>44651</v>
      </c>
      <c r="BT39" s="126">
        <f t="shared" si="12"/>
        <v>44681</v>
      </c>
      <c r="BU39" s="126">
        <f t="shared" si="12"/>
        <v>44712</v>
      </c>
      <c r="BV39" s="126">
        <f t="shared" si="12"/>
        <v>44742</v>
      </c>
      <c r="BW39" s="126">
        <f t="shared" ref="BW39:CH39" si="13">EOMONTH(BV39,1)</f>
        <v>44773</v>
      </c>
      <c r="BX39" s="126">
        <f t="shared" si="13"/>
        <v>44804</v>
      </c>
      <c r="BY39" s="126">
        <f t="shared" si="13"/>
        <v>44834</v>
      </c>
      <c r="BZ39" s="126">
        <f t="shared" si="13"/>
        <v>44865</v>
      </c>
      <c r="CA39" s="126">
        <f t="shared" si="13"/>
        <v>44895</v>
      </c>
      <c r="CB39" s="126">
        <f t="shared" si="13"/>
        <v>44926</v>
      </c>
      <c r="CC39" s="126">
        <f t="shared" si="13"/>
        <v>44957</v>
      </c>
      <c r="CD39" s="126">
        <f t="shared" si="13"/>
        <v>44985</v>
      </c>
      <c r="CE39" s="126">
        <f t="shared" si="13"/>
        <v>45016</v>
      </c>
      <c r="CF39" s="126">
        <f t="shared" si="13"/>
        <v>45046</v>
      </c>
      <c r="CG39" s="126">
        <f t="shared" si="13"/>
        <v>45077</v>
      </c>
      <c r="CH39" s="126">
        <f t="shared" si="13"/>
        <v>45107</v>
      </c>
    </row>
    <row r="40" spans="1:86" x14ac:dyDescent="0.2">
      <c r="A40" s="3" t="s">
        <v>66</v>
      </c>
      <c r="B40" s="9">
        <f>SUM(Accrual_MAGBL!$B$25)</f>
        <v>41250</v>
      </c>
      <c r="C40" s="9">
        <f>SUM(Accrual_MAGBL!$B$25:C25)</f>
        <v>467500</v>
      </c>
      <c r="D40" s="9">
        <f>SUM(Accrual_MAGBL!$B$25:D25)</f>
        <v>893750</v>
      </c>
      <c r="E40" s="9">
        <f>SUM(Accrual_MAGBL!$B$25:E25)</f>
        <v>1310595</v>
      </c>
      <c r="F40" s="9">
        <f>SUM(Accrual_MAGBL!$B$25:F25)</f>
        <v>1745263.4375</v>
      </c>
      <c r="G40" s="9">
        <f>SUM(Accrual_MAGBL!$B$25:G25)</f>
        <v>2165910.3125</v>
      </c>
      <c r="H40" s="9">
        <f>SUM(Accrual_MAGBL!$B$25:H25)</f>
        <v>2916596.5892968751</v>
      </c>
      <c r="I40" s="9">
        <f>SUM(Accrual_MAGBL!$B$25:I25)</f>
        <v>3933801.2337499997</v>
      </c>
      <c r="J40" s="9">
        <f>SUM(Accrual_MAGBL!$B$25:J25)</f>
        <v>5104566.7190624997</v>
      </c>
      <c r="K40" s="9">
        <f>SUM(Accrual_MAGBL!$B$25:K25)</f>
        <v>6414319.2469310537</v>
      </c>
      <c r="L40" s="9">
        <f>SUM(Accrual_MAGBL!$B$25:L25)</f>
        <v>7692618.8678939445</v>
      </c>
      <c r="M40" s="9">
        <f>SUM(Accrual_MAGBL!$B$25:M25)</f>
        <v>9013528.4762222655</v>
      </c>
      <c r="N40" s="9">
        <f>SUM(Accrual_MAGBL!$B$25:N25)</f>
        <v>10295183.633690184</v>
      </c>
      <c r="O40" s="9">
        <f>SUM(Accrual_MAGBL!$B$25:O25)</f>
        <v>11650767.119237123</v>
      </c>
      <c r="P40" s="9">
        <f>SUM(Accrual_MAGBL!$B$25:P25)</f>
        <v>13006350.604784062</v>
      </c>
      <c r="Q40" s="9">
        <f>SUM(Accrual_MAGBL!$B$25:Q25)</f>
        <v>14294506.323024528</v>
      </c>
      <c r="R40" s="9">
        <f>SUM(Accrual_MAGBL!$B$25:R25)</f>
        <v>15606873.49675066</v>
      </c>
      <c r="S40" s="9">
        <f>SUM(Accrual_MAGBL!$B$25:S25)</f>
        <v>16876906.245517883</v>
      </c>
      <c r="T40" s="9">
        <f>SUM(Accrual_MAGBL!$B$25:T25)</f>
        <v>18163615.47669363</v>
      </c>
      <c r="U40" s="9">
        <f>SUM(Accrual_MAGBL!$B$25:U25)</f>
        <v>19431793.971582986</v>
      </c>
      <c r="V40" s="9">
        <f>SUM(Accrual_MAGBL!$B$25:V25)</f>
        <v>20577245.515354019</v>
      </c>
      <c r="W40" s="9">
        <f>SUM(Accrual_MAGBL!$B$25:W25)</f>
        <v>21820646.277666595</v>
      </c>
      <c r="X40" s="9">
        <f>SUM(Accrual_MAGBL!$B$25:X25)</f>
        <v>23004190.37842023</v>
      </c>
      <c r="Y40" s="9">
        <f>SUM(Accrual_MAGBL!$B$25:Y25)</f>
        <v>24227185.949198984</v>
      </c>
      <c r="Z40" s="9">
        <f>SUM(Accrual_MAGBL!$B$25:Z25)</f>
        <v>25385394.818392858</v>
      </c>
      <c r="AA40" s="9">
        <f>SUM(Accrual_MAGBL!$B$25:AA25)</f>
        <v>26562190.849268522</v>
      </c>
      <c r="AB40" s="9">
        <f>SUM(Accrual_MAGBL!$B$25:AB25)</f>
        <v>27738986.880144186</v>
      </c>
      <c r="AC40" s="9">
        <f>SUM(Accrual_MAGBL!$B$25:AC25)</f>
        <v>28850392.634800751</v>
      </c>
      <c r="AD40" s="9">
        <f>SUM(Accrual_MAGBL!$B$25:AI25)</f>
        <v>35283472.302174076</v>
      </c>
      <c r="AE40" s="9">
        <f>SUM(Accrual_MAGBL!$B$25:AJ25)</f>
        <v>36282052.682467178</v>
      </c>
      <c r="AF40" s="9">
        <f>SUM(Accrual_MAGBL!$B$25:AK25)</f>
        <v>37313919.075436711</v>
      </c>
      <c r="AG40" s="9">
        <f>SUM(Accrual_MAGBL!$B$25:AL25)</f>
        <v>38283176.906205028</v>
      </c>
      <c r="AH40" s="9">
        <f>SUM(Accrual_MAGBL!$B$25:AM25)</f>
        <v>39264543.352770768</v>
      </c>
      <c r="AI40" s="9">
        <f>SUM(Accrual_MAGBL!$B$25:AN25)</f>
        <v>40245909.799336508</v>
      </c>
      <c r="AJ40" s="9">
        <f>SUM(Accrual_MAGBL!$B$25:AO25)</f>
        <v>41168968.324297994</v>
      </c>
      <c r="AK40" s="9">
        <f>SUM(Accrual_MAGBL!$B$25:AP25)</f>
        <v>42098698.575665846</v>
      </c>
      <c r="AL40" s="9">
        <f>SUM(Accrual_MAGBL!$B$25:AQ25)</f>
        <v>42998437.528602481</v>
      </c>
      <c r="AM40" s="9">
        <f>SUM(Accrual_MAGBL!$B$25:AR25)</f>
        <v>43899214.032775909</v>
      </c>
      <c r="AN40" s="9">
        <f>SUM(Accrual_MAGBL!$B$25:AS25)</f>
        <v>44776146.274553925</v>
      </c>
      <c r="AO40" s="9">
        <f>SUM(Accrual_MAGBL!$B$25:AT25)</f>
        <v>45596502.242668845</v>
      </c>
      <c r="AP40" s="9">
        <f>SUM(Accrual_MAGBL!$B$25:AU25)</f>
        <v>46443829.277940564</v>
      </c>
      <c r="AQ40" s="9">
        <f>SUM(Accrual_MAGBL!$B$25:AV25)</f>
        <v>47240228.900817089</v>
      </c>
      <c r="AR40" s="9">
        <f>SUM(Accrual_MAGBL!$B$25:AW25)</f>
        <v>48063175.177789502</v>
      </c>
      <c r="AS40" s="9">
        <f>SUM(Accrual_MAGBL!$B$25:AX25)</f>
        <v>48831084.143110551</v>
      </c>
      <c r="AT40" s="9">
        <f>SUM(Accrual_MAGBL!$B$25:AY25)</f>
        <v>49598829.771069229</v>
      </c>
      <c r="AU40" s="9">
        <f>SUM(Accrual_MAGBL!$B$25:AZ25)</f>
        <v>50366575.399027906</v>
      </c>
      <c r="AV40" s="9">
        <f>SUM(Accrual_MAGBL!$B$25:BA25)</f>
        <v>51080423.34163744</v>
      </c>
      <c r="AW40" s="9">
        <f>SUM(Accrual_MAGBL!$B$25:BB25)</f>
        <v>51791726.305979572</v>
      </c>
      <c r="AX40" s="9">
        <f>SUM(Accrual_MAGBL!$B$25:BC25)</f>
        <v>52480084.013407446</v>
      </c>
      <c r="AY40" s="9">
        <f>SUM(Accrual_MAGBL!$B$25:BD25)</f>
        <v>53159738.119674921</v>
      </c>
      <c r="AZ40" s="9">
        <f>SUM(Accrual_MAGBL!$B$25:BE25)</f>
        <v>53813328.460469142</v>
      </c>
      <c r="BA40" s="9">
        <f>SUM(Accrual_MAGBL!$B$25:BF25)</f>
        <v>54403668.123121984</v>
      </c>
      <c r="BB40" s="9">
        <f>SUM(Accrual_MAGBL!$B$25:BG25)</f>
        <v>55024897.50653486</v>
      </c>
      <c r="BC40" s="9">
        <f>SUM(Accrual_MAGBL!$B$25:BH25)</f>
        <v>55600296.716099195</v>
      </c>
      <c r="BD40" s="9">
        <f>SUM(Accrual_MAGBL!$B$25:BI25)</f>
        <v>56194875.89931567</v>
      </c>
      <c r="BE40" s="9">
        <f>SUM(Accrual_MAGBL!$B$25:BJ25)</f>
        <v>56739132.446364783</v>
      </c>
      <c r="BF40" s="9">
        <f>SUM(Accrual_MAGBL!$B$25:BK25)</f>
        <v>57273372.720958017</v>
      </c>
      <c r="BG40" s="9">
        <f>SUM(Accrual_MAGBL!$B$25:BL25)</f>
        <v>57807612.995551251</v>
      </c>
      <c r="BH40" s="9">
        <f>SUM(Accrual_MAGBL!$B$25:BM25)</f>
        <v>58292776.340477727</v>
      </c>
      <c r="BI40" s="9">
        <f>SUM(Accrual_MAGBL!$B$25:BN25)</f>
        <v>58765320.081003696</v>
      </c>
      <c r="BJ40" s="9">
        <f>SUM(Accrual_MAGBL!$B$25:BO25)</f>
        <v>59222620.475061089</v>
      </c>
      <c r="BK40" s="9">
        <f>SUM(Accrual_MAGBL!$B$25:BP25)</f>
        <v>59660569.37676692</v>
      </c>
      <c r="BL40" s="9">
        <f>SUM(Accrual_MAGBL!$B$25:BQ25)</f>
        <v>60070028.411209114</v>
      </c>
      <c r="BM40" s="9">
        <f>SUM(Accrual_MAGBL!$B$25:BR25)</f>
        <v>60439862.377802059</v>
      </c>
      <c r="BN40" s="9">
        <f>SUM(Accrual_MAGBL!$B$25:BS25)</f>
        <v>60813948.189550661</v>
      </c>
      <c r="BO40" s="9">
        <f>SUM(Accrual_MAGBL!$B$25:BT25)</f>
        <v>61147775.533877946</v>
      </c>
      <c r="BP40" s="9">
        <f>SUM(Accrual_MAGBL!$B$25:BU25)</f>
        <v>61492730.456349477</v>
      </c>
      <c r="BQ40" s="9">
        <f>SUM(Accrual_MAGBL!$B$25:BV25)</f>
        <v>61792516.275778696</v>
      </c>
      <c r="BR40" s="9">
        <f>SUM(Accrual_MAGBL!$B$25:BW25)</f>
        <v>62071515.743760221</v>
      </c>
      <c r="BS40" s="9">
        <f>SUM(Accrual_MAGBL!$B$25:BX25)</f>
        <v>62350515.211741745</v>
      </c>
      <c r="BT40" s="9">
        <f>SUM(Accrual_MAGBL!$B$25:BY25)</f>
        <v>62585707.237676881</v>
      </c>
      <c r="BU40" s="9">
        <f>SUM(Accrual_MAGBL!$B$25:BZ25)</f>
        <v>62797267.253442377</v>
      </c>
      <c r="BV40" s="9">
        <f>SUM(Accrual_MAGBL!$B$25:CA25)</f>
        <v>63002002.752570279</v>
      </c>
      <c r="BW40" s="9">
        <f>SUM(Accrual_MAGBL!$B$25:CB25)</f>
        <v>63175747.72710529</v>
      </c>
      <c r="BX40" s="9">
        <f>SUM(Accrual_MAGBL!$B$25:CC25)</f>
        <v>63318350.902979895</v>
      </c>
      <c r="BY40" s="9">
        <f>SUM(Accrual_MAGBL!$B$25:CD25)</f>
        <v>63447153.771511801</v>
      </c>
      <c r="BZ40" s="9">
        <f>SUM(Accrual_MAGBL!$B$25:CE25)</f>
        <v>63551091.067728236</v>
      </c>
      <c r="CA40" s="9">
        <f>SUM(Accrual_MAGBL!$B$25:CF25)</f>
        <v>63620860.235876143</v>
      </c>
      <c r="CB40" s="9">
        <f>SUM(Accrual_MAGBL!$B$25:CG25)</f>
        <v>63692955.04296232</v>
      </c>
      <c r="CC40" s="9">
        <f>SUM(Accrual_MAGBL!$B$25:CG25)</f>
        <v>63692955.04296232</v>
      </c>
      <c r="CD40" s="9">
        <f>SUM(Accrual_MAGBL!$B$25:CG25)</f>
        <v>63692955.04296232</v>
      </c>
      <c r="CE40" s="9">
        <f>SUM(Accrual_MAGBL!$B$25:CG25)</f>
        <v>63692955.04296232</v>
      </c>
      <c r="CF40" s="9">
        <f>SUM(Accrual_MAGBL!$B$25:CG25)</f>
        <v>63692955.04296232</v>
      </c>
      <c r="CG40" s="9">
        <f>SUM(Accrual_MAGBL!$B$25:CG25)</f>
        <v>63692955.04296232</v>
      </c>
      <c r="CH40" s="9">
        <f>SUM(Accrual_MAGBL!$B$25:CH25)</f>
        <v>63725513.98809801</v>
      </c>
    </row>
    <row r="41" spans="1:86" x14ac:dyDescent="0.2">
      <c r="A41" s="3" t="s">
        <v>67</v>
      </c>
      <c r="B41" s="3">
        <v>0</v>
      </c>
      <c r="C41" s="130">
        <v>0</v>
      </c>
      <c r="D41" s="130">
        <v>0</v>
      </c>
      <c r="E41" s="130">
        <f>SUM($B$29)</f>
        <v>1086250</v>
      </c>
      <c r="F41" s="130">
        <f t="shared" ref="F41:G41" si="14">SUM($B$29)</f>
        <v>1086250</v>
      </c>
      <c r="G41" s="130">
        <f t="shared" si="14"/>
        <v>1086250</v>
      </c>
      <c r="H41" s="9">
        <f>SUM($B$29:$C$29)</f>
        <v>2502212.1875</v>
      </c>
      <c r="I41" s="9">
        <f t="shared" ref="I41:J41" si="15">SUM($B$29:$C$29)</f>
        <v>2502212.1875</v>
      </c>
      <c r="J41" s="9">
        <f t="shared" si="15"/>
        <v>2502212.1875</v>
      </c>
      <c r="K41" s="9">
        <f>SUM($B$29:$D$29)</f>
        <v>5689949.4617187502</v>
      </c>
      <c r="L41" s="9">
        <f>SUM($B$29:$D$29)</f>
        <v>5689949.4617187502</v>
      </c>
      <c r="M41" s="9">
        <f>SUM($B$29:$D$29)</f>
        <v>5689949.4617187502</v>
      </c>
      <c r="N41" s="9">
        <f>SUM($B$29:$E$29)</f>
        <v>10163998.135088868</v>
      </c>
      <c r="O41" s="9">
        <f t="shared" ref="O41:BS41" si="16">SUM($B$29:$E$29)</f>
        <v>10163998.135088868</v>
      </c>
      <c r="P41" s="9">
        <f t="shared" si="16"/>
        <v>10163998.135088868</v>
      </c>
      <c r="Q41" s="9">
        <f t="shared" si="16"/>
        <v>10163998.135088868</v>
      </c>
      <c r="R41" s="9">
        <f t="shared" si="16"/>
        <v>10163998.135088868</v>
      </c>
      <c r="S41" s="9">
        <f t="shared" si="16"/>
        <v>10163998.135088868</v>
      </c>
      <c r="T41" s="9">
        <f t="shared" si="16"/>
        <v>10163998.135088868</v>
      </c>
      <c r="U41" s="9">
        <f t="shared" si="16"/>
        <v>10163998.135088868</v>
      </c>
      <c r="V41" s="9">
        <f t="shared" si="16"/>
        <v>10163998.135088868</v>
      </c>
      <c r="W41" s="9">
        <f t="shared" si="16"/>
        <v>10163998.135088868</v>
      </c>
      <c r="X41" s="9">
        <f t="shared" si="16"/>
        <v>10163998.135088868</v>
      </c>
      <c r="Y41" s="9">
        <f t="shared" si="16"/>
        <v>10163998.135088868</v>
      </c>
      <c r="Z41" s="9">
        <f t="shared" si="16"/>
        <v>10163998.135088868</v>
      </c>
      <c r="AA41" s="9">
        <f t="shared" si="16"/>
        <v>10163998.135088868</v>
      </c>
      <c r="AB41" s="9">
        <f t="shared" si="16"/>
        <v>10163998.135088868</v>
      </c>
      <c r="AC41" s="9">
        <f t="shared" si="16"/>
        <v>10163998.135088868</v>
      </c>
      <c r="AD41" s="9">
        <f t="shared" si="16"/>
        <v>10163998.135088868</v>
      </c>
      <c r="AE41" s="9">
        <f t="shared" si="16"/>
        <v>10163998.135088868</v>
      </c>
      <c r="AF41" s="9">
        <f t="shared" si="16"/>
        <v>10163998.135088868</v>
      </c>
      <c r="AG41" s="9">
        <f t="shared" si="16"/>
        <v>10163998.135088868</v>
      </c>
      <c r="AH41" s="9">
        <f t="shared" si="16"/>
        <v>10163998.135088868</v>
      </c>
      <c r="AI41" s="9">
        <f t="shared" si="16"/>
        <v>10163998.135088868</v>
      </c>
      <c r="AJ41" s="9">
        <f t="shared" si="16"/>
        <v>10163998.135088868</v>
      </c>
      <c r="AK41" s="9">
        <f t="shared" si="16"/>
        <v>10163998.135088868</v>
      </c>
      <c r="AL41" s="9">
        <f t="shared" si="16"/>
        <v>10163998.135088868</v>
      </c>
      <c r="AM41" s="9">
        <f t="shared" si="16"/>
        <v>10163998.135088868</v>
      </c>
      <c r="AN41" s="9">
        <f t="shared" si="16"/>
        <v>10163998.135088868</v>
      </c>
      <c r="AO41" s="9">
        <f t="shared" si="16"/>
        <v>10163998.135088868</v>
      </c>
      <c r="AP41" s="9">
        <f t="shared" si="16"/>
        <v>10163998.135088868</v>
      </c>
      <c r="AQ41" s="9">
        <f t="shared" si="16"/>
        <v>10163998.135088868</v>
      </c>
      <c r="AR41" s="9">
        <f t="shared" si="16"/>
        <v>10163998.135088868</v>
      </c>
      <c r="AS41" s="9">
        <f t="shared" si="16"/>
        <v>10163998.135088868</v>
      </c>
      <c r="AT41" s="9">
        <f t="shared" si="16"/>
        <v>10163998.135088868</v>
      </c>
      <c r="AU41" s="9">
        <f t="shared" si="16"/>
        <v>10163998.135088868</v>
      </c>
      <c r="AV41" s="9">
        <f t="shared" si="16"/>
        <v>10163998.135088868</v>
      </c>
      <c r="AW41" s="9">
        <f t="shared" si="16"/>
        <v>10163998.135088868</v>
      </c>
      <c r="AX41" s="9">
        <f t="shared" si="16"/>
        <v>10163998.135088868</v>
      </c>
      <c r="AY41" s="9">
        <f t="shared" si="16"/>
        <v>10163998.135088868</v>
      </c>
      <c r="AZ41" s="9">
        <f t="shared" si="16"/>
        <v>10163998.135088868</v>
      </c>
      <c r="BA41" s="9">
        <f t="shared" si="16"/>
        <v>10163998.135088868</v>
      </c>
      <c r="BB41" s="9">
        <f t="shared" si="16"/>
        <v>10163998.135088868</v>
      </c>
      <c r="BC41" s="9">
        <f t="shared" si="16"/>
        <v>10163998.135088868</v>
      </c>
      <c r="BD41" s="9">
        <f t="shared" si="16"/>
        <v>10163998.135088868</v>
      </c>
      <c r="BE41" s="9">
        <f t="shared" si="16"/>
        <v>10163998.135088868</v>
      </c>
      <c r="BF41" s="9">
        <f t="shared" si="16"/>
        <v>10163998.135088868</v>
      </c>
      <c r="BG41" s="9">
        <f t="shared" si="16"/>
        <v>10163998.135088868</v>
      </c>
      <c r="BH41" s="9">
        <f t="shared" si="16"/>
        <v>10163998.135088868</v>
      </c>
      <c r="BI41" s="9">
        <f t="shared" si="16"/>
        <v>10163998.135088868</v>
      </c>
      <c r="BJ41" s="9">
        <f t="shared" si="16"/>
        <v>10163998.135088868</v>
      </c>
      <c r="BK41" s="9">
        <f t="shared" si="16"/>
        <v>10163998.135088868</v>
      </c>
      <c r="BL41" s="9">
        <f t="shared" si="16"/>
        <v>10163998.135088868</v>
      </c>
      <c r="BM41" s="9">
        <f t="shared" si="16"/>
        <v>10163998.135088868</v>
      </c>
      <c r="BN41" s="9">
        <f t="shared" si="16"/>
        <v>10163998.135088868</v>
      </c>
      <c r="BO41" s="9">
        <f t="shared" si="16"/>
        <v>10163998.135088868</v>
      </c>
      <c r="BP41" s="9">
        <f t="shared" si="16"/>
        <v>10163998.135088868</v>
      </c>
      <c r="BQ41" s="9">
        <f t="shared" si="16"/>
        <v>10163998.135088868</v>
      </c>
      <c r="BR41" s="9">
        <f t="shared" si="16"/>
        <v>10163998.135088868</v>
      </c>
      <c r="BS41" s="9">
        <f t="shared" si="16"/>
        <v>10163998.135088868</v>
      </c>
      <c r="BT41" s="9">
        <f t="shared" ref="BT41:CH41" si="17">SUM($B$29:$E$29)</f>
        <v>10163998.135088868</v>
      </c>
      <c r="BU41" s="9">
        <f t="shared" si="17"/>
        <v>10163998.135088868</v>
      </c>
      <c r="BV41" s="9">
        <f t="shared" si="17"/>
        <v>10163998.135088868</v>
      </c>
      <c r="BW41" s="9">
        <f t="shared" si="17"/>
        <v>10163998.135088868</v>
      </c>
      <c r="BX41" s="9">
        <f t="shared" si="17"/>
        <v>10163998.135088868</v>
      </c>
      <c r="BY41" s="9">
        <f t="shared" si="17"/>
        <v>10163998.135088868</v>
      </c>
      <c r="BZ41" s="9">
        <f t="shared" si="17"/>
        <v>10163998.135088868</v>
      </c>
      <c r="CA41" s="9">
        <f t="shared" si="17"/>
        <v>10163998.135088868</v>
      </c>
      <c r="CB41" s="9">
        <f t="shared" si="17"/>
        <v>10163998.135088868</v>
      </c>
      <c r="CC41" s="9">
        <f t="shared" si="17"/>
        <v>10163998.135088868</v>
      </c>
      <c r="CD41" s="9">
        <f t="shared" si="17"/>
        <v>10163998.135088868</v>
      </c>
      <c r="CE41" s="9">
        <f t="shared" si="17"/>
        <v>10163998.135088868</v>
      </c>
      <c r="CF41" s="9">
        <f t="shared" si="17"/>
        <v>10163998.135088868</v>
      </c>
      <c r="CG41" s="9">
        <f t="shared" si="17"/>
        <v>10163998.135088868</v>
      </c>
      <c r="CH41" s="9">
        <f t="shared" si="17"/>
        <v>10163998.135088868</v>
      </c>
    </row>
    <row r="42" spans="1:86" x14ac:dyDescent="0.2">
      <c r="A42" s="12" t="s">
        <v>68</v>
      </c>
      <c r="B42" s="132">
        <f>B40-B41</f>
        <v>41250</v>
      </c>
      <c r="C42" s="132">
        <f t="shared" ref="C42:BI42" si="18">C40-C41</f>
        <v>467500</v>
      </c>
      <c r="D42" s="132">
        <f t="shared" si="18"/>
        <v>893750</v>
      </c>
      <c r="E42" s="132">
        <f t="shared" si="18"/>
        <v>224345</v>
      </c>
      <c r="F42" s="132">
        <f t="shared" si="18"/>
        <v>659013.4375</v>
      </c>
      <c r="G42" s="132">
        <f t="shared" si="18"/>
        <v>1079660.3125</v>
      </c>
      <c r="H42" s="132">
        <f t="shared" si="18"/>
        <v>414384.40179687506</v>
      </c>
      <c r="I42" s="132">
        <f t="shared" si="18"/>
        <v>1431589.0462499997</v>
      </c>
      <c r="J42" s="132">
        <f t="shared" si="18"/>
        <v>2602354.5315624997</v>
      </c>
      <c r="K42" s="132">
        <f t="shared" si="18"/>
        <v>724369.78521230351</v>
      </c>
      <c r="L42" s="132">
        <f t="shared" si="18"/>
        <v>2002669.4061751943</v>
      </c>
      <c r="M42" s="132">
        <f t="shared" si="18"/>
        <v>3323579.0145035153</v>
      </c>
      <c r="N42" s="132">
        <f t="shared" si="18"/>
        <v>131185.49860131554</v>
      </c>
      <c r="O42" s="132">
        <f t="shared" si="18"/>
        <v>1486768.9841482546</v>
      </c>
      <c r="P42" s="132">
        <f t="shared" si="18"/>
        <v>2842352.4696951937</v>
      </c>
      <c r="Q42" s="132">
        <f t="shared" si="18"/>
        <v>4130508.1879356597</v>
      </c>
      <c r="R42" s="132">
        <f t="shared" si="18"/>
        <v>5442875.3616617918</v>
      </c>
      <c r="S42" s="132">
        <f t="shared" si="18"/>
        <v>6712908.110429015</v>
      </c>
      <c r="T42" s="132">
        <f t="shared" si="18"/>
        <v>7999617.3416047618</v>
      </c>
      <c r="U42" s="132">
        <f t="shared" si="18"/>
        <v>9267795.836494118</v>
      </c>
      <c r="V42" s="132">
        <f t="shared" si="18"/>
        <v>10413247.38026515</v>
      </c>
      <c r="W42" s="132">
        <f t="shared" si="18"/>
        <v>11656648.142577726</v>
      </c>
      <c r="X42" s="132">
        <f t="shared" si="18"/>
        <v>12840192.243331362</v>
      </c>
      <c r="Y42" s="132">
        <f t="shared" si="18"/>
        <v>14063187.814110115</v>
      </c>
      <c r="Z42" s="132">
        <f t="shared" si="18"/>
        <v>15221396.683303989</v>
      </c>
      <c r="AA42" s="132">
        <f t="shared" si="18"/>
        <v>16398192.714179654</v>
      </c>
      <c r="AB42" s="132">
        <f t="shared" si="18"/>
        <v>17574988.745055318</v>
      </c>
      <c r="AC42" s="132">
        <f t="shared" si="18"/>
        <v>18686394.499711882</v>
      </c>
      <c r="AD42" s="132">
        <f t="shared" si="18"/>
        <v>25119474.167085208</v>
      </c>
      <c r="AE42" s="132">
        <f t="shared" si="18"/>
        <v>26118054.547378309</v>
      </c>
      <c r="AF42" s="132">
        <f t="shared" si="18"/>
        <v>27149920.940347843</v>
      </c>
      <c r="AG42" s="132">
        <f t="shared" si="18"/>
        <v>28119178.77111616</v>
      </c>
      <c r="AH42" s="132">
        <f t="shared" si="18"/>
        <v>29100545.2176819</v>
      </c>
      <c r="AI42" s="132">
        <f t="shared" si="18"/>
        <v>30081911.664247639</v>
      </c>
      <c r="AJ42" s="132">
        <f t="shared" si="18"/>
        <v>31004970.189209126</v>
      </c>
      <c r="AK42" s="132">
        <f t="shared" si="18"/>
        <v>31934700.440576978</v>
      </c>
      <c r="AL42" s="132">
        <f t="shared" si="18"/>
        <v>32834439.393513612</v>
      </c>
      <c r="AM42" s="132">
        <f t="shared" si="18"/>
        <v>33735215.89768704</v>
      </c>
      <c r="AN42" s="132">
        <f t="shared" si="18"/>
        <v>34612148.139465056</v>
      </c>
      <c r="AO42" s="132">
        <f t="shared" si="18"/>
        <v>35432504.107579976</v>
      </c>
      <c r="AP42" s="132">
        <f t="shared" si="18"/>
        <v>36279831.142851695</v>
      </c>
      <c r="AQ42" s="132">
        <f t="shared" si="18"/>
        <v>37076230.76572822</v>
      </c>
      <c r="AR42" s="132">
        <f t="shared" si="18"/>
        <v>37899177.042700633</v>
      </c>
      <c r="AS42" s="132">
        <f t="shared" si="18"/>
        <v>38667086.008021683</v>
      </c>
      <c r="AT42" s="132">
        <f t="shared" si="18"/>
        <v>39434831.63598036</v>
      </c>
      <c r="AU42" s="132">
        <f t="shared" si="18"/>
        <v>40202577.263939038</v>
      </c>
      <c r="AV42" s="132">
        <f t="shared" si="18"/>
        <v>40916425.206548572</v>
      </c>
      <c r="AW42" s="132">
        <f t="shared" si="18"/>
        <v>41627728.170890704</v>
      </c>
      <c r="AX42" s="132">
        <f t="shared" si="18"/>
        <v>42316085.878318578</v>
      </c>
      <c r="AY42" s="132">
        <f t="shared" si="18"/>
        <v>42995739.984586053</v>
      </c>
      <c r="AZ42" s="132">
        <f t="shared" si="18"/>
        <v>43649330.325380273</v>
      </c>
      <c r="BA42" s="132">
        <f t="shared" si="18"/>
        <v>44239669.988033116</v>
      </c>
      <c r="BB42" s="132">
        <f t="shared" si="18"/>
        <v>44860899.371445991</v>
      </c>
      <c r="BC42" s="132">
        <f t="shared" si="18"/>
        <v>45436298.581010327</v>
      </c>
      <c r="BD42" s="132">
        <f t="shared" si="18"/>
        <v>46030877.764226802</v>
      </c>
      <c r="BE42" s="132">
        <f t="shared" si="18"/>
        <v>46575134.311275914</v>
      </c>
      <c r="BF42" s="132">
        <f t="shared" si="18"/>
        <v>47109374.585869148</v>
      </c>
      <c r="BG42" s="132">
        <f t="shared" si="18"/>
        <v>47643614.860462382</v>
      </c>
      <c r="BH42" s="132">
        <f t="shared" si="18"/>
        <v>48128778.205388859</v>
      </c>
      <c r="BI42" s="132">
        <f t="shared" si="18"/>
        <v>48601321.945914827</v>
      </c>
      <c r="BJ42" s="132">
        <f t="shared" ref="BJ42:CH42" si="19">BJ40-BJ41</f>
        <v>49058622.33997222</v>
      </c>
      <c r="BK42" s="132">
        <f t="shared" si="19"/>
        <v>49496571.241678052</v>
      </c>
      <c r="BL42" s="132">
        <f t="shared" si="19"/>
        <v>49906030.276120245</v>
      </c>
      <c r="BM42" s="132">
        <f t="shared" si="19"/>
        <v>50275864.242713191</v>
      </c>
      <c r="BN42" s="132">
        <f t="shared" si="19"/>
        <v>50649950.054461792</v>
      </c>
      <c r="BO42" s="132">
        <f t="shared" si="19"/>
        <v>50983777.398789078</v>
      </c>
      <c r="BP42" s="132">
        <f t="shared" si="19"/>
        <v>51328732.321260609</v>
      </c>
      <c r="BQ42" s="132">
        <f t="shared" si="19"/>
        <v>51628518.140689828</v>
      </c>
      <c r="BR42" s="132">
        <f t="shared" si="19"/>
        <v>51907517.608671352</v>
      </c>
      <c r="BS42" s="132">
        <f t="shared" si="19"/>
        <v>52186517.076652877</v>
      </c>
      <c r="BT42" s="132">
        <f t="shared" si="19"/>
        <v>52421709.102588013</v>
      </c>
      <c r="BU42" s="132">
        <f t="shared" si="19"/>
        <v>52633269.118353508</v>
      </c>
      <c r="BV42" s="132">
        <f t="shared" si="19"/>
        <v>52838004.617481411</v>
      </c>
      <c r="BW42" s="132">
        <f t="shared" si="19"/>
        <v>53011749.592016421</v>
      </c>
      <c r="BX42" s="132">
        <f t="shared" si="19"/>
        <v>53154352.767891027</v>
      </c>
      <c r="BY42" s="132">
        <f t="shared" si="19"/>
        <v>53283155.636422932</v>
      </c>
      <c r="BZ42" s="132">
        <f t="shared" si="19"/>
        <v>53387092.932639368</v>
      </c>
      <c r="CA42" s="132">
        <f t="shared" si="19"/>
        <v>53456862.100787275</v>
      </c>
      <c r="CB42" s="132">
        <f t="shared" si="19"/>
        <v>53528956.907873452</v>
      </c>
      <c r="CC42" s="132">
        <f t="shared" si="19"/>
        <v>53528956.907873452</v>
      </c>
      <c r="CD42" s="132">
        <f t="shared" si="19"/>
        <v>53528956.907873452</v>
      </c>
      <c r="CE42" s="132">
        <f t="shared" si="19"/>
        <v>53528956.907873452</v>
      </c>
      <c r="CF42" s="132">
        <f t="shared" si="19"/>
        <v>53528956.907873452</v>
      </c>
      <c r="CG42" s="132">
        <f t="shared" si="19"/>
        <v>53528956.907873452</v>
      </c>
      <c r="CH42" s="132">
        <f t="shared" si="19"/>
        <v>53561515.853009142</v>
      </c>
    </row>
    <row r="43" spans="1:86" x14ac:dyDescent="0.2">
      <c r="A43" s="3" t="s">
        <v>69</v>
      </c>
      <c r="B43" s="131">
        <f>Summary!B26</f>
        <v>0</v>
      </c>
      <c r="C43" s="131">
        <f>Summary!C26</f>
        <v>0</v>
      </c>
      <c r="D43" s="131">
        <f>Summary!D26</f>
        <v>0</v>
      </c>
      <c r="E43" s="131">
        <f>Summary!E26</f>
        <v>0</v>
      </c>
      <c r="F43" s="131">
        <f>Summary!F26</f>
        <v>0</v>
      </c>
      <c r="G43" s="131">
        <f>Summary!G26</f>
        <v>0</v>
      </c>
      <c r="H43" s="131">
        <f>Summary!H26</f>
        <v>0</v>
      </c>
      <c r="I43" s="131">
        <f>Summary!I26</f>
        <v>0</v>
      </c>
      <c r="J43" s="131">
        <f>Summary!J26</f>
        <v>0</v>
      </c>
      <c r="K43" s="131">
        <f>Summary!K26</f>
        <v>0</v>
      </c>
      <c r="L43" s="131">
        <f>Summary!L26</f>
        <v>0</v>
      </c>
      <c r="M43" s="131">
        <f>Summary!M26</f>
        <v>0</v>
      </c>
      <c r="N43" s="131">
        <f>Summary!N26</f>
        <v>0</v>
      </c>
      <c r="O43" s="127">
        <f>Summary!O26</f>
        <v>0</v>
      </c>
      <c r="P43" s="127">
        <f>Summary!P26</f>
        <v>0</v>
      </c>
      <c r="Q43" s="127">
        <f>Summary!Q26</f>
        <v>0</v>
      </c>
      <c r="R43" s="127">
        <f>Summary!R26</f>
        <v>0</v>
      </c>
      <c r="S43" s="127">
        <f>Summary!S26</f>
        <v>0</v>
      </c>
      <c r="T43" s="127">
        <f>Summary!T26</f>
        <v>7263255.6348948134</v>
      </c>
      <c r="U43" s="127">
        <f>Summary!U26</f>
        <v>7263255.6348948134</v>
      </c>
      <c r="V43" s="127">
        <f>Summary!V26</f>
        <v>7263255.6348948134</v>
      </c>
      <c r="W43" s="127">
        <f>Summary!W26</f>
        <v>10985973.152150668</v>
      </c>
      <c r="X43" s="127">
        <f>Summary!X26</f>
        <v>10985973.152150668</v>
      </c>
      <c r="Y43" s="127">
        <f>Summary!Y26</f>
        <v>10985973.152150668</v>
      </c>
      <c r="Z43" s="127">
        <f>Summary!Z26</f>
        <v>14576056.92443669</v>
      </c>
      <c r="AA43" s="127">
        <f>Summary!AA26</f>
        <v>14576056.92443669</v>
      </c>
      <c r="AB43" s="127">
        <f>Summary!AB26</f>
        <v>14576056.92443669</v>
      </c>
      <c r="AC43" s="127">
        <f>Summary!AC26</f>
        <v>18030522.692491058</v>
      </c>
      <c r="AD43" s="127">
        <f>Summary!AD26</f>
        <v>18030522.692491058</v>
      </c>
      <c r="AE43" s="127">
        <f>Summary!AE26</f>
        <v>18030522.692491058</v>
      </c>
      <c r="AF43" s="127">
        <f>Summary!AF26</f>
        <v>21346319.051218562</v>
      </c>
      <c r="AG43" s="127">
        <f>Summary!AG26</f>
        <v>21346319.051218562</v>
      </c>
      <c r="AH43" s="127">
        <f>Summary!AH26</f>
        <v>21346319.051218562</v>
      </c>
      <c r="AI43" s="127">
        <f>Summary!AI26</f>
        <v>24520325.938909344</v>
      </c>
      <c r="AJ43" s="127">
        <f>Summary!AJ26</f>
        <v>24520325.938909344</v>
      </c>
      <c r="AK43" s="127">
        <f>Summary!AK26</f>
        <v>24520325.938909344</v>
      </c>
      <c r="AL43" s="127">
        <f>Summary!AL26</f>
        <v>27549353.09246508</v>
      </c>
      <c r="AM43" s="127">
        <f>Summary!AM26</f>
        <v>27549353.09246508</v>
      </c>
      <c r="AN43" s="127">
        <f>Summary!AN26</f>
        <v>27549353.09246508</v>
      </c>
      <c r="AO43" s="127">
        <f>Summary!AO26</f>
        <v>30525109.414309576</v>
      </c>
      <c r="AP43" s="127">
        <f>Summary!AP26</f>
        <v>30525109.414309576</v>
      </c>
      <c r="AQ43" s="127">
        <f>Summary!AQ26</f>
        <v>30525109.414309576</v>
      </c>
      <c r="AR43" s="127">
        <f>Summary!AR26</f>
        <v>33254317.571550697</v>
      </c>
      <c r="AS43" s="127">
        <f>Summary!AS26</f>
        <v>33254317.571550697</v>
      </c>
      <c r="AT43" s="127">
        <f>Summary!AT26</f>
        <v>33254317.571550697</v>
      </c>
      <c r="AU43" s="127">
        <f>Summary!AU26</f>
        <v>35828538.023221657</v>
      </c>
      <c r="AV43" s="127">
        <f>Summary!AV26</f>
        <v>35828538.023221657</v>
      </c>
      <c r="AW43" s="127">
        <f>Summary!AW26</f>
        <v>35828538.023221657</v>
      </c>
      <c r="AX43" s="127">
        <f>Summary!AX26</f>
        <v>38270830.200043008</v>
      </c>
      <c r="AY43" s="127">
        <f>Summary!AY26</f>
        <v>38270830.200043008</v>
      </c>
      <c r="AZ43" s="127">
        <f>Summary!AZ26</f>
        <v>38270830.200043008</v>
      </c>
      <c r="BA43" s="127">
        <f>Summary!BA26</f>
        <v>40549301.095920376</v>
      </c>
      <c r="BB43" s="127">
        <f>Summary!BB26</f>
        <v>40549301.095920376</v>
      </c>
      <c r="BC43" s="127">
        <f>Summary!BC26</f>
        <v>40549301.095920376</v>
      </c>
      <c r="BD43" s="127">
        <f>Summary!BD26</f>
        <v>42637319.475118257</v>
      </c>
      <c r="BE43" s="127">
        <f>Summary!BE26</f>
        <v>42637319.475118257</v>
      </c>
      <c r="BF43" s="127">
        <f>Summary!BF26</f>
        <v>42637319.475118257</v>
      </c>
      <c r="BG43" s="127">
        <f>Summary!BG26</f>
        <v>44534839.819359541</v>
      </c>
      <c r="BH43" s="127">
        <f>Summary!BH26</f>
        <v>44534839.819359541</v>
      </c>
      <c r="BI43" s="127">
        <f>Summary!BI26</f>
        <v>44534839.819359541</v>
      </c>
      <c r="BJ43" s="127">
        <f>Summary!BJ26</f>
        <v>46299397.395356826</v>
      </c>
      <c r="BK43" s="127">
        <f>Summary!BK26</f>
        <v>46299397.395356826</v>
      </c>
      <c r="BL43" s="127">
        <f>Summary!BL26</f>
        <v>46299397.395356826</v>
      </c>
      <c r="BM43" s="127">
        <f>Summary!BM26</f>
        <v>47884884.661891587</v>
      </c>
      <c r="BN43" s="127">
        <f>Summary!BN26</f>
        <v>47884884.661891587</v>
      </c>
      <c r="BO43" s="127">
        <f>Summary!BO26</f>
        <v>47884884.661891587</v>
      </c>
      <c r="BP43" s="127">
        <f>Summary!BP26</f>
        <v>49272029.190532342</v>
      </c>
      <c r="BQ43" s="127">
        <f>Summary!BQ26</f>
        <v>49272029.190532342</v>
      </c>
      <c r="BR43" s="127">
        <f>Summary!BR26</f>
        <v>49272029.190532342</v>
      </c>
      <c r="BS43" s="127">
        <f>Summary!BS26</f>
        <v>50460781.226009674</v>
      </c>
      <c r="BT43" s="127">
        <f>Summary!BT26</f>
        <v>50460781.226009674</v>
      </c>
      <c r="BU43" s="127">
        <f>Summary!BU26</f>
        <v>50460781.226009674</v>
      </c>
      <c r="BV43" s="127">
        <f>Summary!BV26</f>
        <v>51484518.415280014</v>
      </c>
      <c r="BW43" s="127">
        <f>Summary!BW26</f>
        <v>51484518.415280014</v>
      </c>
      <c r="BX43" s="127">
        <f>Summary!BX26</f>
        <v>51484518.415280014</v>
      </c>
      <c r="BY43" s="127">
        <f>Summary!BY26</f>
        <v>52312516.836386479</v>
      </c>
      <c r="BZ43" s="127">
        <f>Summary!BZ26</f>
        <v>52312516.836386479</v>
      </c>
      <c r="CA43" s="127">
        <f>Summary!CA26</f>
        <v>52312516.836386479</v>
      </c>
      <c r="CB43" s="127">
        <f>Summary!CB26</f>
        <v>52933547.850407779</v>
      </c>
      <c r="CC43" s="127">
        <f>Summary!CC26</f>
        <v>52933547.850407779</v>
      </c>
      <c r="CD43" s="127">
        <f>Summary!CD26</f>
        <v>52933547.850407779</v>
      </c>
      <c r="CE43" s="127">
        <f>Summary!CE26</f>
        <v>53347557.070688896</v>
      </c>
      <c r="CF43" s="127">
        <f>Summary!CF26</f>
        <v>53347557.070688896</v>
      </c>
      <c r="CG43" s="127">
        <f>Summary!CG26</f>
        <v>53347557.070688896</v>
      </c>
      <c r="CH43" s="127">
        <f>Summary!CH26</f>
        <v>53561515.853009157</v>
      </c>
    </row>
    <row r="44" spans="1:86" x14ac:dyDescent="0.2">
      <c r="A44" s="12" t="s">
        <v>70</v>
      </c>
      <c r="B44" s="132">
        <f>B42-B43</f>
        <v>41250</v>
      </c>
      <c r="C44" s="132">
        <f t="shared" ref="C44:BI44" si="20">C42-C43</f>
        <v>467500</v>
      </c>
      <c r="D44" s="132">
        <f t="shared" si="20"/>
        <v>893750</v>
      </c>
      <c r="E44" s="132">
        <f t="shared" si="20"/>
        <v>224345</v>
      </c>
      <c r="F44" s="132">
        <f t="shared" si="20"/>
        <v>659013.4375</v>
      </c>
      <c r="G44" s="132">
        <f t="shared" si="20"/>
        <v>1079660.3125</v>
      </c>
      <c r="H44" s="132">
        <f t="shared" si="20"/>
        <v>414384.40179687506</v>
      </c>
      <c r="I44" s="132">
        <f t="shared" si="20"/>
        <v>1431589.0462499997</v>
      </c>
      <c r="J44" s="132">
        <f t="shared" si="20"/>
        <v>2602354.5315624997</v>
      </c>
      <c r="K44" s="132">
        <f t="shared" si="20"/>
        <v>724369.78521230351</v>
      </c>
      <c r="L44" s="132">
        <f t="shared" si="20"/>
        <v>2002669.4061751943</v>
      </c>
      <c r="M44" s="132">
        <f t="shared" si="20"/>
        <v>3323579.0145035153</v>
      </c>
      <c r="N44" s="132">
        <f t="shared" si="20"/>
        <v>131185.49860131554</v>
      </c>
      <c r="O44" s="132">
        <f t="shared" si="20"/>
        <v>1486768.9841482546</v>
      </c>
      <c r="P44" s="132">
        <f t="shared" si="20"/>
        <v>2842352.4696951937</v>
      </c>
      <c r="Q44" s="132">
        <f t="shared" si="20"/>
        <v>4130508.1879356597</v>
      </c>
      <c r="R44" s="132">
        <f t="shared" si="20"/>
        <v>5442875.3616617918</v>
      </c>
      <c r="S44" s="132">
        <f t="shared" si="20"/>
        <v>6712908.110429015</v>
      </c>
      <c r="T44" s="132">
        <f t="shared" si="20"/>
        <v>736361.70670994837</v>
      </c>
      <c r="U44" s="132">
        <f t="shared" si="20"/>
        <v>2004540.2015993046</v>
      </c>
      <c r="V44" s="132">
        <f t="shared" si="20"/>
        <v>3149991.7453703368</v>
      </c>
      <c r="W44" s="132">
        <f t="shared" si="20"/>
        <v>670674.99042705819</v>
      </c>
      <c r="X44" s="132">
        <f t="shared" si="20"/>
        <v>1854219.0911806934</v>
      </c>
      <c r="Y44" s="132">
        <f t="shared" si="20"/>
        <v>3077214.661959447</v>
      </c>
      <c r="Z44" s="132">
        <f t="shared" si="20"/>
        <v>645339.75886729918</v>
      </c>
      <c r="AA44" s="132">
        <f t="shared" si="20"/>
        <v>1822135.7897429634</v>
      </c>
      <c r="AB44" s="132">
        <f t="shared" si="20"/>
        <v>2998931.8206186276</v>
      </c>
      <c r="AC44" s="132">
        <f t="shared" si="20"/>
        <v>655871.80722082406</v>
      </c>
      <c r="AD44" s="132">
        <f t="shared" si="20"/>
        <v>7088951.4745941497</v>
      </c>
      <c r="AE44" s="132">
        <f t="shared" si="20"/>
        <v>8087531.8548872508</v>
      </c>
      <c r="AF44" s="132">
        <f t="shared" si="20"/>
        <v>5803601.889129281</v>
      </c>
      <c r="AG44" s="132">
        <f t="shared" si="20"/>
        <v>6772859.719897598</v>
      </c>
      <c r="AH44" s="132">
        <f t="shared" si="20"/>
        <v>7754226.1664633378</v>
      </c>
      <c r="AI44" s="132">
        <f t="shared" si="20"/>
        <v>5561585.7253382951</v>
      </c>
      <c r="AJ44" s="132">
        <f t="shared" si="20"/>
        <v>6484644.2502997816</v>
      </c>
      <c r="AK44" s="132">
        <f t="shared" si="20"/>
        <v>7414374.5016676337</v>
      </c>
      <c r="AL44" s="132">
        <f t="shared" si="20"/>
        <v>5285086.3010485321</v>
      </c>
      <c r="AM44" s="132">
        <f t="shared" si="20"/>
        <v>6185862.8052219599</v>
      </c>
      <c r="AN44" s="132">
        <f t="shared" si="20"/>
        <v>7062795.046999976</v>
      </c>
      <c r="AO44" s="132">
        <f t="shared" si="20"/>
        <v>4907394.6932704002</v>
      </c>
      <c r="AP44" s="132">
        <f t="shared" si="20"/>
        <v>5754721.7285421193</v>
      </c>
      <c r="AQ44" s="132">
        <f t="shared" si="20"/>
        <v>6551121.3514186442</v>
      </c>
      <c r="AR44" s="132">
        <f t="shared" si="20"/>
        <v>4644859.4711499363</v>
      </c>
      <c r="AS44" s="132">
        <f t="shared" si="20"/>
        <v>5412768.4364709854</v>
      </c>
      <c r="AT44" s="132">
        <f t="shared" si="20"/>
        <v>6180514.0644296631</v>
      </c>
      <c r="AU44" s="132">
        <f t="shared" si="20"/>
        <v>4374039.2407173812</v>
      </c>
      <c r="AV44" s="132">
        <f t="shared" si="20"/>
        <v>5087887.1833269149</v>
      </c>
      <c r="AW44" s="132">
        <f t="shared" si="20"/>
        <v>5799190.1476690471</v>
      </c>
      <c r="AX44" s="132">
        <f t="shared" si="20"/>
        <v>4045255.6782755703</v>
      </c>
      <c r="AY44" s="132">
        <f t="shared" si="20"/>
        <v>4724909.7845430449</v>
      </c>
      <c r="AZ44" s="132">
        <f t="shared" si="20"/>
        <v>5378500.1253372654</v>
      </c>
      <c r="BA44" s="132">
        <f t="shared" si="20"/>
        <v>3690368.8921127394</v>
      </c>
      <c r="BB44" s="132">
        <f t="shared" si="20"/>
        <v>4311598.2755256146</v>
      </c>
      <c r="BC44" s="132">
        <f t="shared" si="20"/>
        <v>4886997.4850899503</v>
      </c>
      <c r="BD44" s="132">
        <f t="shared" si="20"/>
        <v>3393558.2891085446</v>
      </c>
      <c r="BE44" s="132">
        <f t="shared" si="20"/>
        <v>3937814.8361576572</v>
      </c>
      <c r="BF44" s="132">
        <f t="shared" si="20"/>
        <v>4472055.1107508913</v>
      </c>
      <c r="BG44" s="132">
        <f t="shared" si="20"/>
        <v>3108775.0411028415</v>
      </c>
      <c r="BH44" s="132">
        <f t="shared" si="20"/>
        <v>3593938.386029318</v>
      </c>
      <c r="BI44" s="132">
        <f t="shared" si="20"/>
        <v>4066482.1265552863</v>
      </c>
      <c r="BJ44" s="132">
        <f t="shared" ref="BJ44:CH44" si="21">BJ42-BJ43</f>
        <v>2759224.9446153939</v>
      </c>
      <c r="BK44" s="132">
        <f t="shared" si="21"/>
        <v>3197173.8463212252</v>
      </c>
      <c r="BL44" s="132">
        <f t="shared" si="21"/>
        <v>3606632.880763419</v>
      </c>
      <c r="BM44" s="132">
        <f t="shared" si="21"/>
        <v>2390979.5808216035</v>
      </c>
      <c r="BN44" s="132">
        <f t="shared" si="21"/>
        <v>2765065.392570205</v>
      </c>
      <c r="BO44" s="132">
        <f t="shared" si="21"/>
        <v>3098892.7368974909</v>
      </c>
      <c r="BP44" s="132">
        <f t="shared" si="21"/>
        <v>2056703.1307282671</v>
      </c>
      <c r="BQ44" s="132">
        <f t="shared" si="21"/>
        <v>2356488.9501574859</v>
      </c>
      <c r="BR44" s="132">
        <f t="shared" si="21"/>
        <v>2635488.4181390107</v>
      </c>
      <c r="BS44" s="132">
        <f t="shared" si="21"/>
        <v>1725735.8506432027</v>
      </c>
      <c r="BT44" s="132">
        <f t="shared" si="21"/>
        <v>1960927.8765783384</v>
      </c>
      <c r="BU44" s="132">
        <f t="shared" si="21"/>
        <v>2172487.892343834</v>
      </c>
      <c r="BV44" s="132">
        <f t="shared" si="21"/>
        <v>1353486.2022013962</v>
      </c>
      <c r="BW44" s="132">
        <f t="shared" si="21"/>
        <v>1527231.176736407</v>
      </c>
      <c r="BX44" s="132">
        <f t="shared" si="21"/>
        <v>1669834.3526110128</v>
      </c>
      <c r="BY44" s="132">
        <f t="shared" si="21"/>
        <v>970638.80003645271</v>
      </c>
      <c r="BZ44" s="132">
        <f t="shared" si="21"/>
        <v>1074576.0962528884</v>
      </c>
      <c r="CA44" s="132">
        <f t="shared" si="21"/>
        <v>1144345.2644007951</v>
      </c>
      <c r="CB44" s="132">
        <f t="shared" si="21"/>
        <v>595409.05746567249</v>
      </c>
      <c r="CC44" s="132">
        <f t="shared" si="21"/>
        <v>595409.05746567249</v>
      </c>
      <c r="CD44" s="132">
        <f t="shared" si="21"/>
        <v>595409.05746567249</v>
      </c>
      <c r="CE44" s="132">
        <f t="shared" si="21"/>
        <v>181399.83718455583</v>
      </c>
      <c r="CF44" s="132">
        <f t="shared" si="21"/>
        <v>181399.83718455583</v>
      </c>
      <c r="CG44" s="132">
        <f t="shared" si="21"/>
        <v>181399.83718455583</v>
      </c>
      <c r="CH44" s="132">
        <f t="shared" si="21"/>
        <v>0</v>
      </c>
    </row>
    <row r="46" spans="1:86" x14ac:dyDescent="0.2">
      <c r="C46" s="5"/>
      <c r="D46" s="7"/>
      <c r="E46" s="7"/>
      <c r="F46" s="7"/>
      <c r="G46" s="7"/>
      <c r="H46" s="7"/>
      <c r="I46" s="7"/>
      <c r="J46" s="7"/>
    </row>
    <row r="47" spans="1:86" x14ac:dyDescent="0.2">
      <c r="A47" s="12" t="s">
        <v>77</v>
      </c>
      <c r="F47" s="8"/>
    </row>
    <row r="48" spans="1:86" x14ac:dyDescent="0.2">
      <c r="A48" s="14" t="s">
        <v>80</v>
      </c>
      <c r="B48" s="126">
        <v>42832</v>
      </c>
      <c r="C48" s="126">
        <f>EDATE(B48,12)</f>
        <v>43197</v>
      </c>
      <c r="D48" s="126">
        <f t="shared" ref="D48:H48" si="22">EDATE(C48,12)</f>
        <v>43562</v>
      </c>
      <c r="E48" s="126">
        <f t="shared" si="22"/>
        <v>43928</v>
      </c>
      <c r="F48" s="126">
        <f t="shared" si="22"/>
        <v>44293</v>
      </c>
      <c r="G48" s="126">
        <f t="shared" si="22"/>
        <v>44658</v>
      </c>
      <c r="H48" s="126">
        <f t="shared" si="22"/>
        <v>45023</v>
      </c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6"/>
      <c r="BT48" s="126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126"/>
      <c r="CG48" s="126"/>
      <c r="CH48" s="126"/>
    </row>
    <row r="49" spans="1:85" x14ac:dyDescent="0.2">
      <c r="A49" s="3" t="s">
        <v>81</v>
      </c>
      <c r="B49" s="9">
        <v>150000</v>
      </c>
      <c r="C49" s="9">
        <v>150000</v>
      </c>
      <c r="D49" s="9">
        <v>150000</v>
      </c>
      <c r="E49" s="9">
        <v>150000</v>
      </c>
      <c r="F49" s="9">
        <v>150000</v>
      </c>
      <c r="G49" s="9">
        <v>150000</v>
      </c>
      <c r="H49" s="9">
        <v>150000</v>
      </c>
    </row>
    <row r="51" spans="1:85" x14ac:dyDescent="0.2">
      <c r="A51" s="14" t="s">
        <v>74</v>
      </c>
      <c r="B51" s="126">
        <f>B27</f>
        <v>42628</v>
      </c>
      <c r="C51" s="126">
        <f t="shared" ref="C51:AC51" si="23">C27</f>
        <v>42719</v>
      </c>
      <c r="D51" s="126">
        <f t="shared" si="23"/>
        <v>42809</v>
      </c>
      <c r="E51" s="126">
        <f t="shared" si="23"/>
        <v>42914</v>
      </c>
      <c r="F51" s="126">
        <f t="shared" si="23"/>
        <v>42992</v>
      </c>
      <c r="G51" s="126">
        <f t="shared" si="23"/>
        <v>43083</v>
      </c>
      <c r="H51" s="126">
        <f t="shared" si="23"/>
        <v>43174</v>
      </c>
      <c r="I51" s="126">
        <f t="shared" si="23"/>
        <v>43265</v>
      </c>
      <c r="J51" s="126">
        <f t="shared" si="23"/>
        <v>43356</v>
      </c>
      <c r="K51" s="126">
        <f t="shared" si="23"/>
        <v>43447</v>
      </c>
      <c r="L51" s="126">
        <f t="shared" si="23"/>
        <v>43538</v>
      </c>
      <c r="M51" s="126">
        <f t="shared" si="23"/>
        <v>43629</v>
      </c>
      <c r="N51" s="126">
        <f t="shared" si="23"/>
        <v>43723</v>
      </c>
      <c r="O51" s="126">
        <f t="shared" si="23"/>
        <v>43814</v>
      </c>
      <c r="P51" s="126">
        <f t="shared" si="23"/>
        <v>43905</v>
      </c>
      <c r="Q51" s="126">
        <f t="shared" si="23"/>
        <v>43997</v>
      </c>
      <c r="R51" s="126">
        <f t="shared" si="23"/>
        <v>44089</v>
      </c>
      <c r="S51" s="126">
        <f t="shared" si="23"/>
        <v>44180</v>
      </c>
      <c r="T51" s="126">
        <f t="shared" si="23"/>
        <v>44270</v>
      </c>
      <c r="U51" s="126">
        <f t="shared" si="23"/>
        <v>44362</v>
      </c>
      <c r="V51" s="126">
        <f t="shared" si="23"/>
        <v>44454</v>
      </c>
      <c r="W51" s="126">
        <f t="shared" si="23"/>
        <v>44545</v>
      </c>
      <c r="X51" s="126">
        <f t="shared" si="23"/>
        <v>44635</v>
      </c>
      <c r="Y51" s="126">
        <f t="shared" si="23"/>
        <v>44727</v>
      </c>
      <c r="Z51" s="126">
        <f t="shared" si="23"/>
        <v>44819</v>
      </c>
      <c r="AA51" s="126">
        <f t="shared" si="23"/>
        <v>44910</v>
      </c>
      <c r="AB51" s="126">
        <f t="shared" si="23"/>
        <v>45000</v>
      </c>
      <c r="AC51" s="126">
        <f t="shared" si="23"/>
        <v>45092</v>
      </c>
    </row>
    <row r="52" spans="1:85" x14ac:dyDescent="0.2">
      <c r="B52" s="9">
        <f>AVERAGE($F$33)</f>
        <v>8987121.2630931549</v>
      </c>
      <c r="C52" s="9">
        <f t="shared" ref="C52" si="24">AVERAGE($F$33)</f>
        <v>8987121.2630931549</v>
      </c>
      <c r="D52" s="9">
        <f>AVERAGE($F$33)</f>
        <v>8987121.2630931549</v>
      </c>
      <c r="E52" s="9">
        <f>AVERAGE($F$33)</f>
        <v>8987121.2630931549</v>
      </c>
      <c r="F52" s="9">
        <f>AVERAGE($F$33)</f>
        <v>8987121.2630931549</v>
      </c>
      <c r="G52" s="9">
        <f>AVERAGE($F$33:G33)</f>
        <v>9270659.4727752432</v>
      </c>
      <c r="H52" s="9">
        <f>AVERAGE($F$33:H33)</f>
        <v>9364697.0622516721</v>
      </c>
      <c r="I52" s="9">
        <f>AVERAGE($F$33:I33)</f>
        <v>9411351.4785696398</v>
      </c>
      <c r="J52" s="9">
        <f>AVERAGE($F$33:J33)</f>
        <v>9439046.0668126587</v>
      </c>
      <c r="K52" s="9">
        <f>AVERAGE($F$33:K33)</f>
        <v>9457255.1523641814</v>
      </c>
      <c r="L52" s="9">
        <f>AVERAGE($F$33:L33)</f>
        <v>9470039.0526073631</v>
      </c>
      <c r="M52" s="9">
        <f>AVERAGE($F$33:M33)</f>
        <v>9479427.829803301</v>
      </c>
      <c r="N52" s="9">
        <f>AVERAGE($F$33:N33)</f>
        <v>9497101.5360571072</v>
      </c>
      <c r="O52" s="9">
        <f>AVERAGE($F$33:O33)</f>
        <v>9501576.8380443603</v>
      </c>
      <c r="P52" s="9">
        <f>AVERAGE($F$33:P33)</f>
        <v>9505083.6158885062</v>
      </c>
      <c r="Q52" s="9">
        <f>AVERAGE($F$33:Q33)</f>
        <v>9510073.0283719804</v>
      </c>
      <c r="R52" s="9">
        <f>AVERAGE($F$33:R33)</f>
        <v>9514020.8903045785</v>
      </c>
      <c r="S52" s="9">
        <f>AVERAGE($F$33:S33)</f>
        <v>9515505.7205980141</v>
      </c>
      <c r="T52" s="9">
        <f>AVERAGE($F$33:T33)</f>
        <v>9515262.8897247072</v>
      </c>
      <c r="U52" s="9">
        <f>AVERAGE($F$33:U33)</f>
        <v>9517447.9094170835</v>
      </c>
      <c r="V52" s="9">
        <f>AVERAGE($F$33:V33)</f>
        <v>9519146.8778036255</v>
      </c>
      <c r="W52" s="9">
        <f>AVERAGE($F$33:W33)</f>
        <v>9519589.0848127026</v>
      </c>
      <c r="X52" s="9">
        <f>AVERAGE($F$33:X33)</f>
        <v>9519182.4623224773</v>
      </c>
      <c r="Y52" s="9">
        <f>AVERAGE($F$33:Y33)</f>
        <v>9519929.2598956991</v>
      </c>
      <c r="Z52" s="9">
        <f>AVERAGE($F$33:Z33)</f>
        <v>9520402.3057661261</v>
      </c>
      <c r="AA52" s="9">
        <f>AVERAGE($F$33:AA33)</f>
        <v>9520324.3725102115</v>
      </c>
      <c r="AB52" s="9">
        <f>AVERAGE($F$33:AB33)</f>
        <v>9519956.4979444798</v>
      </c>
      <c r="AC52" s="9">
        <f>AVERAGE($F$33:AC33)</f>
        <v>9519813.0828374159</v>
      </c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</row>
  </sheetData>
  <mergeCells count="1">
    <mergeCell ref="B25:E25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5 B35 D35:T35 C32:E32 H34:S34 F34:G3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"/>
  <sheetViews>
    <sheetView showGridLines="0" workbookViewId="0">
      <selection activeCell="B25" sqref="B25"/>
    </sheetView>
  </sheetViews>
  <sheetFormatPr defaultColWidth="9.5703125" defaultRowHeight="13.5" x14ac:dyDescent="0.25"/>
  <cols>
    <col min="1" max="1" width="44" style="23" customWidth="1"/>
    <col min="2" max="2" width="12.5703125" style="23" customWidth="1"/>
    <col min="3" max="3" width="12" style="23" customWidth="1"/>
    <col min="4" max="4" width="10.85546875" style="23" customWidth="1"/>
    <col min="5" max="5" width="11.28515625" style="23" bestFit="1" customWidth="1"/>
    <col min="6" max="6" width="11.42578125" style="23" customWidth="1"/>
    <col min="7" max="7" width="11" style="23" customWidth="1"/>
    <col min="8" max="8" width="12.28515625" style="23" bestFit="1" customWidth="1"/>
    <col min="9" max="12" width="11" style="23" bestFit="1" customWidth="1"/>
    <col min="13" max="30" width="10.85546875" style="23" bestFit="1" customWidth="1"/>
    <col min="31" max="31" width="9.85546875" style="23" bestFit="1" customWidth="1"/>
    <col min="32" max="58" width="10.85546875" style="23" bestFit="1" customWidth="1"/>
    <col min="59" max="60" width="10.140625" style="23" bestFit="1" customWidth="1"/>
    <col min="61" max="85" width="9.5703125" style="23" bestFit="1" customWidth="1"/>
    <col min="86" max="86" width="11" style="23" customWidth="1"/>
    <col min="87" max="194" width="9.5703125" style="23" bestFit="1" customWidth="1"/>
    <col min="195" max="16384" width="9.5703125" style="23"/>
  </cols>
  <sheetData>
    <row r="1" spans="1:74" s="19" customFormat="1" ht="16.5" x14ac:dyDescent="0.3">
      <c r="A1" s="18" t="s">
        <v>0</v>
      </c>
      <c r="B1" s="10" t="str">
        <f>'MAGBL_Loan (IDCOL)'!C1</f>
        <v>Makrail Auto Green Bricks Limited (MAGBL)</v>
      </c>
    </row>
    <row r="3" spans="1:74" s="21" customFormat="1" ht="18.75" x14ac:dyDescent="0.3">
      <c r="A3" s="20" t="s">
        <v>1</v>
      </c>
    </row>
    <row r="4" spans="1:74" s="19" customFormat="1" ht="16.5" x14ac:dyDescent="0.3">
      <c r="A4" s="18"/>
    </row>
    <row r="5" spans="1:74" s="22" customFormat="1" ht="15" x14ac:dyDescent="0.3">
      <c r="A5" s="22" t="s">
        <v>63</v>
      </c>
      <c r="B5" s="73">
        <f>'MAGBL_Loan (IDCOL)'!C3</f>
        <v>42467</v>
      </c>
    </row>
    <row r="6" spans="1:74" x14ac:dyDescent="0.25">
      <c r="B6" s="54"/>
    </row>
    <row r="7" spans="1:74" ht="15" x14ac:dyDescent="0.3">
      <c r="A7" s="22" t="s">
        <v>2</v>
      </c>
      <c r="B7" s="78">
        <f>'MAGBL_Loan (IDCOL)'!C5</f>
        <v>175000000</v>
      </c>
      <c r="C7" s="22" t="s">
        <v>46</v>
      </c>
    </row>
    <row r="8" spans="1:74" ht="15" x14ac:dyDescent="0.3">
      <c r="A8" s="22"/>
      <c r="B8" s="54"/>
    </row>
    <row r="9" spans="1:74" ht="15" x14ac:dyDescent="0.3">
      <c r="A9" s="22" t="s">
        <v>3</v>
      </c>
      <c r="B9" s="79">
        <f>'MAGBL_Loan (IDCOL)'!C8</f>
        <v>0.09</v>
      </c>
    </row>
    <row r="10" spans="1:74" ht="15" x14ac:dyDescent="0.3">
      <c r="A10" s="22" t="s">
        <v>47</v>
      </c>
      <c r="B10" s="54" t="s">
        <v>73</v>
      </c>
    </row>
    <row r="11" spans="1:74" ht="15" x14ac:dyDescent="0.3">
      <c r="A11" s="22" t="s">
        <v>48</v>
      </c>
      <c r="B11" s="53">
        <v>360</v>
      </c>
      <c r="C11" s="23" t="s">
        <v>52</v>
      </c>
    </row>
    <row r="12" spans="1:74" ht="15" x14ac:dyDescent="0.3">
      <c r="A12" s="22" t="s">
        <v>22</v>
      </c>
      <c r="B12" s="138" t="str">
        <f>'MAGBL_Loan (IDCOL)'!C11</f>
        <v>Level Principal</v>
      </c>
    </row>
    <row r="13" spans="1:74" ht="15" x14ac:dyDescent="0.3">
      <c r="A13" s="22"/>
      <c r="B13" s="13"/>
    </row>
    <row r="14" spans="1:74" s="55" customFormat="1" x14ac:dyDescent="0.25">
      <c r="A14" s="62" t="s">
        <v>51</v>
      </c>
      <c r="B14" s="59"/>
      <c r="C14" s="61"/>
      <c r="D14" s="3"/>
      <c r="E14" s="3"/>
      <c r="F14" s="3"/>
      <c r="G14" s="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</row>
    <row r="15" spans="1:74" x14ac:dyDescent="0.25">
      <c r="A15" s="63"/>
      <c r="B15" s="64"/>
      <c r="C15" s="64">
        <f>'MAGBL_Loan (IDCOL)'!C16</f>
        <v>42549</v>
      </c>
      <c r="D15" s="64">
        <f>'MAGBL_Loan (IDCOL)'!D16</f>
        <v>42705</v>
      </c>
      <c r="E15" s="64">
        <f>'MAGBL_Loan (IDCOL)'!E16</f>
        <v>42752</v>
      </c>
      <c r="F15" s="64"/>
      <c r="G15" s="64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</row>
    <row r="16" spans="1:74" x14ac:dyDescent="0.25">
      <c r="A16" s="65"/>
      <c r="B16" s="66"/>
      <c r="C16" s="69">
        <f>'MAGBL_Loan (IDCOL)'!C17</f>
        <v>55000000</v>
      </c>
      <c r="D16" s="69">
        <f>'MAGBL_Loan (IDCOL)'!D17</f>
        <v>40000000</v>
      </c>
      <c r="E16" s="69">
        <f>'MAGBL_Loan (IDCOL)'!E17</f>
        <v>69750000</v>
      </c>
      <c r="F16" s="70"/>
      <c r="G16" s="70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30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30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</row>
    <row r="17" spans="1:86" s="55" customFormat="1" ht="13.5" customHeight="1" x14ac:dyDescent="0.25">
      <c r="A17" s="67"/>
      <c r="B17" s="68"/>
      <c r="C17" s="71">
        <f>C16</f>
        <v>55000000</v>
      </c>
      <c r="D17" s="71">
        <f>C17+D16</f>
        <v>95000000</v>
      </c>
      <c r="E17" s="71">
        <f>D17+E16</f>
        <v>164750000</v>
      </c>
      <c r="F17" s="72"/>
      <c r="G17" s="72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</row>
    <row r="18" spans="1:86" s="55" customFormat="1" ht="13.5" customHeight="1" x14ac:dyDescent="0.3">
      <c r="A18" s="22"/>
      <c r="B18" s="25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30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4"/>
      <c r="BH18" s="24"/>
      <c r="BI18" s="30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</row>
    <row r="19" spans="1:86" s="55" customFormat="1" ht="13.5" customHeight="1" x14ac:dyDescent="0.25">
      <c r="A19" s="14" t="s">
        <v>61</v>
      </c>
      <c r="B19" s="119">
        <v>42536</v>
      </c>
      <c r="C19" s="119">
        <f>EDATE(B19,1)</f>
        <v>42566</v>
      </c>
      <c r="D19" s="119">
        <f t="shared" ref="D19:BO19" si="0">EDATE(C19,1)</f>
        <v>42597</v>
      </c>
      <c r="E19" s="119">
        <f t="shared" si="0"/>
        <v>42628</v>
      </c>
      <c r="F19" s="119">
        <f t="shared" si="0"/>
        <v>42658</v>
      </c>
      <c r="G19" s="119">
        <f t="shared" si="0"/>
        <v>42689</v>
      </c>
      <c r="H19" s="119">
        <f t="shared" si="0"/>
        <v>42719</v>
      </c>
      <c r="I19" s="119">
        <f t="shared" si="0"/>
        <v>42750</v>
      </c>
      <c r="J19" s="119">
        <f t="shared" si="0"/>
        <v>42781</v>
      </c>
      <c r="K19" s="119">
        <f t="shared" si="0"/>
        <v>42809</v>
      </c>
      <c r="L19" s="119">
        <f t="shared" si="0"/>
        <v>42840</v>
      </c>
      <c r="M19" s="119">
        <f t="shared" si="0"/>
        <v>42870</v>
      </c>
      <c r="N19" s="119">
        <f t="shared" si="0"/>
        <v>42901</v>
      </c>
      <c r="O19" s="119">
        <f t="shared" si="0"/>
        <v>42931</v>
      </c>
      <c r="P19" s="119">
        <f t="shared" si="0"/>
        <v>42962</v>
      </c>
      <c r="Q19" s="119">
        <f t="shared" si="0"/>
        <v>42993</v>
      </c>
      <c r="R19" s="119">
        <f t="shared" si="0"/>
        <v>43023</v>
      </c>
      <c r="S19" s="119">
        <f t="shared" si="0"/>
        <v>43054</v>
      </c>
      <c r="T19" s="119">
        <f t="shared" si="0"/>
        <v>43084</v>
      </c>
      <c r="U19" s="119">
        <f t="shared" si="0"/>
        <v>43115</v>
      </c>
      <c r="V19" s="119">
        <f t="shared" si="0"/>
        <v>43146</v>
      </c>
      <c r="W19" s="119">
        <f t="shared" si="0"/>
        <v>43174</v>
      </c>
      <c r="X19" s="119">
        <f t="shared" si="0"/>
        <v>43205</v>
      </c>
      <c r="Y19" s="119">
        <f t="shared" si="0"/>
        <v>43235</v>
      </c>
      <c r="Z19" s="119">
        <f t="shared" si="0"/>
        <v>43266</v>
      </c>
      <c r="AA19" s="119">
        <f t="shared" si="0"/>
        <v>43296</v>
      </c>
      <c r="AB19" s="119">
        <f t="shared" si="0"/>
        <v>43327</v>
      </c>
      <c r="AC19" s="119">
        <f t="shared" si="0"/>
        <v>43358</v>
      </c>
      <c r="AD19" s="119">
        <f t="shared" si="0"/>
        <v>43388</v>
      </c>
      <c r="AE19" s="119">
        <f t="shared" si="0"/>
        <v>43419</v>
      </c>
      <c r="AF19" s="119">
        <f t="shared" si="0"/>
        <v>43449</v>
      </c>
      <c r="AG19" s="119">
        <f t="shared" si="0"/>
        <v>43480</v>
      </c>
      <c r="AH19" s="119">
        <f t="shared" si="0"/>
        <v>43511</v>
      </c>
      <c r="AI19" s="119">
        <f t="shared" si="0"/>
        <v>43539</v>
      </c>
      <c r="AJ19" s="119">
        <f t="shared" si="0"/>
        <v>43570</v>
      </c>
      <c r="AK19" s="119">
        <f t="shared" si="0"/>
        <v>43600</v>
      </c>
      <c r="AL19" s="119">
        <f t="shared" si="0"/>
        <v>43631</v>
      </c>
      <c r="AM19" s="119">
        <f t="shared" si="0"/>
        <v>43661</v>
      </c>
      <c r="AN19" s="119">
        <f t="shared" si="0"/>
        <v>43692</v>
      </c>
      <c r="AO19" s="119">
        <f t="shared" si="0"/>
        <v>43723</v>
      </c>
      <c r="AP19" s="119">
        <f t="shared" si="0"/>
        <v>43753</v>
      </c>
      <c r="AQ19" s="119">
        <f t="shared" si="0"/>
        <v>43784</v>
      </c>
      <c r="AR19" s="119">
        <f t="shared" si="0"/>
        <v>43814</v>
      </c>
      <c r="AS19" s="119">
        <f t="shared" si="0"/>
        <v>43845</v>
      </c>
      <c r="AT19" s="119">
        <f t="shared" si="0"/>
        <v>43876</v>
      </c>
      <c r="AU19" s="119">
        <f t="shared" si="0"/>
        <v>43905</v>
      </c>
      <c r="AV19" s="119">
        <f t="shared" si="0"/>
        <v>43936</v>
      </c>
      <c r="AW19" s="119">
        <f t="shared" si="0"/>
        <v>43966</v>
      </c>
      <c r="AX19" s="119">
        <f t="shared" si="0"/>
        <v>43997</v>
      </c>
      <c r="AY19" s="119">
        <f t="shared" si="0"/>
        <v>44027</v>
      </c>
      <c r="AZ19" s="119">
        <f t="shared" si="0"/>
        <v>44058</v>
      </c>
      <c r="BA19" s="119">
        <f t="shared" si="0"/>
        <v>44089</v>
      </c>
      <c r="BB19" s="119">
        <f t="shared" si="0"/>
        <v>44119</v>
      </c>
      <c r="BC19" s="119">
        <f t="shared" si="0"/>
        <v>44150</v>
      </c>
      <c r="BD19" s="119">
        <f t="shared" si="0"/>
        <v>44180</v>
      </c>
      <c r="BE19" s="119">
        <f t="shared" si="0"/>
        <v>44211</v>
      </c>
      <c r="BF19" s="119">
        <f t="shared" si="0"/>
        <v>44242</v>
      </c>
      <c r="BG19" s="119">
        <f t="shared" si="0"/>
        <v>44270</v>
      </c>
      <c r="BH19" s="119">
        <f t="shared" si="0"/>
        <v>44301</v>
      </c>
      <c r="BI19" s="119">
        <f t="shared" si="0"/>
        <v>44331</v>
      </c>
      <c r="BJ19" s="119">
        <f t="shared" si="0"/>
        <v>44362</v>
      </c>
      <c r="BK19" s="119">
        <f t="shared" si="0"/>
        <v>44392</v>
      </c>
      <c r="BL19" s="119">
        <f t="shared" si="0"/>
        <v>44423</v>
      </c>
      <c r="BM19" s="119">
        <f t="shared" si="0"/>
        <v>44454</v>
      </c>
      <c r="BN19" s="119">
        <f t="shared" si="0"/>
        <v>44484</v>
      </c>
      <c r="BO19" s="119">
        <f t="shared" si="0"/>
        <v>44515</v>
      </c>
      <c r="BP19" s="119">
        <f t="shared" ref="BP19:CH19" si="1">EDATE(BO19,1)</f>
        <v>44545</v>
      </c>
      <c r="BQ19" s="119">
        <f t="shared" si="1"/>
        <v>44576</v>
      </c>
      <c r="BR19" s="119">
        <f t="shared" si="1"/>
        <v>44607</v>
      </c>
      <c r="BS19" s="119">
        <f t="shared" si="1"/>
        <v>44635</v>
      </c>
      <c r="BT19" s="119">
        <f t="shared" si="1"/>
        <v>44666</v>
      </c>
      <c r="BU19" s="119">
        <f t="shared" si="1"/>
        <v>44696</v>
      </c>
      <c r="BV19" s="119">
        <f t="shared" si="1"/>
        <v>44727</v>
      </c>
      <c r="BW19" s="119">
        <f t="shared" si="1"/>
        <v>44757</v>
      </c>
      <c r="BX19" s="119">
        <f t="shared" si="1"/>
        <v>44788</v>
      </c>
      <c r="BY19" s="119">
        <f t="shared" si="1"/>
        <v>44819</v>
      </c>
      <c r="BZ19" s="119">
        <f t="shared" si="1"/>
        <v>44849</v>
      </c>
      <c r="CA19" s="119">
        <f t="shared" si="1"/>
        <v>44880</v>
      </c>
      <c r="CB19" s="119">
        <f t="shared" si="1"/>
        <v>44910</v>
      </c>
      <c r="CC19" s="119">
        <f t="shared" si="1"/>
        <v>44941</v>
      </c>
      <c r="CD19" s="119">
        <f t="shared" si="1"/>
        <v>44972</v>
      </c>
      <c r="CE19" s="119">
        <f t="shared" si="1"/>
        <v>45000</v>
      </c>
      <c r="CF19" s="119">
        <f t="shared" si="1"/>
        <v>45031</v>
      </c>
      <c r="CG19" s="119">
        <f t="shared" si="1"/>
        <v>45061</v>
      </c>
      <c r="CH19" s="119">
        <f t="shared" si="1"/>
        <v>45092</v>
      </c>
    </row>
    <row r="20" spans="1:86" s="55" customFormat="1" ht="13.5" customHeight="1" thickBot="1" x14ac:dyDescent="0.3">
      <c r="A20" s="120" t="s">
        <v>62</v>
      </c>
      <c r="B20" s="121">
        <v>0.09</v>
      </c>
      <c r="C20" s="121">
        <v>0.09</v>
      </c>
      <c r="D20" s="121">
        <v>0.09</v>
      </c>
      <c r="E20" s="121">
        <v>0.09</v>
      </c>
      <c r="F20" s="121">
        <v>0.09</v>
      </c>
      <c r="G20" s="121">
        <v>0.09</v>
      </c>
      <c r="H20" s="121">
        <v>0.09</v>
      </c>
      <c r="I20" s="121">
        <v>0.09</v>
      </c>
      <c r="J20" s="121">
        <v>0.09</v>
      </c>
      <c r="K20" s="121">
        <v>0.09</v>
      </c>
      <c r="L20" s="121">
        <v>0.09</v>
      </c>
      <c r="M20" s="121">
        <v>0.09</v>
      </c>
      <c r="N20" s="121">
        <v>0.09</v>
      </c>
      <c r="O20" s="121">
        <v>0.09</v>
      </c>
      <c r="P20" s="121">
        <v>0.09</v>
      </c>
      <c r="Q20" s="121">
        <v>0.09</v>
      </c>
      <c r="R20" s="121">
        <v>0.09</v>
      </c>
      <c r="S20" s="121">
        <v>0.09</v>
      </c>
      <c r="T20" s="121">
        <v>0.09</v>
      </c>
      <c r="U20" s="121">
        <v>0.09</v>
      </c>
      <c r="V20" s="121">
        <v>0.09</v>
      </c>
      <c r="W20" s="121">
        <v>0.09</v>
      </c>
      <c r="X20" s="121">
        <v>0.09</v>
      </c>
      <c r="Y20" s="121">
        <v>0.09</v>
      </c>
      <c r="Z20" s="121">
        <v>0.09</v>
      </c>
      <c r="AA20" s="121">
        <v>0.09</v>
      </c>
      <c r="AB20" s="121">
        <v>0.09</v>
      </c>
      <c r="AC20" s="121">
        <v>0.09</v>
      </c>
      <c r="AD20" s="121">
        <v>0.09</v>
      </c>
      <c r="AE20" s="121">
        <v>0.09</v>
      </c>
      <c r="AF20" s="121">
        <v>0.09</v>
      </c>
      <c r="AG20" s="121">
        <v>0.09</v>
      </c>
      <c r="AH20" s="121">
        <v>0.09</v>
      </c>
      <c r="AI20" s="121">
        <v>0.09</v>
      </c>
      <c r="AJ20" s="121">
        <v>0.09</v>
      </c>
      <c r="AK20" s="121">
        <v>0.09</v>
      </c>
      <c r="AL20" s="121">
        <v>0.09</v>
      </c>
      <c r="AM20" s="121">
        <v>0.09</v>
      </c>
      <c r="AN20" s="121">
        <v>0.09</v>
      </c>
      <c r="AO20" s="121">
        <v>0.09</v>
      </c>
      <c r="AP20" s="121">
        <v>0.09</v>
      </c>
      <c r="AQ20" s="121">
        <v>0.09</v>
      </c>
      <c r="AR20" s="121">
        <v>0.09</v>
      </c>
      <c r="AS20" s="121">
        <v>0.09</v>
      </c>
      <c r="AT20" s="121">
        <v>0.09</v>
      </c>
      <c r="AU20" s="121">
        <v>0.09</v>
      </c>
      <c r="AV20" s="121">
        <v>0.09</v>
      </c>
      <c r="AW20" s="121">
        <v>0.09</v>
      </c>
      <c r="AX20" s="121">
        <v>0.09</v>
      </c>
      <c r="AY20" s="121">
        <v>0.09</v>
      </c>
      <c r="AZ20" s="121">
        <v>0.09</v>
      </c>
      <c r="BA20" s="121">
        <v>0.09</v>
      </c>
      <c r="BB20" s="121">
        <v>0.09</v>
      </c>
      <c r="BC20" s="121">
        <v>0.09</v>
      </c>
      <c r="BD20" s="121">
        <v>0.09</v>
      </c>
      <c r="BE20" s="121">
        <v>0.09</v>
      </c>
      <c r="BF20" s="121">
        <v>0.09</v>
      </c>
      <c r="BG20" s="121">
        <v>0.09</v>
      </c>
      <c r="BH20" s="121">
        <v>0.09</v>
      </c>
      <c r="BI20" s="121">
        <v>0.09</v>
      </c>
      <c r="BJ20" s="121">
        <v>0.09</v>
      </c>
      <c r="BK20" s="121">
        <v>0.09</v>
      </c>
      <c r="BL20" s="121">
        <v>0.09</v>
      </c>
      <c r="BM20" s="121">
        <v>0.09</v>
      </c>
      <c r="BN20" s="121">
        <v>0.09</v>
      </c>
      <c r="BO20" s="121">
        <v>0.09</v>
      </c>
      <c r="BP20" s="121">
        <v>0.09</v>
      </c>
      <c r="BQ20" s="121">
        <v>0.09</v>
      </c>
      <c r="BR20" s="121">
        <v>0.09</v>
      </c>
      <c r="BS20" s="121">
        <v>0.09</v>
      </c>
      <c r="BT20" s="121">
        <v>0.09</v>
      </c>
      <c r="BU20" s="121">
        <v>0.09</v>
      </c>
      <c r="BV20" s="121">
        <v>0.09</v>
      </c>
      <c r="BW20" s="121">
        <v>0.09</v>
      </c>
      <c r="BX20" s="121">
        <v>0.09</v>
      </c>
      <c r="BY20" s="121">
        <v>0.09</v>
      </c>
      <c r="BZ20" s="121">
        <v>0.09</v>
      </c>
      <c r="CA20" s="121">
        <v>0.09</v>
      </c>
      <c r="CB20" s="121">
        <v>0.09</v>
      </c>
      <c r="CC20" s="121">
        <v>0.09</v>
      </c>
      <c r="CD20" s="121">
        <v>0.09</v>
      </c>
      <c r="CE20" s="121">
        <v>0.09</v>
      </c>
      <c r="CF20" s="121">
        <v>0.09</v>
      </c>
      <c r="CG20" s="121">
        <v>0.09</v>
      </c>
      <c r="CH20" s="121">
        <v>0.09</v>
      </c>
    </row>
    <row r="21" spans="1:86" s="55" customFormat="1" ht="13.5" customHeight="1" x14ac:dyDescent="0.3">
      <c r="A21" s="22"/>
      <c r="B21" s="2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30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4"/>
      <c r="BH21" s="24"/>
      <c r="BI21" s="30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</row>
    <row r="22" spans="1:86" s="55" customFormat="1" ht="15" x14ac:dyDescent="0.3">
      <c r="A22" s="22" t="s">
        <v>13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</row>
    <row r="23" spans="1:86" s="55" customFormat="1" ht="15" x14ac:dyDescent="0.3">
      <c r="A23" s="28" t="s">
        <v>14</v>
      </c>
      <c r="B23" s="29">
        <v>42552</v>
      </c>
      <c r="C23" s="29">
        <f>EDATE(B23,1)</f>
        <v>42583</v>
      </c>
      <c r="D23" s="29">
        <f t="shared" ref="D23:BO23" si="2">EDATE(C23,1)</f>
        <v>42614</v>
      </c>
      <c r="E23" s="29">
        <f t="shared" si="2"/>
        <v>42644</v>
      </c>
      <c r="F23" s="29">
        <f t="shared" si="2"/>
        <v>42675</v>
      </c>
      <c r="G23" s="29">
        <f t="shared" si="2"/>
        <v>42705</v>
      </c>
      <c r="H23" s="29">
        <f t="shared" si="2"/>
        <v>42736</v>
      </c>
      <c r="I23" s="29">
        <f t="shared" si="2"/>
        <v>42767</v>
      </c>
      <c r="J23" s="29">
        <f t="shared" si="2"/>
        <v>42795</v>
      </c>
      <c r="K23" s="29">
        <f t="shared" si="2"/>
        <v>42826</v>
      </c>
      <c r="L23" s="29">
        <f t="shared" si="2"/>
        <v>42856</v>
      </c>
      <c r="M23" s="29">
        <f t="shared" si="2"/>
        <v>42887</v>
      </c>
      <c r="N23" s="29">
        <f t="shared" si="2"/>
        <v>42917</v>
      </c>
      <c r="O23" s="29">
        <f t="shared" si="2"/>
        <v>42948</v>
      </c>
      <c r="P23" s="29">
        <f t="shared" si="2"/>
        <v>42979</v>
      </c>
      <c r="Q23" s="29">
        <f t="shared" si="2"/>
        <v>43009</v>
      </c>
      <c r="R23" s="29">
        <f t="shared" si="2"/>
        <v>43040</v>
      </c>
      <c r="S23" s="29">
        <f t="shared" si="2"/>
        <v>43070</v>
      </c>
      <c r="T23" s="29">
        <f t="shared" si="2"/>
        <v>43101</v>
      </c>
      <c r="U23" s="29">
        <f t="shared" si="2"/>
        <v>43132</v>
      </c>
      <c r="V23" s="29">
        <f t="shared" si="2"/>
        <v>43160</v>
      </c>
      <c r="W23" s="29">
        <f t="shared" si="2"/>
        <v>43191</v>
      </c>
      <c r="X23" s="29">
        <f t="shared" si="2"/>
        <v>43221</v>
      </c>
      <c r="Y23" s="29">
        <f t="shared" si="2"/>
        <v>43252</v>
      </c>
      <c r="Z23" s="29">
        <f t="shared" si="2"/>
        <v>43282</v>
      </c>
      <c r="AA23" s="29">
        <f t="shared" si="2"/>
        <v>43313</v>
      </c>
      <c r="AB23" s="29">
        <f t="shared" si="2"/>
        <v>43344</v>
      </c>
      <c r="AC23" s="29">
        <f t="shared" si="2"/>
        <v>43374</v>
      </c>
      <c r="AD23" s="29">
        <f t="shared" si="2"/>
        <v>43405</v>
      </c>
      <c r="AE23" s="29">
        <f t="shared" si="2"/>
        <v>43435</v>
      </c>
      <c r="AF23" s="29">
        <f t="shared" si="2"/>
        <v>43466</v>
      </c>
      <c r="AG23" s="29">
        <f t="shared" si="2"/>
        <v>43497</v>
      </c>
      <c r="AH23" s="29">
        <f t="shared" si="2"/>
        <v>43525</v>
      </c>
      <c r="AI23" s="29">
        <f t="shared" si="2"/>
        <v>43556</v>
      </c>
      <c r="AJ23" s="29">
        <f t="shared" si="2"/>
        <v>43586</v>
      </c>
      <c r="AK23" s="29">
        <f t="shared" si="2"/>
        <v>43617</v>
      </c>
      <c r="AL23" s="29">
        <f t="shared" si="2"/>
        <v>43647</v>
      </c>
      <c r="AM23" s="29">
        <f t="shared" si="2"/>
        <v>43678</v>
      </c>
      <c r="AN23" s="29">
        <f t="shared" si="2"/>
        <v>43709</v>
      </c>
      <c r="AO23" s="29">
        <f t="shared" si="2"/>
        <v>43739</v>
      </c>
      <c r="AP23" s="29">
        <f t="shared" si="2"/>
        <v>43770</v>
      </c>
      <c r="AQ23" s="29">
        <f t="shared" si="2"/>
        <v>43800</v>
      </c>
      <c r="AR23" s="29">
        <f t="shared" si="2"/>
        <v>43831</v>
      </c>
      <c r="AS23" s="29">
        <f t="shared" si="2"/>
        <v>43862</v>
      </c>
      <c r="AT23" s="29">
        <f t="shared" si="2"/>
        <v>43891</v>
      </c>
      <c r="AU23" s="29">
        <f t="shared" si="2"/>
        <v>43922</v>
      </c>
      <c r="AV23" s="29">
        <f t="shared" si="2"/>
        <v>43952</v>
      </c>
      <c r="AW23" s="29">
        <f t="shared" si="2"/>
        <v>43983</v>
      </c>
      <c r="AX23" s="29">
        <f t="shared" si="2"/>
        <v>44013</v>
      </c>
      <c r="AY23" s="29">
        <f t="shared" si="2"/>
        <v>44044</v>
      </c>
      <c r="AZ23" s="29">
        <f t="shared" si="2"/>
        <v>44075</v>
      </c>
      <c r="BA23" s="29">
        <f t="shared" si="2"/>
        <v>44105</v>
      </c>
      <c r="BB23" s="29">
        <f t="shared" si="2"/>
        <v>44136</v>
      </c>
      <c r="BC23" s="29">
        <f t="shared" si="2"/>
        <v>44166</v>
      </c>
      <c r="BD23" s="29">
        <f t="shared" si="2"/>
        <v>44197</v>
      </c>
      <c r="BE23" s="29">
        <f t="shared" si="2"/>
        <v>44228</v>
      </c>
      <c r="BF23" s="29">
        <f t="shared" si="2"/>
        <v>44256</v>
      </c>
      <c r="BG23" s="29">
        <f t="shared" si="2"/>
        <v>44287</v>
      </c>
      <c r="BH23" s="29">
        <f t="shared" si="2"/>
        <v>44317</v>
      </c>
      <c r="BI23" s="29">
        <f t="shared" si="2"/>
        <v>44348</v>
      </c>
      <c r="BJ23" s="29">
        <f t="shared" si="2"/>
        <v>44378</v>
      </c>
      <c r="BK23" s="29">
        <f t="shared" si="2"/>
        <v>44409</v>
      </c>
      <c r="BL23" s="29">
        <f t="shared" si="2"/>
        <v>44440</v>
      </c>
      <c r="BM23" s="29">
        <f t="shared" si="2"/>
        <v>44470</v>
      </c>
      <c r="BN23" s="29">
        <f t="shared" si="2"/>
        <v>44501</v>
      </c>
      <c r="BO23" s="29">
        <f t="shared" si="2"/>
        <v>44531</v>
      </c>
      <c r="BP23" s="29">
        <f t="shared" ref="BP23:CH23" si="3">EDATE(BO23,1)</f>
        <v>44562</v>
      </c>
      <c r="BQ23" s="29">
        <f t="shared" si="3"/>
        <v>44593</v>
      </c>
      <c r="BR23" s="29">
        <f t="shared" si="3"/>
        <v>44621</v>
      </c>
      <c r="BS23" s="29">
        <f t="shared" si="3"/>
        <v>44652</v>
      </c>
      <c r="BT23" s="29">
        <f t="shared" si="3"/>
        <v>44682</v>
      </c>
      <c r="BU23" s="29">
        <f t="shared" si="3"/>
        <v>44713</v>
      </c>
      <c r="BV23" s="29">
        <f t="shared" si="3"/>
        <v>44743</v>
      </c>
      <c r="BW23" s="29">
        <f t="shared" si="3"/>
        <v>44774</v>
      </c>
      <c r="BX23" s="29">
        <f t="shared" si="3"/>
        <v>44805</v>
      </c>
      <c r="BY23" s="29">
        <f t="shared" si="3"/>
        <v>44835</v>
      </c>
      <c r="BZ23" s="29">
        <f t="shared" si="3"/>
        <v>44866</v>
      </c>
      <c r="CA23" s="29">
        <f t="shared" si="3"/>
        <v>44896</v>
      </c>
      <c r="CB23" s="29">
        <f t="shared" si="3"/>
        <v>44927</v>
      </c>
      <c r="CC23" s="29">
        <f t="shared" si="3"/>
        <v>44958</v>
      </c>
      <c r="CD23" s="29">
        <f t="shared" si="3"/>
        <v>44986</v>
      </c>
      <c r="CE23" s="29">
        <f t="shared" si="3"/>
        <v>45017</v>
      </c>
      <c r="CF23" s="29">
        <f t="shared" si="3"/>
        <v>45047</v>
      </c>
      <c r="CG23" s="29">
        <f t="shared" si="3"/>
        <v>45078</v>
      </c>
      <c r="CH23" s="29">
        <f t="shared" si="3"/>
        <v>45108</v>
      </c>
    </row>
    <row r="24" spans="1:86" s="55" customFormat="1" x14ac:dyDescent="0.25">
      <c r="A24" s="23" t="s">
        <v>4</v>
      </c>
      <c r="B24" s="30">
        <f>C17</f>
        <v>55000000</v>
      </c>
      <c r="C24" s="26">
        <f>B30</f>
        <v>55000000</v>
      </c>
      <c r="D24" s="26">
        <f>C30</f>
        <v>55000000</v>
      </c>
      <c r="E24" s="26">
        <f t="shared" ref="E24:BO24" si="4">D30</f>
        <v>55000000</v>
      </c>
      <c r="F24" s="26">
        <f>E30</f>
        <v>56086250</v>
      </c>
      <c r="G24" s="26">
        <f t="shared" si="4"/>
        <v>56086250</v>
      </c>
      <c r="H24" s="26">
        <f>G30+D16</f>
        <v>96086250</v>
      </c>
      <c r="I24" s="26">
        <f>H30+E16</f>
        <v>167252212.1875</v>
      </c>
      <c r="J24" s="26">
        <f t="shared" si="4"/>
        <v>167252212.1875</v>
      </c>
      <c r="K24" s="26">
        <f>J30</f>
        <v>167252212.1875</v>
      </c>
      <c r="L24" s="26">
        <f t="shared" si="4"/>
        <v>170439949.46171874</v>
      </c>
      <c r="M24" s="26">
        <f t="shared" si="4"/>
        <v>170439949.46171874</v>
      </c>
      <c r="N24" s="26">
        <f t="shared" si="4"/>
        <v>170439949.46171874</v>
      </c>
      <c r="O24" s="26">
        <f t="shared" si="4"/>
        <v>174913998.13508886</v>
      </c>
      <c r="P24" s="26">
        <f t="shared" si="4"/>
        <v>174913998.13508886</v>
      </c>
      <c r="Q24" s="26">
        <f t="shared" si="4"/>
        <v>174913998.13508886</v>
      </c>
      <c r="R24" s="26">
        <f t="shared" si="4"/>
        <v>169337699.83562994</v>
      </c>
      <c r="S24" s="26">
        <f t="shared" si="4"/>
        <v>169337699.83562994</v>
      </c>
      <c r="T24" s="26">
        <f t="shared" si="4"/>
        <v>169337699.83562994</v>
      </c>
      <c r="U24" s="26">
        <f t="shared" si="4"/>
        <v>163635934.82443318</v>
      </c>
      <c r="V24" s="26">
        <f t="shared" si="4"/>
        <v>163635934.82443318</v>
      </c>
      <c r="W24" s="26">
        <f t="shared" si="4"/>
        <v>163635934.82443318</v>
      </c>
      <c r="X24" s="26">
        <f t="shared" si="4"/>
        <v>157805880.10048449</v>
      </c>
      <c r="Y24" s="26">
        <f t="shared" si="4"/>
        <v>157805880.10048449</v>
      </c>
      <c r="Z24" s="26">
        <f t="shared" si="4"/>
        <v>157805880.10048449</v>
      </c>
      <c r="AA24" s="26">
        <f t="shared" si="4"/>
        <v>151844649.14524698</v>
      </c>
      <c r="AB24" s="26">
        <f t="shared" si="4"/>
        <v>151844649.14524698</v>
      </c>
      <c r="AC24" s="26">
        <f t="shared" si="4"/>
        <v>151844649.14524698</v>
      </c>
      <c r="AD24" s="26">
        <f t="shared" si="4"/>
        <v>145749290.49351662</v>
      </c>
      <c r="AE24" s="26">
        <f t="shared" si="4"/>
        <v>145749290.49351662</v>
      </c>
      <c r="AF24" s="26">
        <f t="shared" si="4"/>
        <v>145749290.49351662</v>
      </c>
      <c r="AG24" s="26">
        <f t="shared" si="4"/>
        <v>139516786.27212232</v>
      </c>
      <c r="AH24" s="26">
        <f t="shared" si="4"/>
        <v>139516786.27212232</v>
      </c>
      <c r="AI24" s="26">
        <f t="shared" si="4"/>
        <v>139516786.27212232</v>
      </c>
      <c r="AJ24" s="26">
        <f t="shared" si="4"/>
        <v>133144050.70574665</v>
      </c>
      <c r="AK24" s="26">
        <f t="shared" si="4"/>
        <v>133144050.70574665</v>
      </c>
      <c r="AL24" s="26">
        <f t="shared" si="4"/>
        <v>133144050.70574665</v>
      </c>
      <c r="AM24" s="26">
        <f t="shared" si="4"/>
        <v>126627928.58912753</v>
      </c>
      <c r="AN24" s="26">
        <f t="shared" si="4"/>
        <v>126627928.58912753</v>
      </c>
      <c r="AO24" s="26">
        <f t="shared" si="4"/>
        <v>126627928.58912753</v>
      </c>
      <c r="AP24" s="26">
        <f t="shared" si="4"/>
        <v>119965193.72488448</v>
      </c>
      <c r="AQ24" s="26">
        <f t="shared" si="4"/>
        <v>119965193.72488448</v>
      </c>
      <c r="AR24" s="26">
        <f t="shared" si="4"/>
        <v>119965193.72488448</v>
      </c>
      <c r="AS24" s="26">
        <f t="shared" si="4"/>
        <v>113152547.32619596</v>
      </c>
      <c r="AT24" s="26">
        <f t="shared" si="4"/>
        <v>113152547.32619596</v>
      </c>
      <c r="AU24" s="26">
        <f t="shared" si="4"/>
        <v>113152547.32619596</v>
      </c>
      <c r="AV24" s="26">
        <f t="shared" si="4"/>
        <v>106186616.38353693</v>
      </c>
      <c r="AW24" s="26">
        <f t="shared" si="4"/>
        <v>106186616.38353693</v>
      </c>
      <c r="AX24" s="26">
        <f t="shared" si="4"/>
        <v>106186616.38353693</v>
      </c>
      <c r="AY24" s="26">
        <f t="shared" si="4"/>
        <v>99063951.994668096</v>
      </c>
      <c r="AZ24" s="26">
        <f t="shared" si="4"/>
        <v>99063951.994668096</v>
      </c>
      <c r="BA24" s="26">
        <f t="shared" si="4"/>
        <v>99063951.994668096</v>
      </c>
      <c r="BB24" s="26">
        <f t="shared" si="4"/>
        <v>91781027.657049701</v>
      </c>
      <c r="BC24" s="26">
        <f t="shared" si="4"/>
        <v>91781027.657049701</v>
      </c>
      <c r="BD24" s="26">
        <f t="shared" si="4"/>
        <v>91781027.657049701</v>
      </c>
      <c r="BE24" s="26">
        <f t="shared" si="4"/>
        <v>84334237.521834895</v>
      </c>
      <c r="BF24" s="26">
        <f t="shared" si="4"/>
        <v>84334237.521834895</v>
      </c>
      <c r="BG24" s="26">
        <f t="shared" si="4"/>
        <v>84334237.521834895</v>
      </c>
      <c r="BH24" s="26">
        <f t="shared" si="4"/>
        <v>76719894.608577758</v>
      </c>
      <c r="BI24" s="26">
        <f t="shared" si="4"/>
        <v>76719894.608577758</v>
      </c>
      <c r="BJ24" s="26">
        <f t="shared" si="4"/>
        <v>76719894.608577758</v>
      </c>
      <c r="BK24" s="26">
        <f t="shared" si="4"/>
        <v>68934228.979772329</v>
      </c>
      <c r="BL24" s="26">
        <f t="shared" si="4"/>
        <v>68934228.979772329</v>
      </c>
      <c r="BM24" s="26">
        <f t="shared" si="4"/>
        <v>68934228.979772329</v>
      </c>
      <c r="BN24" s="26">
        <f t="shared" si="4"/>
        <v>60973385.874318786</v>
      </c>
      <c r="BO24" s="26">
        <f t="shared" si="4"/>
        <v>60973385.874318786</v>
      </c>
      <c r="BP24" s="26">
        <f t="shared" ref="BP24:CH24" si="5">BO30</f>
        <v>60973385.874318786</v>
      </c>
      <c r="BQ24" s="26">
        <f t="shared" si="5"/>
        <v>52833423.798992537</v>
      </c>
      <c r="BR24" s="26">
        <f t="shared" si="5"/>
        <v>52833423.798992537</v>
      </c>
      <c r="BS24" s="26">
        <f t="shared" si="5"/>
        <v>52833423.798992537</v>
      </c>
      <c r="BT24" s="26">
        <f t="shared" si="5"/>
        <v>44510312.576971449</v>
      </c>
      <c r="BU24" s="26">
        <f t="shared" si="5"/>
        <v>44510312.576971449</v>
      </c>
      <c r="BV24" s="26">
        <f t="shared" si="5"/>
        <v>44510312.576971449</v>
      </c>
      <c r="BW24" s="26">
        <f t="shared" si="5"/>
        <v>35999931.352454886</v>
      </c>
      <c r="BX24" s="26">
        <f t="shared" si="5"/>
        <v>35999931.352454886</v>
      </c>
      <c r="BY24" s="26">
        <f t="shared" si="5"/>
        <v>35999931.352454886</v>
      </c>
      <c r="BZ24" s="26">
        <f t="shared" si="5"/>
        <v>27298066.550386697</v>
      </c>
      <c r="CA24" s="26">
        <f t="shared" si="5"/>
        <v>27298066.550386697</v>
      </c>
      <c r="CB24" s="26">
        <f t="shared" si="5"/>
        <v>27298066.550386697</v>
      </c>
      <c r="CC24" s="26">
        <f t="shared" si="5"/>
        <v>18400409.790271975</v>
      </c>
      <c r="CD24" s="26">
        <f t="shared" si="5"/>
        <v>18400409.790271975</v>
      </c>
      <c r="CE24" s="26">
        <f t="shared" si="5"/>
        <v>18400409.790271975</v>
      </c>
      <c r="CF24" s="26">
        <f t="shared" si="5"/>
        <v>9302555.7530546729</v>
      </c>
      <c r="CG24" s="26">
        <f t="shared" si="5"/>
        <v>9302555.7530546729</v>
      </c>
      <c r="CH24" s="26">
        <f t="shared" si="5"/>
        <v>9302555.7530546729</v>
      </c>
    </row>
    <row r="25" spans="1:86" s="55" customFormat="1" x14ac:dyDescent="0.25">
      <c r="A25" s="23" t="s">
        <v>5</v>
      </c>
      <c r="B25" s="26">
        <f>C17*(B23-C15)*B20/360</f>
        <v>41250</v>
      </c>
      <c r="C25" s="26">
        <f>C24*(C23-B23)*C20/360</f>
        <v>426250</v>
      </c>
      <c r="D25" s="26">
        <f>D24*(D23-C23)*D20/360</f>
        <v>426250</v>
      </c>
      <c r="E25" s="26">
        <f>E24*('MAGBL_Loan (IDCOL)'!$B$27-D23)*D20/360+E30*(E23-'MAGBL_Loan (IDCOL)'!$B$27)*E20/360</f>
        <v>416845</v>
      </c>
      <c r="F25" s="26">
        <f>F24*(F23-E23)*F20/360</f>
        <v>434668.4375</v>
      </c>
      <c r="G25" s="26">
        <f>G24*(G23-F23)*G20/360</f>
        <v>420646.875</v>
      </c>
      <c r="H25" s="26">
        <f>H24*('MAGBL_Loan (IDCOL)'!$C$27-D15)*H20/360+H30*(H23-'MAGBL_Loan (IDCOL)'!$C$27)*H20/360</f>
        <v>750686.27679687506</v>
      </c>
      <c r="I25" s="26">
        <f>H30*(E15-H23)*H20/360+(H30+E16)*(I23-E15)*I20/360</f>
        <v>1017204.6444531248</v>
      </c>
      <c r="J25" s="26">
        <f>J24*(J23-I23)*J20/360</f>
        <v>1170765.4853125</v>
      </c>
      <c r="K25" s="26">
        <f>K24*('MAGBL_Loan (IDCOL)'!$D$27-J23)*J20/360+K30*(K23-'MAGBL_Loan (IDCOL)'!$D$27)*K20/360</f>
        <v>1309752.5278685545</v>
      </c>
      <c r="L25" s="26">
        <f>L24*(L23-K23)*L20/360</f>
        <v>1278299.6209628906</v>
      </c>
      <c r="M25" s="26">
        <f>M24*(M23-L23)*M20/360</f>
        <v>1320909.6083283203</v>
      </c>
      <c r="N25" s="26">
        <f>N24*('MAGBL_Loan (IDCOL)'!$E$27-M23)*M20/360+N30*(N23-'MAGBL_Loan (IDCOL)'!$E$27)*N20/360</f>
        <v>1281655.157467918</v>
      </c>
      <c r="O25" s="26">
        <f>O24*(O23-N23)*O20/360</f>
        <v>1355583.4855469386</v>
      </c>
      <c r="P25" s="26">
        <f t="shared" ref="P25:CA25" si="6">P24*(P23-O23)*P20/360</f>
        <v>1355583.4855469386</v>
      </c>
      <c r="Q25" s="26">
        <f>Q24*('MAGBL_Loan (IDCOL)'!$F$27-P23)*P20/360+Q30*(Q23-'MAGBL_Loan (IDCOL)'!$F$27)*Q20/360</f>
        <v>1288155.718240466</v>
      </c>
      <c r="R25" s="26">
        <f t="shared" si="6"/>
        <v>1312367.1737261319</v>
      </c>
      <c r="S25" s="26">
        <f t="shared" si="6"/>
        <v>1270032.7487672244</v>
      </c>
      <c r="T25" s="26">
        <f>T24*('MAGBL_Loan (IDCOL)'!$G$27-S23)*S20/360+T30*(T23-'MAGBL_Loan (IDCOL)'!$G$27)*T20/360</f>
        <v>1286709.2311757465</v>
      </c>
      <c r="U25" s="26">
        <f t="shared" si="6"/>
        <v>1268178.4948893571</v>
      </c>
      <c r="V25" s="26">
        <f t="shared" si="6"/>
        <v>1145451.5437710322</v>
      </c>
      <c r="W25" s="26">
        <f>W24*('MAGBL_Loan (IDCOL)'!$H$27-V23)*V20/360+W30*(W23-'MAGBL_Loan (IDCOL)'!$H$27)*W20/360</f>
        <v>1243400.7623125752</v>
      </c>
      <c r="X25" s="26">
        <f t="shared" si="6"/>
        <v>1183544.1007536338</v>
      </c>
      <c r="Y25" s="26">
        <f t="shared" si="6"/>
        <v>1222995.5707787548</v>
      </c>
      <c r="Z25" s="26">
        <f>Z24*('MAGBL_Loan (IDCOL)'!$I$27-Y23)*Y20/360+Z30*(Z23-'MAGBL_Loan (IDCOL)'!$I$27)*Z20/360</f>
        <v>1158208.8691938743</v>
      </c>
      <c r="AA25" s="26">
        <f t="shared" si="6"/>
        <v>1176796.0308756642</v>
      </c>
      <c r="AB25" s="26">
        <f t="shared" si="6"/>
        <v>1176796.0308756642</v>
      </c>
      <c r="AC25" s="26">
        <f>AC24*('MAGBL_Loan (IDCOL)'!$J$27-AB23)*AB20/360+AC30*(AC23-'MAGBL_Loan (IDCOL)'!$J$27)*AC20/360</f>
        <v>1111405.7546565658</v>
      </c>
      <c r="AD25" s="26">
        <f t="shared" si="6"/>
        <v>1129557.0013247537</v>
      </c>
      <c r="AE25" s="26">
        <f t="shared" si="6"/>
        <v>1093119.6787013747</v>
      </c>
      <c r="AF25" s="26">
        <f>AF24*('MAGBL_Loan (IDCOL)'!$K$27-AE23)*AE20/360+AF30*(AF23-'MAGBL_Loan (IDCOL)'!$K$27)*AF20/360</f>
        <v>1099952.606273131</v>
      </c>
      <c r="AG25" s="26">
        <f t="shared" si="6"/>
        <v>1081255.0936089479</v>
      </c>
      <c r="AH25" s="26">
        <f t="shared" si="6"/>
        <v>976617.50390485628</v>
      </c>
      <c r="AI25" s="26">
        <f>AI24*('MAGBL_Loan (IDCOL)'!$L$27-AH23)*AH20/360+AI30*(AI23-'MAGBL_Loan (IDCOL)'!$L$27)*AI20/360</f>
        <v>1052577.7835602574</v>
      </c>
      <c r="AJ25" s="26">
        <f t="shared" si="6"/>
        <v>998580.38029309991</v>
      </c>
      <c r="AK25" s="26">
        <f t="shared" si="6"/>
        <v>1031866.3929695365</v>
      </c>
      <c r="AL25" s="26">
        <f>AL24*('MAGBL_Loan (IDCOL)'!$M$27-AK23)*AK20/360+AL30*(AL23-'MAGBL_Loan (IDCOL)'!$M$27)*AL20/360</f>
        <v>969257.83076831372</v>
      </c>
      <c r="AM25" s="26">
        <f t="shared" si="6"/>
        <v>981366.4465657383</v>
      </c>
      <c r="AN25" s="26">
        <f t="shared" si="6"/>
        <v>981366.4465657383</v>
      </c>
      <c r="AO25" s="26">
        <f>AO24*('MAGBL_Loan (IDCOL)'!$N$27-AN23)*AN20/360+AO30*(AO23-'MAGBL_Loan (IDCOL)'!$N$27)*AO20/360</f>
        <v>923058.52496148425</v>
      </c>
      <c r="AP25" s="26">
        <f t="shared" si="6"/>
        <v>929730.25136785477</v>
      </c>
      <c r="AQ25" s="26">
        <f t="shared" si="6"/>
        <v>899738.95293663361</v>
      </c>
      <c r="AR25" s="26">
        <f>AR24*('MAGBL_Loan (IDCOL)'!$O$27-AQ23)*AQ20/360+AR30*(AR23-'MAGBL_Loan (IDCOL)'!$O$27)*AR20/360</f>
        <v>900776.50417342852</v>
      </c>
      <c r="AS25" s="26">
        <f t="shared" si="6"/>
        <v>876932.24177801877</v>
      </c>
      <c r="AT25" s="26">
        <f t="shared" si="6"/>
        <v>820355.96811492066</v>
      </c>
      <c r="AU25" s="26">
        <f>AU24*('MAGBL_Loan (IDCOL)'!$P$27-AT23)*AT20/360+AU30*(AU23-'MAGBL_Loan (IDCOL)'!$P$27)*AU20/360</f>
        <v>847327.0352717177</v>
      </c>
      <c r="AV25" s="26">
        <f t="shared" si="6"/>
        <v>796399.62287652702</v>
      </c>
      <c r="AW25" s="26">
        <f t="shared" si="6"/>
        <v>822946.2769724112</v>
      </c>
      <c r="AX25" s="26">
        <f>AX24*('MAGBL_Loan (IDCOL)'!$Q$27-AW23)*AW20/360+AX30*(AX23-'MAGBL_Loan (IDCOL)'!$Q$27)*AX20/360</f>
        <v>767908.96532105166</v>
      </c>
      <c r="AY25" s="26">
        <f t="shared" si="6"/>
        <v>767745.62795867771</v>
      </c>
      <c r="AZ25" s="26">
        <f t="shared" si="6"/>
        <v>767745.62795867771</v>
      </c>
      <c r="BA25" s="26">
        <f>BA24*('MAGBL_Loan (IDCOL)'!$R$27-AZ23)*AZ20/360+BA30*(BA23-'MAGBL_Loan (IDCOL)'!$R$27)*BA20/360</f>
        <v>713847.94260953716</v>
      </c>
      <c r="BB25" s="26">
        <f t="shared" si="6"/>
        <v>711302.96434213524</v>
      </c>
      <c r="BC25" s="26">
        <f t="shared" si="6"/>
        <v>688357.70742787269</v>
      </c>
      <c r="BD25" s="26">
        <f>BD24*('MAGBL_Loan (IDCOL)'!$S$27-BC23)*BC20/360+BD30*(BD23-'MAGBL_Loan (IDCOL)'!$S$27)*BD20/360</f>
        <v>679654.10626747226</v>
      </c>
      <c r="BE25" s="26">
        <f t="shared" si="6"/>
        <v>653590.34079422045</v>
      </c>
      <c r="BF25" s="26">
        <f t="shared" si="6"/>
        <v>590339.66265284433</v>
      </c>
      <c r="BG25" s="26">
        <f>BG24*('MAGBL_Loan (IDCOL)'!$T$27-BF23)*BF20/360+BG30*(BG23-'MAGBL_Loan (IDCOL)'!$T$27)*BG20/360</f>
        <v>621229.38341287756</v>
      </c>
      <c r="BH25" s="26">
        <f t="shared" si="6"/>
        <v>575399.2095643332</v>
      </c>
      <c r="BI25" s="26">
        <f t="shared" si="6"/>
        <v>594579.18321647763</v>
      </c>
      <c r="BJ25" s="26">
        <f>BJ24*('MAGBL_Loan (IDCOL)'!$U$27-BI23)*BI20/360+BJ30*(BJ23-'MAGBL_Loan (IDCOL)'!$U$27)*BJ20/360</f>
        <v>544256.54704911145</v>
      </c>
      <c r="BK25" s="26">
        <f t="shared" si="6"/>
        <v>534240.27459323558</v>
      </c>
      <c r="BL25" s="26">
        <f t="shared" si="6"/>
        <v>534240.27459323558</v>
      </c>
      <c r="BM25" s="26">
        <f>BM24*('MAGBL_Loan (IDCOL)'!$V$27-BL23)*BL20/360+BM30*(BM23-'MAGBL_Loan (IDCOL)'!$V$27)*BM20/360</f>
        <v>485163.34492647834</v>
      </c>
      <c r="BN25" s="26">
        <f t="shared" si="6"/>
        <v>472543.74052597053</v>
      </c>
      <c r="BO25" s="26">
        <f t="shared" si="6"/>
        <v>457300.39405739086</v>
      </c>
      <c r="BP25" s="26">
        <f>BP24*('MAGBL_Loan (IDCOL)'!$W$27-BO23)*BO20/360+BP30*(BP23-'MAGBL_Loan (IDCOL)'!$W$27)*BP20/360</f>
        <v>437948.90170583403</v>
      </c>
      <c r="BQ25" s="26">
        <f t="shared" si="6"/>
        <v>409459.03444219218</v>
      </c>
      <c r="BR25" s="26">
        <f t="shared" si="6"/>
        <v>369833.96659294778</v>
      </c>
      <c r="BS25" s="26">
        <f>BS24*('MAGBL_Loan (IDCOL)'!$X$27-BR23)*BR20/360+BS30*(BS23-'MAGBL_Loan (IDCOL)'!$X$27)*BS20/360</f>
        <v>374085.81174860254</v>
      </c>
      <c r="BT25" s="26">
        <f t="shared" si="6"/>
        <v>333827.34432728589</v>
      </c>
      <c r="BU25" s="26">
        <f t="shared" si="6"/>
        <v>344954.9224715287</v>
      </c>
      <c r="BV25" s="26">
        <f>BV24*('MAGBL_Loan (IDCOL)'!$Y$27-BU23)*BU20/360+BV30*(BV23-'MAGBL_Loan (IDCOL)'!$Y$27)*BV20/360</f>
        <v>299785.81942921958</v>
      </c>
      <c r="BW25" s="26">
        <f t="shared" si="6"/>
        <v>278999.46798152535</v>
      </c>
      <c r="BX25" s="26">
        <f t="shared" si="6"/>
        <v>278999.46798152535</v>
      </c>
      <c r="BY25" s="26">
        <f>BY24*('MAGBL_Loan (IDCOL)'!$Z$27-BX23)*BX20/360+BY30*(BY23-'MAGBL_Loan (IDCOL)'!$Z$27)*BY20/360</f>
        <v>235192.0259351389</v>
      </c>
      <c r="BZ25" s="26">
        <f t="shared" si="6"/>
        <v>211560.01576549688</v>
      </c>
      <c r="CA25" s="26">
        <f t="shared" si="6"/>
        <v>204735.49912790023</v>
      </c>
      <c r="CB25" s="26">
        <f>CB24*('MAGBL_Loan (IDCOL)'!$AA$27-CA23)*CA20/360+CB30*(CB23-'MAGBL_Loan (IDCOL)'!$AA$27)*CB20/360</f>
        <v>173744.97453500933</v>
      </c>
      <c r="CC25" s="26">
        <f t="shared" ref="CC25:CG25" si="7">CC24*(CC23-CB23)*CC20/360</f>
        <v>142603.17587460781</v>
      </c>
      <c r="CD25" s="26">
        <f t="shared" si="7"/>
        <v>128802.86853190383</v>
      </c>
      <c r="CE25" s="26">
        <f>CE24*('MAGBL_Loan (IDCOL)'!$AB$27-CD23)*CD20/360+CE30*(CE23-'MAGBL_Loan (IDCOL)'!$AB$27)*CE20/360</f>
        <v>103937.29621643428</v>
      </c>
      <c r="CF25" s="26">
        <f t="shared" si="7"/>
        <v>69769.168147910052</v>
      </c>
      <c r="CG25" s="26">
        <f t="shared" si="7"/>
        <v>72094.807086173707</v>
      </c>
      <c r="CH25" s="26">
        <f>CH24*('MAGBL_Loan (IDCOL)'!$AC$27-CG23)*CG20/360+CH30*(CH23-'MAGBL_Loan (IDCOL)'!$AC$27)*CH20/360</f>
        <v>32558.94513569128</v>
      </c>
    </row>
    <row r="26" spans="1:86" s="56" customFormat="1" x14ac:dyDescent="0.25">
      <c r="A26" s="48" t="s">
        <v>11</v>
      </c>
      <c r="B26" s="49">
        <f>B25</f>
        <v>41250</v>
      </c>
      <c r="C26" s="49">
        <f t="shared" ref="C26:AH26" si="8">B26+C25</f>
        <v>467500</v>
      </c>
      <c r="D26" s="49">
        <f t="shared" si="8"/>
        <v>893750</v>
      </c>
      <c r="E26" s="49">
        <f t="shared" si="8"/>
        <v>1310595</v>
      </c>
      <c r="F26" s="49">
        <f t="shared" si="8"/>
        <v>1745263.4375</v>
      </c>
      <c r="G26" s="49">
        <f t="shared" si="8"/>
        <v>2165910.3125</v>
      </c>
      <c r="H26" s="49">
        <f t="shared" si="8"/>
        <v>2916596.5892968751</v>
      </c>
      <c r="I26" s="49">
        <f t="shared" si="8"/>
        <v>3933801.2337499997</v>
      </c>
      <c r="J26" s="49">
        <f t="shared" si="8"/>
        <v>5104566.7190624997</v>
      </c>
      <c r="K26" s="49">
        <f t="shared" si="8"/>
        <v>6414319.2469310537</v>
      </c>
      <c r="L26" s="49">
        <f t="shared" si="8"/>
        <v>7692618.8678939445</v>
      </c>
      <c r="M26" s="49">
        <f t="shared" si="8"/>
        <v>9013528.4762222655</v>
      </c>
      <c r="N26" s="49">
        <f t="shared" si="8"/>
        <v>10295183.633690184</v>
      </c>
      <c r="O26" s="49">
        <f t="shared" si="8"/>
        <v>11650767.119237123</v>
      </c>
      <c r="P26" s="49">
        <f t="shared" si="8"/>
        <v>13006350.604784062</v>
      </c>
      <c r="Q26" s="49">
        <f t="shared" si="8"/>
        <v>14294506.323024528</v>
      </c>
      <c r="R26" s="49">
        <f t="shared" si="8"/>
        <v>15606873.49675066</v>
      </c>
      <c r="S26" s="49">
        <f t="shared" si="8"/>
        <v>16876906.245517883</v>
      </c>
      <c r="T26" s="49">
        <f t="shared" si="8"/>
        <v>18163615.47669363</v>
      </c>
      <c r="U26" s="49">
        <f t="shared" si="8"/>
        <v>19431793.971582986</v>
      </c>
      <c r="V26" s="49">
        <f t="shared" si="8"/>
        <v>20577245.515354019</v>
      </c>
      <c r="W26" s="49">
        <f t="shared" si="8"/>
        <v>21820646.277666595</v>
      </c>
      <c r="X26" s="49">
        <f t="shared" si="8"/>
        <v>23004190.37842023</v>
      </c>
      <c r="Y26" s="49">
        <f t="shared" si="8"/>
        <v>24227185.949198984</v>
      </c>
      <c r="Z26" s="49">
        <f t="shared" si="8"/>
        <v>25385394.818392858</v>
      </c>
      <c r="AA26" s="49">
        <f t="shared" si="8"/>
        <v>26562190.849268522</v>
      </c>
      <c r="AB26" s="49">
        <f t="shared" si="8"/>
        <v>27738986.880144186</v>
      </c>
      <c r="AC26" s="49">
        <f t="shared" si="8"/>
        <v>28850392.634800751</v>
      </c>
      <c r="AD26" s="49">
        <f t="shared" si="8"/>
        <v>29979949.636125505</v>
      </c>
      <c r="AE26" s="49">
        <f t="shared" si="8"/>
        <v>31073069.31482688</v>
      </c>
      <c r="AF26" s="49">
        <f t="shared" si="8"/>
        <v>32173021.921100009</v>
      </c>
      <c r="AG26" s="49">
        <f t="shared" si="8"/>
        <v>33254277.014708959</v>
      </c>
      <c r="AH26" s="49">
        <f t="shared" si="8"/>
        <v>34230894.518613815</v>
      </c>
      <c r="AI26" s="49">
        <f t="shared" ref="AI26:BN26" si="9">AH26+AI25</f>
        <v>35283472.302174076</v>
      </c>
      <c r="AJ26" s="49">
        <f t="shared" si="9"/>
        <v>36282052.682467178</v>
      </c>
      <c r="AK26" s="49">
        <f t="shared" si="9"/>
        <v>37313919.075436711</v>
      </c>
      <c r="AL26" s="49">
        <f t="shared" si="9"/>
        <v>38283176.906205028</v>
      </c>
      <c r="AM26" s="49">
        <f t="shared" si="9"/>
        <v>39264543.352770768</v>
      </c>
      <c r="AN26" s="49">
        <f t="shared" si="9"/>
        <v>40245909.799336508</v>
      </c>
      <c r="AO26" s="49">
        <f t="shared" si="9"/>
        <v>41168968.324297994</v>
      </c>
      <c r="AP26" s="49">
        <f t="shared" si="9"/>
        <v>42098698.575665846</v>
      </c>
      <c r="AQ26" s="49">
        <f t="shared" si="9"/>
        <v>42998437.528602481</v>
      </c>
      <c r="AR26" s="49">
        <f t="shared" si="9"/>
        <v>43899214.032775909</v>
      </c>
      <c r="AS26" s="49">
        <f t="shared" si="9"/>
        <v>44776146.274553925</v>
      </c>
      <c r="AT26" s="49">
        <f t="shared" si="9"/>
        <v>45596502.242668845</v>
      </c>
      <c r="AU26" s="49">
        <f t="shared" si="9"/>
        <v>46443829.277940564</v>
      </c>
      <c r="AV26" s="49">
        <f t="shared" si="9"/>
        <v>47240228.900817089</v>
      </c>
      <c r="AW26" s="49">
        <f t="shared" si="9"/>
        <v>48063175.177789502</v>
      </c>
      <c r="AX26" s="49">
        <f t="shared" si="9"/>
        <v>48831084.143110551</v>
      </c>
      <c r="AY26" s="49">
        <f t="shared" si="9"/>
        <v>49598829.771069229</v>
      </c>
      <c r="AZ26" s="49">
        <f t="shared" si="9"/>
        <v>50366575.399027906</v>
      </c>
      <c r="BA26" s="49">
        <f t="shared" si="9"/>
        <v>51080423.34163744</v>
      </c>
      <c r="BB26" s="49">
        <f t="shared" si="9"/>
        <v>51791726.305979572</v>
      </c>
      <c r="BC26" s="49">
        <f t="shared" si="9"/>
        <v>52480084.013407446</v>
      </c>
      <c r="BD26" s="49">
        <f t="shared" si="9"/>
        <v>53159738.119674921</v>
      </c>
      <c r="BE26" s="49">
        <f t="shared" si="9"/>
        <v>53813328.460469142</v>
      </c>
      <c r="BF26" s="49">
        <f t="shared" si="9"/>
        <v>54403668.123121984</v>
      </c>
      <c r="BG26" s="49">
        <f t="shared" si="9"/>
        <v>55024897.50653486</v>
      </c>
      <c r="BH26" s="49">
        <f t="shared" si="9"/>
        <v>55600296.716099195</v>
      </c>
      <c r="BI26" s="49">
        <f t="shared" si="9"/>
        <v>56194875.89931567</v>
      </c>
      <c r="BJ26" s="49">
        <f t="shared" si="9"/>
        <v>56739132.446364783</v>
      </c>
      <c r="BK26" s="49">
        <f t="shared" si="9"/>
        <v>57273372.720958017</v>
      </c>
      <c r="BL26" s="49">
        <f t="shared" si="9"/>
        <v>57807612.995551251</v>
      </c>
      <c r="BM26" s="49">
        <f t="shared" si="9"/>
        <v>58292776.340477727</v>
      </c>
      <c r="BN26" s="49">
        <f t="shared" si="9"/>
        <v>58765320.081003696</v>
      </c>
      <c r="BO26" s="49">
        <f t="shared" ref="BO26:CH26" si="10">BN26+BO25</f>
        <v>59222620.475061089</v>
      </c>
      <c r="BP26" s="49">
        <f t="shared" si="10"/>
        <v>59660569.37676692</v>
      </c>
      <c r="BQ26" s="49">
        <f t="shared" si="10"/>
        <v>60070028.411209114</v>
      </c>
      <c r="BR26" s="49">
        <f t="shared" si="10"/>
        <v>60439862.377802059</v>
      </c>
      <c r="BS26" s="49">
        <f t="shared" si="10"/>
        <v>60813948.189550661</v>
      </c>
      <c r="BT26" s="49">
        <f t="shared" si="10"/>
        <v>61147775.533877946</v>
      </c>
      <c r="BU26" s="49">
        <f t="shared" si="10"/>
        <v>61492730.456349477</v>
      </c>
      <c r="BV26" s="49">
        <f t="shared" si="10"/>
        <v>61792516.275778696</v>
      </c>
      <c r="BW26" s="49">
        <f t="shared" si="10"/>
        <v>62071515.743760221</v>
      </c>
      <c r="BX26" s="49">
        <f t="shared" si="10"/>
        <v>62350515.211741745</v>
      </c>
      <c r="BY26" s="49">
        <f t="shared" si="10"/>
        <v>62585707.237676881</v>
      </c>
      <c r="BZ26" s="49">
        <f t="shared" si="10"/>
        <v>62797267.253442377</v>
      </c>
      <c r="CA26" s="49">
        <f t="shared" si="10"/>
        <v>63002002.752570279</v>
      </c>
      <c r="CB26" s="49">
        <f t="shared" si="10"/>
        <v>63175747.72710529</v>
      </c>
      <c r="CC26" s="49">
        <f t="shared" si="10"/>
        <v>63318350.902979895</v>
      </c>
      <c r="CD26" s="49">
        <f t="shared" si="10"/>
        <v>63447153.771511801</v>
      </c>
      <c r="CE26" s="49">
        <f t="shared" si="10"/>
        <v>63551091.067728236</v>
      </c>
      <c r="CF26" s="49">
        <f t="shared" si="10"/>
        <v>63620860.235876143</v>
      </c>
      <c r="CG26" s="49">
        <f t="shared" si="10"/>
        <v>63692955.04296232</v>
      </c>
      <c r="CH26" s="49">
        <f t="shared" si="10"/>
        <v>63725513.98809801</v>
      </c>
    </row>
    <row r="27" spans="1:86" s="55" customFormat="1" x14ac:dyDescent="0.25">
      <c r="A27" s="23" t="s">
        <v>6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f>'MAGBL_Loan (IDCOL)'!$F$31</f>
        <v>5576298.2994589228</v>
      </c>
      <c r="R27" s="26">
        <f>O27</f>
        <v>0</v>
      </c>
      <c r="S27" s="26">
        <f>P27</f>
        <v>0</v>
      </c>
      <c r="T27" s="26">
        <f>'MAGBL_Loan (IDCOL)'!$G$31</f>
        <v>5701765.0111967493</v>
      </c>
      <c r="U27" s="26">
        <f t="shared" ref="U27:V27" si="11">R27</f>
        <v>0</v>
      </c>
      <c r="V27" s="26">
        <f t="shared" si="11"/>
        <v>0</v>
      </c>
      <c r="W27" s="26">
        <f>'MAGBL_Loan (IDCOL)'!$H$31</f>
        <v>5830054.7239486761</v>
      </c>
      <c r="X27" s="26">
        <f t="shared" ref="X27:Y27" si="12">U27</f>
        <v>0</v>
      </c>
      <c r="Y27" s="26">
        <f t="shared" si="12"/>
        <v>0</v>
      </c>
      <c r="Z27" s="26">
        <f>'MAGBL_Loan (IDCOL)'!$I$31</f>
        <v>5961230.9552375218</v>
      </c>
      <c r="AA27" s="26">
        <f t="shared" ref="AA27:AB27" si="13">X27</f>
        <v>0</v>
      </c>
      <c r="AB27" s="26">
        <f t="shared" si="13"/>
        <v>0</v>
      </c>
      <c r="AC27" s="26">
        <f>'MAGBL_Loan (IDCOL)'!$J$31</f>
        <v>6095358.6517303651</v>
      </c>
      <c r="AD27" s="26">
        <f t="shared" ref="AD27:AE27" si="14">AA27</f>
        <v>0</v>
      </c>
      <c r="AE27" s="26">
        <f t="shared" si="14"/>
        <v>0</v>
      </c>
      <c r="AF27" s="26">
        <f>'MAGBL_Loan (IDCOL)'!$K$31</f>
        <v>6232504.2213942986</v>
      </c>
      <c r="AG27" s="26">
        <f t="shared" ref="AG27:AH27" si="15">AD27</f>
        <v>0</v>
      </c>
      <c r="AH27" s="26">
        <f t="shared" si="15"/>
        <v>0</v>
      </c>
      <c r="AI27" s="26">
        <f>'MAGBL_Loan (IDCOL)'!$L$31</f>
        <v>6372735.56637567</v>
      </c>
      <c r="AJ27" s="26">
        <f t="shared" ref="AJ27:AK27" si="16">AG27</f>
        <v>0</v>
      </c>
      <c r="AK27" s="26">
        <f t="shared" si="16"/>
        <v>0</v>
      </c>
      <c r="AL27" s="26">
        <f>'MAGBL_Loan (IDCOL)'!$M$31</f>
        <v>6516122.1166191231</v>
      </c>
      <c r="AM27" s="26">
        <f t="shared" ref="AM27:AN27" si="17">AJ27</f>
        <v>0</v>
      </c>
      <c r="AN27" s="26">
        <f t="shared" si="17"/>
        <v>0</v>
      </c>
      <c r="AO27" s="26">
        <f>'MAGBL_Loan (IDCOL)'!$N$31</f>
        <v>6662734.8642430529</v>
      </c>
      <c r="AP27" s="26">
        <f t="shared" ref="AP27:AQ27" si="18">AM27</f>
        <v>0</v>
      </c>
      <c r="AQ27" s="26">
        <f t="shared" si="18"/>
        <v>0</v>
      </c>
      <c r="AR27" s="26">
        <f>'MAGBL_Loan (IDCOL)'!$O$31</f>
        <v>6812646.3986885222</v>
      </c>
      <c r="AS27" s="26">
        <f t="shared" ref="AS27:AT27" si="19">AP27</f>
        <v>0</v>
      </c>
      <c r="AT27" s="26">
        <f t="shared" si="19"/>
        <v>0</v>
      </c>
      <c r="AU27" s="26">
        <f>'MAGBL_Loan (IDCOL)'!$P$31</f>
        <v>6965930.9426590139</v>
      </c>
      <c r="AV27" s="26">
        <f t="shared" ref="AV27:AW27" si="20">AS27</f>
        <v>0</v>
      </c>
      <c r="AW27" s="26">
        <f t="shared" si="20"/>
        <v>0</v>
      </c>
      <c r="AX27" s="26">
        <f>'MAGBL_Loan (IDCOL)'!$Q$31</f>
        <v>7122664.3888688413</v>
      </c>
      <c r="AY27" s="26">
        <f t="shared" ref="AY27:AZ27" si="21">AV27</f>
        <v>0</v>
      </c>
      <c r="AZ27" s="26">
        <f t="shared" si="21"/>
        <v>0</v>
      </c>
      <c r="BA27" s="26">
        <f>'MAGBL_Loan (IDCOL)'!$R$31</f>
        <v>7282924.3376183892</v>
      </c>
      <c r="BB27" s="26">
        <f t="shared" ref="BB27:BC27" si="22">AY27</f>
        <v>0</v>
      </c>
      <c r="BC27" s="26">
        <f t="shared" si="22"/>
        <v>0</v>
      </c>
      <c r="BD27" s="26">
        <f>'MAGBL_Loan (IDCOL)'!$S$31</f>
        <v>7446790.1352148037</v>
      </c>
      <c r="BE27" s="26">
        <f t="shared" ref="BE27:BF27" si="23">BB27</f>
        <v>0</v>
      </c>
      <c r="BF27" s="26">
        <f t="shared" si="23"/>
        <v>0</v>
      </c>
      <c r="BG27" s="26">
        <f>'MAGBL_Loan (IDCOL)'!$T$31</f>
        <v>7614342.9132571369</v>
      </c>
      <c r="BH27" s="26">
        <f t="shared" ref="BH27:BI27" si="24">BE27</f>
        <v>0</v>
      </c>
      <c r="BI27" s="26">
        <f t="shared" si="24"/>
        <v>0</v>
      </c>
      <c r="BJ27" s="26">
        <f>'MAGBL_Loan (IDCOL)'!$U$31</f>
        <v>7785665.6288054232</v>
      </c>
      <c r="BK27" s="26">
        <f t="shared" ref="BK27:BL27" si="25">BH27</f>
        <v>0</v>
      </c>
      <c r="BL27" s="26">
        <f t="shared" si="25"/>
        <v>0</v>
      </c>
      <c r="BM27" s="26">
        <f>'MAGBL_Loan (IDCOL)'!$V$31</f>
        <v>7960843.1054535452</v>
      </c>
      <c r="BN27" s="26">
        <f t="shared" ref="BN27:BO27" si="26">BK27</f>
        <v>0</v>
      </c>
      <c r="BO27" s="26">
        <f t="shared" si="26"/>
        <v>0</v>
      </c>
      <c r="BP27" s="26">
        <f>'MAGBL_Loan (IDCOL)'!$W$31</f>
        <v>8139962.075326249</v>
      </c>
      <c r="BQ27" s="26">
        <f t="shared" ref="BQ27:BR27" si="27">BN27</f>
        <v>0</v>
      </c>
      <c r="BR27" s="26">
        <f t="shared" si="27"/>
        <v>0</v>
      </c>
      <c r="BS27" s="26">
        <f>'MAGBL_Loan (IDCOL)'!$X$31</f>
        <v>8323111.2220210899</v>
      </c>
      <c r="BT27" s="26">
        <f t="shared" ref="BT27:BU27" si="28">BQ27</f>
        <v>0</v>
      </c>
      <c r="BU27" s="26">
        <f t="shared" si="28"/>
        <v>0</v>
      </c>
      <c r="BV27" s="26">
        <f>'MAGBL_Loan (IDCOL)'!$Y$31</f>
        <v>8510381.224516565</v>
      </c>
      <c r="BW27" s="26">
        <f t="shared" ref="BW27:BX27" si="29">BT27</f>
        <v>0</v>
      </c>
      <c r="BX27" s="26">
        <f t="shared" si="29"/>
        <v>0</v>
      </c>
      <c r="BY27" s="26">
        <f>'MAGBL_Loan (IDCOL)'!$Z$31</f>
        <v>8701864.8020681869</v>
      </c>
      <c r="BZ27" s="26">
        <f t="shared" ref="BZ27:CA27" si="30">BW27</f>
        <v>0</v>
      </c>
      <c r="CA27" s="26">
        <f t="shared" si="30"/>
        <v>0</v>
      </c>
      <c r="CB27" s="26">
        <f>'MAGBL_Loan (IDCOL)'!$AA$31</f>
        <v>8897656.760114722</v>
      </c>
      <c r="CC27" s="26">
        <f t="shared" ref="CC27:CD27" si="31">BZ27</f>
        <v>0</v>
      </c>
      <c r="CD27" s="26">
        <f t="shared" si="31"/>
        <v>0</v>
      </c>
      <c r="CE27" s="26">
        <f>'MAGBL_Loan (IDCOL)'!$AB$31</f>
        <v>9097854.0372173022</v>
      </c>
      <c r="CF27" s="26">
        <f t="shared" ref="CF27:CG27" si="32">CC27</f>
        <v>0</v>
      </c>
      <c r="CG27" s="26">
        <f t="shared" si="32"/>
        <v>0</v>
      </c>
      <c r="CH27" s="26">
        <f>'MAGBL_Loan (IDCOL)'!$AC$31</f>
        <v>9302555.7530546915</v>
      </c>
    </row>
    <row r="28" spans="1:86" s="55" customFormat="1" x14ac:dyDescent="0.25">
      <c r="A28" s="23" t="s">
        <v>12</v>
      </c>
      <c r="B28" s="26">
        <f>B27</f>
        <v>0</v>
      </c>
      <c r="C28" s="26">
        <f>B28+C27</f>
        <v>0</v>
      </c>
      <c r="D28" s="26">
        <f t="shared" ref="D28:AD28" si="33">C28+D27</f>
        <v>0</v>
      </c>
      <c r="E28" s="26">
        <f t="shared" si="33"/>
        <v>0</v>
      </c>
      <c r="F28" s="26">
        <f t="shared" si="33"/>
        <v>0</v>
      </c>
      <c r="G28" s="26">
        <f t="shared" si="33"/>
        <v>0</v>
      </c>
      <c r="H28" s="26">
        <f t="shared" si="33"/>
        <v>0</v>
      </c>
      <c r="I28" s="26">
        <f t="shared" si="33"/>
        <v>0</v>
      </c>
      <c r="J28" s="26">
        <f t="shared" si="33"/>
        <v>0</v>
      </c>
      <c r="K28" s="26">
        <f t="shared" si="33"/>
        <v>0</v>
      </c>
      <c r="L28" s="26">
        <f t="shared" si="33"/>
        <v>0</v>
      </c>
      <c r="M28" s="26">
        <f t="shared" si="33"/>
        <v>0</v>
      </c>
      <c r="N28" s="26">
        <f t="shared" si="33"/>
        <v>0</v>
      </c>
      <c r="O28" s="26">
        <f t="shared" si="33"/>
        <v>0</v>
      </c>
      <c r="P28" s="26">
        <f t="shared" si="33"/>
        <v>0</v>
      </c>
      <c r="Q28" s="26">
        <f t="shared" si="33"/>
        <v>5576298.2994589228</v>
      </c>
      <c r="R28" s="26">
        <f t="shared" si="33"/>
        <v>5576298.2994589228</v>
      </c>
      <c r="S28" s="26">
        <f t="shared" si="33"/>
        <v>5576298.2994589228</v>
      </c>
      <c r="T28" s="26">
        <f t="shared" si="33"/>
        <v>11278063.310655672</v>
      </c>
      <c r="U28" s="26">
        <f t="shared" si="33"/>
        <v>11278063.310655672</v>
      </c>
      <c r="V28" s="26">
        <f t="shared" si="33"/>
        <v>11278063.310655672</v>
      </c>
      <c r="W28" s="26">
        <f t="shared" si="33"/>
        <v>17108118.034604348</v>
      </c>
      <c r="X28" s="26">
        <f t="shared" si="33"/>
        <v>17108118.034604348</v>
      </c>
      <c r="Y28" s="26">
        <f t="shared" si="33"/>
        <v>17108118.034604348</v>
      </c>
      <c r="Z28" s="26">
        <f t="shared" si="33"/>
        <v>23069348.989841871</v>
      </c>
      <c r="AA28" s="26">
        <f t="shared" si="33"/>
        <v>23069348.989841871</v>
      </c>
      <c r="AB28" s="26">
        <f t="shared" si="33"/>
        <v>23069348.989841871</v>
      </c>
      <c r="AC28" s="26">
        <f t="shared" si="33"/>
        <v>29164707.641572237</v>
      </c>
      <c r="AD28" s="26">
        <f t="shared" si="33"/>
        <v>29164707.641572237</v>
      </c>
      <c r="AE28" s="26">
        <f t="shared" ref="AE28:BD28" si="34">AD28+AE27</f>
        <v>29164707.641572237</v>
      </c>
      <c r="AF28" s="26">
        <f t="shared" si="34"/>
        <v>35397211.862966537</v>
      </c>
      <c r="AG28" s="26">
        <f t="shared" si="34"/>
        <v>35397211.862966537</v>
      </c>
      <c r="AH28" s="26">
        <f t="shared" si="34"/>
        <v>35397211.862966537</v>
      </c>
      <c r="AI28" s="26">
        <f t="shared" si="34"/>
        <v>41769947.42934221</v>
      </c>
      <c r="AJ28" s="26">
        <f t="shared" si="34"/>
        <v>41769947.42934221</v>
      </c>
      <c r="AK28" s="26">
        <f t="shared" si="34"/>
        <v>41769947.42934221</v>
      </c>
      <c r="AL28" s="26">
        <f t="shared" si="34"/>
        <v>48286069.545961335</v>
      </c>
      <c r="AM28" s="26">
        <f t="shared" si="34"/>
        <v>48286069.545961335</v>
      </c>
      <c r="AN28" s="26">
        <f t="shared" si="34"/>
        <v>48286069.545961335</v>
      </c>
      <c r="AO28" s="26">
        <f t="shared" si="34"/>
        <v>54948804.410204388</v>
      </c>
      <c r="AP28" s="26">
        <f t="shared" si="34"/>
        <v>54948804.410204388</v>
      </c>
      <c r="AQ28" s="26">
        <f t="shared" si="34"/>
        <v>54948804.410204388</v>
      </c>
      <c r="AR28" s="26">
        <f t="shared" si="34"/>
        <v>61761450.808892913</v>
      </c>
      <c r="AS28" s="26">
        <f t="shared" si="34"/>
        <v>61761450.808892913</v>
      </c>
      <c r="AT28" s="26">
        <f t="shared" si="34"/>
        <v>61761450.808892913</v>
      </c>
      <c r="AU28" s="26">
        <f t="shared" si="34"/>
        <v>68727381.751551926</v>
      </c>
      <c r="AV28" s="26">
        <f t="shared" si="34"/>
        <v>68727381.751551926</v>
      </c>
      <c r="AW28" s="26">
        <f t="shared" si="34"/>
        <v>68727381.751551926</v>
      </c>
      <c r="AX28" s="26">
        <f t="shared" si="34"/>
        <v>75850046.140420765</v>
      </c>
      <c r="AY28" s="26">
        <f t="shared" si="34"/>
        <v>75850046.140420765</v>
      </c>
      <c r="AZ28" s="26">
        <f t="shared" si="34"/>
        <v>75850046.140420765</v>
      </c>
      <c r="BA28" s="26">
        <f t="shared" si="34"/>
        <v>83132970.47803916</v>
      </c>
      <c r="BB28" s="26">
        <f t="shared" si="34"/>
        <v>83132970.47803916</v>
      </c>
      <c r="BC28" s="26">
        <f t="shared" si="34"/>
        <v>83132970.47803916</v>
      </c>
      <c r="BD28" s="26">
        <f t="shared" si="34"/>
        <v>90579760.613253966</v>
      </c>
      <c r="BE28" s="26">
        <f t="shared" ref="BE28:BS28" si="35">BD28+BE27</f>
        <v>90579760.613253966</v>
      </c>
      <c r="BF28" s="26">
        <f t="shared" si="35"/>
        <v>90579760.613253966</v>
      </c>
      <c r="BG28" s="26">
        <f t="shared" si="35"/>
        <v>98194103.526511103</v>
      </c>
      <c r="BH28" s="26">
        <f t="shared" si="35"/>
        <v>98194103.526511103</v>
      </c>
      <c r="BI28" s="26">
        <f t="shared" si="35"/>
        <v>98194103.526511103</v>
      </c>
      <c r="BJ28" s="26">
        <f t="shared" si="35"/>
        <v>105979769.15531653</v>
      </c>
      <c r="BK28" s="26">
        <f t="shared" si="35"/>
        <v>105979769.15531653</v>
      </c>
      <c r="BL28" s="26">
        <f t="shared" si="35"/>
        <v>105979769.15531653</v>
      </c>
      <c r="BM28" s="26">
        <f t="shared" si="35"/>
        <v>113940612.26077008</v>
      </c>
      <c r="BN28" s="26">
        <f t="shared" si="35"/>
        <v>113940612.26077008</v>
      </c>
      <c r="BO28" s="26">
        <f t="shared" si="35"/>
        <v>113940612.26077008</v>
      </c>
      <c r="BP28" s="26">
        <f t="shared" si="35"/>
        <v>122080574.33609633</v>
      </c>
      <c r="BQ28" s="26">
        <f t="shared" si="35"/>
        <v>122080574.33609633</v>
      </c>
      <c r="BR28" s="26">
        <f t="shared" si="35"/>
        <v>122080574.33609633</v>
      </c>
      <c r="BS28" s="26">
        <f t="shared" si="35"/>
        <v>130403685.55811742</v>
      </c>
      <c r="BT28" s="26">
        <f>BS28+BT27</f>
        <v>130403685.55811742</v>
      </c>
      <c r="BU28" s="26">
        <f t="shared" ref="BU28:CF28" si="36">BT28+BU27</f>
        <v>130403685.55811742</v>
      </c>
      <c r="BV28" s="26">
        <f t="shared" si="36"/>
        <v>138914066.78263399</v>
      </c>
      <c r="BW28" s="26">
        <f t="shared" si="36"/>
        <v>138914066.78263399</v>
      </c>
      <c r="BX28" s="26">
        <f t="shared" si="36"/>
        <v>138914066.78263399</v>
      </c>
      <c r="BY28" s="26">
        <f t="shared" si="36"/>
        <v>147615931.58470216</v>
      </c>
      <c r="BZ28" s="26">
        <f t="shared" si="36"/>
        <v>147615931.58470216</v>
      </c>
      <c r="CA28" s="26">
        <f t="shared" si="36"/>
        <v>147615931.58470216</v>
      </c>
      <c r="CB28" s="26">
        <f t="shared" si="36"/>
        <v>156513588.34481689</v>
      </c>
      <c r="CC28" s="26">
        <f t="shared" si="36"/>
        <v>156513588.34481689</v>
      </c>
      <c r="CD28" s="26">
        <f t="shared" si="36"/>
        <v>156513588.34481689</v>
      </c>
      <c r="CE28" s="26">
        <f t="shared" si="36"/>
        <v>165611442.38203418</v>
      </c>
      <c r="CF28" s="26">
        <f t="shared" si="36"/>
        <v>165611442.38203418</v>
      </c>
      <c r="CG28" s="26">
        <f>CF28+CG27</f>
        <v>165611442.38203418</v>
      </c>
      <c r="CH28" s="26">
        <f>CG28+CH27</f>
        <v>174913998.13508886</v>
      </c>
    </row>
    <row r="29" spans="1:86" s="55" customFormat="1" x14ac:dyDescent="0.25">
      <c r="A29" s="23" t="s">
        <v>7</v>
      </c>
      <c r="B29" s="32">
        <f t="shared" ref="B29:BM29" si="37">B27+B25</f>
        <v>41250</v>
      </c>
      <c r="C29" s="32">
        <f t="shared" si="37"/>
        <v>426250</v>
      </c>
      <c r="D29" s="32">
        <f t="shared" si="37"/>
        <v>426250</v>
      </c>
      <c r="E29" s="32">
        <f t="shared" si="37"/>
        <v>416845</v>
      </c>
      <c r="F29" s="32">
        <f t="shared" si="37"/>
        <v>434668.4375</v>
      </c>
      <c r="G29" s="32">
        <f t="shared" si="37"/>
        <v>420646.875</v>
      </c>
      <c r="H29" s="32">
        <f t="shared" si="37"/>
        <v>750686.27679687506</v>
      </c>
      <c r="I29" s="32">
        <f t="shared" si="37"/>
        <v>1017204.6444531248</v>
      </c>
      <c r="J29" s="32">
        <f t="shared" si="37"/>
        <v>1170765.4853125</v>
      </c>
      <c r="K29" s="32">
        <f t="shared" si="37"/>
        <v>1309752.5278685545</v>
      </c>
      <c r="L29" s="32">
        <f t="shared" si="37"/>
        <v>1278299.6209628906</v>
      </c>
      <c r="M29" s="32">
        <f t="shared" si="37"/>
        <v>1320909.6083283203</v>
      </c>
      <c r="N29" s="32">
        <f t="shared" si="37"/>
        <v>1281655.157467918</v>
      </c>
      <c r="O29" s="32">
        <f t="shared" si="37"/>
        <v>1355583.4855469386</v>
      </c>
      <c r="P29" s="32">
        <f t="shared" si="37"/>
        <v>1355583.4855469386</v>
      </c>
      <c r="Q29" s="32">
        <f t="shared" si="37"/>
        <v>6864454.0176993888</v>
      </c>
      <c r="R29" s="32">
        <f t="shared" si="37"/>
        <v>1312367.1737261319</v>
      </c>
      <c r="S29" s="32">
        <f t="shared" si="37"/>
        <v>1270032.7487672244</v>
      </c>
      <c r="T29" s="32">
        <f t="shared" si="37"/>
        <v>6988474.2423724961</v>
      </c>
      <c r="U29" s="32">
        <f t="shared" si="37"/>
        <v>1268178.4948893571</v>
      </c>
      <c r="V29" s="32">
        <f t="shared" si="37"/>
        <v>1145451.5437710322</v>
      </c>
      <c r="W29" s="32">
        <f t="shared" si="37"/>
        <v>7073455.4862612514</v>
      </c>
      <c r="X29" s="32">
        <f t="shared" si="37"/>
        <v>1183544.1007536338</v>
      </c>
      <c r="Y29" s="32">
        <f t="shared" si="37"/>
        <v>1222995.5707787548</v>
      </c>
      <c r="Z29" s="32">
        <f t="shared" si="37"/>
        <v>7119439.8244313961</v>
      </c>
      <c r="AA29" s="32">
        <f t="shared" si="37"/>
        <v>1176796.0308756642</v>
      </c>
      <c r="AB29" s="32">
        <f t="shared" si="37"/>
        <v>1176796.0308756642</v>
      </c>
      <c r="AC29" s="32">
        <f t="shared" si="37"/>
        <v>7206764.4063869305</v>
      </c>
      <c r="AD29" s="32">
        <f t="shared" si="37"/>
        <v>1129557.0013247537</v>
      </c>
      <c r="AE29" s="32">
        <f t="shared" si="37"/>
        <v>1093119.6787013747</v>
      </c>
      <c r="AF29" s="32">
        <f t="shared" si="37"/>
        <v>7332456.82766743</v>
      </c>
      <c r="AG29" s="32">
        <f t="shared" si="37"/>
        <v>1081255.0936089479</v>
      </c>
      <c r="AH29" s="32">
        <f t="shared" si="37"/>
        <v>976617.50390485628</v>
      </c>
      <c r="AI29" s="32">
        <f t="shared" si="37"/>
        <v>7425313.3499359274</v>
      </c>
      <c r="AJ29" s="32">
        <f t="shared" si="37"/>
        <v>998580.38029309991</v>
      </c>
      <c r="AK29" s="32">
        <f t="shared" si="37"/>
        <v>1031866.3929695365</v>
      </c>
      <c r="AL29" s="32">
        <f t="shared" si="37"/>
        <v>7485379.9473874364</v>
      </c>
      <c r="AM29" s="32">
        <f t="shared" si="37"/>
        <v>981366.4465657383</v>
      </c>
      <c r="AN29" s="32">
        <f t="shared" si="37"/>
        <v>981366.4465657383</v>
      </c>
      <c r="AO29" s="32">
        <f t="shared" si="37"/>
        <v>7585793.3892045375</v>
      </c>
      <c r="AP29" s="32">
        <f t="shared" si="37"/>
        <v>929730.25136785477</v>
      </c>
      <c r="AQ29" s="32">
        <f t="shared" si="37"/>
        <v>899738.95293663361</v>
      </c>
      <c r="AR29" s="32">
        <f t="shared" si="37"/>
        <v>7713422.9028619509</v>
      </c>
      <c r="AS29" s="32">
        <f t="shared" si="37"/>
        <v>876932.24177801877</v>
      </c>
      <c r="AT29" s="32">
        <f t="shared" si="37"/>
        <v>820355.96811492066</v>
      </c>
      <c r="AU29" s="32">
        <f t="shared" si="37"/>
        <v>7813257.9779307321</v>
      </c>
      <c r="AV29" s="32">
        <f t="shared" si="37"/>
        <v>796399.62287652702</v>
      </c>
      <c r="AW29" s="32">
        <f t="shared" si="37"/>
        <v>822946.2769724112</v>
      </c>
      <c r="AX29" s="32">
        <f t="shared" si="37"/>
        <v>7890573.3541898932</v>
      </c>
      <c r="AY29" s="32">
        <f t="shared" si="37"/>
        <v>767745.62795867771</v>
      </c>
      <c r="AZ29" s="32">
        <f t="shared" si="37"/>
        <v>767745.62795867771</v>
      </c>
      <c r="BA29" s="32">
        <f t="shared" si="37"/>
        <v>7996772.2802279266</v>
      </c>
      <c r="BB29" s="32">
        <f t="shared" si="37"/>
        <v>711302.96434213524</v>
      </c>
      <c r="BC29" s="32">
        <f t="shared" si="37"/>
        <v>688357.70742787269</v>
      </c>
      <c r="BD29" s="32">
        <f t="shared" si="37"/>
        <v>8126444.2414822765</v>
      </c>
      <c r="BE29" s="32">
        <f t="shared" si="37"/>
        <v>653590.34079422045</v>
      </c>
      <c r="BF29" s="32">
        <f t="shared" si="37"/>
        <v>590339.66265284433</v>
      </c>
      <c r="BG29" s="32">
        <f t="shared" si="37"/>
        <v>8235572.296670014</v>
      </c>
      <c r="BH29" s="32">
        <f t="shared" si="37"/>
        <v>575399.2095643332</v>
      </c>
      <c r="BI29" s="32">
        <f t="shared" si="37"/>
        <v>594579.18321647763</v>
      </c>
      <c r="BJ29" s="32">
        <f t="shared" si="37"/>
        <v>8329922.1758545348</v>
      </c>
      <c r="BK29" s="32">
        <f t="shared" si="37"/>
        <v>534240.27459323558</v>
      </c>
      <c r="BL29" s="32">
        <f t="shared" si="37"/>
        <v>534240.27459323558</v>
      </c>
      <c r="BM29" s="32">
        <f t="shared" si="37"/>
        <v>8446006.4503800236</v>
      </c>
      <c r="BN29" s="32">
        <f t="shared" ref="BN29:CG29" si="38">BN27+BN25</f>
        <v>472543.74052597053</v>
      </c>
      <c r="BO29" s="32">
        <f t="shared" si="38"/>
        <v>457300.39405739086</v>
      </c>
      <c r="BP29" s="32">
        <f t="shared" si="38"/>
        <v>8577910.9770320822</v>
      </c>
      <c r="BQ29" s="32">
        <f t="shared" si="38"/>
        <v>409459.03444219218</v>
      </c>
      <c r="BR29" s="32">
        <f t="shared" si="38"/>
        <v>369833.96659294778</v>
      </c>
      <c r="BS29" s="32">
        <f t="shared" si="38"/>
        <v>8697197.0337696932</v>
      </c>
      <c r="BT29" s="32">
        <f t="shared" si="38"/>
        <v>333827.34432728589</v>
      </c>
      <c r="BU29" s="32">
        <f t="shared" si="38"/>
        <v>344954.9224715287</v>
      </c>
      <c r="BV29" s="32">
        <f t="shared" si="38"/>
        <v>8810167.0439457837</v>
      </c>
      <c r="BW29" s="32">
        <f t="shared" si="38"/>
        <v>278999.46798152535</v>
      </c>
      <c r="BX29" s="32">
        <f t="shared" si="38"/>
        <v>278999.46798152535</v>
      </c>
      <c r="BY29" s="32">
        <f t="shared" si="38"/>
        <v>8937056.8280033264</v>
      </c>
      <c r="BZ29" s="32">
        <f t="shared" si="38"/>
        <v>211560.01576549688</v>
      </c>
      <c r="CA29" s="32">
        <f t="shared" si="38"/>
        <v>204735.49912790023</v>
      </c>
      <c r="CB29" s="32">
        <f t="shared" si="38"/>
        <v>9071401.7346497308</v>
      </c>
      <c r="CC29" s="32">
        <f t="shared" si="38"/>
        <v>142603.17587460781</v>
      </c>
      <c r="CD29" s="32">
        <f t="shared" si="38"/>
        <v>128802.86853190383</v>
      </c>
      <c r="CE29" s="32">
        <f t="shared" si="38"/>
        <v>9201791.3334337361</v>
      </c>
      <c r="CF29" s="32">
        <f t="shared" si="38"/>
        <v>69769.168147910052</v>
      </c>
      <c r="CG29" s="32">
        <f t="shared" si="38"/>
        <v>72094.807086173707</v>
      </c>
      <c r="CH29" s="32">
        <f t="shared" ref="CH29" si="39">CH27+CH25</f>
        <v>9335114.6981903836</v>
      </c>
    </row>
    <row r="30" spans="1:86" s="55" customFormat="1" ht="14.25" thickBot="1" x14ac:dyDescent="0.3">
      <c r="A30" s="33" t="s">
        <v>8</v>
      </c>
      <c r="B30" s="34">
        <f>B24-B27</f>
        <v>55000000</v>
      </c>
      <c r="C30" s="34">
        <f t="shared" ref="C30:BN30" si="40">C24-C27</f>
        <v>55000000</v>
      </c>
      <c r="D30" s="34">
        <f t="shared" si="40"/>
        <v>55000000</v>
      </c>
      <c r="E30" s="34">
        <f>'MAGBL_Loan (IDCOL)'!B34</f>
        <v>56086250</v>
      </c>
      <c r="F30" s="34">
        <f t="shared" si="40"/>
        <v>56086250</v>
      </c>
      <c r="G30" s="34">
        <f t="shared" si="40"/>
        <v>56086250</v>
      </c>
      <c r="H30" s="34">
        <f>'MAGBL_Loan (IDCOL)'!C34</f>
        <v>97502212.1875</v>
      </c>
      <c r="I30" s="34">
        <f t="shared" si="40"/>
        <v>167252212.1875</v>
      </c>
      <c r="J30" s="34">
        <f t="shared" si="40"/>
        <v>167252212.1875</v>
      </c>
      <c r="K30" s="34">
        <f>'MAGBL_Loan (IDCOL)'!D34</f>
        <v>170439949.46171874</v>
      </c>
      <c r="L30" s="34">
        <f t="shared" si="40"/>
        <v>170439949.46171874</v>
      </c>
      <c r="M30" s="34">
        <f t="shared" si="40"/>
        <v>170439949.46171874</v>
      </c>
      <c r="N30" s="34">
        <f>'MAGBL_Loan (IDCOL)'!E34</f>
        <v>174913998.13508886</v>
      </c>
      <c r="O30" s="34">
        <f t="shared" si="40"/>
        <v>174913998.13508886</v>
      </c>
      <c r="P30" s="34">
        <f t="shared" si="40"/>
        <v>174913998.13508886</v>
      </c>
      <c r="Q30" s="34">
        <f t="shared" si="40"/>
        <v>169337699.83562994</v>
      </c>
      <c r="R30" s="34">
        <f t="shared" si="40"/>
        <v>169337699.83562994</v>
      </c>
      <c r="S30" s="34">
        <f t="shared" si="40"/>
        <v>169337699.83562994</v>
      </c>
      <c r="T30" s="34">
        <f t="shared" si="40"/>
        <v>163635934.82443318</v>
      </c>
      <c r="U30" s="34">
        <f t="shared" si="40"/>
        <v>163635934.82443318</v>
      </c>
      <c r="V30" s="34">
        <f t="shared" si="40"/>
        <v>163635934.82443318</v>
      </c>
      <c r="W30" s="34">
        <f t="shared" si="40"/>
        <v>157805880.10048449</v>
      </c>
      <c r="X30" s="34">
        <f t="shared" si="40"/>
        <v>157805880.10048449</v>
      </c>
      <c r="Y30" s="34">
        <f t="shared" si="40"/>
        <v>157805880.10048449</v>
      </c>
      <c r="Z30" s="34">
        <f t="shared" si="40"/>
        <v>151844649.14524698</v>
      </c>
      <c r="AA30" s="34">
        <f t="shared" si="40"/>
        <v>151844649.14524698</v>
      </c>
      <c r="AB30" s="34">
        <f t="shared" si="40"/>
        <v>151844649.14524698</v>
      </c>
      <c r="AC30" s="34">
        <f t="shared" si="40"/>
        <v>145749290.49351662</v>
      </c>
      <c r="AD30" s="34">
        <f t="shared" si="40"/>
        <v>145749290.49351662</v>
      </c>
      <c r="AE30" s="34">
        <f t="shared" si="40"/>
        <v>145749290.49351662</v>
      </c>
      <c r="AF30" s="34">
        <f t="shared" si="40"/>
        <v>139516786.27212232</v>
      </c>
      <c r="AG30" s="34">
        <f t="shared" si="40"/>
        <v>139516786.27212232</v>
      </c>
      <c r="AH30" s="34">
        <f t="shared" si="40"/>
        <v>139516786.27212232</v>
      </c>
      <c r="AI30" s="34">
        <f t="shared" si="40"/>
        <v>133144050.70574665</v>
      </c>
      <c r="AJ30" s="34">
        <f t="shared" si="40"/>
        <v>133144050.70574665</v>
      </c>
      <c r="AK30" s="34">
        <f t="shared" si="40"/>
        <v>133144050.70574665</v>
      </c>
      <c r="AL30" s="34">
        <f t="shared" si="40"/>
        <v>126627928.58912753</v>
      </c>
      <c r="AM30" s="34">
        <f t="shared" si="40"/>
        <v>126627928.58912753</v>
      </c>
      <c r="AN30" s="34">
        <f t="shared" si="40"/>
        <v>126627928.58912753</v>
      </c>
      <c r="AO30" s="34">
        <f t="shared" si="40"/>
        <v>119965193.72488448</v>
      </c>
      <c r="AP30" s="34">
        <f t="shared" si="40"/>
        <v>119965193.72488448</v>
      </c>
      <c r="AQ30" s="34">
        <f t="shared" si="40"/>
        <v>119965193.72488448</v>
      </c>
      <c r="AR30" s="34">
        <f t="shared" si="40"/>
        <v>113152547.32619596</v>
      </c>
      <c r="AS30" s="34">
        <f t="shared" si="40"/>
        <v>113152547.32619596</v>
      </c>
      <c r="AT30" s="34">
        <f t="shared" si="40"/>
        <v>113152547.32619596</v>
      </c>
      <c r="AU30" s="34">
        <f t="shared" si="40"/>
        <v>106186616.38353693</v>
      </c>
      <c r="AV30" s="34">
        <f t="shared" si="40"/>
        <v>106186616.38353693</v>
      </c>
      <c r="AW30" s="34">
        <f t="shared" si="40"/>
        <v>106186616.38353693</v>
      </c>
      <c r="AX30" s="34">
        <f t="shared" si="40"/>
        <v>99063951.994668096</v>
      </c>
      <c r="AY30" s="34">
        <f t="shared" si="40"/>
        <v>99063951.994668096</v>
      </c>
      <c r="AZ30" s="34">
        <f t="shared" si="40"/>
        <v>99063951.994668096</v>
      </c>
      <c r="BA30" s="34">
        <f t="shared" si="40"/>
        <v>91781027.657049701</v>
      </c>
      <c r="BB30" s="34">
        <f t="shared" si="40"/>
        <v>91781027.657049701</v>
      </c>
      <c r="BC30" s="34">
        <f t="shared" si="40"/>
        <v>91781027.657049701</v>
      </c>
      <c r="BD30" s="34">
        <f t="shared" si="40"/>
        <v>84334237.521834895</v>
      </c>
      <c r="BE30" s="34">
        <f t="shared" si="40"/>
        <v>84334237.521834895</v>
      </c>
      <c r="BF30" s="34">
        <f t="shared" si="40"/>
        <v>84334237.521834895</v>
      </c>
      <c r="BG30" s="34">
        <f t="shared" si="40"/>
        <v>76719894.608577758</v>
      </c>
      <c r="BH30" s="34">
        <f t="shared" si="40"/>
        <v>76719894.608577758</v>
      </c>
      <c r="BI30" s="34">
        <f t="shared" si="40"/>
        <v>76719894.608577758</v>
      </c>
      <c r="BJ30" s="34">
        <f t="shared" si="40"/>
        <v>68934228.979772329</v>
      </c>
      <c r="BK30" s="34">
        <f t="shared" si="40"/>
        <v>68934228.979772329</v>
      </c>
      <c r="BL30" s="34">
        <f t="shared" si="40"/>
        <v>68934228.979772329</v>
      </c>
      <c r="BM30" s="34">
        <f t="shared" si="40"/>
        <v>60973385.874318786</v>
      </c>
      <c r="BN30" s="34">
        <f t="shared" si="40"/>
        <v>60973385.874318786</v>
      </c>
      <c r="BO30" s="34">
        <f t="shared" ref="BO30:CG30" si="41">BO24-BO27</f>
        <v>60973385.874318786</v>
      </c>
      <c r="BP30" s="34">
        <f t="shared" si="41"/>
        <v>52833423.798992537</v>
      </c>
      <c r="BQ30" s="34">
        <f t="shared" si="41"/>
        <v>52833423.798992537</v>
      </c>
      <c r="BR30" s="34">
        <f t="shared" si="41"/>
        <v>52833423.798992537</v>
      </c>
      <c r="BS30" s="34">
        <f t="shared" si="41"/>
        <v>44510312.576971449</v>
      </c>
      <c r="BT30" s="34">
        <f t="shared" si="41"/>
        <v>44510312.576971449</v>
      </c>
      <c r="BU30" s="34">
        <f t="shared" si="41"/>
        <v>44510312.576971449</v>
      </c>
      <c r="BV30" s="34">
        <f t="shared" si="41"/>
        <v>35999931.352454886</v>
      </c>
      <c r="BW30" s="34">
        <f t="shared" si="41"/>
        <v>35999931.352454886</v>
      </c>
      <c r="BX30" s="34">
        <f t="shared" si="41"/>
        <v>35999931.352454886</v>
      </c>
      <c r="BY30" s="34">
        <f t="shared" si="41"/>
        <v>27298066.550386697</v>
      </c>
      <c r="BZ30" s="34">
        <f t="shared" si="41"/>
        <v>27298066.550386697</v>
      </c>
      <c r="CA30" s="34">
        <f t="shared" si="41"/>
        <v>27298066.550386697</v>
      </c>
      <c r="CB30" s="34">
        <f t="shared" si="41"/>
        <v>18400409.790271975</v>
      </c>
      <c r="CC30" s="34">
        <f t="shared" si="41"/>
        <v>18400409.790271975</v>
      </c>
      <c r="CD30" s="34">
        <f t="shared" si="41"/>
        <v>18400409.790271975</v>
      </c>
      <c r="CE30" s="34">
        <f t="shared" si="41"/>
        <v>9302555.7530546729</v>
      </c>
      <c r="CF30" s="34">
        <f t="shared" si="41"/>
        <v>9302555.7530546729</v>
      </c>
      <c r="CG30" s="34">
        <f t="shared" si="41"/>
        <v>9302555.7530546729</v>
      </c>
      <c r="CH30" s="34">
        <f t="shared" ref="CH30" si="42">CH24-CH27</f>
        <v>-1.862645149230957E-8</v>
      </c>
    </row>
    <row r="31" spans="1:86" s="55" customFormat="1" x14ac:dyDescent="0.25">
      <c r="A31" s="23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86" s="57" customFormat="1" x14ac:dyDescent="0.25">
      <c r="A32" s="50"/>
      <c r="B32" s="51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CH32" s="57">
        <f>CH26-SUM('MAGBL_Loan (IDCOL)'!B29:AC29)</f>
        <v>0</v>
      </c>
    </row>
    <row r="33" spans="2:85" x14ac:dyDescent="0.25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CG33" s="30"/>
    </row>
    <row r="34" spans="2:85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CG34" s="30"/>
    </row>
    <row r="35" spans="2:85" x14ac:dyDescent="0.25"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9:F2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zoomScaleNormal="100" workbookViewId="0">
      <selection activeCell="A3" sqref="A3"/>
    </sheetView>
  </sheetViews>
  <sheetFormatPr defaultRowHeight="13.5" x14ac:dyDescent="0.25"/>
  <cols>
    <col min="1" max="1" width="15" style="55" bestFit="1" customWidth="1"/>
    <col min="2" max="2" width="16.140625" style="55" customWidth="1"/>
    <col min="3" max="3" width="16.28515625" style="55" customWidth="1"/>
    <col min="4" max="4" width="17.7109375" style="55" customWidth="1"/>
    <col min="5" max="5" width="16.5703125" style="55" bestFit="1" customWidth="1"/>
    <col min="6" max="6" width="20.28515625" style="55" bestFit="1" customWidth="1"/>
    <col min="7" max="7" width="16" style="55" bestFit="1" customWidth="1"/>
    <col min="8" max="8" width="14.5703125" style="55" bestFit="1" customWidth="1"/>
    <col min="9" max="16384" width="9.140625" style="55"/>
  </cols>
  <sheetData>
    <row r="1" spans="1:8" ht="16.5" x14ac:dyDescent="0.3">
      <c r="A1" s="18" t="s">
        <v>0</v>
      </c>
      <c r="B1" s="19"/>
      <c r="C1" s="18" t="str">
        <f>'MAGBL_Loan (IDCOL)'!C1</f>
        <v>Makrail Auto Green Bricks Limited (MAGBL)</v>
      </c>
      <c r="D1" s="19"/>
      <c r="E1" s="19"/>
    </row>
    <row r="2" spans="1:8" ht="16.5" x14ac:dyDescent="0.3">
      <c r="A2" s="18"/>
      <c r="B2" s="19"/>
      <c r="C2" s="19"/>
      <c r="D2" s="19"/>
      <c r="E2" s="19"/>
    </row>
    <row r="3" spans="1:8" ht="15" x14ac:dyDescent="0.3">
      <c r="A3" s="22" t="s">
        <v>63</v>
      </c>
      <c r="B3" s="23"/>
      <c r="C3" s="96">
        <f>'MAGBL_Loan (IDCOL)'!C3</f>
        <v>42467</v>
      </c>
      <c r="D3" s="22"/>
      <c r="E3" s="22"/>
    </row>
    <row r="4" spans="1:8" x14ac:dyDescent="0.25">
      <c r="A4" s="23"/>
      <c r="B4" s="23"/>
      <c r="C4" s="23"/>
      <c r="D4" s="23"/>
      <c r="E4" s="23"/>
    </row>
    <row r="5" spans="1:8" ht="15" x14ac:dyDescent="0.3">
      <c r="A5" s="22" t="s">
        <v>2</v>
      </c>
      <c r="B5" s="23"/>
      <c r="C5" s="97">
        <f>'MAGBL_Loan (IDCOL)'!C5</f>
        <v>175000000</v>
      </c>
      <c r="D5" s="22"/>
      <c r="E5" s="23"/>
    </row>
    <row r="6" spans="1:8" ht="15" x14ac:dyDescent="0.3">
      <c r="A6" s="22"/>
      <c r="B6" s="23"/>
      <c r="C6" s="23"/>
      <c r="D6" s="23"/>
      <c r="E6" s="23"/>
    </row>
    <row r="7" spans="1:8" ht="15" x14ac:dyDescent="0.3">
      <c r="A7" s="22" t="s">
        <v>3</v>
      </c>
      <c r="B7" s="23"/>
      <c r="C7" s="99">
        <f>'MAGBL_Loan (IDCOL)'!C8</f>
        <v>0.09</v>
      </c>
      <c r="D7" s="23"/>
      <c r="E7" s="23"/>
    </row>
    <row r="8" spans="1:8" ht="15" x14ac:dyDescent="0.3">
      <c r="A8" s="100"/>
      <c r="B8" s="23"/>
      <c r="C8" s="101"/>
      <c r="D8" s="98"/>
      <c r="E8" s="23"/>
    </row>
    <row r="9" spans="1:8" ht="15" x14ac:dyDescent="0.3">
      <c r="A9" s="100" t="s">
        <v>50</v>
      </c>
      <c r="B9" s="98"/>
      <c r="C9" s="102">
        <f>'MAGBL_Loan (IDCOL)'!C13</f>
        <v>24</v>
      </c>
      <c r="D9" s="23"/>
      <c r="E9" s="23"/>
    </row>
    <row r="10" spans="1:8" ht="15" x14ac:dyDescent="0.3">
      <c r="A10" s="100"/>
      <c r="B10" s="103"/>
      <c r="C10" s="104"/>
      <c r="D10" s="23"/>
      <c r="E10" s="23"/>
    </row>
    <row r="11" spans="1:8" ht="15" x14ac:dyDescent="0.3">
      <c r="A11" s="100" t="s">
        <v>79</v>
      </c>
      <c r="B11" s="103"/>
      <c r="C11" s="104"/>
      <c r="D11" s="23"/>
      <c r="E11" s="23"/>
    </row>
    <row r="12" spans="1:8" ht="15" x14ac:dyDescent="0.3">
      <c r="A12" s="105"/>
      <c r="B12" s="106"/>
      <c r="C12" s="106">
        <f>'MAGBL_Loan (IDCOL)'!C16</f>
        <v>42549</v>
      </c>
      <c r="D12" s="106">
        <f>'MAGBL_Loan (IDCOL)'!D16</f>
        <v>42705</v>
      </c>
      <c r="E12" s="106">
        <f>'MAGBL_Loan (IDCOL)'!E16</f>
        <v>42752</v>
      </c>
      <c r="F12" s="115"/>
    </row>
    <row r="13" spans="1:8" ht="15" x14ac:dyDescent="0.3">
      <c r="A13" s="107"/>
      <c r="B13" s="108"/>
      <c r="C13" s="109">
        <f>'MAGBL_Loan (IDCOL)'!C17</f>
        <v>55000000</v>
      </c>
      <c r="D13" s="109">
        <f>'MAGBL_Loan (IDCOL)'!D17</f>
        <v>40000000</v>
      </c>
      <c r="E13" s="109">
        <f>'MAGBL_Loan (IDCOL)'!E17</f>
        <v>69750000</v>
      </c>
      <c r="F13" s="115"/>
    </row>
    <row r="14" spans="1:8" ht="15" x14ac:dyDescent="0.3">
      <c r="A14" s="110"/>
      <c r="B14" s="111"/>
      <c r="C14" s="112">
        <f>'MAGBL_Loan (IDCOL)'!C18</f>
        <v>55000000</v>
      </c>
      <c r="D14" s="112">
        <f>'MAGBL_Loan (IDCOL)'!D18</f>
        <v>95000000</v>
      </c>
      <c r="E14" s="112">
        <f>'MAGBL_Loan (IDCOL)'!E18</f>
        <v>164750000</v>
      </c>
      <c r="F14" s="115"/>
    </row>
    <row r="15" spans="1:8" x14ac:dyDescent="0.25">
      <c r="A15" s="113"/>
      <c r="D15" s="115"/>
      <c r="E15" s="115"/>
      <c r="F15" s="115"/>
    </row>
    <row r="16" spans="1:8" ht="15" x14ac:dyDescent="0.25">
      <c r="A16" s="116" t="s">
        <v>10</v>
      </c>
      <c r="B16" s="117" t="s">
        <v>4</v>
      </c>
      <c r="C16" s="117" t="s">
        <v>5</v>
      </c>
      <c r="D16" s="117" t="s">
        <v>11</v>
      </c>
      <c r="E16" s="117" t="s">
        <v>6</v>
      </c>
      <c r="F16" s="117" t="s">
        <v>12</v>
      </c>
      <c r="G16" s="117" t="s">
        <v>7</v>
      </c>
      <c r="H16" s="117" t="s">
        <v>8</v>
      </c>
    </row>
    <row r="17" spans="1:8" x14ac:dyDescent="0.25">
      <c r="A17" s="122">
        <f t="array" ref="A17:H44">TRANSPOSE('MAGBL_Loan (IDCOL)'!B27:AC34)</f>
        <v>42628</v>
      </c>
      <c r="B17" s="114">
        <v>55000000</v>
      </c>
      <c r="C17" s="114">
        <v>1086250</v>
      </c>
      <c r="D17" s="114">
        <v>0</v>
      </c>
      <c r="E17" s="114">
        <v>0</v>
      </c>
      <c r="F17" s="114">
        <v>0</v>
      </c>
      <c r="G17" s="114">
        <v>0</v>
      </c>
      <c r="H17" s="114">
        <v>56086250</v>
      </c>
    </row>
    <row r="18" spans="1:8" x14ac:dyDescent="0.25">
      <c r="A18" s="122">
        <v>42719</v>
      </c>
      <c r="B18" s="114">
        <v>96086250</v>
      </c>
      <c r="C18" s="114">
        <v>1415962.1875</v>
      </c>
      <c r="D18" s="114">
        <v>0</v>
      </c>
      <c r="E18" s="114">
        <v>0</v>
      </c>
      <c r="F18" s="114">
        <v>0</v>
      </c>
      <c r="G18" s="114">
        <v>0</v>
      </c>
      <c r="H18" s="114">
        <v>97502212.1875</v>
      </c>
    </row>
    <row r="19" spans="1:8" x14ac:dyDescent="0.25">
      <c r="A19" s="122">
        <v>42809</v>
      </c>
      <c r="B19" s="114">
        <v>167252212.1875</v>
      </c>
      <c r="C19" s="114">
        <v>3187737.2742187502</v>
      </c>
      <c r="D19" s="114">
        <v>0</v>
      </c>
      <c r="E19" s="114">
        <v>0</v>
      </c>
      <c r="F19" s="114">
        <v>0</v>
      </c>
      <c r="G19" s="114">
        <v>0</v>
      </c>
      <c r="H19" s="114">
        <v>170439949.46171874</v>
      </c>
    </row>
    <row r="20" spans="1:8" x14ac:dyDescent="0.25">
      <c r="A20" s="122">
        <v>42914</v>
      </c>
      <c r="B20" s="114">
        <v>170439949.46171874</v>
      </c>
      <c r="C20" s="114">
        <v>4474048.6733701173</v>
      </c>
      <c r="D20" s="114">
        <v>0</v>
      </c>
      <c r="E20" s="114">
        <v>0</v>
      </c>
      <c r="F20" s="114">
        <v>0</v>
      </c>
      <c r="G20" s="114">
        <v>0</v>
      </c>
      <c r="H20" s="114">
        <v>174913998.13508886</v>
      </c>
    </row>
    <row r="21" spans="1:8" x14ac:dyDescent="0.25">
      <c r="A21" s="122">
        <v>42992</v>
      </c>
      <c r="B21" s="114">
        <v>174913998.13508886</v>
      </c>
      <c r="C21" s="114">
        <v>3410822.9636342325</v>
      </c>
      <c r="D21" s="114">
        <v>3410822.9636342325</v>
      </c>
      <c r="E21" s="114">
        <v>5576298.2994589228</v>
      </c>
      <c r="F21" s="114">
        <v>5576298.2994589228</v>
      </c>
      <c r="G21" s="114">
        <v>8987121.2630931549</v>
      </c>
      <c r="H21" s="114">
        <v>169337699.83562994</v>
      </c>
    </row>
    <row r="22" spans="1:8" x14ac:dyDescent="0.25">
      <c r="A22" s="122">
        <v>43083</v>
      </c>
      <c r="B22" s="114">
        <v>169337699.83562994</v>
      </c>
      <c r="C22" s="114">
        <v>3852432.6712605809</v>
      </c>
      <c r="D22" s="114">
        <v>7263255.6348948134</v>
      </c>
      <c r="E22" s="114">
        <v>5701765.0111967493</v>
      </c>
      <c r="F22" s="114">
        <v>11278063.310655672</v>
      </c>
      <c r="G22" s="114">
        <v>9554197.6824573297</v>
      </c>
      <c r="H22" s="114">
        <v>163635934.82443318</v>
      </c>
    </row>
    <row r="23" spans="1:8" x14ac:dyDescent="0.25">
      <c r="A23" s="122">
        <v>43174</v>
      </c>
      <c r="B23" s="114">
        <v>163635934.82443318</v>
      </c>
      <c r="C23" s="114">
        <v>3722717.5172558548</v>
      </c>
      <c r="D23" s="114">
        <v>10985973.152150668</v>
      </c>
      <c r="E23" s="114">
        <v>5830054.7239486761</v>
      </c>
      <c r="F23" s="114">
        <v>17108118.034604348</v>
      </c>
      <c r="G23" s="114">
        <v>9552772.24120453</v>
      </c>
      <c r="H23" s="114">
        <v>157805880.10048449</v>
      </c>
    </row>
    <row r="24" spans="1:8" x14ac:dyDescent="0.25">
      <c r="A24" s="122">
        <v>43265</v>
      </c>
      <c r="B24" s="114">
        <v>157805880.10048449</v>
      </c>
      <c r="C24" s="114">
        <v>3590083.7722860225</v>
      </c>
      <c r="D24" s="114">
        <v>14576056.92443669</v>
      </c>
      <c r="E24" s="114">
        <v>5961230.9552375218</v>
      </c>
      <c r="F24" s="114">
        <v>23069348.989841871</v>
      </c>
      <c r="G24" s="114">
        <v>9551314.7275235448</v>
      </c>
      <c r="H24" s="114">
        <v>151844649.14524698</v>
      </c>
    </row>
    <row r="25" spans="1:8" x14ac:dyDescent="0.25">
      <c r="A25" s="122">
        <v>43356</v>
      </c>
      <c r="B25" s="114">
        <v>151844649.14524698</v>
      </c>
      <c r="C25" s="114">
        <v>3454465.7680543689</v>
      </c>
      <c r="D25" s="114">
        <v>18030522.692491058</v>
      </c>
      <c r="E25" s="114">
        <v>6095358.6517303651</v>
      </c>
      <c r="F25" s="114">
        <v>29164707.641572237</v>
      </c>
      <c r="G25" s="114">
        <v>9549824.419784734</v>
      </c>
      <c r="H25" s="114">
        <v>145749290.49351662</v>
      </c>
    </row>
    <row r="26" spans="1:8" x14ac:dyDescent="0.25">
      <c r="A26" s="122">
        <v>43447</v>
      </c>
      <c r="B26" s="114">
        <v>145749290.49351662</v>
      </c>
      <c r="C26" s="114">
        <v>3315796.3587275036</v>
      </c>
      <c r="D26" s="114">
        <v>21346319.051218562</v>
      </c>
      <c r="E26" s="114">
        <v>6232504.2213942986</v>
      </c>
      <c r="F26" s="114">
        <v>35397211.862966537</v>
      </c>
      <c r="G26" s="114">
        <v>9548300.5801218022</v>
      </c>
      <c r="H26" s="114">
        <v>139516786.27212232</v>
      </c>
    </row>
    <row r="27" spans="1:8" x14ac:dyDescent="0.25">
      <c r="A27" s="122">
        <v>43538</v>
      </c>
      <c r="B27" s="114">
        <v>139516786.27212232</v>
      </c>
      <c r="C27" s="114">
        <v>3174006.887690783</v>
      </c>
      <c r="D27" s="114">
        <v>24520325.938909344</v>
      </c>
      <c r="E27" s="114">
        <v>6372735.56637567</v>
      </c>
      <c r="F27" s="114">
        <v>41769947.42934221</v>
      </c>
      <c r="G27" s="114">
        <v>9546742.4540664535</v>
      </c>
      <c r="H27" s="114">
        <v>133144050.70574665</v>
      </c>
    </row>
    <row r="28" spans="1:8" x14ac:dyDescent="0.25">
      <c r="A28" s="122">
        <v>43629</v>
      </c>
      <c r="B28" s="114">
        <v>133144050.70574665</v>
      </c>
      <c r="C28" s="114">
        <v>3029027.1535557364</v>
      </c>
      <c r="D28" s="114">
        <v>27549353.09246508</v>
      </c>
      <c r="E28" s="114">
        <v>6516122.1166191231</v>
      </c>
      <c r="F28" s="114">
        <v>48286069.545961335</v>
      </c>
      <c r="G28" s="114">
        <v>9545149.2701748591</v>
      </c>
      <c r="H28" s="114">
        <v>126627928.58912753</v>
      </c>
    </row>
    <row r="29" spans="1:8" x14ac:dyDescent="0.25">
      <c r="A29" s="122">
        <v>43723</v>
      </c>
      <c r="B29" s="114">
        <v>126627928.58912753</v>
      </c>
      <c r="C29" s="114">
        <v>2975756.3218444968</v>
      </c>
      <c r="D29" s="114">
        <v>30525109.414309576</v>
      </c>
      <c r="E29" s="114">
        <v>6662734.8642430529</v>
      </c>
      <c r="F29" s="114">
        <v>54948804.410204388</v>
      </c>
      <c r="G29" s="114">
        <v>9638491.1860875487</v>
      </c>
      <c r="H29" s="114">
        <v>119965193.72488448</v>
      </c>
    </row>
    <row r="30" spans="1:8" x14ac:dyDescent="0.25">
      <c r="A30" s="122">
        <v>43814</v>
      </c>
      <c r="B30" s="114">
        <v>119965193.72488448</v>
      </c>
      <c r="C30" s="114">
        <v>2729208.1572411214</v>
      </c>
      <c r="D30" s="114">
        <v>33254317.571550697</v>
      </c>
      <c r="E30" s="114">
        <v>6812646.3986885222</v>
      </c>
      <c r="F30" s="114">
        <v>61761450.808892913</v>
      </c>
      <c r="G30" s="114">
        <v>9541854.555929644</v>
      </c>
      <c r="H30" s="114">
        <v>113152547.32619596</v>
      </c>
    </row>
    <row r="31" spans="1:8" x14ac:dyDescent="0.25">
      <c r="A31" s="122">
        <v>43905</v>
      </c>
      <c r="B31" s="114">
        <v>113152547.32619596</v>
      </c>
      <c r="C31" s="114">
        <v>2574220.4516709577</v>
      </c>
      <c r="D31" s="114">
        <v>35828538.023221657</v>
      </c>
      <c r="E31" s="114">
        <v>6965930.9426590139</v>
      </c>
      <c r="F31" s="114">
        <v>68727381.751551926</v>
      </c>
      <c r="G31" s="114">
        <v>9540151.3943299726</v>
      </c>
      <c r="H31" s="114">
        <v>106186616.38353693</v>
      </c>
    </row>
    <row r="32" spans="1:8" x14ac:dyDescent="0.25">
      <c r="A32" s="122">
        <v>43997</v>
      </c>
      <c r="B32" s="114">
        <v>106186616.38353693</v>
      </c>
      <c r="C32" s="114">
        <v>2442292.1768213492</v>
      </c>
      <c r="D32" s="114">
        <v>38270830.200043008</v>
      </c>
      <c r="E32" s="114">
        <v>7122664.3888688413</v>
      </c>
      <c r="F32" s="114">
        <v>75850046.140420765</v>
      </c>
      <c r="G32" s="114">
        <v>9564956.5656901896</v>
      </c>
      <c r="H32" s="114">
        <v>99063951.994668096</v>
      </c>
    </row>
    <row r="33" spans="1:8" x14ac:dyDescent="0.25">
      <c r="A33" s="122">
        <v>44089</v>
      </c>
      <c r="B33" s="114">
        <v>99063951.994668096</v>
      </c>
      <c r="C33" s="114">
        <v>2278470.895877366</v>
      </c>
      <c r="D33" s="114">
        <v>40549301.095920376</v>
      </c>
      <c r="E33" s="114">
        <v>7282924.3376183892</v>
      </c>
      <c r="F33" s="114">
        <v>83132970.47803916</v>
      </c>
      <c r="G33" s="114">
        <v>9561395.2334957551</v>
      </c>
      <c r="H33" s="114">
        <v>91781027.657049701</v>
      </c>
    </row>
    <row r="34" spans="1:8" x14ac:dyDescent="0.25">
      <c r="A34" s="122">
        <v>44180</v>
      </c>
      <c r="B34" s="114">
        <v>91781027.657049701</v>
      </c>
      <c r="C34" s="114">
        <v>2088018.3791978806</v>
      </c>
      <c r="D34" s="114">
        <v>42637319.475118257</v>
      </c>
      <c r="E34" s="114">
        <v>7446790.1352148037</v>
      </c>
      <c r="F34" s="114">
        <v>90579760.613253966</v>
      </c>
      <c r="G34" s="114">
        <v>9534808.5144126844</v>
      </c>
      <c r="H34" s="114">
        <v>84334237.521834895</v>
      </c>
    </row>
    <row r="35" spans="1:8" x14ac:dyDescent="0.25">
      <c r="A35" s="122">
        <v>44270</v>
      </c>
      <c r="B35" s="114">
        <v>84334237.521834895</v>
      </c>
      <c r="C35" s="114">
        <v>1897520.344241285</v>
      </c>
      <c r="D35" s="114">
        <v>44534839.819359541</v>
      </c>
      <c r="E35" s="114">
        <v>7614342.9132571369</v>
      </c>
      <c r="F35" s="114">
        <v>98194103.526511103</v>
      </c>
      <c r="G35" s="114">
        <v>9511863.2574984226</v>
      </c>
      <c r="H35" s="114">
        <v>76719894.608577758</v>
      </c>
    </row>
    <row r="36" spans="1:8" x14ac:dyDescent="0.25">
      <c r="A36" s="122">
        <v>44362</v>
      </c>
      <c r="B36" s="114">
        <v>76719894.608577758</v>
      </c>
      <c r="C36" s="114">
        <v>1764557.5759972883</v>
      </c>
      <c r="D36" s="114">
        <v>46299397.395356826</v>
      </c>
      <c r="E36" s="114">
        <v>7785665.6288054232</v>
      </c>
      <c r="F36" s="114">
        <v>105979769.15531653</v>
      </c>
      <c r="G36" s="114">
        <v>9550223.2048027106</v>
      </c>
      <c r="H36" s="114">
        <v>68934228.979772329</v>
      </c>
    </row>
    <row r="37" spans="1:8" x14ac:dyDescent="0.25">
      <c r="A37" s="122">
        <v>44454</v>
      </c>
      <c r="B37" s="114">
        <v>68934228.979772329</v>
      </c>
      <c r="C37" s="114">
        <v>1585487.2665347636</v>
      </c>
      <c r="D37" s="114">
        <v>47884884.661891587</v>
      </c>
      <c r="E37" s="114">
        <v>7960843.1054535452</v>
      </c>
      <c r="F37" s="114">
        <v>113940612.26077008</v>
      </c>
      <c r="G37" s="114">
        <v>9546330.3719883095</v>
      </c>
      <c r="H37" s="114">
        <v>60973385.874318786</v>
      </c>
    </row>
    <row r="38" spans="1:8" x14ac:dyDescent="0.25">
      <c r="A38" s="122">
        <v>44545</v>
      </c>
      <c r="B38" s="114">
        <v>60973385.874318786</v>
      </c>
      <c r="C38" s="114">
        <v>1387144.5286407522</v>
      </c>
      <c r="D38" s="114">
        <v>49272029.190532342</v>
      </c>
      <c r="E38" s="114">
        <v>8139962.075326249</v>
      </c>
      <c r="F38" s="114">
        <v>122080574.33609633</v>
      </c>
      <c r="G38" s="114">
        <v>9527106.6039670017</v>
      </c>
      <c r="H38" s="114">
        <v>52833423.798992537</v>
      </c>
    </row>
    <row r="39" spans="1:8" x14ac:dyDescent="0.25">
      <c r="A39" s="122">
        <v>44635</v>
      </c>
      <c r="B39" s="114">
        <v>52833423.798992537</v>
      </c>
      <c r="C39" s="114">
        <v>1188752.0354773321</v>
      </c>
      <c r="D39" s="114">
        <v>50460781.226009674</v>
      </c>
      <c r="E39" s="114">
        <v>8323111.2220210899</v>
      </c>
      <c r="F39" s="114">
        <v>130403685.55811742</v>
      </c>
      <c r="G39" s="114">
        <v>9511863.2574984226</v>
      </c>
      <c r="H39" s="114">
        <v>44510312.576971449</v>
      </c>
    </row>
    <row r="40" spans="1:8" x14ac:dyDescent="0.25">
      <c r="A40" s="122">
        <v>44727</v>
      </c>
      <c r="B40" s="114">
        <v>44510312.576971449</v>
      </c>
      <c r="C40" s="114">
        <v>1023737.1892703432</v>
      </c>
      <c r="D40" s="114">
        <v>51484518.415280014</v>
      </c>
      <c r="E40" s="114">
        <v>8510381.224516565</v>
      </c>
      <c r="F40" s="114">
        <v>138914066.78263399</v>
      </c>
      <c r="G40" s="114">
        <v>9534118.4137869086</v>
      </c>
      <c r="H40" s="114">
        <v>35999931.352454886</v>
      </c>
    </row>
    <row r="41" spans="1:8" x14ac:dyDescent="0.25">
      <c r="A41" s="122">
        <v>44819</v>
      </c>
      <c r="B41" s="114">
        <v>35999931.352454886</v>
      </c>
      <c r="C41" s="114">
        <v>827998.42110646237</v>
      </c>
      <c r="D41" s="114">
        <v>52312516.836386479</v>
      </c>
      <c r="E41" s="114">
        <v>8701864.8020681869</v>
      </c>
      <c r="F41" s="114">
        <v>147615931.58470216</v>
      </c>
      <c r="G41" s="114">
        <v>9529863.2231746502</v>
      </c>
      <c r="H41" s="114">
        <v>27298066.550386697</v>
      </c>
    </row>
    <row r="42" spans="1:8" x14ac:dyDescent="0.25">
      <c r="A42" s="122">
        <v>44910</v>
      </c>
      <c r="B42" s="114">
        <v>27298066.550386697</v>
      </c>
      <c r="C42" s="114">
        <v>621031.01402129733</v>
      </c>
      <c r="D42" s="114">
        <v>52933547.850407779</v>
      </c>
      <c r="E42" s="114">
        <v>8897656.760114722</v>
      </c>
      <c r="F42" s="114">
        <v>156513588.34481689</v>
      </c>
      <c r="G42" s="114">
        <v>9518687.7741360199</v>
      </c>
      <c r="H42" s="114">
        <v>18400409.790271975</v>
      </c>
    </row>
    <row r="43" spans="1:8" x14ac:dyDescent="0.25">
      <c r="A43" s="122">
        <v>45000</v>
      </c>
      <c r="B43" s="114">
        <v>18400409.790271975</v>
      </c>
      <c r="C43" s="114">
        <v>414009.22028111946</v>
      </c>
      <c r="D43" s="114">
        <v>53347557.070688896</v>
      </c>
      <c r="E43" s="114">
        <v>9097854.0372173022</v>
      </c>
      <c r="F43" s="114">
        <v>165611442.38203418</v>
      </c>
      <c r="G43" s="114">
        <v>9511863.2574984208</v>
      </c>
      <c r="H43" s="114">
        <v>9302555.7530546729</v>
      </c>
    </row>
    <row r="44" spans="1:8" x14ac:dyDescent="0.25">
      <c r="A44" s="122">
        <v>45092</v>
      </c>
      <c r="B44" s="114">
        <v>9302555.7530546729</v>
      </c>
      <c r="C44" s="114">
        <v>213958.78232025748</v>
      </c>
      <c r="D44" s="114">
        <v>53561515.853009157</v>
      </c>
      <c r="E44" s="114">
        <v>9302555.7530546915</v>
      </c>
      <c r="F44" s="114">
        <v>174913998.13508886</v>
      </c>
      <c r="G44" s="114">
        <v>9516514.5353749488</v>
      </c>
      <c r="H44" s="114">
        <v>-1.862645149230957E-8</v>
      </c>
    </row>
  </sheetData>
  <pageMargins left="0.7" right="0.22" top="0.21" bottom="0.17" header="0.3" footer="0.3"/>
  <pageSetup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37"/>
  <sheetViews>
    <sheetView workbookViewId="0">
      <selection activeCell="F31" sqref="F31"/>
    </sheetView>
  </sheetViews>
  <sheetFormatPr defaultColWidth="8" defaultRowHeight="12.75" x14ac:dyDescent="0.2"/>
  <cols>
    <col min="1" max="1" width="29" style="3" bestFit="1" customWidth="1"/>
    <col min="2" max="2" width="12" style="3" customWidth="1"/>
    <col min="3" max="3" width="14.5703125" style="3" customWidth="1"/>
    <col min="4" max="13" width="10.7109375" style="3" customWidth="1"/>
    <col min="14" max="14" width="9.5703125" style="3" bestFit="1" customWidth="1"/>
    <col min="15" max="23" width="9" style="3" bestFit="1" customWidth="1"/>
    <col min="24" max="86" width="9.85546875" style="3" bestFit="1" customWidth="1"/>
    <col min="87" max="16384" width="8" style="3"/>
  </cols>
  <sheetData>
    <row r="1" spans="1:7" s="11" customFormat="1" ht="15" x14ac:dyDescent="0.25">
      <c r="A1" s="10" t="s">
        <v>0</v>
      </c>
      <c r="C1" s="10" t="str">
        <f>Disbursement!B1</f>
        <v>Makrail Auto Green Bricks Limited (MAGBL)</v>
      </c>
    </row>
    <row r="2" spans="1:7" s="11" customFormat="1" ht="15" x14ac:dyDescent="0.25">
      <c r="A2" s="10"/>
    </row>
    <row r="3" spans="1:7" s="12" customFormat="1" x14ac:dyDescent="0.2">
      <c r="A3" s="12" t="s">
        <v>63</v>
      </c>
      <c r="B3" s="3"/>
      <c r="C3" s="73">
        <v>42467</v>
      </c>
    </row>
    <row r="5" spans="1:7" x14ac:dyDescent="0.2">
      <c r="A5" s="12" t="s">
        <v>2</v>
      </c>
      <c r="C5" s="74">
        <v>175000000</v>
      </c>
      <c r="D5" s="12"/>
    </row>
    <row r="6" spans="1:7" x14ac:dyDescent="0.2">
      <c r="A6" s="12"/>
    </row>
    <row r="7" spans="1:7" x14ac:dyDescent="0.2">
      <c r="A7" s="12" t="s">
        <v>59</v>
      </c>
      <c r="C7" s="73" t="s">
        <v>60</v>
      </c>
    </row>
    <row r="8" spans="1:7" x14ac:dyDescent="0.2">
      <c r="A8" s="12" t="s">
        <v>3</v>
      </c>
      <c r="C8" s="75">
        <v>0.09</v>
      </c>
    </row>
    <row r="9" spans="1:7" x14ac:dyDescent="0.2">
      <c r="A9" s="12" t="s">
        <v>57</v>
      </c>
      <c r="C9" s="77">
        <v>84</v>
      </c>
      <c r="D9" s="3" t="s">
        <v>58</v>
      </c>
    </row>
    <row r="10" spans="1:7" x14ac:dyDescent="0.2">
      <c r="A10" s="12" t="s">
        <v>72</v>
      </c>
      <c r="C10" s="134">
        <v>12</v>
      </c>
      <c r="D10" s="3" t="s">
        <v>58</v>
      </c>
    </row>
    <row r="11" spans="1:7" x14ac:dyDescent="0.2">
      <c r="A11" s="12" t="s">
        <v>22</v>
      </c>
      <c r="C11" s="137" t="s">
        <v>76</v>
      </c>
    </row>
    <row r="12" spans="1:7" x14ac:dyDescent="0.2">
      <c r="A12" s="62" t="s">
        <v>48</v>
      </c>
      <c r="C12" s="76">
        <v>360</v>
      </c>
      <c r="D12" s="54" t="s">
        <v>49</v>
      </c>
    </row>
    <row r="13" spans="1:7" x14ac:dyDescent="0.2">
      <c r="A13" s="62" t="s">
        <v>50</v>
      </c>
      <c r="B13" s="54"/>
      <c r="C13" s="77">
        <v>24</v>
      </c>
    </row>
    <row r="14" spans="1:7" x14ac:dyDescent="0.2">
      <c r="A14" s="62"/>
      <c r="B14" s="59"/>
      <c r="C14" s="61"/>
    </row>
    <row r="15" spans="1:7" x14ac:dyDescent="0.2">
      <c r="A15" s="62" t="s">
        <v>51</v>
      </c>
      <c r="B15" s="59"/>
      <c r="C15" s="61"/>
    </row>
    <row r="16" spans="1:7" x14ac:dyDescent="0.2">
      <c r="A16" s="63"/>
      <c r="B16" s="64"/>
      <c r="C16" s="64">
        <v>42549</v>
      </c>
      <c r="D16" s="64">
        <v>42695</v>
      </c>
      <c r="E16" s="64">
        <v>42753</v>
      </c>
      <c r="G16" s="125"/>
    </row>
    <row r="17" spans="1:228" x14ac:dyDescent="0.2">
      <c r="A17" s="65"/>
      <c r="B17" s="66"/>
      <c r="C17" s="69">
        <v>55000000</v>
      </c>
      <c r="D17" s="69">
        <v>40000000</v>
      </c>
      <c r="E17" s="69">
        <v>69750000</v>
      </c>
    </row>
    <row r="18" spans="1:228" x14ac:dyDescent="0.2">
      <c r="A18" s="67"/>
      <c r="B18" s="68"/>
      <c r="C18" s="71">
        <f>C17</f>
        <v>55000000</v>
      </c>
      <c r="D18" s="71">
        <f>C18+D17</f>
        <v>95000000</v>
      </c>
      <c r="E18" s="71">
        <f>D18+E17</f>
        <v>164750000</v>
      </c>
    </row>
    <row r="19" spans="1:228" x14ac:dyDescent="0.2">
      <c r="A19" s="60"/>
      <c r="B19" s="59"/>
      <c r="C19" s="61"/>
    </row>
    <row r="20" spans="1:228" x14ac:dyDescent="0.2">
      <c r="A20" s="12"/>
    </row>
    <row r="21" spans="1:228" x14ac:dyDescent="0.2">
      <c r="A21" s="14" t="s">
        <v>61</v>
      </c>
      <c r="B21" s="119">
        <f>B27</f>
        <v>42628</v>
      </c>
      <c r="C21" s="119">
        <f t="shared" ref="C21:AC21" si="0">C27</f>
        <v>42719</v>
      </c>
      <c r="D21" s="119">
        <f t="shared" si="0"/>
        <v>42809</v>
      </c>
      <c r="E21" s="119">
        <f t="shared" si="0"/>
        <v>42914</v>
      </c>
      <c r="F21" s="119">
        <f t="shared" si="0"/>
        <v>42992</v>
      </c>
      <c r="G21" s="119">
        <f t="shared" si="0"/>
        <v>43083</v>
      </c>
      <c r="H21" s="119">
        <f t="shared" si="0"/>
        <v>43174</v>
      </c>
      <c r="I21" s="119">
        <f t="shared" si="0"/>
        <v>43265</v>
      </c>
      <c r="J21" s="119">
        <f t="shared" si="0"/>
        <v>43356</v>
      </c>
      <c r="K21" s="119">
        <f t="shared" si="0"/>
        <v>43447</v>
      </c>
      <c r="L21" s="119">
        <f t="shared" si="0"/>
        <v>43538</v>
      </c>
      <c r="M21" s="119">
        <f t="shared" si="0"/>
        <v>43629</v>
      </c>
      <c r="N21" s="119">
        <f t="shared" si="0"/>
        <v>43723</v>
      </c>
      <c r="O21" s="119">
        <f t="shared" si="0"/>
        <v>43814</v>
      </c>
      <c r="P21" s="119">
        <f t="shared" si="0"/>
        <v>43905</v>
      </c>
      <c r="Q21" s="119">
        <f t="shared" si="0"/>
        <v>43997</v>
      </c>
      <c r="R21" s="119">
        <f t="shared" si="0"/>
        <v>44089</v>
      </c>
      <c r="S21" s="119">
        <f t="shared" si="0"/>
        <v>44180</v>
      </c>
      <c r="T21" s="119">
        <f t="shared" si="0"/>
        <v>44270</v>
      </c>
      <c r="U21" s="119">
        <f t="shared" si="0"/>
        <v>44362</v>
      </c>
      <c r="V21" s="119">
        <f t="shared" si="0"/>
        <v>44454</v>
      </c>
      <c r="W21" s="119">
        <f t="shared" si="0"/>
        <v>44545</v>
      </c>
      <c r="X21" s="119">
        <f t="shared" si="0"/>
        <v>44635</v>
      </c>
      <c r="Y21" s="119">
        <f t="shared" si="0"/>
        <v>44727</v>
      </c>
      <c r="Z21" s="119">
        <f t="shared" si="0"/>
        <v>44819</v>
      </c>
      <c r="AA21" s="119">
        <f t="shared" si="0"/>
        <v>44910</v>
      </c>
      <c r="AB21" s="119">
        <f t="shared" si="0"/>
        <v>45000</v>
      </c>
      <c r="AC21" s="119">
        <f t="shared" si="0"/>
        <v>45092</v>
      </c>
    </row>
    <row r="22" spans="1:228" ht="13.5" customHeight="1" thickBot="1" x14ac:dyDescent="0.25">
      <c r="A22" s="120" t="s">
        <v>62</v>
      </c>
      <c r="B22" s="121">
        <v>0.09</v>
      </c>
      <c r="C22" s="121">
        <v>0.09</v>
      </c>
      <c r="D22" s="121">
        <v>0.09</v>
      </c>
      <c r="E22" s="121">
        <v>0.09</v>
      </c>
      <c r="F22" s="121">
        <v>0.09</v>
      </c>
      <c r="G22" s="121">
        <v>0.09</v>
      </c>
      <c r="H22" s="121">
        <v>0.09</v>
      </c>
      <c r="I22" s="121">
        <v>0.09</v>
      </c>
      <c r="J22" s="121">
        <v>0.09</v>
      </c>
      <c r="K22" s="121">
        <v>0.09</v>
      </c>
      <c r="L22" s="121">
        <v>0.09</v>
      </c>
      <c r="M22" s="121">
        <v>0.09</v>
      </c>
      <c r="N22" s="121">
        <v>0.09</v>
      </c>
      <c r="O22" s="121">
        <v>0.09</v>
      </c>
      <c r="P22" s="121">
        <v>0.09</v>
      </c>
      <c r="Q22" s="121">
        <v>0.09</v>
      </c>
      <c r="R22" s="121">
        <v>0.09</v>
      </c>
      <c r="S22" s="121">
        <v>0.09</v>
      </c>
      <c r="T22" s="121">
        <v>0.09</v>
      </c>
      <c r="U22" s="121">
        <v>0.09</v>
      </c>
      <c r="V22" s="121">
        <v>0.09</v>
      </c>
      <c r="W22" s="121">
        <v>0.09</v>
      </c>
      <c r="X22" s="121">
        <v>0.09</v>
      </c>
      <c r="Y22" s="121">
        <v>0.09</v>
      </c>
      <c r="Z22" s="121">
        <v>0.09</v>
      </c>
      <c r="AA22" s="121">
        <v>0.09</v>
      </c>
      <c r="AB22" s="121">
        <v>0.09</v>
      </c>
      <c r="AC22" s="121">
        <v>0.09</v>
      </c>
    </row>
    <row r="23" spans="1:228" ht="13.5" customHeight="1" x14ac:dyDescent="0.2">
      <c r="A23" s="12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</row>
    <row r="24" spans="1:228" x14ac:dyDescent="0.2">
      <c r="B24" s="54"/>
      <c r="C24" s="4"/>
      <c r="D24" s="4"/>
      <c r="E24" s="4"/>
      <c r="F24" s="1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8" x14ac:dyDescent="0.2">
      <c r="A25" s="12" t="s">
        <v>45</v>
      </c>
      <c r="B25" s="145" t="s">
        <v>64</v>
      </c>
      <c r="C25" s="146"/>
      <c r="D25" s="146"/>
      <c r="E25" s="14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8" x14ac:dyDescent="0.2">
      <c r="A26" s="14" t="s">
        <v>9</v>
      </c>
      <c r="B26" s="15"/>
      <c r="C26" s="15"/>
      <c r="D26" s="15"/>
      <c r="E26" s="15"/>
      <c r="F26" s="15">
        <v>1</v>
      </c>
      <c r="G26" s="15">
        <f t="shared" ref="G26:AC26" si="1">F26+1</f>
        <v>2</v>
      </c>
      <c r="H26" s="15">
        <f t="shared" si="1"/>
        <v>3</v>
      </c>
      <c r="I26" s="15">
        <f t="shared" si="1"/>
        <v>4</v>
      </c>
      <c r="J26" s="15">
        <f t="shared" si="1"/>
        <v>5</v>
      </c>
      <c r="K26" s="15">
        <f t="shared" si="1"/>
        <v>6</v>
      </c>
      <c r="L26" s="15">
        <f t="shared" si="1"/>
        <v>7</v>
      </c>
      <c r="M26" s="15">
        <f t="shared" si="1"/>
        <v>8</v>
      </c>
      <c r="N26" s="15">
        <f t="shared" si="1"/>
        <v>9</v>
      </c>
      <c r="O26" s="15">
        <f t="shared" si="1"/>
        <v>10</v>
      </c>
      <c r="P26" s="15">
        <f t="shared" si="1"/>
        <v>11</v>
      </c>
      <c r="Q26" s="15">
        <f t="shared" si="1"/>
        <v>12</v>
      </c>
      <c r="R26" s="15">
        <f t="shared" si="1"/>
        <v>13</v>
      </c>
      <c r="S26" s="15">
        <f t="shared" si="1"/>
        <v>14</v>
      </c>
      <c r="T26" s="15">
        <f t="shared" si="1"/>
        <v>15</v>
      </c>
      <c r="U26" s="15">
        <f t="shared" si="1"/>
        <v>16</v>
      </c>
      <c r="V26" s="15">
        <f t="shared" si="1"/>
        <v>17</v>
      </c>
      <c r="W26" s="15">
        <f t="shared" si="1"/>
        <v>18</v>
      </c>
      <c r="X26" s="15">
        <f t="shared" si="1"/>
        <v>19</v>
      </c>
      <c r="Y26" s="15">
        <f t="shared" si="1"/>
        <v>20</v>
      </c>
      <c r="Z26" s="15">
        <f t="shared" si="1"/>
        <v>21</v>
      </c>
      <c r="AA26" s="15">
        <f t="shared" si="1"/>
        <v>22</v>
      </c>
      <c r="AB26" s="15">
        <f t="shared" si="1"/>
        <v>23</v>
      </c>
      <c r="AC26" s="15">
        <f t="shared" si="1"/>
        <v>24</v>
      </c>
    </row>
    <row r="27" spans="1:228" x14ac:dyDescent="0.2">
      <c r="A27" s="85" t="s">
        <v>10</v>
      </c>
      <c r="B27" s="84">
        <f>'MAGBL_Loan (IDCOL)'!B27</f>
        <v>42628</v>
      </c>
      <c r="C27" s="84">
        <f>'MAGBL_Loan (IDCOL)'!C27</f>
        <v>42719</v>
      </c>
      <c r="D27" s="84">
        <f>'MAGBL_Loan (IDCOL)'!D27</f>
        <v>42809</v>
      </c>
      <c r="E27" s="84">
        <f>'MAGBL_Loan (IDCOL)'!E27</f>
        <v>42914</v>
      </c>
      <c r="F27" s="84">
        <f>'MAGBL_Loan (IDCOL)'!F27</f>
        <v>42992</v>
      </c>
      <c r="G27" s="84">
        <f>'MAGBL_Loan (IDCOL)'!G27</f>
        <v>43083</v>
      </c>
      <c r="H27" s="84">
        <f>'MAGBL_Loan (IDCOL)'!H27</f>
        <v>43174</v>
      </c>
      <c r="I27" s="84">
        <f>'MAGBL_Loan (IDCOL)'!I27</f>
        <v>43265</v>
      </c>
      <c r="J27" s="84">
        <f>'MAGBL_Loan (IDCOL)'!J27</f>
        <v>43356</v>
      </c>
      <c r="K27" s="84">
        <f>'MAGBL_Loan (IDCOL)'!K27</f>
        <v>43447</v>
      </c>
      <c r="L27" s="84">
        <f>'MAGBL_Loan (IDCOL)'!L27</f>
        <v>43538</v>
      </c>
      <c r="M27" s="84">
        <f>'MAGBL_Loan (IDCOL)'!M27</f>
        <v>43629</v>
      </c>
      <c r="N27" s="84">
        <f>'MAGBL_Loan (IDCOL)'!N27</f>
        <v>43723</v>
      </c>
      <c r="O27" s="84">
        <f>'MAGBL_Loan (IDCOL)'!O27</f>
        <v>43814</v>
      </c>
      <c r="P27" s="84">
        <f>'MAGBL_Loan (IDCOL)'!P27</f>
        <v>43905</v>
      </c>
      <c r="Q27" s="84">
        <f>'MAGBL_Loan (IDCOL)'!Q27</f>
        <v>43997</v>
      </c>
      <c r="R27" s="84">
        <f>'MAGBL_Loan (IDCOL)'!R27</f>
        <v>44089</v>
      </c>
      <c r="S27" s="84">
        <f>'MAGBL_Loan (IDCOL)'!S27</f>
        <v>44180</v>
      </c>
      <c r="T27" s="84">
        <f>'MAGBL_Loan (IDCOL)'!T27</f>
        <v>44270</v>
      </c>
      <c r="U27" s="84">
        <f>'MAGBL_Loan (IDCOL)'!U27</f>
        <v>44362</v>
      </c>
      <c r="V27" s="84">
        <f>'MAGBL_Loan (IDCOL)'!V27</f>
        <v>44454</v>
      </c>
      <c r="W27" s="84">
        <f>'MAGBL_Loan (IDCOL)'!W27</f>
        <v>44545</v>
      </c>
      <c r="X27" s="84">
        <f>'MAGBL_Loan (IDCOL)'!X27</f>
        <v>44635</v>
      </c>
      <c r="Y27" s="84">
        <f>'MAGBL_Loan (IDCOL)'!Y27</f>
        <v>44727</v>
      </c>
      <c r="Z27" s="84">
        <f>'MAGBL_Loan (IDCOL)'!Z27</f>
        <v>44819</v>
      </c>
      <c r="AA27" s="84">
        <f>'MAGBL_Loan (IDCOL)'!AA27</f>
        <v>44910</v>
      </c>
      <c r="AB27" s="84">
        <f>'MAGBL_Loan (IDCOL)'!AB27</f>
        <v>45000</v>
      </c>
      <c r="AC27" s="84">
        <f>'MAGBL_Loan (IDCOL)'!AC27</f>
        <v>45092</v>
      </c>
    </row>
    <row r="28" spans="1:228" x14ac:dyDescent="0.2">
      <c r="A28" s="3" t="s">
        <v>4</v>
      </c>
      <c r="B28" s="9">
        <f>C17</f>
        <v>55000000</v>
      </c>
      <c r="C28" s="4">
        <f>B34+D17</f>
        <v>96086250</v>
      </c>
      <c r="D28" s="4">
        <f>C34+E17</f>
        <v>167352212.1875</v>
      </c>
      <c r="E28" s="4">
        <f>D34</f>
        <v>170524761.96171874</v>
      </c>
      <c r="F28" s="4">
        <f t="shared" ref="F28:AC28" si="2">E34</f>
        <v>175001036.96321386</v>
      </c>
      <c r="G28" s="4">
        <f t="shared" si="2"/>
        <v>169421963.84599057</v>
      </c>
      <c r="H28" s="4">
        <f t="shared" si="2"/>
        <v>163717361.58362976</v>
      </c>
      <c r="I28" s="4">
        <f t="shared" si="2"/>
        <v>157884405.77036583</v>
      </c>
      <c r="J28" s="4">
        <f t="shared" si="2"/>
        <v>151920208.45130348</v>
      </c>
      <c r="K28" s="4">
        <f t="shared" si="2"/>
        <v>145821816.69256222</v>
      </c>
      <c r="L28" s="4">
        <f t="shared" si="2"/>
        <v>139586211.11924928</v>
      </c>
      <c r="M28" s="4">
        <f t="shared" si="2"/>
        <v>133210304.4205368</v>
      </c>
      <c r="N28" s="4">
        <f t="shared" si="2"/>
        <v>126690939.82110329</v>
      </c>
      <c r="O28" s="4">
        <f t="shared" si="2"/>
        <v>120024889.51818252</v>
      </c>
      <c r="P28" s="4">
        <f t="shared" si="2"/>
        <v>113208853.08344603</v>
      </c>
      <c r="Q28" s="4">
        <f t="shared" si="2"/>
        <v>106239455.82892796</v>
      </c>
      <c r="R28" s="4">
        <f t="shared" si="2"/>
        <v>99113247.136183247</v>
      </c>
      <c r="S28" s="4">
        <f t="shared" si="2"/>
        <v>91826698.747851774</v>
      </c>
      <c r="T28" s="4">
        <f t="shared" si="2"/>
        <v>84376203.020782843</v>
      </c>
      <c r="U28" s="4">
        <f t="shared" si="2"/>
        <v>76758071.139854863</v>
      </c>
      <c r="V28" s="4">
        <f t="shared" si="2"/>
        <v>68968531.291606009</v>
      </c>
      <c r="W28" s="4">
        <f t="shared" si="2"/>
        <v>61003726.796771549</v>
      </c>
      <c r="X28" s="4">
        <f t="shared" si="2"/>
        <v>52859714.200803317</v>
      </c>
      <c r="Y28" s="4">
        <f t="shared" si="2"/>
        <v>44532461.321425796</v>
      </c>
      <c r="Z28" s="4">
        <f t="shared" si="2"/>
        <v>36017845.252262279</v>
      </c>
      <c r="AA28" s="4">
        <f t="shared" si="2"/>
        <v>27311650.321542587</v>
      </c>
      <c r="AB28" s="4">
        <f t="shared" si="2"/>
        <v>18409566.004881702</v>
      </c>
      <c r="AC28" s="4">
        <f t="shared" si="2"/>
        <v>9307184.7910959478</v>
      </c>
    </row>
    <row r="29" spans="1:228" s="8" customFormat="1" x14ac:dyDescent="0.2">
      <c r="A29" s="8" t="s">
        <v>5</v>
      </c>
      <c r="B29" s="124">
        <f>C18*(B27-C16)*B22/360</f>
        <v>1086250</v>
      </c>
      <c r="C29" s="124">
        <f>B34*(D16-B27)*C22/360+C28*(C27-D16)*C22/360</f>
        <v>1515962.1875</v>
      </c>
      <c r="D29" s="124">
        <f>C34*(E16-C27)*D22/360+(C34+E17)*(D27-E16)*D22/360</f>
        <v>3172549.7742187502</v>
      </c>
      <c r="E29" s="124">
        <f>E28*(E27-D27)*E22/360</f>
        <v>4476275.0014951173</v>
      </c>
      <c r="F29" s="8">
        <f t="shared" ref="F29:AC29" si="3">F28*(F27-E27)*F22/360</f>
        <v>3412520.2207826702</v>
      </c>
      <c r="G29" s="8">
        <f t="shared" si="3"/>
        <v>3854349.6774962856</v>
      </c>
      <c r="H29" s="8">
        <f t="shared" si="3"/>
        <v>3724569.9760275767</v>
      </c>
      <c r="I29" s="8">
        <f t="shared" si="3"/>
        <v>3591870.2312758225</v>
      </c>
      <c r="J29" s="8">
        <f t="shared" si="3"/>
        <v>3456184.7422671542</v>
      </c>
      <c r="K29" s="8">
        <f t="shared" si="3"/>
        <v>3317446.3297557905</v>
      </c>
      <c r="L29" s="8">
        <f t="shared" si="3"/>
        <v>3175586.3029629211</v>
      </c>
      <c r="M29" s="8">
        <f t="shared" si="3"/>
        <v>3030534.4255672116</v>
      </c>
      <c r="N29" s="8">
        <f t="shared" si="3"/>
        <v>2977237.0857959273</v>
      </c>
      <c r="O29" s="8">
        <f t="shared" si="3"/>
        <v>2730566.2365386523</v>
      </c>
      <c r="P29" s="8">
        <f t="shared" si="3"/>
        <v>2575501.4076483967</v>
      </c>
      <c r="Q29" s="8">
        <f t="shared" si="3"/>
        <v>2443507.4840653432</v>
      </c>
      <c r="R29" s="8">
        <f t="shared" si="3"/>
        <v>2279604.6841322142</v>
      </c>
      <c r="S29" s="8">
        <f t="shared" si="3"/>
        <v>2089057.3965136276</v>
      </c>
      <c r="T29" s="8">
        <f t="shared" si="3"/>
        <v>1898464.5679676139</v>
      </c>
      <c r="U29" s="8">
        <f t="shared" si="3"/>
        <v>1765435.6362166619</v>
      </c>
      <c r="V29" s="8">
        <f t="shared" si="3"/>
        <v>1586276.2197069384</v>
      </c>
      <c r="W29" s="8">
        <f t="shared" si="3"/>
        <v>1387834.7846265528</v>
      </c>
      <c r="X29" s="8">
        <f t="shared" si="3"/>
        <v>1189343.5695180746</v>
      </c>
      <c r="Y29" s="8">
        <f t="shared" si="3"/>
        <v>1024246.6103927932</v>
      </c>
      <c r="Z29" s="8">
        <f t="shared" si="3"/>
        <v>828410.44080203236</v>
      </c>
      <c r="AA29" s="8">
        <f t="shared" si="3"/>
        <v>621340.04481509386</v>
      </c>
      <c r="AB29" s="8">
        <f t="shared" si="3"/>
        <v>414215.23510983825</v>
      </c>
      <c r="AC29" s="8">
        <f t="shared" si="3"/>
        <v>214065.25019520678</v>
      </c>
    </row>
    <row r="30" spans="1:228" x14ac:dyDescent="0.2">
      <c r="A30" s="3" t="s">
        <v>11</v>
      </c>
      <c r="B30" s="4">
        <v>0</v>
      </c>
      <c r="C30" s="4">
        <v>0</v>
      </c>
      <c r="D30" s="4">
        <v>0</v>
      </c>
      <c r="E30" s="4">
        <v>0</v>
      </c>
      <c r="F30" s="4">
        <f>F29+E30</f>
        <v>3412520.2207826702</v>
      </c>
      <c r="G30" s="4">
        <f t="shared" ref="G30:AC30" si="4">G29+F30</f>
        <v>7266869.8982789554</v>
      </c>
      <c r="H30" s="4">
        <f t="shared" si="4"/>
        <v>10991439.874306532</v>
      </c>
      <c r="I30" s="4">
        <f t="shared" si="4"/>
        <v>14583310.105582355</v>
      </c>
      <c r="J30" s="4">
        <f t="shared" si="4"/>
        <v>18039494.847849511</v>
      </c>
      <c r="K30" s="4">
        <f t="shared" si="4"/>
        <v>21356941.177605301</v>
      </c>
      <c r="L30" s="4">
        <f t="shared" si="4"/>
        <v>24532527.480568223</v>
      </c>
      <c r="M30" s="4">
        <f t="shared" si="4"/>
        <v>27563061.906135432</v>
      </c>
      <c r="N30" s="4">
        <f t="shared" si="4"/>
        <v>30540298.99193136</v>
      </c>
      <c r="O30" s="4">
        <f t="shared" si="4"/>
        <v>33270865.228470013</v>
      </c>
      <c r="P30" s="4">
        <f t="shared" si="4"/>
        <v>35846366.636118412</v>
      </c>
      <c r="Q30" s="4">
        <f t="shared" si="4"/>
        <v>38289874.120183758</v>
      </c>
      <c r="R30" s="4">
        <f t="shared" si="4"/>
        <v>40569478.804315969</v>
      </c>
      <c r="S30" s="4">
        <f t="shared" si="4"/>
        <v>42658536.200829595</v>
      </c>
      <c r="T30" s="4">
        <f t="shared" si="4"/>
        <v>44557000.768797211</v>
      </c>
      <c r="U30" s="4">
        <f t="shared" si="4"/>
        <v>46322436.405013874</v>
      </c>
      <c r="V30" s="4">
        <f t="shared" si="4"/>
        <v>47908712.624720812</v>
      </c>
      <c r="W30" s="4">
        <f t="shared" si="4"/>
        <v>49296547.409347363</v>
      </c>
      <c r="X30" s="4">
        <f t="shared" si="4"/>
        <v>50485890.978865437</v>
      </c>
      <c r="Y30" s="4">
        <f t="shared" si="4"/>
        <v>51510137.589258231</v>
      </c>
      <c r="Z30" s="4">
        <f t="shared" si="4"/>
        <v>52338548.030060261</v>
      </c>
      <c r="AA30" s="4">
        <f t="shared" si="4"/>
        <v>52959888.074875355</v>
      </c>
      <c r="AB30" s="4">
        <f t="shared" si="4"/>
        <v>53374103.309985191</v>
      </c>
      <c r="AC30" s="4">
        <f t="shared" si="4"/>
        <v>53588168.560180396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</row>
    <row r="31" spans="1:228" x14ac:dyDescent="0.2">
      <c r="A31" s="3" t="s">
        <v>6</v>
      </c>
      <c r="B31" s="4">
        <v>0</v>
      </c>
      <c r="C31" s="4">
        <v>0</v>
      </c>
      <c r="D31" s="4">
        <v>0</v>
      </c>
      <c r="E31" s="4">
        <v>0</v>
      </c>
      <c r="F31" s="4">
        <f>-PPMT(F22/4,F26,$C$13,$F$28)</f>
        <v>5579073.1172232814</v>
      </c>
      <c r="G31" s="4">
        <f t="shared" ref="G31:AC31" si="5">-PPMT(G22/4,G26,$C$13,$F$28)</f>
        <v>5704602.2623608056</v>
      </c>
      <c r="H31" s="4">
        <f t="shared" si="5"/>
        <v>5832955.8132639239</v>
      </c>
      <c r="I31" s="4">
        <f t="shared" si="5"/>
        <v>5964197.3190623615</v>
      </c>
      <c r="J31" s="4">
        <f t="shared" si="5"/>
        <v>6098391.7587412652</v>
      </c>
      <c r="K31" s="4">
        <f t="shared" si="5"/>
        <v>6235605.5733129429</v>
      </c>
      <c r="L31" s="4">
        <f t="shared" si="5"/>
        <v>6375906.6987124858</v>
      </c>
      <c r="M31" s="4">
        <f t="shared" si="5"/>
        <v>6519364.5994335162</v>
      </c>
      <c r="N31" s="4">
        <f t="shared" si="5"/>
        <v>6666050.3029207708</v>
      </c>
      <c r="O31" s="4">
        <f t="shared" si="5"/>
        <v>6816036.4347364865</v>
      </c>
      <c r="P31" s="4">
        <f t="shared" si="5"/>
        <v>6969397.2545180591</v>
      </c>
      <c r="Q31" s="4">
        <f t="shared" si="5"/>
        <v>7126208.6927447142</v>
      </c>
      <c r="R31" s="4">
        <f t="shared" si="5"/>
        <v>7286548.3883314701</v>
      </c>
      <c r="S31" s="4">
        <f t="shared" si="5"/>
        <v>7450495.7270689281</v>
      </c>
      <c r="T31" s="4">
        <f t="shared" si="5"/>
        <v>7618131.8809279799</v>
      </c>
      <c r="U31" s="4">
        <f t="shared" si="5"/>
        <v>7789539.8482488589</v>
      </c>
      <c r="V31" s="4">
        <f t="shared" si="5"/>
        <v>7964804.4948344575</v>
      </c>
      <c r="W31" s="4">
        <f t="shared" si="5"/>
        <v>8144012.5959682334</v>
      </c>
      <c r="X31" s="4">
        <f t="shared" si="5"/>
        <v>8327252.8793775178</v>
      </c>
      <c r="Y31" s="4">
        <f t="shared" si="5"/>
        <v>8514616.0691635124</v>
      </c>
      <c r="Z31" s="4">
        <f t="shared" si="5"/>
        <v>8706194.9307196923</v>
      </c>
      <c r="AA31" s="4">
        <f t="shared" si="5"/>
        <v>8902084.3166608848</v>
      </c>
      <c r="AB31" s="4">
        <f t="shared" si="5"/>
        <v>9102381.2137857545</v>
      </c>
      <c r="AC31" s="4">
        <f t="shared" si="5"/>
        <v>9307184.7910959329</v>
      </c>
    </row>
    <row r="32" spans="1:228" x14ac:dyDescent="0.2">
      <c r="A32" s="3" t="s">
        <v>12</v>
      </c>
      <c r="B32" s="4">
        <v>0</v>
      </c>
      <c r="C32" s="4">
        <f t="shared" ref="C32:AC32" si="6">C31+B32</f>
        <v>0</v>
      </c>
      <c r="D32" s="4">
        <f t="shared" si="6"/>
        <v>0</v>
      </c>
      <c r="E32" s="4">
        <f t="shared" si="6"/>
        <v>0</v>
      </c>
      <c r="F32" s="4">
        <f t="shared" si="6"/>
        <v>5579073.1172232814</v>
      </c>
      <c r="G32" s="4">
        <f t="shared" si="6"/>
        <v>11283675.379584087</v>
      </c>
      <c r="H32" s="4">
        <f t="shared" si="6"/>
        <v>17116631.192848012</v>
      </c>
      <c r="I32" s="4">
        <f t="shared" si="6"/>
        <v>23080828.511910371</v>
      </c>
      <c r="J32" s="4">
        <f t="shared" si="6"/>
        <v>29179220.270651639</v>
      </c>
      <c r="K32" s="4">
        <f t="shared" si="6"/>
        <v>35414825.843964584</v>
      </c>
      <c r="L32" s="4">
        <f t="shared" si="6"/>
        <v>41790732.542677067</v>
      </c>
      <c r="M32" s="4">
        <f t="shared" si="6"/>
        <v>48310097.142110586</v>
      </c>
      <c r="N32" s="4">
        <f t="shared" si="6"/>
        <v>54976147.44503136</v>
      </c>
      <c r="O32" s="4">
        <f t="shared" si="6"/>
        <v>61792183.87976785</v>
      </c>
      <c r="P32" s="4">
        <f t="shared" si="6"/>
        <v>68761581.134285912</v>
      </c>
      <c r="Q32" s="4">
        <f t="shared" si="6"/>
        <v>75887789.827030629</v>
      </c>
      <c r="R32" s="4">
        <f t="shared" si="6"/>
        <v>83174338.215362102</v>
      </c>
      <c r="S32" s="4">
        <f t="shared" si="6"/>
        <v>90624833.942431033</v>
      </c>
      <c r="T32" s="4">
        <f t="shared" si="6"/>
        <v>98242965.823359013</v>
      </c>
      <c r="U32" s="4">
        <f t="shared" si="6"/>
        <v>106032505.67160787</v>
      </c>
      <c r="V32" s="4">
        <f t="shared" si="6"/>
        <v>113997310.16644232</v>
      </c>
      <c r="W32" s="4">
        <f t="shared" si="6"/>
        <v>122141322.76241055</v>
      </c>
      <c r="X32" s="4">
        <f t="shared" si="6"/>
        <v>130468575.64178807</v>
      </c>
      <c r="Y32" s="4">
        <f t="shared" si="6"/>
        <v>138983191.71095157</v>
      </c>
      <c r="Z32" s="4">
        <f t="shared" si="6"/>
        <v>147689386.64167127</v>
      </c>
      <c r="AA32" s="4">
        <f t="shared" si="6"/>
        <v>156591470.95833215</v>
      </c>
      <c r="AB32" s="4">
        <f t="shared" si="6"/>
        <v>165693852.17211792</v>
      </c>
      <c r="AC32" s="4">
        <f t="shared" si="6"/>
        <v>175001036.96321386</v>
      </c>
    </row>
    <row r="33" spans="1:29" x14ac:dyDescent="0.2">
      <c r="A33" s="3" t="s">
        <v>7</v>
      </c>
      <c r="B33" s="16">
        <v>0</v>
      </c>
      <c r="C33" s="16">
        <v>0</v>
      </c>
      <c r="D33" s="16">
        <v>0</v>
      </c>
      <c r="E33" s="16">
        <v>0</v>
      </c>
      <c r="F33" s="16">
        <f>F29+F31</f>
        <v>8991593.3380059525</v>
      </c>
      <c r="G33" s="16">
        <f t="shared" ref="G33:AC33" si="7">G29+G31</f>
        <v>9558951.9398570918</v>
      </c>
      <c r="H33" s="16">
        <f t="shared" si="7"/>
        <v>9557525.789291501</v>
      </c>
      <c r="I33" s="16">
        <f t="shared" si="7"/>
        <v>9556067.5503381845</v>
      </c>
      <c r="J33" s="16">
        <f t="shared" si="7"/>
        <v>9554576.5010084193</v>
      </c>
      <c r="K33" s="16">
        <f t="shared" si="7"/>
        <v>9553051.9030687325</v>
      </c>
      <c r="L33" s="16">
        <f t="shared" si="7"/>
        <v>9551493.0016754065</v>
      </c>
      <c r="M33" s="16">
        <f t="shared" si="7"/>
        <v>9549899.0250007287</v>
      </c>
      <c r="N33" s="16">
        <f t="shared" si="7"/>
        <v>9643287.3887166977</v>
      </c>
      <c r="O33" s="16">
        <f t="shared" si="7"/>
        <v>9546602.6712751389</v>
      </c>
      <c r="P33" s="16">
        <f t="shared" si="7"/>
        <v>9544898.6621664558</v>
      </c>
      <c r="Q33" s="16">
        <f t="shared" si="7"/>
        <v>9569716.1768100578</v>
      </c>
      <c r="R33" s="16">
        <f t="shared" si="7"/>
        <v>9566153.0724636838</v>
      </c>
      <c r="S33" s="16">
        <f t="shared" si="7"/>
        <v>9539553.123582555</v>
      </c>
      <c r="T33" s="16">
        <f t="shared" si="7"/>
        <v>9516596.4488955941</v>
      </c>
      <c r="U33" s="16">
        <f t="shared" si="7"/>
        <v>9554975.4844655208</v>
      </c>
      <c r="V33" s="16">
        <f t="shared" si="7"/>
        <v>9551080.7145413961</v>
      </c>
      <c r="W33" s="16">
        <f t="shared" si="7"/>
        <v>9531847.3805947863</v>
      </c>
      <c r="X33" s="16">
        <f t="shared" si="7"/>
        <v>9516596.4488955922</v>
      </c>
      <c r="Y33" s="16">
        <f t="shared" si="7"/>
        <v>9538862.6795563065</v>
      </c>
      <c r="Z33" s="16">
        <f t="shared" si="7"/>
        <v>9534605.3715217244</v>
      </c>
      <c r="AA33" s="16">
        <f t="shared" si="7"/>
        <v>9523424.361475978</v>
      </c>
      <c r="AB33" s="16">
        <f t="shared" si="7"/>
        <v>9516596.4488955922</v>
      </c>
      <c r="AC33" s="16">
        <f t="shared" si="7"/>
        <v>9521250.04129114</v>
      </c>
    </row>
    <row r="34" spans="1:29" ht="13.5" thickBot="1" x14ac:dyDescent="0.25">
      <c r="A34" s="6" t="s">
        <v>8</v>
      </c>
      <c r="B34" s="17">
        <f>B28+B29</f>
        <v>56086250</v>
      </c>
      <c r="C34" s="17">
        <f>C28+C29</f>
        <v>97602212.1875</v>
      </c>
      <c r="D34" s="17">
        <f>D28+D29</f>
        <v>170524761.96171874</v>
      </c>
      <c r="E34" s="17">
        <f>E28+E29</f>
        <v>175001036.96321386</v>
      </c>
      <c r="F34" s="17">
        <f t="shared" ref="F34:R34" si="8">F28-F31</f>
        <v>169421963.84599057</v>
      </c>
      <c r="G34" s="17">
        <f t="shared" si="8"/>
        <v>163717361.58362976</v>
      </c>
      <c r="H34" s="17">
        <f t="shared" si="8"/>
        <v>157884405.77036583</v>
      </c>
      <c r="I34" s="17">
        <f t="shared" si="8"/>
        <v>151920208.45130348</v>
      </c>
      <c r="J34" s="17">
        <f t="shared" si="8"/>
        <v>145821816.69256222</v>
      </c>
      <c r="K34" s="17">
        <f t="shared" si="8"/>
        <v>139586211.11924928</v>
      </c>
      <c r="L34" s="17">
        <f t="shared" si="8"/>
        <v>133210304.4205368</v>
      </c>
      <c r="M34" s="17">
        <f t="shared" si="8"/>
        <v>126690939.82110329</v>
      </c>
      <c r="N34" s="17">
        <f t="shared" si="8"/>
        <v>120024889.51818252</v>
      </c>
      <c r="O34" s="17">
        <f t="shared" si="8"/>
        <v>113208853.08344603</v>
      </c>
      <c r="P34" s="17">
        <f t="shared" si="8"/>
        <v>106239455.82892796</v>
      </c>
      <c r="Q34" s="17">
        <f t="shared" si="8"/>
        <v>99113247.136183247</v>
      </c>
      <c r="R34" s="17">
        <f t="shared" si="8"/>
        <v>91826698.747851774</v>
      </c>
      <c r="S34" s="17">
        <f>S28-S31</f>
        <v>84376203.020782843</v>
      </c>
      <c r="T34" s="17">
        <f t="shared" ref="T34:AC34" si="9">T28-T31</f>
        <v>76758071.139854863</v>
      </c>
      <c r="U34" s="17">
        <f t="shared" si="9"/>
        <v>68968531.291606009</v>
      </c>
      <c r="V34" s="17">
        <f t="shared" si="9"/>
        <v>61003726.796771549</v>
      </c>
      <c r="W34" s="17">
        <f t="shared" si="9"/>
        <v>52859714.200803317</v>
      </c>
      <c r="X34" s="17">
        <f t="shared" si="9"/>
        <v>44532461.321425796</v>
      </c>
      <c r="Y34" s="17">
        <f t="shared" si="9"/>
        <v>36017845.252262279</v>
      </c>
      <c r="Z34" s="17">
        <f t="shared" si="9"/>
        <v>27311650.321542587</v>
      </c>
      <c r="AA34" s="17">
        <f t="shared" si="9"/>
        <v>18409566.004881702</v>
      </c>
      <c r="AB34" s="17">
        <f t="shared" si="9"/>
        <v>9307184.7910959478</v>
      </c>
      <c r="AC34" s="17">
        <f t="shared" si="9"/>
        <v>1.4901161193847656E-8</v>
      </c>
    </row>
    <row r="35" spans="1:29" x14ac:dyDescent="0.2">
      <c r="C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9" x14ac:dyDescent="0.2">
      <c r="A36" s="128" t="s">
        <v>71</v>
      </c>
      <c r="B36" s="129">
        <f>SUM(B29:E29)</f>
        <v>10251036.963213868</v>
      </c>
      <c r="C36" s="5"/>
      <c r="D36" s="7"/>
      <c r="E36" s="7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</row>
    <row r="37" spans="1:29" x14ac:dyDescent="0.2">
      <c r="B37" s="83"/>
      <c r="C37" s="5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</sheetData>
  <mergeCells count="1">
    <mergeCell ref="B25:E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zoomScaleNormal="100" zoomScaleSheetLayoutView="90" workbookViewId="0">
      <selection activeCell="G12" sqref="G12"/>
    </sheetView>
  </sheetViews>
  <sheetFormatPr defaultRowHeight="13.5" x14ac:dyDescent="0.25"/>
  <cols>
    <col min="1" max="1" width="15.7109375" style="55" customWidth="1"/>
    <col min="2" max="2" width="16.140625" style="55" customWidth="1"/>
    <col min="3" max="3" width="16.28515625" style="55" customWidth="1"/>
    <col min="4" max="4" width="17.7109375" style="55" customWidth="1"/>
    <col min="5" max="5" width="16.85546875" style="55" customWidth="1"/>
    <col min="6" max="6" width="20.28515625" style="55" customWidth="1"/>
    <col min="7" max="7" width="17.42578125" style="55" customWidth="1"/>
    <col min="8" max="8" width="14.5703125" style="55" bestFit="1" customWidth="1"/>
    <col min="9" max="16384" width="9.140625" style="55"/>
  </cols>
  <sheetData>
    <row r="1" spans="1:8" ht="16.5" x14ac:dyDescent="0.3">
      <c r="A1" s="18" t="s">
        <v>0</v>
      </c>
      <c r="B1" s="19"/>
      <c r="C1" s="18" t="str">
        <f>'MAGBL_Loan (IDCOL)'!C1</f>
        <v>Makrail Auto Green Bricks Limited (MAGBL)</v>
      </c>
      <c r="D1" s="19"/>
      <c r="E1" s="19"/>
    </row>
    <row r="2" spans="1:8" ht="16.5" x14ac:dyDescent="0.3">
      <c r="A2" s="18"/>
      <c r="B2" s="19"/>
      <c r="C2" s="19"/>
      <c r="D2" s="19"/>
      <c r="E2" s="19"/>
    </row>
    <row r="3" spans="1:8" ht="15" x14ac:dyDescent="0.3">
      <c r="A3" s="22" t="s">
        <v>63</v>
      </c>
      <c r="B3" s="23"/>
      <c r="C3" s="96">
        <f>'MAGBL_Loan (IDCOL)'!C3</f>
        <v>42467</v>
      </c>
      <c r="D3" s="22"/>
      <c r="E3" s="22"/>
    </row>
    <row r="4" spans="1:8" x14ac:dyDescent="0.25">
      <c r="A4" s="23"/>
      <c r="B4" s="23"/>
      <c r="C4" s="23"/>
      <c r="D4" s="23"/>
      <c r="E4" s="23"/>
    </row>
    <row r="5" spans="1:8" ht="15" x14ac:dyDescent="0.3">
      <c r="A5" s="22" t="s">
        <v>2</v>
      </c>
      <c r="B5" s="23"/>
      <c r="C5" s="97">
        <f>'MAGBL_Loan (IDCOL)'!C5</f>
        <v>175000000</v>
      </c>
      <c r="D5" s="22"/>
      <c r="E5" s="23"/>
    </row>
    <row r="6" spans="1:8" ht="15" x14ac:dyDescent="0.3">
      <c r="A6" s="22"/>
      <c r="B6" s="23"/>
      <c r="C6" s="23"/>
      <c r="D6" s="23"/>
      <c r="E6" s="23"/>
    </row>
    <row r="7" spans="1:8" ht="15" x14ac:dyDescent="0.3">
      <c r="A7" s="22" t="s">
        <v>3</v>
      </c>
      <c r="B7" s="23"/>
      <c r="C7" s="99">
        <f>'MAGBL_Loan (IDCOL)'!C8</f>
        <v>0.09</v>
      </c>
      <c r="D7" s="23"/>
      <c r="E7" s="23"/>
    </row>
    <row r="8" spans="1:8" ht="15" x14ac:dyDescent="0.3">
      <c r="A8" s="100"/>
      <c r="B8" s="23"/>
      <c r="C8" s="101"/>
      <c r="D8" s="98"/>
      <c r="E8" s="23"/>
    </row>
    <row r="9" spans="1:8" ht="15" x14ac:dyDescent="0.3">
      <c r="A9" s="100" t="s">
        <v>50</v>
      </c>
      <c r="B9" s="98"/>
      <c r="C9" s="102">
        <f>'MAGBL_Loan (IDCOL)'!C13</f>
        <v>24</v>
      </c>
      <c r="D9" s="23"/>
      <c r="E9" s="23"/>
    </row>
    <row r="10" spans="1:8" ht="15" x14ac:dyDescent="0.3">
      <c r="A10" s="100"/>
      <c r="B10" s="103"/>
      <c r="C10" s="104"/>
      <c r="D10" s="23"/>
      <c r="E10" s="23"/>
    </row>
    <row r="11" spans="1:8" ht="15" x14ac:dyDescent="0.3">
      <c r="A11" s="100" t="s">
        <v>78</v>
      </c>
      <c r="B11" s="103"/>
      <c r="C11" s="104"/>
      <c r="D11" s="23"/>
      <c r="E11" s="23"/>
    </row>
    <row r="12" spans="1:8" ht="15" x14ac:dyDescent="0.3">
      <c r="A12" s="139"/>
      <c r="B12" s="106"/>
      <c r="C12" s="106">
        <f>'MAGBL_Loan (BIFFL)'!C16</f>
        <v>42549</v>
      </c>
      <c r="D12" s="106">
        <f>'MAGBL_Loan (BIFFL)'!D16</f>
        <v>42695</v>
      </c>
      <c r="E12" s="140">
        <f>'MAGBL_Loan (BIFFL)'!E16</f>
        <v>42753</v>
      </c>
    </row>
    <row r="13" spans="1:8" ht="15" x14ac:dyDescent="0.3">
      <c r="A13" s="141"/>
      <c r="B13" s="108"/>
      <c r="C13" s="109">
        <f>'MAGBL_Loan (BIFFL)'!C17</f>
        <v>55000000</v>
      </c>
      <c r="D13" s="109">
        <f>'MAGBL_Loan (BIFFL)'!D17</f>
        <v>40000000</v>
      </c>
      <c r="E13" s="142">
        <f>'MAGBL_Loan (BIFFL)'!E17</f>
        <v>69750000</v>
      </c>
    </row>
    <row r="14" spans="1:8" ht="15" x14ac:dyDescent="0.3">
      <c r="A14" s="143"/>
      <c r="B14" s="111"/>
      <c r="C14" s="112">
        <f>'MAGBL_Loan (IDCOL)'!C18</f>
        <v>55000000</v>
      </c>
      <c r="D14" s="112">
        <f>D13+C14</f>
        <v>95000000</v>
      </c>
      <c r="E14" s="144">
        <f>E13+D14</f>
        <v>164750000</v>
      </c>
    </row>
    <row r="15" spans="1:8" x14ac:dyDescent="0.25">
      <c r="A15" s="113"/>
      <c r="D15" s="115"/>
      <c r="E15" s="115"/>
      <c r="F15" s="115"/>
    </row>
    <row r="16" spans="1:8" ht="15" x14ac:dyDescent="0.25">
      <c r="A16" s="116" t="s">
        <v>10</v>
      </c>
      <c r="B16" s="117" t="s">
        <v>4</v>
      </c>
      <c r="C16" s="117" t="s">
        <v>5</v>
      </c>
      <c r="D16" s="117" t="s">
        <v>11</v>
      </c>
      <c r="E16" s="117" t="s">
        <v>6</v>
      </c>
      <c r="F16" s="117" t="s">
        <v>12</v>
      </c>
      <c r="G16" s="117" t="s">
        <v>7</v>
      </c>
      <c r="H16" s="117" t="s">
        <v>8</v>
      </c>
    </row>
    <row r="17" spans="1:8" x14ac:dyDescent="0.25">
      <c r="A17" s="122">
        <f t="array" ref="A17:H44">TRANSPOSE('MAGBL_Loan (BIFFL)'!B27:AC34)</f>
        <v>42628</v>
      </c>
      <c r="B17" s="114">
        <v>55000000</v>
      </c>
      <c r="C17" s="114">
        <v>1086250</v>
      </c>
      <c r="D17" s="114">
        <v>0</v>
      </c>
      <c r="E17" s="114">
        <v>0</v>
      </c>
      <c r="F17" s="114">
        <v>0</v>
      </c>
      <c r="G17" s="114">
        <v>0</v>
      </c>
      <c r="H17" s="114">
        <v>56086250</v>
      </c>
    </row>
    <row r="18" spans="1:8" x14ac:dyDescent="0.25">
      <c r="A18" s="122">
        <v>42719</v>
      </c>
      <c r="B18" s="114">
        <v>96086250</v>
      </c>
      <c r="C18" s="114">
        <v>1515962.1875</v>
      </c>
      <c r="D18" s="114">
        <v>0</v>
      </c>
      <c r="E18" s="114">
        <v>0</v>
      </c>
      <c r="F18" s="114">
        <v>0</v>
      </c>
      <c r="G18" s="114">
        <v>0</v>
      </c>
      <c r="H18" s="114">
        <v>97602212.1875</v>
      </c>
    </row>
    <row r="19" spans="1:8" x14ac:dyDescent="0.25">
      <c r="A19" s="122">
        <v>42809</v>
      </c>
      <c r="B19" s="114">
        <v>167352212.1875</v>
      </c>
      <c r="C19" s="114">
        <v>3172549.7742187502</v>
      </c>
      <c r="D19" s="114">
        <v>0</v>
      </c>
      <c r="E19" s="114">
        <v>0</v>
      </c>
      <c r="F19" s="114">
        <v>0</v>
      </c>
      <c r="G19" s="114">
        <v>0</v>
      </c>
      <c r="H19" s="114">
        <v>170524761.96171874</v>
      </c>
    </row>
    <row r="20" spans="1:8" x14ac:dyDescent="0.25">
      <c r="A20" s="122">
        <v>42914</v>
      </c>
      <c r="B20" s="114">
        <v>170524761.96171874</v>
      </c>
      <c r="C20" s="114">
        <v>4476275.0014951173</v>
      </c>
      <c r="D20" s="114">
        <v>0</v>
      </c>
      <c r="E20" s="114">
        <v>0</v>
      </c>
      <c r="F20" s="114">
        <v>0</v>
      </c>
      <c r="G20" s="114">
        <v>0</v>
      </c>
      <c r="H20" s="114">
        <v>175001036.96321386</v>
      </c>
    </row>
    <row r="21" spans="1:8" x14ac:dyDescent="0.25">
      <c r="A21" s="122">
        <v>42992</v>
      </c>
      <c r="B21" s="114">
        <v>175001036.96321386</v>
      </c>
      <c r="C21" s="114">
        <v>3412520.2207826702</v>
      </c>
      <c r="D21" s="114">
        <v>3412520.2207826702</v>
      </c>
      <c r="E21" s="114">
        <v>5579073.1172232814</v>
      </c>
      <c r="F21" s="114">
        <v>5579073.1172232814</v>
      </c>
      <c r="G21" s="114">
        <v>8991593.3380059525</v>
      </c>
      <c r="H21" s="114">
        <v>169421963.84599057</v>
      </c>
    </row>
    <row r="22" spans="1:8" x14ac:dyDescent="0.25">
      <c r="A22" s="122">
        <v>43083</v>
      </c>
      <c r="B22" s="114">
        <v>169421963.84599057</v>
      </c>
      <c r="C22" s="114">
        <v>3854349.6774962856</v>
      </c>
      <c r="D22" s="114">
        <v>7266869.8982789554</v>
      </c>
      <c r="E22" s="114">
        <v>5704602.2623608056</v>
      </c>
      <c r="F22" s="114">
        <v>11283675.379584087</v>
      </c>
      <c r="G22" s="114">
        <v>9558951.9398570918</v>
      </c>
      <c r="H22" s="114">
        <v>163717361.58362976</v>
      </c>
    </row>
    <row r="23" spans="1:8" x14ac:dyDescent="0.25">
      <c r="A23" s="122">
        <v>43174</v>
      </c>
      <c r="B23" s="114">
        <v>163717361.58362976</v>
      </c>
      <c r="C23" s="114">
        <v>3724569.9760275767</v>
      </c>
      <c r="D23" s="114">
        <v>10991439.874306532</v>
      </c>
      <c r="E23" s="114">
        <v>5832955.8132639239</v>
      </c>
      <c r="F23" s="114">
        <v>17116631.192848012</v>
      </c>
      <c r="G23" s="114">
        <v>9557525.789291501</v>
      </c>
      <c r="H23" s="114">
        <v>157884405.77036583</v>
      </c>
    </row>
    <row r="24" spans="1:8" x14ac:dyDescent="0.25">
      <c r="A24" s="122">
        <v>43265</v>
      </c>
      <c r="B24" s="114">
        <v>157884405.77036583</v>
      </c>
      <c r="C24" s="114">
        <v>3591870.2312758225</v>
      </c>
      <c r="D24" s="114">
        <v>14583310.105582355</v>
      </c>
      <c r="E24" s="114">
        <v>5964197.3190623615</v>
      </c>
      <c r="F24" s="114">
        <v>23080828.511910371</v>
      </c>
      <c r="G24" s="114">
        <v>9556067.5503381845</v>
      </c>
      <c r="H24" s="114">
        <v>151920208.45130348</v>
      </c>
    </row>
    <row r="25" spans="1:8" x14ac:dyDescent="0.25">
      <c r="A25" s="122">
        <v>43356</v>
      </c>
      <c r="B25" s="114">
        <v>151920208.45130348</v>
      </c>
      <c r="C25" s="114">
        <v>3456184.7422671542</v>
      </c>
      <c r="D25" s="114">
        <v>18039494.847849511</v>
      </c>
      <c r="E25" s="114">
        <v>6098391.7587412652</v>
      </c>
      <c r="F25" s="114">
        <v>29179220.270651639</v>
      </c>
      <c r="G25" s="114">
        <v>9554576.5010084193</v>
      </c>
      <c r="H25" s="114">
        <v>145821816.69256222</v>
      </c>
    </row>
    <row r="26" spans="1:8" x14ac:dyDescent="0.25">
      <c r="A26" s="122">
        <v>43447</v>
      </c>
      <c r="B26" s="114">
        <v>145821816.69256222</v>
      </c>
      <c r="C26" s="114">
        <v>3317446.3297557905</v>
      </c>
      <c r="D26" s="114">
        <v>21356941.177605301</v>
      </c>
      <c r="E26" s="114">
        <v>6235605.5733129429</v>
      </c>
      <c r="F26" s="114">
        <v>35414825.843964584</v>
      </c>
      <c r="G26" s="114">
        <v>9553051.9030687325</v>
      </c>
      <c r="H26" s="114">
        <v>139586211.11924928</v>
      </c>
    </row>
    <row r="27" spans="1:8" x14ac:dyDescent="0.25">
      <c r="A27" s="122">
        <v>43538</v>
      </c>
      <c r="B27" s="114">
        <v>139586211.11924928</v>
      </c>
      <c r="C27" s="114">
        <v>3175586.3029629211</v>
      </c>
      <c r="D27" s="114">
        <v>24532527.480568223</v>
      </c>
      <c r="E27" s="114">
        <v>6375906.6987124858</v>
      </c>
      <c r="F27" s="114">
        <v>41790732.542677067</v>
      </c>
      <c r="G27" s="114">
        <v>9551493.0016754065</v>
      </c>
      <c r="H27" s="114">
        <v>133210304.4205368</v>
      </c>
    </row>
    <row r="28" spans="1:8" x14ac:dyDescent="0.25">
      <c r="A28" s="122">
        <v>43629</v>
      </c>
      <c r="B28" s="114">
        <v>133210304.4205368</v>
      </c>
      <c r="C28" s="114">
        <v>3030534.4255672116</v>
      </c>
      <c r="D28" s="114">
        <v>27563061.906135432</v>
      </c>
      <c r="E28" s="114">
        <v>6519364.5994335162</v>
      </c>
      <c r="F28" s="114">
        <v>48310097.142110586</v>
      </c>
      <c r="G28" s="114">
        <v>9549899.0250007287</v>
      </c>
      <c r="H28" s="114">
        <v>126690939.82110329</v>
      </c>
    </row>
    <row r="29" spans="1:8" x14ac:dyDescent="0.25">
      <c r="A29" s="122">
        <v>43723</v>
      </c>
      <c r="B29" s="114">
        <v>126690939.82110329</v>
      </c>
      <c r="C29" s="114">
        <v>2977237.0857959273</v>
      </c>
      <c r="D29" s="114">
        <v>30540298.99193136</v>
      </c>
      <c r="E29" s="114">
        <v>6666050.3029207708</v>
      </c>
      <c r="F29" s="114">
        <v>54976147.44503136</v>
      </c>
      <c r="G29" s="114">
        <v>9643287.3887166977</v>
      </c>
      <c r="H29" s="114">
        <v>120024889.51818252</v>
      </c>
    </row>
    <row r="30" spans="1:8" x14ac:dyDescent="0.25">
      <c r="A30" s="122">
        <v>43814</v>
      </c>
      <c r="B30" s="114">
        <v>120024889.51818252</v>
      </c>
      <c r="C30" s="114">
        <v>2730566.2365386523</v>
      </c>
      <c r="D30" s="114">
        <v>33270865.228470013</v>
      </c>
      <c r="E30" s="114">
        <v>6816036.4347364865</v>
      </c>
      <c r="F30" s="114">
        <v>61792183.87976785</v>
      </c>
      <c r="G30" s="114">
        <v>9546602.6712751389</v>
      </c>
      <c r="H30" s="114">
        <v>113208853.08344603</v>
      </c>
    </row>
    <row r="31" spans="1:8" x14ac:dyDescent="0.25">
      <c r="A31" s="122">
        <v>43905</v>
      </c>
      <c r="B31" s="114">
        <v>113208853.08344603</v>
      </c>
      <c r="C31" s="114">
        <v>2575501.4076483967</v>
      </c>
      <c r="D31" s="114">
        <v>35846366.636118412</v>
      </c>
      <c r="E31" s="114">
        <v>6969397.2545180591</v>
      </c>
      <c r="F31" s="114">
        <v>68761581.134285912</v>
      </c>
      <c r="G31" s="114">
        <v>9544898.6621664558</v>
      </c>
      <c r="H31" s="114">
        <v>106239455.82892796</v>
      </c>
    </row>
    <row r="32" spans="1:8" x14ac:dyDescent="0.25">
      <c r="A32" s="122">
        <v>43997</v>
      </c>
      <c r="B32" s="114">
        <v>106239455.82892796</v>
      </c>
      <c r="C32" s="114">
        <v>2443507.4840653432</v>
      </c>
      <c r="D32" s="114">
        <v>38289874.120183758</v>
      </c>
      <c r="E32" s="114">
        <v>7126208.6927447142</v>
      </c>
      <c r="F32" s="114">
        <v>75887789.827030629</v>
      </c>
      <c r="G32" s="114">
        <v>9569716.1768100578</v>
      </c>
      <c r="H32" s="114">
        <v>99113247.136183247</v>
      </c>
    </row>
    <row r="33" spans="1:8" x14ac:dyDescent="0.25">
      <c r="A33" s="122">
        <v>44089</v>
      </c>
      <c r="B33" s="114">
        <v>99113247.136183247</v>
      </c>
      <c r="C33" s="114">
        <v>2279604.6841322142</v>
      </c>
      <c r="D33" s="114">
        <v>40569478.804315969</v>
      </c>
      <c r="E33" s="114">
        <v>7286548.3883314701</v>
      </c>
      <c r="F33" s="114">
        <v>83174338.215362102</v>
      </c>
      <c r="G33" s="114">
        <v>9566153.0724636838</v>
      </c>
      <c r="H33" s="114">
        <v>91826698.747851774</v>
      </c>
    </row>
    <row r="34" spans="1:8" x14ac:dyDescent="0.25">
      <c r="A34" s="122">
        <v>44180</v>
      </c>
      <c r="B34" s="114">
        <v>91826698.747851774</v>
      </c>
      <c r="C34" s="114">
        <v>2089057.3965136276</v>
      </c>
      <c r="D34" s="114">
        <v>42658536.200829595</v>
      </c>
      <c r="E34" s="114">
        <v>7450495.7270689281</v>
      </c>
      <c r="F34" s="114">
        <v>90624833.942431033</v>
      </c>
      <c r="G34" s="114">
        <v>9539553.123582555</v>
      </c>
      <c r="H34" s="114">
        <v>84376203.020782843</v>
      </c>
    </row>
    <row r="35" spans="1:8" x14ac:dyDescent="0.25">
      <c r="A35" s="122">
        <v>44270</v>
      </c>
      <c r="B35" s="114">
        <v>84376203.020782843</v>
      </c>
      <c r="C35" s="114">
        <v>1898464.5679676139</v>
      </c>
      <c r="D35" s="114">
        <v>44557000.768797211</v>
      </c>
      <c r="E35" s="114">
        <v>7618131.8809279799</v>
      </c>
      <c r="F35" s="114">
        <v>98242965.823359013</v>
      </c>
      <c r="G35" s="114">
        <v>9516596.4488955941</v>
      </c>
      <c r="H35" s="114">
        <v>76758071.139854863</v>
      </c>
    </row>
    <row r="36" spans="1:8" x14ac:dyDescent="0.25">
      <c r="A36" s="122">
        <v>44362</v>
      </c>
      <c r="B36" s="114">
        <v>76758071.139854863</v>
      </c>
      <c r="C36" s="114">
        <v>1765435.6362166619</v>
      </c>
      <c r="D36" s="114">
        <v>46322436.405013874</v>
      </c>
      <c r="E36" s="114">
        <v>7789539.8482488589</v>
      </c>
      <c r="F36" s="114">
        <v>106032505.67160787</v>
      </c>
      <c r="G36" s="114">
        <v>9554975.4844655208</v>
      </c>
      <c r="H36" s="114">
        <v>68968531.291606009</v>
      </c>
    </row>
    <row r="37" spans="1:8" x14ac:dyDescent="0.25">
      <c r="A37" s="122">
        <v>44454</v>
      </c>
      <c r="B37" s="114">
        <v>68968531.291606009</v>
      </c>
      <c r="C37" s="114">
        <v>1586276.2197069384</v>
      </c>
      <c r="D37" s="114">
        <v>47908712.624720812</v>
      </c>
      <c r="E37" s="114">
        <v>7964804.4948344575</v>
      </c>
      <c r="F37" s="114">
        <v>113997310.16644232</v>
      </c>
      <c r="G37" s="114">
        <v>9551080.7145413961</v>
      </c>
      <c r="H37" s="114">
        <v>61003726.796771549</v>
      </c>
    </row>
    <row r="38" spans="1:8" x14ac:dyDescent="0.25">
      <c r="A38" s="122">
        <v>44545</v>
      </c>
      <c r="B38" s="114">
        <v>61003726.796771549</v>
      </c>
      <c r="C38" s="114">
        <v>1387834.7846265528</v>
      </c>
      <c r="D38" s="114">
        <v>49296547.409347363</v>
      </c>
      <c r="E38" s="114">
        <v>8144012.5959682334</v>
      </c>
      <c r="F38" s="114">
        <v>122141322.76241055</v>
      </c>
      <c r="G38" s="114">
        <v>9531847.3805947863</v>
      </c>
      <c r="H38" s="114">
        <v>52859714.200803317</v>
      </c>
    </row>
    <row r="39" spans="1:8" x14ac:dyDescent="0.25">
      <c r="A39" s="122">
        <v>44635</v>
      </c>
      <c r="B39" s="114">
        <v>52859714.200803317</v>
      </c>
      <c r="C39" s="114">
        <v>1189343.5695180746</v>
      </c>
      <c r="D39" s="114">
        <v>50485890.978865437</v>
      </c>
      <c r="E39" s="114">
        <v>8327252.8793775178</v>
      </c>
      <c r="F39" s="114">
        <v>130468575.64178807</v>
      </c>
      <c r="G39" s="114">
        <v>9516596.4488955922</v>
      </c>
      <c r="H39" s="114">
        <v>44532461.321425796</v>
      </c>
    </row>
    <row r="40" spans="1:8" x14ac:dyDescent="0.25">
      <c r="A40" s="122">
        <v>44727</v>
      </c>
      <c r="B40" s="114">
        <v>44532461.321425796</v>
      </c>
      <c r="C40" s="114">
        <v>1024246.6103927932</v>
      </c>
      <c r="D40" s="114">
        <v>51510137.589258231</v>
      </c>
      <c r="E40" s="114">
        <v>8514616.0691635124</v>
      </c>
      <c r="F40" s="114">
        <v>138983191.71095157</v>
      </c>
      <c r="G40" s="114">
        <v>9538862.6795563065</v>
      </c>
      <c r="H40" s="114">
        <v>36017845.252262279</v>
      </c>
    </row>
    <row r="41" spans="1:8" x14ac:dyDescent="0.25">
      <c r="A41" s="122">
        <v>44819</v>
      </c>
      <c r="B41" s="114">
        <v>36017845.252262279</v>
      </c>
      <c r="C41" s="114">
        <v>828410.44080203236</v>
      </c>
      <c r="D41" s="114">
        <v>52338548.030060261</v>
      </c>
      <c r="E41" s="114">
        <v>8706194.9307196923</v>
      </c>
      <c r="F41" s="114">
        <v>147689386.64167127</v>
      </c>
      <c r="G41" s="114">
        <v>9534605.3715217244</v>
      </c>
      <c r="H41" s="114">
        <v>27311650.321542587</v>
      </c>
    </row>
    <row r="42" spans="1:8" x14ac:dyDescent="0.25">
      <c r="A42" s="122">
        <v>44910</v>
      </c>
      <c r="B42" s="114">
        <v>27311650.321542587</v>
      </c>
      <c r="C42" s="114">
        <v>621340.04481509386</v>
      </c>
      <c r="D42" s="114">
        <v>52959888.074875355</v>
      </c>
      <c r="E42" s="114">
        <v>8902084.3166608848</v>
      </c>
      <c r="F42" s="114">
        <v>156591470.95833215</v>
      </c>
      <c r="G42" s="114">
        <v>9523424.361475978</v>
      </c>
      <c r="H42" s="114">
        <v>18409566.004881702</v>
      </c>
    </row>
    <row r="43" spans="1:8" x14ac:dyDescent="0.25">
      <c r="A43" s="122">
        <v>45000</v>
      </c>
      <c r="B43" s="114">
        <v>18409566.004881702</v>
      </c>
      <c r="C43" s="114">
        <v>414215.23510983825</v>
      </c>
      <c r="D43" s="114">
        <v>53374103.309985191</v>
      </c>
      <c r="E43" s="114">
        <v>9102381.2137857545</v>
      </c>
      <c r="F43" s="114">
        <v>165693852.17211792</v>
      </c>
      <c r="G43" s="114">
        <v>9516596.4488955922</v>
      </c>
      <c r="H43" s="114">
        <v>9307184.7910959478</v>
      </c>
    </row>
    <row r="44" spans="1:8" x14ac:dyDescent="0.25">
      <c r="A44" s="122">
        <v>45092</v>
      </c>
      <c r="B44" s="114">
        <v>9307184.7910959478</v>
      </c>
      <c r="C44" s="114">
        <v>214065.25019520678</v>
      </c>
      <c r="D44" s="114">
        <v>53588168.560180396</v>
      </c>
      <c r="E44" s="114">
        <v>9307184.7910959329</v>
      </c>
      <c r="F44" s="114">
        <v>175001036.96321386</v>
      </c>
      <c r="G44" s="114">
        <v>9521250.04129114</v>
      </c>
      <c r="H44" s="114">
        <v>1.4901161193847656E-8</v>
      </c>
    </row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Disbursement</vt:lpstr>
      <vt:lpstr>Summary</vt:lpstr>
      <vt:lpstr>MAGBL_Loan (IDCOL)</vt:lpstr>
      <vt:lpstr>Accrual_MAGBL</vt:lpstr>
      <vt:lpstr>Repayment Schedule</vt:lpstr>
      <vt:lpstr>MAGBL_Loan (BIFFL)</vt:lpstr>
      <vt:lpstr>Repayment Schedule (BIFFL)</vt:lpstr>
      <vt:lpstr>'MAGBL_Loan (IDCOL)'!Print_Area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Zabir Ibne Raquib</dc:creator>
  <cp:lastModifiedBy>ahossain</cp:lastModifiedBy>
  <cp:lastPrinted>2017-09-11T06:29:01Z</cp:lastPrinted>
  <dcterms:created xsi:type="dcterms:W3CDTF">2004-09-21T04:29:34Z</dcterms:created>
  <dcterms:modified xsi:type="dcterms:W3CDTF">2017-10-02T06:39:42Z</dcterms:modified>
</cp:coreProperties>
</file>