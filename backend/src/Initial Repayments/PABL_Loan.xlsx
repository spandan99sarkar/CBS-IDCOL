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24226"/>
  <mc:AlternateContent xmlns:mc="http://schemas.openxmlformats.org/markup-compatibility/2006">
    <mc:Choice Requires="x15">
      <x15ac:absPath xmlns:x15ac="http://schemas.microsoft.com/office/spreadsheetml/2010/11/ac" url="\\FARHAN\CAD Files\All-Loan-BdBank_Revised\Term_Loans\INFRASTRUCTURE LOANS\BDT LOANS\"/>
    </mc:Choice>
  </mc:AlternateContent>
  <xr:revisionPtr revIDLastSave="0" documentId="11_36CA0041552D89A867AE6D336D7E5A1A42ED1921" xr6:coauthVersionLast="47" xr6:coauthVersionMax="47" xr10:uidLastSave="{00000000-0000-0000-0000-000000000000}"/>
  <bookViews>
    <workbookView xWindow="0" yWindow="0" windowWidth="15360" windowHeight="7755" firstSheet="1" activeTab="1" xr2:uid="{00000000-000D-0000-FFFF-FFFF00000000}"/>
  </bookViews>
  <sheets>
    <sheet name="Disbursement" sheetId="4" r:id="rId1"/>
    <sheet name="Summary" sheetId="5" r:id="rId2"/>
    <sheet name="PABL_Loan" sheetId="2" r:id="rId3"/>
    <sheet name="Accrual_PABL" sheetId="3" r:id="rId4"/>
    <sheet name="Repayment Schedule" sheetId="7" r:id="rId5"/>
  </sheets>
  <definedNames>
    <definedName name="_xlnm.Print_Area" localSheetId="2">PABL_Loan!$A$1:$J$37</definedName>
    <definedName name="_xlnm.Print_Area" localSheetId="4">'Repayment Schedule'!$A$1:$H$51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5" i="5" l="1"/>
  <c r="S35" i="5"/>
  <c r="N25" i="3" l="1"/>
  <c r="N24" i="3"/>
  <c r="H19" i="3"/>
  <c r="H18" i="3"/>
  <c r="H17" i="3"/>
  <c r="G33" i="2"/>
  <c r="F31" i="2"/>
  <c r="H24" i="2"/>
  <c r="H23" i="2"/>
  <c r="H22" i="2"/>
  <c r="D13" i="4"/>
  <c r="L25" i="3" l="1"/>
  <c r="L24" i="3"/>
  <c r="G19" i="3"/>
  <c r="G17" i="3"/>
  <c r="G18" i="3"/>
  <c r="G24" i="2"/>
  <c r="G23" i="2"/>
  <c r="G22" i="2"/>
  <c r="D12" i="4"/>
  <c r="I25" i="5" l="1"/>
  <c r="E19" i="7"/>
  <c r="F19" i="7"/>
  <c r="E18" i="7"/>
  <c r="F18" i="7"/>
  <c r="E17" i="7"/>
  <c r="F17" i="7"/>
  <c r="K25" i="3"/>
  <c r="K24" i="3"/>
  <c r="F19" i="3"/>
  <c r="F18" i="3"/>
  <c r="F17" i="3"/>
  <c r="F24" i="2"/>
  <c r="F23" i="2"/>
  <c r="F22" i="2"/>
  <c r="D11" i="4"/>
  <c r="J25" i="3" l="1"/>
  <c r="J24" i="3"/>
  <c r="E19" i="3"/>
  <c r="E18" i="3"/>
  <c r="E17" i="3"/>
  <c r="E24" i="2"/>
  <c r="E23" i="2"/>
  <c r="E22" i="2"/>
  <c r="D10" i="4"/>
  <c r="D44" i="2" l="1"/>
  <c r="E44" i="2" s="1"/>
  <c r="F44" i="2" s="1"/>
  <c r="G44" i="2" s="1"/>
  <c r="H44" i="2" s="1"/>
  <c r="I44" i="2" s="1"/>
  <c r="J44" i="2" s="1"/>
  <c r="K44" i="2" s="1"/>
  <c r="D19" i="7" l="1"/>
  <c r="D17" i="7"/>
  <c r="D18" i="7"/>
  <c r="H25" i="3"/>
  <c r="H24" i="3"/>
  <c r="D19" i="3"/>
  <c r="D18" i="3"/>
  <c r="D17" i="3"/>
  <c r="D31" i="2"/>
  <c r="D30" i="2"/>
  <c r="D24" i="2"/>
  <c r="D23" i="2"/>
  <c r="D22" i="2"/>
  <c r="D9" i="4"/>
  <c r="G25" i="3" l="1"/>
  <c r="F25" i="3"/>
  <c r="E25" i="3"/>
  <c r="D25" i="3"/>
  <c r="D26" i="3"/>
  <c r="C31" i="2"/>
  <c r="C32" i="2"/>
  <c r="D32" i="2" s="1"/>
  <c r="B28" i="5" l="1"/>
  <c r="B26" i="5"/>
  <c r="B11" i="5" s="1"/>
  <c r="B22" i="5"/>
  <c r="B5" i="5" s="1"/>
  <c r="P27" i="3" l="1"/>
  <c r="S27" i="3" s="1"/>
  <c r="V27" i="3" s="1"/>
  <c r="Y27" i="3" s="1"/>
  <c r="AB27" i="3" s="1"/>
  <c r="AE27" i="3" s="1"/>
  <c r="AH27" i="3" s="1"/>
  <c r="AK27" i="3" s="1"/>
  <c r="AN27" i="3" s="1"/>
  <c r="AQ27" i="3" s="1"/>
  <c r="AT27" i="3" s="1"/>
  <c r="AW27" i="3" s="1"/>
  <c r="AZ27" i="3" s="1"/>
  <c r="BC27" i="3" s="1"/>
  <c r="BF27" i="3" s="1"/>
  <c r="BI27" i="3" s="1"/>
  <c r="BL27" i="3" s="1"/>
  <c r="BO27" i="3" s="1"/>
  <c r="BR27" i="3" s="1"/>
  <c r="BU27" i="3" s="1"/>
  <c r="BX27" i="3" s="1"/>
  <c r="CA27" i="3" s="1"/>
  <c r="CD27" i="3" s="1"/>
  <c r="CG27" i="3" s="1"/>
  <c r="O27" i="3"/>
  <c r="R27" i="3" s="1"/>
  <c r="U27" i="3" s="1"/>
  <c r="X27" i="3" s="1"/>
  <c r="AA27" i="3" s="1"/>
  <c r="AD27" i="3" s="1"/>
  <c r="AG27" i="3" s="1"/>
  <c r="AJ27" i="3" s="1"/>
  <c r="AM27" i="3" s="1"/>
  <c r="AP27" i="3" s="1"/>
  <c r="AS27" i="3" s="1"/>
  <c r="AV27" i="3" s="1"/>
  <c r="AY27" i="3" s="1"/>
  <c r="BB27" i="3" s="1"/>
  <c r="BE27" i="3" s="1"/>
  <c r="BH27" i="3" s="1"/>
  <c r="BK27" i="3" s="1"/>
  <c r="BN27" i="3" s="1"/>
  <c r="BQ27" i="3" s="1"/>
  <c r="BT27" i="3" s="1"/>
  <c r="BW27" i="3" s="1"/>
  <c r="BZ27" i="3" s="1"/>
  <c r="CC27" i="3" s="1"/>
  <c r="CF27" i="3" s="1"/>
  <c r="C1" i="2"/>
  <c r="C40" i="2" l="1"/>
  <c r="DP35" i="5" l="1"/>
  <c r="DO35" i="5"/>
  <c r="DN35" i="5"/>
  <c r="DM35" i="5"/>
  <c r="DL35" i="5"/>
  <c r="DK35" i="5"/>
  <c r="DJ35" i="5"/>
  <c r="DI35" i="5"/>
  <c r="DH35" i="5"/>
  <c r="DG35" i="5"/>
  <c r="DF35" i="5"/>
  <c r="DE35" i="5"/>
  <c r="DD35" i="5"/>
  <c r="DC35" i="5"/>
  <c r="DB35" i="5"/>
  <c r="DA35" i="5"/>
  <c r="CZ35" i="5"/>
  <c r="CY35" i="5"/>
  <c r="CX35" i="5"/>
  <c r="CW35" i="5"/>
  <c r="CV35" i="5"/>
  <c r="CU35" i="5"/>
  <c r="CT35" i="5"/>
  <c r="CS35" i="5"/>
  <c r="L35" i="5" l="1"/>
  <c r="K35" i="5"/>
  <c r="J35" i="5"/>
  <c r="I35" i="5"/>
  <c r="H35" i="5"/>
  <c r="G35" i="5"/>
  <c r="F35" i="5"/>
  <c r="E35" i="5"/>
  <c r="D35" i="5"/>
  <c r="C35" i="5"/>
  <c r="B35" i="5"/>
  <c r="C6" i="7" l="1"/>
  <c r="C23" i="2"/>
  <c r="C30" i="2" s="1"/>
  <c r="C22" i="2"/>
  <c r="H9" i="2" l="1"/>
  <c r="H8" i="2"/>
  <c r="C7" i="2"/>
  <c r="C8" i="7" s="1"/>
  <c r="C18" i="3"/>
  <c r="D24" i="3" s="1"/>
  <c r="C17" i="3"/>
  <c r="E23" i="3" l="1"/>
  <c r="F23" i="3" l="1"/>
  <c r="G23" i="3" l="1"/>
  <c r="H23" i="3" s="1"/>
  <c r="I23" i="3" s="1"/>
  <c r="J23" i="3" s="1"/>
  <c r="K23" i="3" s="1"/>
  <c r="L23" i="3" s="1"/>
  <c r="M23" i="3" s="1"/>
  <c r="N23" i="3" s="1"/>
  <c r="O23" i="3" s="1"/>
  <c r="P23" i="3" s="1"/>
  <c r="Q23" i="3" s="1"/>
  <c r="R23" i="3" s="1"/>
  <c r="S23" i="3" s="1"/>
  <c r="T23" i="3" s="1"/>
  <c r="U23" i="3" s="1"/>
  <c r="V23" i="3" s="1"/>
  <c r="W23" i="3" s="1"/>
  <c r="X23" i="3" s="1"/>
  <c r="Y23" i="3" s="1"/>
  <c r="Z23" i="3" s="1"/>
  <c r="AA23" i="3" s="1"/>
  <c r="AB23" i="3" s="1"/>
  <c r="AC23" i="3" s="1"/>
  <c r="AD23" i="3" s="1"/>
  <c r="AE23" i="3" s="1"/>
  <c r="AF23" i="3" s="1"/>
  <c r="AG23" i="3" s="1"/>
  <c r="AH23" i="3" s="1"/>
  <c r="AI23" i="3" s="1"/>
  <c r="AJ23" i="3" s="1"/>
  <c r="AK23" i="3" s="1"/>
  <c r="AL23" i="3" s="1"/>
  <c r="AM23" i="3" s="1"/>
  <c r="AN23" i="3" s="1"/>
  <c r="AO23" i="3" s="1"/>
  <c r="AP23" i="3" s="1"/>
  <c r="AQ23" i="3" s="1"/>
  <c r="AR23" i="3" s="1"/>
  <c r="AS23" i="3" s="1"/>
  <c r="AT23" i="3" s="1"/>
  <c r="AU23" i="3" s="1"/>
  <c r="AV23" i="3" s="1"/>
  <c r="AW23" i="3" s="1"/>
  <c r="AX23" i="3" s="1"/>
  <c r="AY23" i="3" s="1"/>
  <c r="AZ23" i="3" s="1"/>
  <c r="BA23" i="3" s="1"/>
  <c r="BB23" i="3" s="1"/>
  <c r="BC23" i="3" s="1"/>
  <c r="BD23" i="3" s="1"/>
  <c r="BE23" i="3" s="1"/>
  <c r="BF23" i="3" s="1"/>
  <c r="BG23" i="3" s="1"/>
  <c r="BH23" i="3" s="1"/>
  <c r="BI23" i="3" s="1"/>
  <c r="BJ23" i="3" s="1"/>
  <c r="BK23" i="3" s="1"/>
  <c r="BL23" i="3" s="1"/>
  <c r="BM23" i="3" s="1"/>
  <c r="BN23" i="3" s="1"/>
  <c r="BO23" i="3" s="1"/>
  <c r="BP23" i="3" s="1"/>
  <c r="BQ23" i="3" s="1"/>
  <c r="BR23" i="3" s="1"/>
  <c r="BS23" i="3" s="1"/>
  <c r="BT23" i="3" s="1"/>
  <c r="BU23" i="3" s="1"/>
  <c r="BV23" i="3" s="1"/>
  <c r="BW23" i="3" s="1"/>
  <c r="BX23" i="3" s="1"/>
  <c r="BY23" i="3" s="1"/>
  <c r="BZ23" i="3" s="1"/>
  <c r="CA23" i="3" s="1"/>
  <c r="CB23" i="3" s="1"/>
  <c r="CC23" i="3" s="1"/>
  <c r="CD23" i="3" s="1"/>
  <c r="CE23" i="3" s="1"/>
  <c r="CF23" i="3" s="1"/>
  <c r="CG23" i="3" s="1"/>
  <c r="CH23" i="3" s="1"/>
  <c r="C24" i="2"/>
  <c r="C10" i="5" l="1"/>
  <c r="D40" i="2"/>
  <c r="C18" i="7"/>
  <c r="C19" i="7" s="1"/>
  <c r="C17" i="7"/>
  <c r="C1" i="7"/>
  <c r="CF1" i="5"/>
  <c r="CF19" i="5" s="1"/>
  <c r="CE1" i="5"/>
  <c r="CE19" i="5" s="1"/>
  <c r="CD1" i="5"/>
  <c r="CD19" i="5" s="1"/>
  <c r="CC1" i="5"/>
  <c r="CC19" i="5" s="1"/>
  <c r="CB1" i="5"/>
  <c r="CB19" i="5" s="1"/>
  <c r="CA1" i="5"/>
  <c r="CA19" i="5" s="1"/>
  <c r="BZ1" i="5"/>
  <c r="BZ19" i="5" s="1"/>
  <c r="BY1" i="5"/>
  <c r="BY19" i="5" s="1"/>
  <c r="BX1" i="5"/>
  <c r="BX19" i="5" s="1"/>
  <c r="BW1" i="5"/>
  <c r="BW19" i="5" s="1"/>
  <c r="BV1" i="5"/>
  <c r="BV19" i="5" s="1"/>
  <c r="BU1" i="5"/>
  <c r="BU19" i="5" s="1"/>
  <c r="BT1" i="5"/>
  <c r="BT19" i="5" s="1"/>
  <c r="BS1" i="5"/>
  <c r="BS19" i="5" s="1"/>
  <c r="BR1" i="5"/>
  <c r="BR19" i="5" s="1"/>
  <c r="BQ1" i="5"/>
  <c r="BQ19" i="5" s="1"/>
  <c r="BP1" i="5"/>
  <c r="BP19" i="5" s="1"/>
  <c r="BO1" i="5"/>
  <c r="BO19" i="5" s="1"/>
  <c r="BN1" i="5"/>
  <c r="BN19" i="5" s="1"/>
  <c r="BM1" i="5"/>
  <c r="BM19" i="5" s="1"/>
  <c r="BL1" i="5"/>
  <c r="BL19" i="5" s="1"/>
  <c r="BK1" i="5"/>
  <c r="BK19" i="5" s="1"/>
  <c r="BJ1" i="5"/>
  <c r="BJ19" i="5" s="1"/>
  <c r="BI1" i="5"/>
  <c r="BI19" i="5" s="1"/>
  <c r="BH1" i="5"/>
  <c r="BH19" i="5" s="1"/>
  <c r="BG1" i="5"/>
  <c r="BG19" i="5" s="1"/>
  <c r="BF1" i="5"/>
  <c r="BF19" i="5" s="1"/>
  <c r="BE1" i="5"/>
  <c r="BE19" i="5" s="1"/>
  <c r="BD1" i="5"/>
  <c r="BD19" i="5" s="1"/>
  <c r="BC1" i="5"/>
  <c r="BC19" i="5" s="1"/>
  <c r="BB1" i="5"/>
  <c r="BB19" i="5" s="1"/>
  <c r="BA1" i="5"/>
  <c r="BA19" i="5" s="1"/>
  <c r="AZ1" i="5"/>
  <c r="AZ19" i="5" s="1"/>
  <c r="AY1" i="5"/>
  <c r="AY19" i="5" s="1"/>
  <c r="AX1" i="5"/>
  <c r="AX19" i="5" s="1"/>
  <c r="AW1" i="5"/>
  <c r="AW19" i="5" s="1"/>
  <c r="AV1" i="5"/>
  <c r="AV19" i="5" s="1"/>
  <c r="AU1" i="5"/>
  <c r="AU19" i="5" s="1"/>
  <c r="AT1" i="5"/>
  <c r="AT19" i="5" s="1"/>
  <c r="AS1" i="5"/>
  <c r="AS19" i="5" s="1"/>
  <c r="AR1" i="5"/>
  <c r="AR19" i="5" s="1"/>
  <c r="AQ1" i="5"/>
  <c r="AQ19" i="5" s="1"/>
  <c r="AP1" i="5"/>
  <c r="AP19" i="5" s="1"/>
  <c r="AO1" i="5"/>
  <c r="AO19" i="5" s="1"/>
  <c r="AN1" i="5"/>
  <c r="AN19" i="5" s="1"/>
  <c r="AM1" i="5"/>
  <c r="AM19" i="5" s="1"/>
  <c r="AL1" i="5"/>
  <c r="AL19" i="5" s="1"/>
  <c r="AK1" i="5"/>
  <c r="AK19" i="5" s="1"/>
  <c r="AJ1" i="5"/>
  <c r="AJ19" i="5" s="1"/>
  <c r="AI1" i="5"/>
  <c r="AI19" i="5" s="1"/>
  <c r="AH1" i="5"/>
  <c r="AH19" i="5" s="1"/>
  <c r="AG1" i="5"/>
  <c r="AG19" i="5" s="1"/>
  <c r="AF1" i="5"/>
  <c r="AF19" i="5" s="1"/>
  <c r="AE1" i="5"/>
  <c r="AE19" i="5" s="1"/>
  <c r="AD1" i="5"/>
  <c r="AD19" i="5" s="1"/>
  <c r="AC1" i="5"/>
  <c r="AC19" i="5" s="1"/>
  <c r="AB1" i="5"/>
  <c r="AB19" i="5" s="1"/>
  <c r="AA1" i="5"/>
  <c r="AA19" i="5" s="1"/>
  <c r="Z1" i="5"/>
  <c r="Z19" i="5" s="1"/>
  <c r="Y1" i="5"/>
  <c r="Y19" i="5" s="1"/>
  <c r="X1" i="5"/>
  <c r="X19" i="5" s="1"/>
  <c r="W1" i="5"/>
  <c r="W19" i="5" s="1"/>
  <c r="V1" i="5"/>
  <c r="V19" i="5" s="1"/>
  <c r="U1" i="5"/>
  <c r="U19" i="5" s="1"/>
  <c r="T1" i="5"/>
  <c r="T19" i="5" s="1"/>
  <c r="S1" i="5"/>
  <c r="S19" i="5" s="1"/>
  <c r="R1" i="5"/>
  <c r="R19" i="5" s="1"/>
  <c r="Q1" i="5"/>
  <c r="Q19" i="5" s="1"/>
  <c r="P1" i="5"/>
  <c r="P19" i="5" s="1"/>
  <c r="O1" i="5"/>
  <c r="O19" i="5" s="1"/>
  <c r="N1" i="5"/>
  <c r="N19" i="5" s="1"/>
  <c r="M1" i="5"/>
  <c r="M19" i="5" s="1"/>
  <c r="L1" i="5"/>
  <c r="L19" i="5" s="1"/>
  <c r="K1" i="5"/>
  <c r="K19" i="5" s="1"/>
  <c r="J1" i="5"/>
  <c r="J19" i="5" s="1"/>
  <c r="I1" i="5"/>
  <c r="I19" i="5" s="1"/>
  <c r="H1" i="5"/>
  <c r="H19" i="5" s="1"/>
  <c r="G1" i="5"/>
  <c r="G19" i="5" s="1"/>
  <c r="F1" i="5"/>
  <c r="F19" i="5" s="1"/>
  <c r="E1" i="5"/>
  <c r="E19" i="5" s="1"/>
  <c r="D1" i="5"/>
  <c r="D19" i="5" s="1"/>
  <c r="C1" i="5"/>
  <c r="C19" i="5" s="1"/>
  <c r="B1" i="5"/>
  <c r="B19" i="5" s="1"/>
  <c r="CR35" i="5"/>
  <c r="CQ35" i="5"/>
  <c r="CP35" i="5"/>
  <c r="CO35" i="5"/>
  <c r="CN35" i="5"/>
  <c r="CM35" i="5"/>
  <c r="CL35" i="5"/>
  <c r="CK35" i="5"/>
  <c r="CJ35" i="5"/>
  <c r="CI35" i="5"/>
  <c r="CH35" i="5"/>
  <c r="CG35" i="5"/>
  <c r="CF35" i="5"/>
  <c r="CE35" i="5"/>
  <c r="CD35" i="5"/>
  <c r="CC35" i="5"/>
  <c r="CB35" i="5"/>
  <c r="CA35" i="5"/>
  <c r="BZ35" i="5"/>
  <c r="BY35" i="5"/>
  <c r="BX35" i="5"/>
  <c r="BW35" i="5"/>
  <c r="BV35" i="5"/>
  <c r="BU35" i="5"/>
  <c r="BT35" i="5"/>
  <c r="BS35" i="5"/>
  <c r="BR35" i="5"/>
  <c r="BQ35" i="5"/>
  <c r="BP35" i="5"/>
  <c r="BO35" i="5"/>
  <c r="BN35" i="5"/>
  <c r="BM35" i="5"/>
  <c r="BL35" i="5"/>
  <c r="BK35" i="5"/>
  <c r="BJ35" i="5"/>
  <c r="BI35" i="5"/>
  <c r="BH35" i="5"/>
  <c r="BG35" i="5"/>
  <c r="BF35" i="5"/>
  <c r="BE35" i="5"/>
  <c r="BD35" i="5"/>
  <c r="BC35" i="5"/>
  <c r="BB35" i="5"/>
  <c r="BA35" i="5"/>
  <c r="AZ35" i="5"/>
  <c r="AY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Q35" i="5"/>
  <c r="P35" i="5"/>
  <c r="O35" i="5"/>
  <c r="N35" i="5"/>
  <c r="M35" i="5"/>
  <c r="D28" i="3"/>
  <c r="B1" i="3"/>
  <c r="B7" i="3"/>
  <c r="C19" i="3" s="1"/>
  <c r="B9" i="3"/>
  <c r="C34" i="2"/>
  <c r="B14" i="3"/>
  <c r="C12" i="7" s="1"/>
  <c r="B5" i="3"/>
  <c r="C4" i="7" s="1"/>
  <c r="D8" i="4"/>
  <c r="D10" i="5" l="1"/>
  <c r="E10" i="5" s="1"/>
  <c r="E40" i="2"/>
  <c r="D34" i="2"/>
  <c r="B12" i="5"/>
  <c r="C26" i="5"/>
  <c r="C36" i="2"/>
  <c r="E28" i="3"/>
  <c r="B4" i="5"/>
  <c r="B6" i="5" s="1"/>
  <c r="C11" i="5" l="1"/>
  <c r="F10" i="5"/>
  <c r="G10" i="5" s="1"/>
  <c r="H10" i="5" s="1"/>
  <c r="F40" i="2"/>
  <c r="C28" i="5"/>
  <c r="B14" i="5"/>
  <c r="D30" i="3"/>
  <c r="E24" i="3" s="1"/>
  <c r="B3" i="5"/>
  <c r="B7" i="5" s="1"/>
  <c r="C4" i="5"/>
  <c r="C21" i="5" s="1"/>
  <c r="C22" i="5" s="1"/>
  <c r="C5" i="5" s="1"/>
  <c r="F28" i="3"/>
  <c r="C12" i="5" l="1"/>
  <c r="D26" i="5"/>
  <c r="D11" i="5" s="1"/>
  <c r="G40" i="2"/>
  <c r="D29" i="3"/>
  <c r="C3" i="5"/>
  <c r="E29" i="3"/>
  <c r="D36" i="2"/>
  <c r="D28" i="5"/>
  <c r="C14" i="5"/>
  <c r="E30" i="3"/>
  <c r="F24" i="3" s="1"/>
  <c r="C35" i="2"/>
  <c r="C41" i="2" s="1"/>
  <c r="G28" i="3"/>
  <c r="D4" i="5"/>
  <c r="D21" i="5" s="1"/>
  <c r="D22" i="5" s="1"/>
  <c r="B9" i="5"/>
  <c r="B13" i="5" s="1"/>
  <c r="E30" i="2" l="1"/>
  <c r="E31" i="2" s="1"/>
  <c r="E32" i="2" s="1"/>
  <c r="D12" i="5"/>
  <c r="E26" i="5"/>
  <c r="E11" i="5" s="1"/>
  <c r="H40" i="2"/>
  <c r="C7" i="5"/>
  <c r="F29" i="3"/>
  <c r="D3" i="5"/>
  <c r="E26" i="3"/>
  <c r="C9" i="5" s="1"/>
  <c r="C13" i="5" s="1"/>
  <c r="E28" i="5"/>
  <c r="D14" i="5"/>
  <c r="F30" i="3"/>
  <c r="G24" i="3" s="1"/>
  <c r="D5" i="5"/>
  <c r="D35" i="2"/>
  <c r="D41" i="2" s="1"/>
  <c r="C6" i="5"/>
  <c r="H28" i="3"/>
  <c r="E4" i="5"/>
  <c r="E21" i="5" l="1"/>
  <c r="E22" i="5" s="1"/>
  <c r="I40" i="2"/>
  <c r="E12" i="5"/>
  <c r="F26" i="5"/>
  <c r="F11" i="5" s="1"/>
  <c r="D7" i="5"/>
  <c r="F26" i="3"/>
  <c r="D9" i="5" s="1"/>
  <c r="D13" i="5" s="1"/>
  <c r="E14" i="5"/>
  <c r="F28" i="5"/>
  <c r="D6" i="5"/>
  <c r="I10" i="5"/>
  <c r="J10" i="5" s="1"/>
  <c r="K10" i="5" s="1"/>
  <c r="E5" i="5"/>
  <c r="F4" i="5"/>
  <c r="I28" i="3"/>
  <c r="F21" i="5" l="1"/>
  <c r="F22" i="5" s="1"/>
  <c r="J40" i="2"/>
  <c r="G29" i="3"/>
  <c r="E3" i="5"/>
  <c r="E7" i="5" s="1"/>
  <c r="G30" i="3"/>
  <c r="G28" i="5"/>
  <c r="F14" i="5"/>
  <c r="G26" i="5"/>
  <c r="F12" i="5"/>
  <c r="E6" i="5"/>
  <c r="J28" i="3"/>
  <c r="G4" i="5"/>
  <c r="F5" i="5" l="1"/>
  <c r="G21" i="5" s="1"/>
  <c r="G22" i="5" s="1"/>
  <c r="G5" i="5" s="1"/>
  <c r="H29" i="3"/>
  <c r="K40" i="2"/>
  <c r="G26" i="3"/>
  <c r="H28" i="5"/>
  <c r="G14" i="5"/>
  <c r="G11" i="5"/>
  <c r="F6" i="5"/>
  <c r="H4" i="5"/>
  <c r="K28" i="3"/>
  <c r="H21" i="5" l="1"/>
  <c r="H22" i="5" s="1"/>
  <c r="H5" i="5" s="1"/>
  <c r="H30" i="3"/>
  <c r="I24" i="3" s="1"/>
  <c r="I25" i="3" s="1"/>
  <c r="F3" i="5"/>
  <c r="F7" i="5" s="1"/>
  <c r="L40" i="2"/>
  <c r="G12" i="5"/>
  <c r="H26" i="5"/>
  <c r="H11" i="5" s="1"/>
  <c r="E9" i="5"/>
  <c r="E13" i="5" s="1"/>
  <c r="H26" i="3"/>
  <c r="F9" i="5" s="1"/>
  <c r="F13" i="5" s="1"/>
  <c r="H14" i="5"/>
  <c r="I28" i="5"/>
  <c r="G6" i="5"/>
  <c r="L28" i="3"/>
  <c r="I4" i="5"/>
  <c r="I21" i="5" l="1"/>
  <c r="I30" i="3"/>
  <c r="J29" i="3" s="1"/>
  <c r="G3" i="5"/>
  <c r="G7" i="5" s="1"/>
  <c r="M40" i="2"/>
  <c r="I26" i="5"/>
  <c r="I11" i="5" s="1"/>
  <c r="H12" i="5"/>
  <c r="I29" i="3"/>
  <c r="I26" i="3"/>
  <c r="J28" i="5"/>
  <c r="I14" i="5"/>
  <c r="H6" i="5"/>
  <c r="J4" i="5"/>
  <c r="I12" i="5" l="1"/>
  <c r="J26" i="5"/>
  <c r="J11" i="5" s="1"/>
  <c r="J30" i="3"/>
  <c r="K29" i="3" s="1"/>
  <c r="H3" i="5"/>
  <c r="H7" i="5" s="1"/>
  <c r="N40" i="2"/>
  <c r="J26" i="3"/>
  <c r="G9" i="5"/>
  <c r="G13" i="5" s="1"/>
  <c r="J14" i="5"/>
  <c r="K28" i="5"/>
  <c r="I3" i="5" l="1"/>
  <c r="K30" i="3"/>
  <c r="L29" i="3" s="1"/>
  <c r="O40" i="2"/>
  <c r="J12" i="5"/>
  <c r="H9" i="5"/>
  <c r="H13" i="5" s="1"/>
  <c r="K26" i="3"/>
  <c r="K14" i="5"/>
  <c r="L28" i="5"/>
  <c r="J3" i="5" l="1"/>
  <c r="L30" i="3"/>
  <c r="M24" i="3" s="1"/>
  <c r="M25" i="3" s="1"/>
  <c r="P40" i="2"/>
  <c r="I9" i="5"/>
  <c r="I13" i="5" s="1"/>
  <c r="L26" i="3"/>
  <c r="M28" i="5"/>
  <c r="L14" i="5"/>
  <c r="K3" i="5" l="1"/>
  <c r="Q40" i="2"/>
  <c r="J9" i="5"/>
  <c r="J13" i="5" s="1"/>
  <c r="N28" i="5"/>
  <c r="M14" i="5"/>
  <c r="R40" i="2" l="1"/>
  <c r="N14" i="5"/>
  <c r="O28" i="5"/>
  <c r="S40" i="2" l="1"/>
  <c r="P28" i="5"/>
  <c r="O14" i="5"/>
  <c r="T40" i="2" l="1"/>
  <c r="P14" i="5"/>
  <c r="Q28" i="5"/>
  <c r="U40" i="2" l="1"/>
  <c r="Q14" i="5"/>
  <c r="R28" i="5"/>
  <c r="V40" i="2" l="1"/>
  <c r="S28" i="5"/>
  <c r="R14" i="5"/>
  <c r="W40" i="2" l="1"/>
  <c r="S14" i="5"/>
  <c r="T28" i="5"/>
  <c r="X40" i="2" l="1"/>
  <c r="T14" i="5"/>
  <c r="U28" i="5"/>
  <c r="Y40" i="2" l="1"/>
  <c r="U14" i="5"/>
  <c r="V28" i="5"/>
  <c r="Z40" i="2" l="1"/>
  <c r="V14" i="5"/>
  <c r="W28" i="5"/>
  <c r="AA40" i="2" l="1"/>
  <c r="W14" i="5"/>
  <c r="X28" i="5"/>
  <c r="AB40" i="2" l="1"/>
  <c r="X14" i="5"/>
  <c r="Y28" i="5"/>
  <c r="AC40" i="2" l="1"/>
  <c r="Z28" i="5"/>
  <c r="Y14" i="5"/>
  <c r="AD40" i="2" l="1"/>
  <c r="Z14" i="5"/>
  <c r="AA28" i="5"/>
  <c r="AB28" i="5" l="1"/>
  <c r="AA14" i="5"/>
  <c r="AB14" i="5" l="1"/>
  <c r="AC28" i="5"/>
  <c r="AC14" i="5" l="1"/>
  <c r="AD28" i="5"/>
  <c r="AD14" i="5" l="1"/>
  <c r="AE28" i="5"/>
  <c r="AF28" i="5" l="1"/>
  <c r="AE14" i="5"/>
  <c r="AF14" i="5" l="1"/>
  <c r="AG28" i="5"/>
  <c r="AH28" i="5" l="1"/>
  <c r="AG14" i="5"/>
  <c r="AI28" i="5" l="1"/>
  <c r="AH14" i="5"/>
  <c r="AI14" i="5" l="1"/>
  <c r="AJ28" i="5"/>
  <c r="AK28" i="5" l="1"/>
  <c r="AJ14" i="5"/>
  <c r="AL28" i="5" l="1"/>
  <c r="AK14" i="5"/>
  <c r="AM28" i="5" l="1"/>
  <c r="AL14" i="5"/>
  <c r="AN28" i="5" l="1"/>
  <c r="AM14" i="5"/>
  <c r="AO28" i="5" l="1"/>
  <c r="AN14" i="5"/>
  <c r="AO14" i="5" l="1"/>
  <c r="AP28" i="5"/>
  <c r="AQ28" i="5" l="1"/>
  <c r="AP14" i="5"/>
  <c r="AQ14" i="5" l="1"/>
  <c r="AR28" i="5"/>
  <c r="AR14" i="5" l="1"/>
  <c r="AS28" i="5"/>
  <c r="AT28" i="5" l="1"/>
  <c r="AS14" i="5"/>
  <c r="AT14" i="5" l="1"/>
  <c r="AU28" i="5"/>
  <c r="AV28" i="5" l="1"/>
  <c r="AU14" i="5"/>
  <c r="AW28" i="5" l="1"/>
  <c r="AV14" i="5"/>
  <c r="AW14" i="5" l="1"/>
  <c r="AX28" i="5"/>
  <c r="AX14" i="5" l="1"/>
  <c r="AY28" i="5"/>
  <c r="AZ28" i="5" l="1"/>
  <c r="AY14" i="5"/>
  <c r="AZ14" i="5" l="1"/>
  <c r="BA28" i="5"/>
  <c r="BA14" i="5" l="1"/>
  <c r="BB28" i="5"/>
  <c r="BC28" i="5" l="1"/>
  <c r="BB14" i="5"/>
  <c r="BC14" i="5" l="1"/>
  <c r="BD28" i="5"/>
  <c r="BD14" i="5" l="1"/>
  <c r="BE28" i="5"/>
  <c r="BE14" i="5" l="1"/>
  <c r="BF28" i="5"/>
  <c r="BG28" i="5" l="1"/>
  <c r="BF14" i="5"/>
  <c r="BH28" i="5" l="1"/>
  <c r="BG14" i="5"/>
  <c r="BH14" i="5" l="1"/>
  <c r="BI28" i="5"/>
  <c r="BJ28" i="5" l="1"/>
  <c r="BI14" i="5"/>
  <c r="BJ14" i="5" l="1"/>
  <c r="BK28" i="5"/>
  <c r="BK14" i="5" l="1"/>
  <c r="BL28" i="5"/>
  <c r="BL14" i="5" l="1"/>
  <c r="BM28" i="5"/>
  <c r="BN28" i="5" l="1"/>
  <c r="BM14" i="5"/>
  <c r="BO28" i="5" l="1"/>
  <c r="BN14" i="5"/>
  <c r="BO14" i="5" l="1"/>
  <c r="BP28" i="5"/>
  <c r="BP14" i="5" l="1"/>
  <c r="BQ28" i="5"/>
  <c r="BQ14" i="5" l="1"/>
  <c r="BR28" i="5"/>
  <c r="BS28" i="5" l="1"/>
  <c r="BR14" i="5"/>
  <c r="BS14" i="5" l="1"/>
  <c r="BT28" i="5"/>
  <c r="I22" i="5"/>
  <c r="I5" i="5" s="1"/>
  <c r="J21" i="5" s="1"/>
  <c r="BU28" i="5" l="1"/>
  <c r="BT14" i="5"/>
  <c r="J22" i="5"/>
  <c r="I7" i="5"/>
  <c r="I6" i="5"/>
  <c r="BV28" i="5" l="1"/>
  <c r="BU14" i="5"/>
  <c r="J5" i="5"/>
  <c r="BW28" i="5" l="1"/>
  <c r="BV14" i="5"/>
  <c r="J6" i="5"/>
  <c r="J7" i="5"/>
  <c r="E34" i="2"/>
  <c r="E35" i="2"/>
  <c r="E36" i="2"/>
  <c r="F30" i="2" l="1"/>
  <c r="F36" i="2"/>
  <c r="G31" i="2" s="1"/>
  <c r="BX28" i="5"/>
  <c r="BW14" i="5"/>
  <c r="F32" i="2"/>
  <c r="L10" i="5" s="1"/>
  <c r="M10" i="5" s="1"/>
  <c r="N10" i="5" s="1"/>
  <c r="E41" i="2"/>
  <c r="BY28" i="5" l="1"/>
  <c r="BX14" i="5"/>
  <c r="K26" i="5"/>
  <c r="K11" i="5" s="1"/>
  <c r="G32" i="2"/>
  <c r="O10" i="5" s="1"/>
  <c r="P10" i="5" s="1"/>
  <c r="Q10" i="5" s="1"/>
  <c r="G30" i="2"/>
  <c r="F34" i="2"/>
  <c r="F35" i="2"/>
  <c r="F41" i="2" s="1"/>
  <c r="H33" i="2" l="1"/>
  <c r="T27" i="3" s="1"/>
  <c r="BZ28" i="5"/>
  <c r="BY14" i="5"/>
  <c r="AD33" i="2"/>
  <c r="CH27" i="3" s="1"/>
  <c r="Z33" i="2"/>
  <c r="V33" i="2"/>
  <c r="BJ27" i="3" s="1"/>
  <c r="R33" i="2"/>
  <c r="AX27" i="3" s="1"/>
  <c r="N33" i="2"/>
  <c r="AL27" i="3" s="1"/>
  <c r="J33" i="2"/>
  <c r="AC33" i="2"/>
  <c r="CE27" i="3" s="1"/>
  <c r="Y33" i="2"/>
  <c r="BS27" i="3" s="1"/>
  <c r="U33" i="2"/>
  <c r="BG27" i="3" s="1"/>
  <c r="Q33" i="2"/>
  <c r="AU27" i="3" s="1"/>
  <c r="M33" i="2"/>
  <c r="AI27" i="3" s="1"/>
  <c r="I33" i="2"/>
  <c r="W27" i="3" s="1"/>
  <c r="AB33" i="2"/>
  <c r="CB27" i="3" s="1"/>
  <c r="X33" i="2"/>
  <c r="T33" i="2"/>
  <c r="BD27" i="3" s="1"/>
  <c r="P33" i="2"/>
  <c r="AR27" i="3" s="1"/>
  <c r="L33" i="2"/>
  <c r="AF27" i="3" s="1"/>
  <c r="AA33" i="2"/>
  <c r="BY27" i="3" s="1"/>
  <c r="W33" i="2"/>
  <c r="BM27" i="3" s="1"/>
  <c r="S33" i="2"/>
  <c r="BA27" i="3" s="1"/>
  <c r="O33" i="2"/>
  <c r="AO27" i="3" s="1"/>
  <c r="K33" i="2"/>
  <c r="AC27" i="3" s="1"/>
  <c r="Q27" i="3"/>
  <c r="Z27" i="3"/>
  <c r="BV27" i="3"/>
  <c r="BP27" i="3"/>
  <c r="K12" i="5"/>
  <c r="L26" i="5"/>
  <c r="M30" i="3"/>
  <c r="M28" i="3"/>
  <c r="CA28" i="5" l="1"/>
  <c r="BZ14" i="5"/>
  <c r="G35" i="2"/>
  <c r="G41" i="2" s="1"/>
  <c r="G34" i="2"/>
  <c r="H34" i="2" s="1"/>
  <c r="I34" i="2" s="1"/>
  <c r="J34" i="2" s="1"/>
  <c r="K34" i="2" s="1"/>
  <c r="L34" i="2" s="1"/>
  <c r="M34" i="2" s="1"/>
  <c r="N34" i="2" s="1"/>
  <c r="O34" i="2" s="1"/>
  <c r="P34" i="2" s="1"/>
  <c r="Q34" i="2" s="1"/>
  <c r="R34" i="2" s="1"/>
  <c r="S34" i="2" s="1"/>
  <c r="T34" i="2" s="1"/>
  <c r="U34" i="2" s="1"/>
  <c r="V34" i="2" s="1"/>
  <c r="W34" i="2" s="1"/>
  <c r="X34" i="2" s="1"/>
  <c r="Y34" i="2" s="1"/>
  <c r="Z34" i="2" s="1"/>
  <c r="AA34" i="2" s="1"/>
  <c r="AB34" i="2" s="1"/>
  <c r="AC34" i="2" s="1"/>
  <c r="AD34" i="2" s="1"/>
  <c r="G36" i="2"/>
  <c r="H31" i="2" s="1"/>
  <c r="L11" i="5"/>
  <c r="N28" i="3"/>
  <c r="K4" i="5"/>
  <c r="K21" i="5" s="1"/>
  <c r="L3" i="5" l="1"/>
  <c r="CB28" i="5"/>
  <c r="CA14" i="5"/>
  <c r="H30" i="2"/>
  <c r="H36" i="2" s="1"/>
  <c r="N30" i="3"/>
  <c r="O24" i="3" s="1"/>
  <c r="L4" i="5"/>
  <c r="O28" i="3"/>
  <c r="L12" i="5"/>
  <c r="M26" i="5"/>
  <c r="M26" i="3"/>
  <c r="M29" i="3"/>
  <c r="K22" i="5"/>
  <c r="O25" i="3" l="1"/>
  <c r="O29" i="3" s="1"/>
  <c r="M3" i="5"/>
  <c r="CC28" i="5"/>
  <c r="CB14" i="5"/>
  <c r="I31" i="2"/>
  <c r="I30" i="2"/>
  <c r="I36" i="2" s="1"/>
  <c r="H32" i="2"/>
  <c r="R10" i="5" s="1"/>
  <c r="S10" i="5" s="1"/>
  <c r="T10" i="5" s="1"/>
  <c r="H35" i="2"/>
  <c r="H41" i="2" s="1"/>
  <c r="N29" i="3"/>
  <c r="M4" i="5"/>
  <c r="P28" i="3"/>
  <c r="K9" i="5"/>
  <c r="K13" i="5" s="1"/>
  <c r="K5" i="5"/>
  <c r="L21" i="5" s="1"/>
  <c r="M11" i="5"/>
  <c r="O30" i="3"/>
  <c r="P24" i="3" s="1"/>
  <c r="P25" i="3" l="1"/>
  <c r="N3" i="5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AU3" i="5" s="1"/>
  <c r="AV3" i="5" s="1"/>
  <c r="AW3" i="5" s="1"/>
  <c r="AX3" i="5" s="1"/>
  <c r="AY3" i="5" s="1"/>
  <c r="AZ3" i="5" s="1"/>
  <c r="BA3" i="5" s="1"/>
  <c r="BB3" i="5" s="1"/>
  <c r="BC3" i="5" s="1"/>
  <c r="BD3" i="5" s="1"/>
  <c r="BE3" i="5" s="1"/>
  <c r="BF3" i="5" s="1"/>
  <c r="BG3" i="5" s="1"/>
  <c r="BH3" i="5" s="1"/>
  <c r="BI3" i="5" s="1"/>
  <c r="BJ3" i="5" s="1"/>
  <c r="BK3" i="5" s="1"/>
  <c r="BL3" i="5" s="1"/>
  <c r="BM3" i="5" s="1"/>
  <c r="BN3" i="5" s="1"/>
  <c r="BO3" i="5" s="1"/>
  <c r="BP3" i="5" s="1"/>
  <c r="BQ3" i="5" s="1"/>
  <c r="BR3" i="5" s="1"/>
  <c r="BS3" i="5" s="1"/>
  <c r="BT3" i="5" s="1"/>
  <c r="BU3" i="5" s="1"/>
  <c r="BV3" i="5" s="1"/>
  <c r="BW3" i="5" s="1"/>
  <c r="BX3" i="5" s="1"/>
  <c r="BY3" i="5" s="1"/>
  <c r="BZ3" i="5" s="1"/>
  <c r="CA3" i="5" s="1"/>
  <c r="CB3" i="5" s="1"/>
  <c r="CC3" i="5" s="1"/>
  <c r="CD3" i="5" s="1"/>
  <c r="CE3" i="5" s="1"/>
  <c r="CF3" i="5" s="1"/>
  <c r="CD28" i="5"/>
  <c r="CC14" i="5"/>
  <c r="J31" i="2"/>
  <c r="J30" i="2"/>
  <c r="J36" i="2" s="1"/>
  <c r="I35" i="2"/>
  <c r="I41" i="2" s="1"/>
  <c r="I32" i="2"/>
  <c r="U10" i="5" s="1"/>
  <c r="V10" i="5" s="1"/>
  <c r="W10" i="5" s="1"/>
  <c r="N26" i="3"/>
  <c r="O26" i="3" s="1"/>
  <c r="P30" i="3"/>
  <c r="Q24" i="3" s="1"/>
  <c r="Q30" i="3" s="1"/>
  <c r="Q25" i="3" s="1"/>
  <c r="M12" i="5"/>
  <c r="N26" i="5"/>
  <c r="K7" i="5"/>
  <c r="K6" i="5"/>
  <c r="Q28" i="3"/>
  <c r="N4" i="5"/>
  <c r="L22" i="5"/>
  <c r="CE28" i="5" l="1"/>
  <c r="CD14" i="5"/>
  <c r="K31" i="2"/>
  <c r="K30" i="2"/>
  <c r="K36" i="2" s="1"/>
  <c r="J35" i="2"/>
  <c r="J32" i="2"/>
  <c r="X10" i="5" s="1"/>
  <c r="Y10" i="5" s="1"/>
  <c r="Z10" i="5" s="1"/>
  <c r="L9" i="5"/>
  <c r="L13" i="5" s="1"/>
  <c r="P29" i="3"/>
  <c r="O4" i="5"/>
  <c r="R28" i="3"/>
  <c r="M9" i="5"/>
  <c r="M13" i="5" s="1"/>
  <c r="R24" i="3"/>
  <c r="R25" i="3" s="1"/>
  <c r="L5" i="5"/>
  <c r="M21" i="5" s="1"/>
  <c r="N11" i="5"/>
  <c r="CF28" i="5" l="1"/>
  <c r="CF14" i="5" s="1"/>
  <c r="CE14" i="5"/>
  <c r="J41" i="2"/>
  <c r="L31" i="2"/>
  <c r="L30" i="2"/>
  <c r="L36" i="2" s="1"/>
  <c r="K35" i="2"/>
  <c r="K41" i="2" s="1"/>
  <c r="K32" i="2"/>
  <c r="AA10" i="5" s="1"/>
  <c r="AB10" i="5" s="1"/>
  <c r="AC10" i="5" s="1"/>
  <c r="Q29" i="3"/>
  <c r="P26" i="3"/>
  <c r="R29" i="3"/>
  <c r="R30" i="3"/>
  <c r="S24" i="3" s="1"/>
  <c r="S25" i="3" s="1"/>
  <c r="N12" i="5"/>
  <c r="O26" i="5"/>
  <c r="L7" i="5"/>
  <c r="L6" i="5"/>
  <c r="M22" i="5"/>
  <c r="P4" i="5"/>
  <c r="S28" i="3"/>
  <c r="M31" i="2" l="1"/>
  <c r="M30" i="2"/>
  <c r="M36" i="2" s="1"/>
  <c r="L35" i="2"/>
  <c r="L41" i="2" s="1"/>
  <c r="L32" i="2"/>
  <c r="AD10" i="5" s="1"/>
  <c r="AE10" i="5" s="1"/>
  <c r="AF10" i="5" s="1"/>
  <c r="Q26" i="3"/>
  <c r="R26" i="3" s="1"/>
  <c r="N9" i="5"/>
  <c r="N13" i="5" s="1"/>
  <c r="S30" i="3"/>
  <c r="T24" i="3" s="1"/>
  <c r="Q4" i="5"/>
  <c r="T28" i="3"/>
  <c r="O11" i="5"/>
  <c r="M5" i="5"/>
  <c r="N21" i="5" s="1"/>
  <c r="N31" i="2" l="1"/>
  <c r="N30" i="2"/>
  <c r="N36" i="2" s="1"/>
  <c r="M32" i="2"/>
  <c r="AG10" i="5" s="1"/>
  <c r="AH10" i="5" s="1"/>
  <c r="AI10" i="5" s="1"/>
  <c r="M35" i="2"/>
  <c r="M41" i="2" s="1"/>
  <c r="O9" i="5"/>
  <c r="O13" i="5" s="1"/>
  <c r="S29" i="3"/>
  <c r="U28" i="3"/>
  <c r="R4" i="5"/>
  <c r="M7" i="5"/>
  <c r="M6" i="5"/>
  <c r="N22" i="5"/>
  <c r="O12" i="5"/>
  <c r="P26" i="5"/>
  <c r="T30" i="3"/>
  <c r="U24" i="3" s="1"/>
  <c r="U25" i="3" s="1"/>
  <c r="P9" i="5"/>
  <c r="O31" i="2" l="1"/>
  <c r="O30" i="2"/>
  <c r="O36" i="2" s="1"/>
  <c r="N35" i="2"/>
  <c r="N41" i="2" s="1"/>
  <c r="N32" i="2"/>
  <c r="AJ10" i="5" s="1"/>
  <c r="AK10" i="5" s="1"/>
  <c r="AL10" i="5" s="1"/>
  <c r="T25" i="3"/>
  <c r="T29" i="3" s="1"/>
  <c r="P11" i="5"/>
  <c r="N5" i="5"/>
  <c r="V28" i="3"/>
  <c r="S4" i="5"/>
  <c r="U29" i="3"/>
  <c r="U30" i="3"/>
  <c r="V24" i="3" s="1"/>
  <c r="V25" i="3" s="1"/>
  <c r="S26" i="3"/>
  <c r="P31" i="2" l="1"/>
  <c r="P30" i="2"/>
  <c r="P36" i="2" s="1"/>
  <c r="O32" i="2"/>
  <c r="AM10" i="5" s="1"/>
  <c r="AN10" i="5" s="1"/>
  <c r="AO10" i="5" s="1"/>
  <c r="O35" i="2"/>
  <c r="O41" i="2" s="1"/>
  <c r="P13" i="5"/>
  <c r="Q26" i="5"/>
  <c r="T26" i="3"/>
  <c r="Q9" i="5"/>
  <c r="V30" i="3"/>
  <c r="W24" i="3" s="1"/>
  <c r="N7" i="5"/>
  <c r="N6" i="5"/>
  <c r="O22" i="5"/>
  <c r="P12" i="5"/>
  <c r="W28" i="3"/>
  <c r="T4" i="5"/>
  <c r="Q31" i="2" l="1"/>
  <c r="Q30" i="2"/>
  <c r="Q36" i="2" s="1"/>
  <c r="P32" i="2"/>
  <c r="AP10" i="5" s="1"/>
  <c r="AQ10" i="5" s="1"/>
  <c r="AR10" i="5" s="1"/>
  <c r="P35" i="2"/>
  <c r="P41" i="2" s="1"/>
  <c r="V29" i="3"/>
  <c r="W30" i="3"/>
  <c r="X24" i="3" s="1"/>
  <c r="X25" i="3" s="1"/>
  <c r="Q11" i="5"/>
  <c r="O5" i="5"/>
  <c r="U26" i="3"/>
  <c r="R9" i="5"/>
  <c r="U4" i="5"/>
  <c r="X28" i="3"/>
  <c r="R31" i="2" l="1"/>
  <c r="R30" i="2"/>
  <c r="R36" i="2" s="1"/>
  <c r="Q32" i="2"/>
  <c r="AS10" i="5" s="1"/>
  <c r="AT10" i="5" s="1"/>
  <c r="AU10" i="5" s="1"/>
  <c r="Q35" i="2"/>
  <c r="Q41" i="2" s="1"/>
  <c r="W25" i="3"/>
  <c r="W29" i="3" s="1"/>
  <c r="Q12" i="5"/>
  <c r="R26" i="5"/>
  <c r="Q13" i="5"/>
  <c r="V4" i="5"/>
  <c r="Y28" i="3"/>
  <c r="O7" i="5"/>
  <c r="O6" i="5"/>
  <c r="P22" i="5"/>
  <c r="X30" i="3"/>
  <c r="Y24" i="3" s="1"/>
  <c r="Y25" i="3" s="1"/>
  <c r="X29" i="3"/>
  <c r="S9" i="5"/>
  <c r="V26" i="3"/>
  <c r="S31" i="2" l="1"/>
  <c r="S30" i="2"/>
  <c r="S36" i="2" s="1"/>
  <c r="R35" i="2"/>
  <c r="R41" i="2" s="1"/>
  <c r="R32" i="2"/>
  <c r="AV10" i="5" s="1"/>
  <c r="AW10" i="5" s="1"/>
  <c r="AX10" i="5" s="1"/>
  <c r="T9" i="5"/>
  <c r="W26" i="3"/>
  <c r="Y30" i="3"/>
  <c r="Z24" i="3" s="1"/>
  <c r="P5" i="5"/>
  <c r="W4" i="5"/>
  <c r="Z28" i="3"/>
  <c r="R11" i="5"/>
  <c r="T31" i="2" l="1"/>
  <c r="T30" i="2"/>
  <c r="T36" i="2" s="1"/>
  <c r="S35" i="2"/>
  <c r="S41" i="2" s="1"/>
  <c r="S32" i="2"/>
  <c r="AY10" i="5" s="1"/>
  <c r="AZ10" i="5" s="1"/>
  <c r="BA10" i="5" s="1"/>
  <c r="Y29" i="3"/>
  <c r="U9" i="5"/>
  <c r="X26" i="3"/>
  <c r="R12" i="5"/>
  <c r="S26" i="5"/>
  <c r="R13" i="5"/>
  <c r="P7" i="5"/>
  <c r="P6" i="5"/>
  <c r="Q22" i="5"/>
  <c r="X4" i="5"/>
  <c r="AA28" i="3"/>
  <c r="Z30" i="3"/>
  <c r="AA24" i="3" s="1"/>
  <c r="AA25" i="3" s="1"/>
  <c r="U31" i="2" l="1"/>
  <c r="U30" i="2"/>
  <c r="U36" i="2" s="1"/>
  <c r="T32" i="2"/>
  <c r="BB10" i="5" s="1"/>
  <c r="BC10" i="5" s="1"/>
  <c r="BD10" i="5" s="1"/>
  <c r="T35" i="2"/>
  <c r="T41" i="2" s="1"/>
  <c r="Z25" i="3"/>
  <c r="Z29" i="3" s="1"/>
  <c r="AA29" i="3"/>
  <c r="AA30" i="3"/>
  <c r="AB24" i="3" s="1"/>
  <c r="AB25" i="3" s="1"/>
  <c r="Q5" i="5"/>
  <c r="V9" i="5"/>
  <c r="Y26" i="3"/>
  <c r="AB28" i="3"/>
  <c r="Y4" i="5"/>
  <c r="S11" i="5"/>
  <c r="V31" i="2" l="1"/>
  <c r="V30" i="2"/>
  <c r="V36" i="2" s="1"/>
  <c r="U32" i="2"/>
  <c r="BE10" i="5" s="1"/>
  <c r="BF10" i="5" s="1"/>
  <c r="BG10" i="5" s="1"/>
  <c r="U35" i="2"/>
  <c r="U41" i="2" s="1"/>
  <c r="T26" i="5"/>
  <c r="S12" i="5"/>
  <c r="S13" i="5"/>
  <c r="Q7" i="5"/>
  <c r="Q6" i="5"/>
  <c r="R22" i="5"/>
  <c r="AB30" i="3"/>
  <c r="AC24" i="3" s="1"/>
  <c r="AC28" i="3"/>
  <c r="Z4" i="5"/>
  <c r="Z26" i="3"/>
  <c r="W9" i="5"/>
  <c r="W31" i="2" l="1"/>
  <c r="W30" i="2"/>
  <c r="W36" i="2" s="1"/>
  <c r="V35" i="2"/>
  <c r="V41" i="2" s="1"/>
  <c r="V32" i="2"/>
  <c r="BH10" i="5" s="1"/>
  <c r="BI10" i="5" s="1"/>
  <c r="BJ10" i="5" s="1"/>
  <c r="AB29" i="3"/>
  <c r="X9" i="5"/>
  <c r="AA26" i="3"/>
  <c r="AC30" i="3"/>
  <c r="AD24" i="3" s="1"/>
  <c r="AD25" i="3" s="1"/>
  <c r="T11" i="5"/>
  <c r="AD28" i="3"/>
  <c r="AA4" i="5"/>
  <c r="R5" i="5"/>
  <c r="X31" i="2" l="1"/>
  <c r="X30" i="2"/>
  <c r="X36" i="2" s="1"/>
  <c r="W32" i="2"/>
  <c r="BK10" i="5" s="1"/>
  <c r="BL10" i="5" s="1"/>
  <c r="BM10" i="5" s="1"/>
  <c r="W35" i="2"/>
  <c r="W41" i="2" s="1"/>
  <c r="AC25" i="3"/>
  <c r="AC29" i="3" s="1"/>
  <c r="R7" i="5"/>
  <c r="R6" i="5"/>
  <c r="S22" i="5"/>
  <c r="T12" i="5"/>
  <c r="U26" i="5"/>
  <c r="T13" i="5"/>
  <c r="Y9" i="5"/>
  <c r="AB26" i="3"/>
  <c r="AB4" i="5"/>
  <c r="AE28" i="3"/>
  <c r="AD30" i="3"/>
  <c r="AE24" i="3" s="1"/>
  <c r="AE25" i="3" s="1"/>
  <c r="AD29" i="3"/>
  <c r="Y31" i="2" l="1"/>
  <c r="Y30" i="2"/>
  <c r="Y36" i="2" s="1"/>
  <c r="X32" i="2"/>
  <c r="BN10" i="5" s="1"/>
  <c r="BO10" i="5" s="1"/>
  <c r="BP10" i="5" s="1"/>
  <c r="X35" i="2"/>
  <c r="X41" i="2" s="1"/>
  <c r="AE30" i="3"/>
  <c r="AF24" i="3" s="1"/>
  <c r="AC4" i="5"/>
  <c r="AF28" i="3"/>
  <c r="U11" i="5"/>
  <c r="Z9" i="5"/>
  <c r="AC26" i="3"/>
  <c r="S5" i="5"/>
  <c r="Z31" i="2" l="1"/>
  <c r="Z30" i="2"/>
  <c r="Z36" i="2" s="1"/>
  <c r="Y32" i="2"/>
  <c r="BQ10" i="5" s="1"/>
  <c r="BR10" i="5" s="1"/>
  <c r="BS10" i="5" s="1"/>
  <c r="Y35" i="2"/>
  <c r="Y41" i="2" s="1"/>
  <c r="AE29" i="3"/>
  <c r="U12" i="5"/>
  <c r="V26" i="5"/>
  <c r="U13" i="5"/>
  <c r="AG28" i="3"/>
  <c r="AD4" i="5"/>
  <c r="AF30" i="3"/>
  <c r="AG24" i="3" s="1"/>
  <c r="AG25" i="3" s="1"/>
  <c r="S7" i="5"/>
  <c r="S6" i="5"/>
  <c r="T22" i="5"/>
  <c r="AA9" i="5"/>
  <c r="AD26" i="3"/>
  <c r="AA31" i="2" l="1"/>
  <c r="AA30" i="2"/>
  <c r="AA36" i="2" s="1"/>
  <c r="Z32" i="2"/>
  <c r="BT10" i="5" s="1"/>
  <c r="BU10" i="5" s="1"/>
  <c r="BV10" i="5" s="1"/>
  <c r="Z35" i="2"/>
  <c r="Z41" i="2" s="1"/>
  <c r="AF25" i="3"/>
  <c r="AF29" i="3" s="1"/>
  <c r="AE4" i="5"/>
  <c r="AH28" i="3"/>
  <c r="T5" i="5"/>
  <c r="AG29" i="3"/>
  <c r="AG30" i="3"/>
  <c r="AH24" i="3" s="1"/>
  <c r="AH25" i="3" s="1"/>
  <c r="V11" i="5"/>
  <c r="AB9" i="5"/>
  <c r="AE26" i="3"/>
  <c r="AB31" i="2" l="1"/>
  <c r="AB30" i="2"/>
  <c r="AB36" i="2" s="1"/>
  <c r="AA32" i="2"/>
  <c r="BW10" i="5" s="1"/>
  <c r="BX10" i="5" s="1"/>
  <c r="BY10" i="5" s="1"/>
  <c r="AA35" i="2"/>
  <c r="AA41" i="2" s="1"/>
  <c r="W26" i="5"/>
  <c r="V12" i="5"/>
  <c r="V13" i="5"/>
  <c r="AF4" i="5"/>
  <c r="AI28" i="3"/>
  <c r="AH30" i="3"/>
  <c r="AI24" i="3" s="1"/>
  <c r="T7" i="5"/>
  <c r="T6" i="5"/>
  <c r="U22" i="5"/>
  <c r="AC9" i="5"/>
  <c r="AF26" i="3"/>
  <c r="AC31" i="2" l="1"/>
  <c r="AC30" i="2"/>
  <c r="AC36" i="2" s="1"/>
  <c r="AB32" i="2"/>
  <c r="BZ10" i="5" s="1"/>
  <c r="CA10" i="5" s="1"/>
  <c r="CB10" i="5" s="1"/>
  <c r="AB35" i="2"/>
  <c r="AB41" i="2" s="1"/>
  <c r="AH29" i="3"/>
  <c r="AD9" i="5"/>
  <c r="AG26" i="3"/>
  <c r="W11" i="5"/>
  <c r="X25" i="5" s="1"/>
  <c r="U5" i="5"/>
  <c r="AI30" i="3"/>
  <c r="AJ24" i="3" s="1"/>
  <c r="AJ25" i="3" s="1"/>
  <c r="AG4" i="5"/>
  <c r="AJ28" i="3"/>
  <c r="AD31" i="2" l="1"/>
  <c r="AD30" i="2"/>
  <c r="AD36" i="2" s="1"/>
  <c r="AC32" i="2"/>
  <c r="CC10" i="5" s="1"/>
  <c r="CD10" i="5" s="1"/>
  <c r="CE10" i="5" s="1"/>
  <c r="AC35" i="2"/>
  <c r="AC41" i="2" s="1"/>
  <c r="AI25" i="3"/>
  <c r="AI29" i="3" s="1"/>
  <c r="U7" i="5"/>
  <c r="U6" i="5"/>
  <c r="V22" i="5"/>
  <c r="W12" i="5"/>
  <c r="X26" i="5"/>
  <c r="W13" i="5"/>
  <c r="AJ30" i="3"/>
  <c r="AK24" i="3" s="1"/>
  <c r="AK25" i="3" s="1"/>
  <c r="AJ29" i="3"/>
  <c r="AE9" i="5"/>
  <c r="AH26" i="3"/>
  <c r="AK28" i="3"/>
  <c r="AH4" i="5"/>
  <c r="AD32" i="2" l="1"/>
  <c r="CF10" i="5" s="1"/>
  <c r="AD35" i="2"/>
  <c r="AD41" i="2" s="1"/>
  <c r="X11" i="5"/>
  <c r="Y25" i="5" s="1"/>
  <c r="V5" i="5"/>
  <c r="AF9" i="5"/>
  <c r="AI26" i="3"/>
  <c r="AI4" i="5"/>
  <c r="AL28" i="3"/>
  <c r="AK30" i="3"/>
  <c r="AL24" i="3" s="1"/>
  <c r="A24" i="7" l="1" a="1"/>
  <c r="AK29" i="3"/>
  <c r="AG9" i="5"/>
  <c r="AJ26" i="3"/>
  <c r="V7" i="5"/>
  <c r="V6" i="5"/>
  <c r="W22" i="5"/>
  <c r="AL30" i="3"/>
  <c r="AM24" i="3" s="1"/>
  <c r="AM25" i="3" s="1"/>
  <c r="AJ4" i="5"/>
  <c r="AM28" i="3"/>
  <c r="X12" i="5"/>
  <c r="Y26" i="5"/>
  <c r="X13" i="5"/>
  <c r="H25" i="7" l="1"/>
  <c r="H31" i="7"/>
  <c r="D39" i="7"/>
  <c r="G44" i="7"/>
  <c r="B50" i="7"/>
  <c r="H24" i="7"/>
  <c r="H32" i="7"/>
  <c r="B40" i="7"/>
  <c r="D45" i="7"/>
  <c r="G50" i="7"/>
  <c r="H27" i="7"/>
  <c r="H35" i="7"/>
  <c r="B42" i="7"/>
  <c r="D47" i="7"/>
  <c r="H28" i="7"/>
  <c r="H36" i="7"/>
  <c r="G42" i="7"/>
  <c r="B48" i="7"/>
  <c r="D49" i="7"/>
  <c r="G38" i="7"/>
  <c r="D51" i="7"/>
  <c r="G40" i="7"/>
  <c r="A24" i="7"/>
  <c r="A26" i="7"/>
  <c r="A28" i="7"/>
  <c r="A30" i="7"/>
  <c r="A32" i="7"/>
  <c r="A34" i="7"/>
  <c r="A36" i="7"/>
  <c r="A38" i="7"/>
  <c r="A40" i="7"/>
  <c r="A42" i="7"/>
  <c r="A44" i="7"/>
  <c r="A46" i="7"/>
  <c r="A48" i="7"/>
  <c r="A50" i="7"/>
  <c r="B24" i="7"/>
  <c r="B26" i="7"/>
  <c r="B28" i="7"/>
  <c r="B30" i="7"/>
  <c r="B32" i="7"/>
  <c r="B34" i="7"/>
  <c r="B36" i="7"/>
  <c r="B38" i="7"/>
  <c r="H49" i="7"/>
  <c r="C47" i="7"/>
  <c r="F44" i="7"/>
  <c r="H41" i="7"/>
  <c r="C39" i="7"/>
  <c r="G35" i="7"/>
  <c r="G31" i="7"/>
  <c r="G27" i="7"/>
  <c r="G51" i="7"/>
  <c r="B49" i="7"/>
  <c r="D46" i="7"/>
  <c r="G43" i="7"/>
  <c r="B41" i="7"/>
  <c r="D38" i="7"/>
  <c r="D34" i="7"/>
  <c r="D30" i="7"/>
  <c r="D26" i="7"/>
  <c r="H50" i="7"/>
  <c r="C48" i="7"/>
  <c r="F45" i="7"/>
  <c r="H42" i="7"/>
  <c r="C40" i="7"/>
  <c r="C37" i="7"/>
  <c r="C33" i="7"/>
  <c r="C29" i="7"/>
  <c r="C25" i="7"/>
  <c r="G46" i="7"/>
  <c r="H34" i="7"/>
  <c r="G48" i="7"/>
  <c r="H37" i="7"/>
  <c r="E24" i="7"/>
  <c r="E26" i="7"/>
  <c r="E28" i="7"/>
  <c r="E30" i="7"/>
  <c r="E32" i="7"/>
  <c r="E34" i="7"/>
  <c r="E36" i="7"/>
  <c r="E38" i="7"/>
  <c r="E40" i="7"/>
  <c r="E42" i="7"/>
  <c r="E44" i="7"/>
  <c r="E46" i="7"/>
  <c r="E48" i="7"/>
  <c r="E50" i="7"/>
  <c r="F24" i="7"/>
  <c r="F26" i="7"/>
  <c r="F28" i="7"/>
  <c r="F30" i="7"/>
  <c r="F32" i="7"/>
  <c r="F34" i="7"/>
  <c r="F36" i="7"/>
  <c r="H51" i="7"/>
  <c r="C49" i="7"/>
  <c r="B44" i="7"/>
  <c r="B46" i="7"/>
  <c r="A25" i="7"/>
  <c r="A29" i="7"/>
  <c r="A33" i="7"/>
  <c r="A37" i="7"/>
  <c r="A41" i="7"/>
  <c r="A45" i="7"/>
  <c r="A49" i="7"/>
  <c r="B25" i="7"/>
  <c r="B29" i="7"/>
  <c r="B33" i="7"/>
  <c r="B37" i="7"/>
  <c r="F48" i="7"/>
  <c r="C45" i="7"/>
  <c r="C41" i="7"/>
  <c r="G37" i="7"/>
  <c r="G32" i="7"/>
  <c r="G26" i="7"/>
  <c r="D50" i="7"/>
  <c r="B47" i="7"/>
  <c r="B43" i="7"/>
  <c r="G39" i="7"/>
  <c r="D35" i="7"/>
  <c r="D29" i="7"/>
  <c r="D24" i="7"/>
  <c r="H48" i="7"/>
  <c r="H44" i="7"/>
  <c r="F41" i="7"/>
  <c r="C38" i="7"/>
  <c r="C32" i="7"/>
  <c r="C27" i="7"/>
  <c r="D41" i="7"/>
  <c r="D43" i="7"/>
  <c r="E25" i="7"/>
  <c r="E29" i="7"/>
  <c r="E33" i="7"/>
  <c r="E37" i="7"/>
  <c r="E41" i="7"/>
  <c r="E45" i="7"/>
  <c r="E49" i="7"/>
  <c r="F25" i="7"/>
  <c r="F29" i="7"/>
  <c r="F33" i="7"/>
  <c r="F37" i="7"/>
  <c r="H47" i="7"/>
  <c r="H43" i="7"/>
  <c r="F40" i="7"/>
  <c r="G36" i="7"/>
  <c r="G30" i="7"/>
  <c r="G25" i="7"/>
  <c r="G49" i="7"/>
  <c r="G45" i="7"/>
  <c r="D42" i="7"/>
  <c r="B39" i="7"/>
  <c r="D33" i="7"/>
  <c r="D28" i="7"/>
  <c r="F51" i="7"/>
  <c r="F47" i="7"/>
  <c r="C44" i="7"/>
  <c r="H40" i="7"/>
  <c r="C36" i="7"/>
  <c r="C31" i="7"/>
  <c r="C26" i="7"/>
  <c r="H30" i="7"/>
  <c r="H33" i="7"/>
  <c r="A27" i="7"/>
  <c r="A31" i="7"/>
  <c r="A35" i="7"/>
  <c r="A39" i="7"/>
  <c r="A43" i="7"/>
  <c r="A47" i="7"/>
  <c r="A51" i="7"/>
  <c r="B27" i="7"/>
  <c r="B31" i="7"/>
  <c r="B35" i="7"/>
  <c r="C51" i="7"/>
  <c r="F46" i="7"/>
  <c r="C43" i="7"/>
  <c r="H39" i="7"/>
  <c r="G34" i="7"/>
  <c r="G29" i="7"/>
  <c r="G24" i="7"/>
  <c r="D48" i="7"/>
  <c r="B45" i="7"/>
  <c r="G41" i="7"/>
  <c r="D37" i="7"/>
  <c r="D32" i="7"/>
  <c r="D27" i="7"/>
  <c r="C50" i="7"/>
  <c r="H46" i="7"/>
  <c r="F43" i="7"/>
  <c r="F39" i="7"/>
  <c r="C35" i="7"/>
  <c r="C30" i="7"/>
  <c r="C24" i="7"/>
  <c r="H26" i="7"/>
  <c r="H29" i="7"/>
  <c r="E27" i="7"/>
  <c r="E31" i="7"/>
  <c r="E35" i="7"/>
  <c r="E39" i="7"/>
  <c r="E43" i="7"/>
  <c r="E47" i="7"/>
  <c r="E51" i="7"/>
  <c r="F27" i="7"/>
  <c r="F31" i="7"/>
  <c r="F35" i="7"/>
  <c r="F50" i="7"/>
  <c r="H45" i="7"/>
  <c r="F42" i="7"/>
  <c r="F38" i="7"/>
  <c r="G33" i="7"/>
  <c r="G28" i="7"/>
  <c r="B51" i="7"/>
  <c r="G47" i="7"/>
  <c r="D44" i="7"/>
  <c r="D40" i="7"/>
  <c r="D36" i="7"/>
  <c r="D31" i="7"/>
  <c r="D25" i="7"/>
  <c r="F49" i="7"/>
  <c r="C46" i="7"/>
  <c r="C42" i="7"/>
  <c r="H38" i="7"/>
  <c r="C34" i="7"/>
  <c r="C28" i="7"/>
  <c r="AL25" i="3"/>
  <c r="AL29" i="3" s="1"/>
  <c r="AN28" i="3"/>
  <c r="AK4" i="5"/>
  <c r="AH9" i="5"/>
  <c r="AK26" i="3"/>
  <c r="AM29" i="3"/>
  <c r="AM30" i="3"/>
  <c r="AN24" i="3" s="1"/>
  <c r="AN25" i="3" s="1"/>
  <c r="W5" i="5"/>
  <c r="Y11" i="5"/>
  <c r="Z25" i="5" s="1"/>
  <c r="W7" i="5" l="1"/>
  <c r="W6" i="5"/>
  <c r="X21" i="5"/>
  <c r="X22" i="5" s="1"/>
  <c r="Z26" i="5"/>
  <c r="Y12" i="5"/>
  <c r="Y13" i="5"/>
  <c r="AN30" i="3"/>
  <c r="AO24" i="3" s="1"/>
  <c r="AL26" i="3"/>
  <c r="AI9" i="5"/>
  <c r="AL4" i="5"/>
  <c r="AO28" i="3"/>
  <c r="AN29" i="3" l="1"/>
  <c r="AM4" i="5"/>
  <c r="AP28" i="3"/>
  <c r="AJ9" i="5"/>
  <c r="AM26" i="3"/>
  <c r="AO30" i="3"/>
  <c r="AP24" i="3" s="1"/>
  <c r="AP25" i="3" s="1"/>
  <c r="Z11" i="5"/>
  <c r="AA25" i="5" s="1"/>
  <c r="X5" i="5"/>
  <c r="AO25" i="3" l="1"/>
  <c r="AO29" i="3" s="1"/>
  <c r="AN4" i="5"/>
  <c r="AQ28" i="3"/>
  <c r="AK9" i="5"/>
  <c r="AN26" i="3"/>
  <c r="X7" i="5"/>
  <c r="X6" i="5"/>
  <c r="Y21" i="5"/>
  <c r="Y22" i="5" s="1"/>
  <c r="Z12" i="5"/>
  <c r="AA26" i="5"/>
  <c r="Z13" i="5"/>
  <c r="AP30" i="3"/>
  <c r="AQ24" i="3" s="1"/>
  <c r="AQ25" i="3" s="1"/>
  <c r="AP29" i="3"/>
  <c r="AR28" i="3" l="1"/>
  <c r="AO4" i="5"/>
  <c r="AQ30" i="3"/>
  <c r="AR24" i="3" s="1"/>
  <c r="AO26" i="3"/>
  <c r="AL9" i="5"/>
  <c r="Y5" i="5"/>
  <c r="AA11" i="5"/>
  <c r="AB25" i="5" s="1"/>
  <c r="AQ29" i="3" l="1"/>
  <c r="Y7" i="5"/>
  <c r="Y6" i="5"/>
  <c r="Z21" i="5"/>
  <c r="Z22" i="5" s="1"/>
  <c r="AA12" i="5"/>
  <c r="AB26" i="5"/>
  <c r="AA13" i="5"/>
  <c r="AP26" i="3"/>
  <c r="AM9" i="5"/>
  <c r="AS28" i="3"/>
  <c r="AP4" i="5"/>
  <c r="AR30" i="3"/>
  <c r="AS24" i="3" s="1"/>
  <c r="AS25" i="3" s="1"/>
  <c r="AR25" i="3" l="1"/>
  <c r="AR29" i="3" s="1"/>
  <c r="AQ4" i="5"/>
  <c r="AT28" i="3"/>
  <c r="AN9" i="5"/>
  <c r="AQ26" i="3"/>
  <c r="AB11" i="5"/>
  <c r="AC25" i="5" s="1"/>
  <c r="AS30" i="3"/>
  <c r="AT24" i="3" s="1"/>
  <c r="AT25" i="3" s="1"/>
  <c r="AS29" i="3"/>
  <c r="Z5" i="5"/>
  <c r="AT30" i="3" l="1"/>
  <c r="AU24" i="3" s="1"/>
  <c r="Z7" i="5"/>
  <c r="Z6" i="5"/>
  <c r="AA21" i="5"/>
  <c r="AA22" i="5" s="1"/>
  <c r="AC26" i="5"/>
  <c r="AB12" i="5"/>
  <c r="AB13" i="5"/>
  <c r="AU28" i="3"/>
  <c r="AR4" i="5"/>
  <c r="AO9" i="5"/>
  <c r="AR26" i="3"/>
  <c r="AT29" i="3" l="1"/>
  <c r="AC11" i="5"/>
  <c r="AD25" i="5" s="1"/>
  <c r="AS4" i="5"/>
  <c r="AV28" i="3"/>
  <c r="AA5" i="5"/>
  <c r="AU30" i="3"/>
  <c r="AV24" i="3" s="1"/>
  <c r="AV25" i="3" s="1"/>
  <c r="AP9" i="5"/>
  <c r="AS26" i="3"/>
  <c r="AU25" i="3" l="1"/>
  <c r="AU29" i="3" s="1"/>
  <c r="AQ9" i="5"/>
  <c r="AT26" i="3"/>
  <c r="AA7" i="5"/>
  <c r="AA6" i="5"/>
  <c r="AB21" i="5"/>
  <c r="AB22" i="5" s="1"/>
  <c r="AC12" i="5"/>
  <c r="AD26" i="5"/>
  <c r="AC13" i="5"/>
  <c r="AV29" i="3"/>
  <c r="AV30" i="3"/>
  <c r="AW24" i="3" s="1"/>
  <c r="AW25" i="3" s="1"/>
  <c r="AW28" i="3"/>
  <c r="AT4" i="5"/>
  <c r="AU26" i="3" l="1"/>
  <c r="AR9" i="5"/>
  <c r="AB5" i="5"/>
  <c r="AX28" i="3"/>
  <c r="AU4" i="5"/>
  <c r="AW30" i="3"/>
  <c r="AX24" i="3" s="1"/>
  <c r="AD11" i="5"/>
  <c r="AE25" i="5" s="1"/>
  <c r="AW29" i="3" l="1"/>
  <c r="AX30" i="3"/>
  <c r="AY24" i="3" s="1"/>
  <c r="AY25" i="3" s="1"/>
  <c r="AB7" i="5"/>
  <c r="AB6" i="5"/>
  <c r="AC21" i="5"/>
  <c r="AC22" i="5" s="1"/>
  <c r="AY28" i="3"/>
  <c r="AV4" i="5"/>
  <c r="AD12" i="5"/>
  <c r="AE26" i="5"/>
  <c r="AD13" i="5"/>
  <c r="AV26" i="3"/>
  <c r="AS9" i="5"/>
  <c r="AX25" i="3" l="1"/>
  <c r="AX29" i="3" s="1"/>
  <c r="AT9" i="5"/>
  <c r="AW26" i="3"/>
  <c r="AE11" i="5"/>
  <c r="AF25" i="5" s="1"/>
  <c r="AY30" i="3"/>
  <c r="AZ24" i="3" s="1"/>
  <c r="AZ25" i="3" s="1"/>
  <c r="AY29" i="3"/>
  <c r="AC5" i="5"/>
  <c r="AW4" i="5"/>
  <c r="AZ28" i="3"/>
  <c r="BA28" i="3" l="1"/>
  <c r="AX4" i="5"/>
  <c r="AC7" i="5"/>
  <c r="AC6" i="5"/>
  <c r="AD21" i="5"/>
  <c r="AD22" i="5" s="1"/>
  <c r="AF26" i="5"/>
  <c r="AE12" i="5"/>
  <c r="AE13" i="5"/>
  <c r="AX26" i="3"/>
  <c r="AU9" i="5"/>
  <c r="AZ30" i="3"/>
  <c r="BA24" i="3" s="1"/>
  <c r="AZ29" i="3" l="1"/>
  <c r="AF11" i="5"/>
  <c r="AG25" i="5" s="1"/>
  <c r="AV9" i="5"/>
  <c r="AY26" i="3"/>
  <c r="AD5" i="5"/>
  <c r="BA30" i="3"/>
  <c r="BB24" i="3" s="1"/>
  <c r="BB25" i="3" s="1"/>
  <c r="BB28" i="3"/>
  <c r="AY4" i="5"/>
  <c r="BA25" i="3" l="1"/>
  <c r="BA29" i="3" s="1"/>
  <c r="AF12" i="5"/>
  <c r="AG26" i="5"/>
  <c r="AF13" i="5"/>
  <c r="BC28" i="3"/>
  <c r="AZ4" i="5"/>
  <c r="BB29" i="3"/>
  <c r="BB30" i="3"/>
  <c r="BC24" i="3" s="1"/>
  <c r="BC25" i="3" s="1"/>
  <c r="AZ26" i="3"/>
  <c r="AW9" i="5"/>
  <c r="AD7" i="5"/>
  <c r="AD6" i="5"/>
  <c r="AE21" i="5"/>
  <c r="AE22" i="5" s="1"/>
  <c r="BC30" i="3" l="1"/>
  <c r="BD24" i="3" s="1"/>
  <c r="AE5" i="5"/>
  <c r="AG11" i="5"/>
  <c r="AH25" i="5" s="1"/>
  <c r="AX9" i="5"/>
  <c r="BA26" i="3"/>
  <c r="BA4" i="5"/>
  <c r="BD28" i="3"/>
  <c r="BC29" i="3" l="1"/>
  <c r="AY9" i="5"/>
  <c r="BB26" i="3"/>
  <c r="AE7" i="5"/>
  <c r="AE6" i="5"/>
  <c r="AF21" i="5"/>
  <c r="AF22" i="5" s="1"/>
  <c r="BB4" i="5"/>
  <c r="BE28" i="3"/>
  <c r="AG12" i="5"/>
  <c r="AH26" i="5"/>
  <c r="AG13" i="5"/>
  <c r="BD30" i="3"/>
  <c r="BE24" i="3" s="1"/>
  <c r="BE25" i="3" s="1"/>
  <c r="BD25" i="3" l="1"/>
  <c r="BD29" i="3" s="1"/>
  <c r="BC4" i="5"/>
  <c r="BF28" i="3"/>
  <c r="AZ9" i="5"/>
  <c r="BC26" i="3"/>
  <c r="AH11" i="5"/>
  <c r="AI25" i="5" s="1"/>
  <c r="AF5" i="5"/>
  <c r="BE29" i="3"/>
  <c r="BE30" i="3"/>
  <c r="BF24" i="3" s="1"/>
  <c r="BF25" i="3" s="1"/>
  <c r="AF7" i="5" l="1"/>
  <c r="AF6" i="5"/>
  <c r="AG21" i="5"/>
  <c r="AG22" i="5" s="1"/>
  <c r="BA9" i="5"/>
  <c r="BD26" i="3"/>
  <c r="AI26" i="5"/>
  <c r="AH12" i="5"/>
  <c r="AH13" i="5"/>
  <c r="BD4" i="5"/>
  <c r="BG28" i="3"/>
  <c r="BF30" i="3"/>
  <c r="BG24" i="3" s="1"/>
  <c r="BF29" i="3" l="1"/>
  <c r="BG30" i="3"/>
  <c r="BH24" i="3" s="1"/>
  <c r="BH25" i="3" s="1"/>
  <c r="AG5" i="5"/>
  <c r="BE4" i="5"/>
  <c r="BH28" i="3"/>
  <c r="AI11" i="5"/>
  <c r="AJ25" i="5" s="1"/>
  <c r="BB9" i="5"/>
  <c r="BE26" i="3"/>
  <c r="BG25" i="3" l="1"/>
  <c r="BG29" i="3" s="1"/>
  <c r="BI28" i="3"/>
  <c r="BF4" i="5"/>
  <c r="BF26" i="3"/>
  <c r="BC9" i="5"/>
  <c r="AI12" i="5"/>
  <c r="AJ26" i="5"/>
  <c r="AI13" i="5"/>
  <c r="AG7" i="5"/>
  <c r="AG6" i="5"/>
  <c r="AH21" i="5"/>
  <c r="AH22" i="5" s="1"/>
  <c r="BH29" i="3"/>
  <c r="BH30" i="3"/>
  <c r="BI24" i="3" s="1"/>
  <c r="BI25" i="3" s="1"/>
  <c r="BI30" i="3" l="1"/>
  <c r="BJ24" i="3" s="1"/>
  <c r="AH5" i="5"/>
  <c r="AJ11" i="5"/>
  <c r="AK25" i="5" s="1"/>
  <c r="BD9" i="5"/>
  <c r="BG26" i="3"/>
  <c r="BG4" i="5"/>
  <c r="BJ28" i="3"/>
  <c r="BI29" i="3" l="1"/>
  <c r="BH4" i="5"/>
  <c r="BK28" i="3"/>
  <c r="AJ12" i="5"/>
  <c r="AK26" i="5"/>
  <c r="AJ13" i="5"/>
  <c r="BE9" i="5"/>
  <c r="BH26" i="3"/>
  <c r="BJ30" i="3"/>
  <c r="BK24" i="3" s="1"/>
  <c r="BK25" i="3" s="1"/>
  <c r="AH7" i="5"/>
  <c r="AH6" i="5"/>
  <c r="AI21" i="5"/>
  <c r="AI22" i="5" s="1"/>
  <c r="BJ25" i="3" l="1"/>
  <c r="BJ29" i="3" s="1"/>
  <c r="AI5" i="5"/>
  <c r="BI4" i="5"/>
  <c r="BL28" i="3"/>
  <c r="AK11" i="5"/>
  <c r="AL25" i="5" s="1"/>
  <c r="BK29" i="3"/>
  <c r="BK30" i="3"/>
  <c r="BL24" i="3" s="1"/>
  <c r="BL25" i="3" s="1"/>
  <c r="BF9" i="5"/>
  <c r="BI26" i="3"/>
  <c r="BG9" i="5" l="1"/>
  <c r="BJ26" i="3"/>
  <c r="AL26" i="5"/>
  <c r="AK12" i="5"/>
  <c r="AK13" i="5"/>
  <c r="AI7" i="5"/>
  <c r="AI6" i="5"/>
  <c r="AJ21" i="5"/>
  <c r="AJ22" i="5" s="1"/>
  <c r="BL30" i="3"/>
  <c r="BM24" i="3" s="1"/>
  <c r="BJ4" i="5"/>
  <c r="BM28" i="3"/>
  <c r="BL29" i="3" l="1"/>
  <c r="BH9" i="5"/>
  <c r="BK26" i="3"/>
  <c r="BK4" i="5"/>
  <c r="BN28" i="3"/>
  <c r="AJ5" i="5"/>
  <c r="BM30" i="3"/>
  <c r="BN24" i="3" s="1"/>
  <c r="BN25" i="3" s="1"/>
  <c r="AL11" i="5"/>
  <c r="AM25" i="5" s="1"/>
  <c r="BM25" i="3" l="1"/>
  <c r="BM29" i="3" s="1"/>
  <c r="BL4" i="5"/>
  <c r="BO28" i="3"/>
  <c r="AL12" i="5"/>
  <c r="AM26" i="5"/>
  <c r="AL13" i="5"/>
  <c r="AJ7" i="5"/>
  <c r="AJ6" i="5"/>
  <c r="AK21" i="5"/>
  <c r="AK22" i="5" s="1"/>
  <c r="BI9" i="5"/>
  <c r="BL26" i="3"/>
  <c r="BN29" i="3"/>
  <c r="BN30" i="3"/>
  <c r="BO24" i="3" s="1"/>
  <c r="BO25" i="3" s="1"/>
  <c r="BO30" i="3" l="1"/>
  <c r="BP24" i="3" s="1"/>
  <c r="AK5" i="5"/>
  <c r="BM4" i="5"/>
  <c r="BP28" i="3"/>
  <c r="BJ9" i="5"/>
  <c r="BM26" i="3"/>
  <c r="AM11" i="5"/>
  <c r="AN25" i="5" s="1"/>
  <c r="BO29" i="3" l="1"/>
  <c r="AM12" i="5"/>
  <c r="AN26" i="5"/>
  <c r="AM13" i="5"/>
  <c r="BN4" i="5"/>
  <c r="BQ28" i="3"/>
  <c r="BK9" i="5"/>
  <c r="BN26" i="3"/>
  <c r="AK7" i="5"/>
  <c r="AK6" i="5"/>
  <c r="AL21" i="5"/>
  <c r="AL22" i="5" s="1"/>
  <c r="BP30" i="3"/>
  <c r="BQ24" i="3" s="1"/>
  <c r="BQ25" i="3" s="1"/>
  <c r="BP25" i="3" l="1"/>
  <c r="BP29" i="3" s="1"/>
  <c r="AN11" i="5"/>
  <c r="AO25" i="5" s="1"/>
  <c r="BO4" i="5"/>
  <c r="BR28" i="3"/>
  <c r="BQ29" i="3"/>
  <c r="BQ30" i="3"/>
  <c r="BR24" i="3" s="1"/>
  <c r="BR25" i="3" s="1"/>
  <c r="AL5" i="5"/>
  <c r="BL9" i="5"/>
  <c r="BO26" i="3"/>
  <c r="AL7" i="5" l="1"/>
  <c r="AL6" i="5"/>
  <c r="AM21" i="5"/>
  <c r="AM22" i="5" s="1"/>
  <c r="AO26" i="5"/>
  <c r="AN12" i="5"/>
  <c r="AN13" i="5"/>
  <c r="BP26" i="3"/>
  <c r="BM9" i="5"/>
  <c r="BR30" i="3"/>
  <c r="BS24" i="3" s="1"/>
  <c r="BS28" i="3"/>
  <c r="BP4" i="5"/>
  <c r="BR29" i="3" l="1"/>
  <c r="AO11" i="5"/>
  <c r="AP25" i="5" s="1"/>
  <c r="BQ4" i="5"/>
  <c r="BT28" i="3"/>
  <c r="BN9" i="5"/>
  <c r="BQ26" i="3"/>
  <c r="AM5" i="5"/>
  <c r="BS30" i="3"/>
  <c r="BT24" i="3" s="1"/>
  <c r="BT25" i="3" s="1"/>
  <c r="BS25" i="3" l="1"/>
  <c r="BS29" i="3" s="1"/>
  <c r="AM7" i="5"/>
  <c r="AM6" i="5"/>
  <c r="AN21" i="5"/>
  <c r="AN22" i="5" s="1"/>
  <c r="BU28" i="3"/>
  <c r="BR4" i="5"/>
  <c r="BT29" i="3"/>
  <c r="BT30" i="3"/>
  <c r="BU24" i="3" s="1"/>
  <c r="BU25" i="3" s="1"/>
  <c r="BO9" i="5"/>
  <c r="BR26" i="3"/>
  <c r="AO12" i="5"/>
  <c r="AP26" i="5"/>
  <c r="AO13" i="5"/>
  <c r="BU30" i="3" l="1"/>
  <c r="BV24" i="3" s="1"/>
  <c r="BP9" i="5"/>
  <c r="BS26" i="3"/>
  <c r="AN5" i="5"/>
  <c r="AP11" i="5"/>
  <c r="AQ25" i="5" s="1"/>
  <c r="BS4" i="5"/>
  <c r="BV28" i="3"/>
  <c r="BU29" i="3" l="1"/>
  <c r="AN7" i="5"/>
  <c r="AN6" i="5"/>
  <c r="AO21" i="5"/>
  <c r="AO22" i="5" s="1"/>
  <c r="AP12" i="5"/>
  <c r="AQ26" i="5"/>
  <c r="AP13" i="5"/>
  <c r="BQ9" i="5"/>
  <c r="BT26" i="3"/>
  <c r="BT4" i="5"/>
  <c r="BW28" i="3"/>
  <c r="BV30" i="3"/>
  <c r="BW24" i="3" s="1"/>
  <c r="BW25" i="3" s="1"/>
  <c r="BV25" i="3" l="1"/>
  <c r="BV29" i="3" s="1"/>
  <c r="BR9" i="5"/>
  <c r="BU26" i="3"/>
  <c r="BW30" i="3"/>
  <c r="BX24" i="3" s="1"/>
  <c r="BX25" i="3" s="1"/>
  <c r="BW29" i="3"/>
  <c r="AQ11" i="5"/>
  <c r="AR25" i="5" s="1"/>
  <c r="AO5" i="5"/>
  <c r="BX28" i="3"/>
  <c r="BU4" i="5"/>
  <c r="BX30" i="3" l="1"/>
  <c r="BY24" i="3" s="1"/>
  <c r="BS9" i="5"/>
  <c r="BV26" i="3"/>
  <c r="BY28" i="3"/>
  <c r="BV4" i="5"/>
  <c r="AR26" i="5"/>
  <c r="AQ12" i="5"/>
  <c r="AQ13" i="5"/>
  <c r="AO7" i="5"/>
  <c r="AO6" i="5"/>
  <c r="AP21" i="5"/>
  <c r="AP22" i="5" s="1"/>
  <c r="BX29" i="3" l="1"/>
  <c r="AR11" i="5"/>
  <c r="AS25" i="5" s="1"/>
  <c r="BZ28" i="3"/>
  <c r="BW4" i="5"/>
  <c r="BT9" i="5"/>
  <c r="BW26" i="3"/>
  <c r="AP5" i="5"/>
  <c r="BY30" i="3"/>
  <c r="BZ24" i="3" s="1"/>
  <c r="BZ25" i="3" s="1"/>
  <c r="BY25" i="3" l="1"/>
  <c r="BY29" i="3" s="1"/>
  <c r="BU9" i="5"/>
  <c r="BX26" i="3"/>
  <c r="AP7" i="5"/>
  <c r="AP6" i="5"/>
  <c r="AQ21" i="5"/>
  <c r="AQ22" i="5" s="1"/>
  <c r="BX4" i="5"/>
  <c r="CA28" i="3"/>
  <c r="AR12" i="5"/>
  <c r="AS26" i="5"/>
  <c r="AR13" i="5"/>
  <c r="BZ29" i="3"/>
  <c r="BZ30" i="3"/>
  <c r="CA24" i="3" s="1"/>
  <c r="CA25" i="3" s="1"/>
  <c r="BV9" i="5" l="1"/>
  <c r="BY26" i="3"/>
  <c r="AS11" i="5"/>
  <c r="AT25" i="5" s="1"/>
  <c r="AQ5" i="5"/>
  <c r="CA30" i="3"/>
  <c r="CB24" i="3" s="1"/>
  <c r="BY4" i="5"/>
  <c r="CB28" i="3"/>
  <c r="CA29" i="3" l="1"/>
  <c r="CB30" i="3"/>
  <c r="CC24" i="3" s="1"/>
  <c r="CC25" i="3" s="1"/>
  <c r="AQ7" i="5"/>
  <c r="AQ6" i="5"/>
  <c r="AR21" i="5"/>
  <c r="AR22" i="5" s="1"/>
  <c r="AS12" i="5"/>
  <c r="AT26" i="5"/>
  <c r="AS13" i="5"/>
  <c r="BW9" i="5"/>
  <c r="BZ26" i="3"/>
  <c r="CC28" i="3"/>
  <c r="BZ4" i="5"/>
  <c r="CB25" i="3" l="1"/>
  <c r="CB29" i="3" s="1"/>
  <c r="AR5" i="5"/>
  <c r="CA4" i="5"/>
  <c r="CD28" i="3"/>
  <c r="AT11" i="5"/>
  <c r="AU25" i="5" s="1"/>
  <c r="CC29" i="3"/>
  <c r="CC30" i="3"/>
  <c r="CD24" i="3" s="1"/>
  <c r="CD25" i="3" s="1"/>
  <c r="CA26" i="3"/>
  <c r="BX9" i="5"/>
  <c r="CB26" i="3" l="1"/>
  <c r="BY9" i="5"/>
  <c r="AU26" i="5"/>
  <c r="AT12" i="5"/>
  <c r="AT13" i="5"/>
  <c r="AR7" i="5"/>
  <c r="AR6" i="5"/>
  <c r="AS21" i="5"/>
  <c r="AS22" i="5" s="1"/>
  <c r="CD30" i="3"/>
  <c r="CE24" i="3" s="1"/>
  <c r="CB4" i="5"/>
  <c r="CE28" i="3"/>
  <c r="CD29" i="3" l="1"/>
  <c r="CE30" i="3"/>
  <c r="CF24" i="3" s="1"/>
  <c r="CF25" i="3" s="1"/>
  <c r="BZ9" i="5"/>
  <c r="CC26" i="3"/>
  <c r="CC4" i="5"/>
  <c r="CF28" i="3"/>
  <c r="AS5" i="5"/>
  <c r="AU11" i="5"/>
  <c r="AV25" i="5" s="1"/>
  <c r="CE25" i="3" l="1"/>
  <c r="CE29" i="3" s="1"/>
  <c r="CA9" i="5"/>
  <c r="CD26" i="3"/>
  <c r="CG28" i="3"/>
  <c r="CD4" i="5"/>
  <c r="AU12" i="5"/>
  <c r="AV26" i="5"/>
  <c r="AU13" i="5"/>
  <c r="AS7" i="5"/>
  <c r="AS6" i="5"/>
  <c r="AT21" i="5"/>
  <c r="AT22" i="5" s="1"/>
  <c r="CF29" i="3"/>
  <c r="CF30" i="3"/>
  <c r="CG24" i="3" s="1"/>
  <c r="CG25" i="3" s="1"/>
  <c r="CG30" i="3" l="1"/>
  <c r="CH24" i="3" s="1"/>
  <c r="AT5" i="5"/>
  <c r="AV11" i="5"/>
  <c r="AW25" i="5" s="1"/>
  <c r="CE4" i="5"/>
  <c r="CH28" i="3"/>
  <c r="CB9" i="5"/>
  <c r="CE26" i="3"/>
  <c r="CG29" i="3" l="1"/>
  <c r="CH30" i="3"/>
  <c r="CC9" i="5"/>
  <c r="CF26" i="3"/>
  <c r="AT7" i="5"/>
  <c r="AT6" i="5"/>
  <c r="AU21" i="5"/>
  <c r="AU22" i="5" s="1"/>
  <c r="CF4" i="5"/>
  <c r="AV12" i="5"/>
  <c r="AW26" i="5"/>
  <c r="AV13" i="5"/>
  <c r="CH25" i="3" l="1"/>
  <c r="CH29" i="3" s="1"/>
  <c r="AU5" i="5"/>
  <c r="CD9" i="5"/>
  <c r="CG26" i="3"/>
  <c r="AW11" i="5"/>
  <c r="AX25" i="5" s="1"/>
  <c r="CH26" i="3" l="1"/>
  <c r="CH32" i="3" s="1"/>
  <c r="CE9" i="5"/>
  <c r="AX26" i="5"/>
  <c r="AW12" i="5"/>
  <c r="AW13" i="5"/>
  <c r="AU7" i="5"/>
  <c r="AU6" i="5"/>
  <c r="AV21" i="5"/>
  <c r="AV22" i="5" s="1"/>
  <c r="AV5" i="5" l="1"/>
  <c r="AX11" i="5"/>
  <c r="AY25" i="5" s="1"/>
  <c r="CF9" i="5"/>
  <c r="AX12" i="5" l="1"/>
  <c r="AY26" i="5"/>
  <c r="AX13" i="5"/>
  <c r="AV7" i="5"/>
  <c r="AV6" i="5"/>
  <c r="AW21" i="5"/>
  <c r="AW22" i="5" s="1"/>
  <c r="AW5" i="5" l="1"/>
  <c r="AY11" i="5"/>
  <c r="AZ25" i="5" s="1"/>
  <c r="AY12" i="5" l="1"/>
  <c r="AZ26" i="5"/>
  <c r="AY13" i="5"/>
  <c r="AW7" i="5"/>
  <c r="AW6" i="5"/>
  <c r="AX21" i="5"/>
  <c r="AX22" i="5" s="1"/>
  <c r="AX5" i="5" l="1"/>
  <c r="AZ11" i="5"/>
  <c r="BA25" i="5" s="1"/>
  <c r="AX7" i="5" l="1"/>
  <c r="AX6" i="5"/>
  <c r="AY21" i="5"/>
  <c r="AY22" i="5" s="1"/>
  <c r="BA26" i="5"/>
  <c r="AZ12" i="5"/>
  <c r="AZ13" i="5"/>
  <c r="BA11" i="5" l="1"/>
  <c r="BB25" i="5" s="1"/>
  <c r="AY5" i="5"/>
  <c r="BA12" i="5" l="1"/>
  <c r="BB26" i="5"/>
  <c r="BA13" i="5"/>
  <c r="AY7" i="5"/>
  <c r="AY6" i="5"/>
  <c r="AZ21" i="5"/>
  <c r="AZ22" i="5" s="1"/>
  <c r="AZ5" i="5" l="1"/>
  <c r="BB11" i="5"/>
  <c r="BC25" i="5" s="1"/>
  <c r="AZ7" i="5" l="1"/>
  <c r="AZ6" i="5"/>
  <c r="BA21" i="5"/>
  <c r="BA22" i="5" s="1"/>
  <c r="BB12" i="5"/>
  <c r="BC26" i="5"/>
  <c r="BB13" i="5"/>
  <c r="BC11" i="5" l="1"/>
  <c r="BD25" i="5" s="1"/>
  <c r="BA5" i="5"/>
  <c r="BD26" i="5" l="1"/>
  <c r="BC12" i="5"/>
  <c r="BC13" i="5"/>
  <c r="BA7" i="5"/>
  <c r="BA6" i="5"/>
  <c r="BB21" i="5"/>
  <c r="BB22" i="5" s="1"/>
  <c r="BB5" i="5" l="1"/>
  <c r="BD11" i="5"/>
  <c r="BE25" i="5" s="1"/>
  <c r="BB7" i="5" l="1"/>
  <c r="BB6" i="5"/>
  <c r="BC21" i="5"/>
  <c r="BC22" i="5" s="1"/>
  <c r="BD12" i="5"/>
  <c r="BE26" i="5"/>
  <c r="BD13" i="5"/>
  <c r="BE11" i="5" l="1"/>
  <c r="BF25" i="5" s="1"/>
  <c r="BC5" i="5"/>
  <c r="BC7" i="5" l="1"/>
  <c r="BC6" i="5"/>
  <c r="BD21" i="5"/>
  <c r="BD22" i="5" s="1"/>
  <c r="BE12" i="5"/>
  <c r="BF26" i="5"/>
  <c r="BE13" i="5"/>
  <c r="BD5" i="5" l="1"/>
  <c r="BF11" i="5"/>
  <c r="BG25" i="5" s="1"/>
  <c r="BG26" i="5" l="1"/>
  <c r="BF12" i="5"/>
  <c r="BF13" i="5"/>
  <c r="BD7" i="5"/>
  <c r="BD6" i="5"/>
  <c r="BE21" i="5"/>
  <c r="BE22" i="5" s="1"/>
  <c r="BE5" i="5" l="1"/>
  <c r="BG11" i="5"/>
  <c r="BH25" i="5" s="1"/>
  <c r="BG12" i="5" l="1"/>
  <c r="BH26" i="5"/>
  <c r="BG13" i="5"/>
  <c r="BE7" i="5"/>
  <c r="BE6" i="5"/>
  <c r="BF21" i="5"/>
  <c r="BF22" i="5" s="1"/>
  <c r="BH11" i="5" l="1"/>
  <c r="BI25" i="5" s="1"/>
  <c r="BF5" i="5"/>
  <c r="BH12" i="5" l="1"/>
  <c r="BI26" i="5"/>
  <c r="BH13" i="5"/>
  <c r="BF7" i="5"/>
  <c r="BF6" i="5"/>
  <c r="BG21" i="5"/>
  <c r="BG22" i="5" s="1"/>
  <c r="BG5" i="5" l="1"/>
  <c r="BI11" i="5"/>
  <c r="BJ25" i="5" s="1"/>
  <c r="BG7" i="5" l="1"/>
  <c r="BG6" i="5"/>
  <c r="BH21" i="5"/>
  <c r="BH22" i="5" s="1"/>
  <c r="BJ26" i="5"/>
  <c r="BI12" i="5"/>
  <c r="BI13" i="5"/>
  <c r="BJ11" i="5" l="1"/>
  <c r="BK25" i="5" s="1"/>
  <c r="BH5" i="5"/>
  <c r="BH7" i="5" l="1"/>
  <c r="BH6" i="5"/>
  <c r="BI21" i="5"/>
  <c r="BI22" i="5" s="1"/>
  <c r="BJ12" i="5"/>
  <c r="BK26" i="5"/>
  <c r="BJ13" i="5"/>
  <c r="BK11" i="5" l="1"/>
  <c r="BL25" i="5" s="1"/>
  <c r="BI5" i="5"/>
  <c r="BK12" i="5" l="1"/>
  <c r="BL26" i="5"/>
  <c r="BK13" i="5"/>
  <c r="BI7" i="5"/>
  <c r="BI6" i="5"/>
  <c r="BJ21" i="5"/>
  <c r="BJ22" i="5" s="1"/>
  <c r="BJ5" i="5" l="1"/>
  <c r="BL11" i="5"/>
  <c r="BM25" i="5" s="1"/>
  <c r="BM26" i="5" l="1"/>
  <c r="BL12" i="5"/>
  <c r="BL13" i="5"/>
  <c r="BJ7" i="5"/>
  <c r="BJ6" i="5"/>
  <c r="BK21" i="5"/>
  <c r="BK22" i="5" s="1"/>
  <c r="BK5" i="5" l="1"/>
  <c r="BM11" i="5"/>
  <c r="BN25" i="5" s="1"/>
  <c r="BM12" i="5" l="1"/>
  <c r="BN26" i="5"/>
  <c r="BM13" i="5"/>
  <c r="BK7" i="5"/>
  <c r="BK6" i="5"/>
  <c r="BL21" i="5"/>
  <c r="BL22" i="5" s="1"/>
  <c r="BL5" i="5" l="1"/>
  <c r="BN11" i="5"/>
  <c r="BO25" i="5" s="1"/>
  <c r="BL7" i="5" l="1"/>
  <c r="BL6" i="5"/>
  <c r="BM21" i="5"/>
  <c r="BM22" i="5" s="1"/>
  <c r="BN12" i="5"/>
  <c r="BO26" i="5"/>
  <c r="BN13" i="5"/>
  <c r="BO11" i="5" l="1"/>
  <c r="BP25" i="5" s="1"/>
  <c r="BM5" i="5"/>
  <c r="BP26" i="5" l="1"/>
  <c r="BO12" i="5"/>
  <c r="BO13" i="5"/>
  <c r="BM7" i="5"/>
  <c r="BM6" i="5"/>
  <c r="BN21" i="5"/>
  <c r="BN22" i="5" s="1"/>
  <c r="BN5" i="5" l="1"/>
  <c r="BP11" i="5"/>
  <c r="BQ25" i="5" s="1"/>
  <c r="BP12" i="5" l="1"/>
  <c r="BQ26" i="5"/>
  <c r="BP13" i="5"/>
  <c r="BN7" i="5"/>
  <c r="BN6" i="5"/>
  <c r="BO21" i="5"/>
  <c r="BO22" i="5" s="1"/>
  <c r="BO5" i="5" l="1"/>
  <c r="BQ11" i="5"/>
  <c r="BR25" i="5" s="1"/>
  <c r="BQ12" i="5" l="1"/>
  <c r="BR26" i="5"/>
  <c r="BQ13" i="5"/>
  <c r="BO7" i="5"/>
  <c r="BO6" i="5"/>
  <c r="BP21" i="5"/>
  <c r="BP22" i="5" s="1"/>
  <c r="BP5" i="5" l="1"/>
  <c r="BR11" i="5"/>
  <c r="BS25" i="5" s="1"/>
  <c r="BS26" i="5" l="1"/>
  <c r="BR12" i="5"/>
  <c r="BR13" i="5"/>
  <c r="BP7" i="5"/>
  <c r="BP6" i="5"/>
  <c r="BQ21" i="5"/>
  <c r="BQ22" i="5" s="1"/>
  <c r="BQ5" i="5" l="1"/>
  <c r="BS11" i="5"/>
  <c r="BT25" i="5" s="1"/>
  <c r="BS12" i="5" l="1"/>
  <c r="BT26" i="5"/>
  <c r="BS13" i="5"/>
  <c r="BQ7" i="5"/>
  <c r="BQ6" i="5"/>
  <c r="BR21" i="5"/>
  <c r="BR22" i="5" s="1"/>
  <c r="BR5" i="5" l="1"/>
  <c r="BT11" i="5"/>
  <c r="BU25" i="5" s="1"/>
  <c r="BT12" i="5" l="1"/>
  <c r="BU26" i="5"/>
  <c r="BT13" i="5"/>
  <c r="BR7" i="5"/>
  <c r="BR6" i="5"/>
  <c r="BS21" i="5"/>
  <c r="BS22" i="5" s="1"/>
  <c r="BS5" i="5" l="1"/>
  <c r="BU11" i="5"/>
  <c r="BV25" i="5" s="1"/>
  <c r="BV26" i="5" l="1"/>
  <c r="BU12" i="5"/>
  <c r="BU13" i="5"/>
  <c r="BS7" i="5"/>
  <c r="BS6" i="5"/>
  <c r="BT21" i="5"/>
  <c r="BT22" i="5" s="1"/>
  <c r="BT5" i="5" l="1"/>
  <c r="BV11" i="5"/>
  <c r="BW25" i="5" s="1"/>
  <c r="BV12" i="5" l="1"/>
  <c r="BW26" i="5"/>
  <c r="BV13" i="5"/>
  <c r="BT7" i="5"/>
  <c r="BT6" i="5"/>
  <c r="BU21" i="5"/>
  <c r="BU22" i="5" s="1"/>
  <c r="BU5" i="5" l="1"/>
  <c r="BW11" i="5"/>
  <c r="BX25" i="5" s="1"/>
  <c r="BW12" i="5" l="1"/>
  <c r="BX26" i="5"/>
  <c r="BW13" i="5"/>
  <c r="BU7" i="5"/>
  <c r="BU6" i="5"/>
  <c r="BV21" i="5"/>
  <c r="BV22" i="5" s="1"/>
  <c r="BV5" i="5" l="1"/>
  <c r="BX11" i="5"/>
  <c r="BY25" i="5" s="1"/>
  <c r="BY26" i="5" l="1"/>
  <c r="BX12" i="5"/>
  <c r="BX13" i="5"/>
  <c r="BV7" i="5"/>
  <c r="BV6" i="5"/>
  <c r="BW21" i="5"/>
  <c r="BW22" i="5" s="1"/>
  <c r="BW5" i="5" l="1"/>
  <c r="BY11" i="5"/>
  <c r="BZ25" i="5" s="1"/>
  <c r="BY12" i="5" l="1"/>
  <c r="BZ26" i="5"/>
  <c r="BY13" i="5"/>
  <c r="BW7" i="5"/>
  <c r="BW6" i="5"/>
  <c r="BX21" i="5"/>
  <c r="BX22" i="5" s="1"/>
  <c r="BX5" i="5" l="1"/>
  <c r="BZ11" i="5"/>
  <c r="CA25" i="5" s="1"/>
  <c r="BZ12" i="5" l="1"/>
  <c r="CA26" i="5"/>
  <c r="BZ13" i="5"/>
  <c r="BX7" i="5"/>
  <c r="BX6" i="5"/>
  <c r="BY21" i="5"/>
  <c r="BY22" i="5" s="1"/>
  <c r="BY5" i="5" l="1"/>
  <c r="CA11" i="5"/>
  <c r="CB25" i="5" s="1"/>
  <c r="CB26" i="5" l="1"/>
  <c r="CA12" i="5"/>
  <c r="CA13" i="5"/>
  <c r="BY7" i="5"/>
  <c r="BY6" i="5"/>
  <c r="BZ21" i="5"/>
  <c r="BZ22" i="5" s="1"/>
  <c r="BZ5" i="5" l="1"/>
  <c r="CB11" i="5"/>
  <c r="CC25" i="5" s="1"/>
  <c r="CB12" i="5" l="1"/>
  <c r="CC26" i="5"/>
  <c r="CB13" i="5"/>
  <c r="BZ7" i="5"/>
  <c r="BZ6" i="5"/>
  <c r="CA21" i="5"/>
  <c r="CA22" i="5" s="1"/>
  <c r="CA5" i="5" l="1"/>
  <c r="CC11" i="5"/>
  <c r="CD25" i="5" s="1"/>
  <c r="CC12" i="5" l="1"/>
  <c r="CD26" i="5"/>
  <c r="CC13" i="5"/>
  <c r="CA7" i="5"/>
  <c r="CA6" i="5"/>
  <c r="CB21" i="5"/>
  <c r="CB22" i="5" s="1"/>
  <c r="CB5" i="5" l="1"/>
  <c r="CD11" i="5"/>
  <c r="CE25" i="5" s="1"/>
  <c r="CE26" i="5" l="1"/>
  <c r="CD12" i="5"/>
  <c r="CD13" i="5"/>
  <c r="CB7" i="5"/>
  <c r="CB6" i="5"/>
  <c r="CC21" i="5"/>
  <c r="CC22" i="5" s="1"/>
  <c r="CC5" i="5" l="1"/>
  <c r="CE11" i="5"/>
  <c r="CF25" i="5" s="1"/>
  <c r="CE12" i="5" l="1"/>
  <c r="CF26" i="5"/>
  <c r="CE13" i="5"/>
  <c r="CC7" i="5"/>
  <c r="CC6" i="5"/>
  <c r="CD21" i="5"/>
  <c r="CD22" i="5" s="1"/>
  <c r="CD5" i="5" l="1"/>
  <c r="CF11" i="5"/>
  <c r="CF12" i="5" l="1"/>
  <c r="CF13" i="5"/>
  <c r="CD7" i="5"/>
  <c r="CD6" i="5"/>
  <c r="CE21" i="5"/>
  <c r="CE22" i="5" s="1"/>
  <c r="CE5" i="5" l="1"/>
  <c r="CE7" i="5" l="1"/>
  <c r="CE6" i="5"/>
  <c r="CF21" i="5"/>
  <c r="CF22" i="5" s="1"/>
  <c r="CF5" i="5" l="1"/>
  <c r="CF7" i="5" l="1"/>
  <c r="CF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Rezwana Ali Tanima</author>
  </authors>
  <commentList>
    <comment ref="P32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Rezwana Ali Tanima:</t>
        </r>
        <r>
          <rPr>
            <sz val="9"/>
            <color indexed="81"/>
            <rFont val="Tahoma"/>
            <charset val="1"/>
          </rPr>
          <t xml:space="preserve">
Jun'17 Interest </t>
        </r>
      </text>
    </comment>
    <comment ref="Q3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Rezwana Ali Tanima:</t>
        </r>
        <r>
          <rPr>
            <sz val="9"/>
            <color indexed="81"/>
            <rFont val="Tahoma"/>
            <charset val="1"/>
          </rPr>
          <t xml:space="preserve">
Sep'17 Interest</t>
        </r>
      </text>
    </comment>
    <comment ref="R32" authorId="0" shapeId="0" xr:uid="{00000000-0006-0000-0100-000003000000}">
      <text>
        <r>
          <rPr>
            <b/>
            <sz val="9"/>
            <color indexed="81"/>
            <rFont val="Tahoma"/>
            <charset val="1"/>
          </rPr>
          <t>Rezwana Ali Tanima:</t>
        </r>
        <r>
          <rPr>
            <sz val="9"/>
            <color indexed="81"/>
            <rFont val="Tahoma"/>
            <charset val="1"/>
          </rPr>
          <t xml:space="preserve">
Dec'17 Interest (Partial)</t>
        </r>
      </text>
    </comment>
    <comment ref="P34" authorId="0" shapeId="0" xr:uid="{00000000-0006-0000-0100-000004000000}">
      <text>
        <r>
          <rPr>
            <b/>
            <sz val="9"/>
            <color indexed="81"/>
            <rFont val="Tahoma"/>
            <charset val="1"/>
          </rPr>
          <t>Rezwana Ali Tanima:</t>
        </r>
        <r>
          <rPr>
            <sz val="9"/>
            <color indexed="81"/>
            <rFont val="Tahoma"/>
            <charset val="1"/>
          </rPr>
          <t xml:space="preserve">
Jun'17 LPC</t>
        </r>
      </text>
    </comment>
  </commentList>
</comments>
</file>

<file path=xl/sharedStrings.xml><?xml version="1.0" encoding="utf-8"?>
<sst xmlns="http://schemas.openxmlformats.org/spreadsheetml/2006/main" count="125" uniqueCount="79">
  <si>
    <t>Borrower:</t>
  </si>
  <si>
    <t>Pretty Auto Bricks Ltd.</t>
  </si>
  <si>
    <t>Currency:</t>
  </si>
  <si>
    <t>BDT</t>
  </si>
  <si>
    <t xml:space="preserve">Type </t>
  </si>
  <si>
    <t>IDCOL Loan</t>
  </si>
  <si>
    <t>Source:</t>
  </si>
  <si>
    <t>IDCOL Current Account/Repayment Account in BDT under REREDP (IDA-3679)</t>
  </si>
  <si>
    <t>Disbursement Number</t>
  </si>
  <si>
    <t>Disbursement Date</t>
  </si>
  <si>
    <t>Disbursement</t>
  </si>
  <si>
    <t>Cumulative Disbursement</t>
  </si>
  <si>
    <t>Source</t>
  </si>
  <si>
    <t>IDA-3679</t>
  </si>
  <si>
    <t>IDCOL Current Account</t>
  </si>
  <si>
    <t xml:space="preserve"> </t>
  </si>
  <si>
    <t>Principal</t>
  </si>
  <si>
    <t>Opening balance</t>
  </si>
  <si>
    <t>Repayment due</t>
  </si>
  <si>
    <t xml:space="preserve">Loan Repayment </t>
  </si>
  <si>
    <t>Repayment overdue</t>
  </si>
  <si>
    <t>Loan outstanding</t>
  </si>
  <si>
    <t>Interest</t>
  </si>
  <si>
    <t>Interest accrued</t>
  </si>
  <si>
    <t>Interest due</t>
  </si>
  <si>
    <t>interest received</t>
  </si>
  <si>
    <t>Interest overdue</t>
  </si>
  <si>
    <t>Interest receivable</t>
  </si>
  <si>
    <t>LD and others</t>
  </si>
  <si>
    <t>Repayment receipts:</t>
  </si>
  <si>
    <t>Repayment received</t>
  </si>
  <si>
    <t>Repayment received (cumulative)</t>
  </si>
  <si>
    <t>Interest receipts:</t>
  </si>
  <si>
    <t>Interest received</t>
  </si>
  <si>
    <t>Interest received (cumulative)</t>
  </si>
  <si>
    <t>LD/others</t>
  </si>
  <si>
    <t>LD/others (cumulative)</t>
  </si>
  <si>
    <t>Actual Payment date</t>
  </si>
  <si>
    <t>Actual Payment amount:</t>
  </si>
  <si>
    <t>LPC</t>
  </si>
  <si>
    <t>Total</t>
  </si>
  <si>
    <t>Project name:</t>
  </si>
  <si>
    <t>Agreement date</t>
  </si>
  <si>
    <t>Loan Amount</t>
  </si>
  <si>
    <t>Interest Grace</t>
  </si>
  <si>
    <t>months</t>
  </si>
  <si>
    <t>Principal Grace</t>
  </si>
  <si>
    <t>First Drawdown Date</t>
  </si>
  <si>
    <t>Interest Grace Ends</t>
  </si>
  <si>
    <t>Request Date</t>
  </si>
  <si>
    <t>Principal Grace Ends</t>
  </si>
  <si>
    <t>Interest Rate</t>
  </si>
  <si>
    <t>Tenor</t>
  </si>
  <si>
    <t>7 years</t>
  </si>
  <si>
    <t>Annuity</t>
  </si>
  <si>
    <t>Interest calculation</t>
  </si>
  <si>
    <t>days basis</t>
  </si>
  <si>
    <t>Number of installments</t>
  </si>
  <si>
    <t>Drawdown</t>
  </si>
  <si>
    <t>Repayment</t>
  </si>
  <si>
    <t>Repayment Period</t>
  </si>
  <si>
    <t>Repayment Date</t>
  </si>
  <si>
    <t>Opening Balance</t>
  </si>
  <si>
    <t>Interest Payment</t>
  </si>
  <si>
    <t>Cumulative interest</t>
  </si>
  <si>
    <t>Principal Payment</t>
  </si>
  <si>
    <t>Cumulative repayment</t>
  </si>
  <si>
    <t>Total Debt Service</t>
  </si>
  <si>
    <t>Closing Balance</t>
  </si>
  <si>
    <t>Average Installment Size</t>
  </si>
  <si>
    <t>Date</t>
  </si>
  <si>
    <t>Average Installment</t>
  </si>
  <si>
    <t>Annual Monitoring Fee</t>
  </si>
  <si>
    <t>Amount (BDT)</t>
  </si>
  <si>
    <t>Assumptions:</t>
  </si>
  <si>
    <t>Drawdown Date</t>
  </si>
  <si>
    <t xml:space="preserve"> days basis</t>
  </si>
  <si>
    <t>Accrual of interest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</si>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</sst>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6" formatCode="0.00000%"/>
  </numFmts>
  <fonts count="18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0"/>
      <color indexed="12"/>
      <name val="Book Antiqua"/>
      <family val="1"/>
    </font>
    <font>
      <b/>
      <sz val="11"/>
      <name val="Book Antiqua"/>
      <family val="1"/>
    </font>
    <font>
      <sz val="11"/>
      <name val="Book Antiqua"/>
      <family val="1"/>
    </font>
    <font>
      <b/>
      <sz val="14"/>
      <color indexed="10"/>
      <name val="Book Antiqua"/>
      <family val="1"/>
    </font>
    <font>
      <sz val="14"/>
      <color indexed="10"/>
      <name val="Book Antiqua"/>
      <family val="1"/>
    </font>
    <font>
      <b/>
      <sz val="10"/>
      <name val="Book Antiqua"/>
      <family val="1"/>
    </font>
    <font>
      <sz val="10"/>
      <name val="Book Antiqua"/>
      <family val="1"/>
    </font>
    <font>
      <sz val="10"/>
      <color indexed="10"/>
      <name val="Book Antiqua"/>
      <family val="1"/>
    </font>
    <font>
      <sz val="10"/>
      <color indexed="8"/>
      <name val="Book Antiqua"/>
      <family val="1"/>
    </font>
    <font>
      <sz val="10"/>
      <color rgb="FFFF0000"/>
      <name val="Book Antiqua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5">
    <xf numFmtId="0" fontId="0" fillId="0" borderId="0" xfId="0"/>
    <xf numFmtId="3" fontId="2" fillId="0" borderId="0" xfId="0" applyNumberFormat="1" applyFont="1" applyAlignment="1" applyProtection="1">
      <alignment horizontal="center"/>
      <protection locked="0"/>
    </xf>
    <xf numFmtId="4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3" fontId="2" fillId="0" borderId="0" xfId="0" applyNumberFormat="1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right"/>
      <protection locked="0"/>
    </xf>
    <xf numFmtId="4" fontId="2" fillId="0" borderId="0" xfId="0" applyNumberFormat="1" applyFont="1" applyProtection="1">
      <protection locked="0"/>
    </xf>
    <xf numFmtId="165" fontId="2" fillId="0" borderId="0" xfId="1" applyNumberFormat="1" applyFont="1" applyFill="1" applyBorder="1" applyProtection="1">
      <protection locked="0"/>
    </xf>
    <xf numFmtId="3" fontId="2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164" fontId="5" fillId="0" borderId="0" xfId="0" applyNumberFormat="1" applyFont="1" applyAlignment="1" applyProtection="1">
      <alignment horizontal="center"/>
      <protection locked="0"/>
    </xf>
    <xf numFmtId="0" fontId="2" fillId="2" borderId="2" xfId="0" applyFont="1" applyFill="1" applyBorder="1" applyProtection="1">
      <protection locked="0"/>
    </xf>
    <xf numFmtId="0" fontId="2" fillId="2" borderId="2" xfId="0" applyFont="1" applyFill="1" applyBorder="1" applyAlignment="1" applyProtection="1">
      <alignment horizontal="right"/>
      <protection locked="0"/>
    </xf>
    <xf numFmtId="3" fontId="2" fillId="0" borderId="1" xfId="0" applyNumberFormat="1" applyFont="1" applyBorder="1" applyProtection="1">
      <protection locked="0"/>
    </xf>
    <xf numFmtId="0" fontId="7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2" fillId="0" borderId="0" xfId="0" applyFont="1"/>
    <xf numFmtId="10" fontId="11" fillId="0" borderId="0" xfId="0" applyNumberFormat="1" applyFont="1" applyAlignment="1" applyProtection="1">
      <alignment horizontal="center"/>
      <protection locked="0"/>
    </xf>
    <xf numFmtId="3" fontId="12" fillId="0" borderId="0" xfId="0" applyNumberFormat="1" applyFont="1" applyAlignment="1" applyProtection="1">
      <alignment horizontal="right"/>
      <protection locked="0"/>
    </xf>
    <xf numFmtId="3" fontId="12" fillId="0" borderId="0" xfId="0" applyNumberFormat="1" applyFont="1" applyAlignment="1" applyProtection="1">
      <alignment horizontal="center"/>
      <protection locked="0"/>
    </xf>
    <xf numFmtId="4" fontId="12" fillId="0" borderId="0" xfId="0" applyNumberFormat="1" applyFont="1" applyAlignment="1" applyProtection="1">
      <alignment horizontal="center"/>
      <protection locked="0"/>
    </xf>
    <xf numFmtId="0" fontId="6" fillId="2" borderId="2" xfId="0" applyFont="1" applyFill="1" applyBorder="1" applyProtection="1">
      <protection locked="0"/>
    </xf>
    <xf numFmtId="164" fontId="6" fillId="2" borderId="2" xfId="0" applyNumberFormat="1" applyFont="1" applyFill="1" applyBorder="1" applyAlignment="1" applyProtection="1">
      <alignment horizontal="right"/>
      <protection locked="0"/>
    </xf>
    <xf numFmtId="3" fontId="12" fillId="0" borderId="0" xfId="0" applyNumberFormat="1" applyFont="1" applyProtection="1">
      <protection locked="0"/>
    </xf>
    <xf numFmtId="43" fontId="12" fillId="0" borderId="0" xfId="1" applyFont="1"/>
    <xf numFmtId="0" fontId="12" fillId="0" borderId="1" xfId="0" applyFont="1" applyBorder="1" applyProtection="1">
      <protection locked="0"/>
    </xf>
    <xf numFmtId="3" fontId="12" fillId="0" borderId="1" xfId="0" applyNumberFormat="1" applyFont="1" applyBorder="1" applyProtection="1">
      <protection locked="0"/>
    </xf>
    <xf numFmtId="0" fontId="12" fillId="0" borderId="0" xfId="0" applyFont="1" applyAlignment="1" applyProtection="1">
      <alignment horizontal="right"/>
      <protection locked="0"/>
    </xf>
    <xf numFmtId="4" fontId="12" fillId="0" borderId="0" xfId="0" applyNumberFormat="1" applyFont="1" applyProtection="1">
      <protection locked="0"/>
    </xf>
    <xf numFmtId="165" fontId="12" fillId="0" borderId="0" xfId="1" applyNumberFormat="1" applyFont="1" applyFill="1" applyBorder="1" applyProtection="1">
      <protection locked="0"/>
    </xf>
    <xf numFmtId="0" fontId="12" fillId="0" borderId="0" xfId="0" applyFont="1" applyAlignment="1">
      <alignment horizontal="left"/>
    </xf>
    <xf numFmtId="0" fontId="11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1" fillId="0" borderId="0" xfId="0" applyFont="1" applyAlignment="1">
      <alignment horizontal="left"/>
    </xf>
    <xf numFmtId="43" fontId="13" fillId="0" borderId="0" xfId="1" applyFont="1"/>
    <xf numFmtId="0" fontId="12" fillId="0" borderId="0" xfId="0" applyFont="1" applyAlignment="1">
      <alignment horizontal="right"/>
    </xf>
    <xf numFmtId="15" fontId="12" fillId="0" borderId="0" xfId="0" applyNumberFormat="1" applyFont="1"/>
    <xf numFmtId="4" fontId="12" fillId="0" borderId="0" xfId="0" applyNumberFormat="1" applyFont="1"/>
    <xf numFmtId="0" fontId="14" fillId="0" borderId="0" xfId="0" applyFont="1" applyProtection="1">
      <protection locked="0"/>
    </xf>
    <xf numFmtId="3" fontId="14" fillId="0" borderId="0" xfId="0" applyNumberFormat="1" applyFont="1" applyAlignment="1" applyProtection="1">
      <alignment horizontal="right"/>
      <protection locked="0"/>
    </xf>
    <xf numFmtId="1" fontId="12" fillId="0" borderId="0" xfId="0" applyNumberFormat="1" applyFont="1" applyProtection="1">
      <protection locked="0"/>
    </xf>
    <xf numFmtId="1" fontId="12" fillId="0" borderId="0" xfId="0" applyNumberFormat="1" applyFont="1" applyAlignment="1" applyProtection="1">
      <alignment horizontal="right"/>
      <protection locked="0"/>
    </xf>
    <xf numFmtId="1" fontId="12" fillId="0" borderId="0" xfId="0" applyNumberFormat="1" applyFont="1"/>
    <xf numFmtId="164" fontId="2" fillId="0" borderId="0" xfId="0" applyNumberFormat="1" applyFont="1" applyAlignment="1" applyProtection="1">
      <alignment horizontal="right"/>
      <protection locked="0"/>
    </xf>
    <xf numFmtId="0" fontId="14" fillId="0" borderId="0" xfId="0" applyFont="1"/>
    <xf numFmtId="166" fontId="12" fillId="0" borderId="0" xfId="0" applyNumberFormat="1" applyFont="1" applyAlignment="1" applyProtection="1">
      <alignment horizontal="right"/>
      <protection locked="0"/>
    </xf>
    <xf numFmtId="164" fontId="5" fillId="0" borderId="0" xfId="0" applyNumberFormat="1" applyFont="1" applyAlignment="1" applyProtection="1">
      <alignment horizontal="right"/>
      <protection locked="0"/>
    </xf>
    <xf numFmtId="3" fontId="2" fillId="0" borderId="0" xfId="0" applyNumberFormat="1" applyFont="1"/>
    <xf numFmtId="0" fontId="5" fillId="0" borderId="0" xfId="0" applyFont="1" applyAlignment="1" applyProtection="1">
      <alignment horizontal="right"/>
      <protection locked="0"/>
    </xf>
    <xf numFmtId="3" fontId="5" fillId="0" borderId="0" xfId="0" applyNumberFormat="1" applyFont="1"/>
    <xf numFmtId="43" fontId="12" fillId="0" borderId="0" xfId="0" applyNumberFormat="1" applyFont="1"/>
    <xf numFmtId="3" fontId="5" fillId="2" borderId="2" xfId="0" applyNumberFormat="1" applyFont="1" applyFill="1" applyBorder="1"/>
    <xf numFmtId="164" fontId="5" fillId="2" borderId="2" xfId="0" applyNumberFormat="1" applyFont="1" applyFill="1" applyBorder="1" applyAlignment="1" applyProtection="1">
      <alignment horizontal="right"/>
      <protection locked="0"/>
    </xf>
    <xf numFmtId="3" fontId="5" fillId="0" borderId="5" xfId="0" applyNumberFormat="1" applyFont="1" applyBorder="1"/>
    <xf numFmtId="164" fontId="5" fillId="0" borderId="5" xfId="0" applyNumberFormat="1" applyFont="1" applyBorder="1" applyAlignment="1" applyProtection="1">
      <alignment horizontal="right"/>
      <protection locked="0"/>
    </xf>
    <xf numFmtId="3" fontId="5" fillId="0" borderId="6" xfId="0" applyNumberFormat="1" applyFont="1" applyBorder="1"/>
    <xf numFmtId="164" fontId="5" fillId="0" borderId="6" xfId="0" applyNumberFormat="1" applyFont="1" applyBorder="1" applyAlignment="1" applyProtection="1">
      <alignment horizontal="right"/>
      <protection locked="0"/>
    </xf>
    <xf numFmtId="164" fontId="2" fillId="0" borderId="4" xfId="0" applyNumberFormat="1" applyFont="1" applyBorder="1" applyAlignment="1" applyProtection="1">
      <alignment horizontal="right"/>
      <protection locked="0"/>
    </xf>
    <xf numFmtId="3" fontId="2" fillId="0" borderId="4" xfId="0" applyNumberFormat="1" applyFont="1" applyBorder="1" applyAlignment="1" applyProtection="1">
      <alignment horizontal="right"/>
      <protection locked="0"/>
    </xf>
    <xf numFmtId="9" fontId="2" fillId="0" borderId="4" xfId="2" applyFont="1" applyFill="1" applyBorder="1" applyAlignment="1" applyProtection="1">
      <alignment horizontal="right"/>
      <protection locked="0"/>
    </xf>
    <xf numFmtId="0" fontId="2" fillId="0" borderId="4" xfId="0" applyFont="1" applyBorder="1" applyAlignment="1" applyProtection="1">
      <alignment horizontal="right"/>
      <protection locked="0"/>
    </xf>
    <xf numFmtId="9" fontId="2" fillId="0" borderId="4" xfId="0" applyNumberFormat="1" applyFont="1" applyBorder="1" applyAlignment="1" applyProtection="1">
      <alignment horizontal="right"/>
      <protection locked="0"/>
    </xf>
    <xf numFmtId="0" fontId="12" fillId="0" borderId="0" xfId="0" applyFont="1" applyAlignment="1">
      <alignment horizontal="center"/>
    </xf>
    <xf numFmtId="43" fontId="12" fillId="0" borderId="0" xfId="1" applyFont="1" applyAlignment="1">
      <alignment horizontal="center"/>
    </xf>
    <xf numFmtId="4" fontId="12" fillId="0" borderId="0" xfId="0" applyNumberFormat="1" applyFont="1" applyAlignment="1">
      <alignment horizontal="center"/>
    </xf>
    <xf numFmtId="1" fontId="2" fillId="0" borderId="0" xfId="0" applyNumberFormat="1" applyFont="1" applyProtection="1">
      <protection locked="0"/>
    </xf>
    <xf numFmtId="164" fontId="2" fillId="3" borderId="0" xfId="0" applyNumberFormat="1" applyFont="1" applyFill="1" applyAlignment="1" applyProtection="1">
      <alignment horizontal="right"/>
      <protection locked="0"/>
    </xf>
    <xf numFmtId="164" fontId="2" fillId="2" borderId="6" xfId="0" applyNumberFormat="1" applyFont="1" applyFill="1" applyBorder="1" applyAlignment="1" applyProtection="1">
      <alignment horizontal="right"/>
      <protection locked="0"/>
    </xf>
    <xf numFmtId="43" fontId="15" fillId="0" borderId="0" xfId="1" applyFont="1"/>
    <xf numFmtId="0" fontId="15" fillId="0" borderId="0" xfId="0" applyFont="1"/>
    <xf numFmtId="15" fontId="12" fillId="0" borderId="0" xfId="0" applyNumberFormat="1" applyFont="1" applyAlignment="1">
      <alignment horizontal="center"/>
    </xf>
    <xf numFmtId="164" fontId="12" fillId="0" borderId="4" xfId="0" applyNumberFormat="1" applyFont="1" applyBorder="1" applyAlignment="1" applyProtection="1">
      <alignment horizontal="right"/>
      <protection locked="0"/>
    </xf>
    <xf numFmtId="3" fontId="12" fillId="0" borderId="4" xfId="0" applyNumberFormat="1" applyFont="1" applyBorder="1" applyAlignment="1" applyProtection="1">
      <alignment horizontal="right"/>
      <protection locked="0"/>
    </xf>
    <xf numFmtId="0" fontId="11" fillId="4" borderId="7" xfId="0" applyFont="1" applyFill="1" applyBorder="1"/>
    <xf numFmtId="0" fontId="11" fillId="4" borderId="8" xfId="0" applyFont="1" applyFill="1" applyBorder="1" applyAlignment="1">
      <alignment horizontal="center"/>
    </xf>
    <xf numFmtId="164" fontId="12" fillId="0" borderId="0" xfId="0" applyNumberFormat="1" applyFont="1"/>
    <xf numFmtId="0" fontId="11" fillId="0" borderId="4" xfId="0" applyFont="1" applyBorder="1" applyAlignment="1">
      <alignment horizontal="left"/>
    </xf>
    <xf numFmtId="0" fontId="12" fillId="0" borderId="4" xfId="0" applyFont="1" applyBorder="1" applyAlignment="1">
      <alignment horizontal="right"/>
    </xf>
    <xf numFmtId="164" fontId="12" fillId="0" borderId="2" xfId="1" applyNumberFormat="1" applyFont="1" applyBorder="1"/>
    <xf numFmtId="164" fontId="12" fillId="0" borderId="2" xfId="0" applyNumberFormat="1" applyFont="1" applyBorder="1"/>
    <xf numFmtId="164" fontId="12" fillId="0" borderId="3" xfId="0" applyNumberFormat="1" applyFont="1" applyBorder="1"/>
    <xf numFmtId="164" fontId="12" fillId="0" borderId="0" xfId="0" applyNumberFormat="1" applyFont="1" applyAlignment="1" applyProtection="1">
      <alignment horizontal="right"/>
      <protection locked="0"/>
    </xf>
    <xf numFmtId="9" fontId="12" fillId="0" borderId="4" xfId="2" applyFont="1" applyFill="1" applyBorder="1" applyAlignment="1" applyProtection="1">
      <alignment horizontal="right"/>
      <protection locked="0"/>
    </xf>
    <xf numFmtId="3" fontId="11" fillId="0" borderId="0" xfId="0" applyNumberFormat="1" applyFont="1"/>
    <xf numFmtId="0" fontId="12" fillId="0" borderId="4" xfId="0" applyFont="1" applyBorder="1" applyAlignment="1" applyProtection="1">
      <alignment horizontal="right"/>
      <protection locked="0"/>
    </xf>
    <xf numFmtId="164" fontId="11" fillId="0" borderId="0" xfId="0" applyNumberFormat="1" applyFont="1" applyAlignment="1" applyProtection="1">
      <alignment horizontal="right"/>
      <protection locked="0"/>
    </xf>
    <xf numFmtId="0" fontId="11" fillId="0" borderId="0" xfId="0" applyFont="1" applyAlignment="1" applyProtection="1">
      <alignment horizontal="right"/>
      <protection locked="0"/>
    </xf>
    <xf numFmtId="3" fontId="11" fillId="2" borderId="2" xfId="0" applyNumberFormat="1" applyFont="1" applyFill="1" applyBorder="1"/>
    <xf numFmtId="164" fontId="11" fillId="2" borderId="2" xfId="0" applyNumberFormat="1" applyFont="1" applyFill="1" applyBorder="1" applyAlignment="1" applyProtection="1">
      <alignment horizontal="right"/>
      <protection locked="0"/>
    </xf>
    <xf numFmtId="3" fontId="11" fillId="0" borderId="5" xfId="0" applyNumberFormat="1" applyFont="1" applyBorder="1"/>
    <xf numFmtId="164" fontId="11" fillId="0" borderId="5" xfId="0" applyNumberFormat="1" applyFont="1" applyBorder="1" applyAlignment="1" applyProtection="1">
      <alignment horizontal="right"/>
      <protection locked="0"/>
    </xf>
    <xf numFmtId="3" fontId="12" fillId="0" borderId="5" xfId="0" applyNumberFormat="1" applyFont="1" applyBorder="1" applyAlignment="1" applyProtection="1">
      <alignment horizontal="right"/>
      <protection locked="0"/>
    </xf>
    <xf numFmtId="3" fontId="11" fillId="0" borderId="6" xfId="0" applyNumberFormat="1" applyFont="1" applyBorder="1"/>
    <xf numFmtId="164" fontId="11" fillId="0" borderId="6" xfId="0" applyNumberFormat="1" applyFont="1" applyBorder="1" applyAlignment="1" applyProtection="1">
      <alignment horizontal="right"/>
      <protection locked="0"/>
    </xf>
    <xf numFmtId="3" fontId="12" fillId="0" borderId="6" xfId="0" applyNumberFormat="1" applyFont="1" applyBorder="1" applyAlignment="1" applyProtection="1">
      <alignment horizontal="right"/>
      <protection locked="0"/>
    </xf>
    <xf numFmtId="164" fontId="6" fillId="2" borderId="2" xfId="0" applyNumberFormat="1" applyFont="1" applyFill="1" applyBorder="1" applyAlignment="1">
      <alignment horizontal="right"/>
    </xf>
    <xf numFmtId="164" fontId="2" fillId="0" borderId="4" xfId="0" applyNumberFormat="1" applyFont="1" applyBorder="1" applyAlignment="1">
      <alignment horizontal="right"/>
    </xf>
    <xf numFmtId="41" fontId="2" fillId="0" borderId="4" xfId="1" applyNumberFormat="1" applyFont="1" applyFill="1" applyBorder="1" applyAlignment="1" applyProtection="1">
      <alignment horizontal="right"/>
    </xf>
    <xf numFmtId="0" fontId="3" fillId="0" borderId="0" xfId="0" applyFont="1"/>
    <xf numFmtId="3" fontId="2" fillId="0" borderId="5" xfId="0" applyNumberFormat="1" applyFont="1" applyBorder="1" applyAlignment="1">
      <alignment horizontal="right"/>
    </xf>
    <xf numFmtId="3" fontId="2" fillId="0" borderId="6" xfId="0" applyNumberFormat="1" applyFont="1" applyBorder="1" applyAlignment="1">
      <alignment horizontal="right"/>
    </xf>
    <xf numFmtId="3" fontId="12" fillId="0" borderId="0" xfId="0" applyNumberFormat="1" applyFont="1" applyAlignment="1">
      <alignment horizontal="right"/>
    </xf>
    <xf numFmtId="0" fontId="7" fillId="0" borderId="0" xfId="0" applyFont="1"/>
    <xf numFmtId="9" fontId="2" fillId="0" borderId="0" xfId="2" applyFont="1" applyFill="1" applyBorder="1" applyAlignment="1" applyProtection="1">
      <alignment horizontal="right"/>
      <protection locked="0"/>
    </xf>
    <xf numFmtId="16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2" fillId="0" borderId="0" xfId="0" applyNumberFormat="1" applyFont="1" applyAlignment="1" applyProtection="1">
      <alignment horizontal="left"/>
      <protection locked="0"/>
    </xf>
    <xf numFmtId="43" fontId="12" fillId="0" borderId="0" xfId="1" applyFont="1" applyFill="1"/>
    <xf numFmtId="1" fontId="12" fillId="0" borderId="0" xfId="0" applyNumberFormat="1" applyFont="1" applyAlignment="1">
      <alignment horizontal="center" vertical="center"/>
    </xf>
    <xf numFmtId="164" fontId="12" fillId="0" borderId="4" xfId="0" applyNumberFormat="1" applyFont="1" applyBorder="1"/>
    <xf numFmtId="165" fontId="12" fillId="0" borderId="4" xfId="1" applyNumberFormat="1" applyFont="1" applyFill="1" applyBorder="1"/>
    <xf numFmtId="164" fontId="11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5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2" fillId="2" borderId="2" xfId="0" applyNumberFormat="1" applyFont="1" applyFill="1" applyBorder="1" applyAlignment="1" applyProtection="1">
      <alignment horizontal="right"/>
      <protection locked="0"/>
    </xf>
    <xf numFmtId="164" fontId="2" fillId="0" borderId="0" xfId="0" applyNumberFormat="1" applyFont="1" applyAlignment="1" applyProtection="1">
      <alignment horizontal="left"/>
      <protection locked="0"/>
    </xf>
    <xf numFmtId="1" fontId="2" fillId="0" borderId="11" xfId="0" applyNumberFormat="1" applyFont="1" applyBorder="1" applyAlignment="1" applyProtection="1">
      <alignment horizontal="right"/>
      <protection locked="0"/>
    </xf>
    <xf numFmtId="164" fontId="2" fillId="0" borderId="0" xfId="0" applyNumberFormat="1" applyFont="1"/>
    <xf numFmtId="164" fontId="2" fillId="0" borderId="4" xfId="0" applyNumberFormat="1" applyFont="1" applyBorder="1" applyAlignment="1">
      <alignment horizontal="center" vertical="center"/>
    </xf>
    <xf numFmtId="164" fontId="12" fillId="0" borderId="0" xfId="0" applyNumberFormat="1" applyFont="1" applyProtection="1">
      <protection locked="0"/>
    </xf>
    <xf numFmtId="164" fontId="12" fillId="0" borderId="4" xfId="0" applyNumberFormat="1" applyFont="1" applyBorder="1" applyAlignment="1" applyProtection="1">
      <alignment horizontal="center" vertical="center"/>
      <protection locked="0"/>
    </xf>
    <xf numFmtId="164" fontId="2" fillId="0" borderId="4" xfId="0" applyNumberFormat="1" applyFont="1" applyBorder="1" applyAlignment="1" applyProtection="1">
      <alignment horizontal="center" vertical="center"/>
      <protection locked="0"/>
    </xf>
    <xf numFmtId="164" fontId="12" fillId="0" borderId="4" xfId="1" applyNumberFormat="1" applyFont="1" applyBorder="1"/>
    <xf numFmtId="43" fontId="12" fillId="0" borderId="12" xfId="1" applyFont="1" applyBorder="1"/>
    <xf numFmtId="43" fontId="12" fillId="0" borderId="13" xfId="1" applyFont="1" applyBorder="1"/>
    <xf numFmtId="0" fontId="11" fillId="4" borderId="8" xfId="0" applyFont="1" applyFill="1" applyBorder="1"/>
    <xf numFmtId="0" fontId="11" fillId="4" borderId="9" xfId="0" applyFont="1" applyFill="1" applyBorder="1" applyAlignment="1">
      <alignment horizontal="center"/>
    </xf>
    <xf numFmtId="165" fontId="2" fillId="0" borderId="0" xfId="1" applyNumberFormat="1" applyFont="1" applyFill="1" applyBorder="1" applyAlignment="1" applyProtection="1">
      <alignment horizontal="right"/>
      <protection locked="0"/>
    </xf>
    <xf numFmtId="164" fontId="12" fillId="0" borderId="4" xfId="1" applyNumberFormat="1" applyFont="1" applyFill="1" applyBorder="1"/>
    <xf numFmtId="43" fontId="2" fillId="0" borderId="5" xfId="1" applyFont="1" applyFill="1" applyBorder="1" applyAlignment="1" applyProtection="1">
      <alignment horizontal="right"/>
      <protection locked="0"/>
    </xf>
    <xf numFmtId="43" fontId="2" fillId="0" borderId="0" xfId="1" applyFont="1" applyFill="1" applyBorder="1" applyProtection="1">
      <protection locked="0"/>
    </xf>
    <xf numFmtId="43" fontId="2" fillId="0" borderId="6" xfId="1" applyFont="1" applyFill="1" applyBorder="1" applyAlignment="1" applyProtection="1">
      <alignment horizontal="right"/>
      <protection locked="0"/>
    </xf>
    <xf numFmtId="43" fontId="2" fillId="0" borderId="0" xfId="0" applyNumberFormat="1" applyFont="1" applyProtection="1">
      <protection locked="0"/>
    </xf>
    <xf numFmtId="43" fontId="12" fillId="0" borderId="14" xfId="1" applyFont="1" applyBorder="1"/>
    <xf numFmtId="43" fontId="12" fillId="0" borderId="15" xfId="1" applyFont="1" applyBorder="1"/>
    <xf numFmtId="43" fontId="12" fillId="0" borderId="16" xfId="1" applyFont="1" applyBorder="1"/>
    <xf numFmtId="43" fontId="12" fillId="0" borderId="17" xfId="1" applyFont="1" applyBorder="1"/>
    <xf numFmtId="0" fontId="12" fillId="0" borderId="14" xfId="0" applyFont="1" applyBorder="1"/>
    <xf numFmtId="43" fontId="11" fillId="0" borderId="15" xfId="1" applyFont="1" applyBorder="1"/>
    <xf numFmtId="164" fontId="12" fillId="0" borderId="10" xfId="1" applyNumberFormat="1" applyFont="1" applyFill="1" applyBorder="1" applyAlignment="1">
      <alignment horizontal="center"/>
    </xf>
    <xf numFmtId="164" fontId="12" fillId="0" borderId="3" xfId="1" applyNumberFormat="1" applyFont="1" applyFill="1" applyBorder="1" applyAlignment="1">
      <alignment horizontal="center"/>
    </xf>
    <xf numFmtId="165" fontId="2" fillId="0" borderId="0" xfId="1" applyNumberFormat="1" applyFont="1" applyFill="1" applyBorder="1" applyAlignment="1" applyProtection="1">
      <alignment horizontal="left"/>
      <protection locked="0"/>
    </xf>
    <xf numFmtId="0" fontId="2" fillId="2" borderId="2" xfId="0" applyFont="1" applyFill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  <xf numFmtId="0" fontId="2" fillId="0" borderId="0" xfId="0" applyFont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2" fillId="2" borderId="10" xfId="0" applyFont="1" applyFill="1" applyBorder="1" applyAlignment="1" applyProtection="1">
      <protection locked="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showGridLines="0" workbookViewId="0">
      <selection activeCell="C13" sqref="C13"/>
    </sheetView>
  </sheetViews>
  <sheetFormatPr defaultColWidth="9.140625" defaultRowHeight="13.5"/>
  <cols>
    <col min="1" max="1" width="21.42578125" style="22" bestFit="1" customWidth="1"/>
    <col min="2" max="2" width="17.7109375" style="22" customWidth="1"/>
    <col min="3" max="3" width="17.42578125" style="22" customWidth="1"/>
    <col min="4" max="4" width="25.7109375" style="22" customWidth="1"/>
    <col min="5" max="5" width="23.140625" style="22" customWidth="1"/>
    <col min="6" max="6" width="9.28515625" style="22" bestFit="1" customWidth="1"/>
    <col min="7" max="7" width="12.5703125" style="22" customWidth="1"/>
    <col min="8" max="8" width="14" style="22" customWidth="1"/>
    <col min="9" max="9" width="16.5703125" style="22" customWidth="1"/>
    <col min="10" max="10" width="21.28515625" style="22" customWidth="1"/>
    <col min="11" max="11" width="12" style="22" customWidth="1"/>
    <col min="12" max="16384" width="9.140625" style="22"/>
  </cols>
  <sheetData>
    <row r="1" spans="1:11">
      <c r="A1" s="42" t="s">
        <v>0</v>
      </c>
      <c r="B1" s="22" t="s">
        <v>1</v>
      </c>
    </row>
    <row r="2" spans="1:11">
      <c r="A2" s="42" t="s">
        <v>2</v>
      </c>
      <c r="B2" s="22" t="s">
        <v>3</v>
      </c>
    </row>
    <row r="3" spans="1:11">
      <c r="A3" s="42" t="s">
        <v>4</v>
      </c>
      <c r="B3" s="22" t="s">
        <v>5</v>
      </c>
    </row>
    <row r="4" spans="1:11">
      <c r="A4" s="42" t="s">
        <v>6</v>
      </c>
      <c r="B4" s="22" t="s">
        <v>7</v>
      </c>
    </row>
    <row r="6" spans="1:11" ht="14.25" thickBot="1"/>
    <row r="7" spans="1:11" ht="15.75" thickBot="1">
      <c r="A7" s="80" t="s">
        <v>8</v>
      </c>
      <c r="B7" s="81" t="s">
        <v>9</v>
      </c>
      <c r="C7" s="81" t="s">
        <v>10</v>
      </c>
      <c r="D7" s="133" t="s">
        <v>11</v>
      </c>
      <c r="E7" s="134" t="s">
        <v>12</v>
      </c>
      <c r="G7" s="43"/>
      <c r="J7" s="57"/>
    </row>
    <row r="8" spans="1:11">
      <c r="A8" s="69">
        <v>1</v>
      </c>
      <c r="B8" s="77">
        <v>42509</v>
      </c>
      <c r="C8" s="70">
        <v>83974322.25</v>
      </c>
      <c r="D8" s="71">
        <f>C8</f>
        <v>83974322.25</v>
      </c>
      <c r="E8" s="121" t="s">
        <v>13</v>
      </c>
      <c r="F8" s="43"/>
      <c r="G8" s="115"/>
      <c r="H8" s="77"/>
      <c r="I8" s="114"/>
      <c r="J8" s="57"/>
      <c r="K8" s="121"/>
    </row>
    <row r="9" spans="1:11">
      <c r="A9" s="69">
        <v>2</v>
      </c>
      <c r="B9" s="77">
        <v>42618</v>
      </c>
      <c r="C9" s="70">
        <v>77325560.739999995</v>
      </c>
      <c r="D9" s="71">
        <f>D8+C9</f>
        <v>161299882.99000001</v>
      </c>
      <c r="E9" s="121" t="s">
        <v>14</v>
      </c>
      <c r="F9" s="43"/>
      <c r="G9" s="115"/>
      <c r="H9" s="120"/>
      <c r="I9" s="30"/>
      <c r="J9" s="57"/>
      <c r="K9" s="121"/>
    </row>
    <row r="10" spans="1:11">
      <c r="A10" s="69">
        <v>3</v>
      </c>
      <c r="B10" s="77">
        <v>42690</v>
      </c>
      <c r="C10" s="70">
        <v>64878864.549999997</v>
      </c>
      <c r="D10" s="71">
        <f>D9+C10</f>
        <v>226178747.54000002</v>
      </c>
      <c r="E10" s="121" t="s">
        <v>14</v>
      </c>
      <c r="G10" s="115"/>
      <c r="I10" s="57"/>
      <c r="J10" s="57"/>
      <c r="K10" s="121"/>
    </row>
    <row r="11" spans="1:11">
      <c r="A11" s="69">
        <v>4</v>
      </c>
      <c r="B11" s="77">
        <v>42732</v>
      </c>
      <c r="C11" s="30">
        <v>46696351.340000004</v>
      </c>
      <c r="D11" s="71">
        <f>D10+C11</f>
        <v>272875098.88</v>
      </c>
      <c r="E11" s="121" t="s">
        <v>14</v>
      </c>
      <c r="G11" s="115"/>
      <c r="H11" s="120"/>
      <c r="I11" s="30"/>
      <c r="J11" s="57"/>
      <c r="K11" s="121"/>
    </row>
    <row r="12" spans="1:11">
      <c r="A12" s="69">
        <v>5</v>
      </c>
      <c r="B12" s="77">
        <v>42745</v>
      </c>
      <c r="C12" s="30">
        <v>18977877.300000001</v>
      </c>
      <c r="D12" s="71">
        <f>D11+C12</f>
        <v>291852976.18000001</v>
      </c>
      <c r="E12" s="121" t="s">
        <v>14</v>
      </c>
      <c r="G12" s="43"/>
      <c r="J12" s="57"/>
    </row>
    <row r="13" spans="1:11">
      <c r="A13" s="69">
        <v>6</v>
      </c>
      <c r="B13" s="77">
        <v>42801</v>
      </c>
      <c r="C13" s="30">
        <v>45817023.82</v>
      </c>
      <c r="D13" s="71">
        <f>D12+C13</f>
        <v>337670000</v>
      </c>
      <c r="E13" s="121" t="s">
        <v>14</v>
      </c>
      <c r="G13" s="43"/>
      <c r="J13" s="57"/>
    </row>
    <row r="14" spans="1:11">
      <c r="B14" s="43"/>
      <c r="C14" s="30"/>
      <c r="D14" s="71"/>
      <c r="G14" s="43"/>
      <c r="J14" s="57"/>
    </row>
    <row r="15" spans="1:11">
      <c r="B15" s="43"/>
      <c r="C15" s="30"/>
      <c r="D15" s="44"/>
      <c r="G15" s="43"/>
      <c r="J15" s="57"/>
    </row>
    <row r="16" spans="1:11">
      <c r="B16" s="43"/>
      <c r="C16" s="30"/>
      <c r="D16" s="44"/>
      <c r="E16" s="22" t="s">
        <v>15</v>
      </c>
      <c r="G16" s="43"/>
      <c r="J16" s="57"/>
    </row>
    <row r="17" spans="7:7">
      <c r="G17" s="43"/>
    </row>
    <row r="18" spans="7:7">
      <c r="G18" s="43"/>
    </row>
    <row r="19" spans="7:7">
      <c r="G19" s="43"/>
    </row>
    <row r="20" spans="7:7">
      <c r="G20" s="43"/>
    </row>
    <row r="21" spans="7:7">
      <c r="G21" s="43"/>
    </row>
    <row r="22" spans="7:7">
      <c r="G22" s="43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P42"/>
  <sheetViews>
    <sheetView showGridLines="0" tabSelected="1" zoomScaleNormal="100" workbookViewId="0">
      <pane xSplit="1" ySplit="1" topLeftCell="K2" activePane="bottomRight" state="frozen"/>
      <selection pane="bottomRight" activeCell="U25" sqref="U25"/>
      <selection pane="bottomLeft" activeCell="B31" sqref="B31"/>
      <selection pane="topRight" activeCell="B31" sqref="B31"/>
    </sheetView>
  </sheetViews>
  <sheetFormatPr defaultColWidth="9.140625" defaultRowHeight="13.5"/>
  <cols>
    <col min="1" max="1" width="30.140625" style="36" bestFit="1" customWidth="1"/>
    <col min="2" max="3" width="14.5703125" style="22" bestFit="1" customWidth="1"/>
    <col min="4" max="30" width="15.5703125" style="22" bestFit="1" customWidth="1"/>
    <col min="31" max="36" width="15.5703125" style="22" customWidth="1"/>
    <col min="37" max="38" width="15.5703125" style="22" bestFit="1" customWidth="1"/>
    <col min="39" max="40" width="15.5703125" style="22" customWidth="1"/>
    <col min="41" max="41" width="15.5703125" style="22" bestFit="1" customWidth="1"/>
    <col min="42" max="48" width="15.5703125" style="22" customWidth="1"/>
    <col min="49" max="50" width="15.5703125" style="22" bestFit="1" customWidth="1"/>
    <col min="51" max="52" width="15.5703125" style="22" customWidth="1"/>
    <col min="53" max="108" width="17.28515625" style="22" bestFit="1" customWidth="1"/>
    <col min="109" max="112" width="17.28515625" style="22" customWidth="1"/>
    <col min="113" max="114" width="17.28515625" style="22" bestFit="1" customWidth="1"/>
    <col min="115" max="116" width="17.28515625" style="22" customWidth="1"/>
    <col min="117" max="117" width="17.28515625" style="22" bestFit="1" customWidth="1"/>
    <col min="118" max="120" width="17.28515625" style="22" customWidth="1"/>
    <col min="121" max="122" width="17.28515625" style="22" bestFit="1" customWidth="1"/>
    <col min="123" max="124" width="17.28515625" style="22" customWidth="1"/>
    <col min="125" max="125" width="17.28515625" style="22" bestFit="1" customWidth="1"/>
    <col min="126" max="132" width="17.28515625" style="22" customWidth="1"/>
    <col min="133" max="134" width="17.28515625" style="22" bestFit="1" customWidth="1"/>
    <col min="135" max="136" width="17.28515625" style="22" customWidth="1"/>
    <col min="137" max="137" width="17.28515625" style="22" bestFit="1" customWidth="1"/>
    <col min="138" max="138" width="9.140625" style="22"/>
    <col min="139" max="139" width="4.7109375" style="22" bestFit="1" customWidth="1"/>
    <col min="140" max="16384" width="9.140625" style="22"/>
  </cols>
  <sheetData>
    <row r="1" spans="1:120" ht="15">
      <c r="B1" s="28">
        <f>Accrual_PABL!D23</f>
        <v>42522</v>
      </c>
      <c r="C1" s="28">
        <f>Accrual_PABL!E23</f>
        <v>42552</v>
      </c>
      <c r="D1" s="28">
        <f>Accrual_PABL!F23</f>
        <v>42583</v>
      </c>
      <c r="E1" s="28">
        <f>Accrual_PABL!G23</f>
        <v>42614</v>
      </c>
      <c r="F1" s="28">
        <f>Accrual_PABL!H23</f>
        <v>42644</v>
      </c>
      <c r="G1" s="28">
        <f>Accrual_PABL!I23</f>
        <v>42675</v>
      </c>
      <c r="H1" s="28">
        <f>Accrual_PABL!J23</f>
        <v>42705</v>
      </c>
      <c r="I1" s="28">
        <f>Accrual_PABL!K23</f>
        <v>42736</v>
      </c>
      <c r="J1" s="28">
        <f>Accrual_PABL!L23</f>
        <v>42767</v>
      </c>
      <c r="K1" s="28">
        <f>Accrual_PABL!M23</f>
        <v>42795</v>
      </c>
      <c r="L1" s="28">
        <f>Accrual_PABL!N23</f>
        <v>42826</v>
      </c>
      <c r="M1" s="28">
        <f>Accrual_PABL!O23</f>
        <v>42856</v>
      </c>
      <c r="N1" s="28">
        <f>Accrual_PABL!P23</f>
        <v>42887</v>
      </c>
      <c r="O1" s="28">
        <f>Accrual_PABL!Q23</f>
        <v>42917</v>
      </c>
      <c r="P1" s="28">
        <f>Accrual_PABL!R23</f>
        <v>42948</v>
      </c>
      <c r="Q1" s="28">
        <f>Accrual_PABL!S23</f>
        <v>42979</v>
      </c>
      <c r="R1" s="28">
        <f>Accrual_PABL!T23</f>
        <v>43009</v>
      </c>
      <c r="S1" s="28">
        <f>Accrual_PABL!U23</f>
        <v>43040</v>
      </c>
      <c r="T1" s="28">
        <f>Accrual_PABL!V23</f>
        <v>43070</v>
      </c>
      <c r="U1" s="28">
        <f>Accrual_PABL!W23</f>
        <v>43101</v>
      </c>
      <c r="V1" s="28">
        <f>Accrual_PABL!X23</f>
        <v>43132</v>
      </c>
      <c r="W1" s="28">
        <f>Accrual_PABL!Y23</f>
        <v>43160</v>
      </c>
      <c r="X1" s="28">
        <f>Accrual_PABL!Z23</f>
        <v>43191</v>
      </c>
      <c r="Y1" s="28">
        <f>Accrual_PABL!AA23</f>
        <v>43221</v>
      </c>
      <c r="Z1" s="28">
        <f>Accrual_PABL!AB23</f>
        <v>43252</v>
      </c>
      <c r="AA1" s="28">
        <f>Accrual_PABL!AC23</f>
        <v>43282</v>
      </c>
      <c r="AB1" s="28">
        <f>Accrual_PABL!AD23</f>
        <v>43313</v>
      </c>
      <c r="AC1" s="28">
        <f>Accrual_PABL!AE23</f>
        <v>43344</v>
      </c>
      <c r="AD1" s="28">
        <f>Accrual_PABL!AF23</f>
        <v>43374</v>
      </c>
      <c r="AE1" s="28">
        <f>Accrual_PABL!AG23</f>
        <v>43405</v>
      </c>
      <c r="AF1" s="28">
        <f>Accrual_PABL!AH23</f>
        <v>43435</v>
      </c>
      <c r="AG1" s="28">
        <f>Accrual_PABL!AI23</f>
        <v>43466</v>
      </c>
      <c r="AH1" s="28">
        <f>Accrual_PABL!AJ23</f>
        <v>43497</v>
      </c>
      <c r="AI1" s="28">
        <f>Accrual_PABL!AK23</f>
        <v>43525</v>
      </c>
      <c r="AJ1" s="28">
        <f>Accrual_PABL!AL23</f>
        <v>43556</v>
      </c>
      <c r="AK1" s="28">
        <f>Accrual_PABL!AM23</f>
        <v>43586</v>
      </c>
      <c r="AL1" s="28">
        <f>Accrual_PABL!AN23</f>
        <v>43617</v>
      </c>
      <c r="AM1" s="28">
        <f>Accrual_PABL!AO23</f>
        <v>43647</v>
      </c>
      <c r="AN1" s="28">
        <f>Accrual_PABL!AP23</f>
        <v>43678</v>
      </c>
      <c r="AO1" s="28">
        <f>Accrual_PABL!AQ23</f>
        <v>43709</v>
      </c>
      <c r="AP1" s="28">
        <f>Accrual_PABL!AR23</f>
        <v>43739</v>
      </c>
      <c r="AQ1" s="28">
        <f>Accrual_PABL!AS23</f>
        <v>43770</v>
      </c>
      <c r="AR1" s="28">
        <f>Accrual_PABL!AT23</f>
        <v>43800</v>
      </c>
      <c r="AS1" s="28">
        <f>Accrual_PABL!AU23</f>
        <v>43831</v>
      </c>
      <c r="AT1" s="28">
        <f>Accrual_PABL!AV23</f>
        <v>43862</v>
      </c>
      <c r="AU1" s="28">
        <f>Accrual_PABL!AW23</f>
        <v>43891</v>
      </c>
      <c r="AV1" s="28">
        <f>Accrual_PABL!AX23</f>
        <v>43922</v>
      </c>
      <c r="AW1" s="28">
        <f>Accrual_PABL!AY23</f>
        <v>43952</v>
      </c>
      <c r="AX1" s="28">
        <f>Accrual_PABL!AZ23</f>
        <v>43983</v>
      </c>
      <c r="AY1" s="28">
        <f>Accrual_PABL!BA23</f>
        <v>44013</v>
      </c>
      <c r="AZ1" s="28">
        <f>Accrual_PABL!BB23</f>
        <v>44044</v>
      </c>
      <c r="BA1" s="28">
        <f>Accrual_PABL!BC23</f>
        <v>44075</v>
      </c>
      <c r="BB1" s="28">
        <f>Accrual_PABL!BD23</f>
        <v>44105</v>
      </c>
      <c r="BC1" s="28">
        <f>Accrual_PABL!BE23</f>
        <v>44136</v>
      </c>
      <c r="BD1" s="28">
        <f>Accrual_PABL!BF23</f>
        <v>44166</v>
      </c>
      <c r="BE1" s="28">
        <f>Accrual_PABL!BG23</f>
        <v>44197</v>
      </c>
      <c r="BF1" s="28">
        <f>Accrual_PABL!BH23</f>
        <v>44228</v>
      </c>
      <c r="BG1" s="28">
        <f>Accrual_PABL!BI23</f>
        <v>44256</v>
      </c>
      <c r="BH1" s="28">
        <f>Accrual_PABL!BJ23</f>
        <v>44287</v>
      </c>
      <c r="BI1" s="28">
        <f>Accrual_PABL!BK23</f>
        <v>44317</v>
      </c>
      <c r="BJ1" s="28">
        <f>Accrual_PABL!BL23</f>
        <v>44348</v>
      </c>
      <c r="BK1" s="28">
        <f>Accrual_PABL!BM23</f>
        <v>44378</v>
      </c>
      <c r="BL1" s="28">
        <f>Accrual_PABL!BN23</f>
        <v>44409</v>
      </c>
      <c r="BM1" s="28">
        <f>Accrual_PABL!BO23</f>
        <v>44440</v>
      </c>
      <c r="BN1" s="28">
        <f>Accrual_PABL!BP23</f>
        <v>44470</v>
      </c>
      <c r="BO1" s="28">
        <f>Accrual_PABL!BQ23</f>
        <v>44501</v>
      </c>
      <c r="BP1" s="28">
        <f>Accrual_PABL!BR23</f>
        <v>44531</v>
      </c>
      <c r="BQ1" s="28">
        <f>Accrual_PABL!BS23</f>
        <v>44562</v>
      </c>
      <c r="BR1" s="28">
        <f>Accrual_PABL!BT23</f>
        <v>44593</v>
      </c>
      <c r="BS1" s="28">
        <f>Accrual_PABL!BU23</f>
        <v>44621</v>
      </c>
      <c r="BT1" s="28">
        <f>Accrual_PABL!BV23</f>
        <v>44652</v>
      </c>
      <c r="BU1" s="28">
        <f>Accrual_PABL!BW23</f>
        <v>44682</v>
      </c>
      <c r="BV1" s="28">
        <f>Accrual_PABL!BX23</f>
        <v>44713</v>
      </c>
      <c r="BW1" s="28">
        <f>Accrual_PABL!BY23</f>
        <v>44743</v>
      </c>
      <c r="BX1" s="28">
        <f>Accrual_PABL!BZ23</f>
        <v>44774</v>
      </c>
      <c r="BY1" s="28">
        <f>Accrual_PABL!CA23</f>
        <v>44805</v>
      </c>
      <c r="BZ1" s="28">
        <f>Accrual_PABL!CB23</f>
        <v>44835</v>
      </c>
      <c r="CA1" s="28">
        <f>Accrual_PABL!CC23</f>
        <v>44866</v>
      </c>
      <c r="CB1" s="28">
        <f>Accrual_PABL!CD23</f>
        <v>44896</v>
      </c>
      <c r="CC1" s="28">
        <f>Accrual_PABL!CE23</f>
        <v>44927</v>
      </c>
      <c r="CD1" s="28">
        <f>Accrual_PABL!CF23</f>
        <v>44958</v>
      </c>
      <c r="CE1" s="28">
        <f>Accrual_PABL!CG23</f>
        <v>44986</v>
      </c>
      <c r="CF1" s="28">
        <f>Accrual_PABL!CH23</f>
        <v>45017</v>
      </c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</row>
    <row r="2" spans="1:120" ht="15">
      <c r="A2" s="37" t="s">
        <v>16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</row>
    <row r="3" spans="1:120">
      <c r="A3" s="38" t="s">
        <v>17</v>
      </c>
      <c r="B3" s="30">
        <f>Accrual_PABL!D24</f>
        <v>83974322.25</v>
      </c>
      <c r="C3" s="30">
        <f>Accrual_PABL!E24</f>
        <v>83974322.25</v>
      </c>
      <c r="D3" s="30">
        <f>Accrual_PABL!F24</f>
        <v>83974322.25</v>
      </c>
      <c r="E3" s="30">
        <f>Accrual_PABL!G24</f>
        <v>83974322.25</v>
      </c>
      <c r="F3" s="30">
        <f>Accrual_PABL!H24</f>
        <v>161299882.99000001</v>
      </c>
      <c r="G3" s="30">
        <f>Accrual_PABL!I24</f>
        <v>161299882.99000001</v>
      </c>
      <c r="H3" s="30">
        <f>Accrual_PABL!J24</f>
        <v>226178747.54000002</v>
      </c>
      <c r="I3" s="30">
        <f>Accrual_PABL!K24</f>
        <v>272875098.88</v>
      </c>
      <c r="J3" s="30">
        <f>Accrual_PABL!L24</f>
        <v>291852976.18000001</v>
      </c>
      <c r="K3" s="30">
        <f>Accrual_PABL!M24</f>
        <v>291852976.18000001</v>
      </c>
      <c r="L3" s="30">
        <f>Accrual_PABL!N24</f>
        <v>337670000</v>
      </c>
      <c r="M3" s="30">
        <f>Accrual_PABL!O24</f>
        <v>337670000</v>
      </c>
      <c r="N3" s="30">
        <f>Accrual_PABL!P24</f>
        <v>337670000</v>
      </c>
      <c r="O3" s="30">
        <f>N3</f>
        <v>337670000</v>
      </c>
      <c r="P3" s="30">
        <f t="shared" ref="P3:BX3" si="0">O3</f>
        <v>337670000</v>
      </c>
      <c r="Q3" s="30">
        <f t="shared" si="0"/>
        <v>337670000</v>
      </c>
      <c r="R3" s="30">
        <f t="shared" si="0"/>
        <v>337670000</v>
      </c>
      <c r="S3" s="30">
        <f t="shared" si="0"/>
        <v>337670000</v>
      </c>
      <c r="T3" s="30">
        <f t="shared" si="0"/>
        <v>337670000</v>
      </c>
      <c r="U3" s="30">
        <f t="shared" si="0"/>
        <v>337670000</v>
      </c>
      <c r="V3" s="30">
        <f t="shared" si="0"/>
        <v>337670000</v>
      </c>
      <c r="W3" s="30">
        <f t="shared" si="0"/>
        <v>337670000</v>
      </c>
      <c r="X3" s="30">
        <f t="shared" si="0"/>
        <v>337670000</v>
      </c>
      <c r="Y3" s="30">
        <f t="shared" si="0"/>
        <v>337670000</v>
      </c>
      <c r="Z3" s="30">
        <f t="shared" si="0"/>
        <v>337670000</v>
      </c>
      <c r="AA3" s="30">
        <f t="shared" si="0"/>
        <v>337670000</v>
      </c>
      <c r="AB3" s="30">
        <f t="shared" si="0"/>
        <v>337670000</v>
      </c>
      <c r="AC3" s="30">
        <f t="shared" si="0"/>
        <v>337670000</v>
      </c>
      <c r="AD3" s="30">
        <f t="shared" si="0"/>
        <v>337670000</v>
      </c>
      <c r="AE3" s="30">
        <f t="shared" si="0"/>
        <v>337670000</v>
      </c>
      <c r="AF3" s="30">
        <f t="shared" si="0"/>
        <v>337670000</v>
      </c>
      <c r="AG3" s="30">
        <f t="shared" si="0"/>
        <v>337670000</v>
      </c>
      <c r="AH3" s="30">
        <f t="shared" si="0"/>
        <v>337670000</v>
      </c>
      <c r="AI3" s="30">
        <f t="shared" si="0"/>
        <v>337670000</v>
      </c>
      <c r="AJ3" s="30">
        <f t="shared" si="0"/>
        <v>337670000</v>
      </c>
      <c r="AK3" s="30">
        <f t="shared" si="0"/>
        <v>337670000</v>
      </c>
      <c r="AL3" s="30">
        <f t="shared" si="0"/>
        <v>337670000</v>
      </c>
      <c r="AM3" s="30">
        <f t="shared" si="0"/>
        <v>337670000</v>
      </c>
      <c r="AN3" s="30">
        <f t="shared" si="0"/>
        <v>337670000</v>
      </c>
      <c r="AO3" s="30">
        <f t="shared" si="0"/>
        <v>337670000</v>
      </c>
      <c r="AP3" s="30">
        <f t="shared" si="0"/>
        <v>337670000</v>
      </c>
      <c r="AQ3" s="30">
        <f t="shared" si="0"/>
        <v>337670000</v>
      </c>
      <c r="AR3" s="30">
        <f t="shared" si="0"/>
        <v>337670000</v>
      </c>
      <c r="AS3" s="30">
        <f t="shared" si="0"/>
        <v>337670000</v>
      </c>
      <c r="AT3" s="30">
        <f t="shared" si="0"/>
        <v>337670000</v>
      </c>
      <c r="AU3" s="30">
        <f t="shared" si="0"/>
        <v>337670000</v>
      </c>
      <c r="AV3" s="30">
        <f t="shared" si="0"/>
        <v>337670000</v>
      </c>
      <c r="AW3" s="30">
        <f t="shared" si="0"/>
        <v>337670000</v>
      </c>
      <c r="AX3" s="30">
        <f t="shared" si="0"/>
        <v>337670000</v>
      </c>
      <c r="AY3" s="30">
        <f t="shared" si="0"/>
        <v>337670000</v>
      </c>
      <c r="AZ3" s="30">
        <f t="shared" si="0"/>
        <v>337670000</v>
      </c>
      <c r="BA3" s="30">
        <f t="shared" si="0"/>
        <v>337670000</v>
      </c>
      <c r="BB3" s="30">
        <f t="shared" si="0"/>
        <v>337670000</v>
      </c>
      <c r="BC3" s="30">
        <f t="shared" si="0"/>
        <v>337670000</v>
      </c>
      <c r="BD3" s="30">
        <f t="shared" si="0"/>
        <v>337670000</v>
      </c>
      <c r="BE3" s="30">
        <f t="shared" si="0"/>
        <v>337670000</v>
      </c>
      <c r="BF3" s="30">
        <f t="shared" si="0"/>
        <v>337670000</v>
      </c>
      <c r="BG3" s="30">
        <f t="shared" si="0"/>
        <v>337670000</v>
      </c>
      <c r="BH3" s="30">
        <f t="shared" si="0"/>
        <v>337670000</v>
      </c>
      <c r="BI3" s="30">
        <f t="shared" si="0"/>
        <v>337670000</v>
      </c>
      <c r="BJ3" s="30">
        <f t="shared" si="0"/>
        <v>337670000</v>
      </c>
      <c r="BK3" s="30">
        <f t="shared" si="0"/>
        <v>337670000</v>
      </c>
      <c r="BL3" s="30">
        <f t="shared" si="0"/>
        <v>337670000</v>
      </c>
      <c r="BM3" s="30">
        <f t="shared" si="0"/>
        <v>337670000</v>
      </c>
      <c r="BN3" s="30">
        <f t="shared" si="0"/>
        <v>337670000</v>
      </c>
      <c r="BO3" s="30">
        <f t="shared" si="0"/>
        <v>337670000</v>
      </c>
      <c r="BP3" s="30">
        <f t="shared" si="0"/>
        <v>337670000</v>
      </c>
      <c r="BQ3" s="30">
        <f t="shared" si="0"/>
        <v>337670000</v>
      </c>
      <c r="BR3" s="30">
        <f t="shared" si="0"/>
        <v>337670000</v>
      </c>
      <c r="BS3" s="30">
        <f t="shared" si="0"/>
        <v>337670000</v>
      </c>
      <c r="BT3" s="30">
        <f t="shared" si="0"/>
        <v>337670000</v>
      </c>
      <c r="BU3" s="30">
        <f t="shared" si="0"/>
        <v>337670000</v>
      </c>
      <c r="BV3" s="30">
        <f t="shared" si="0"/>
        <v>337670000</v>
      </c>
      <c r="BW3" s="30">
        <f t="shared" si="0"/>
        <v>337670000</v>
      </c>
      <c r="BX3" s="30">
        <f t="shared" si="0"/>
        <v>337670000</v>
      </c>
      <c r="BY3" s="30">
        <f t="shared" ref="BY3:CF3" si="1">BX3</f>
        <v>337670000</v>
      </c>
      <c r="BZ3" s="30">
        <f t="shared" si="1"/>
        <v>337670000</v>
      </c>
      <c r="CA3" s="30">
        <f t="shared" si="1"/>
        <v>337670000</v>
      </c>
      <c r="CB3" s="30">
        <f t="shared" si="1"/>
        <v>337670000</v>
      </c>
      <c r="CC3" s="30">
        <f t="shared" si="1"/>
        <v>337670000</v>
      </c>
      <c r="CD3" s="30">
        <f t="shared" si="1"/>
        <v>337670000</v>
      </c>
      <c r="CE3" s="30">
        <f t="shared" si="1"/>
        <v>337670000</v>
      </c>
      <c r="CF3" s="30">
        <f t="shared" si="1"/>
        <v>337670000</v>
      </c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</row>
    <row r="4" spans="1:120">
      <c r="A4" s="38" t="s">
        <v>18</v>
      </c>
      <c r="B4" s="30">
        <f>Accrual_PABL!D28</f>
        <v>0</v>
      </c>
      <c r="C4" s="30">
        <f>Accrual_PABL!E28</f>
        <v>0</v>
      </c>
      <c r="D4" s="30">
        <f>Accrual_PABL!F28</f>
        <v>0</v>
      </c>
      <c r="E4" s="30">
        <f>Accrual_PABL!G28</f>
        <v>0</v>
      </c>
      <c r="F4" s="30">
        <f>Accrual_PABL!H28</f>
        <v>0</v>
      </c>
      <c r="G4" s="30">
        <f>Accrual_PABL!I28</f>
        <v>0</v>
      </c>
      <c r="H4" s="30">
        <f>Accrual_PABL!J28</f>
        <v>0</v>
      </c>
      <c r="I4" s="30">
        <f>Accrual_PABL!K28</f>
        <v>0</v>
      </c>
      <c r="J4" s="30">
        <f>Accrual_PABL!L28</f>
        <v>0</v>
      </c>
      <c r="K4" s="30">
        <f>Accrual_PABL!M28</f>
        <v>0</v>
      </c>
      <c r="L4" s="30">
        <f>Accrual_PABL!N28</f>
        <v>0</v>
      </c>
      <c r="M4" s="30">
        <f>Accrual_PABL!O28</f>
        <v>0</v>
      </c>
      <c r="N4" s="30">
        <f>Accrual_PABL!P28</f>
        <v>0</v>
      </c>
      <c r="O4" s="30">
        <f>Accrual_PABL!Q28</f>
        <v>10438332.050995832</v>
      </c>
      <c r="P4" s="30">
        <f>Accrual_PABL!R28</f>
        <v>10438332.050995832</v>
      </c>
      <c r="Q4" s="30">
        <f>Accrual_PABL!S28</f>
        <v>10438332.050995832</v>
      </c>
      <c r="R4" s="30">
        <f>Accrual_PABL!T28</f>
        <v>21137622.40326656</v>
      </c>
      <c r="S4" s="30">
        <f>Accrual_PABL!U28</f>
        <v>21137622.40326656</v>
      </c>
      <c r="T4" s="30">
        <f>Accrual_PABL!V28</f>
        <v>21137622.40326656</v>
      </c>
      <c r="U4" s="30">
        <f>Accrual_PABL!W28</f>
        <v>32104395.014344055</v>
      </c>
      <c r="V4" s="30">
        <f>Accrual_PABL!X28</f>
        <v>32104395.014344055</v>
      </c>
      <c r="W4" s="30">
        <f>Accrual_PABL!Y28</f>
        <v>32104395.014344055</v>
      </c>
      <c r="X4" s="30">
        <f>Accrual_PABL!Z28</f>
        <v>43345336.94069849</v>
      </c>
      <c r="Y4" s="30">
        <f>Accrual_PABL!AA28</f>
        <v>43345336.94069849</v>
      </c>
      <c r="Z4" s="30">
        <f>Accrual_PABL!AB28</f>
        <v>43345336.94069849</v>
      </c>
      <c r="AA4" s="30">
        <f>Accrual_PABL!AC28</f>
        <v>54867302.415211782</v>
      </c>
      <c r="AB4" s="30">
        <f>Accrual_PABL!AD28</f>
        <v>54867302.415211782</v>
      </c>
      <c r="AC4" s="30">
        <f>Accrual_PABL!AE28</f>
        <v>54867302.415211782</v>
      </c>
      <c r="AD4" s="30">
        <f>Accrual_PABL!AF28</f>
        <v>66677317.026587903</v>
      </c>
      <c r="AE4" s="30">
        <f>Accrual_PABL!AG28</f>
        <v>66677317.026587903</v>
      </c>
      <c r="AF4" s="30">
        <f>Accrual_PABL!AH28</f>
        <v>66677317.026587903</v>
      </c>
      <c r="AG4" s="30">
        <f>Accrual_PABL!AI28</f>
        <v>78782582.003248438</v>
      </c>
      <c r="AH4" s="30">
        <f>Accrual_PABL!AJ28</f>
        <v>78782582.003248438</v>
      </c>
      <c r="AI4" s="30">
        <f>Accrual_PABL!AK28</f>
        <v>78782582.003248438</v>
      </c>
      <c r="AJ4" s="30">
        <f>Accrual_PABL!AL28</f>
        <v>91190478.604325473</v>
      </c>
      <c r="AK4" s="30">
        <f>Accrual_PABL!AM28</f>
        <v>91190478.604325473</v>
      </c>
      <c r="AL4" s="30">
        <f>Accrual_PABL!AN28</f>
        <v>91190478.604325473</v>
      </c>
      <c r="AM4" s="30">
        <f>Accrual_PABL!AO28</f>
        <v>103908572.62042944</v>
      </c>
      <c r="AN4" s="30">
        <f>Accrual_PABL!AP28</f>
        <v>103908572.62042944</v>
      </c>
      <c r="AO4" s="30">
        <f>Accrual_PABL!AQ28</f>
        <v>103908572.62042944</v>
      </c>
      <c r="AP4" s="30">
        <f>Accrual_PABL!AR28</f>
        <v>116944618.986936</v>
      </c>
      <c r="AQ4" s="30">
        <f>Accrual_PABL!AS28</f>
        <v>116944618.986936</v>
      </c>
      <c r="AR4" s="30">
        <f>Accrual_PABL!AT28</f>
        <v>116944618.986936</v>
      </c>
      <c r="AS4" s="30">
        <f>Accrual_PABL!AU28</f>
        <v>130306566.51260523</v>
      </c>
      <c r="AT4" s="30">
        <f>Accrual_PABL!AV28</f>
        <v>130306566.51260523</v>
      </c>
      <c r="AU4" s="30">
        <f>Accrual_PABL!AW28</f>
        <v>130306566.51260523</v>
      </c>
      <c r="AV4" s="30">
        <f>Accrual_PABL!AX28</f>
        <v>144002562.7264162</v>
      </c>
      <c r="AW4" s="30">
        <f>Accrual_PABL!AY28</f>
        <v>144002562.7264162</v>
      </c>
      <c r="AX4" s="30">
        <f>Accrual_PABL!AZ28</f>
        <v>144002562.7264162</v>
      </c>
      <c r="AY4" s="30">
        <f>Accrual_PABL!BA28</f>
        <v>158040958.84557244</v>
      </c>
      <c r="AZ4" s="30">
        <f>Accrual_PABL!BB28</f>
        <v>158040958.84557244</v>
      </c>
      <c r="BA4" s="30">
        <f>Accrual_PABL!BC28</f>
        <v>158040958.84557244</v>
      </c>
      <c r="BB4" s="30">
        <f>Accrual_PABL!BD28</f>
        <v>172430314.86770758</v>
      </c>
      <c r="BC4" s="30">
        <f>Accrual_PABL!BE28</f>
        <v>172430314.86770758</v>
      </c>
      <c r="BD4" s="30">
        <f>Accrual_PABL!BF28</f>
        <v>172430314.86770758</v>
      </c>
      <c r="BE4" s="30">
        <f>Accrual_PABL!BG28</f>
        <v>187179404.79039609</v>
      </c>
      <c r="BF4" s="30">
        <f>Accrual_PABL!BH28</f>
        <v>187179404.79039609</v>
      </c>
      <c r="BG4" s="30">
        <f>Accrual_PABL!BI28</f>
        <v>187179404.79039609</v>
      </c>
      <c r="BH4" s="30">
        <f>Accrual_PABL!BJ28</f>
        <v>202297221.96115184</v>
      </c>
      <c r="BI4" s="30">
        <f>Accrual_PABL!BK28</f>
        <v>202297221.96115184</v>
      </c>
      <c r="BJ4" s="30">
        <f>Accrual_PABL!BL28</f>
        <v>202297221.96115184</v>
      </c>
      <c r="BK4" s="30">
        <f>Accrual_PABL!BM28</f>
        <v>217792984.56117648</v>
      </c>
      <c r="BL4" s="30">
        <f>Accrual_PABL!BN28</f>
        <v>217792984.56117648</v>
      </c>
      <c r="BM4" s="30">
        <f>Accrual_PABL!BO28</f>
        <v>217792984.56117648</v>
      </c>
      <c r="BN4" s="30">
        <f>Accrual_PABL!BP28</f>
        <v>233676141.22620171</v>
      </c>
      <c r="BO4" s="30">
        <f>Accrual_PABL!BQ28</f>
        <v>233676141.22620171</v>
      </c>
      <c r="BP4" s="30">
        <f>Accrual_PABL!BR28</f>
        <v>233676141.22620171</v>
      </c>
      <c r="BQ4" s="30">
        <f>Accrual_PABL!BS28</f>
        <v>249956376.8078526</v>
      </c>
      <c r="BR4" s="30">
        <f>Accrual_PABL!BT28</f>
        <v>249956376.8078526</v>
      </c>
      <c r="BS4" s="30">
        <f>Accrual_PABL!BU28</f>
        <v>249956376.8078526</v>
      </c>
      <c r="BT4" s="30">
        <f>Accrual_PABL!BV28</f>
        <v>266643618.27904475</v>
      </c>
      <c r="BU4" s="30">
        <f>Accrual_PABL!BW28</f>
        <v>266643618.27904475</v>
      </c>
      <c r="BV4" s="30">
        <f>Accrual_PABL!BX28</f>
        <v>266643618.27904475</v>
      </c>
      <c r="BW4" s="30">
        <f>Accrual_PABL!BY28</f>
        <v>283748040.78701669</v>
      </c>
      <c r="BX4" s="30">
        <f>Accrual_PABL!BZ28</f>
        <v>283748040.78701669</v>
      </c>
      <c r="BY4" s="30">
        <f>Accrual_PABL!CA28</f>
        <v>283748040.78701669</v>
      </c>
      <c r="BZ4" s="30">
        <f>Accrual_PABL!CB28</f>
        <v>301280073.85768795</v>
      </c>
      <c r="CA4" s="30">
        <f>Accrual_PABL!CC28</f>
        <v>301280073.85768795</v>
      </c>
      <c r="CB4" s="30">
        <f>Accrual_PABL!CD28</f>
        <v>301280073.85768795</v>
      </c>
      <c r="CC4" s="30">
        <f>Accrual_PABL!CE28</f>
        <v>319250407.755126</v>
      </c>
      <c r="CD4" s="30">
        <f>Accrual_PABL!CF28</f>
        <v>319250407.755126</v>
      </c>
      <c r="CE4" s="30">
        <f>Accrual_PABL!CG28</f>
        <v>319250407.755126</v>
      </c>
      <c r="CF4" s="30">
        <f>Accrual_PABL!CH28</f>
        <v>337670000</v>
      </c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</row>
    <row r="5" spans="1:120">
      <c r="A5" s="38" t="s">
        <v>19</v>
      </c>
      <c r="B5" s="30">
        <f>B22</f>
        <v>0</v>
      </c>
      <c r="C5" s="30">
        <f>C22</f>
        <v>0</v>
      </c>
      <c r="D5" s="30">
        <f t="shared" ref="D5:BC5" si="2">D22</f>
        <v>0</v>
      </c>
      <c r="E5" s="30">
        <f t="shared" si="2"/>
        <v>0</v>
      </c>
      <c r="F5" s="30">
        <f t="shared" si="2"/>
        <v>0</v>
      </c>
      <c r="G5" s="30">
        <f t="shared" si="2"/>
        <v>0</v>
      </c>
      <c r="H5" s="30">
        <f t="shared" si="2"/>
        <v>0</v>
      </c>
      <c r="I5" s="30">
        <f t="shared" si="2"/>
        <v>0</v>
      </c>
      <c r="J5" s="30">
        <f t="shared" si="2"/>
        <v>0</v>
      </c>
      <c r="K5" s="30">
        <f t="shared" si="2"/>
        <v>0</v>
      </c>
      <c r="L5" s="30">
        <f t="shared" si="2"/>
        <v>0</v>
      </c>
      <c r="M5" s="30">
        <f t="shared" si="2"/>
        <v>0</v>
      </c>
      <c r="N5" s="30">
        <f t="shared" si="2"/>
        <v>0</v>
      </c>
      <c r="O5" s="30">
        <f t="shared" si="2"/>
        <v>0</v>
      </c>
      <c r="P5" s="30">
        <f t="shared" si="2"/>
        <v>0</v>
      </c>
      <c r="Q5" s="30">
        <f t="shared" si="2"/>
        <v>0</v>
      </c>
      <c r="R5" s="30">
        <f t="shared" si="2"/>
        <v>0</v>
      </c>
      <c r="S5" s="30">
        <f t="shared" si="2"/>
        <v>0</v>
      </c>
      <c r="T5" s="30">
        <f t="shared" si="2"/>
        <v>0</v>
      </c>
      <c r="U5" s="30">
        <f t="shared" si="2"/>
        <v>0</v>
      </c>
      <c r="V5" s="30">
        <f t="shared" si="2"/>
        <v>0</v>
      </c>
      <c r="W5" s="30">
        <f t="shared" si="2"/>
        <v>0</v>
      </c>
      <c r="X5" s="30">
        <f t="shared" si="2"/>
        <v>43345336.94069849</v>
      </c>
      <c r="Y5" s="30">
        <f t="shared" si="2"/>
        <v>43345336.94069849</v>
      </c>
      <c r="Z5" s="30">
        <f t="shared" si="2"/>
        <v>43345336.94069849</v>
      </c>
      <c r="AA5" s="30">
        <f t="shared" si="2"/>
        <v>54867302.415211782</v>
      </c>
      <c r="AB5" s="30">
        <f t="shared" si="2"/>
        <v>54867302.415211782</v>
      </c>
      <c r="AC5" s="30">
        <f t="shared" si="2"/>
        <v>54867302.415211782</v>
      </c>
      <c r="AD5" s="30">
        <f t="shared" si="2"/>
        <v>66677317.026587903</v>
      </c>
      <c r="AE5" s="30">
        <f t="shared" si="2"/>
        <v>66677317.026587903</v>
      </c>
      <c r="AF5" s="30">
        <f t="shared" si="2"/>
        <v>66677317.026587903</v>
      </c>
      <c r="AG5" s="30">
        <f t="shared" si="2"/>
        <v>78782582.003248438</v>
      </c>
      <c r="AH5" s="30">
        <f t="shared" si="2"/>
        <v>78782582.003248438</v>
      </c>
      <c r="AI5" s="30">
        <f t="shared" si="2"/>
        <v>78782582.003248438</v>
      </c>
      <c r="AJ5" s="30">
        <f t="shared" si="2"/>
        <v>91190478.604325473</v>
      </c>
      <c r="AK5" s="30">
        <f t="shared" si="2"/>
        <v>91190478.604325473</v>
      </c>
      <c r="AL5" s="30">
        <f t="shared" si="2"/>
        <v>91190478.604325473</v>
      </c>
      <c r="AM5" s="30">
        <f t="shared" si="2"/>
        <v>103908572.62042944</v>
      </c>
      <c r="AN5" s="30">
        <f t="shared" si="2"/>
        <v>103908572.62042944</v>
      </c>
      <c r="AO5" s="30">
        <f t="shared" si="2"/>
        <v>103908572.62042944</v>
      </c>
      <c r="AP5" s="30">
        <f t="shared" si="2"/>
        <v>116944618.986936</v>
      </c>
      <c r="AQ5" s="30">
        <f t="shared" si="2"/>
        <v>116944618.986936</v>
      </c>
      <c r="AR5" s="30">
        <f t="shared" si="2"/>
        <v>116944618.986936</v>
      </c>
      <c r="AS5" s="30">
        <f t="shared" si="2"/>
        <v>130306566.51260523</v>
      </c>
      <c r="AT5" s="30">
        <f t="shared" si="2"/>
        <v>130306566.51260523</v>
      </c>
      <c r="AU5" s="30">
        <f t="shared" si="2"/>
        <v>130306566.51260523</v>
      </c>
      <c r="AV5" s="30">
        <f t="shared" si="2"/>
        <v>144002562.7264162</v>
      </c>
      <c r="AW5" s="30">
        <f t="shared" si="2"/>
        <v>144002562.7264162</v>
      </c>
      <c r="AX5" s="30">
        <f t="shared" si="2"/>
        <v>144002562.7264162</v>
      </c>
      <c r="AY5" s="30">
        <f t="shared" si="2"/>
        <v>158040958.84557244</v>
      </c>
      <c r="AZ5" s="30">
        <f t="shared" si="2"/>
        <v>158040958.84557244</v>
      </c>
      <c r="BA5" s="30">
        <f t="shared" si="2"/>
        <v>158040958.84557244</v>
      </c>
      <c r="BB5" s="30">
        <f t="shared" si="2"/>
        <v>172430314.86770758</v>
      </c>
      <c r="BC5" s="30">
        <f t="shared" si="2"/>
        <v>172430314.86770758</v>
      </c>
      <c r="BD5" s="30">
        <f t="shared" ref="BD5:BR5" si="3">BD22</f>
        <v>172430314.86770758</v>
      </c>
      <c r="BE5" s="30">
        <f t="shared" si="3"/>
        <v>187179404.79039609</v>
      </c>
      <c r="BF5" s="30">
        <f t="shared" si="3"/>
        <v>187179404.79039609</v>
      </c>
      <c r="BG5" s="30">
        <f t="shared" si="3"/>
        <v>187179404.79039609</v>
      </c>
      <c r="BH5" s="30">
        <f t="shared" si="3"/>
        <v>202297221.96115184</v>
      </c>
      <c r="BI5" s="30">
        <f t="shared" si="3"/>
        <v>202297221.96115184</v>
      </c>
      <c r="BJ5" s="30">
        <f t="shared" si="3"/>
        <v>202297221.96115184</v>
      </c>
      <c r="BK5" s="30">
        <f t="shared" si="3"/>
        <v>217792984.56117648</v>
      </c>
      <c r="BL5" s="30">
        <f t="shared" si="3"/>
        <v>217792984.56117648</v>
      </c>
      <c r="BM5" s="30">
        <f t="shared" si="3"/>
        <v>217792984.56117648</v>
      </c>
      <c r="BN5" s="30">
        <f t="shared" si="3"/>
        <v>233676141.22620171</v>
      </c>
      <c r="BO5" s="30">
        <f t="shared" si="3"/>
        <v>233676141.22620171</v>
      </c>
      <c r="BP5" s="30">
        <f t="shared" si="3"/>
        <v>233676141.22620171</v>
      </c>
      <c r="BQ5" s="30">
        <f t="shared" si="3"/>
        <v>249956376.8078526</v>
      </c>
      <c r="BR5" s="30">
        <f t="shared" si="3"/>
        <v>249956376.8078526</v>
      </c>
      <c r="BS5" s="30">
        <f t="shared" ref="BS5:CE5" si="4">BS22</f>
        <v>249956376.8078526</v>
      </c>
      <c r="BT5" s="30">
        <f t="shared" si="4"/>
        <v>266643618.27904475</v>
      </c>
      <c r="BU5" s="30">
        <f t="shared" si="4"/>
        <v>266643618.27904475</v>
      </c>
      <c r="BV5" s="30">
        <f t="shared" si="4"/>
        <v>266643618.27904475</v>
      </c>
      <c r="BW5" s="30">
        <f t="shared" si="4"/>
        <v>283748040.78701669</v>
      </c>
      <c r="BX5" s="30">
        <f t="shared" si="4"/>
        <v>283748040.78701669</v>
      </c>
      <c r="BY5" s="30">
        <f t="shared" si="4"/>
        <v>283748040.78701669</v>
      </c>
      <c r="BZ5" s="30">
        <f t="shared" si="4"/>
        <v>301280073.85768795</v>
      </c>
      <c r="CA5" s="30">
        <f t="shared" si="4"/>
        <v>301280073.85768795</v>
      </c>
      <c r="CB5" s="30">
        <f t="shared" si="4"/>
        <v>301280073.85768795</v>
      </c>
      <c r="CC5" s="30">
        <f t="shared" si="4"/>
        <v>319250407.755126</v>
      </c>
      <c r="CD5" s="30">
        <f t="shared" si="4"/>
        <v>319250407.755126</v>
      </c>
      <c r="CE5" s="30">
        <f t="shared" si="4"/>
        <v>319250407.755126</v>
      </c>
      <c r="CF5" s="30">
        <f t="shared" ref="CF5" si="5">CF22</f>
        <v>337670000</v>
      </c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</row>
    <row r="6" spans="1:120">
      <c r="A6" s="38" t="s">
        <v>20</v>
      </c>
      <c r="B6" s="30">
        <f>IF((B4-B5)&gt;0,(B4-B5),0)</f>
        <v>0</v>
      </c>
      <c r="C6" s="30">
        <f t="shared" ref="C6:BC6" si="6">IF((C4-C5)&gt;0,(C4-C5),0)</f>
        <v>0</v>
      </c>
      <c r="D6" s="30">
        <f t="shared" si="6"/>
        <v>0</v>
      </c>
      <c r="E6" s="30">
        <f t="shared" si="6"/>
        <v>0</v>
      </c>
      <c r="F6" s="30">
        <f t="shared" si="6"/>
        <v>0</v>
      </c>
      <c r="G6" s="30">
        <f t="shared" si="6"/>
        <v>0</v>
      </c>
      <c r="H6" s="30">
        <f t="shared" si="6"/>
        <v>0</v>
      </c>
      <c r="I6" s="30">
        <f t="shared" si="6"/>
        <v>0</v>
      </c>
      <c r="J6" s="30">
        <f t="shared" si="6"/>
        <v>0</v>
      </c>
      <c r="K6" s="30">
        <f t="shared" si="6"/>
        <v>0</v>
      </c>
      <c r="L6" s="30">
        <f t="shared" si="6"/>
        <v>0</v>
      </c>
      <c r="M6" s="30">
        <f t="shared" si="6"/>
        <v>0</v>
      </c>
      <c r="N6" s="30">
        <f t="shared" si="6"/>
        <v>0</v>
      </c>
      <c r="O6" s="30">
        <f t="shared" si="6"/>
        <v>10438332.050995832</v>
      </c>
      <c r="P6" s="30">
        <f t="shared" si="6"/>
        <v>10438332.050995832</v>
      </c>
      <c r="Q6" s="30">
        <f t="shared" si="6"/>
        <v>10438332.050995832</v>
      </c>
      <c r="R6" s="30">
        <f t="shared" si="6"/>
        <v>21137622.40326656</v>
      </c>
      <c r="S6" s="30">
        <f t="shared" si="6"/>
        <v>21137622.40326656</v>
      </c>
      <c r="T6" s="30">
        <f t="shared" si="6"/>
        <v>21137622.40326656</v>
      </c>
      <c r="U6" s="30">
        <f t="shared" si="6"/>
        <v>32104395.014344055</v>
      </c>
      <c r="V6" s="30">
        <f t="shared" si="6"/>
        <v>32104395.014344055</v>
      </c>
      <c r="W6" s="30">
        <f t="shared" si="6"/>
        <v>32104395.014344055</v>
      </c>
      <c r="X6" s="30">
        <f t="shared" si="6"/>
        <v>0</v>
      </c>
      <c r="Y6" s="30">
        <f t="shared" si="6"/>
        <v>0</v>
      </c>
      <c r="Z6" s="30">
        <f t="shared" si="6"/>
        <v>0</v>
      </c>
      <c r="AA6" s="30">
        <f t="shared" si="6"/>
        <v>0</v>
      </c>
      <c r="AB6" s="30">
        <f t="shared" si="6"/>
        <v>0</v>
      </c>
      <c r="AC6" s="30">
        <f t="shared" si="6"/>
        <v>0</v>
      </c>
      <c r="AD6" s="30">
        <f t="shared" si="6"/>
        <v>0</v>
      </c>
      <c r="AE6" s="30">
        <f t="shared" si="6"/>
        <v>0</v>
      </c>
      <c r="AF6" s="30">
        <f t="shared" si="6"/>
        <v>0</v>
      </c>
      <c r="AG6" s="30">
        <f t="shared" si="6"/>
        <v>0</v>
      </c>
      <c r="AH6" s="30">
        <f t="shared" si="6"/>
        <v>0</v>
      </c>
      <c r="AI6" s="30">
        <f t="shared" si="6"/>
        <v>0</v>
      </c>
      <c r="AJ6" s="30">
        <f t="shared" si="6"/>
        <v>0</v>
      </c>
      <c r="AK6" s="30">
        <f t="shared" si="6"/>
        <v>0</v>
      </c>
      <c r="AL6" s="30">
        <f t="shared" si="6"/>
        <v>0</v>
      </c>
      <c r="AM6" s="30">
        <f t="shared" si="6"/>
        <v>0</v>
      </c>
      <c r="AN6" s="30">
        <f t="shared" si="6"/>
        <v>0</v>
      </c>
      <c r="AO6" s="30">
        <f t="shared" si="6"/>
        <v>0</v>
      </c>
      <c r="AP6" s="30">
        <f t="shared" si="6"/>
        <v>0</v>
      </c>
      <c r="AQ6" s="30">
        <f t="shared" si="6"/>
        <v>0</v>
      </c>
      <c r="AR6" s="30">
        <f t="shared" si="6"/>
        <v>0</v>
      </c>
      <c r="AS6" s="30">
        <f t="shared" si="6"/>
        <v>0</v>
      </c>
      <c r="AT6" s="30">
        <f t="shared" si="6"/>
        <v>0</v>
      </c>
      <c r="AU6" s="30">
        <f t="shared" si="6"/>
        <v>0</v>
      </c>
      <c r="AV6" s="30">
        <f t="shared" si="6"/>
        <v>0</v>
      </c>
      <c r="AW6" s="30">
        <f t="shared" si="6"/>
        <v>0</v>
      </c>
      <c r="AX6" s="30">
        <f t="shared" si="6"/>
        <v>0</v>
      </c>
      <c r="AY6" s="30">
        <f t="shared" si="6"/>
        <v>0</v>
      </c>
      <c r="AZ6" s="30">
        <f t="shared" si="6"/>
        <v>0</v>
      </c>
      <c r="BA6" s="30">
        <f t="shared" si="6"/>
        <v>0</v>
      </c>
      <c r="BB6" s="30">
        <f t="shared" si="6"/>
        <v>0</v>
      </c>
      <c r="BC6" s="30">
        <f t="shared" si="6"/>
        <v>0</v>
      </c>
      <c r="BD6" s="30">
        <f t="shared" ref="BD6:BS6" si="7">IF((BD4-BD5)&gt;0,(BD4-BD5),0)</f>
        <v>0</v>
      </c>
      <c r="BE6" s="30">
        <f t="shared" si="7"/>
        <v>0</v>
      </c>
      <c r="BF6" s="30">
        <f t="shared" si="7"/>
        <v>0</v>
      </c>
      <c r="BG6" s="30">
        <f t="shared" si="7"/>
        <v>0</v>
      </c>
      <c r="BH6" s="30">
        <f t="shared" si="7"/>
        <v>0</v>
      </c>
      <c r="BI6" s="30">
        <f t="shared" si="7"/>
        <v>0</v>
      </c>
      <c r="BJ6" s="30">
        <f t="shared" si="7"/>
        <v>0</v>
      </c>
      <c r="BK6" s="30">
        <f t="shared" si="7"/>
        <v>0</v>
      </c>
      <c r="BL6" s="30">
        <f t="shared" si="7"/>
        <v>0</v>
      </c>
      <c r="BM6" s="30">
        <f t="shared" si="7"/>
        <v>0</v>
      </c>
      <c r="BN6" s="30">
        <f t="shared" si="7"/>
        <v>0</v>
      </c>
      <c r="BO6" s="30">
        <f t="shared" si="7"/>
        <v>0</v>
      </c>
      <c r="BP6" s="30">
        <f t="shared" si="7"/>
        <v>0</v>
      </c>
      <c r="BQ6" s="30">
        <f t="shared" si="7"/>
        <v>0</v>
      </c>
      <c r="BR6" s="30">
        <f t="shared" si="7"/>
        <v>0</v>
      </c>
      <c r="BS6" s="30">
        <f t="shared" si="7"/>
        <v>0</v>
      </c>
      <c r="BT6" s="30">
        <f t="shared" ref="BT6:CE6" si="8">IF((BT4-BT5)&gt;0,(BT4-BT5),0)</f>
        <v>0</v>
      </c>
      <c r="BU6" s="30">
        <f t="shared" si="8"/>
        <v>0</v>
      </c>
      <c r="BV6" s="30">
        <f t="shared" si="8"/>
        <v>0</v>
      </c>
      <c r="BW6" s="30">
        <f t="shared" si="8"/>
        <v>0</v>
      </c>
      <c r="BX6" s="30">
        <f t="shared" si="8"/>
        <v>0</v>
      </c>
      <c r="BY6" s="30">
        <f t="shared" si="8"/>
        <v>0</v>
      </c>
      <c r="BZ6" s="30">
        <f t="shared" si="8"/>
        <v>0</v>
      </c>
      <c r="CA6" s="30">
        <f t="shared" si="8"/>
        <v>0</v>
      </c>
      <c r="CB6" s="30">
        <f t="shared" si="8"/>
        <v>0</v>
      </c>
      <c r="CC6" s="30">
        <f t="shared" si="8"/>
        <v>0</v>
      </c>
      <c r="CD6" s="30">
        <f t="shared" si="8"/>
        <v>0</v>
      </c>
      <c r="CE6" s="30">
        <f t="shared" si="8"/>
        <v>0</v>
      </c>
      <c r="CF6" s="30">
        <f t="shared" ref="CF6" si="9">IF((CF4-CF5)&gt;0,(CF4-CF5),0)</f>
        <v>0</v>
      </c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</row>
    <row r="7" spans="1:120">
      <c r="A7" s="38" t="s">
        <v>21</v>
      </c>
      <c r="B7" s="30">
        <f>B3-B5</f>
        <v>83974322.25</v>
      </c>
      <c r="C7" s="30">
        <f t="shared" ref="C7:BC7" si="10">C3-C5</f>
        <v>83974322.25</v>
      </c>
      <c r="D7" s="30">
        <f t="shared" si="10"/>
        <v>83974322.25</v>
      </c>
      <c r="E7" s="30">
        <f t="shared" si="10"/>
        <v>83974322.25</v>
      </c>
      <c r="F7" s="30">
        <f t="shared" si="10"/>
        <v>161299882.99000001</v>
      </c>
      <c r="G7" s="30">
        <f t="shared" si="10"/>
        <v>161299882.99000001</v>
      </c>
      <c r="H7" s="30">
        <f t="shared" si="10"/>
        <v>226178747.54000002</v>
      </c>
      <c r="I7" s="30">
        <f t="shared" si="10"/>
        <v>272875098.88</v>
      </c>
      <c r="J7" s="30">
        <f t="shared" si="10"/>
        <v>291852976.18000001</v>
      </c>
      <c r="K7" s="30">
        <f t="shared" si="10"/>
        <v>291852976.18000001</v>
      </c>
      <c r="L7" s="30">
        <f t="shared" si="10"/>
        <v>337670000</v>
      </c>
      <c r="M7" s="30">
        <f t="shared" si="10"/>
        <v>337670000</v>
      </c>
      <c r="N7" s="30">
        <f t="shared" si="10"/>
        <v>337670000</v>
      </c>
      <c r="O7" s="30">
        <f t="shared" si="10"/>
        <v>337670000</v>
      </c>
      <c r="P7" s="30">
        <f t="shared" si="10"/>
        <v>337670000</v>
      </c>
      <c r="Q7" s="30">
        <f t="shared" si="10"/>
        <v>337670000</v>
      </c>
      <c r="R7" s="30">
        <f t="shared" si="10"/>
        <v>337670000</v>
      </c>
      <c r="S7" s="30">
        <f t="shared" si="10"/>
        <v>337670000</v>
      </c>
      <c r="T7" s="30">
        <f t="shared" si="10"/>
        <v>337670000</v>
      </c>
      <c r="U7" s="30">
        <f t="shared" si="10"/>
        <v>337670000</v>
      </c>
      <c r="V7" s="30">
        <f t="shared" si="10"/>
        <v>337670000</v>
      </c>
      <c r="W7" s="30">
        <f t="shared" si="10"/>
        <v>337670000</v>
      </c>
      <c r="X7" s="30">
        <f t="shared" si="10"/>
        <v>294324663.0593015</v>
      </c>
      <c r="Y7" s="30">
        <f t="shared" si="10"/>
        <v>294324663.0593015</v>
      </c>
      <c r="Z7" s="30">
        <f t="shared" si="10"/>
        <v>294324663.0593015</v>
      </c>
      <c r="AA7" s="30">
        <f t="shared" si="10"/>
        <v>282802697.5847882</v>
      </c>
      <c r="AB7" s="30">
        <f t="shared" si="10"/>
        <v>282802697.5847882</v>
      </c>
      <c r="AC7" s="30">
        <f t="shared" si="10"/>
        <v>282802697.5847882</v>
      </c>
      <c r="AD7" s="30">
        <f t="shared" si="10"/>
        <v>270992682.9734121</v>
      </c>
      <c r="AE7" s="30">
        <f t="shared" si="10"/>
        <v>270992682.9734121</v>
      </c>
      <c r="AF7" s="30">
        <f t="shared" si="10"/>
        <v>270992682.9734121</v>
      </c>
      <c r="AG7" s="30">
        <f t="shared" si="10"/>
        <v>258887417.99675155</v>
      </c>
      <c r="AH7" s="30">
        <f t="shared" si="10"/>
        <v>258887417.99675155</v>
      </c>
      <c r="AI7" s="30">
        <f t="shared" si="10"/>
        <v>258887417.99675155</v>
      </c>
      <c r="AJ7" s="30">
        <f t="shared" si="10"/>
        <v>246479521.39567453</v>
      </c>
      <c r="AK7" s="30">
        <f t="shared" si="10"/>
        <v>246479521.39567453</v>
      </c>
      <c r="AL7" s="30">
        <f t="shared" si="10"/>
        <v>246479521.39567453</v>
      </c>
      <c r="AM7" s="30">
        <f t="shared" si="10"/>
        <v>233761427.37957054</v>
      </c>
      <c r="AN7" s="30">
        <f t="shared" si="10"/>
        <v>233761427.37957054</v>
      </c>
      <c r="AO7" s="30">
        <f t="shared" si="10"/>
        <v>233761427.37957054</v>
      </c>
      <c r="AP7" s="30">
        <f t="shared" si="10"/>
        <v>220725381.013064</v>
      </c>
      <c r="AQ7" s="30">
        <f t="shared" si="10"/>
        <v>220725381.013064</v>
      </c>
      <c r="AR7" s="30">
        <f t="shared" si="10"/>
        <v>220725381.013064</v>
      </c>
      <c r="AS7" s="30">
        <f t="shared" si="10"/>
        <v>207363433.48739475</v>
      </c>
      <c r="AT7" s="30">
        <f t="shared" si="10"/>
        <v>207363433.48739475</v>
      </c>
      <c r="AU7" s="30">
        <f t="shared" si="10"/>
        <v>207363433.48739475</v>
      </c>
      <c r="AV7" s="30">
        <f t="shared" si="10"/>
        <v>193667437.2735838</v>
      </c>
      <c r="AW7" s="30">
        <f t="shared" si="10"/>
        <v>193667437.2735838</v>
      </c>
      <c r="AX7" s="30">
        <f t="shared" si="10"/>
        <v>193667437.2735838</v>
      </c>
      <c r="AY7" s="30">
        <f t="shared" si="10"/>
        <v>179629041.15442756</v>
      </c>
      <c r="AZ7" s="30">
        <f t="shared" si="10"/>
        <v>179629041.15442756</v>
      </c>
      <c r="BA7" s="30">
        <f t="shared" si="10"/>
        <v>179629041.15442756</v>
      </c>
      <c r="BB7" s="30">
        <f t="shared" si="10"/>
        <v>165239685.13229242</v>
      </c>
      <c r="BC7" s="30">
        <f t="shared" si="10"/>
        <v>165239685.13229242</v>
      </c>
      <c r="BD7" s="30">
        <f t="shared" ref="BD7:BR7" si="11">BD3-BD5</f>
        <v>165239685.13229242</v>
      </c>
      <c r="BE7" s="30">
        <f t="shared" si="11"/>
        <v>150490595.20960391</v>
      </c>
      <c r="BF7" s="30">
        <f t="shared" si="11"/>
        <v>150490595.20960391</v>
      </c>
      <c r="BG7" s="30">
        <f t="shared" si="11"/>
        <v>150490595.20960391</v>
      </c>
      <c r="BH7" s="30">
        <f t="shared" si="11"/>
        <v>135372778.03884816</v>
      </c>
      <c r="BI7" s="30">
        <f t="shared" si="11"/>
        <v>135372778.03884816</v>
      </c>
      <c r="BJ7" s="30">
        <f t="shared" si="11"/>
        <v>135372778.03884816</v>
      </c>
      <c r="BK7" s="30">
        <f t="shared" si="11"/>
        <v>119877015.43882352</v>
      </c>
      <c r="BL7" s="30">
        <f t="shared" si="11"/>
        <v>119877015.43882352</v>
      </c>
      <c r="BM7" s="30">
        <f t="shared" si="11"/>
        <v>119877015.43882352</v>
      </c>
      <c r="BN7" s="30">
        <f t="shared" si="11"/>
        <v>103993858.77379829</v>
      </c>
      <c r="BO7" s="30">
        <f t="shared" si="11"/>
        <v>103993858.77379829</v>
      </c>
      <c r="BP7" s="30">
        <f t="shared" si="11"/>
        <v>103993858.77379829</v>
      </c>
      <c r="BQ7" s="30">
        <f t="shared" si="11"/>
        <v>87713623.192147404</v>
      </c>
      <c r="BR7" s="30">
        <f t="shared" si="11"/>
        <v>87713623.192147404</v>
      </c>
      <c r="BS7" s="30">
        <f t="shared" ref="BS7:CE7" si="12">BS3-BS5</f>
        <v>87713623.192147404</v>
      </c>
      <c r="BT7" s="30">
        <f t="shared" si="12"/>
        <v>71026381.720955253</v>
      </c>
      <c r="BU7" s="30">
        <f t="shared" si="12"/>
        <v>71026381.720955253</v>
      </c>
      <c r="BV7" s="30">
        <f t="shared" si="12"/>
        <v>71026381.720955253</v>
      </c>
      <c r="BW7" s="30">
        <f t="shared" si="12"/>
        <v>53921959.21298331</v>
      </c>
      <c r="BX7" s="30">
        <f t="shared" si="12"/>
        <v>53921959.21298331</v>
      </c>
      <c r="BY7" s="30">
        <f t="shared" si="12"/>
        <v>53921959.21298331</v>
      </c>
      <c r="BZ7" s="30">
        <f t="shared" si="12"/>
        <v>36389926.14231205</v>
      </c>
      <c r="CA7" s="30">
        <f t="shared" si="12"/>
        <v>36389926.14231205</v>
      </c>
      <c r="CB7" s="30">
        <f t="shared" si="12"/>
        <v>36389926.14231205</v>
      </c>
      <c r="CC7" s="30">
        <f t="shared" si="12"/>
        <v>18419592.244874001</v>
      </c>
      <c r="CD7" s="30">
        <f t="shared" si="12"/>
        <v>18419592.244874001</v>
      </c>
      <c r="CE7" s="30">
        <f t="shared" si="12"/>
        <v>18419592.244874001</v>
      </c>
      <c r="CF7" s="30">
        <f t="shared" ref="CF7" si="13">CF3-CF5</f>
        <v>0</v>
      </c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</row>
    <row r="8" spans="1:120" ht="15">
      <c r="A8" s="37" t="s">
        <v>22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</row>
    <row r="9" spans="1:120">
      <c r="A9" s="39" t="s">
        <v>23</v>
      </c>
      <c r="B9" s="30">
        <f>Accrual_PABL!D26</f>
        <v>303240.60812500003</v>
      </c>
      <c r="C9" s="30">
        <f>Accrual_PABL!E26</f>
        <v>1003026.6268750001</v>
      </c>
      <c r="D9" s="30">
        <f>Accrual_PABL!F26</f>
        <v>1726138.8462500002</v>
      </c>
      <c r="E9" s="30">
        <f>Accrual_PABL!G26</f>
        <v>2449251.0656250003</v>
      </c>
      <c r="F9" s="30">
        <f>Accrual_PABL!H26</f>
        <v>3707499.4674972226</v>
      </c>
      <c r="G9" s="30">
        <f>Accrual_PABL!I26</f>
        <v>5096470.6821333338</v>
      </c>
      <c r="H9" s="30">
        <f>Accrual_PABL!J26</f>
        <v>6710964.9760083342</v>
      </c>
      <c r="I9" s="30">
        <f>Accrual_PABL!K26</f>
        <v>8710500.1368694454</v>
      </c>
      <c r="J9" s="30">
        <f>Accrual_PABL!L26</f>
        <v>11176233.84961389</v>
      </c>
      <c r="K9" s="30">
        <f>Accrual_PABL!M26</f>
        <v>13446201.442125</v>
      </c>
      <c r="L9" s="30">
        <f>Accrual_PABL!N26</f>
        <v>16277553.624647222</v>
      </c>
      <c r="M9" s="30">
        <f>Accrual_PABL!O26</f>
        <v>19091470.29131389</v>
      </c>
      <c r="N9" s="30">
        <f>Accrual_PABL!P26</f>
        <v>21999184.180202778</v>
      </c>
      <c r="O9" s="30">
        <f>Accrual_PABL!Q26</f>
        <v>24766708.25997613</v>
      </c>
      <c r="P9" s="30">
        <f>Accrual_PABL!R26</f>
        <v>27584536.511759222</v>
      </c>
      <c r="Q9" s="30">
        <f>Accrual_PABL!S26</f>
        <v>30402364.763542313</v>
      </c>
      <c r="R9" s="30">
        <f>Accrual_PABL!T26</f>
        <v>33078770.903120514</v>
      </c>
      <c r="S9" s="30">
        <f>Accrual_PABL!U26</f>
        <v>35804466.376870163</v>
      </c>
      <c r="T9" s="30">
        <f>Accrual_PABL!V26</f>
        <v>38442236.190176278</v>
      </c>
      <c r="U9" s="30">
        <f>Accrual_PABL!W26</f>
        <v>41116144.12659584</v>
      </c>
      <c r="V9" s="30">
        <f>Accrual_PABL!X26</f>
        <v>43747403.502861209</v>
      </c>
      <c r="W9" s="30">
        <f>Accrual_PABL!Y26</f>
        <v>46124024.874971867</v>
      </c>
      <c r="X9" s="30">
        <f>Accrual_PABL!Z26</f>
        <v>48702202.0254739</v>
      </c>
      <c r="Y9" s="30">
        <f>Accrual_PABL!AA26</f>
        <v>51154907.550968081</v>
      </c>
      <c r="Z9" s="30">
        <f>Accrual_PABL!AB26</f>
        <v>53689369.927312069</v>
      </c>
      <c r="AA9" s="30">
        <f>Accrual_PABL!AC26</f>
        <v>56090866.717363968</v>
      </c>
      <c r="AB9" s="30">
        <f>Accrual_PABL!AD26</f>
        <v>58526112.168788537</v>
      </c>
      <c r="AC9" s="30">
        <f>Accrual_PABL!AE26</f>
        <v>60961357.620213106</v>
      </c>
      <c r="AD9" s="30">
        <f>Accrual_PABL!AF26</f>
        <v>63265557.812924668</v>
      </c>
      <c r="AE9" s="30">
        <f>Accrual_PABL!AG26</f>
        <v>65599105.916306831</v>
      </c>
      <c r="AF9" s="30">
        <f>Accrual_PABL!AH26</f>
        <v>67857378.274418592</v>
      </c>
      <c r="AG9" s="30">
        <f>Accrual_PABL!AI26</f>
        <v>70133762.626522079</v>
      </c>
      <c r="AH9" s="30">
        <f>Accrual_PABL!AJ26</f>
        <v>72363070.948160768</v>
      </c>
      <c r="AI9" s="30">
        <f>Accrual_PABL!AK26</f>
        <v>74376639.754802167</v>
      </c>
      <c r="AJ9" s="30">
        <f>Accrual_PABL!AL26</f>
        <v>76547355.231380224</v>
      </c>
      <c r="AK9" s="30">
        <f>Accrual_PABL!AM26</f>
        <v>78601351.243010849</v>
      </c>
      <c r="AL9" s="30">
        <f>Accrual_PABL!AN26</f>
        <v>80723813.788362488</v>
      </c>
      <c r="AM9" s="30">
        <f>Accrual_PABL!AO26</f>
        <v>82721284.937699318</v>
      </c>
      <c r="AN9" s="30">
        <f>Accrual_PABL!AP26</f>
        <v>84734230.562356725</v>
      </c>
      <c r="AO9" s="30">
        <f>Accrual_PABL!AQ26</f>
        <v>86747176.187014133</v>
      </c>
      <c r="AP9" s="30">
        <f>Accrual_PABL!AR26</f>
        <v>88637250.097992748</v>
      </c>
      <c r="AQ9" s="30">
        <f>Accrual_PABL!AS26</f>
        <v>90537940.878938571</v>
      </c>
      <c r="AR9" s="30">
        <f>Accrual_PABL!AT26</f>
        <v>92377319.054047436</v>
      </c>
      <c r="AS9" s="30">
        <f>Accrual_PABL!AU26</f>
        <v>94214911.749455377</v>
      </c>
      <c r="AT9" s="30">
        <f>Accrual_PABL!AV26</f>
        <v>96000541.315596834</v>
      </c>
      <c r="AU9" s="30">
        <f>Accrual_PABL!AW26</f>
        <v>97670968.974245295</v>
      </c>
      <c r="AV9" s="30">
        <f>Accrual_PABL!AX26</f>
        <v>99391923.002710417</v>
      </c>
      <c r="AW9" s="30">
        <f>Accrual_PABL!AY26</f>
        <v>101005818.31332362</v>
      </c>
      <c r="AX9" s="30">
        <f>Accrual_PABL!AZ26</f>
        <v>102673510.13429059</v>
      </c>
      <c r="AY9" s="30">
        <f>Accrual_PABL!BA26</f>
        <v>104225012.57326309</v>
      </c>
      <c r="AZ9" s="30">
        <f>Accrual_PABL!BB26</f>
        <v>105771818.20542622</v>
      </c>
      <c r="BA9" s="30">
        <f>Accrual_PABL!BC26</f>
        <v>107318623.83758934</v>
      </c>
      <c r="BB9" s="30">
        <f>Accrual_PABL!BD26</f>
        <v>108751579.82044452</v>
      </c>
      <c r="BC9" s="30">
        <f>Accrual_PABL!BE26</f>
        <v>110174477.10908371</v>
      </c>
      <c r="BD9" s="30">
        <f>Accrual_PABL!BF26</f>
        <v>111551474.48518614</v>
      </c>
      <c r="BE9" s="30">
        <f>Accrual_PABL!BG26</f>
        <v>112904723.29363486</v>
      </c>
      <c r="BF9" s="30">
        <f>Accrual_PABL!BH26</f>
        <v>114200614.53016201</v>
      </c>
      <c r="BG9" s="30">
        <f>Accrual_PABL!BI26</f>
        <v>115371096.93734781</v>
      </c>
      <c r="BH9" s="30">
        <f>Accrual_PABL!BJ26</f>
        <v>116595598.48167972</v>
      </c>
      <c r="BI9" s="30">
        <f>Accrual_PABL!BK26</f>
        <v>117723704.96533678</v>
      </c>
      <c r="BJ9" s="30">
        <f>Accrual_PABL!BL26</f>
        <v>118889414.99844909</v>
      </c>
      <c r="BK9" s="30">
        <f>Accrual_PABL!BM26</f>
        <v>119948651.42610605</v>
      </c>
      <c r="BL9" s="30">
        <f>Accrual_PABL!BN26</f>
        <v>120980925.72571814</v>
      </c>
      <c r="BM9" s="30">
        <f>Accrual_PABL!BO26</f>
        <v>122013200.02533023</v>
      </c>
      <c r="BN9" s="30">
        <f>Accrual_PABL!BP26</f>
        <v>122941583.34658699</v>
      </c>
      <c r="BO9" s="30">
        <f>Accrual_PABL!BQ26</f>
        <v>123837086.01936136</v>
      </c>
      <c r="BP9" s="30">
        <f>Accrual_PABL!BR26</f>
        <v>124703701.50914301</v>
      </c>
      <c r="BQ9" s="30">
        <f>Accrual_PABL!BS26</f>
        <v>125522325.29167069</v>
      </c>
      <c r="BR9" s="30">
        <f>Accrual_PABL!BT26</f>
        <v>126277637.04693641</v>
      </c>
      <c r="BS9" s="30">
        <f>Accrual_PABL!BU26</f>
        <v>126959854.11620867</v>
      </c>
      <c r="BT9" s="30">
        <f>Accrual_PABL!BV26</f>
        <v>127636365.00897154</v>
      </c>
      <c r="BU9" s="30">
        <f>Accrual_PABL!BW26</f>
        <v>128228251.52331284</v>
      </c>
      <c r="BV9" s="30">
        <f>Accrual_PABL!BX26</f>
        <v>128839867.58813217</v>
      </c>
      <c r="BW9" s="30">
        <f>Accrual_PABL!BY26</f>
        <v>129355734.44688249</v>
      </c>
      <c r="BX9" s="30">
        <f>Accrual_PABL!BZ26</f>
        <v>129820062.42899428</v>
      </c>
      <c r="BY9" s="30">
        <f>Accrual_PABL!CA26</f>
        <v>130284390.41110608</v>
      </c>
      <c r="BZ9" s="30">
        <f>Accrual_PABL!CB26</f>
        <v>130655819.92423351</v>
      </c>
      <c r="CA9" s="30">
        <f>Accrual_PABL!CC26</f>
        <v>130969177.62157008</v>
      </c>
      <c r="CB9" s="30">
        <f>Accrual_PABL!CD26</f>
        <v>131272427.00608934</v>
      </c>
      <c r="CC9" s="30">
        <f>Accrual_PABL!CE26</f>
        <v>131500924.79335469</v>
      </c>
      <c r="CD9" s="30">
        <f>Accrual_PABL!CF26</f>
        <v>131659537.94879666</v>
      </c>
      <c r="CE9" s="30">
        <f>Accrual_PABL!CG26</f>
        <v>131802801.44403458</v>
      </c>
      <c r="CF9" s="30">
        <f>Accrual_PABL!CH26</f>
        <v>131874433.19165353</v>
      </c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</row>
    <row r="10" spans="1:120">
      <c r="A10" s="38" t="s">
        <v>24</v>
      </c>
      <c r="B10" s="30">
        <v>0</v>
      </c>
      <c r="C10" s="30">
        <f>PABL_Loan!$C$32</f>
        <v>629807.416875</v>
      </c>
      <c r="D10" s="30">
        <f>C10</f>
        <v>629807.416875</v>
      </c>
      <c r="E10" s="30">
        <f t="shared" ref="E10:BP10" si="14">D10</f>
        <v>629807.416875</v>
      </c>
      <c r="F10" s="30">
        <f>PABL_Loan!$D$32</f>
        <v>2990611.0986527782</v>
      </c>
      <c r="G10" s="30">
        <f t="shared" si="14"/>
        <v>2990611.0986527782</v>
      </c>
      <c r="H10" s="30">
        <f t="shared" si="14"/>
        <v>2990611.0986527782</v>
      </c>
      <c r="I10" s="30">
        <f>PABL_Loan!$E$32</f>
        <v>7590548.9942194456</v>
      </c>
      <c r="J10" s="30">
        <f t="shared" si="14"/>
        <v>7590548.9942194456</v>
      </c>
      <c r="K10" s="30">
        <f t="shared" si="14"/>
        <v>7590548.9942194456</v>
      </c>
      <c r="L10" s="30">
        <f>PABL_Loan!$F$32</f>
        <v>14683000.846869446</v>
      </c>
      <c r="M10" s="30">
        <f t="shared" si="14"/>
        <v>14683000.846869446</v>
      </c>
      <c r="N10" s="30">
        <f t="shared" si="14"/>
        <v>14683000.846869446</v>
      </c>
      <c r="O10" s="30">
        <f>PABL_Loan!$G$32</f>
        <v>23312345.29131389</v>
      </c>
      <c r="P10" s="30">
        <f t="shared" si="14"/>
        <v>23312345.29131389</v>
      </c>
      <c r="Q10" s="30">
        <f t="shared" si="14"/>
        <v>23312345.29131389</v>
      </c>
      <c r="R10" s="30">
        <f>PABL_Loan!$H$32</f>
        <v>31584034.675580386</v>
      </c>
      <c r="S10" s="30">
        <f t="shared" si="14"/>
        <v>31584034.675580386</v>
      </c>
      <c r="T10" s="30">
        <f t="shared" si="14"/>
        <v>31584034.675580386</v>
      </c>
      <c r="U10" s="30">
        <f>PABL_Loan!$I$32</f>
        <v>39673195.436385795</v>
      </c>
      <c r="V10" s="30">
        <f t="shared" si="14"/>
        <v>39673195.436385795</v>
      </c>
      <c r="W10" s="30">
        <f t="shared" si="14"/>
        <v>39673195.436385795</v>
      </c>
      <c r="X10" s="30">
        <f>PABL_Loan!$J$32</f>
        <v>47312335.561027199</v>
      </c>
      <c r="Y10" s="30">
        <f t="shared" si="14"/>
        <v>47312335.561027199</v>
      </c>
      <c r="Z10" s="30">
        <f t="shared" si="14"/>
        <v>47312335.561027199</v>
      </c>
      <c r="AA10" s="30">
        <f>PABL_Loan!$K$32</f>
        <v>54833965.839209348</v>
      </c>
      <c r="AB10" s="30">
        <f t="shared" si="14"/>
        <v>54833965.839209348</v>
      </c>
      <c r="AC10" s="30">
        <f t="shared" si="14"/>
        <v>54833965.839209348</v>
      </c>
      <c r="AD10" s="30">
        <f>PABL_Loan!$L$32</f>
        <v>62061145.888598382</v>
      </c>
      <c r="AE10" s="30">
        <f t="shared" si="14"/>
        <v>62061145.888598382</v>
      </c>
      <c r="AF10" s="30">
        <f t="shared" si="14"/>
        <v>62061145.888598382</v>
      </c>
      <c r="AG10" s="30">
        <f>PABL_Loan!$M$32</f>
        <v>68911238.708204076</v>
      </c>
      <c r="AH10" s="30">
        <f t="shared" si="14"/>
        <v>68911238.708204076</v>
      </c>
      <c r="AI10" s="30">
        <f t="shared" si="14"/>
        <v>68911238.708204076</v>
      </c>
      <c r="AJ10" s="30">
        <f>PABL_Loan!$N$32</f>
        <v>75383424.158122867</v>
      </c>
      <c r="AK10" s="30">
        <f t="shared" si="14"/>
        <v>75383424.158122867</v>
      </c>
      <c r="AL10" s="30">
        <f t="shared" si="14"/>
        <v>75383424.158122867</v>
      </c>
      <c r="AM10" s="30">
        <f>PABL_Loan!$O$32</f>
        <v>81682345.260456771</v>
      </c>
      <c r="AN10" s="30">
        <f t="shared" si="14"/>
        <v>81682345.260456771</v>
      </c>
      <c r="AO10" s="30">
        <f t="shared" si="14"/>
        <v>81682345.260456771</v>
      </c>
      <c r="AP10" s="30">
        <f>PABL_Loan!$P$32</f>
        <v>87656248.40460135</v>
      </c>
      <c r="AQ10" s="30">
        <f t="shared" si="14"/>
        <v>87656248.40460135</v>
      </c>
      <c r="AR10" s="30">
        <f t="shared" si="14"/>
        <v>87656248.40460135</v>
      </c>
      <c r="AS10" s="30">
        <f>PABL_Loan!$Q$32</f>
        <v>93235695.535764918</v>
      </c>
      <c r="AT10" s="30">
        <f t="shared" si="14"/>
        <v>93235695.535764918</v>
      </c>
      <c r="AU10" s="30">
        <f t="shared" si="14"/>
        <v>93235695.535764918</v>
      </c>
      <c r="AV10" s="30">
        <f>PABL_Loan!$R$32</f>
        <v>98477382.326696292</v>
      </c>
      <c r="AW10" s="30">
        <f t="shared" si="14"/>
        <v>98477382.326696292</v>
      </c>
      <c r="AX10" s="30">
        <f t="shared" si="14"/>
        <v>98477382.326696292</v>
      </c>
      <c r="AY10" s="30">
        <f>PABL_Loan!$S$32</f>
        <v>103426661.27924344</v>
      </c>
      <c r="AZ10" s="30">
        <f t="shared" si="14"/>
        <v>103426661.27924344</v>
      </c>
      <c r="BA10" s="30">
        <f t="shared" si="14"/>
        <v>103426661.27924344</v>
      </c>
      <c r="BB10" s="30">
        <f>PABL_Loan!$T$32</f>
        <v>108017181.21985659</v>
      </c>
      <c r="BC10" s="30">
        <f t="shared" si="14"/>
        <v>108017181.21985659</v>
      </c>
      <c r="BD10" s="30">
        <f t="shared" si="14"/>
        <v>108017181.21985659</v>
      </c>
      <c r="BE10" s="30">
        <f>PABL_Loan!$U$32</f>
        <v>112194073.26070064</v>
      </c>
      <c r="BF10" s="30">
        <f t="shared" si="14"/>
        <v>112194073.26070064</v>
      </c>
      <c r="BG10" s="30">
        <f t="shared" si="14"/>
        <v>112194073.26070064</v>
      </c>
      <c r="BH10" s="30">
        <f>PABL_Loan!$V$32</f>
        <v>115956338.14094074</v>
      </c>
      <c r="BI10" s="30">
        <f t="shared" si="14"/>
        <v>115956338.14094074</v>
      </c>
      <c r="BJ10" s="30">
        <f t="shared" si="14"/>
        <v>115956338.14094074</v>
      </c>
      <c r="BK10" s="30">
        <f>PABL_Loan!$W$32</f>
        <v>119415864.69082242</v>
      </c>
      <c r="BL10" s="30">
        <f t="shared" si="14"/>
        <v>119415864.69082242</v>
      </c>
      <c r="BM10" s="30">
        <f t="shared" si="14"/>
        <v>119415864.69082242</v>
      </c>
      <c r="BN10" s="30">
        <f>PABL_Loan!$X$32</f>
        <v>122479388.41870347</v>
      </c>
      <c r="BO10" s="30">
        <f t="shared" si="14"/>
        <v>122479388.41870347</v>
      </c>
      <c r="BP10" s="30">
        <f t="shared" si="14"/>
        <v>122479388.41870347</v>
      </c>
      <c r="BQ10" s="30">
        <f>PABL_Loan!$Y$32</f>
        <v>125108122.07104115</v>
      </c>
      <c r="BR10" s="30">
        <f t="shared" ref="BR10:CE10" si="15">BQ10</f>
        <v>125108122.07104115</v>
      </c>
      <c r="BS10" s="30">
        <f t="shared" si="15"/>
        <v>125108122.07104115</v>
      </c>
      <c r="BT10" s="30">
        <f>PABL_Loan!$Z$32</f>
        <v>127300962.65084484</v>
      </c>
      <c r="BU10" s="30">
        <f t="shared" si="15"/>
        <v>127300962.65084484</v>
      </c>
      <c r="BV10" s="30">
        <f t="shared" si="15"/>
        <v>127300962.65084484</v>
      </c>
      <c r="BW10" s="30">
        <f>PABL_Loan!$AA$32</f>
        <v>129116081.29482481</v>
      </c>
      <c r="BX10" s="30">
        <f t="shared" si="15"/>
        <v>129116081.29482481</v>
      </c>
      <c r="BY10" s="30">
        <f t="shared" si="15"/>
        <v>129116081.29482481</v>
      </c>
      <c r="BZ10" s="30">
        <f>PABL_Loan!$AB$32</f>
        <v>130494086.91915661</v>
      </c>
      <c r="CA10" s="30">
        <f t="shared" si="15"/>
        <v>130494086.91915661</v>
      </c>
      <c r="CB10" s="30">
        <f t="shared" si="15"/>
        <v>130494086.91915661</v>
      </c>
      <c r="CC10" s="30">
        <f>PABL_Loan!$AC$32</f>
        <v>131413943.38553172</v>
      </c>
      <c r="CD10" s="30">
        <f t="shared" si="15"/>
        <v>131413943.38553172</v>
      </c>
      <c r="CE10" s="30">
        <f t="shared" si="15"/>
        <v>131413943.38553172</v>
      </c>
      <c r="CF10" s="30">
        <f>PABL_Loan!$AD$32</f>
        <v>131874433.19165358</v>
      </c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</row>
    <row r="11" spans="1:120">
      <c r="A11" s="38" t="s">
        <v>25</v>
      </c>
      <c r="B11" s="30">
        <f>B26</f>
        <v>0</v>
      </c>
      <c r="C11" s="30">
        <f>C26</f>
        <v>629807</v>
      </c>
      <c r="D11" s="30">
        <f t="shared" ref="D11:F11" si="16">D26</f>
        <v>629807</v>
      </c>
      <c r="E11" s="30">
        <f t="shared" si="16"/>
        <v>629807</v>
      </c>
      <c r="F11" s="30">
        <f t="shared" si="16"/>
        <v>2990611</v>
      </c>
      <c r="G11" s="30">
        <f t="shared" ref="G11:L11" si="17">G26</f>
        <v>2990611</v>
      </c>
      <c r="H11" s="30">
        <f t="shared" si="17"/>
        <v>2990611</v>
      </c>
      <c r="I11" s="30">
        <f t="shared" si="17"/>
        <v>7590549</v>
      </c>
      <c r="J11" s="30">
        <f t="shared" si="17"/>
        <v>7590549</v>
      </c>
      <c r="K11" s="30">
        <f t="shared" si="17"/>
        <v>7590549</v>
      </c>
      <c r="L11" s="30">
        <f t="shared" si="17"/>
        <v>14683001</v>
      </c>
      <c r="M11" s="30">
        <f t="shared" ref="M11:AQ11" si="18">M26</f>
        <v>14683001</v>
      </c>
      <c r="N11" s="30">
        <f t="shared" si="18"/>
        <v>14683001</v>
      </c>
      <c r="O11" s="30">
        <f t="shared" si="18"/>
        <v>23312345</v>
      </c>
      <c r="P11" s="30">
        <f t="shared" si="18"/>
        <v>23312345</v>
      </c>
      <c r="Q11" s="30">
        <f t="shared" si="18"/>
        <v>23312345</v>
      </c>
      <c r="R11" s="30">
        <f t="shared" si="18"/>
        <v>31584035</v>
      </c>
      <c r="S11" s="30">
        <f t="shared" si="18"/>
        <v>31584035</v>
      </c>
      <c r="T11" s="30">
        <f t="shared" si="18"/>
        <v>31584035</v>
      </c>
      <c r="U11" s="30">
        <f t="shared" si="18"/>
        <v>34584035</v>
      </c>
      <c r="V11" s="30">
        <f t="shared" si="18"/>
        <v>34584035</v>
      </c>
      <c r="W11" s="30">
        <f t="shared" si="18"/>
        <v>34584035</v>
      </c>
      <c r="X11" s="30">
        <f t="shared" si="18"/>
        <v>47312335.561027199</v>
      </c>
      <c r="Y11" s="30">
        <f t="shared" si="18"/>
        <v>47312335.561027199</v>
      </c>
      <c r="Z11" s="30">
        <f t="shared" si="18"/>
        <v>47312335.561027199</v>
      </c>
      <c r="AA11" s="30">
        <f t="shared" si="18"/>
        <v>54833965.839209348</v>
      </c>
      <c r="AB11" s="30">
        <f t="shared" si="18"/>
        <v>54833965.839209348</v>
      </c>
      <c r="AC11" s="30">
        <f t="shared" si="18"/>
        <v>54833965.839209348</v>
      </c>
      <c r="AD11" s="30">
        <f t="shared" si="18"/>
        <v>62061145.888598382</v>
      </c>
      <c r="AE11" s="30">
        <f t="shared" si="18"/>
        <v>62061145.888598382</v>
      </c>
      <c r="AF11" s="30">
        <f t="shared" si="18"/>
        <v>62061145.888598382</v>
      </c>
      <c r="AG11" s="30">
        <f t="shared" si="18"/>
        <v>68911238.708204076</v>
      </c>
      <c r="AH11" s="30">
        <f t="shared" si="18"/>
        <v>68911238.708204076</v>
      </c>
      <c r="AI11" s="30">
        <f t="shared" si="18"/>
        <v>68911238.708204076</v>
      </c>
      <c r="AJ11" s="30">
        <f t="shared" si="18"/>
        <v>75383424.158122867</v>
      </c>
      <c r="AK11" s="30">
        <f t="shared" si="18"/>
        <v>75383424.158122867</v>
      </c>
      <c r="AL11" s="30">
        <f t="shared" si="18"/>
        <v>75383424.158122867</v>
      </c>
      <c r="AM11" s="30">
        <f t="shared" si="18"/>
        <v>81682345.260456771</v>
      </c>
      <c r="AN11" s="30">
        <f t="shared" si="18"/>
        <v>81682345.260456771</v>
      </c>
      <c r="AO11" s="30">
        <f t="shared" si="18"/>
        <v>81682345.260456771</v>
      </c>
      <c r="AP11" s="30">
        <f t="shared" si="18"/>
        <v>87656248.40460135</v>
      </c>
      <c r="AQ11" s="30">
        <f t="shared" si="18"/>
        <v>87656248.40460135</v>
      </c>
      <c r="AR11" s="30">
        <f t="shared" ref="AR11:BW11" si="19">AR26</f>
        <v>87656248.40460135</v>
      </c>
      <c r="AS11" s="30">
        <f t="shared" si="19"/>
        <v>93235695.535764918</v>
      </c>
      <c r="AT11" s="30">
        <f t="shared" si="19"/>
        <v>93235695.535764918</v>
      </c>
      <c r="AU11" s="30">
        <f t="shared" si="19"/>
        <v>93235695.535764918</v>
      </c>
      <c r="AV11" s="30">
        <f t="shared" si="19"/>
        <v>98477382.326696292</v>
      </c>
      <c r="AW11" s="30">
        <f t="shared" si="19"/>
        <v>98477382.326696292</v>
      </c>
      <c r="AX11" s="30">
        <f t="shared" si="19"/>
        <v>98477382.326696292</v>
      </c>
      <c r="AY11" s="30">
        <f t="shared" si="19"/>
        <v>103426661.27924344</v>
      </c>
      <c r="AZ11" s="30">
        <f t="shared" si="19"/>
        <v>103426661.27924344</v>
      </c>
      <c r="BA11" s="30">
        <f t="shared" si="19"/>
        <v>103426661.27924344</v>
      </c>
      <c r="BB11" s="30">
        <f t="shared" si="19"/>
        <v>108017181.21985659</v>
      </c>
      <c r="BC11" s="30">
        <f t="shared" si="19"/>
        <v>108017181.21985659</v>
      </c>
      <c r="BD11" s="30">
        <f t="shared" si="19"/>
        <v>108017181.21985659</v>
      </c>
      <c r="BE11" s="30">
        <f t="shared" si="19"/>
        <v>112194073.26070064</v>
      </c>
      <c r="BF11" s="30">
        <f t="shared" si="19"/>
        <v>112194073.26070064</v>
      </c>
      <c r="BG11" s="30">
        <f t="shared" si="19"/>
        <v>112194073.26070064</v>
      </c>
      <c r="BH11" s="30">
        <f t="shared" si="19"/>
        <v>115956338.14094074</v>
      </c>
      <c r="BI11" s="30">
        <f t="shared" si="19"/>
        <v>115956338.14094074</v>
      </c>
      <c r="BJ11" s="30">
        <f t="shared" si="19"/>
        <v>115956338.14094074</v>
      </c>
      <c r="BK11" s="30">
        <f t="shared" si="19"/>
        <v>119415864.69082242</v>
      </c>
      <c r="BL11" s="30">
        <f t="shared" si="19"/>
        <v>119415864.69082242</v>
      </c>
      <c r="BM11" s="30">
        <f t="shared" si="19"/>
        <v>119415864.69082242</v>
      </c>
      <c r="BN11" s="30">
        <f t="shared" si="19"/>
        <v>122479388.41870347</v>
      </c>
      <c r="BO11" s="30">
        <f t="shared" si="19"/>
        <v>122479388.41870347</v>
      </c>
      <c r="BP11" s="30">
        <f t="shared" si="19"/>
        <v>122479388.41870347</v>
      </c>
      <c r="BQ11" s="30">
        <f t="shared" si="19"/>
        <v>125108122.07104115</v>
      </c>
      <c r="BR11" s="30">
        <f t="shared" si="19"/>
        <v>125108122.07104115</v>
      </c>
      <c r="BS11" s="30">
        <f t="shared" si="19"/>
        <v>125108122.07104115</v>
      </c>
      <c r="BT11" s="30">
        <f t="shared" si="19"/>
        <v>127300962.65084484</v>
      </c>
      <c r="BU11" s="30">
        <f t="shared" si="19"/>
        <v>127300962.65084484</v>
      </c>
      <c r="BV11" s="30">
        <f t="shared" si="19"/>
        <v>127300962.65084484</v>
      </c>
      <c r="BW11" s="30">
        <f t="shared" si="19"/>
        <v>129116081.29482481</v>
      </c>
      <c r="BX11" s="30">
        <f t="shared" ref="BX11:CE11" si="20">BX26</f>
        <v>129116081.29482481</v>
      </c>
      <c r="BY11" s="30">
        <f t="shared" si="20"/>
        <v>129116081.29482481</v>
      </c>
      <c r="BZ11" s="30">
        <f t="shared" si="20"/>
        <v>130494086.91915661</v>
      </c>
      <c r="CA11" s="30">
        <f t="shared" si="20"/>
        <v>130494086.91915661</v>
      </c>
      <c r="CB11" s="30">
        <f t="shared" si="20"/>
        <v>130494086.91915661</v>
      </c>
      <c r="CC11" s="30">
        <f t="shared" si="20"/>
        <v>131413943.38553172</v>
      </c>
      <c r="CD11" s="30">
        <f t="shared" si="20"/>
        <v>131413943.38553172</v>
      </c>
      <c r="CE11" s="30">
        <f t="shared" si="20"/>
        <v>131413943.38553172</v>
      </c>
      <c r="CF11" s="30">
        <f t="shared" ref="CF11" si="21">CF26</f>
        <v>131874433.19165358</v>
      </c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</row>
    <row r="12" spans="1:120">
      <c r="A12" s="38" t="s">
        <v>26</v>
      </c>
      <c r="B12" s="30">
        <f>IF((B10-B11)&gt;0,(B10-B11),0)</f>
        <v>0</v>
      </c>
      <c r="C12" s="30">
        <f t="shared" ref="C12:BN12" si="22">IF((C10-C11)&gt;0,(C10-C11),0)</f>
        <v>0.41687499999534339</v>
      </c>
      <c r="D12" s="30">
        <f t="shared" si="22"/>
        <v>0.41687499999534339</v>
      </c>
      <c r="E12" s="30">
        <f t="shared" si="22"/>
        <v>0.41687499999534339</v>
      </c>
      <c r="F12" s="30">
        <f t="shared" si="22"/>
        <v>9.8652778193354607E-2</v>
      </c>
      <c r="G12" s="30">
        <f t="shared" si="22"/>
        <v>9.8652778193354607E-2</v>
      </c>
      <c r="H12" s="30">
        <f t="shared" si="22"/>
        <v>9.8652778193354607E-2</v>
      </c>
      <c r="I12" s="30">
        <f t="shared" si="22"/>
        <v>0</v>
      </c>
      <c r="J12" s="30">
        <f t="shared" si="22"/>
        <v>0</v>
      </c>
      <c r="K12" s="30">
        <f t="shared" si="22"/>
        <v>0</v>
      </c>
      <c r="L12" s="30">
        <f t="shared" si="22"/>
        <v>0</v>
      </c>
      <c r="M12" s="30">
        <f t="shared" si="22"/>
        <v>0</v>
      </c>
      <c r="N12" s="30">
        <f t="shared" si="22"/>
        <v>0</v>
      </c>
      <c r="O12" s="30">
        <f t="shared" si="22"/>
        <v>0.29131389036774635</v>
      </c>
      <c r="P12" s="30">
        <f t="shared" si="22"/>
        <v>0.29131389036774635</v>
      </c>
      <c r="Q12" s="30">
        <f t="shared" si="22"/>
        <v>0.29131389036774635</v>
      </c>
      <c r="R12" s="30">
        <f t="shared" si="22"/>
        <v>0</v>
      </c>
      <c r="S12" s="30">
        <f t="shared" si="22"/>
        <v>0</v>
      </c>
      <c r="T12" s="30">
        <f t="shared" si="22"/>
        <v>0</v>
      </c>
      <c r="U12" s="30">
        <f t="shared" si="22"/>
        <v>5089160.4363857955</v>
      </c>
      <c r="V12" s="30">
        <f t="shared" si="22"/>
        <v>5089160.4363857955</v>
      </c>
      <c r="W12" s="30">
        <f t="shared" si="22"/>
        <v>5089160.4363857955</v>
      </c>
      <c r="X12" s="30">
        <f t="shared" si="22"/>
        <v>0</v>
      </c>
      <c r="Y12" s="30">
        <f t="shared" si="22"/>
        <v>0</v>
      </c>
      <c r="Z12" s="30">
        <f t="shared" si="22"/>
        <v>0</v>
      </c>
      <c r="AA12" s="30">
        <f t="shared" si="22"/>
        <v>0</v>
      </c>
      <c r="AB12" s="30">
        <f t="shared" si="22"/>
        <v>0</v>
      </c>
      <c r="AC12" s="30">
        <f t="shared" si="22"/>
        <v>0</v>
      </c>
      <c r="AD12" s="30">
        <f t="shared" si="22"/>
        <v>0</v>
      </c>
      <c r="AE12" s="30">
        <f t="shared" si="22"/>
        <v>0</v>
      </c>
      <c r="AF12" s="30">
        <f t="shared" si="22"/>
        <v>0</v>
      </c>
      <c r="AG12" s="30">
        <f t="shared" si="22"/>
        <v>0</v>
      </c>
      <c r="AH12" s="30">
        <f t="shared" si="22"/>
        <v>0</v>
      </c>
      <c r="AI12" s="30">
        <f t="shared" si="22"/>
        <v>0</v>
      </c>
      <c r="AJ12" s="30">
        <f t="shared" si="22"/>
        <v>0</v>
      </c>
      <c r="AK12" s="30">
        <f t="shared" si="22"/>
        <v>0</v>
      </c>
      <c r="AL12" s="30">
        <f t="shared" si="22"/>
        <v>0</v>
      </c>
      <c r="AM12" s="30">
        <f t="shared" si="22"/>
        <v>0</v>
      </c>
      <c r="AN12" s="30">
        <f t="shared" si="22"/>
        <v>0</v>
      </c>
      <c r="AO12" s="30">
        <f t="shared" si="22"/>
        <v>0</v>
      </c>
      <c r="AP12" s="30">
        <f t="shared" si="22"/>
        <v>0</v>
      </c>
      <c r="AQ12" s="30">
        <f t="shared" si="22"/>
        <v>0</v>
      </c>
      <c r="AR12" s="30">
        <f t="shared" si="22"/>
        <v>0</v>
      </c>
      <c r="AS12" s="30">
        <f t="shared" si="22"/>
        <v>0</v>
      </c>
      <c r="AT12" s="30">
        <f t="shared" si="22"/>
        <v>0</v>
      </c>
      <c r="AU12" s="30">
        <f t="shared" si="22"/>
        <v>0</v>
      </c>
      <c r="AV12" s="30">
        <f t="shared" si="22"/>
        <v>0</v>
      </c>
      <c r="AW12" s="30">
        <f t="shared" si="22"/>
        <v>0</v>
      </c>
      <c r="AX12" s="30">
        <f t="shared" si="22"/>
        <v>0</v>
      </c>
      <c r="AY12" s="30">
        <f t="shared" si="22"/>
        <v>0</v>
      </c>
      <c r="AZ12" s="30">
        <f t="shared" si="22"/>
        <v>0</v>
      </c>
      <c r="BA12" s="30">
        <f t="shared" si="22"/>
        <v>0</v>
      </c>
      <c r="BB12" s="30">
        <f t="shared" si="22"/>
        <v>0</v>
      </c>
      <c r="BC12" s="30">
        <f t="shared" si="22"/>
        <v>0</v>
      </c>
      <c r="BD12" s="30">
        <f t="shared" si="22"/>
        <v>0</v>
      </c>
      <c r="BE12" s="30">
        <f t="shared" si="22"/>
        <v>0</v>
      </c>
      <c r="BF12" s="30">
        <f t="shared" si="22"/>
        <v>0</v>
      </c>
      <c r="BG12" s="30">
        <f t="shared" si="22"/>
        <v>0</v>
      </c>
      <c r="BH12" s="30">
        <f t="shared" si="22"/>
        <v>0</v>
      </c>
      <c r="BI12" s="30">
        <f t="shared" si="22"/>
        <v>0</v>
      </c>
      <c r="BJ12" s="30">
        <f t="shared" si="22"/>
        <v>0</v>
      </c>
      <c r="BK12" s="30">
        <f t="shared" si="22"/>
        <v>0</v>
      </c>
      <c r="BL12" s="30">
        <f t="shared" si="22"/>
        <v>0</v>
      </c>
      <c r="BM12" s="30">
        <f t="shared" si="22"/>
        <v>0</v>
      </c>
      <c r="BN12" s="30">
        <f t="shared" si="22"/>
        <v>0</v>
      </c>
      <c r="BO12" s="30">
        <f t="shared" ref="BO12:CE12" si="23">IF((BO10-BO11)&gt;0,(BO10-BO11),0)</f>
        <v>0</v>
      </c>
      <c r="BP12" s="30">
        <f t="shared" si="23"/>
        <v>0</v>
      </c>
      <c r="BQ12" s="30">
        <f t="shared" si="23"/>
        <v>0</v>
      </c>
      <c r="BR12" s="30">
        <f t="shared" si="23"/>
        <v>0</v>
      </c>
      <c r="BS12" s="30">
        <f t="shared" si="23"/>
        <v>0</v>
      </c>
      <c r="BT12" s="30">
        <f t="shared" si="23"/>
        <v>0</v>
      </c>
      <c r="BU12" s="30">
        <f t="shared" si="23"/>
        <v>0</v>
      </c>
      <c r="BV12" s="30">
        <f t="shared" si="23"/>
        <v>0</v>
      </c>
      <c r="BW12" s="30">
        <f t="shared" si="23"/>
        <v>0</v>
      </c>
      <c r="BX12" s="30">
        <f t="shared" si="23"/>
        <v>0</v>
      </c>
      <c r="BY12" s="30">
        <f t="shared" si="23"/>
        <v>0</v>
      </c>
      <c r="BZ12" s="30">
        <f t="shared" si="23"/>
        <v>0</v>
      </c>
      <c r="CA12" s="30">
        <f t="shared" si="23"/>
        <v>0</v>
      </c>
      <c r="CB12" s="30">
        <f t="shared" si="23"/>
        <v>0</v>
      </c>
      <c r="CC12" s="30">
        <f t="shared" si="23"/>
        <v>0</v>
      </c>
      <c r="CD12" s="30">
        <f t="shared" si="23"/>
        <v>0</v>
      </c>
      <c r="CE12" s="30">
        <f t="shared" si="23"/>
        <v>0</v>
      </c>
      <c r="CF12" s="30">
        <f t="shared" ref="CF12" si="24">IF((CF10-CF11)&gt;0,(CF10-CF11),0)</f>
        <v>0</v>
      </c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</row>
    <row r="13" spans="1:120">
      <c r="A13" s="38" t="s">
        <v>27</v>
      </c>
      <c r="B13" s="30">
        <f t="shared" ref="B13:BM13" si="25">B9-B11</f>
        <v>303240.60812500003</v>
      </c>
      <c r="C13" s="30">
        <f t="shared" si="25"/>
        <v>373219.62687500007</v>
      </c>
      <c r="D13" s="30">
        <f t="shared" si="25"/>
        <v>1096331.8462500002</v>
      </c>
      <c r="E13" s="30">
        <f t="shared" si="25"/>
        <v>1819444.0656250003</v>
      </c>
      <c r="F13" s="30">
        <f>F9-F11</f>
        <v>716888.46749722259</v>
      </c>
      <c r="G13" s="30">
        <f t="shared" si="25"/>
        <v>2105859.6821333338</v>
      </c>
      <c r="H13" s="30">
        <f t="shared" si="25"/>
        <v>3720353.9760083342</v>
      </c>
      <c r="I13" s="30">
        <f t="shared" si="25"/>
        <v>1119951.1368694454</v>
      </c>
      <c r="J13" s="30">
        <f t="shared" si="25"/>
        <v>3585684.8496138901</v>
      </c>
      <c r="K13" s="30">
        <f t="shared" si="25"/>
        <v>5855652.4421250001</v>
      </c>
      <c r="L13" s="30">
        <f t="shared" si="25"/>
        <v>1594552.6246472225</v>
      </c>
      <c r="M13" s="30">
        <f t="shared" si="25"/>
        <v>4408469.2913138904</v>
      </c>
      <c r="N13" s="30">
        <f t="shared" si="25"/>
        <v>7316183.1802027784</v>
      </c>
      <c r="O13" s="30">
        <f t="shared" si="25"/>
        <v>1454363.25997613</v>
      </c>
      <c r="P13" s="30">
        <f t="shared" si="25"/>
        <v>4272191.5117592216</v>
      </c>
      <c r="Q13" s="30">
        <f t="shared" si="25"/>
        <v>7090019.7635423131</v>
      </c>
      <c r="R13" s="30">
        <f t="shared" si="25"/>
        <v>1494735.903120514</v>
      </c>
      <c r="S13" s="30">
        <f t="shared" si="25"/>
        <v>4220431.3768701628</v>
      </c>
      <c r="T13" s="30">
        <f t="shared" si="25"/>
        <v>6858201.1901762784</v>
      </c>
      <c r="U13" s="30">
        <f t="shared" si="25"/>
        <v>6532109.1265958399</v>
      </c>
      <c r="V13" s="30">
        <f t="shared" si="25"/>
        <v>9163368.5028612092</v>
      </c>
      <c r="W13" s="30">
        <f t="shared" si="25"/>
        <v>11539989.874971867</v>
      </c>
      <c r="X13" s="30">
        <f t="shared" si="25"/>
        <v>1389866.4644467011</v>
      </c>
      <c r="Y13" s="30">
        <f t="shared" si="25"/>
        <v>3842571.9899408817</v>
      </c>
      <c r="Z13" s="30">
        <f t="shared" si="25"/>
        <v>6377034.3662848696</v>
      </c>
      <c r="AA13" s="30">
        <f t="shared" si="25"/>
        <v>1256900.8781546205</v>
      </c>
      <c r="AB13" s="30">
        <f t="shared" si="25"/>
        <v>3692146.3295791894</v>
      </c>
      <c r="AC13" s="30">
        <f t="shared" si="25"/>
        <v>6127391.7810037583</v>
      </c>
      <c r="AD13" s="30">
        <f t="shared" si="25"/>
        <v>1204411.9243262857</v>
      </c>
      <c r="AE13" s="30">
        <f t="shared" si="25"/>
        <v>3537960.0277084485</v>
      </c>
      <c r="AF13" s="30">
        <f t="shared" si="25"/>
        <v>5796232.38582021</v>
      </c>
      <c r="AG13" s="30">
        <f t="shared" si="25"/>
        <v>1222523.9183180034</v>
      </c>
      <c r="AH13" s="30">
        <f t="shared" si="25"/>
        <v>3451832.2399566919</v>
      </c>
      <c r="AI13" s="30">
        <f t="shared" si="25"/>
        <v>5465401.0465980917</v>
      </c>
      <c r="AJ13" s="30">
        <f t="shared" si="25"/>
        <v>1163931.0732573569</v>
      </c>
      <c r="AK13" s="30">
        <f t="shared" si="25"/>
        <v>3217927.0848879814</v>
      </c>
      <c r="AL13" s="30">
        <f t="shared" si="25"/>
        <v>5340389.6302396208</v>
      </c>
      <c r="AM13" s="30">
        <f t="shared" si="25"/>
        <v>1038939.6772425473</v>
      </c>
      <c r="AN13" s="30">
        <f t="shared" si="25"/>
        <v>3051885.3018999547</v>
      </c>
      <c r="AO13" s="30">
        <f t="shared" si="25"/>
        <v>5064830.9265573621</v>
      </c>
      <c r="AP13" s="30">
        <f t="shared" si="25"/>
        <v>981001.6933913976</v>
      </c>
      <c r="AQ13" s="30">
        <f t="shared" si="25"/>
        <v>2881692.4743372202</v>
      </c>
      <c r="AR13" s="30">
        <f t="shared" si="25"/>
        <v>4721070.6494460851</v>
      </c>
      <c r="AS13" s="30">
        <f t="shared" si="25"/>
        <v>979216.21369045973</v>
      </c>
      <c r="AT13" s="30">
        <f t="shared" si="25"/>
        <v>2764845.7798319161</v>
      </c>
      <c r="AU13" s="30">
        <f t="shared" si="25"/>
        <v>4435273.4384803772</v>
      </c>
      <c r="AV13" s="30">
        <f t="shared" si="25"/>
        <v>914540.67601412535</v>
      </c>
      <c r="AW13" s="30">
        <f t="shared" si="25"/>
        <v>2528435.9866273254</v>
      </c>
      <c r="AX13" s="30">
        <f t="shared" si="25"/>
        <v>4196127.8075942993</v>
      </c>
      <c r="AY13" s="30">
        <f t="shared" si="25"/>
        <v>798351.29401965439</v>
      </c>
      <c r="AZ13" s="30">
        <f t="shared" si="25"/>
        <v>2345156.9261827767</v>
      </c>
      <c r="BA13" s="30">
        <f t="shared" si="25"/>
        <v>3891962.558345899</v>
      </c>
      <c r="BB13" s="30">
        <f t="shared" si="25"/>
        <v>734398.60058793426</v>
      </c>
      <c r="BC13" s="30">
        <f t="shared" si="25"/>
        <v>2157295.8892271221</v>
      </c>
      <c r="BD13" s="30">
        <f t="shared" si="25"/>
        <v>3534293.2653295547</v>
      </c>
      <c r="BE13" s="30">
        <f t="shared" si="25"/>
        <v>710650.03293421865</v>
      </c>
      <c r="BF13" s="30">
        <f t="shared" si="25"/>
        <v>2006541.2694613636</v>
      </c>
      <c r="BG13" s="30">
        <f t="shared" si="25"/>
        <v>3177023.6766471714</v>
      </c>
      <c r="BH13" s="30">
        <f t="shared" si="25"/>
        <v>639260.34073898196</v>
      </c>
      <c r="BI13" s="30">
        <f t="shared" si="25"/>
        <v>1767366.824396044</v>
      </c>
      <c r="BJ13" s="30">
        <f t="shared" si="25"/>
        <v>2933076.8575083464</v>
      </c>
      <c r="BK13" s="30">
        <f t="shared" si="25"/>
        <v>532786.73528362811</v>
      </c>
      <c r="BL13" s="30">
        <f t="shared" si="25"/>
        <v>1565061.0348957181</v>
      </c>
      <c r="BM13" s="30">
        <f t="shared" si="25"/>
        <v>2597335.3345078081</v>
      </c>
      <c r="BN13" s="30">
        <f t="shared" ref="BN13:CE13" si="26">BN9-BN11</f>
        <v>462194.92788352072</v>
      </c>
      <c r="BO13" s="30">
        <f t="shared" si="26"/>
        <v>1357697.6006578952</v>
      </c>
      <c r="BP13" s="30">
        <f t="shared" si="26"/>
        <v>2224313.0904395431</v>
      </c>
      <c r="BQ13" s="30">
        <f t="shared" si="26"/>
        <v>414203.22062954307</v>
      </c>
      <c r="BR13" s="30">
        <f t="shared" si="26"/>
        <v>1169514.9758952558</v>
      </c>
      <c r="BS13" s="30">
        <f t="shared" si="26"/>
        <v>1851732.0451675206</v>
      </c>
      <c r="BT13" s="30">
        <f t="shared" si="26"/>
        <v>335402.35812669992</v>
      </c>
      <c r="BU13" s="30">
        <f t="shared" si="26"/>
        <v>927288.87246799469</v>
      </c>
      <c r="BV13" s="30">
        <f t="shared" si="26"/>
        <v>1538904.9372873306</v>
      </c>
      <c r="BW13" s="30">
        <f t="shared" si="26"/>
        <v>239653.15205767751</v>
      </c>
      <c r="BX13" s="30">
        <f t="shared" si="26"/>
        <v>703981.13416947424</v>
      </c>
      <c r="BY13" s="30">
        <f t="shared" si="26"/>
        <v>1168309.116281271</v>
      </c>
      <c r="BZ13" s="30">
        <f t="shared" si="26"/>
        <v>161733.00507690012</v>
      </c>
      <c r="CA13" s="30">
        <f t="shared" si="26"/>
        <v>475090.70241346955</v>
      </c>
      <c r="CB13" s="30">
        <f t="shared" si="26"/>
        <v>778340.08693273365</v>
      </c>
      <c r="CC13" s="30">
        <f t="shared" si="26"/>
        <v>86981.407822966576</v>
      </c>
      <c r="CD13" s="30">
        <f t="shared" si="26"/>
        <v>245594.56326493621</v>
      </c>
      <c r="CE13" s="30">
        <f t="shared" si="26"/>
        <v>388858.05850285292</v>
      </c>
      <c r="CF13" s="30">
        <f t="shared" ref="CF13" si="27">CF9-CF11</f>
        <v>0</v>
      </c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</row>
    <row r="14" spans="1:120">
      <c r="A14" s="38" t="s">
        <v>28</v>
      </c>
      <c r="B14" s="30">
        <f t="shared" ref="B14:BC14" si="28">B28</f>
        <v>0</v>
      </c>
      <c r="C14" s="30">
        <f t="shared" si="28"/>
        <v>0</v>
      </c>
      <c r="D14" s="30">
        <f t="shared" si="28"/>
        <v>0</v>
      </c>
      <c r="E14" s="30">
        <f t="shared" si="28"/>
        <v>0</v>
      </c>
      <c r="F14" s="30">
        <f t="shared" si="28"/>
        <v>0</v>
      </c>
      <c r="G14" s="30">
        <f t="shared" si="28"/>
        <v>0</v>
      </c>
      <c r="H14" s="30">
        <f t="shared" si="28"/>
        <v>0</v>
      </c>
      <c r="I14" s="30">
        <f t="shared" si="28"/>
        <v>27543</v>
      </c>
      <c r="J14" s="30">
        <f t="shared" si="28"/>
        <v>27543</v>
      </c>
      <c r="K14" s="30">
        <f t="shared" si="28"/>
        <v>27543</v>
      </c>
      <c r="L14" s="30">
        <f t="shared" si="28"/>
        <v>47476</v>
      </c>
      <c r="M14" s="30">
        <f t="shared" si="28"/>
        <v>47476</v>
      </c>
      <c r="N14" s="30">
        <f t="shared" si="28"/>
        <v>47476</v>
      </c>
      <c r="O14" s="30">
        <f t="shared" si="28"/>
        <v>123129</v>
      </c>
      <c r="P14" s="30">
        <f t="shared" si="28"/>
        <v>123129</v>
      </c>
      <c r="Q14" s="30">
        <f t="shared" si="28"/>
        <v>123129</v>
      </c>
      <c r="R14" s="30">
        <f t="shared" si="28"/>
        <v>123129</v>
      </c>
      <c r="S14" s="30">
        <f t="shared" si="28"/>
        <v>123129</v>
      </c>
      <c r="T14" s="30">
        <f t="shared" si="28"/>
        <v>123129</v>
      </c>
      <c r="U14" s="30">
        <f t="shared" si="28"/>
        <v>123129</v>
      </c>
      <c r="V14" s="30">
        <f t="shared" si="28"/>
        <v>123129</v>
      </c>
      <c r="W14" s="30">
        <f t="shared" si="28"/>
        <v>123129</v>
      </c>
      <c r="X14" s="30">
        <f t="shared" si="28"/>
        <v>123129</v>
      </c>
      <c r="Y14" s="30">
        <f t="shared" si="28"/>
        <v>123129</v>
      </c>
      <c r="Z14" s="30">
        <f t="shared" si="28"/>
        <v>123129</v>
      </c>
      <c r="AA14" s="30">
        <f t="shared" si="28"/>
        <v>123129</v>
      </c>
      <c r="AB14" s="30">
        <f t="shared" si="28"/>
        <v>123129</v>
      </c>
      <c r="AC14" s="30">
        <f t="shared" si="28"/>
        <v>123129</v>
      </c>
      <c r="AD14" s="30">
        <f t="shared" si="28"/>
        <v>123129</v>
      </c>
      <c r="AE14" s="30">
        <f t="shared" si="28"/>
        <v>123129</v>
      </c>
      <c r="AF14" s="30">
        <f t="shared" si="28"/>
        <v>123129</v>
      </c>
      <c r="AG14" s="30">
        <f t="shared" si="28"/>
        <v>123129</v>
      </c>
      <c r="AH14" s="30">
        <f t="shared" si="28"/>
        <v>123129</v>
      </c>
      <c r="AI14" s="30">
        <f t="shared" si="28"/>
        <v>123129</v>
      </c>
      <c r="AJ14" s="30">
        <f t="shared" si="28"/>
        <v>123129</v>
      </c>
      <c r="AK14" s="30">
        <f t="shared" si="28"/>
        <v>123129</v>
      </c>
      <c r="AL14" s="30">
        <f t="shared" si="28"/>
        <v>123129</v>
      </c>
      <c r="AM14" s="30">
        <f t="shared" si="28"/>
        <v>123129</v>
      </c>
      <c r="AN14" s="30">
        <f t="shared" si="28"/>
        <v>123129</v>
      </c>
      <c r="AO14" s="30">
        <f t="shared" si="28"/>
        <v>123129</v>
      </c>
      <c r="AP14" s="30">
        <f t="shared" si="28"/>
        <v>123129</v>
      </c>
      <c r="AQ14" s="30">
        <f t="shared" si="28"/>
        <v>123129</v>
      </c>
      <c r="AR14" s="30">
        <f t="shared" si="28"/>
        <v>123129</v>
      </c>
      <c r="AS14" s="30">
        <f t="shared" si="28"/>
        <v>123129</v>
      </c>
      <c r="AT14" s="30">
        <f t="shared" si="28"/>
        <v>123129</v>
      </c>
      <c r="AU14" s="30">
        <f t="shared" si="28"/>
        <v>123129</v>
      </c>
      <c r="AV14" s="30">
        <f t="shared" si="28"/>
        <v>123129</v>
      </c>
      <c r="AW14" s="30">
        <f t="shared" si="28"/>
        <v>123129</v>
      </c>
      <c r="AX14" s="30">
        <f t="shared" si="28"/>
        <v>123129</v>
      </c>
      <c r="AY14" s="30">
        <f t="shared" si="28"/>
        <v>123129</v>
      </c>
      <c r="AZ14" s="30">
        <f t="shared" si="28"/>
        <v>123129</v>
      </c>
      <c r="BA14" s="30">
        <f t="shared" si="28"/>
        <v>123129</v>
      </c>
      <c r="BB14" s="30">
        <f t="shared" si="28"/>
        <v>123129</v>
      </c>
      <c r="BC14" s="30">
        <f t="shared" si="28"/>
        <v>123129</v>
      </c>
      <c r="BD14" s="30">
        <f t="shared" ref="BD14:BR14" si="29">BD28</f>
        <v>123129</v>
      </c>
      <c r="BE14" s="30">
        <f t="shared" si="29"/>
        <v>123129</v>
      </c>
      <c r="BF14" s="30">
        <f t="shared" si="29"/>
        <v>123129</v>
      </c>
      <c r="BG14" s="30">
        <f t="shared" si="29"/>
        <v>123129</v>
      </c>
      <c r="BH14" s="30">
        <f t="shared" si="29"/>
        <v>123129</v>
      </c>
      <c r="BI14" s="30">
        <f t="shared" si="29"/>
        <v>123129</v>
      </c>
      <c r="BJ14" s="30">
        <f t="shared" si="29"/>
        <v>123129</v>
      </c>
      <c r="BK14" s="30">
        <f t="shared" si="29"/>
        <v>123129</v>
      </c>
      <c r="BL14" s="30">
        <f t="shared" si="29"/>
        <v>123129</v>
      </c>
      <c r="BM14" s="30">
        <f t="shared" si="29"/>
        <v>123129</v>
      </c>
      <c r="BN14" s="30">
        <f t="shared" si="29"/>
        <v>123129</v>
      </c>
      <c r="BO14" s="30">
        <f t="shared" si="29"/>
        <v>123129</v>
      </c>
      <c r="BP14" s="30">
        <f t="shared" si="29"/>
        <v>123129</v>
      </c>
      <c r="BQ14" s="30">
        <f t="shared" si="29"/>
        <v>123129</v>
      </c>
      <c r="BR14" s="30">
        <f t="shared" si="29"/>
        <v>123129</v>
      </c>
      <c r="BS14" s="30">
        <f t="shared" ref="BS14:CE14" si="30">BS28</f>
        <v>123129</v>
      </c>
      <c r="BT14" s="30">
        <f t="shared" si="30"/>
        <v>123129</v>
      </c>
      <c r="BU14" s="30">
        <f t="shared" si="30"/>
        <v>123129</v>
      </c>
      <c r="BV14" s="30">
        <f t="shared" si="30"/>
        <v>123129</v>
      </c>
      <c r="BW14" s="30">
        <f t="shared" si="30"/>
        <v>123129</v>
      </c>
      <c r="BX14" s="30">
        <f t="shared" si="30"/>
        <v>123129</v>
      </c>
      <c r="BY14" s="30">
        <f t="shared" si="30"/>
        <v>123129</v>
      </c>
      <c r="BZ14" s="30">
        <f t="shared" si="30"/>
        <v>123129</v>
      </c>
      <c r="CA14" s="30">
        <f t="shared" si="30"/>
        <v>123129</v>
      </c>
      <c r="CB14" s="30">
        <f t="shared" si="30"/>
        <v>123129</v>
      </c>
      <c r="CC14" s="30">
        <f t="shared" si="30"/>
        <v>123129</v>
      </c>
      <c r="CD14" s="30">
        <f t="shared" si="30"/>
        <v>123129</v>
      </c>
      <c r="CE14" s="30">
        <f t="shared" si="30"/>
        <v>123129</v>
      </c>
      <c r="CF14" s="30">
        <f t="shared" ref="CF14" si="31">CF28</f>
        <v>123129</v>
      </c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</row>
    <row r="15" spans="1:120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</row>
    <row r="16" spans="1:120"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</row>
    <row r="17" spans="1:120"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</row>
    <row r="18" spans="1:120"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</row>
    <row r="19" spans="1:120" ht="15">
      <c r="B19" s="28">
        <f t="shared" ref="B19:BM19" si="32">B1</f>
        <v>42522</v>
      </c>
      <c r="C19" s="28">
        <f t="shared" si="32"/>
        <v>42552</v>
      </c>
      <c r="D19" s="28">
        <f t="shared" si="32"/>
        <v>42583</v>
      </c>
      <c r="E19" s="28">
        <f t="shared" si="32"/>
        <v>42614</v>
      </c>
      <c r="F19" s="28">
        <f t="shared" si="32"/>
        <v>42644</v>
      </c>
      <c r="G19" s="28">
        <f t="shared" si="32"/>
        <v>42675</v>
      </c>
      <c r="H19" s="28">
        <f t="shared" si="32"/>
        <v>42705</v>
      </c>
      <c r="I19" s="28">
        <f t="shared" si="32"/>
        <v>42736</v>
      </c>
      <c r="J19" s="28">
        <f t="shared" si="32"/>
        <v>42767</v>
      </c>
      <c r="K19" s="28">
        <f t="shared" si="32"/>
        <v>42795</v>
      </c>
      <c r="L19" s="28">
        <f t="shared" si="32"/>
        <v>42826</v>
      </c>
      <c r="M19" s="28">
        <f t="shared" si="32"/>
        <v>42856</v>
      </c>
      <c r="N19" s="28">
        <f t="shared" si="32"/>
        <v>42887</v>
      </c>
      <c r="O19" s="28">
        <f t="shared" si="32"/>
        <v>42917</v>
      </c>
      <c r="P19" s="28">
        <f t="shared" si="32"/>
        <v>42948</v>
      </c>
      <c r="Q19" s="28">
        <f t="shared" si="32"/>
        <v>42979</v>
      </c>
      <c r="R19" s="28">
        <f t="shared" si="32"/>
        <v>43009</v>
      </c>
      <c r="S19" s="28">
        <f t="shared" si="32"/>
        <v>43040</v>
      </c>
      <c r="T19" s="28">
        <f t="shared" si="32"/>
        <v>43070</v>
      </c>
      <c r="U19" s="28">
        <f t="shared" si="32"/>
        <v>43101</v>
      </c>
      <c r="V19" s="28">
        <f t="shared" si="32"/>
        <v>43132</v>
      </c>
      <c r="W19" s="28">
        <f t="shared" si="32"/>
        <v>43160</v>
      </c>
      <c r="X19" s="28">
        <f t="shared" si="32"/>
        <v>43191</v>
      </c>
      <c r="Y19" s="28">
        <f t="shared" si="32"/>
        <v>43221</v>
      </c>
      <c r="Z19" s="28">
        <f t="shared" si="32"/>
        <v>43252</v>
      </c>
      <c r="AA19" s="28">
        <f t="shared" si="32"/>
        <v>43282</v>
      </c>
      <c r="AB19" s="28">
        <f t="shared" si="32"/>
        <v>43313</v>
      </c>
      <c r="AC19" s="28">
        <f t="shared" si="32"/>
        <v>43344</v>
      </c>
      <c r="AD19" s="28">
        <f t="shared" si="32"/>
        <v>43374</v>
      </c>
      <c r="AE19" s="28">
        <f t="shared" si="32"/>
        <v>43405</v>
      </c>
      <c r="AF19" s="28">
        <f t="shared" si="32"/>
        <v>43435</v>
      </c>
      <c r="AG19" s="28">
        <f t="shared" si="32"/>
        <v>43466</v>
      </c>
      <c r="AH19" s="28">
        <f t="shared" si="32"/>
        <v>43497</v>
      </c>
      <c r="AI19" s="28">
        <f t="shared" si="32"/>
        <v>43525</v>
      </c>
      <c r="AJ19" s="28">
        <f t="shared" si="32"/>
        <v>43556</v>
      </c>
      <c r="AK19" s="28">
        <f t="shared" si="32"/>
        <v>43586</v>
      </c>
      <c r="AL19" s="28">
        <f t="shared" si="32"/>
        <v>43617</v>
      </c>
      <c r="AM19" s="28">
        <f t="shared" si="32"/>
        <v>43647</v>
      </c>
      <c r="AN19" s="28">
        <f t="shared" si="32"/>
        <v>43678</v>
      </c>
      <c r="AO19" s="28">
        <f t="shared" si="32"/>
        <v>43709</v>
      </c>
      <c r="AP19" s="28">
        <f t="shared" si="32"/>
        <v>43739</v>
      </c>
      <c r="AQ19" s="28">
        <f t="shared" si="32"/>
        <v>43770</v>
      </c>
      <c r="AR19" s="28">
        <f t="shared" si="32"/>
        <v>43800</v>
      </c>
      <c r="AS19" s="28">
        <f t="shared" si="32"/>
        <v>43831</v>
      </c>
      <c r="AT19" s="28">
        <f t="shared" si="32"/>
        <v>43862</v>
      </c>
      <c r="AU19" s="28">
        <f t="shared" si="32"/>
        <v>43891</v>
      </c>
      <c r="AV19" s="28">
        <f t="shared" si="32"/>
        <v>43922</v>
      </c>
      <c r="AW19" s="28">
        <f t="shared" si="32"/>
        <v>43952</v>
      </c>
      <c r="AX19" s="28">
        <f t="shared" si="32"/>
        <v>43983</v>
      </c>
      <c r="AY19" s="28">
        <f t="shared" si="32"/>
        <v>44013</v>
      </c>
      <c r="AZ19" s="28">
        <f t="shared" si="32"/>
        <v>44044</v>
      </c>
      <c r="BA19" s="28">
        <f t="shared" si="32"/>
        <v>44075</v>
      </c>
      <c r="BB19" s="28">
        <f t="shared" si="32"/>
        <v>44105</v>
      </c>
      <c r="BC19" s="28">
        <f t="shared" si="32"/>
        <v>44136</v>
      </c>
      <c r="BD19" s="28">
        <f t="shared" si="32"/>
        <v>44166</v>
      </c>
      <c r="BE19" s="28">
        <f t="shared" si="32"/>
        <v>44197</v>
      </c>
      <c r="BF19" s="28">
        <f t="shared" si="32"/>
        <v>44228</v>
      </c>
      <c r="BG19" s="28">
        <f t="shared" si="32"/>
        <v>44256</v>
      </c>
      <c r="BH19" s="28">
        <f t="shared" si="32"/>
        <v>44287</v>
      </c>
      <c r="BI19" s="28">
        <f t="shared" si="32"/>
        <v>44317</v>
      </c>
      <c r="BJ19" s="28">
        <f t="shared" si="32"/>
        <v>44348</v>
      </c>
      <c r="BK19" s="28">
        <f t="shared" si="32"/>
        <v>44378</v>
      </c>
      <c r="BL19" s="28">
        <f t="shared" si="32"/>
        <v>44409</v>
      </c>
      <c r="BM19" s="28">
        <f t="shared" si="32"/>
        <v>44440</v>
      </c>
      <c r="BN19" s="28">
        <f t="shared" ref="BN19:CF19" si="33">BN1</f>
        <v>44470</v>
      </c>
      <c r="BO19" s="28">
        <f t="shared" si="33"/>
        <v>44501</v>
      </c>
      <c r="BP19" s="28">
        <f t="shared" si="33"/>
        <v>44531</v>
      </c>
      <c r="BQ19" s="28">
        <f t="shared" si="33"/>
        <v>44562</v>
      </c>
      <c r="BR19" s="28">
        <f t="shared" si="33"/>
        <v>44593</v>
      </c>
      <c r="BS19" s="28">
        <f t="shared" si="33"/>
        <v>44621</v>
      </c>
      <c r="BT19" s="28">
        <f t="shared" si="33"/>
        <v>44652</v>
      </c>
      <c r="BU19" s="28">
        <f t="shared" si="33"/>
        <v>44682</v>
      </c>
      <c r="BV19" s="28">
        <f t="shared" si="33"/>
        <v>44713</v>
      </c>
      <c r="BW19" s="28">
        <f t="shared" si="33"/>
        <v>44743</v>
      </c>
      <c r="BX19" s="28">
        <f t="shared" si="33"/>
        <v>44774</v>
      </c>
      <c r="BY19" s="28">
        <f t="shared" si="33"/>
        <v>44805</v>
      </c>
      <c r="BZ19" s="28">
        <f t="shared" si="33"/>
        <v>44835</v>
      </c>
      <c r="CA19" s="28">
        <f t="shared" si="33"/>
        <v>44866</v>
      </c>
      <c r="CB19" s="28">
        <f t="shared" si="33"/>
        <v>44896</v>
      </c>
      <c r="CC19" s="28">
        <f t="shared" si="33"/>
        <v>44927</v>
      </c>
      <c r="CD19" s="28">
        <f t="shared" si="33"/>
        <v>44958</v>
      </c>
      <c r="CE19" s="28">
        <f t="shared" si="33"/>
        <v>44986</v>
      </c>
      <c r="CF19" s="28">
        <f t="shared" si="33"/>
        <v>45017</v>
      </c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</row>
    <row r="20" spans="1:120" ht="15">
      <c r="A20" s="40" t="s">
        <v>29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</row>
    <row r="21" spans="1:120">
      <c r="A21" s="38" t="s">
        <v>30</v>
      </c>
      <c r="B21" s="41">
        <v>0</v>
      </c>
      <c r="C21" s="41">
        <f>C4-B5</f>
        <v>0</v>
      </c>
      <c r="D21" s="41">
        <f t="shared" ref="D21:K21" si="34">D4-C5</f>
        <v>0</v>
      </c>
      <c r="E21" s="41">
        <f t="shared" si="34"/>
        <v>0</v>
      </c>
      <c r="F21" s="41">
        <f t="shared" si="34"/>
        <v>0</v>
      </c>
      <c r="G21" s="41">
        <f t="shared" si="34"/>
        <v>0</v>
      </c>
      <c r="H21" s="41">
        <f t="shared" si="34"/>
        <v>0</v>
      </c>
      <c r="I21" s="41">
        <f t="shared" si="34"/>
        <v>0</v>
      </c>
      <c r="J21" s="41">
        <f t="shared" si="34"/>
        <v>0</v>
      </c>
      <c r="K21" s="41">
        <f t="shared" si="34"/>
        <v>0</v>
      </c>
      <c r="L21" s="41">
        <f>L4-K5</f>
        <v>0</v>
      </c>
      <c r="M21" s="41">
        <f t="shared" ref="M21:N21" si="35">M4-L5</f>
        <v>0</v>
      </c>
      <c r="N21" s="41">
        <f t="shared" si="35"/>
        <v>0</v>
      </c>
      <c r="O21" s="41">
        <v>0</v>
      </c>
      <c r="P21" s="41"/>
      <c r="Q21" s="41"/>
      <c r="R21" s="41">
        <v>0</v>
      </c>
      <c r="S21" s="41"/>
      <c r="T21" s="41"/>
      <c r="U21" s="41">
        <v>0</v>
      </c>
      <c r="V21" s="41"/>
      <c r="W21" s="41"/>
      <c r="X21" s="41">
        <f t="shared" ref="X21" si="36">X4-W5</f>
        <v>43345336.94069849</v>
      </c>
      <c r="Y21" s="41">
        <f t="shared" ref="Y21" si="37">Y4-X5</f>
        <v>0</v>
      </c>
      <c r="Z21" s="41">
        <f t="shared" ref="Z21" si="38">Z4-Y5</f>
        <v>0</v>
      </c>
      <c r="AA21" s="41">
        <f t="shared" ref="AA21" si="39">AA4-Z5</f>
        <v>11521965.474513292</v>
      </c>
      <c r="AB21" s="41">
        <f t="shared" ref="AB21" si="40">AB4-AA5</f>
        <v>0</v>
      </c>
      <c r="AC21" s="41">
        <f t="shared" ref="AC21" si="41">AC4-AB5</f>
        <v>0</v>
      </c>
      <c r="AD21" s="41">
        <f t="shared" ref="AD21" si="42">AD4-AC5</f>
        <v>11810014.611376122</v>
      </c>
      <c r="AE21" s="41">
        <f t="shared" ref="AE21" si="43">AE4-AD5</f>
        <v>0</v>
      </c>
      <c r="AF21" s="41">
        <f t="shared" ref="AF21" si="44">AF4-AE5</f>
        <v>0</v>
      </c>
      <c r="AG21" s="41">
        <f t="shared" ref="AG21" si="45">AG4-AF5</f>
        <v>12105264.976660535</v>
      </c>
      <c r="AH21" s="41">
        <f t="shared" ref="AH21" si="46">AH4-AG5</f>
        <v>0</v>
      </c>
      <c r="AI21" s="41">
        <f t="shared" ref="AI21" si="47">AI4-AH5</f>
        <v>0</v>
      </c>
      <c r="AJ21" s="41">
        <f t="shared" ref="AJ21" si="48">AJ4-AI5</f>
        <v>12407896.601077035</v>
      </c>
      <c r="AK21" s="41">
        <f t="shared" ref="AK21" si="49">AK4-AJ5</f>
        <v>0</v>
      </c>
      <c r="AL21" s="41">
        <f t="shared" ref="AL21" si="50">AL4-AK5</f>
        <v>0</v>
      </c>
      <c r="AM21" s="41">
        <f t="shared" ref="AM21" si="51">AM4-AL5</f>
        <v>12718094.016103968</v>
      </c>
      <c r="AN21" s="41">
        <f t="shared" ref="AN21" si="52">AN4-AM5</f>
        <v>0</v>
      </c>
      <c r="AO21" s="41">
        <f t="shared" ref="AO21" si="53">AO4-AN5</f>
        <v>0</v>
      </c>
      <c r="AP21" s="41">
        <f t="shared" ref="AP21" si="54">AP4-AO5</f>
        <v>13036046.366506562</v>
      </c>
      <c r="AQ21" s="41">
        <f t="shared" ref="AQ21" si="55">AQ4-AP5</f>
        <v>0</v>
      </c>
      <c r="AR21" s="41">
        <f t="shared" ref="AR21" si="56">AR4-AQ5</f>
        <v>0</v>
      </c>
      <c r="AS21" s="41">
        <f t="shared" ref="AS21" si="57">AS4-AR5</f>
        <v>13361947.525669232</v>
      </c>
      <c r="AT21" s="41">
        <f t="shared" ref="AT21" si="58">AT4-AS5</f>
        <v>0</v>
      </c>
      <c r="AU21" s="41">
        <f t="shared" ref="AU21" si="59">AU4-AT5</f>
        <v>0</v>
      </c>
      <c r="AV21" s="41">
        <f t="shared" ref="AV21" si="60">AV4-AU5</f>
        <v>13695996.213810965</v>
      </c>
      <c r="AW21" s="41">
        <f t="shared" ref="AW21" si="61">AW4-AV5</f>
        <v>0</v>
      </c>
      <c r="AX21" s="41">
        <f t="shared" ref="AX21" si="62">AX4-AW5</f>
        <v>0</v>
      </c>
      <c r="AY21" s="41">
        <f t="shared" ref="AY21" si="63">AY4-AX5</f>
        <v>14038396.119156241</v>
      </c>
      <c r="AZ21" s="41">
        <f t="shared" ref="AZ21" si="64">AZ4-AY5</f>
        <v>0</v>
      </c>
      <c r="BA21" s="41">
        <f t="shared" ref="BA21" si="65">BA4-AZ5</f>
        <v>0</v>
      </c>
      <c r="BB21" s="41">
        <f t="shared" ref="BB21" si="66">BB4-BA5</f>
        <v>14389356.022135139</v>
      </c>
      <c r="BC21" s="41">
        <f t="shared" ref="BC21" si="67">BC4-BB5</f>
        <v>0</v>
      </c>
      <c r="BD21" s="41">
        <f t="shared" ref="BD21" si="68">BD4-BC5</f>
        <v>0</v>
      </c>
      <c r="BE21" s="41">
        <f t="shared" ref="BE21" si="69">BE4-BD5</f>
        <v>14749089.922688514</v>
      </c>
      <c r="BF21" s="41">
        <f t="shared" ref="BF21" si="70">BF4-BE5</f>
        <v>0</v>
      </c>
      <c r="BG21" s="41">
        <f t="shared" ref="BG21" si="71">BG4-BF5</f>
        <v>0</v>
      </c>
      <c r="BH21" s="41">
        <f t="shared" ref="BH21" si="72">BH4-BG5</f>
        <v>15117817.170755744</v>
      </c>
      <c r="BI21" s="41">
        <f t="shared" ref="BI21" si="73">BI4-BH5</f>
        <v>0</v>
      </c>
      <c r="BJ21" s="41">
        <f t="shared" ref="BJ21" si="74">BJ4-BI5</f>
        <v>0</v>
      </c>
      <c r="BK21" s="41">
        <f t="shared" ref="BK21" si="75">BK4-BJ5</f>
        <v>15495762.600024641</v>
      </c>
      <c r="BL21" s="41">
        <f t="shared" ref="BL21" si="76">BL4-BK5</f>
        <v>0</v>
      </c>
      <c r="BM21" s="41">
        <f t="shared" ref="BM21" si="77">BM4-BL5</f>
        <v>0</v>
      </c>
      <c r="BN21" s="41">
        <f t="shared" ref="BN21" si="78">BN4-BM5</f>
        <v>15883156.665025234</v>
      </c>
      <c r="BO21" s="41">
        <f t="shared" ref="BO21" si="79">BO4-BN5</f>
        <v>0</v>
      </c>
      <c r="BP21" s="41">
        <f t="shared" ref="BP21" si="80">BP4-BO5</f>
        <v>0</v>
      </c>
      <c r="BQ21" s="41">
        <f t="shared" ref="BQ21" si="81">BQ4-BP5</f>
        <v>16280235.581650883</v>
      </c>
      <c r="BR21" s="41">
        <f t="shared" ref="BR21" si="82">BR4-BQ5</f>
        <v>0</v>
      </c>
      <c r="BS21" s="41">
        <f t="shared" ref="BS21" si="83">BS4-BR5</f>
        <v>0</v>
      </c>
      <c r="BT21" s="41">
        <f t="shared" ref="BT21" si="84">BT4-BS5</f>
        <v>16687241.471192151</v>
      </c>
      <c r="BU21" s="41">
        <f t="shared" ref="BU21" si="85">BU4-BT5</f>
        <v>0</v>
      </c>
      <c r="BV21" s="41">
        <f t="shared" ref="BV21" si="86">BV4-BU5</f>
        <v>0</v>
      </c>
      <c r="BW21" s="41">
        <f t="shared" ref="BW21" si="87">BW4-BV5</f>
        <v>17104422.507971942</v>
      </c>
      <c r="BX21" s="41">
        <f t="shared" ref="BX21" si="88">BX4-BW5</f>
        <v>0</v>
      </c>
      <c r="BY21" s="41">
        <f t="shared" ref="BY21" si="89">BY4-BX5</f>
        <v>0</v>
      </c>
      <c r="BZ21" s="41">
        <f t="shared" ref="BZ21" si="90">BZ4-BY5</f>
        <v>17532033.07067126</v>
      </c>
      <c r="CA21" s="41">
        <f t="shared" ref="CA21" si="91">CA4-BZ5</f>
        <v>0</v>
      </c>
      <c r="CB21" s="41">
        <f t="shared" ref="CB21" si="92">CB4-CA5</f>
        <v>0</v>
      </c>
      <c r="CC21" s="41">
        <f t="shared" ref="CC21" si="93">CC4-CB5</f>
        <v>17970333.897438049</v>
      </c>
      <c r="CD21" s="41">
        <f t="shared" ref="CD21" si="94">CD4-CC5</f>
        <v>0</v>
      </c>
      <c r="CE21" s="41">
        <f t="shared" ref="CE21" si="95">CE4-CD5</f>
        <v>0</v>
      </c>
      <c r="CF21" s="41">
        <f t="shared" ref="CF21" si="96">CF4-CE5</f>
        <v>18419592.244874001</v>
      </c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M21" s="41"/>
      <c r="DP21" s="41"/>
    </row>
    <row r="22" spans="1:120">
      <c r="A22" s="38" t="s">
        <v>31</v>
      </c>
      <c r="B22" s="30">
        <f>B21</f>
        <v>0</v>
      </c>
      <c r="C22" s="30">
        <f t="shared" ref="C22:BC22" si="97">B22+C21</f>
        <v>0</v>
      </c>
      <c r="D22" s="30">
        <f t="shared" si="97"/>
        <v>0</v>
      </c>
      <c r="E22" s="30">
        <f t="shared" si="97"/>
        <v>0</v>
      </c>
      <c r="F22" s="30">
        <f t="shared" si="97"/>
        <v>0</v>
      </c>
      <c r="G22" s="30">
        <f t="shared" si="97"/>
        <v>0</v>
      </c>
      <c r="H22" s="30">
        <f t="shared" si="97"/>
        <v>0</v>
      </c>
      <c r="I22" s="30">
        <f t="shared" si="97"/>
        <v>0</v>
      </c>
      <c r="J22" s="30">
        <f t="shared" si="97"/>
        <v>0</v>
      </c>
      <c r="K22" s="30">
        <f t="shared" si="97"/>
        <v>0</v>
      </c>
      <c r="L22" s="30">
        <f t="shared" si="97"/>
        <v>0</v>
      </c>
      <c r="M22" s="30">
        <f t="shared" si="97"/>
        <v>0</v>
      </c>
      <c r="N22" s="30">
        <f t="shared" si="97"/>
        <v>0</v>
      </c>
      <c r="O22" s="30">
        <f t="shared" si="97"/>
        <v>0</v>
      </c>
      <c r="P22" s="30">
        <f t="shared" si="97"/>
        <v>0</v>
      </c>
      <c r="Q22" s="30">
        <f t="shared" si="97"/>
        <v>0</v>
      </c>
      <c r="R22" s="30">
        <f t="shared" si="97"/>
        <v>0</v>
      </c>
      <c r="S22" s="30">
        <f t="shared" si="97"/>
        <v>0</v>
      </c>
      <c r="T22" s="30">
        <f t="shared" si="97"/>
        <v>0</v>
      </c>
      <c r="U22" s="30">
        <f t="shared" si="97"/>
        <v>0</v>
      </c>
      <c r="V22" s="30">
        <f t="shared" si="97"/>
        <v>0</v>
      </c>
      <c r="W22" s="30">
        <f t="shared" si="97"/>
        <v>0</v>
      </c>
      <c r="X22" s="30">
        <f t="shared" si="97"/>
        <v>43345336.94069849</v>
      </c>
      <c r="Y22" s="30">
        <f t="shared" si="97"/>
        <v>43345336.94069849</v>
      </c>
      <c r="Z22" s="30">
        <f t="shared" si="97"/>
        <v>43345336.94069849</v>
      </c>
      <c r="AA22" s="30">
        <f t="shared" si="97"/>
        <v>54867302.415211782</v>
      </c>
      <c r="AB22" s="30">
        <f t="shared" si="97"/>
        <v>54867302.415211782</v>
      </c>
      <c r="AC22" s="30">
        <f t="shared" si="97"/>
        <v>54867302.415211782</v>
      </c>
      <c r="AD22" s="30">
        <f t="shared" si="97"/>
        <v>66677317.026587903</v>
      </c>
      <c r="AE22" s="30">
        <f t="shared" si="97"/>
        <v>66677317.026587903</v>
      </c>
      <c r="AF22" s="30">
        <f t="shared" si="97"/>
        <v>66677317.026587903</v>
      </c>
      <c r="AG22" s="30">
        <f t="shared" si="97"/>
        <v>78782582.003248438</v>
      </c>
      <c r="AH22" s="30">
        <f t="shared" si="97"/>
        <v>78782582.003248438</v>
      </c>
      <c r="AI22" s="30">
        <f t="shared" si="97"/>
        <v>78782582.003248438</v>
      </c>
      <c r="AJ22" s="30">
        <f t="shared" si="97"/>
        <v>91190478.604325473</v>
      </c>
      <c r="AK22" s="30">
        <f t="shared" si="97"/>
        <v>91190478.604325473</v>
      </c>
      <c r="AL22" s="30">
        <f t="shared" si="97"/>
        <v>91190478.604325473</v>
      </c>
      <c r="AM22" s="30">
        <f t="shared" si="97"/>
        <v>103908572.62042944</v>
      </c>
      <c r="AN22" s="30">
        <f t="shared" si="97"/>
        <v>103908572.62042944</v>
      </c>
      <c r="AO22" s="30">
        <f t="shared" si="97"/>
        <v>103908572.62042944</v>
      </c>
      <c r="AP22" s="30">
        <f t="shared" si="97"/>
        <v>116944618.986936</v>
      </c>
      <c r="AQ22" s="30">
        <f t="shared" si="97"/>
        <v>116944618.986936</v>
      </c>
      <c r="AR22" s="30">
        <f t="shared" si="97"/>
        <v>116944618.986936</v>
      </c>
      <c r="AS22" s="30">
        <f t="shared" si="97"/>
        <v>130306566.51260523</v>
      </c>
      <c r="AT22" s="30">
        <f t="shared" si="97"/>
        <v>130306566.51260523</v>
      </c>
      <c r="AU22" s="30">
        <f t="shared" si="97"/>
        <v>130306566.51260523</v>
      </c>
      <c r="AV22" s="30">
        <f t="shared" si="97"/>
        <v>144002562.7264162</v>
      </c>
      <c r="AW22" s="30">
        <f t="shared" si="97"/>
        <v>144002562.7264162</v>
      </c>
      <c r="AX22" s="30">
        <f t="shared" si="97"/>
        <v>144002562.7264162</v>
      </c>
      <c r="AY22" s="30">
        <f t="shared" si="97"/>
        <v>158040958.84557244</v>
      </c>
      <c r="AZ22" s="30">
        <f t="shared" si="97"/>
        <v>158040958.84557244</v>
      </c>
      <c r="BA22" s="30">
        <f t="shared" si="97"/>
        <v>158040958.84557244</v>
      </c>
      <c r="BB22" s="30">
        <f t="shared" si="97"/>
        <v>172430314.86770758</v>
      </c>
      <c r="BC22" s="30">
        <f t="shared" si="97"/>
        <v>172430314.86770758</v>
      </c>
      <c r="BD22" s="30">
        <f t="shared" ref="BD22:BS22" si="98">BC22+BD21</f>
        <v>172430314.86770758</v>
      </c>
      <c r="BE22" s="30">
        <f t="shared" si="98"/>
        <v>187179404.79039609</v>
      </c>
      <c r="BF22" s="30">
        <f t="shared" si="98"/>
        <v>187179404.79039609</v>
      </c>
      <c r="BG22" s="30">
        <f t="shared" si="98"/>
        <v>187179404.79039609</v>
      </c>
      <c r="BH22" s="30">
        <f t="shared" si="98"/>
        <v>202297221.96115184</v>
      </c>
      <c r="BI22" s="30">
        <f t="shared" si="98"/>
        <v>202297221.96115184</v>
      </c>
      <c r="BJ22" s="30">
        <f t="shared" si="98"/>
        <v>202297221.96115184</v>
      </c>
      <c r="BK22" s="30">
        <f t="shared" si="98"/>
        <v>217792984.56117648</v>
      </c>
      <c r="BL22" s="30">
        <f t="shared" si="98"/>
        <v>217792984.56117648</v>
      </c>
      <c r="BM22" s="30">
        <f t="shared" si="98"/>
        <v>217792984.56117648</v>
      </c>
      <c r="BN22" s="30">
        <f t="shared" si="98"/>
        <v>233676141.22620171</v>
      </c>
      <c r="BO22" s="30">
        <f t="shared" si="98"/>
        <v>233676141.22620171</v>
      </c>
      <c r="BP22" s="30">
        <f t="shared" si="98"/>
        <v>233676141.22620171</v>
      </c>
      <c r="BQ22" s="30">
        <f t="shared" si="98"/>
        <v>249956376.8078526</v>
      </c>
      <c r="BR22" s="30">
        <f t="shared" si="98"/>
        <v>249956376.8078526</v>
      </c>
      <c r="BS22" s="30">
        <f t="shared" si="98"/>
        <v>249956376.8078526</v>
      </c>
      <c r="BT22" s="30">
        <f t="shared" ref="BT22:CE22" si="99">BS22+BT21</f>
        <v>266643618.27904475</v>
      </c>
      <c r="BU22" s="30">
        <f t="shared" si="99"/>
        <v>266643618.27904475</v>
      </c>
      <c r="BV22" s="30">
        <f t="shared" si="99"/>
        <v>266643618.27904475</v>
      </c>
      <c r="BW22" s="30">
        <f t="shared" si="99"/>
        <v>283748040.78701669</v>
      </c>
      <c r="BX22" s="30">
        <f t="shared" si="99"/>
        <v>283748040.78701669</v>
      </c>
      <c r="BY22" s="30">
        <f t="shared" si="99"/>
        <v>283748040.78701669</v>
      </c>
      <c r="BZ22" s="30">
        <f t="shared" si="99"/>
        <v>301280073.85768795</v>
      </c>
      <c r="CA22" s="30">
        <f t="shared" si="99"/>
        <v>301280073.85768795</v>
      </c>
      <c r="CB22" s="30">
        <f t="shared" si="99"/>
        <v>301280073.85768795</v>
      </c>
      <c r="CC22" s="30">
        <f t="shared" si="99"/>
        <v>319250407.755126</v>
      </c>
      <c r="CD22" s="30">
        <f t="shared" si="99"/>
        <v>319250407.755126</v>
      </c>
      <c r="CE22" s="30">
        <f t="shared" si="99"/>
        <v>319250407.755126</v>
      </c>
      <c r="CF22" s="30">
        <f t="shared" ref="CF22" si="100">CE22+CF21</f>
        <v>337670000</v>
      </c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</row>
    <row r="23" spans="1:120"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</row>
    <row r="24" spans="1:120" ht="15">
      <c r="A24" s="40" t="s">
        <v>32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</row>
    <row r="25" spans="1:120" s="76" customFormat="1">
      <c r="A25" s="38" t="s">
        <v>33</v>
      </c>
      <c r="B25" s="41">
        <v>0</v>
      </c>
      <c r="C25" s="30">
        <v>629807</v>
      </c>
      <c r="D25" s="41"/>
      <c r="E25" s="41"/>
      <c r="F25" s="30">
        <v>2360804</v>
      </c>
      <c r="G25" s="41"/>
      <c r="H25" s="41"/>
      <c r="I25" s="30">
        <f>2600000+1999938</f>
        <v>4599938</v>
      </c>
      <c r="J25" s="41"/>
      <c r="K25" s="41"/>
      <c r="L25" s="30">
        <v>7092452</v>
      </c>
      <c r="M25" s="41"/>
      <c r="N25" s="41"/>
      <c r="O25" s="30">
        <v>8629344</v>
      </c>
      <c r="P25" s="41"/>
      <c r="Q25" s="41"/>
      <c r="R25" s="114">
        <v>8271690</v>
      </c>
      <c r="S25" s="41"/>
      <c r="T25" s="41"/>
      <c r="U25" s="30">
        <v>3000000</v>
      </c>
      <c r="V25" s="41"/>
      <c r="W25" s="41"/>
      <c r="X25" s="41">
        <f t="shared" ref="X25" si="101">X10-W11</f>
        <v>12728300.561027199</v>
      </c>
      <c r="Y25" s="41">
        <f t="shared" ref="Y25" si="102">Y10-X11</f>
        <v>0</v>
      </c>
      <c r="Z25" s="41">
        <f t="shared" ref="Z25" si="103">Z10-Y11</f>
        <v>0</v>
      </c>
      <c r="AA25" s="41">
        <f t="shared" ref="AA25" si="104">AA10-Z11</f>
        <v>7521630.2781821489</v>
      </c>
      <c r="AB25" s="41">
        <f t="shared" ref="AB25" si="105">AB10-AA11</f>
        <v>0</v>
      </c>
      <c r="AC25" s="41">
        <f t="shared" ref="AC25" si="106">AC10-AB11</f>
        <v>0</v>
      </c>
      <c r="AD25" s="41">
        <f t="shared" ref="AD25" si="107">AD10-AC11</f>
        <v>7227180.0493890345</v>
      </c>
      <c r="AE25" s="41">
        <f t="shared" ref="AE25" si="108">AE10-AD11</f>
        <v>0</v>
      </c>
      <c r="AF25" s="41">
        <f t="shared" ref="AF25" si="109">AF10-AE11</f>
        <v>0</v>
      </c>
      <c r="AG25" s="41">
        <f t="shared" ref="AG25" si="110">AG10-AF11</f>
        <v>6850092.8196056932</v>
      </c>
      <c r="AH25" s="41">
        <f t="shared" ref="AH25" si="111">AH10-AG11</f>
        <v>0</v>
      </c>
      <c r="AI25" s="41">
        <f t="shared" ref="AI25" si="112">AI10-AH11</f>
        <v>0</v>
      </c>
      <c r="AJ25" s="41">
        <f t="shared" ref="AJ25" si="113">AJ10-AI11</f>
        <v>6472185.4499187917</v>
      </c>
      <c r="AK25" s="41">
        <f t="shared" ref="AK25" si="114">AK10-AJ11</f>
        <v>0</v>
      </c>
      <c r="AL25" s="41">
        <f t="shared" ref="AL25" si="115">AL10-AK11</f>
        <v>0</v>
      </c>
      <c r="AM25" s="41">
        <f t="shared" ref="AM25" si="116">AM10-AL11</f>
        <v>6298921.1023339033</v>
      </c>
      <c r="AN25" s="41">
        <f t="shared" ref="AN25" si="117">AN10-AM11</f>
        <v>0</v>
      </c>
      <c r="AO25" s="41">
        <f t="shared" ref="AO25" si="118">AO10-AN11</f>
        <v>0</v>
      </c>
      <c r="AP25" s="41">
        <f t="shared" ref="AP25" si="119">AP10-AO11</f>
        <v>5973903.1441445798</v>
      </c>
      <c r="AQ25" s="41">
        <f t="shared" ref="AQ25" si="120">AQ10-AP11</f>
        <v>0</v>
      </c>
      <c r="AR25" s="41">
        <f t="shared" ref="AR25" si="121">AR10-AQ11</f>
        <v>0</v>
      </c>
      <c r="AS25" s="41">
        <f t="shared" ref="AS25" si="122">AS10-AR11</f>
        <v>5579447.1311635673</v>
      </c>
      <c r="AT25" s="41">
        <f t="shared" ref="AT25" si="123">AT10-AS11</f>
        <v>0</v>
      </c>
      <c r="AU25" s="41">
        <f t="shared" ref="AU25" si="124">AU10-AT11</f>
        <v>0</v>
      </c>
      <c r="AV25" s="41">
        <f t="shared" ref="AV25" si="125">AV10-AU11</f>
        <v>5241686.7909313738</v>
      </c>
      <c r="AW25" s="41">
        <f t="shared" ref="AW25" si="126">AW10-AV11</f>
        <v>0</v>
      </c>
      <c r="AX25" s="41">
        <f t="shared" ref="AX25" si="127">AX10-AW11</f>
        <v>0</v>
      </c>
      <c r="AY25" s="41">
        <f t="shared" ref="AY25" si="128">AY10-AX11</f>
        <v>4949278.9525471479</v>
      </c>
      <c r="AZ25" s="41">
        <f t="shared" ref="AZ25" si="129">AZ10-AY11</f>
        <v>0</v>
      </c>
      <c r="BA25" s="41">
        <f t="shared" ref="BA25" si="130">BA10-AZ11</f>
        <v>0</v>
      </c>
      <c r="BB25" s="41">
        <f t="shared" ref="BB25" si="131">BB10-BA11</f>
        <v>4590519.9406131506</v>
      </c>
      <c r="BC25" s="41">
        <f t="shared" ref="BC25" si="132">BC10-BB11</f>
        <v>0</v>
      </c>
      <c r="BD25" s="41">
        <f t="shared" ref="BD25" si="133">BD10-BC11</f>
        <v>0</v>
      </c>
      <c r="BE25" s="41">
        <f t="shared" ref="BE25" si="134">BE10-BD11</f>
        <v>4176892.040844053</v>
      </c>
      <c r="BF25" s="41">
        <f t="shared" ref="BF25" si="135">BF10-BE11</f>
        <v>0</v>
      </c>
      <c r="BG25" s="41">
        <f t="shared" ref="BG25" si="136">BG10-BF11</f>
        <v>0</v>
      </c>
      <c r="BH25" s="41">
        <f t="shared" ref="BH25" si="137">BH10-BG11</f>
        <v>3762264.8802400976</v>
      </c>
      <c r="BI25" s="41">
        <f t="shared" ref="BI25" si="138">BI10-BH11</f>
        <v>0</v>
      </c>
      <c r="BJ25" s="41">
        <f t="shared" ref="BJ25" si="139">BJ10-BI11</f>
        <v>0</v>
      </c>
      <c r="BK25" s="41">
        <f t="shared" ref="BK25" si="140">BK10-BJ11</f>
        <v>3459526.5498816818</v>
      </c>
      <c r="BL25" s="41">
        <f t="shared" ref="BL25" si="141">BL10-BK11</f>
        <v>0</v>
      </c>
      <c r="BM25" s="41">
        <f t="shared" ref="BM25" si="142">BM10-BL11</f>
        <v>0</v>
      </c>
      <c r="BN25" s="41">
        <f t="shared" ref="BN25" si="143">BN10-BM11</f>
        <v>3063523.7278810441</v>
      </c>
      <c r="BO25" s="41">
        <f t="shared" ref="BO25" si="144">BO10-BN11</f>
        <v>0</v>
      </c>
      <c r="BP25" s="41">
        <f t="shared" ref="BP25" si="145">BP10-BO11</f>
        <v>0</v>
      </c>
      <c r="BQ25" s="41">
        <f t="shared" ref="BQ25" si="146">BQ10-BP11</f>
        <v>2628733.6523376852</v>
      </c>
      <c r="BR25" s="41">
        <f t="shared" ref="BR25" si="147">BR10-BQ11</f>
        <v>0</v>
      </c>
      <c r="BS25" s="41">
        <f t="shared" ref="BS25" si="148">BS10-BR11</f>
        <v>0</v>
      </c>
      <c r="BT25" s="41">
        <f t="shared" ref="BT25" si="149">BT10-BS11</f>
        <v>2192840.5798036903</v>
      </c>
      <c r="BU25" s="41">
        <f t="shared" ref="BU25" si="150">BU10-BT11</f>
        <v>0</v>
      </c>
      <c r="BV25" s="41">
        <f t="shared" ref="BV25" si="151">BV10-BU11</f>
        <v>0</v>
      </c>
      <c r="BW25" s="41">
        <f t="shared" ref="BW25" si="152">BW10-BV11</f>
        <v>1815118.6439799666</v>
      </c>
      <c r="BX25" s="41">
        <f t="shared" ref="BX25" si="153">BX10-BW11</f>
        <v>0</v>
      </c>
      <c r="BY25" s="41">
        <f t="shared" ref="BY25" si="154">BY10-BX11</f>
        <v>0</v>
      </c>
      <c r="BZ25" s="41">
        <f t="shared" ref="BZ25" si="155">BZ10-BY11</f>
        <v>1378005.6243318021</v>
      </c>
      <c r="CA25" s="41">
        <f t="shared" ref="CA25" si="156">CA10-BZ11</f>
        <v>0</v>
      </c>
      <c r="CB25" s="41">
        <f t="shared" ref="CB25" si="157">CB10-CA11</f>
        <v>0</v>
      </c>
      <c r="CC25" s="41">
        <f t="shared" ref="CC25" si="158">CC10-CB11</f>
        <v>919856.46637511253</v>
      </c>
      <c r="CD25" s="41">
        <f t="shared" ref="CD25" si="159">CD10-CC11</f>
        <v>0</v>
      </c>
      <c r="CE25" s="41">
        <f t="shared" ref="CE25" si="160">CE10-CD11</f>
        <v>0</v>
      </c>
      <c r="CF25" s="41">
        <f t="shared" ref="CF25" si="161">CF10-CE11</f>
        <v>460489.80612185597</v>
      </c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75"/>
      <c r="CU25" s="41"/>
      <c r="CV25" s="75"/>
      <c r="CW25" s="75"/>
      <c r="CX25" s="41"/>
      <c r="CY25" s="75"/>
      <c r="CZ25" s="75"/>
      <c r="DA25" s="41"/>
      <c r="DB25" s="75"/>
      <c r="DC25" s="75"/>
      <c r="DD25" s="41"/>
      <c r="DE25" s="75"/>
      <c r="DF25" s="75"/>
      <c r="DG25" s="41"/>
      <c r="DH25" s="75"/>
      <c r="DI25" s="75"/>
      <c r="DJ25" s="41"/>
      <c r="DM25" s="41"/>
      <c r="DP25" s="41"/>
    </row>
    <row r="26" spans="1:120">
      <c r="A26" s="38" t="s">
        <v>34</v>
      </c>
      <c r="B26" s="30">
        <f>+B25</f>
        <v>0</v>
      </c>
      <c r="C26" s="30">
        <f>B26+C25</f>
        <v>629807</v>
      </c>
      <c r="D26" s="30">
        <f>C26+D25</f>
        <v>629807</v>
      </c>
      <c r="E26" s="30">
        <f>D26+E25</f>
        <v>629807</v>
      </c>
      <c r="F26" s="30">
        <f>E26+F25</f>
        <v>2990611</v>
      </c>
      <c r="G26" s="30">
        <f t="shared" ref="G26:L26" si="162">F26+G25</f>
        <v>2990611</v>
      </c>
      <c r="H26" s="30">
        <f t="shared" si="162"/>
        <v>2990611</v>
      </c>
      <c r="I26" s="30">
        <f t="shared" si="162"/>
        <v>7590549</v>
      </c>
      <c r="J26" s="30">
        <f t="shared" si="162"/>
        <v>7590549</v>
      </c>
      <c r="K26" s="30">
        <f>J26+K25</f>
        <v>7590549</v>
      </c>
      <c r="L26" s="30">
        <f t="shared" si="162"/>
        <v>14683001</v>
      </c>
      <c r="M26" s="30">
        <f t="shared" ref="M26:AR26" si="163">L26+M25</f>
        <v>14683001</v>
      </c>
      <c r="N26" s="30">
        <f t="shared" si="163"/>
        <v>14683001</v>
      </c>
      <c r="O26" s="30">
        <f t="shared" si="163"/>
        <v>23312345</v>
      </c>
      <c r="P26" s="30">
        <f t="shared" si="163"/>
        <v>23312345</v>
      </c>
      <c r="Q26" s="30">
        <f t="shared" si="163"/>
        <v>23312345</v>
      </c>
      <c r="R26" s="30">
        <f t="shared" si="163"/>
        <v>31584035</v>
      </c>
      <c r="S26" s="30">
        <f t="shared" si="163"/>
        <v>31584035</v>
      </c>
      <c r="T26" s="30">
        <f t="shared" si="163"/>
        <v>31584035</v>
      </c>
      <c r="U26" s="30">
        <f t="shared" si="163"/>
        <v>34584035</v>
      </c>
      <c r="V26" s="30">
        <f t="shared" si="163"/>
        <v>34584035</v>
      </c>
      <c r="W26" s="30">
        <f t="shared" si="163"/>
        <v>34584035</v>
      </c>
      <c r="X26" s="30">
        <f t="shared" si="163"/>
        <v>47312335.561027199</v>
      </c>
      <c r="Y26" s="30">
        <f t="shared" si="163"/>
        <v>47312335.561027199</v>
      </c>
      <c r="Z26" s="30">
        <f t="shared" si="163"/>
        <v>47312335.561027199</v>
      </c>
      <c r="AA26" s="30">
        <f t="shared" si="163"/>
        <v>54833965.839209348</v>
      </c>
      <c r="AB26" s="30">
        <f t="shared" si="163"/>
        <v>54833965.839209348</v>
      </c>
      <c r="AC26" s="30">
        <f t="shared" si="163"/>
        <v>54833965.839209348</v>
      </c>
      <c r="AD26" s="30">
        <f t="shared" si="163"/>
        <v>62061145.888598382</v>
      </c>
      <c r="AE26" s="30">
        <f t="shared" si="163"/>
        <v>62061145.888598382</v>
      </c>
      <c r="AF26" s="30">
        <f t="shared" si="163"/>
        <v>62061145.888598382</v>
      </c>
      <c r="AG26" s="30">
        <f t="shared" si="163"/>
        <v>68911238.708204076</v>
      </c>
      <c r="AH26" s="30">
        <f t="shared" si="163"/>
        <v>68911238.708204076</v>
      </c>
      <c r="AI26" s="30">
        <f t="shared" si="163"/>
        <v>68911238.708204076</v>
      </c>
      <c r="AJ26" s="30">
        <f t="shared" si="163"/>
        <v>75383424.158122867</v>
      </c>
      <c r="AK26" s="30">
        <f t="shared" si="163"/>
        <v>75383424.158122867</v>
      </c>
      <c r="AL26" s="30">
        <f t="shared" si="163"/>
        <v>75383424.158122867</v>
      </c>
      <c r="AM26" s="30">
        <f t="shared" si="163"/>
        <v>81682345.260456771</v>
      </c>
      <c r="AN26" s="30">
        <f t="shared" si="163"/>
        <v>81682345.260456771</v>
      </c>
      <c r="AO26" s="30">
        <f t="shared" si="163"/>
        <v>81682345.260456771</v>
      </c>
      <c r="AP26" s="30">
        <f t="shared" si="163"/>
        <v>87656248.40460135</v>
      </c>
      <c r="AQ26" s="30">
        <f t="shared" si="163"/>
        <v>87656248.40460135</v>
      </c>
      <c r="AR26" s="30">
        <f t="shared" si="163"/>
        <v>87656248.40460135</v>
      </c>
      <c r="AS26" s="30">
        <f t="shared" ref="AS26:BX26" si="164">AR26+AS25</f>
        <v>93235695.535764918</v>
      </c>
      <c r="AT26" s="30">
        <f t="shared" si="164"/>
        <v>93235695.535764918</v>
      </c>
      <c r="AU26" s="30">
        <f t="shared" si="164"/>
        <v>93235695.535764918</v>
      </c>
      <c r="AV26" s="30">
        <f t="shared" si="164"/>
        <v>98477382.326696292</v>
      </c>
      <c r="AW26" s="30">
        <f t="shared" si="164"/>
        <v>98477382.326696292</v>
      </c>
      <c r="AX26" s="30">
        <f t="shared" si="164"/>
        <v>98477382.326696292</v>
      </c>
      <c r="AY26" s="30">
        <f t="shared" si="164"/>
        <v>103426661.27924344</v>
      </c>
      <c r="AZ26" s="30">
        <f t="shared" si="164"/>
        <v>103426661.27924344</v>
      </c>
      <c r="BA26" s="30">
        <f t="shared" si="164"/>
        <v>103426661.27924344</v>
      </c>
      <c r="BB26" s="30">
        <f t="shared" si="164"/>
        <v>108017181.21985659</v>
      </c>
      <c r="BC26" s="30">
        <f t="shared" si="164"/>
        <v>108017181.21985659</v>
      </c>
      <c r="BD26" s="30">
        <f t="shared" si="164"/>
        <v>108017181.21985659</v>
      </c>
      <c r="BE26" s="30">
        <f t="shared" si="164"/>
        <v>112194073.26070064</v>
      </c>
      <c r="BF26" s="30">
        <f t="shared" si="164"/>
        <v>112194073.26070064</v>
      </c>
      <c r="BG26" s="30">
        <f t="shared" si="164"/>
        <v>112194073.26070064</v>
      </c>
      <c r="BH26" s="30">
        <f t="shared" si="164"/>
        <v>115956338.14094074</v>
      </c>
      <c r="BI26" s="30">
        <f t="shared" si="164"/>
        <v>115956338.14094074</v>
      </c>
      <c r="BJ26" s="30">
        <f t="shared" si="164"/>
        <v>115956338.14094074</v>
      </c>
      <c r="BK26" s="30">
        <f t="shared" si="164"/>
        <v>119415864.69082242</v>
      </c>
      <c r="BL26" s="30">
        <f t="shared" si="164"/>
        <v>119415864.69082242</v>
      </c>
      <c r="BM26" s="30">
        <f t="shared" si="164"/>
        <v>119415864.69082242</v>
      </c>
      <c r="BN26" s="30">
        <f t="shared" si="164"/>
        <v>122479388.41870347</v>
      </c>
      <c r="BO26" s="30">
        <f t="shared" si="164"/>
        <v>122479388.41870347</v>
      </c>
      <c r="BP26" s="30">
        <f t="shared" si="164"/>
        <v>122479388.41870347</v>
      </c>
      <c r="BQ26" s="30">
        <f t="shared" si="164"/>
        <v>125108122.07104115</v>
      </c>
      <c r="BR26" s="30">
        <f t="shared" si="164"/>
        <v>125108122.07104115</v>
      </c>
      <c r="BS26" s="30">
        <f t="shared" si="164"/>
        <v>125108122.07104115</v>
      </c>
      <c r="BT26" s="30">
        <f t="shared" si="164"/>
        <v>127300962.65084484</v>
      </c>
      <c r="BU26" s="30">
        <f t="shared" si="164"/>
        <v>127300962.65084484</v>
      </c>
      <c r="BV26" s="30">
        <f t="shared" si="164"/>
        <v>127300962.65084484</v>
      </c>
      <c r="BW26" s="30">
        <f t="shared" si="164"/>
        <v>129116081.29482481</v>
      </c>
      <c r="BX26" s="30">
        <f t="shared" si="164"/>
        <v>129116081.29482481</v>
      </c>
      <c r="BY26" s="30">
        <f t="shared" ref="BY26:CF26" si="165">BX26+BY25</f>
        <v>129116081.29482481</v>
      </c>
      <c r="BZ26" s="30">
        <f t="shared" si="165"/>
        <v>130494086.91915661</v>
      </c>
      <c r="CA26" s="30">
        <f t="shared" si="165"/>
        <v>130494086.91915661</v>
      </c>
      <c r="CB26" s="30">
        <f t="shared" si="165"/>
        <v>130494086.91915661</v>
      </c>
      <c r="CC26" s="30">
        <f t="shared" si="165"/>
        <v>131413943.38553172</v>
      </c>
      <c r="CD26" s="30">
        <f t="shared" si="165"/>
        <v>131413943.38553172</v>
      </c>
      <c r="CE26" s="30">
        <f t="shared" si="165"/>
        <v>131413943.38553172</v>
      </c>
      <c r="CF26" s="30">
        <f t="shared" si="165"/>
        <v>131874433.19165358</v>
      </c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</row>
    <row r="27" spans="1:120">
      <c r="A27" s="38" t="s">
        <v>35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27543</v>
      </c>
      <c r="J27" s="30">
        <v>0</v>
      </c>
      <c r="K27" s="30"/>
      <c r="L27" s="30">
        <v>19933</v>
      </c>
      <c r="M27" s="30">
        <v>0</v>
      </c>
      <c r="N27" s="30"/>
      <c r="O27" s="30">
        <v>75653</v>
      </c>
      <c r="P27" s="30">
        <v>0</v>
      </c>
      <c r="Q27" s="30"/>
      <c r="R27" s="30">
        <v>0</v>
      </c>
      <c r="S27" s="30">
        <v>0</v>
      </c>
      <c r="T27" s="30"/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  <c r="CC27" s="30">
        <v>0</v>
      </c>
      <c r="CD27" s="30">
        <v>0</v>
      </c>
      <c r="CE27" s="30">
        <v>0</v>
      </c>
      <c r="CF27" s="30">
        <v>0</v>
      </c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</row>
    <row r="28" spans="1:120">
      <c r="A28" s="36" t="s">
        <v>36</v>
      </c>
      <c r="B28" s="30">
        <f>+B27</f>
        <v>0</v>
      </c>
      <c r="C28" s="30">
        <f t="shared" ref="C28:BC28" si="166">B28+C27</f>
        <v>0</v>
      </c>
      <c r="D28" s="30">
        <f t="shared" si="166"/>
        <v>0</v>
      </c>
      <c r="E28" s="30">
        <f t="shared" si="166"/>
        <v>0</v>
      </c>
      <c r="F28" s="30">
        <f t="shared" si="166"/>
        <v>0</v>
      </c>
      <c r="G28" s="30">
        <f t="shared" si="166"/>
        <v>0</v>
      </c>
      <c r="H28" s="30">
        <f t="shared" si="166"/>
        <v>0</v>
      </c>
      <c r="I28" s="30">
        <f t="shared" si="166"/>
        <v>27543</v>
      </c>
      <c r="J28" s="30">
        <f t="shared" si="166"/>
        <v>27543</v>
      </c>
      <c r="K28" s="30">
        <f t="shared" si="166"/>
        <v>27543</v>
      </c>
      <c r="L28" s="30">
        <f t="shared" si="166"/>
        <v>47476</v>
      </c>
      <c r="M28" s="30">
        <f t="shared" si="166"/>
        <v>47476</v>
      </c>
      <c r="N28" s="30">
        <f t="shared" si="166"/>
        <v>47476</v>
      </c>
      <c r="O28" s="30">
        <f t="shared" si="166"/>
        <v>123129</v>
      </c>
      <c r="P28" s="30">
        <f t="shared" si="166"/>
        <v>123129</v>
      </c>
      <c r="Q28" s="30">
        <f t="shared" si="166"/>
        <v>123129</v>
      </c>
      <c r="R28" s="30">
        <f t="shared" si="166"/>
        <v>123129</v>
      </c>
      <c r="S28" s="30">
        <f t="shared" si="166"/>
        <v>123129</v>
      </c>
      <c r="T28" s="30">
        <f t="shared" si="166"/>
        <v>123129</v>
      </c>
      <c r="U28" s="30">
        <f t="shared" si="166"/>
        <v>123129</v>
      </c>
      <c r="V28" s="30">
        <f t="shared" si="166"/>
        <v>123129</v>
      </c>
      <c r="W28" s="30">
        <f t="shared" si="166"/>
        <v>123129</v>
      </c>
      <c r="X28" s="30">
        <f t="shared" si="166"/>
        <v>123129</v>
      </c>
      <c r="Y28" s="30">
        <f t="shared" si="166"/>
        <v>123129</v>
      </c>
      <c r="Z28" s="30">
        <f t="shared" si="166"/>
        <v>123129</v>
      </c>
      <c r="AA28" s="30">
        <f t="shared" si="166"/>
        <v>123129</v>
      </c>
      <c r="AB28" s="30">
        <f t="shared" si="166"/>
        <v>123129</v>
      </c>
      <c r="AC28" s="30">
        <f t="shared" si="166"/>
        <v>123129</v>
      </c>
      <c r="AD28" s="30">
        <f t="shared" si="166"/>
        <v>123129</v>
      </c>
      <c r="AE28" s="30">
        <f t="shared" si="166"/>
        <v>123129</v>
      </c>
      <c r="AF28" s="30">
        <f t="shared" si="166"/>
        <v>123129</v>
      </c>
      <c r="AG28" s="30">
        <f t="shared" si="166"/>
        <v>123129</v>
      </c>
      <c r="AH28" s="30">
        <f t="shared" si="166"/>
        <v>123129</v>
      </c>
      <c r="AI28" s="30">
        <f t="shared" si="166"/>
        <v>123129</v>
      </c>
      <c r="AJ28" s="30">
        <f t="shared" si="166"/>
        <v>123129</v>
      </c>
      <c r="AK28" s="30">
        <f t="shared" si="166"/>
        <v>123129</v>
      </c>
      <c r="AL28" s="30">
        <f t="shared" si="166"/>
        <v>123129</v>
      </c>
      <c r="AM28" s="30">
        <f t="shared" si="166"/>
        <v>123129</v>
      </c>
      <c r="AN28" s="30">
        <f t="shared" si="166"/>
        <v>123129</v>
      </c>
      <c r="AO28" s="30">
        <f t="shared" si="166"/>
        <v>123129</v>
      </c>
      <c r="AP28" s="30">
        <f t="shared" si="166"/>
        <v>123129</v>
      </c>
      <c r="AQ28" s="30">
        <f t="shared" si="166"/>
        <v>123129</v>
      </c>
      <c r="AR28" s="30">
        <f t="shared" si="166"/>
        <v>123129</v>
      </c>
      <c r="AS28" s="30">
        <f t="shared" si="166"/>
        <v>123129</v>
      </c>
      <c r="AT28" s="30">
        <f t="shared" si="166"/>
        <v>123129</v>
      </c>
      <c r="AU28" s="30">
        <f t="shared" si="166"/>
        <v>123129</v>
      </c>
      <c r="AV28" s="30">
        <f t="shared" si="166"/>
        <v>123129</v>
      </c>
      <c r="AW28" s="30">
        <f t="shared" si="166"/>
        <v>123129</v>
      </c>
      <c r="AX28" s="30">
        <f t="shared" si="166"/>
        <v>123129</v>
      </c>
      <c r="AY28" s="30">
        <f t="shared" si="166"/>
        <v>123129</v>
      </c>
      <c r="AZ28" s="30">
        <f t="shared" si="166"/>
        <v>123129</v>
      </c>
      <c r="BA28" s="30">
        <f t="shared" si="166"/>
        <v>123129</v>
      </c>
      <c r="BB28" s="30">
        <f t="shared" si="166"/>
        <v>123129</v>
      </c>
      <c r="BC28" s="30">
        <f t="shared" si="166"/>
        <v>123129</v>
      </c>
      <c r="BD28" s="30">
        <f t="shared" ref="BD28:BS28" si="167">BC28+BD27</f>
        <v>123129</v>
      </c>
      <c r="BE28" s="30">
        <f t="shared" si="167"/>
        <v>123129</v>
      </c>
      <c r="BF28" s="30">
        <f t="shared" si="167"/>
        <v>123129</v>
      </c>
      <c r="BG28" s="30">
        <f t="shared" si="167"/>
        <v>123129</v>
      </c>
      <c r="BH28" s="30">
        <f t="shared" si="167"/>
        <v>123129</v>
      </c>
      <c r="BI28" s="30">
        <f t="shared" si="167"/>
        <v>123129</v>
      </c>
      <c r="BJ28" s="30">
        <f t="shared" si="167"/>
        <v>123129</v>
      </c>
      <c r="BK28" s="30">
        <f t="shared" si="167"/>
        <v>123129</v>
      </c>
      <c r="BL28" s="30">
        <f t="shared" si="167"/>
        <v>123129</v>
      </c>
      <c r="BM28" s="30">
        <f t="shared" si="167"/>
        <v>123129</v>
      </c>
      <c r="BN28" s="30">
        <f t="shared" si="167"/>
        <v>123129</v>
      </c>
      <c r="BO28" s="30">
        <f t="shared" si="167"/>
        <v>123129</v>
      </c>
      <c r="BP28" s="30">
        <f t="shared" si="167"/>
        <v>123129</v>
      </c>
      <c r="BQ28" s="30">
        <f t="shared" si="167"/>
        <v>123129</v>
      </c>
      <c r="BR28" s="30">
        <f t="shared" si="167"/>
        <v>123129</v>
      </c>
      <c r="BS28" s="30">
        <f t="shared" si="167"/>
        <v>123129</v>
      </c>
      <c r="BT28" s="30">
        <f t="shared" ref="BT28" si="168">BS28+BT27</f>
        <v>123129</v>
      </c>
      <c r="BU28" s="30">
        <f t="shared" ref="BU28" si="169">BT28+BU27</f>
        <v>123129</v>
      </c>
      <c r="BV28" s="30">
        <f t="shared" ref="BV28" si="170">BU28+BV27</f>
        <v>123129</v>
      </c>
      <c r="BW28" s="30">
        <f t="shared" ref="BW28" si="171">BV28+BW27</f>
        <v>123129</v>
      </c>
      <c r="BX28" s="30">
        <f t="shared" ref="BX28" si="172">BW28+BX27</f>
        <v>123129</v>
      </c>
      <c r="BY28" s="30">
        <f t="shared" ref="BY28" si="173">BX28+BY27</f>
        <v>123129</v>
      </c>
      <c r="BZ28" s="30">
        <f t="shared" ref="BZ28" si="174">BY28+BZ27</f>
        <v>123129</v>
      </c>
      <c r="CA28" s="30">
        <f t="shared" ref="CA28" si="175">BZ28+CA27</f>
        <v>123129</v>
      </c>
      <c r="CB28" s="30">
        <f t="shared" ref="CB28" si="176">CA28+CB27</f>
        <v>123129</v>
      </c>
      <c r="CC28" s="30">
        <f t="shared" ref="CC28" si="177">CB28+CC27</f>
        <v>123129</v>
      </c>
      <c r="CD28" s="30">
        <f t="shared" ref="CD28" si="178">CC28+CD27</f>
        <v>123129</v>
      </c>
      <c r="CE28" s="30">
        <f t="shared" ref="CE28" si="179">CD28+CE27</f>
        <v>123129</v>
      </c>
      <c r="CF28" s="30">
        <f t="shared" ref="CF28" si="180">CE28+CF27</f>
        <v>123129</v>
      </c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</row>
    <row r="29" spans="1:120"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</row>
    <row r="30" spans="1:120" s="82" customFormat="1" ht="15">
      <c r="A30" s="83" t="s">
        <v>37</v>
      </c>
      <c r="B30" s="85"/>
      <c r="C30" s="130">
        <v>42534</v>
      </c>
      <c r="D30" s="85"/>
      <c r="E30" s="85"/>
      <c r="F30" s="136">
        <v>42663</v>
      </c>
      <c r="G30" s="85"/>
      <c r="H30" s="136">
        <v>42732</v>
      </c>
      <c r="I30" s="136">
        <v>42732</v>
      </c>
      <c r="J30" s="85"/>
      <c r="K30" s="85"/>
      <c r="L30" s="130">
        <v>42841</v>
      </c>
      <c r="M30" s="85"/>
      <c r="N30" s="85"/>
      <c r="O30" s="85"/>
      <c r="P30" s="147">
        <v>43010</v>
      </c>
      <c r="Q30" s="148"/>
      <c r="R30" s="136">
        <v>43010</v>
      </c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85"/>
      <c r="BQ30" s="85"/>
      <c r="BR30" s="85"/>
      <c r="BS30" s="85"/>
      <c r="BT30" s="86"/>
      <c r="BU30" s="86"/>
      <c r="BV30" s="86"/>
      <c r="BW30" s="86"/>
      <c r="BX30" s="86"/>
      <c r="BY30" s="86"/>
      <c r="BZ30" s="86"/>
      <c r="CA30" s="86"/>
      <c r="CB30" s="86"/>
      <c r="CC30" s="86"/>
      <c r="CD30" s="86"/>
      <c r="CE30" s="86"/>
      <c r="CF30" s="86"/>
      <c r="CG30" s="86"/>
      <c r="CH30" s="86"/>
      <c r="CI30" s="86"/>
      <c r="CJ30" s="86"/>
      <c r="CK30" s="86"/>
      <c r="CL30" s="86"/>
      <c r="CM30" s="86"/>
      <c r="CN30" s="86"/>
      <c r="CO30" s="86"/>
      <c r="CP30" s="86"/>
      <c r="CQ30" s="86"/>
      <c r="CR30" s="86"/>
      <c r="CS30" s="86"/>
      <c r="CT30" s="86"/>
      <c r="CU30" s="86"/>
      <c r="CV30" s="86"/>
      <c r="CW30" s="86"/>
      <c r="CX30" s="86"/>
      <c r="CY30" s="86"/>
      <c r="CZ30" s="86"/>
      <c r="DA30" s="86"/>
      <c r="DB30" s="86"/>
      <c r="DC30" s="86"/>
      <c r="DD30" s="86"/>
      <c r="DE30" s="86"/>
      <c r="DF30" s="86"/>
      <c r="DG30" s="86"/>
      <c r="DH30" s="86"/>
      <c r="DI30" s="86"/>
      <c r="DJ30" s="86"/>
      <c r="DK30" s="86"/>
      <c r="DL30" s="86"/>
      <c r="DM30" s="86"/>
      <c r="DN30" s="86"/>
      <c r="DO30" s="86"/>
      <c r="DP30" s="87"/>
    </row>
    <row r="31" spans="1:120" ht="15">
      <c r="A31" s="83" t="s">
        <v>38</v>
      </c>
      <c r="B31" s="30"/>
      <c r="C31" s="131"/>
      <c r="D31" s="30"/>
      <c r="E31" s="30"/>
      <c r="F31" s="131"/>
      <c r="G31" s="30"/>
      <c r="H31" s="131"/>
      <c r="I31" s="131"/>
      <c r="J31" s="30"/>
      <c r="K31" s="30"/>
      <c r="L31" s="131"/>
      <c r="M31" s="30"/>
      <c r="N31" s="30"/>
      <c r="O31" s="30"/>
      <c r="P31" s="141"/>
      <c r="Q31" s="146">
        <v>16976687</v>
      </c>
      <c r="R31" s="131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</row>
    <row r="32" spans="1:120">
      <c r="A32" s="84" t="s">
        <v>22</v>
      </c>
      <c r="B32" s="30"/>
      <c r="C32" s="131">
        <v>629807</v>
      </c>
      <c r="D32" s="30"/>
      <c r="E32" s="30"/>
      <c r="F32" s="131">
        <v>2360804</v>
      </c>
      <c r="G32" s="30"/>
      <c r="H32" s="131">
        <v>2600000</v>
      </c>
      <c r="I32" s="131">
        <v>1999938</v>
      </c>
      <c r="J32" s="30"/>
      <c r="K32" s="30"/>
      <c r="L32" s="131">
        <v>7092452</v>
      </c>
      <c r="M32" s="30"/>
      <c r="N32" s="30"/>
      <c r="O32" s="30"/>
      <c r="P32" s="141">
        <v>8629344</v>
      </c>
      <c r="Q32" s="142">
        <v>8271690</v>
      </c>
      <c r="R32" s="142">
        <v>3000000</v>
      </c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</row>
    <row r="33" spans="1:120">
      <c r="A33" s="84" t="s">
        <v>16</v>
      </c>
      <c r="B33" s="30"/>
      <c r="C33" s="131"/>
      <c r="D33" s="30"/>
      <c r="E33" s="30"/>
      <c r="F33" s="131"/>
      <c r="G33" s="30"/>
      <c r="H33" s="131"/>
      <c r="I33" s="131"/>
      <c r="J33" s="30"/>
      <c r="K33" s="30"/>
      <c r="L33" s="131"/>
      <c r="M33" s="30"/>
      <c r="N33" s="30"/>
      <c r="O33" s="30"/>
      <c r="P33" s="145"/>
      <c r="Q33" s="142"/>
      <c r="R33" s="131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</row>
    <row r="34" spans="1:120">
      <c r="A34" s="84" t="s">
        <v>39</v>
      </c>
      <c r="B34" s="30"/>
      <c r="C34" s="131"/>
      <c r="D34" s="30"/>
      <c r="E34" s="30"/>
      <c r="F34" s="131"/>
      <c r="G34" s="30"/>
      <c r="H34" s="131"/>
      <c r="I34" s="131">
        <v>27543</v>
      </c>
      <c r="J34" s="30"/>
      <c r="K34" s="30"/>
      <c r="L34" s="131">
        <v>19933</v>
      </c>
      <c r="M34" s="30"/>
      <c r="N34" s="30"/>
      <c r="O34" s="30"/>
      <c r="P34" s="141">
        <v>75653</v>
      </c>
      <c r="Q34" s="142"/>
      <c r="R34" s="131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</row>
    <row r="35" spans="1:120" ht="15">
      <c r="A35" s="40" t="s">
        <v>40</v>
      </c>
      <c r="B35" s="30">
        <f t="shared" ref="B35:L35" si="181">SUM(B32:B34)</f>
        <v>0</v>
      </c>
      <c r="C35" s="132">
        <f t="shared" si="181"/>
        <v>629807</v>
      </c>
      <c r="D35" s="30">
        <f t="shared" si="181"/>
        <v>0</v>
      </c>
      <c r="E35" s="30">
        <f t="shared" si="181"/>
        <v>0</v>
      </c>
      <c r="F35" s="132">
        <f t="shared" si="181"/>
        <v>2360804</v>
      </c>
      <c r="G35" s="30">
        <f t="shared" si="181"/>
        <v>0</v>
      </c>
      <c r="H35" s="132">
        <f t="shared" si="181"/>
        <v>2600000</v>
      </c>
      <c r="I35" s="132">
        <f t="shared" si="181"/>
        <v>2027481</v>
      </c>
      <c r="J35" s="30">
        <f t="shared" si="181"/>
        <v>0</v>
      </c>
      <c r="K35" s="30">
        <f t="shared" si="181"/>
        <v>0</v>
      </c>
      <c r="L35" s="132">
        <f t="shared" si="181"/>
        <v>7112385</v>
      </c>
      <c r="M35" s="30">
        <f t="shared" ref="M35:BM35" si="182">SUM(M32:M34)</f>
        <v>0</v>
      </c>
      <c r="N35" s="30">
        <f t="shared" si="182"/>
        <v>0</v>
      </c>
      <c r="O35" s="30">
        <f t="shared" si="182"/>
        <v>0</v>
      </c>
      <c r="P35" s="143">
        <f>SUM(P32:P34)</f>
        <v>8704997</v>
      </c>
      <c r="Q35" s="144">
        <f t="shared" si="182"/>
        <v>8271690</v>
      </c>
      <c r="R35" s="132">
        <f t="shared" si="182"/>
        <v>3000000</v>
      </c>
      <c r="S35" s="30">
        <f t="shared" si="182"/>
        <v>0</v>
      </c>
      <c r="T35" s="30">
        <f t="shared" si="182"/>
        <v>0</v>
      </c>
      <c r="U35" s="30">
        <f t="shared" si="182"/>
        <v>0</v>
      </c>
      <c r="V35" s="30">
        <f t="shared" si="182"/>
        <v>0</v>
      </c>
      <c r="W35" s="30">
        <f t="shared" si="182"/>
        <v>0</v>
      </c>
      <c r="X35" s="30">
        <f t="shared" si="182"/>
        <v>0</v>
      </c>
      <c r="Y35" s="30">
        <f t="shared" si="182"/>
        <v>0</v>
      </c>
      <c r="Z35" s="30">
        <f t="shared" si="182"/>
        <v>0</v>
      </c>
      <c r="AA35" s="30">
        <f t="shared" si="182"/>
        <v>0</v>
      </c>
      <c r="AB35" s="30">
        <f t="shared" si="182"/>
        <v>0</v>
      </c>
      <c r="AC35" s="30">
        <f t="shared" si="182"/>
        <v>0</v>
      </c>
      <c r="AD35" s="30">
        <f t="shared" si="182"/>
        <v>0</v>
      </c>
      <c r="AE35" s="30">
        <f t="shared" si="182"/>
        <v>0</v>
      </c>
      <c r="AF35" s="30">
        <f t="shared" si="182"/>
        <v>0</v>
      </c>
      <c r="AG35" s="30">
        <f t="shared" si="182"/>
        <v>0</v>
      </c>
      <c r="AH35" s="30">
        <f t="shared" si="182"/>
        <v>0</v>
      </c>
      <c r="AI35" s="30">
        <f t="shared" si="182"/>
        <v>0</v>
      </c>
      <c r="AJ35" s="30">
        <f t="shared" si="182"/>
        <v>0</v>
      </c>
      <c r="AK35" s="30">
        <f t="shared" si="182"/>
        <v>0</v>
      </c>
      <c r="AL35" s="30">
        <f t="shared" si="182"/>
        <v>0</v>
      </c>
      <c r="AM35" s="30">
        <f t="shared" si="182"/>
        <v>0</v>
      </c>
      <c r="AN35" s="30">
        <f t="shared" si="182"/>
        <v>0</v>
      </c>
      <c r="AO35" s="30">
        <f t="shared" si="182"/>
        <v>0</v>
      </c>
      <c r="AP35" s="30">
        <f t="shared" si="182"/>
        <v>0</v>
      </c>
      <c r="AQ35" s="30">
        <f t="shared" si="182"/>
        <v>0</v>
      </c>
      <c r="AR35" s="30">
        <f t="shared" si="182"/>
        <v>0</v>
      </c>
      <c r="AS35" s="30">
        <f t="shared" si="182"/>
        <v>0</v>
      </c>
      <c r="AT35" s="30">
        <f t="shared" si="182"/>
        <v>0</v>
      </c>
      <c r="AU35" s="30">
        <f t="shared" si="182"/>
        <v>0</v>
      </c>
      <c r="AV35" s="30">
        <f t="shared" si="182"/>
        <v>0</v>
      </c>
      <c r="AW35" s="30">
        <f t="shared" si="182"/>
        <v>0</v>
      </c>
      <c r="AX35" s="30">
        <f t="shared" si="182"/>
        <v>0</v>
      </c>
      <c r="AY35" s="30">
        <f t="shared" si="182"/>
        <v>0</v>
      </c>
      <c r="AZ35" s="30">
        <f t="shared" si="182"/>
        <v>0</v>
      </c>
      <c r="BA35" s="30">
        <f t="shared" si="182"/>
        <v>0</v>
      </c>
      <c r="BB35" s="30">
        <f t="shared" si="182"/>
        <v>0</v>
      </c>
      <c r="BC35" s="30">
        <f t="shared" si="182"/>
        <v>0</v>
      </c>
      <c r="BD35" s="30">
        <f t="shared" si="182"/>
        <v>0</v>
      </c>
      <c r="BE35" s="30">
        <f t="shared" si="182"/>
        <v>0</v>
      </c>
      <c r="BF35" s="30">
        <f t="shared" si="182"/>
        <v>0</v>
      </c>
      <c r="BG35" s="30">
        <f t="shared" si="182"/>
        <v>0</v>
      </c>
      <c r="BH35" s="30">
        <f t="shared" si="182"/>
        <v>0</v>
      </c>
      <c r="BI35" s="30">
        <f t="shared" si="182"/>
        <v>0</v>
      </c>
      <c r="BJ35" s="30">
        <f t="shared" si="182"/>
        <v>0</v>
      </c>
      <c r="BK35" s="30">
        <f t="shared" si="182"/>
        <v>0</v>
      </c>
      <c r="BL35" s="30">
        <f t="shared" si="182"/>
        <v>0</v>
      </c>
      <c r="BM35" s="30">
        <f t="shared" si="182"/>
        <v>0</v>
      </c>
      <c r="BN35" s="30">
        <f t="shared" ref="BN35:DP35" si="183">SUM(BN32:BN34)</f>
        <v>0</v>
      </c>
      <c r="BO35" s="30">
        <f t="shared" si="183"/>
        <v>0</v>
      </c>
      <c r="BP35" s="30">
        <f t="shared" si="183"/>
        <v>0</v>
      </c>
      <c r="BQ35" s="30">
        <f t="shared" si="183"/>
        <v>0</v>
      </c>
      <c r="BR35" s="30">
        <f t="shared" si="183"/>
        <v>0</v>
      </c>
      <c r="BS35" s="30">
        <f t="shared" si="183"/>
        <v>0</v>
      </c>
      <c r="BT35" s="30">
        <f t="shared" si="183"/>
        <v>0</v>
      </c>
      <c r="BU35" s="30">
        <f t="shared" si="183"/>
        <v>0</v>
      </c>
      <c r="BV35" s="30">
        <f t="shared" si="183"/>
        <v>0</v>
      </c>
      <c r="BW35" s="30">
        <f t="shared" si="183"/>
        <v>0</v>
      </c>
      <c r="BX35" s="30">
        <f t="shared" si="183"/>
        <v>0</v>
      </c>
      <c r="BY35" s="30">
        <f t="shared" si="183"/>
        <v>0</v>
      </c>
      <c r="BZ35" s="30">
        <f t="shared" si="183"/>
        <v>0</v>
      </c>
      <c r="CA35" s="30">
        <f t="shared" si="183"/>
        <v>0</v>
      </c>
      <c r="CB35" s="30">
        <f t="shared" si="183"/>
        <v>0</v>
      </c>
      <c r="CC35" s="30">
        <f t="shared" si="183"/>
        <v>0</v>
      </c>
      <c r="CD35" s="30">
        <f t="shared" si="183"/>
        <v>0</v>
      </c>
      <c r="CE35" s="30">
        <f t="shared" si="183"/>
        <v>0</v>
      </c>
      <c r="CF35" s="30">
        <f t="shared" si="183"/>
        <v>0</v>
      </c>
      <c r="CG35" s="30">
        <f t="shared" si="183"/>
        <v>0</v>
      </c>
      <c r="CH35" s="30">
        <f t="shared" si="183"/>
        <v>0</v>
      </c>
      <c r="CI35" s="30">
        <f t="shared" si="183"/>
        <v>0</v>
      </c>
      <c r="CJ35" s="30">
        <f t="shared" si="183"/>
        <v>0</v>
      </c>
      <c r="CK35" s="30">
        <f t="shared" si="183"/>
        <v>0</v>
      </c>
      <c r="CL35" s="30">
        <f t="shared" si="183"/>
        <v>0</v>
      </c>
      <c r="CM35" s="30">
        <f t="shared" si="183"/>
        <v>0</v>
      </c>
      <c r="CN35" s="30">
        <f t="shared" si="183"/>
        <v>0</v>
      </c>
      <c r="CO35" s="30">
        <f t="shared" si="183"/>
        <v>0</v>
      </c>
      <c r="CP35" s="30">
        <f t="shared" si="183"/>
        <v>0</v>
      </c>
      <c r="CQ35" s="30">
        <f t="shared" si="183"/>
        <v>0</v>
      </c>
      <c r="CR35" s="30">
        <f t="shared" si="183"/>
        <v>0</v>
      </c>
      <c r="CS35" s="30">
        <f t="shared" si="183"/>
        <v>0</v>
      </c>
      <c r="CT35" s="30">
        <f t="shared" si="183"/>
        <v>0</v>
      </c>
      <c r="CU35" s="30">
        <f t="shared" si="183"/>
        <v>0</v>
      </c>
      <c r="CV35" s="30">
        <f t="shared" si="183"/>
        <v>0</v>
      </c>
      <c r="CW35" s="30">
        <f t="shared" si="183"/>
        <v>0</v>
      </c>
      <c r="CX35" s="30">
        <f t="shared" si="183"/>
        <v>0</v>
      </c>
      <c r="CY35" s="30">
        <f t="shared" si="183"/>
        <v>0</v>
      </c>
      <c r="CZ35" s="30">
        <f t="shared" si="183"/>
        <v>0</v>
      </c>
      <c r="DA35" s="30">
        <f t="shared" si="183"/>
        <v>0</v>
      </c>
      <c r="DB35" s="30">
        <f t="shared" si="183"/>
        <v>0</v>
      </c>
      <c r="DC35" s="30">
        <f t="shared" si="183"/>
        <v>0</v>
      </c>
      <c r="DD35" s="30">
        <f t="shared" si="183"/>
        <v>0</v>
      </c>
      <c r="DE35" s="30">
        <f t="shared" si="183"/>
        <v>0</v>
      </c>
      <c r="DF35" s="30">
        <f t="shared" si="183"/>
        <v>0</v>
      </c>
      <c r="DG35" s="30">
        <f t="shared" si="183"/>
        <v>0</v>
      </c>
      <c r="DH35" s="30">
        <f t="shared" si="183"/>
        <v>0</v>
      </c>
      <c r="DI35" s="30">
        <f t="shared" si="183"/>
        <v>0</v>
      </c>
      <c r="DJ35" s="30">
        <f t="shared" si="183"/>
        <v>0</v>
      </c>
      <c r="DK35" s="30">
        <f t="shared" si="183"/>
        <v>0</v>
      </c>
      <c r="DL35" s="30">
        <f t="shared" si="183"/>
        <v>0</v>
      </c>
      <c r="DM35" s="30">
        <f t="shared" si="183"/>
        <v>0</v>
      </c>
      <c r="DN35" s="30">
        <f t="shared" si="183"/>
        <v>0</v>
      </c>
      <c r="DO35" s="30">
        <f t="shared" si="183"/>
        <v>0</v>
      </c>
      <c r="DP35" s="30">
        <f t="shared" si="183"/>
        <v>0</v>
      </c>
    </row>
    <row r="39" spans="1:120">
      <c r="Q39" s="57"/>
    </row>
    <row r="41" spans="1:120">
      <c r="R41" s="57"/>
    </row>
    <row r="42" spans="1:120">
      <c r="Q42" s="57"/>
    </row>
  </sheetData>
  <mergeCells count="1">
    <mergeCell ref="P30:Q30"/>
  </mergeCells>
  <phoneticPr fontId="0" type="noConversion"/>
  <pageMargins left="0.75" right="0.75" top="1" bottom="1" header="0.5" footer="0.5"/>
  <pageSetup paperSize="9" orientation="portrait" horizontalDpi="1200" verticalDpi="12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D47"/>
  <sheetViews>
    <sheetView showGridLines="0" zoomScaleNormal="100" workbookViewId="0">
      <selection activeCell="H29" sqref="H29"/>
    </sheetView>
  </sheetViews>
  <sheetFormatPr defaultColWidth="8" defaultRowHeight="12.75"/>
  <cols>
    <col min="1" max="1" width="29" style="3" bestFit="1" customWidth="1"/>
    <col min="2" max="2" width="12" style="3" customWidth="1"/>
    <col min="3" max="3" width="16.42578125" style="3" customWidth="1"/>
    <col min="4" max="4" width="13" style="3" customWidth="1"/>
    <col min="5" max="5" width="13.140625" style="3" customWidth="1"/>
    <col min="6" max="6" width="12.5703125" style="3" customWidth="1"/>
    <col min="7" max="7" width="12.85546875" style="3" customWidth="1"/>
    <col min="8" max="8" width="12" style="3" customWidth="1"/>
    <col min="9" max="30" width="10.85546875" style="3" bestFit="1" customWidth="1"/>
    <col min="31" max="32" width="9.140625" style="3" customWidth="1"/>
    <col min="33" max="34" width="9.42578125" style="3" bestFit="1" customWidth="1"/>
    <col min="35" max="41" width="9.140625" style="3" customWidth="1"/>
    <col min="42" max="42" width="8.7109375" style="3" bestFit="1" customWidth="1"/>
    <col min="43" max="16384" width="8" style="3"/>
  </cols>
  <sheetData>
    <row r="1" spans="1:9" s="10" customFormat="1" ht="15">
      <c r="A1" s="9" t="s">
        <v>41</v>
      </c>
      <c r="C1" s="9" t="str">
        <f>Disbursement!B1</f>
        <v>Pretty Auto Bricks Ltd.</v>
      </c>
    </row>
    <row r="2" spans="1:9" s="10" customFormat="1" ht="15">
      <c r="A2" s="9"/>
    </row>
    <row r="3" spans="1:9" s="11" customFormat="1">
      <c r="A3" s="11" t="s">
        <v>42</v>
      </c>
      <c r="B3" s="3"/>
      <c r="C3" s="64">
        <v>41673</v>
      </c>
    </row>
    <row r="5" spans="1:9">
      <c r="A5" s="11" t="s">
        <v>43</v>
      </c>
      <c r="C5" s="65">
        <v>337670000</v>
      </c>
      <c r="D5" s="11"/>
      <c r="F5" s="11" t="s">
        <v>44</v>
      </c>
      <c r="H5" s="67">
        <v>0</v>
      </c>
      <c r="I5" s="3" t="s">
        <v>45</v>
      </c>
    </row>
    <row r="6" spans="1:9">
      <c r="A6" s="11"/>
      <c r="F6" s="11" t="s">
        <v>46</v>
      </c>
      <c r="H6" s="67">
        <v>12</v>
      </c>
      <c r="I6" s="3" t="s">
        <v>45</v>
      </c>
    </row>
    <row r="7" spans="1:9">
      <c r="A7" s="11" t="s">
        <v>47</v>
      </c>
      <c r="C7" s="64">
        <f>C22</f>
        <v>42509</v>
      </c>
      <c r="E7" s="50"/>
    </row>
    <row r="8" spans="1:9">
      <c r="A8" s="11"/>
      <c r="C8" s="50"/>
      <c r="E8" s="50"/>
      <c r="F8" s="11" t="s">
        <v>48</v>
      </c>
      <c r="H8" s="64">
        <f>EDATE(C22,H5)</f>
        <v>42509</v>
      </c>
    </row>
    <row r="9" spans="1:9">
      <c r="A9" s="11" t="s">
        <v>49</v>
      </c>
      <c r="C9" s="64">
        <v>42502</v>
      </c>
      <c r="E9" s="50"/>
      <c r="F9" s="11" t="s">
        <v>50</v>
      </c>
      <c r="H9" s="64">
        <f>EDATE(C22,H6)</f>
        <v>42874</v>
      </c>
    </row>
    <row r="10" spans="1:9">
      <c r="A10" s="11"/>
      <c r="C10" s="50"/>
    </row>
    <row r="11" spans="1:9">
      <c r="A11" s="11" t="s">
        <v>51</v>
      </c>
      <c r="C11" s="66">
        <v>0.1</v>
      </c>
    </row>
    <row r="12" spans="1:9">
      <c r="A12" s="11"/>
      <c r="C12" s="110"/>
    </row>
    <row r="13" spans="1:9">
      <c r="A13" s="11" t="s">
        <v>52</v>
      </c>
      <c r="C13" s="64" t="s">
        <v>53</v>
      </c>
    </row>
    <row r="14" spans="1:9">
      <c r="A14" s="11"/>
      <c r="C14" s="50"/>
    </row>
    <row r="15" spans="1:9">
      <c r="A15" s="11" t="s">
        <v>16</v>
      </c>
      <c r="C15" s="129" t="s">
        <v>54</v>
      </c>
      <c r="D15" s="123"/>
      <c r="E15" s="123"/>
    </row>
    <row r="16" spans="1:9">
      <c r="A16" s="11"/>
      <c r="C16" s="50"/>
    </row>
    <row r="17" spans="1:238">
      <c r="A17" s="56" t="s">
        <v>55</v>
      </c>
      <c r="C17" s="67">
        <v>360</v>
      </c>
      <c r="D17" s="50" t="s">
        <v>56</v>
      </c>
    </row>
    <row r="18" spans="1:238">
      <c r="A18" s="56"/>
      <c r="C18" s="5"/>
      <c r="D18" s="50"/>
    </row>
    <row r="19" spans="1:238">
      <c r="A19" s="56" t="s">
        <v>57</v>
      </c>
      <c r="B19" s="50"/>
      <c r="C19" s="67">
        <v>24</v>
      </c>
    </row>
    <row r="20" spans="1:238">
      <c r="A20" s="56"/>
      <c r="B20" s="53"/>
      <c r="C20" s="55"/>
    </row>
    <row r="21" spans="1:238">
      <c r="A21" s="56" t="s">
        <v>58</v>
      </c>
      <c r="B21" s="53"/>
      <c r="C21" s="55"/>
    </row>
    <row r="22" spans="1:238">
      <c r="A22" s="58"/>
      <c r="B22" s="59"/>
      <c r="C22" s="59">
        <f>Disbursement!B8</f>
        <v>42509</v>
      </c>
      <c r="D22" s="59">
        <f>Disbursement!B9</f>
        <v>42618</v>
      </c>
      <c r="E22" s="59">
        <f>Disbursement!B10</f>
        <v>42690</v>
      </c>
      <c r="F22" s="59">
        <f>Disbursement!B11</f>
        <v>42732</v>
      </c>
      <c r="G22" s="59">
        <f>Disbursement!B12</f>
        <v>42745</v>
      </c>
      <c r="H22" s="59">
        <f>Disbursement!B13</f>
        <v>42801</v>
      </c>
    </row>
    <row r="23" spans="1:238">
      <c r="A23" s="60"/>
      <c r="B23" s="61"/>
      <c r="C23" s="137">
        <f>Disbursement!C8</f>
        <v>83974322.25</v>
      </c>
      <c r="D23" s="137">
        <f>Disbursement!C9</f>
        <v>77325560.739999995</v>
      </c>
      <c r="E23" s="137">
        <f>Disbursement!C10</f>
        <v>64878864.549999997</v>
      </c>
      <c r="F23" s="137">
        <f>Disbursement!C11</f>
        <v>46696351.340000004</v>
      </c>
      <c r="G23" s="138">
        <f>Disbursement!C12</f>
        <v>18977877.300000001</v>
      </c>
      <c r="H23" s="140">
        <f>Disbursement!C13</f>
        <v>45817023.82</v>
      </c>
    </row>
    <row r="24" spans="1:238">
      <c r="A24" s="62"/>
      <c r="B24" s="63"/>
      <c r="C24" s="139">
        <f>C23</f>
        <v>83974322.25</v>
      </c>
      <c r="D24" s="139">
        <f>D23+C24</f>
        <v>161299882.99000001</v>
      </c>
      <c r="E24" s="139">
        <f>E23+D24</f>
        <v>226178747.54000002</v>
      </c>
      <c r="F24" s="139">
        <f>F23+E24</f>
        <v>272875098.88</v>
      </c>
      <c r="G24" s="139">
        <f>G23+F24</f>
        <v>291852976.18000001</v>
      </c>
      <c r="H24" s="139">
        <f>H23+G24</f>
        <v>337670000</v>
      </c>
    </row>
    <row r="25" spans="1:238">
      <c r="A25" s="54"/>
      <c r="B25" s="53"/>
      <c r="C25" s="55"/>
    </row>
    <row r="26" spans="1:238">
      <c r="B26" s="50"/>
      <c r="C26" s="4"/>
      <c r="D26" s="4"/>
      <c r="E26" s="4"/>
      <c r="F26" s="1"/>
      <c r="G26" s="2"/>
      <c r="H26" s="2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38">
      <c r="A27" s="11" t="s">
        <v>59</v>
      </c>
      <c r="C27" s="1"/>
      <c r="D27" s="1"/>
      <c r="E27" s="7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38">
      <c r="A28" s="13" t="s">
        <v>60</v>
      </c>
      <c r="B28" s="14"/>
      <c r="C28" s="14"/>
      <c r="D28" s="14"/>
      <c r="E28" s="14"/>
      <c r="F28" s="14"/>
      <c r="G28" s="14">
        <v>1</v>
      </c>
      <c r="H28" s="14">
        <v>2</v>
      </c>
      <c r="I28" s="14">
        <v>3</v>
      </c>
      <c r="J28" s="14">
        <v>4</v>
      </c>
      <c r="K28" s="14">
        <v>5</v>
      </c>
      <c r="L28" s="14">
        <v>6</v>
      </c>
      <c r="M28" s="14">
        <v>7</v>
      </c>
      <c r="N28" s="14">
        <v>8</v>
      </c>
      <c r="O28" s="14">
        <v>9</v>
      </c>
      <c r="P28" s="14">
        <v>10</v>
      </c>
      <c r="Q28" s="14">
        <v>11</v>
      </c>
      <c r="R28" s="14">
        <v>12</v>
      </c>
      <c r="S28" s="14">
        <v>13</v>
      </c>
      <c r="T28" s="14">
        <v>14</v>
      </c>
      <c r="U28" s="14">
        <v>15</v>
      </c>
      <c r="V28" s="14">
        <v>16</v>
      </c>
      <c r="W28" s="14">
        <v>17</v>
      </c>
      <c r="X28" s="14">
        <v>18</v>
      </c>
      <c r="Y28" s="14">
        <v>19</v>
      </c>
      <c r="Z28" s="14">
        <v>20</v>
      </c>
      <c r="AA28" s="14">
        <v>21</v>
      </c>
      <c r="AB28" s="14">
        <v>22</v>
      </c>
      <c r="AC28" s="14">
        <v>23</v>
      </c>
      <c r="AD28" s="14">
        <v>24</v>
      </c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</row>
    <row r="29" spans="1:238">
      <c r="A29" s="150" t="s">
        <v>61</v>
      </c>
      <c r="B29" s="150"/>
      <c r="C29" s="74">
        <v>42536</v>
      </c>
      <c r="D29" s="74">
        <v>42628</v>
      </c>
      <c r="E29" s="74">
        <v>42719</v>
      </c>
      <c r="F29" s="74">
        <v>42809</v>
      </c>
      <c r="G29" s="74">
        <v>42901</v>
      </c>
      <c r="H29" s="74">
        <v>42992</v>
      </c>
      <c r="I29" s="74">
        <v>43084</v>
      </c>
      <c r="J29" s="74">
        <v>43174</v>
      </c>
      <c r="K29" s="74">
        <v>43266</v>
      </c>
      <c r="L29" s="74">
        <v>43358</v>
      </c>
      <c r="M29" s="74">
        <v>43449</v>
      </c>
      <c r="N29" s="74">
        <v>43539</v>
      </c>
      <c r="O29" s="74">
        <v>43631</v>
      </c>
      <c r="P29" s="74">
        <v>43723</v>
      </c>
      <c r="Q29" s="74">
        <v>43814</v>
      </c>
      <c r="R29" s="74">
        <v>43905</v>
      </c>
      <c r="S29" s="74">
        <v>43997</v>
      </c>
      <c r="T29" s="74">
        <v>44089</v>
      </c>
      <c r="U29" s="74">
        <v>44180</v>
      </c>
      <c r="V29" s="74">
        <v>44270</v>
      </c>
      <c r="W29" s="74">
        <v>44362</v>
      </c>
      <c r="X29" s="74">
        <v>44454</v>
      </c>
      <c r="Y29" s="74">
        <v>44545</v>
      </c>
      <c r="Z29" s="74">
        <v>44635</v>
      </c>
      <c r="AA29" s="74">
        <v>44727</v>
      </c>
      <c r="AB29" s="74">
        <v>44819</v>
      </c>
      <c r="AC29" s="74">
        <v>44910</v>
      </c>
      <c r="AD29" s="74">
        <v>45000</v>
      </c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</row>
    <row r="30" spans="1:238">
      <c r="A30" s="151" t="s">
        <v>62</v>
      </c>
      <c r="B30" s="151"/>
      <c r="C30" s="4">
        <f>C23</f>
        <v>83974322.25</v>
      </c>
      <c r="D30" s="4">
        <f>C36+D23</f>
        <v>161299882.99000001</v>
      </c>
      <c r="E30" s="4">
        <f>D36+E23</f>
        <v>226178747.54000002</v>
      </c>
      <c r="F30" s="4">
        <f>E36+F23+G23+H23</f>
        <v>337670000</v>
      </c>
      <c r="G30" s="4">
        <f t="shared" ref="G30:AD30" si="0">F36</f>
        <v>337670000</v>
      </c>
      <c r="H30" s="4">
        <f t="shared" si="0"/>
        <v>327231667.94900417</v>
      </c>
      <c r="I30" s="4">
        <f t="shared" si="0"/>
        <v>316532377.59673345</v>
      </c>
      <c r="J30" s="4">
        <f t="shared" si="0"/>
        <v>305565604.98565596</v>
      </c>
      <c r="K30" s="4">
        <f t="shared" si="0"/>
        <v>294324663.05930156</v>
      </c>
      <c r="L30" s="4">
        <f t="shared" si="0"/>
        <v>282802697.58478826</v>
      </c>
      <c r="M30" s="4">
        <f t="shared" si="0"/>
        <v>270992682.97341216</v>
      </c>
      <c r="N30" s="4">
        <f t="shared" si="0"/>
        <v>258887417.99675164</v>
      </c>
      <c r="O30" s="4">
        <f t="shared" si="0"/>
        <v>246479521.39567459</v>
      </c>
      <c r="P30" s="4">
        <f t="shared" si="0"/>
        <v>233761427.3795706</v>
      </c>
      <c r="Q30" s="4">
        <f t="shared" si="0"/>
        <v>220725381.01306403</v>
      </c>
      <c r="R30" s="4">
        <f t="shared" si="0"/>
        <v>207363433.48739481</v>
      </c>
      <c r="S30" s="4">
        <f t="shared" si="0"/>
        <v>193667437.27358386</v>
      </c>
      <c r="T30" s="4">
        <f t="shared" si="0"/>
        <v>179629041.15442762</v>
      </c>
      <c r="U30" s="4">
        <f t="shared" si="0"/>
        <v>165239685.13229248</v>
      </c>
      <c r="V30" s="4">
        <f t="shared" si="0"/>
        <v>150490595.20960397</v>
      </c>
      <c r="W30" s="4">
        <f t="shared" si="0"/>
        <v>135372778.03884822</v>
      </c>
      <c r="X30" s="4">
        <f t="shared" si="0"/>
        <v>119877015.4388236</v>
      </c>
      <c r="Y30" s="4">
        <f t="shared" si="0"/>
        <v>103993858.77379835</v>
      </c>
      <c r="Z30" s="4">
        <f t="shared" si="0"/>
        <v>87713623.192147464</v>
      </c>
      <c r="AA30" s="4">
        <f t="shared" si="0"/>
        <v>71026381.720955312</v>
      </c>
      <c r="AB30" s="4">
        <f t="shared" si="0"/>
        <v>53921959.212983362</v>
      </c>
      <c r="AC30" s="4">
        <f t="shared" si="0"/>
        <v>36389926.142312109</v>
      </c>
      <c r="AD30" s="4">
        <f t="shared" si="0"/>
        <v>18419592.244874079</v>
      </c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</row>
    <row r="31" spans="1:238" s="7" customFormat="1">
      <c r="A31" s="149" t="s">
        <v>63</v>
      </c>
      <c r="B31" s="149"/>
      <c r="C31" s="7">
        <f>C24*(C29-C22)*$C$11/360</f>
        <v>629807.416875</v>
      </c>
      <c r="D31" s="7">
        <f>C36*(D22-C29)*$C$11/360+D24*(D29-D22)*$C$11/360</f>
        <v>2360803.6817777781</v>
      </c>
      <c r="E31" s="7">
        <f>D36*(E22-D29)*C11/360+E30*(E29-E22)*C11/360</f>
        <v>4599937.8955666674</v>
      </c>
      <c r="F31" s="7">
        <f>E36*(F22-E29)*$C$11/360+F24*(G22-F22)*$C$11/360+G24*(H22-G22)*$C$11/360+H24*(F29-H22)*$C$11/360</f>
        <v>7092451.8526499998</v>
      </c>
      <c r="G31" s="7">
        <f>F36*(G29-F29)*$C$11/360</f>
        <v>8629344.444444444</v>
      </c>
      <c r="H31" s="7">
        <f>G36*(H29-G29)*$C$11/360</f>
        <v>8271689.3842664948</v>
      </c>
      <c r="I31" s="7">
        <f t="shared" ref="I31:AD31" si="1">H36*(I29-H29)*$C$11/360</f>
        <v>8089160.7608054113</v>
      </c>
      <c r="J31" s="7">
        <f t="shared" si="1"/>
        <v>7639140.1246413998</v>
      </c>
      <c r="K31" s="7">
        <f t="shared" si="1"/>
        <v>7521630.2781821517</v>
      </c>
      <c r="L31" s="7">
        <f t="shared" si="1"/>
        <v>7227180.0493890336</v>
      </c>
      <c r="M31" s="7">
        <f t="shared" si="1"/>
        <v>6850092.819605696</v>
      </c>
      <c r="N31" s="7">
        <f t="shared" si="1"/>
        <v>6472185.4499187907</v>
      </c>
      <c r="O31" s="7">
        <f t="shared" si="1"/>
        <v>6298921.1023339061</v>
      </c>
      <c r="P31" s="7">
        <f t="shared" si="1"/>
        <v>5973903.1441445816</v>
      </c>
      <c r="Q31" s="7">
        <f t="shared" si="1"/>
        <v>5579447.1311635636</v>
      </c>
      <c r="R31" s="7">
        <f t="shared" si="1"/>
        <v>5241686.7909313692</v>
      </c>
      <c r="S31" s="7">
        <f t="shared" si="1"/>
        <v>4949278.9525471432</v>
      </c>
      <c r="T31" s="7">
        <f t="shared" si="1"/>
        <v>4590519.9406131506</v>
      </c>
      <c r="U31" s="7">
        <f t="shared" si="1"/>
        <v>4176892.0408440605</v>
      </c>
      <c r="V31" s="7">
        <f t="shared" si="1"/>
        <v>3762264.8802400995</v>
      </c>
      <c r="W31" s="7">
        <f t="shared" si="1"/>
        <v>3459526.5498816767</v>
      </c>
      <c r="X31" s="7">
        <f t="shared" si="1"/>
        <v>3063523.7278810474</v>
      </c>
      <c r="Y31" s="7">
        <f t="shared" si="1"/>
        <v>2628733.6523376806</v>
      </c>
      <c r="Z31" s="7">
        <f t="shared" si="1"/>
        <v>2192840.5798036866</v>
      </c>
      <c r="AA31" s="7">
        <f t="shared" si="1"/>
        <v>1815118.6439799692</v>
      </c>
      <c r="AB31" s="7">
        <f t="shared" si="1"/>
        <v>1378005.624331797</v>
      </c>
      <c r="AC31" s="7">
        <f t="shared" si="1"/>
        <v>919856.46637511172</v>
      </c>
      <c r="AD31" s="7">
        <f t="shared" si="1"/>
        <v>460489.80612185202</v>
      </c>
    </row>
    <row r="32" spans="1:238">
      <c r="A32" s="152" t="s">
        <v>64</v>
      </c>
      <c r="B32" s="152"/>
      <c r="C32" s="4">
        <f>C31</f>
        <v>629807.416875</v>
      </c>
      <c r="D32" s="4">
        <f>D31+C32</f>
        <v>2990611.0986527782</v>
      </c>
      <c r="E32" s="4">
        <f>E31+D32</f>
        <v>7590548.9942194456</v>
      </c>
      <c r="F32" s="4">
        <f>F31+E32</f>
        <v>14683000.846869446</v>
      </c>
      <c r="G32" s="4">
        <f t="shared" ref="G32:S32" si="2">G31+F32</f>
        <v>23312345.29131389</v>
      </c>
      <c r="H32" s="4">
        <f t="shared" si="2"/>
        <v>31584034.675580386</v>
      </c>
      <c r="I32" s="4">
        <f t="shared" si="2"/>
        <v>39673195.436385795</v>
      </c>
      <c r="J32" s="4">
        <f t="shared" si="2"/>
        <v>47312335.561027199</v>
      </c>
      <c r="K32" s="4">
        <f t="shared" si="2"/>
        <v>54833965.839209348</v>
      </c>
      <c r="L32" s="4">
        <f t="shared" si="2"/>
        <v>62061145.888598382</v>
      </c>
      <c r="M32" s="4">
        <f t="shared" si="2"/>
        <v>68911238.708204076</v>
      </c>
      <c r="N32" s="4">
        <f t="shared" si="2"/>
        <v>75383424.158122867</v>
      </c>
      <c r="O32" s="4">
        <f t="shared" si="2"/>
        <v>81682345.260456771</v>
      </c>
      <c r="P32" s="4">
        <f t="shared" si="2"/>
        <v>87656248.40460135</v>
      </c>
      <c r="Q32" s="4">
        <f t="shared" si="2"/>
        <v>93235695.535764918</v>
      </c>
      <c r="R32" s="4">
        <f t="shared" si="2"/>
        <v>98477382.326696292</v>
      </c>
      <c r="S32" s="4">
        <f t="shared" si="2"/>
        <v>103426661.27924344</v>
      </c>
      <c r="T32" s="4">
        <f t="shared" ref="T32:AC32" si="3">T31+S32</f>
        <v>108017181.21985659</v>
      </c>
      <c r="U32" s="4">
        <f t="shared" si="3"/>
        <v>112194073.26070064</v>
      </c>
      <c r="V32" s="4">
        <f t="shared" si="3"/>
        <v>115956338.14094074</v>
      </c>
      <c r="W32" s="4">
        <f t="shared" si="3"/>
        <v>119415864.69082242</v>
      </c>
      <c r="X32" s="4">
        <f t="shared" si="3"/>
        <v>122479388.41870347</v>
      </c>
      <c r="Y32" s="4">
        <f t="shared" si="3"/>
        <v>125108122.07104115</v>
      </c>
      <c r="Z32" s="4">
        <f t="shared" si="3"/>
        <v>127300962.65084484</v>
      </c>
      <c r="AA32" s="4">
        <f t="shared" si="3"/>
        <v>129116081.29482481</v>
      </c>
      <c r="AB32" s="4">
        <f t="shared" si="3"/>
        <v>130494086.91915661</v>
      </c>
      <c r="AC32" s="4">
        <f t="shared" si="3"/>
        <v>131413943.38553172</v>
      </c>
      <c r="AD32" s="4">
        <f>AD31+AC32</f>
        <v>131874433.19165358</v>
      </c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</row>
    <row r="33" spans="1:42">
      <c r="A33" s="152" t="s">
        <v>65</v>
      </c>
      <c r="B33" s="152"/>
      <c r="C33" s="4">
        <v>0</v>
      </c>
      <c r="D33" s="4">
        <v>0</v>
      </c>
      <c r="E33" s="4">
        <v>0</v>
      </c>
      <c r="F33" s="4">
        <v>0</v>
      </c>
      <c r="G33" s="4">
        <f>-PPMT($C$11/4,G28,$C$19,$G$30)</f>
        <v>10438332.050995832</v>
      </c>
      <c r="H33" s="4">
        <f>-PPMT($C$11/4,H28,$C$19,$G$30)</f>
        <v>10699290.352270728</v>
      </c>
      <c r="I33" s="4">
        <f t="shared" ref="I33:AD33" si="4">-PPMT($C$11/4,I28,$C$19,$G$30)</f>
        <v>10966772.611077495</v>
      </c>
      <c r="J33" s="4">
        <f t="shared" si="4"/>
        <v>11240941.926354432</v>
      </c>
      <c r="K33" s="4">
        <f t="shared" si="4"/>
        <v>11521965.474513294</v>
      </c>
      <c r="L33" s="4">
        <f t="shared" si="4"/>
        <v>11810014.611376125</v>
      </c>
      <c r="M33" s="4">
        <f t="shared" si="4"/>
        <v>12105264.976660529</v>
      </c>
      <c r="N33" s="4">
        <f t="shared" si="4"/>
        <v>12407896.601077043</v>
      </c>
      <c r="O33" s="4">
        <f t="shared" si="4"/>
        <v>12718094.016103968</v>
      </c>
      <c r="P33" s="4">
        <f t="shared" si="4"/>
        <v>13036046.366506567</v>
      </c>
      <c r="Q33" s="4">
        <f t="shared" si="4"/>
        <v>13361947.525669232</v>
      </c>
      <c r="R33" s="4">
        <f t="shared" si="4"/>
        <v>13695996.213810964</v>
      </c>
      <c r="S33" s="4">
        <f t="shared" si="4"/>
        <v>14038396.119156236</v>
      </c>
      <c r="T33" s="4">
        <f t="shared" si="4"/>
        <v>14389356.022135142</v>
      </c>
      <c r="U33" s="4">
        <f t="shared" si="4"/>
        <v>14749089.922688521</v>
      </c>
      <c r="V33" s="4">
        <f t="shared" si="4"/>
        <v>15117817.170755733</v>
      </c>
      <c r="W33" s="4">
        <f t="shared" si="4"/>
        <v>15495762.600024629</v>
      </c>
      <c r="X33" s="4">
        <f t="shared" si="4"/>
        <v>15883156.665025244</v>
      </c>
      <c r="Y33" s="4">
        <f t="shared" si="4"/>
        <v>16280235.581650876</v>
      </c>
      <c r="Z33" s="4">
        <f t="shared" si="4"/>
        <v>16687241.471192146</v>
      </c>
      <c r="AA33" s="4">
        <f t="shared" si="4"/>
        <v>17104422.50797195</v>
      </c>
      <c r="AB33" s="4">
        <f t="shared" si="4"/>
        <v>17532033.070671249</v>
      </c>
      <c r="AC33" s="4">
        <f t="shared" si="4"/>
        <v>17970333.897438031</v>
      </c>
      <c r="AD33" s="4">
        <f t="shared" si="4"/>
        <v>18419592.244873982</v>
      </c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 spans="1:42">
      <c r="A34" s="152" t="s">
        <v>66</v>
      </c>
      <c r="B34" s="152"/>
      <c r="C34" s="4">
        <f t="shared" ref="C34:AC34" si="5">C33+B34</f>
        <v>0</v>
      </c>
      <c r="D34" s="4">
        <f>D33+C34</f>
        <v>0</v>
      </c>
      <c r="E34" s="4">
        <f t="shared" si="5"/>
        <v>0</v>
      </c>
      <c r="F34" s="4">
        <f t="shared" si="5"/>
        <v>0</v>
      </c>
      <c r="G34" s="4">
        <f t="shared" si="5"/>
        <v>10438332.050995832</v>
      </c>
      <c r="H34" s="4">
        <f t="shared" si="5"/>
        <v>21137622.40326656</v>
      </c>
      <c r="I34" s="4">
        <f t="shared" si="5"/>
        <v>32104395.014344055</v>
      </c>
      <c r="J34" s="4">
        <f t="shared" si="5"/>
        <v>43345336.94069849</v>
      </c>
      <c r="K34" s="4">
        <f t="shared" si="5"/>
        <v>54867302.415211782</v>
      </c>
      <c r="L34" s="4">
        <f t="shared" si="5"/>
        <v>66677317.026587903</v>
      </c>
      <c r="M34" s="4">
        <f t="shared" si="5"/>
        <v>78782582.003248438</v>
      </c>
      <c r="N34" s="4">
        <f t="shared" si="5"/>
        <v>91190478.604325473</v>
      </c>
      <c r="O34" s="4">
        <f t="shared" si="5"/>
        <v>103908572.62042944</v>
      </c>
      <c r="P34" s="4">
        <f t="shared" si="5"/>
        <v>116944618.986936</v>
      </c>
      <c r="Q34" s="4">
        <f t="shared" si="5"/>
        <v>130306566.51260523</v>
      </c>
      <c r="R34" s="4">
        <f t="shared" si="5"/>
        <v>144002562.7264162</v>
      </c>
      <c r="S34" s="4">
        <f t="shared" si="5"/>
        <v>158040958.84557244</v>
      </c>
      <c r="T34" s="4">
        <f t="shared" si="5"/>
        <v>172430314.86770758</v>
      </c>
      <c r="U34" s="4">
        <f t="shared" si="5"/>
        <v>187179404.79039609</v>
      </c>
      <c r="V34" s="4">
        <f t="shared" si="5"/>
        <v>202297221.96115184</v>
      </c>
      <c r="W34" s="4">
        <f t="shared" si="5"/>
        <v>217792984.56117648</v>
      </c>
      <c r="X34" s="4">
        <f t="shared" si="5"/>
        <v>233676141.22620171</v>
      </c>
      <c r="Y34" s="4">
        <f t="shared" si="5"/>
        <v>249956376.8078526</v>
      </c>
      <c r="Z34" s="4">
        <f t="shared" si="5"/>
        <v>266643618.27904475</v>
      </c>
      <c r="AA34" s="4">
        <f t="shared" si="5"/>
        <v>283748040.78701669</v>
      </c>
      <c r="AB34" s="4">
        <f t="shared" si="5"/>
        <v>301280073.85768795</v>
      </c>
      <c r="AC34" s="4">
        <f t="shared" si="5"/>
        <v>319250407.755126</v>
      </c>
      <c r="AD34" s="4">
        <f>AD33+AC34</f>
        <v>337670000</v>
      </c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</row>
    <row r="35" spans="1:42">
      <c r="A35" s="152" t="s">
        <v>67</v>
      </c>
      <c r="B35" s="152"/>
      <c r="C35" s="8">
        <f>C31+C33</f>
        <v>629807.416875</v>
      </c>
      <c r="D35" s="8">
        <f t="shared" ref="D35:R35" si="6">D33+D31</f>
        <v>2360803.6817777781</v>
      </c>
      <c r="E35" s="8">
        <f t="shared" si="6"/>
        <v>4599937.8955666674</v>
      </c>
      <c r="F35" s="8">
        <f t="shared" si="6"/>
        <v>7092451.8526499998</v>
      </c>
      <c r="G35" s="8">
        <f t="shared" si="6"/>
        <v>19067676.495440274</v>
      </c>
      <c r="H35" s="8">
        <f t="shared" si="6"/>
        <v>18970979.736537222</v>
      </c>
      <c r="I35" s="8">
        <f t="shared" si="6"/>
        <v>19055933.371882908</v>
      </c>
      <c r="J35" s="8">
        <f t="shared" si="6"/>
        <v>18880082.050995834</v>
      </c>
      <c r="K35" s="8">
        <f t="shared" si="6"/>
        <v>19043595.752695445</v>
      </c>
      <c r="L35" s="8">
        <f t="shared" si="6"/>
        <v>19037194.66076516</v>
      </c>
      <c r="M35" s="8">
        <f t="shared" si="6"/>
        <v>18955357.796266224</v>
      </c>
      <c r="N35" s="8">
        <f t="shared" si="6"/>
        <v>18880082.050995834</v>
      </c>
      <c r="O35" s="8">
        <f t="shared" si="6"/>
        <v>19017015.118437875</v>
      </c>
      <c r="P35" s="8">
        <f t="shared" si="6"/>
        <v>19009949.510651149</v>
      </c>
      <c r="Q35" s="8">
        <f t="shared" si="6"/>
        <v>18941394.656832796</v>
      </c>
      <c r="R35" s="8">
        <f t="shared" si="6"/>
        <v>18937683.004742332</v>
      </c>
      <c r="S35" s="8">
        <f>S33+S31</f>
        <v>18987675.071703378</v>
      </c>
      <c r="T35" s="8">
        <f t="shared" ref="T35:AC35" si="7">T33+T31</f>
        <v>18979875.962748293</v>
      </c>
      <c r="U35" s="8">
        <f t="shared" si="7"/>
        <v>18925981.963532582</v>
      </c>
      <c r="V35" s="8">
        <f t="shared" si="7"/>
        <v>18880082.050995834</v>
      </c>
      <c r="W35" s="8">
        <f t="shared" si="7"/>
        <v>18955289.149906307</v>
      </c>
      <c r="X35" s="8">
        <f t="shared" si="7"/>
        <v>18946680.39290629</v>
      </c>
      <c r="Y35" s="8">
        <f t="shared" si="7"/>
        <v>18908969.233988557</v>
      </c>
      <c r="Z35" s="8">
        <f t="shared" si="7"/>
        <v>18880082.050995834</v>
      </c>
      <c r="AA35" s="8">
        <f t="shared" si="7"/>
        <v>18919541.15195192</v>
      </c>
      <c r="AB35" s="8">
        <f t="shared" si="7"/>
        <v>18910038.695003048</v>
      </c>
      <c r="AC35" s="8">
        <f t="shared" si="7"/>
        <v>18890190.363813143</v>
      </c>
      <c r="AD35" s="8">
        <f>AD33+AD31</f>
        <v>18880082.050995834</v>
      </c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pans="1:42" ht="13.5" thickBot="1">
      <c r="A36" s="153" t="s">
        <v>68</v>
      </c>
      <c r="B36" s="153"/>
      <c r="C36" s="15">
        <f t="shared" ref="C36:R36" si="8">C30-C33</f>
        <v>83974322.25</v>
      </c>
      <c r="D36" s="15">
        <f t="shared" si="8"/>
        <v>161299882.99000001</v>
      </c>
      <c r="E36" s="15">
        <f t="shared" si="8"/>
        <v>226178747.54000002</v>
      </c>
      <c r="F36" s="15">
        <f t="shared" si="8"/>
        <v>337670000</v>
      </c>
      <c r="G36" s="15">
        <f t="shared" si="8"/>
        <v>327231667.94900417</v>
      </c>
      <c r="H36" s="15">
        <f t="shared" si="8"/>
        <v>316532377.59673345</v>
      </c>
      <c r="I36" s="15">
        <f t="shared" si="8"/>
        <v>305565604.98565596</v>
      </c>
      <c r="J36" s="15">
        <f t="shared" si="8"/>
        <v>294324663.05930156</v>
      </c>
      <c r="K36" s="15">
        <f t="shared" si="8"/>
        <v>282802697.58478826</v>
      </c>
      <c r="L36" s="15">
        <f t="shared" si="8"/>
        <v>270992682.97341216</v>
      </c>
      <c r="M36" s="15">
        <f t="shared" si="8"/>
        <v>258887417.99675164</v>
      </c>
      <c r="N36" s="15">
        <f t="shared" si="8"/>
        <v>246479521.39567459</v>
      </c>
      <c r="O36" s="15">
        <f t="shared" si="8"/>
        <v>233761427.3795706</v>
      </c>
      <c r="P36" s="15">
        <f t="shared" si="8"/>
        <v>220725381.01306403</v>
      </c>
      <c r="Q36" s="15">
        <f t="shared" si="8"/>
        <v>207363433.48739481</v>
      </c>
      <c r="R36" s="15">
        <f t="shared" si="8"/>
        <v>193667437.27358386</v>
      </c>
      <c r="S36" s="15">
        <f>S30-S33</f>
        <v>179629041.15442762</v>
      </c>
      <c r="T36" s="15">
        <f t="shared" ref="T36:AC36" si="9">T30-T33</f>
        <v>165239685.13229248</v>
      </c>
      <c r="U36" s="15">
        <f t="shared" si="9"/>
        <v>150490595.20960397</v>
      </c>
      <c r="V36" s="15">
        <f t="shared" si="9"/>
        <v>135372778.03884822</v>
      </c>
      <c r="W36" s="15">
        <f t="shared" si="9"/>
        <v>119877015.4388236</v>
      </c>
      <c r="X36" s="15">
        <f t="shared" si="9"/>
        <v>103993858.77379835</v>
      </c>
      <c r="Y36" s="15">
        <f t="shared" si="9"/>
        <v>87713623.192147464</v>
      </c>
      <c r="Z36" s="15">
        <f t="shared" si="9"/>
        <v>71026381.720955312</v>
      </c>
      <c r="AA36" s="15">
        <f t="shared" si="9"/>
        <v>53921959.212983362</v>
      </c>
      <c r="AB36" s="15">
        <f t="shared" si="9"/>
        <v>36389926.142312109</v>
      </c>
      <c r="AC36" s="15">
        <f t="shared" si="9"/>
        <v>18419592.244874079</v>
      </c>
      <c r="AD36" s="15">
        <f>AD30-AD33</f>
        <v>9.6857547760009766E-8</v>
      </c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>
      <c r="C37" s="5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42"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42">
      <c r="A39" s="11" t="s">
        <v>69</v>
      </c>
      <c r="B39" s="72"/>
      <c r="C39" s="5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42">
      <c r="A40" s="154" t="s">
        <v>70</v>
      </c>
      <c r="B40" s="150"/>
      <c r="C40" s="122">
        <f>C29</f>
        <v>42536</v>
      </c>
      <c r="D40" s="122">
        <f t="shared" ref="D40:AD40" si="10">D29</f>
        <v>42628</v>
      </c>
      <c r="E40" s="122">
        <f t="shared" si="10"/>
        <v>42719</v>
      </c>
      <c r="F40" s="122">
        <f t="shared" si="10"/>
        <v>42809</v>
      </c>
      <c r="G40" s="122">
        <f t="shared" si="10"/>
        <v>42901</v>
      </c>
      <c r="H40" s="122">
        <f t="shared" si="10"/>
        <v>42992</v>
      </c>
      <c r="I40" s="122">
        <f t="shared" si="10"/>
        <v>43084</v>
      </c>
      <c r="J40" s="122">
        <f t="shared" si="10"/>
        <v>43174</v>
      </c>
      <c r="K40" s="122">
        <f t="shared" si="10"/>
        <v>43266</v>
      </c>
      <c r="L40" s="122">
        <f t="shared" si="10"/>
        <v>43358</v>
      </c>
      <c r="M40" s="122">
        <f t="shared" si="10"/>
        <v>43449</v>
      </c>
      <c r="N40" s="122">
        <f t="shared" si="10"/>
        <v>43539</v>
      </c>
      <c r="O40" s="122">
        <f t="shared" si="10"/>
        <v>43631</v>
      </c>
      <c r="P40" s="122">
        <f t="shared" si="10"/>
        <v>43723</v>
      </c>
      <c r="Q40" s="122">
        <f t="shared" si="10"/>
        <v>43814</v>
      </c>
      <c r="R40" s="122">
        <f t="shared" si="10"/>
        <v>43905</v>
      </c>
      <c r="S40" s="122">
        <f t="shared" si="10"/>
        <v>43997</v>
      </c>
      <c r="T40" s="122">
        <f t="shared" si="10"/>
        <v>44089</v>
      </c>
      <c r="U40" s="122">
        <f t="shared" si="10"/>
        <v>44180</v>
      </c>
      <c r="V40" s="122">
        <f t="shared" si="10"/>
        <v>44270</v>
      </c>
      <c r="W40" s="122">
        <f t="shared" si="10"/>
        <v>44362</v>
      </c>
      <c r="X40" s="122">
        <f t="shared" si="10"/>
        <v>44454</v>
      </c>
      <c r="Y40" s="122">
        <f t="shared" si="10"/>
        <v>44545</v>
      </c>
      <c r="Z40" s="122">
        <f t="shared" si="10"/>
        <v>44635</v>
      </c>
      <c r="AA40" s="122">
        <f t="shared" si="10"/>
        <v>44727</v>
      </c>
      <c r="AB40" s="122">
        <f t="shared" si="10"/>
        <v>44819</v>
      </c>
      <c r="AC40" s="122">
        <f t="shared" si="10"/>
        <v>44910</v>
      </c>
      <c r="AD40" s="122">
        <f t="shared" si="10"/>
        <v>45000</v>
      </c>
      <c r="AE40" s="122"/>
      <c r="AF40" s="122"/>
      <c r="AG40" s="122"/>
      <c r="AH40" s="122"/>
    </row>
    <row r="41" spans="1:42">
      <c r="A41" s="3" t="s">
        <v>71</v>
      </c>
      <c r="C41" s="4">
        <f>AVERAGE(C35)</f>
        <v>629807.416875</v>
      </c>
      <c r="D41" s="4">
        <f>AVERAGE($C$35:D35)</f>
        <v>1495305.5493263891</v>
      </c>
      <c r="E41" s="4">
        <f>AVERAGE($C$35:E35)</f>
        <v>2530182.9980731485</v>
      </c>
      <c r="F41" s="4">
        <f>AVERAGE($C$35:F35)</f>
        <v>3670750.2117173616</v>
      </c>
      <c r="G41" s="4">
        <f>AVERAGE(G35)</f>
        <v>19067676.495440274</v>
      </c>
      <c r="H41" s="4">
        <f>AVERAGE($G$35:H35)</f>
        <v>19019328.115988746</v>
      </c>
      <c r="I41" s="4">
        <f>AVERAGE($G$35:I35)</f>
        <v>19031529.867953468</v>
      </c>
      <c r="J41" s="4">
        <f>AVERAGE($G$35:J35)</f>
        <v>18993667.913714059</v>
      </c>
      <c r="K41" s="4">
        <f>AVERAGE($G$35:K35)</f>
        <v>19003653.481510334</v>
      </c>
      <c r="L41" s="4">
        <f>AVERAGE($G$35:L35)</f>
        <v>19009243.678052805</v>
      </c>
      <c r="M41" s="4">
        <f>AVERAGE($G$35:M35)</f>
        <v>19001545.694940437</v>
      </c>
      <c r="N41" s="4">
        <f>AVERAGE($G$35:N35)</f>
        <v>18986362.739447363</v>
      </c>
      <c r="O41" s="4">
        <f>AVERAGE($G$35:O35)</f>
        <v>18989768.559335198</v>
      </c>
      <c r="P41" s="4">
        <f>AVERAGE($G$35:P35)</f>
        <v>18991786.654466793</v>
      </c>
      <c r="Q41" s="4">
        <f>AVERAGE($G$35:Q35)</f>
        <v>18987205.563772794</v>
      </c>
      <c r="R41" s="4">
        <f>AVERAGE($G$35:R35)</f>
        <v>18983078.683853585</v>
      </c>
      <c r="S41" s="4">
        <f>AVERAGE($G$35:S35)</f>
        <v>18983432.252149723</v>
      </c>
      <c r="T41" s="4">
        <f>AVERAGE($G$35:T35)</f>
        <v>18983178.231478192</v>
      </c>
      <c r="U41" s="4">
        <f>AVERAGE($G$35:U35)</f>
        <v>18979365.146948483</v>
      </c>
      <c r="V41" s="4">
        <f>AVERAGE($G$35:V35)</f>
        <v>18973159.953451443</v>
      </c>
      <c r="W41" s="4">
        <f>AVERAGE($G$35:W35)</f>
        <v>18972108.729713496</v>
      </c>
      <c r="X41" s="4">
        <f>AVERAGE($G$35:X35)</f>
        <v>18970696.044335321</v>
      </c>
      <c r="Y41" s="4">
        <f>AVERAGE($G$35:Y35)</f>
        <v>18967447.264843386</v>
      </c>
      <c r="Z41" s="4">
        <f>AVERAGE($G$35:Z35)</f>
        <v>18963079.004151009</v>
      </c>
      <c r="AA41" s="4">
        <f>AVERAGE($G$35:AA35)</f>
        <v>18961005.773093909</v>
      </c>
      <c r="AB41" s="4">
        <f>AVERAGE($G$35:AB35)</f>
        <v>18958689.087726142</v>
      </c>
      <c r="AC41" s="4">
        <f>AVERAGE($G$35:AC35)</f>
        <v>18955710.882338621</v>
      </c>
      <c r="AD41" s="4">
        <f>AVERAGE($G$35:AD35)</f>
        <v>18952559.681032669</v>
      </c>
      <c r="AE41" s="4"/>
      <c r="AF41" s="4"/>
      <c r="AG41" s="4"/>
      <c r="AH41" s="4"/>
    </row>
    <row r="42" spans="1:42">
      <c r="C42" s="5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42">
      <c r="A43" s="11" t="s">
        <v>72</v>
      </c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42">
      <c r="A44" s="150" t="s">
        <v>70</v>
      </c>
      <c r="B44" s="150"/>
      <c r="C44" s="122">
        <v>42038</v>
      </c>
      <c r="D44" s="122">
        <f>EDATE(C44,12)</f>
        <v>42403</v>
      </c>
      <c r="E44" s="122">
        <f t="shared" ref="E44:K44" si="11">EDATE(D44,12)</f>
        <v>42769</v>
      </c>
      <c r="F44" s="122">
        <f t="shared" si="11"/>
        <v>43134</v>
      </c>
      <c r="G44" s="122">
        <f t="shared" si="11"/>
        <v>43499</v>
      </c>
      <c r="H44" s="122">
        <f t="shared" si="11"/>
        <v>43864</v>
      </c>
      <c r="I44" s="122">
        <f t="shared" si="11"/>
        <v>44230</v>
      </c>
      <c r="J44" s="122">
        <f t="shared" si="11"/>
        <v>44595</v>
      </c>
      <c r="K44" s="122">
        <f t="shared" si="11"/>
        <v>44960</v>
      </c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</row>
    <row r="45" spans="1:42">
      <c r="A45" s="3" t="s">
        <v>73</v>
      </c>
      <c r="C45" s="135">
        <v>200000</v>
      </c>
      <c r="D45" s="135">
        <v>200000</v>
      </c>
      <c r="E45" s="135">
        <v>200000</v>
      </c>
      <c r="F45" s="135">
        <v>200000</v>
      </c>
      <c r="G45" s="135">
        <v>200000</v>
      </c>
      <c r="H45" s="135">
        <v>200000</v>
      </c>
      <c r="I45" s="135">
        <v>200000</v>
      </c>
      <c r="J45" s="135">
        <v>200000</v>
      </c>
      <c r="K45" s="135">
        <v>200000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 spans="1:42">
      <c r="C46" s="5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42">
      <c r="F47" s="7"/>
    </row>
  </sheetData>
  <mergeCells count="10">
    <mergeCell ref="A40:B40"/>
    <mergeCell ref="A44:B44"/>
    <mergeCell ref="A35:B35"/>
    <mergeCell ref="A36:B36"/>
    <mergeCell ref="A29:B29"/>
    <mergeCell ref="A30:B30"/>
    <mergeCell ref="A31:B31"/>
    <mergeCell ref="A32:B32"/>
    <mergeCell ref="A33:B33"/>
    <mergeCell ref="A34:B34"/>
  </mergeCells>
  <phoneticPr fontId="0" type="noConversion"/>
  <pageMargins left="0.42" right="0.28000000000000003" top="0.25" bottom="0.21" header="0.23" footer="0.19"/>
  <pageSetup paperSize="9" scale="90" orientation="landscape" horizontalDpi="4294967292" verticalDpi="1200" r:id="rId1"/>
  <headerFooter alignWithMargins="0"/>
  <ignoredErrors>
    <ignoredError sqref="C37 B37 D37:T37 C34 F35:F36 C35:E36 Y30 C24 G35:G36 H35:M36 G32:M32 G30:M30 G34:M34 N32:S32 X30 N35:S36 T35:X36 N30:W30 N34:X34 T32:X32 Y32 Y34:Y36 AC32:AD32 Z34:AA34 Z30:AD30 Z35:AD36 AB34:AD34 Z32:AB32 E34:F34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R40"/>
  <sheetViews>
    <sheetView showGridLines="0" topLeftCell="D10" workbookViewId="0">
      <selection activeCell="N25" sqref="N25"/>
    </sheetView>
  </sheetViews>
  <sheetFormatPr defaultColWidth="9.5703125" defaultRowHeight="13.5"/>
  <cols>
    <col min="1" max="1" width="29" style="21" bestFit="1" customWidth="1"/>
    <col min="2" max="2" width="13.42578125" style="21" customWidth="1"/>
    <col min="3" max="3" width="12" style="21" customWidth="1"/>
    <col min="4" max="4" width="10.85546875" style="21" customWidth="1"/>
    <col min="5" max="5" width="11.28515625" style="21" bestFit="1" customWidth="1"/>
    <col min="6" max="6" width="11.42578125" style="21" customWidth="1"/>
    <col min="7" max="7" width="11" style="21" customWidth="1"/>
    <col min="8" max="12" width="11" style="21" bestFit="1" customWidth="1"/>
    <col min="13" max="30" width="10.85546875" style="21" bestFit="1" customWidth="1"/>
    <col min="31" max="31" width="9.85546875" style="21" bestFit="1" customWidth="1"/>
    <col min="32" max="58" width="10.85546875" style="21" bestFit="1" customWidth="1"/>
    <col min="59" max="60" width="10.140625" style="21" bestFit="1" customWidth="1"/>
    <col min="61" max="85" width="9.5703125" style="21" bestFit="1" customWidth="1"/>
    <col min="86" max="86" width="10.85546875" style="21" bestFit="1" customWidth="1"/>
    <col min="87" max="211" width="9.5703125" style="21" bestFit="1" customWidth="1"/>
    <col min="212" max="16384" width="9.5703125" style="21"/>
  </cols>
  <sheetData>
    <row r="1" spans="1:58" s="17" customFormat="1" ht="16.5">
      <c r="A1" s="16" t="s">
        <v>41</v>
      </c>
      <c r="B1" s="105" t="str">
        <f>PABL_Loan!C1</f>
        <v>Pretty Auto Bricks Ltd.</v>
      </c>
    </row>
    <row r="3" spans="1:58" s="19" customFormat="1" ht="18.75">
      <c r="A3" s="18" t="s">
        <v>74</v>
      </c>
    </row>
    <row r="4" spans="1:58" s="17" customFormat="1" ht="16.5">
      <c r="A4" s="16"/>
    </row>
    <row r="5" spans="1:58" s="20" customFormat="1" ht="15">
      <c r="A5" s="20" t="s">
        <v>42</v>
      </c>
      <c r="B5" s="103">
        <f>PABL_Loan!C3</f>
        <v>41673</v>
      </c>
    </row>
    <row r="6" spans="1:58">
      <c r="B6" s="50"/>
    </row>
    <row r="7" spans="1:58" ht="15">
      <c r="A7" s="20" t="s">
        <v>43</v>
      </c>
      <c r="B7" s="104">
        <f>PABL_Loan!C5</f>
        <v>337670000</v>
      </c>
      <c r="C7" s="20" t="s">
        <v>3</v>
      </c>
    </row>
    <row r="8" spans="1:58" ht="15">
      <c r="A8" s="20"/>
      <c r="B8" s="50"/>
    </row>
    <row r="9" spans="1:58" ht="15">
      <c r="A9" s="20" t="s">
        <v>75</v>
      </c>
      <c r="B9" s="103">
        <f>PABL_Loan!C7</f>
        <v>42509</v>
      </c>
    </row>
    <row r="10" spans="1:58" ht="15">
      <c r="A10" s="20"/>
      <c r="B10" s="50"/>
    </row>
    <row r="11" spans="1:58" ht="15">
      <c r="A11" s="20" t="s">
        <v>51</v>
      </c>
      <c r="B11" s="68">
        <v>0.1</v>
      </c>
    </row>
    <row r="12" spans="1:58" ht="15">
      <c r="A12" s="20" t="s">
        <v>52</v>
      </c>
      <c r="B12" s="50" t="s">
        <v>53</v>
      </c>
    </row>
    <row r="13" spans="1:58" ht="15">
      <c r="A13" s="20" t="s">
        <v>55</v>
      </c>
      <c r="B13" s="124">
        <v>360</v>
      </c>
      <c r="C13" s="21" t="s">
        <v>76</v>
      </c>
    </row>
    <row r="14" spans="1:58" ht="15">
      <c r="A14" s="20" t="s">
        <v>16</v>
      </c>
      <c r="B14" s="126" t="str">
        <f>PABL_Loan!C15</f>
        <v>Annuity</v>
      </c>
      <c r="C14" s="125"/>
    </row>
    <row r="15" spans="1:58" ht="15">
      <c r="A15" s="20"/>
      <c r="B15" s="12"/>
    </row>
    <row r="16" spans="1:58" s="22" customFormat="1">
      <c r="A16" s="56" t="s">
        <v>58</v>
      </c>
      <c r="B16" s="53"/>
      <c r="C16" s="55"/>
      <c r="D16" s="3"/>
      <c r="E16" s="3"/>
      <c r="F16" s="3"/>
      <c r="G16" s="3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</row>
    <row r="17" spans="1:122">
      <c r="A17" s="58"/>
      <c r="B17" s="59"/>
      <c r="C17" s="59">
        <f>PABL_Loan!C22</f>
        <v>42509</v>
      </c>
      <c r="D17" s="59">
        <f>PABL_Loan!D22</f>
        <v>42618</v>
      </c>
      <c r="E17" s="59">
        <f>PABL_Loan!E22</f>
        <v>42690</v>
      </c>
      <c r="F17" s="59">
        <f>PABL_Loan!F22</f>
        <v>42732</v>
      </c>
      <c r="G17" s="59">
        <f>PABL_Loan!G22</f>
        <v>42745</v>
      </c>
      <c r="H17" s="59">
        <f>PABL_Loan!H22</f>
        <v>42801</v>
      </c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</row>
    <row r="18" spans="1:122">
      <c r="A18" s="60"/>
      <c r="B18" s="61"/>
      <c r="C18" s="106">
        <f>PABL_Loan!C23</f>
        <v>83974322.25</v>
      </c>
      <c r="D18" s="106">
        <f>PABL_Loan!D23</f>
        <v>77325560.739999995</v>
      </c>
      <c r="E18" s="106">
        <f>PABL_Loan!E23</f>
        <v>64878864.549999997</v>
      </c>
      <c r="F18" s="106">
        <f>PABL_Loan!F23</f>
        <v>46696351.340000004</v>
      </c>
      <c r="G18" s="106">
        <f>PABL_Loan!G23</f>
        <v>18977877.300000001</v>
      </c>
      <c r="H18" s="106">
        <f>PABL_Loan!H23</f>
        <v>45817023.82</v>
      </c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29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29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</row>
    <row r="19" spans="1:122" s="22" customFormat="1" ht="13.5" customHeight="1">
      <c r="A19" s="62"/>
      <c r="B19" s="63"/>
      <c r="C19" s="107">
        <f>C18</f>
        <v>83974322.25</v>
      </c>
      <c r="D19" s="107">
        <f>C19+D18</f>
        <v>161299882.99000001</v>
      </c>
      <c r="E19" s="107">
        <f>D19+E18</f>
        <v>226178747.54000002</v>
      </c>
      <c r="F19" s="107">
        <f>E19+F18</f>
        <v>272875098.88</v>
      </c>
      <c r="G19" s="107">
        <f>F19+G18</f>
        <v>291852976.18000001</v>
      </c>
      <c r="H19" s="107">
        <f>G19+H18</f>
        <v>337670000</v>
      </c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</row>
    <row r="20" spans="1:122" s="22" customFormat="1" ht="13.5" customHeight="1">
      <c r="A20" s="20"/>
      <c r="B20" s="23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9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I20" s="29"/>
    </row>
    <row r="21" spans="1:122" s="22" customFormat="1">
      <c r="A21" s="21"/>
      <c r="B21" s="24"/>
      <c r="C21" s="24"/>
      <c r="D21" s="24"/>
      <c r="E21" s="25"/>
      <c r="F21" s="26"/>
      <c r="G21" s="26"/>
      <c r="H21" s="26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</row>
    <row r="22" spans="1:122" s="22" customFormat="1" ht="15">
      <c r="A22" s="20" t="s">
        <v>77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122" s="22" customFormat="1" ht="15">
      <c r="A23" s="27" t="s">
        <v>78</v>
      </c>
      <c r="B23" s="28"/>
      <c r="C23" s="28"/>
      <c r="D23" s="102">
        <v>42522</v>
      </c>
      <c r="E23" s="102">
        <f t="shared" ref="E23:BP23" si="0">EDATE(D23,1)</f>
        <v>42552</v>
      </c>
      <c r="F23" s="102">
        <f t="shared" si="0"/>
        <v>42583</v>
      </c>
      <c r="G23" s="102">
        <f t="shared" si="0"/>
        <v>42614</v>
      </c>
      <c r="H23" s="102">
        <f t="shared" si="0"/>
        <v>42644</v>
      </c>
      <c r="I23" s="102">
        <f t="shared" si="0"/>
        <v>42675</v>
      </c>
      <c r="J23" s="102">
        <f t="shared" si="0"/>
        <v>42705</v>
      </c>
      <c r="K23" s="102">
        <f t="shared" si="0"/>
        <v>42736</v>
      </c>
      <c r="L23" s="102">
        <f t="shared" si="0"/>
        <v>42767</v>
      </c>
      <c r="M23" s="102">
        <f t="shared" si="0"/>
        <v>42795</v>
      </c>
      <c r="N23" s="102">
        <f t="shared" si="0"/>
        <v>42826</v>
      </c>
      <c r="O23" s="102">
        <f t="shared" si="0"/>
        <v>42856</v>
      </c>
      <c r="P23" s="102">
        <f t="shared" si="0"/>
        <v>42887</v>
      </c>
      <c r="Q23" s="102">
        <f t="shared" si="0"/>
        <v>42917</v>
      </c>
      <c r="R23" s="102">
        <f t="shared" si="0"/>
        <v>42948</v>
      </c>
      <c r="S23" s="102">
        <f t="shared" si="0"/>
        <v>42979</v>
      </c>
      <c r="T23" s="102">
        <f t="shared" si="0"/>
        <v>43009</v>
      </c>
      <c r="U23" s="102">
        <f t="shared" si="0"/>
        <v>43040</v>
      </c>
      <c r="V23" s="102">
        <f t="shared" si="0"/>
        <v>43070</v>
      </c>
      <c r="W23" s="102">
        <f t="shared" si="0"/>
        <v>43101</v>
      </c>
      <c r="X23" s="102">
        <f t="shared" si="0"/>
        <v>43132</v>
      </c>
      <c r="Y23" s="102">
        <f t="shared" si="0"/>
        <v>43160</v>
      </c>
      <c r="Z23" s="102">
        <f t="shared" si="0"/>
        <v>43191</v>
      </c>
      <c r="AA23" s="102">
        <f t="shared" si="0"/>
        <v>43221</v>
      </c>
      <c r="AB23" s="102">
        <f t="shared" si="0"/>
        <v>43252</v>
      </c>
      <c r="AC23" s="102">
        <f t="shared" si="0"/>
        <v>43282</v>
      </c>
      <c r="AD23" s="102">
        <f t="shared" si="0"/>
        <v>43313</v>
      </c>
      <c r="AE23" s="102">
        <f t="shared" si="0"/>
        <v>43344</v>
      </c>
      <c r="AF23" s="102">
        <f t="shared" si="0"/>
        <v>43374</v>
      </c>
      <c r="AG23" s="102">
        <f t="shared" si="0"/>
        <v>43405</v>
      </c>
      <c r="AH23" s="102">
        <f t="shared" si="0"/>
        <v>43435</v>
      </c>
      <c r="AI23" s="102">
        <f t="shared" si="0"/>
        <v>43466</v>
      </c>
      <c r="AJ23" s="102">
        <f t="shared" si="0"/>
        <v>43497</v>
      </c>
      <c r="AK23" s="102">
        <f t="shared" si="0"/>
        <v>43525</v>
      </c>
      <c r="AL23" s="102">
        <f t="shared" si="0"/>
        <v>43556</v>
      </c>
      <c r="AM23" s="102">
        <f t="shared" si="0"/>
        <v>43586</v>
      </c>
      <c r="AN23" s="102">
        <f t="shared" si="0"/>
        <v>43617</v>
      </c>
      <c r="AO23" s="102">
        <f t="shared" si="0"/>
        <v>43647</v>
      </c>
      <c r="AP23" s="102">
        <f t="shared" si="0"/>
        <v>43678</v>
      </c>
      <c r="AQ23" s="102">
        <f t="shared" si="0"/>
        <v>43709</v>
      </c>
      <c r="AR23" s="102">
        <f t="shared" si="0"/>
        <v>43739</v>
      </c>
      <c r="AS23" s="102">
        <f t="shared" si="0"/>
        <v>43770</v>
      </c>
      <c r="AT23" s="102">
        <f t="shared" si="0"/>
        <v>43800</v>
      </c>
      <c r="AU23" s="102">
        <f t="shared" si="0"/>
        <v>43831</v>
      </c>
      <c r="AV23" s="102">
        <f t="shared" si="0"/>
        <v>43862</v>
      </c>
      <c r="AW23" s="102">
        <f t="shared" si="0"/>
        <v>43891</v>
      </c>
      <c r="AX23" s="102">
        <f t="shared" si="0"/>
        <v>43922</v>
      </c>
      <c r="AY23" s="102">
        <f t="shared" si="0"/>
        <v>43952</v>
      </c>
      <c r="AZ23" s="102">
        <f t="shared" si="0"/>
        <v>43983</v>
      </c>
      <c r="BA23" s="102">
        <f t="shared" si="0"/>
        <v>44013</v>
      </c>
      <c r="BB23" s="102">
        <f t="shared" si="0"/>
        <v>44044</v>
      </c>
      <c r="BC23" s="102">
        <f t="shared" si="0"/>
        <v>44075</v>
      </c>
      <c r="BD23" s="102">
        <f t="shared" si="0"/>
        <v>44105</v>
      </c>
      <c r="BE23" s="102">
        <f t="shared" si="0"/>
        <v>44136</v>
      </c>
      <c r="BF23" s="102">
        <f t="shared" si="0"/>
        <v>44166</v>
      </c>
      <c r="BG23" s="102">
        <f t="shared" si="0"/>
        <v>44197</v>
      </c>
      <c r="BH23" s="102">
        <f t="shared" si="0"/>
        <v>44228</v>
      </c>
      <c r="BI23" s="102">
        <f t="shared" si="0"/>
        <v>44256</v>
      </c>
      <c r="BJ23" s="102">
        <f t="shared" si="0"/>
        <v>44287</v>
      </c>
      <c r="BK23" s="102">
        <f t="shared" si="0"/>
        <v>44317</v>
      </c>
      <c r="BL23" s="102">
        <f t="shared" si="0"/>
        <v>44348</v>
      </c>
      <c r="BM23" s="102">
        <f t="shared" si="0"/>
        <v>44378</v>
      </c>
      <c r="BN23" s="102">
        <f t="shared" si="0"/>
        <v>44409</v>
      </c>
      <c r="BO23" s="102">
        <f t="shared" si="0"/>
        <v>44440</v>
      </c>
      <c r="BP23" s="102">
        <f t="shared" si="0"/>
        <v>44470</v>
      </c>
      <c r="BQ23" s="102">
        <f t="shared" ref="BQ23:CH23" si="1">EDATE(BP23,1)</f>
        <v>44501</v>
      </c>
      <c r="BR23" s="102">
        <f t="shared" si="1"/>
        <v>44531</v>
      </c>
      <c r="BS23" s="102">
        <f t="shared" si="1"/>
        <v>44562</v>
      </c>
      <c r="BT23" s="102">
        <f t="shared" si="1"/>
        <v>44593</v>
      </c>
      <c r="BU23" s="102">
        <f t="shared" si="1"/>
        <v>44621</v>
      </c>
      <c r="BV23" s="102">
        <f t="shared" si="1"/>
        <v>44652</v>
      </c>
      <c r="BW23" s="102">
        <f t="shared" si="1"/>
        <v>44682</v>
      </c>
      <c r="BX23" s="102">
        <f t="shared" si="1"/>
        <v>44713</v>
      </c>
      <c r="BY23" s="102">
        <f t="shared" si="1"/>
        <v>44743</v>
      </c>
      <c r="BZ23" s="102">
        <f t="shared" si="1"/>
        <v>44774</v>
      </c>
      <c r="CA23" s="102">
        <f t="shared" si="1"/>
        <v>44805</v>
      </c>
      <c r="CB23" s="102">
        <f t="shared" si="1"/>
        <v>44835</v>
      </c>
      <c r="CC23" s="102">
        <f t="shared" si="1"/>
        <v>44866</v>
      </c>
      <c r="CD23" s="102">
        <f t="shared" si="1"/>
        <v>44896</v>
      </c>
      <c r="CE23" s="102">
        <f t="shared" si="1"/>
        <v>44927</v>
      </c>
      <c r="CF23" s="102">
        <f t="shared" si="1"/>
        <v>44958</v>
      </c>
      <c r="CG23" s="102">
        <f t="shared" si="1"/>
        <v>44986</v>
      </c>
      <c r="CH23" s="102">
        <f t="shared" si="1"/>
        <v>45017</v>
      </c>
      <c r="CI23" s="102"/>
      <c r="CJ23" s="102"/>
      <c r="CK23" s="102"/>
      <c r="CL23" s="102"/>
      <c r="CM23" s="102"/>
      <c r="CN23" s="102"/>
      <c r="CO23" s="102"/>
      <c r="CP23" s="102"/>
      <c r="CQ23" s="102"/>
      <c r="CR23" s="102"/>
      <c r="CS23" s="102"/>
      <c r="CT23" s="102"/>
      <c r="CU23" s="102"/>
      <c r="CV23" s="102"/>
      <c r="CW23" s="102"/>
      <c r="CX23" s="102"/>
      <c r="CY23" s="102"/>
      <c r="CZ23" s="102"/>
      <c r="DA23" s="102"/>
      <c r="DB23" s="102"/>
      <c r="DC23" s="102"/>
      <c r="DD23" s="102"/>
      <c r="DE23" s="102"/>
      <c r="DF23" s="102"/>
      <c r="DG23" s="102"/>
      <c r="DH23" s="102"/>
      <c r="DI23" s="102"/>
      <c r="DJ23" s="102"/>
      <c r="DK23" s="102"/>
      <c r="DL23" s="102"/>
      <c r="DM23" s="102"/>
      <c r="DN23" s="102"/>
      <c r="DO23" s="102"/>
      <c r="DP23" s="102"/>
      <c r="DQ23" s="102"/>
      <c r="DR23" s="102"/>
    </row>
    <row r="24" spans="1:122" s="22" customFormat="1">
      <c r="A24" s="21" t="s">
        <v>62</v>
      </c>
      <c r="B24" s="29"/>
      <c r="C24" s="29"/>
      <c r="D24" s="24">
        <f>C18</f>
        <v>83974322.25</v>
      </c>
      <c r="E24" s="108">
        <f>D30</f>
        <v>83974322.25</v>
      </c>
      <c r="F24" s="108">
        <f>E30</f>
        <v>83974322.25</v>
      </c>
      <c r="G24" s="24">
        <f t="shared" ref="G24:I24" si="2">F30</f>
        <v>83974322.25</v>
      </c>
      <c r="H24" s="24">
        <f>G30+D18</f>
        <v>161299882.99000001</v>
      </c>
      <c r="I24" s="24">
        <f t="shared" si="2"/>
        <v>161299882.99000001</v>
      </c>
      <c r="J24" s="24">
        <f>I30+E18</f>
        <v>226178747.54000002</v>
      </c>
      <c r="K24" s="24">
        <f>J30+F18</f>
        <v>272875098.88</v>
      </c>
      <c r="L24" s="24">
        <f>K30+G18</f>
        <v>291852976.18000001</v>
      </c>
      <c r="M24" s="24">
        <f t="shared" ref="M24:BE24" si="3">L30</f>
        <v>291852976.18000001</v>
      </c>
      <c r="N24" s="24">
        <f>M30+H18</f>
        <v>337670000</v>
      </c>
      <c r="O24" s="24">
        <f t="shared" si="3"/>
        <v>337670000</v>
      </c>
      <c r="P24" s="24">
        <f t="shared" si="3"/>
        <v>337670000</v>
      </c>
      <c r="Q24" s="24">
        <f t="shared" si="3"/>
        <v>337670000</v>
      </c>
      <c r="R24" s="24">
        <f t="shared" si="3"/>
        <v>327231667.94900417</v>
      </c>
      <c r="S24" s="24">
        <f t="shared" si="3"/>
        <v>327231667.94900417</v>
      </c>
      <c r="T24" s="24">
        <f t="shared" si="3"/>
        <v>327231667.94900417</v>
      </c>
      <c r="U24" s="24">
        <f t="shared" si="3"/>
        <v>316532377.59673345</v>
      </c>
      <c r="V24" s="24">
        <f t="shared" si="3"/>
        <v>316532377.59673345</v>
      </c>
      <c r="W24" s="24">
        <f t="shared" si="3"/>
        <v>316532377.59673345</v>
      </c>
      <c r="X24" s="24">
        <f t="shared" si="3"/>
        <v>305565604.98565596</v>
      </c>
      <c r="Y24" s="24">
        <f t="shared" si="3"/>
        <v>305565604.98565596</v>
      </c>
      <c r="Z24" s="24">
        <f t="shared" si="3"/>
        <v>305565604.98565596</v>
      </c>
      <c r="AA24" s="24">
        <f t="shared" si="3"/>
        <v>294324663.05930156</v>
      </c>
      <c r="AB24" s="24">
        <f t="shared" si="3"/>
        <v>294324663.05930156</v>
      </c>
      <c r="AC24" s="24">
        <f t="shared" si="3"/>
        <v>294324663.05930156</v>
      </c>
      <c r="AD24" s="24">
        <f t="shared" si="3"/>
        <v>282802697.58478826</v>
      </c>
      <c r="AE24" s="24">
        <f t="shared" si="3"/>
        <v>282802697.58478826</v>
      </c>
      <c r="AF24" s="24">
        <f t="shared" si="3"/>
        <v>282802697.58478826</v>
      </c>
      <c r="AG24" s="24">
        <f t="shared" si="3"/>
        <v>270992682.97341216</v>
      </c>
      <c r="AH24" s="24">
        <f t="shared" si="3"/>
        <v>270992682.97341216</v>
      </c>
      <c r="AI24" s="24">
        <f t="shared" si="3"/>
        <v>270992682.97341216</v>
      </c>
      <c r="AJ24" s="24">
        <f t="shared" si="3"/>
        <v>258887417.99675164</v>
      </c>
      <c r="AK24" s="24">
        <f t="shared" si="3"/>
        <v>258887417.99675164</v>
      </c>
      <c r="AL24" s="24">
        <f t="shared" si="3"/>
        <v>258887417.99675164</v>
      </c>
      <c r="AM24" s="24">
        <f t="shared" si="3"/>
        <v>246479521.39567459</v>
      </c>
      <c r="AN24" s="24">
        <f t="shared" si="3"/>
        <v>246479521.39567459</v>
      </c>
      <c r="AO24" s="24">
        <f t="shared" si="3"/>
        <v>246479521.39567459</v>
      </c>
      <c r="AP24" s="24">
        <f t="shared" si="3"/>
        <v>233761427.3795706</v>
      </c>
      <c r="AQ24" s="24">
        <f t="shared" si="3"/>
        <v>233761427.3795706</v>
      </c>
      <c r="AR24" s="24">
        <f t="shared" si="3"/>
        <v>233761427.3795706</v>
      </c>
      <c r="AS24" s="24">
        <f t="shared" si="3"/>
        <v>220725381.01306403</v>
      </c>
      <c r="AT24" s="24">
        <f t="shared" si="3"/>
        <v>220725381.01306403</v>
      </c>
      <c r="AU24" s="24">
        <f t="shared" si="3"/>
        <v>220725381.01306403</v>
      </c>
      <c r="AV24" s="24">
        <f t="shared" si="3"/>
        <v>207363433.48739481</v>
      </c>
      <c r="AW24" s="24">
        <f t="shared" si="3"/>
        <v>207363433.48739481</v>
      </c>
      <c r="AX24" s="24">
        <f t="shared" si="3"/>
        <v>207363433.48739481</v>
      </c>
      <c r="AY24" s="24">
        <f t="shared" si="3"/>
        <v>193667437.27358386</v>
      </c>
      <c r="AZ24" s="24">
        <f t="shared" si="3"/>
        <v>193667437.27358386</v>
      </c>
      <c r="BA24" s="24">
        <f t="shared" si="3"/>
        <v>193667437.27358386</v>
      </c>
      <c r="BB24" s="24">
        <f t="shared" si="3"/>
        <v>179629041.15442762</v>
      </c>
      <c r="BC24" s="24">
        <f t="shared" si="3"/>
        <v>179629041.15442762</v>
      </c>
      <c r="BD24" s="24">
        <f t="shared" si="3"/>
        <v>179629041.15442762</v>
      </c>
      <c r="BE24" s="24">
        <f t="shared" si="3"/>
        <v>165239685.13229248</v>
      </c>
      <c r="BF24" s="24">
        <f t="shared" ref="BF24:BU24" si="4">BE30</f>
        <v>165239685.13229248</v>
      </c>
      <c r="BG24" s="24">
        <f t="shared" si="4"/>
        <v>165239685.13229248</v>
      </c>
      <c r="BH24" s="24">
        <f t="shared" si="4"/>
        <v>150490595.20960397</v>
      </c>
      <c r="BI24" s="24">
        <f t="shared" si="4"/>
        <v>150490595.20960397</v>
      </c>
      <c r="BJ24" s="24">
        <f t="shared" si="4"/>
        <v>150490595.20960397</v>
      </c>
      <c r="BK24" s="24">
        <f t="shared" si="4"/>
        <v>135372778.03884822</v>
      </c>
      <c r="BL24" s="24">
        <f t="shared" si="4"/>
        <v>135372778.03884822</v>
      </c>
      <c r="BM24" s="24">
        <f t="shared" si="4"/>
        <v>135372778.03884822</v>
      </c>
      <c r="BN24" s="24">
        <f t="shared" si="4"/>
        <v>119877015.4388236</v>
      </c>
      <c r="BO24" s="24">
        <f t="shared" si="4"/>
        <v>119877015.4388236</v>
      </c>
      <c r="BP24" s="24">
        <f t="shared" si="4"/>
        <v>119877015.4388236</v>
      </c>
      <c r="BQ24" s="24">
        <f t="shared" si="4"/>
        <v>103993858.77379835</v>
      </c>
      <c r="BR24" s="24">
        <f t="shared" si="4"/>
        <v>103993858.77379835</v>
      </c>
      <c r="BS24" s="24">
        <f t="shared" si="4"/>
        <v>103993858.77379835</v>
      </c>
      <c r="BT24" s="24">
        <f t="shared" si="4"/>
        <v>87713623.192147464</v>
      </c>
      <c r="BU24" s="24">
        <f t="shared" si="4"/>
        <v>87713623.192147464</v>
      </c>
      <c r="BV24" s="24">
        <f t="shared" ref="BV24:CG24" si="5">BU30</f>
        <v>87713623.192147464</v>
      </c>
      <c r="BW24" s="24">
        <f t="shared" si="5"/>
        <v>71026381.720955312</v>
      </c>
      <c r="BX24" s="24">
        <f t="shared" si="5"/>
        <v>71026381.720955312</v>
      </c>
      <c r="BY24" s="24">
        <f t="shared" si="5"/>
        <v>71026381.720955312</v>
      </c>
      <c r="BZ24" s="24">
        <f t="shared" si="5"/>
        <v>53921959.212983362</v>
      </c>
      <c r="CA24" s="24">
        <f t="shared" si="5"/>
        <v>53921959.212983362</v>
      </c>
      <c r="CB24" s="24">
        <f t="shared" si="5"/>
        <v>53921959.212983362</v>
      </c>
      <c r="CC24" s="24">
        <f t="shared" si="5"/>
        <v>36389926.142312109</v>
      </c>
      <c r="CD24" s="24">
        <f t="shared" si="5"/>
        <v>36389926.142312109</v>
      </c>
      <c r="CE24" s="24">
        <f t="shared" si="5"/>
        <v>36389926.142312109</v>
      </c>
      <c r="CF24" s="24">
        <f t="shared" si="5"/>
        <v>18419592.244874079</v>
      </c>
      <c r="CG24" s="24">
        <f t="shared" si="5"/>
        <v>18419592.244874079</v>
      </c>
      <c r="CH24" s="24">
        <f t="shared" ref="CH24" si="6">CG30</f>
        <v>18419592.244874079</v>
      </c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</row>
    <row r="25" spans="1:122" s="22" customFormat="1">
      <c r="A25" s="21" t="s">
        <v>63</v>
      </c>
      <c r="B25" s="24"/>
      <c r="C25" s="24"/>
      <c r="D25" s="24">
        <f>D24*(D23-C17)*$B$11/360</f>
        <v>303240.60812500003</v>
      </c>
      <c r="E25" s="24">
        <f>E24*(E23-D23)*$B$11/360</f>
        <v>699786.01875000005</v>
      </c>
      <c r="F25" s="24">
        <f>F24*(F23-E23)*$B$11/360</f>
        <v>723112.2193750001</v>
      </c>
      <c r="G25" s="24">
        <f>G24*(G23-F23)*$B$11/360</f>
        <v>723112.2193750001</v>
      </c>
      <c r="H25" s="24">
        <f>G30*(D17-G23)*$B$11/360+D19*(H23-D17)*$B$11/360</f>
        <v>1258248.4018722223</v>
      </c>
      <c r="I25" s="24">
        <f>I24*(I23-H23)*$B$11/360</f>
        <v>1388971.2146361112</v>
      </c>
      <c r="J25" s="24">
        <f>I30*(E17-I23)*B11/360+J24*(J23-E17)*B11/360</f>
        <v>1614494.2938750004</v>
      </c>
      <c r="K25" s="24">
        <f>J30*(F17-J23)*$B$11/360+F19*(K23-F17)*$B$11/360</f>
        <v>1999535.1608611115</v>
      </c>
      <c r="L25" s="24">
        <f>K30*(G17-K23)*$B$11/360+G19*(L23-G17)*$B$11/360</f>
        <v>2465733.7127444446</v>
      </c>
      <c r="M25" s="24">
        <f>M24*(M23-L23)*$B$11/360</f>
        <v>2269967.5925111109</v>
      </c>
      <c r="N25" s="24">
        <f>M30*(H17-M23)*$B$11/360+N24*(N23-H17)*$B$11/360</f>
        <v>2831352.1825222224</v>
      </c>
      <c r="O25" s="24">
        <f>O24*(O23-N23)*$B$11/360</f>
        <v>2813916.6666666665</v>
      </c>
      <c r="P25" s="24">
        <f>P24*(P23-O23)*$B$11/360</f>
        <v>2907713.888888889</v>
      </c>
      <c r="Q25" s="24">
        <f>Q24*(PABL_Loan!$G$29-P23)*$B$11/360+Q30*(Q23-PABL_Loan!$G$29)*$B$11/360</f>
        <v>2767524.0797733516</v>
      </c>
      <c r="R25" s="24">
        <f>R24*(R23-Q23)*$B$11/360</f>
        <v>2817828.2517830916</v>
      </c>
      <c r="S25" s="24">
        <f>S24*(S23-R23)*$B$11/360</f>
        <v>2817828.2517830916</v>
      </c>
      <c r="T25" s="24">
        <f>T24*(PABL_Loan!$H$29-S23)*$B$11/360+T30*(T23-PABL_Loan!$H$29)*$B$11/360</f>
        <v>2676406.1395782009</v>
      </c>
      <c r="U25" s="24">
        <f>U24*(U23-T23)*$B$11/360</f>
        <v>2725695.4737496497</v>
      </c>
      <c r="V25" s="24">
        <f>V24*(V23-U23)*$B$11/360</f>
        <v>2637769.8133061123</v>
      </c>
      <c r="W25" s="24">
        <f>W24*(PABL_Loan!$I$29-V23)*$B$11/360+W30*(W23-PABL_Loan!$I$29)*$B$11/360</f>
        <v>2673907.936419561</v>
      </c>
      <c r="X25" s="24">
        <f>X24*(X23-W23)*$B$11/360</f>
        <v>2631259.3762653708</v>
      </c>
      <c r="Y25" s="24">
        <f t="shared" ref="Y25:BZ25" si="7">Y24*(Y23-X23)*$B$11/360</f>
        <v>2376621.3721106574</v>
      </c>
      <c r="Z25" s="24">
        <f>Z24*(PABL_Loan!$J$29-Y23)*$B$11/360+Z30*(Z23-PABL_Loan!$J$29)*$B$11/360</f>
        <v>2578177.1505020307</v>
      </c>
      <c r="AA25" s="24">
        <f t="shared" si="7"/>
        <v>2452705.5254941797</v>
      </c>
      <c r="AB25" s="24">
        <f>AB24*(AB23-AA23)*$B$11/360</f>
        <v>2534462.3763439856</v>
      </c>
      <c r="AC25" s="24">
        <f>AC24*(PABL_Loan!$K$29-AB23)*$B$11/360+AC30*(AC23-PABL_Loan!$K$29)*$B$11/360</f>
        <v>2401496.790051898</v>
      </c>
      <c r="AD25" s="24">
        <f t="shared" si="7"/>
        <v>2435245.4514245661</v>
      </c>
      <c r="AE25" s="24">
        <f t="shared" si="7"/>
        <v>2435245.4514245661</v>
      </c>
      <c r="AF25" s="24">
        <f>AF24*(PABL_Loan!$L$29-AE23)*$B$11/360+AF30*(AF23-PABL_Loan!$L$29)*$B$11/360</f>
        <v>2304200.1927115638</v>
      </c>
      <c r="AG25" s="24">
        <f t="shared" si="7"/>
        <v>2333548.1033821604</v>
      </c>
      <c r="AH25" s="24">
        <f t="shared" si="7"/>
        <v>2258272.3581117685</v>
      </c>
      <c r="AI25" s="24">
        <f>AI24*(PABL_Loan!$M$29-AH23)*$B$11/360+AI30*(AI23-PABL_Loan!$M$29)*$B$11/360</f>
        <v>2276384.3521034857</v>
      </c>
      <c r="AJ25" s="24">
        <f t="shared" si="7"/>
        <v>2229308.321638695</v>
      </c>
      <c r="AK25" s="24">
        <f t="shared" si="7"/>
        <v>2013568.806641402</v>
      </c>
      <c r="AL25" s="24">
        <f>AL24*(PABL_Loan!$N$29-AK23)*$B$11/360+AL30*(AL23-PABL_Loan!$N$29)*$B$11/360</f>
        <v>2170715.4765780531</v>
      </c>
      <c r="AM25" s="24">
        <f t="shared" si="7"/>
        <v>2053996.0116306215</v>
      </c>
      <c r="AN25" s="24">
        <f t="shared" si="7"/>
        <v>2122462.5453516422</v>
      </c>
      <c r="AO25" s="24">
        <f>AO24*(PABL_Loan!$O$29-AN23)*$B$11/360+AO30*(AO23-PABL_Loan!$O$29)*$B$11/360</f>
        <v>1997471.1493368261</v>
      </c>
      <c r="AP25" s="24">
        <f t="shared" si="7"/>
        <v>2012945.6246574137</v>
      </c>
      <c r="AQ25" s="24">
        <f t="shared" si="7"/>
        <v>2012945.6246574137</v>
      </c>
      <c r="AR25" s="24">
        <f>AR24*(PABL_Loan!$P$29-AQ23)*$B$11/360+AR30*(AR23-PABL_Loan!$P$29)*$B$11/360</f>
        <v>1890073.9109786148</v>
      </c>
      <c r="AS25" s="24">
        <f t="shared" si="7"/>
        <v>1900690.7809458291</v>
      </c>
      <c r="AT25" s="24">
        <f t="shared" si="7"/>
        <v>1839378.1751088672</v>
      </c>
      <c r="AU25" s="24">
        <f>AU24*(PABL_Loan!$Q$29-AT23)*$B$11/360+AU30*(AU23-PABL_Loan!$Q$29)*$B$11/360</f>
        <v>1837592.6954079471</v>
      </c>
      <c r="AV25" s="24">
        <f t="shared" si="7"/>
        <v>1785629.5661414554</v>
      </c>
      <c r="AW25" s="24">
        <f t="shared" si="7"/>
        <v>1670427.6586484581</v>
      </c>
      <c r="AX25" s="24">
        <f>AX24*(PABL_Loan!$R$29-AW23)*$B$11/360+AX30*(AX23-PABL_Loan!$R$29)*$B$11/360</f>
        <v>1720954.0284651259</v>
      </c>
      <c r="AY25" s="24">
        <f t="shared" si="7"/>
        <v>1613895.3106131987</v>
      </c>
      <c r="AZ25" s="24">
        <f t="shared" si="7"/>
        <v>1667691.8209669723</v>
      </c>
      <c r="BA25" s="24">
        <f>BA24*(PABL_Loan!$S$29-AZ23)*$B$11/360+BA30*(BA23-PABL_Loan!$S$29)*$B$11/360</f>
        <v>1551502.4389725046</v>
      </c>
      <c r="BB25" s="24">
        <f t="shared" si="7"/>
        <v>1546805.632163127</v>
      </c>
      <c r="BC25" s="24">
        <f t="shared" si="7"/>
        <v>1546805.632163127</v>
      </c>
      <c r="BD25" s="24">
        <f>BD24*(PABL_Loan!$T$29-BC23)*$B$11/360+BD30*(BD23-PABL_Loan!$T$29)*$B$11/360</f>
        <v>1432955.9828551852</v>
      </c>
      <c r="BE25" s="24">
        <f t="shared" si="7"/>
        <v>1422897.2886391853</v>
      </c>
      <c r="BF25" s="24">
        <f t="shared" si="7"/>
        <v>1376997.3761024375</v>
      </c>
      <c r="BG25" s="24">
        <f>BG24*(PABL_Loan!$U$29-BF23)*$B$11/360+BG30*(BG23-PABL_Loan!$U$29)*$B$11/360</f>
        <v>1353248.8084487116</v>
      </c>
      <c r="BH25" s="24">
        <f t="shared" si="7"/>
        <v>1295891.2365271451</v>
      </c>
      <c r="BI25" s="24">
        <f t="shared" si="7"/>
        <v>1170482.4071858088</v>
      </c>
      <c r="BJ25" s="24">
        <f>BJ24*(PABL_Loan!$V$29-BI23)*$B$11/360+BJ30*(BJ23-PABL_Loan!$V$29)*$B$11/360</f>
        <v>1224501.5443319101</v>
      </c>
      <c r="BK25" s="24">
        <f t="shared" si="7"/>
        <v>1128106.4836570686</v>
      </c>
      <c r="BL25" s="24">
        <f t="shared" si="7"/>
        <v>1165710.0331123041</v>
      </c>
      <c r="BM25" s="24">
        <f>BM24*(PABL_Loan!$W$29-BL23)*$B$11/360+BM30*(BM23-PABL_Loan!$W$29)*$B$11/360</f>
        <v>1059236.4276569593</v>
      </c>
      <c r="BN25" s="24">
        <f t="shared" si="7"/>
        <v>1032274.2996120921</v>
      </c>
      <c r="BO25" s="24">
        <f t="shared" si="7"/>
        <v>1032274.2996120921</v>
      </c>
      <c r="BP25" s="24">
        <f>BP24*(PABL_Loan!$X$29-BO23)*$B$11/360+BP30*(BP23-PABL_Loan!$X$29)*$B$11/360</f>
        <v>928383.32125675119</v>
      </c>
      <c r="BQ25" s="24">
        <f t="shared" si="7"/>
        <v>895502.6727743746</v>
      </c>
      <c r="BR25" s="24">
        <f t="shared" si="7"/>
        <v>866615.48978165293</v>
      </c>
      <c r="BS25" s="24">
        <f>BS24*(PABL_Loan!$Y$29-BR23)*$B$11/360+BS30*(BS23-PABL_Loan!$Y$29)*$B$11/360</f>
        <v>818623.78252768994</v>
      </c>
      <c r="BT25" s="24">
        <f t="shared" si="7"/>
        <v>755311.75526571437</v>
      </c>
      <c r="BU25" s="24">
        <f t="shared" si="7"/>
        <v>682217.06927225809</v>
      </c>
      <c r="BV25" s="24">
        <f>BV24*(PABL_Loan!$Z$29-BU23)*$B$11/360+BV30*(BV23-PABL_Loan!$Z$29)*$B$11/360</f>
        <v>676510.8927628625</v>
      </c>
      <c r="BW25" s="24">
        <f t="shared" si="7"/>
        <v>591886.5143412943</v>
      </c>
      <c r="BX25" s="24">
        <f t="shared" si="7"/>
        <v>611616.06481933745</v>
      </c>
      <c r="BY25" s="24">
        <f>BY24*(PABL_Loan!$AA$29-BX23)*$B$11/360+BY30*(BY23-PABL_Loan!$AA$29)*$B$11/360</f>
        <v>515866.85875030782</v>
      </c>
      <c r="BZ25" s="24">
        <f t="shared" si="7"/>
        <v>464327.98211180122</v>
      </c>
      <c r="CA25" s="24">
        <f t="shared" ref="CA25:CG25" si="8">CA24*(CA23-BZ23)*$B$11/360</f>
        <v>464327.98211180122</v>
      </c>
      <c r="CB25" s="24">
        <f>CB24*(PABL_Loan!$AB$29-CA23)*$B$11/360+CB30*(CB23-PABL_Loan!$AB$29)*$B$11/360</f>
        <v>371429.5131274336</v>
      </c>
      <c r="CC25" s="24">
        <f t="shared" si="8"/>
        <v>313357.69733657653</v>
      </c>
      <c r="CD25" s="24">
        <f t="shared" si="8"/>
        <v>303249.38451926759</v>
      </c>
      <c r="CE25" s="24">
        <f>CE24*(PABL_Loan!$AC$29-CD23)*$B$11/360+CE30*(CE23-PABL_Loan!$AC$29)*$B$11/360</f>
        <v>228497.78726534138</v>
      </c>
      <c r="CF25" s="24">
        <f t="shared" si="8"/>
        <v>158613.15544197123</v>
      </c>
      <c r="CG25" s="24">
        <f t="shared" si="8"/>
        <v>143263.49523790952</v>
      </c>
      <c r="CH25" s="24">
        <f>CH24*(PABL_Loan!$AD$29-CG23)*$B$11/360+CH30*(CH23-PABL_Loan!$AD$29)*$B$11/360</f>
        <v>71631.747618955211</v>
      </c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</row>
    <row r="26" spans="1:122" s="51" customFormat="1">
      <c r="A26" s="45" t="s">
        <v>64</v>
      </c>
      <c r="B26" s="46"/>
      <c r="C26" s="46"/>
      <c r="D26" s="46">
        <f>C26+D25</f>
        <v>303240.60812500003</v>
      </c>
      <c r="E26" s="46">
        <f t="shared" ref="E26:AI26" si="9">D26+E25</f>
        <v>1003026.6268750001</v>
      </c>
      <c r="F26" s="46">
        <f t="shared" si="9"/>
        <v>1726138.8462500002</v>
      </c>
      <c r="G26" s="46">
        <f t="shared" si="9"/>
        <v>2449251.0656250003</v>
      </c>
      <c r="H26" s="46">
        <f t="shared" si="9"/>
        <v>3707499.4674972226</v>
      </c>
      <c r="I26" s="46">
        <f t="shared" si="9"/>
        <v>5096470.6821333338</v>
      </c>
      <c r="J26" s="46">
        <f t="shared" si="9"/>
        <v>6710964.9760083342</v>
      </c>
      <c r="K26" s="46">
        <f t="shared" si="9"/>
        <v>8710500.1368694454</v>
      </c>
      <c r="L26" s="46">
        <f t="shared" si="9"/>
        <v>11176233.84961389</v>
      </c>
      <c r="M26" s="46">
        <f t="shared" si="9"/>
        <v>13446201.442125</v>
      </c>
      <c r="N26" s="46">
        <f t="shared" si="9"/>
        <v>16277553.624647222</v>
      </c>
      <c r="O26" s="46">
        <f t="shared" si="9"/>
        <v>19091470.29131389</v>
      </c>
      <c r="P26" s="46">
        <f t="shared" si="9"/>
        <v>21999184.180202778</v>
      </c>
      <c r="Q26" s="46">
        <f t="shared" si="9"/>
        <v>24766708.25997613</v>
      </c>
      <c r="R26" s="46">
        <f t="shared" si="9"/>
        <v>27584536.511759222</v>
      </c>
      <c r="S26" s="46">
        <f t="shared" si="9"/>
        <v>30402364.763542313</v>
      </c>
      <c r="T26" s="46">
        <f t="shared" si="9"/>
        <v>33078770.903120514</v>
      </c>
      <c r="U26" s="46">
        <f t="shared" si="9"/>
        <v>35804466.376870163</v>
      </c>
      <c r="V26" s="46">
        <f t="shared" si="9"/>
        <v>38442236.190176278</v>
      </c>
      <c r="W26" s="46">
        <f t="shared" si="9"/>
        <v>41116144.12659584</v>
      </c>
      <c r="X26" s="46">
        <f t="shared" si="9"/>
        <v>43747403.502861209</v>
      </c>
      <c r="Y26" s="46">
        <f t="shared" si="9"/>
        <v>46124024.874971867</v>
      </c>
      <c r="Z26" s="46">
        <f t="shared" si="9"/>
        <v>48702202.0254739</v>
      </c>
      <c r="AA26" s="46">
        <f t="shared" si="9"/>
        <v>51154907.550968081</v>
      </c>
      <c r="AB26" s="46">
        <f t="shared" si="9"/>
        <v>53689369.927312069</v>
      </c>
      <c r="AC26" s="46">
        <f t="shared" si="9"/>
        <v>56090866.717363968</v>
      </c>
      <c r="AD26" s="46">
        <f t="shared" si="9"/>
        <v>58526112.168788537</v>
      </c>
      <c r="AE26" s="46">
        <f t="shared" si="9"/>
        <v>60961357.620213106</v>
      </c>
      <c r="AF26" s="46">
        <f t="shared" si="9"/>
        <v>63265557.812924668</v>
      </c>
      <c r="AG26" s="46">
        <f t="shared" si="9"/>
        <v>65599105.916306831</v>
      </c>
      <c r="AH26" s="46">
        <f t="shared" si="9"/>
        <v>67857378.274418592</v>
      </c>
      <c r="AI26" s="46">
        <f t="shared" si="9"/>
        <v>70133762.626522079</v>
      </c>
      <c r="AJ26" s="46">
        <f t="shared" ref="AJ26:BO26" si="10">AI26+AJ25</f>
        <v>72363070.948160768</v>
      </c>
      <c r="AK26" s="46">
        <f t="shared" si="10"/>
        <v>74376639.754802167</v>
      </c>
      <c r="AL26" s="46">
        <f t="shared" si="10"/>
        <v>76547355.231380224</v>
      </c>
      <c r="AM26" s="46">
        <f t="shared" si="10"/>
        <v>78601351.243010849</v>
      </c>
      <c r="AN26" s="46">
        <f t="shared" si="10"/>
        <v>80723813.788362488</v>
      </c>
      <c r="AO26" s="46">
        <f t="shared" si="10"/>
        <v>82721284.937699318</v>
      </c>
      <c r="AP26" s="46">
        <f t="shared" si="10"/>
        <v>84734230.562356725</v>
      </c>
      <c r="AQ26" s="46">
        <f t="shared" si="10"/>
        <v>86747176.187014133</v>
      </c>
      <c r="AR26" s="46">
        <f t="shared" si="10"/>
        <v>88637250.097992748</v>
      </c>
      <c r="AS26" s="46">
        <f t="shared" si="10"/>
        <v>90537940.878938571</v>
      </c>
      <c r="AT26" s="46">
        <f t="shared" si="10"/>
        <v>92377319.054047436</v>
      </c>
      <c r="AU26" s="46">
        <f t="shared" si="10"/>
        <v>94214911.749455377</v>
      </c>
      <c r="AV26" s="46">
        <f t="shared" si="10"/>
        <v>96000541.315596834</v>
      </c>
      <c r="AW26" s="46">
        <f t="shared" si="10"/>
        <v>97670968.974245295</v>
      </c>
      <c r="AX26" s="46">
        <f t="shared" si="10"/>
        <v>99391923.002710417</v>
      </c>
      <c r="AY26" s="46">
        <f t="shared" si="10"/>
        <v>101005818.31332362</v>
      </c>
      <c r="AZ26" s="46">
        <f t="shared" si="10"/>
        <v>102673510.13429059</v>
      </c>
      <c r="BA26" s="46">
        <f t="shared" si="10"/>
        <v>104225012.57326309</v>
      </c>
      <c r="BB26" s="46">
        <f t="shared" si="10"/>
        <v>105771818.20542622</v>
      </c>
      <c r="BC26" s="46">
        <f t="shared" si="10"/>
        <v>107318623.83758934</v>
      </c>
      <c r="BD26" s="46">
        <f t="shared" si="10"/>
        <v>108751579.82044452</v>
      </c>
      <c r="BE26" s="46">
        <f t="shared" si="10"/>
        <v>110174477.10908371</v>
      </c>
      <c r="BF26" s="46">
        <f t="shared" si="10"/>
        <v>111551474.48518614</v>
      </c>
      <c r="BG26" s="46">
        <f t="shared" si="10"/>
        <v>112904723.29363486</v>
      </c>
      <c r="BH26" s="46">
        <f t="shared" si="10"/>
        <v>114200614.53016201</v>
      </c>
      <c r="BI26" s="46">
        <f t="shared" si="10"/>
        <v>115371096.93734781</v>
      </c>
      <c r="BJ26" s="46">
        <f t="shared" si="10"/>
        <v>116595598.48167972</v>
      </c>
      <c r="BK26" s="46">
        <f t="shared" si="10"/>
        <v>117723704.96533678</v>
      </c>
      <c r="BL26" s="46">
        <f t="shared" si="10"/>
        <v>118889414.99844909</v>
      </c>
      <c r="BM26" s="46">
        <f t="shared" si="10"/>
        <v>119948651.42610605</v>
      </c>
      <c r="BN26" s="46">
        <f t="shared" si="10"/>
        <v>120980925.72571814</v>
      </c>
      <c r="BO26" s="46">
        <f t="shared" si="10"/>
        <v>122013200.02533023</v>
      </c>
      <c r="BP26" s="46">
        <f t="shared" ref="BP26:CG26" si="11">BO26+BP25</f>
        <v>122941583.34658699</v>
      </c>
      <c r="BQ26" s="46">
        <f t="shared" si="11"/>
        <v>123837086.01936136</v>
      </c>
      <c r="BR26" s="46">
        <f t="shared" si="11"/>
        <v>124703701.50914301</v>
      </c>
      <c r="BS26" s="46">
        <f t="shared" si="11"/>
        <v>125522325.29167069</v>
      </c>
      <c r="BT26" s="46">
        <f t="shared" si="11"/>
        <v>126277637.04693641</v>
      </c>
      <c r="BU26" s="46">
        <f t="shared" si="11"/>
        <v>126959854.11620867</v>
      </c>
      <c r="BV26" s="46">
        <f t="shared" si="11"/>
        <v>127636365.00897154</v>
      </c>
      <c r="BW26" s="46">
        <f t="shared" si="11"/>
        <v>128228251.52331284</v>
      </c>
      <c r="BX26" s="46">
        <f t="shared" si="11"/>
        <v>128839867.58813217</v>
      </c>
      <c r="BY26" s="46">
        <f t="shared" si="11"/>
        <v>129355734.44688249</v>
      </c>
      <c r="BZ26" s="46">
        <f t="shared" si="11"/>
        <v>129820062.42899428</v>
      </c>
      <c r="CA26" s="46">
        <f t="shared" si="11"/>
        <v>130284390.41110608</v>
      </c>
      <c r="CB26" s="46">
        <f t="shared" si="11"/>
        <v>130655819.92423351</v>
      </c>
      <c r="CC26" s="46">
        <f t="shared" si="11"/>
        <v>130969177.62157008</v>
      </c>
      <c r="CD26" s="46">
        <f t="shared" si="11"/>
        <v>131272427.00608934</v>
      </c>
      <c r="CE26" s="46">
        <f t="shared" si="11"/>
        <v>131500924.79335469</v>
      </c>
      <c r="CF26" s="46">
        <f t="shared" si="11"/>
        <v>131659537.94879666</v>
      </c>
      <c r="CG26" s="46">
        <f t="shared" si="11"/>
        <v>131802801.44403458</v>
      </c>
      <c r="CH26" s="46">
        <f>CG26+CH25</f>
        <v>131874433.19165353</v>
      </c>
      <c r="CI26" s="46"/>
      <c r="CJ26" s="46"/>
      <c r="CK26" s="46"/>
      <c r="CL26" s="46"/>
      <c r="CM26" s="46"/>
      <c r="CN26" s="46"/>
      <c r="CO26" s="46"/>
      <c r="CP26" s="46"/>
      <c r="CQ26" s="46"/>
      <c r="CR26" s="46"/>
      <c r="CS26" s="46"/>
      <c r="CT26" s="46"/>
      <c r="CU26" s="46"/>
      <c r="CV26" s="46"/>
      <c r="CW26" s="46"/>
      <c r="CX26" s="46"/>
      <c r="CY26" s="46"/>
      <c r="CZ26" s="46"/>
      <c r="DA26" s="46"/>
      <c r="DB26" s="46"/>
      <c r="DC26" s="46"/>
      <c r="DD26" s="46"/>
      <c r="DE26" s="46"/>
      <c r="DF26" s="46"/>
      <c r="DG26" s="46"/>
      <c r="DH26" s="46"/>
      <c r="DI26" s="46"/>
      <c r="DJ26" s="46"/>
      <c r="DK26" s="46"/>
      <c r="DL26" s="46"/>
      <c r="DM26" s="46"/>
      <c r="DN26" s="46"/>
      <c r="DO26" s="46"/>
      <c r="DP26" s="46"/>
      <c r="DQ26" s="46"/>
      <c r="DR26" s="46"/>
    </row>
    <row r="27" spans="1:122" s="22" customFormat="1">
      <c r="A27" s="21" t="s">
        <v>65</v>
      </c>
      <c r="C27" s="24"/>
      <c r="D27" s="24">
        <v>0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24">
        <f>L27</f>
        <v>0</v>
      </c>
      <c r="P27" s="24">
        <f>M27</f>
        <v>0</v>
      </c>
      <c r="Q27" s="24">
        <f>PABL_Loan!$G$33</f>
        <v>10438332.050995832</v>
      </c>
      <c r="R27" s="24">
        <f t="shared" ref="R27:S27" si="12">O27</f>
        <v>0</v>
      </c>
      <c r="S27" s="24">
        <f t="shared" si="12"/>
        <v>0</v>
      </c>
      <c r="T27" s="24">
        <f>PABL_Loan!$H$33</f>
        <v>10699290.352270728</v>
      </c>
      <c r="U27" s="24">
        <f t="shared" ref="U27:V27" si="13">R27</f>
        <v>0</v>
      </c>
      <c r="V27" s="24">
        <f t="shared" si="13"/>
        <v>0</v>
      </c>
      <c r="W27" s="24">
        <f>PABL_Loan!$I$33</f>
        <v>10966772.611077495</v>
      </c>
      <c r="X27" s="24">
        <f t="shared" ref="X27:Y27" si="14">U27</f>
        <v>0</v>
      </c>
      <c r="Y27" s="24">
        <f t="shared" si="14"/>
        <v>0</v>
      </c>
      <c r="Z27" s="24">
        <f>PABL_Loan!$J$33</f>
        <v>11240941.926354432</v>
      </c>
      <c r="AA27" s="24">
        <f t="shared" ref="AA27:AB27" si="15">X27</f>
        <v>0</v>
      </c>
      <c r="AB27" s="24">
        <f t="shared" si="15"/>
        <v>0</v>
      </c>
      <c r="AC27" s="24">
        <f>PABL_Loan!$K$33</f>
        <v>11521965.474513294</v>
      </c>
      <c r="AD27" s="24">
        <f t="shared" ref="AD27:AE27" si="16">AA27</f>
        <v>0</v>
      </c>
      <c r="AE27" s="24">
        <f t="shared" si="16"/>
        <v>0</v>
      </c>
      <c r="AF27" s="24">
        <f>PABL_Loan!$L$33</f>
        <v>11810014.611376125</v>
      </c>
      <c r="AG27" s="24">
        <f t="shared" ref="AG27:AH27" si="17">AD27</f>
        <v>0</v>
      </c>
      <c r="AH27" s="24">
        <f t="shared" si="17"/>
        <v>0</v>
      </c>
      <c r="AI27" s="24">
        <f>PABL_Loan!$M$33</f>
        <v>12105264.976660529</v>
      </c>
      <c r="AJ27" s="24">
        <f t="shared" ref="AJ27:AK27" si="18">AG27</f>
        <v>0</v>
      </c>
      <c r="AK27" s="24">
        <f t="shared" si="18"/>
        <v>0</v>
      </c>
      <c r="AL27" s="24">
        <f>PABL_Loan!$N$33</f>
        <v>12407896.601077043</v>
      </c>
      <c r="AM27" s="24">
        <f t="shared" ref="AM27:AN27" si="19">AJ27</f>
        <v>0</v>
      </c>
      <c r="AN27" s="24">
        <f t="shared" si="19"/>
        <v>0</v>
      </c>
      <c r="AO27" s="24">
        <f>PABL_Loan!$O$33</f>
        <v>12718094.016103968</v>
      </c>
      <c r="AP27" s="24">
        <f t="shared" ref="AP27:AQ27" si="20">AM27</f>
        <v>0</v>
      </c>
      <c r="AQ27" s="24">
        <f t="shared" si="20"/>
        <v>0</v>
      </c>
      <c r="AR27" s="24">
        <f>PABL_Loan!$P$33</f>
        <v>13036046.366506567</v>
      </c>
      <c r="AS27" s="24">
        <f t="shared" ref="AS27:AT27" si="21">AP27</f>
        <v>0</v>
      </c>
      <c r="AT27" s="24">
        <f t="shared" si="21"/>
        <v>0</v>
      </c>
      <c r="AU27" s="24">
        <f>PABL_Loan!$Q$33</f>
        <v>13361947.525669232</v>
      </c>
      <c r="AV27" s="24">
        <f t="shared" ref="AV27:AW27" si="22">AS27</f>
        <v>0</v>
      </c>
      <c r="AW27" s="24">
        <f t="shared" si="22"/>
        <v>0</v>
      </c>
      <c r="AX27" s="24">
        <f>PABL_Loan!$R$33</f>
        <v>13695996.213810964</v>
      </c>
      <c r="AY27" s="24">
        <f t="shared" ref="AY27:AZ27" si="23">AV27</f>
        <v>0</v>
      </c>
      <c r="AZ27" s="24">
        <f t="shared" si="23"/>
        <v>0</v>
      </c>
      <c r="BA27" s="24">
        <f>PABL_Loan!$S$33</f>
        <v>14038396.119156236</v>
      </c>
      <c r="BB27" s="24">
        <f t="shared" ref="BB27:BC27" si="24">AY27</f>
        <v>0</v>
      </c>
      <c r="BC27" s="24">
        <f t="shared" si="24"/>
        <v>0</v>
      </c>
      <c r="BD27" s="24">
        <f>PABL_Loan!$T$33</f>
        <v>14389356.022135142</v>
      </c>
      <c r="BE27" s="24">
        <f t="shared" ref="BE27:BF27" si="25">BB27</f>
        <v>0</v>
      </c>
      <c r="BF27" s="24">
        <f t="shared" si="25"/>
        <v>0</v>
      </c>
      <c r="BG27" s="24">
        <f>PABL_Loan!$U$33</f>
        <v>14749089.922688521</v>
      </c>
      <c r="BH27" s="24">
        <f t="shared" ref="BH27:BI27" si="26">BE27</f>
        <v>0</v>
      </c>
      <c r="BI27" s="24">
        <f t="shared" si="26"/>
        <v>0</v>
      </c>
      <c r="BJ27" s="24">
        <f>PABL_Loan!$V$33</f>
        <v>15117817.170755733</v>
      </c>
      <c r="BK27" s="24">
        <f t="shared" ref="BK27:BL27" si="27">BH27</f>
        <v>0</v>
      </c>
      <c r="BL27" s="24">
        <f t="shared" si="27"/>
        <v>0</v>
      </c>
      <c r="BM27" s="24">
        <f>PABL_Loan!$W$33</f>
        <v>15495762.600024629</v>
      </c>
      <c r="BN27" s="24">
        <f t="shared" ref="BN27:BO27" si="28">BK27</f>
        <v>0</v>
      </c>
      <c r="BO27" s="24">
        <f t="shared" si="28"/>
        <v>0</v>
      </c>
      <c r="BP27" s="24">
        <f>PABL_Loan!$X$33</f>
        <v>15883156.665025244</v>
      </c>
      <c r="BQ27" s="24">
        <f t="shared" ref="BQ27:BR27" si="29">BN27</f>
        <v>0</v>
      </c>
      <c r="BR27" s="24">
        <f t="shared" si="29"/>
        <v>0</v>
      </c>
      <c r="BS27" s="24">
        <f>PABL_Loan!$Y$33</f>
        <v>16280235.581650876</v>
      </c>
      <c r="BT27" s="24">
        <f t="shared" ref="BT27:BU27" si="30">BQ27</f>
        <v>0</v>
      </c>
      <c r="BU27" s="24">
        <f t="shared" si="30"/>
        <v>0</v>
      </c>
      <c r="BV27" s="24">
        <f>PABL_Loan!$Z$33</f>
        <v>16687241.471192146</v>
      </c>
      <c r="BW27" s="24">
        <f t="shared" ref="BW27:BX27" si="31">BT27</f>
        <v>0</v>
      </c>
      <c r="BX27" s="24">
        <f t="shared" si="31"/>
        <v>0</v>
      </c>
      <c r="BY27" s="24">
        <f>PABL_Loan!$AA$33</f>
        <v>17104422.50797195</v>
      </c>
      <c r="BZ27" s="24">
        <f t="shared" ref="BZ27:CA27" si="32">BW27</f>
        <v>0</v>
      </c>
      <c r="CA27" s="24">
        <f t="shared" si="32"/>
        <v>0</v>
      </c>
      <c r="CB27" s="24">
        <f>PABL_Loan!$AB$33</f>
        <v>17532033.070671249</v>
      </c>
      <c r="CC27" s="24">
        <f t="shared" ref="CC27:CD27" si="33">BZ27</f>
        <v>0</v>
      </c>
      <c r="CD27" s="24">
        <f t="shared" si="33"/>
        <v>0</v>
      </c>
      <c r="CE27" s="24">
        <f>PABL_Loan!$AC$33</f>
        <v>17970333.897438031</v>
      </c>
      <c r="CF27" s="24">
        <f t="shared" ref="CF27:CG27" si="34">CC27</f>
        <v>0</v>
      </c>
      <c r="CG27" s="24">
        <f t="shared" si="34"/>
        <v>0</v>
      </c>
      <c r="CH27" s="24">
        <f>PABL_Loan!$AD$33</f>
        <v>18419592.244873982</v>
      </c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</row>
    <row r="28" spans="1:122" s="22" customFormat="1">
      <c r="A28" s="21" t="s">
        <v>66</v>
      </c>
      <c r="B28" s="24"/>
      <c r="C28" s="24"/>
      <c r="D28" s="24">
        <f>C28+D27</f>
        <v>0</v>
      </c>
      <c r="E28" s="24">
        <f t="shared" ref="E28:AE28" si="35">D28+E27</f>
        <v>0</v>
      </c>
      <c r="F28" s="24">
        <f t="shared" si="35"/>
        <v>0</v>
      </c>
      <c r="G28" s="24">
        <f t="shared" si="35"/>
        <v>0</v>
      </c>
      <c r="H28" s="24">
        <f t="shared" si="35"/>
        <v>0</v>
      </c>
      <c r="I28" s="24">
        <f t="shared" si="35"/>
        <v>0</v>
      </c>
      <c r="J28" s="24">
        <f t="shared" si="35"/>
        <v>0</v>
      </c>
      <c r="K28" s="24">
        <f t="shared" si="35"/>
        <v>0</v>
      </c>
      <c r="L28" s="24">
        <f t="shared" si="35"/>
        <v>0</v>
      </c>
      <c r="M28" s="24">
        <f t="shared" si="35"/>
        <v>0</v>
      </c>
      <c r="N28" s="24">
        <f t="shared" si="35"/>
        <v>0</v>
      </c>
      <c r="O28" s="24">
        <f t="shared" si="35"/>
        <v>0</v>
      </c>
      <c r="P28" s="24">
        <f t="shared" si="35"/>
        <v>0</v>
      </c>
      <c r="Q28" s="24">
        <f t="shared" si="35"/>
        <v>10438332.050995832</v>
      </c>
      <c r="R28" s="24">
        <f t="shared" si="35"/>
        <v>10438332.050995832</v>
      </c>
      <c r="S28" s="24">
        <f t="shared" si="35"/>
        <v>10438332.050995832</v>
      </c>
      <c r="T28" s="24">
        <f t="shared" si="35"/>
        <v>21137622.40326656</v>
      </c>
      <c r="U28" s="24">
        <f t="shared" si="35"/>
        <v>21137622.40326656</v>
      </c>
      <c r="V28" s="24">
        <f t="shared" si="35"/>
        <v>21137622.40326656</v>
      </c>
      <c r="W28" s="24">
        <f t="shared" si="35"/>
        <v>32104395.014344055</v>
      </c>
      <c r="X28" s="24">
        <f t="shared" si="35"/>
        <v>32104395.014344055</v>
      </c>
      <c r="Y28" s="24">
        <f t="shared" si="35"/>
        <v>32104395.014344055</v>
      </c>
      <c r="Z28" s="24">
        <f t="shared" si="35"/>
        <v>43345336.94069849</v>
      </c>
      <c r="AA28" s="24">
        <f t="shared" si="35"/>
        <v>43345336.94069849</v>
      </c>
      <c r="AB28" s="24">
        <f t="shared" si="35"/>
        <v>43345336.94069849</v>
      </c>
      <c r="AC28" s="24">
        <f t="shared" si="35"/>
        <v>54867302.415211782</v>
      </c>
      <c r="AD28" s="24">
        <f t="shared" si="35"/>
        <v>54867302.415211782</v>
      </c>
      <c r="AE28" s="24">
        <f t="shared" si="35"/>
        <v>54867302.415211782</v>
      </c>
      <c r="AF28" s="24">
        <f t="shared" ref="AF28:BE28" si="36">AE28+AF27</f>
        <v>66677317.026587903</v>
      </c>
      <c r="AG28" s="24">
        <f t="shared" si="36"/>
        <v>66677317.026587903</v>
      </c>
      <c r="AH28" s="24">
        <f t="shared" si="36"/>
        <v>66677317.026587903</v>
      </c>
      <c r="AI28" s="24">
        <f t="shared" si="36"/>
        <v>78782582.003248438</v>
      </c>
      <c r="AJ28" s="24">
        <f t="shared" si="36"/>
        <v>78782582.003248438</v>
      </c>
      <c r="AK28" s="24">
        <f t="shared" si="36"/>
        <v>78782582.003248438</v>
      </c>
      <c r="AL28" s="24">
        <f t="shared" si="36"/>
        <v>91190478.604325473</v>
      </c>
      <c r="AM28" s="24">
        <f t="shared" si="36"/>
        <v>91190478.604325473</v>
      </c>
      <c r="AN28" s="24">
        <f t="shared" si="36"/>
        <v>91190478.604325473</v>
      </c>
      <c r="AO28" s="24">
        <f t="shared" si="36"/>
        <v>103908572.62042944</v>
      </c>
      <c r="AP28" s="24">
        <f t="shared" si="36"/>
        <v>103908572.62042944</v>
      </c>
      <c r="AQ28" s="24">
        <f t="shared" si="36"/>
        <v>103908572.62042944</v>
      </c>
      <c r="AR28" s="24">
        <f t="shared" si="36"/>
        <v>116944618.986936</v>
      </c>
      <c r="AS28" s="24">
        <f t="shared" si="36"/>
        <v>116944618.986936</v>
      </c>
      <c r="AT28" s="24">
        <f t="shared" si="36"/>
        <v>116944618.986936</v>
      </c>
      <c r="AU28" s="24">
        <f t="shared" si="36"/>
        <v>130306566.51260523</v>
      </c>
      <c r="AV28" s="24">
        <f t="shared" si="36"/>
        <v>130306566.51260523</v>
      </c>
      <c r="AW28" s="24">
        <f t="shared" si="36"/>
        <v>130306566.51260523</v>
      </c>
      <c r="AX28" s="24">
        <f t="shared" si="36"/>
        <v>144002562.7264162</v>
      </c>
      <c r="AY28" s="24">
        <f t="shared" si="36"/>
        <v>144002562.7264162</v>
      </c>
      <c r="AZ28" s="24">
        <f t="shared" si="36"/>
        <v>144002562.7264162</v>
      </c>
      <c r="BA28" s="24">
        <f t="shared" si="36"/>
        <v>158040958.84557244</v>
      </c>
      <c r="BB28" s="24">
        <f t="shared" si="36"/>
        <v>158040958.84557244</v>
      </c>
      <c r="BC28" s="24">
        <f t="shared" si="36"/>
        <v>158040958.84557244</v>
      </c>
      <c r="BD28" s="24">
        <f t="shared" si="36"/>
        <v>172430314.86770758</v>
      </c>
      <c r="BE28" s="24">
        <f t="shared" si="36"/>
        <v>172430314.86770758</v>
      </c>
      <c r="BF28" s="24">
        <f t="shared" ref="BF28:BT28" si="37">BE28+BF27</f>
        <v>172430314.86770758</v>
      </c>
      <c r="BG28" s="24">
        <f t="shared" si="37"/>
        <v>187179404.79039609</v>
      </c>
      <c r="BH28" s="24">
        <f t="shared" si="37"/>
        <v>187179404.79039609</v>
      </c>
      <c r="BI28" s="24">
        <f t="shared" si="37"/>
        <v>187179404.79039609</v>
      </c>
      <c r="BJ28" s="24">
        <f t="shared" si="37"/>
        <v>202297221.96115184</v>
      </c>
      <c r="BK28" s="24">
        <f t="shared" si="37"/>
        <v>202297221.96115184</v>
      </c>
      <c r="BL28" s="24">
        <f t="shared" si="37"/>
        <v>202297221.96115184</v>
      </c>
      <c r="BM28" s="24">
        <f t="shared" si="37"/>
        <v>217792984.56117648</v>
      </c>
      <c r="BN28" s="24">
        <f t="shared" si="37"/>
        <v>217792984.56117648</v>
      </c>
      <c r="BO28" s="24">
        <f t="shared" si="37"/>
        <v>217792984.56117648</v>
      </c>
      <c r="BP28" s="24">
        <f t="shared" si="37"/>
        <v>233676141.22620171</v>
      </c>
      <c r="BQ28" s="24">
        <f t="shared" si="37"/>
        <v>233676141.22620171</v>
      </c>
      <c r="BR28" s="24">
        <f t="shared" si="37"/>
        <v>233676141.22620171</v>
      </c>
      <c r="BS28" s="24">
        <f t="shared" si="37"/>
        <v>249956376.8078526</v>
      </c>
      <c r="BT28" s="24">
        <f t="shared" si="37"/>
        <v>249956376.8078526</v>
      </c>
      <c r="BU28" s="24">
        <f>BT28+BU27</f>
        <v>249956376.8078526</v>
      </c>
      <c r="BV28" s="24">
        <f t="shared" ref="BV28:CG28" si="38">BU28+BV27</f>
        <v>266643618.27904475</v>
      </c>
      <c r="BW28" s="24">
        <f t="shared" si="38"/>
        <v>266643618.27904475</v>
      </c>
      <c r="BX28" s="24">
        <f t="shared" si="38"/>
        <v>266643618.27904475</v>
      </c>
      <c r="BY28" s="24">
        <f t="shared" si="38"/>
        <v>283748040.78701669</v>
      </c>
      <c r="BZ28" s="24">
        <f t="shared" si="38"/>
        <v>283748040.78701669</v>
      </c>
      <c r="CA28" s="24">
        <f t="shared" si="38"/>
        <v>283748040.78701669</v>
      </c>
      <c r="CB28" s="24">
        <f t="shared" si="38"/>
        <v>301280073.85768795</v>
      </c>
      <c r="CC28" s="24">
        <f t="shared" si="38"/>
        <v>301280073.85768795</v>
      </c>
      <c r="CD28" s="24">
        <f t="shared" si="38"/>
        <v>301280073.85768795</v>
      </c>
      <c r="CE28" s="24">
        <f t="shared" si="38"/>
        <v>319250407.755126</v>
      </c>
      <c r="CF28" s="24">
        <f t="shared" si="38"/>
        <v>319250407.755126</v>
      </c>
      <c r="CG28" s="24">
        <f t="shared" si="38"/>
        <v>319250407.755126</v>
      </c>
      <c r="CH28" s="24">
        <f t="shared" ref="CH28" si="39">CG28+CH27</f>
        <v>337670000</v>
      </c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</row>
    <row r="29" spans="1:122" s="22" customFormat="1">
      <c r="A29" s="21" t="s">
        <v>67</v>
      </c>
      <c r="B29" s="29"/>
      <c r="C29" s="29"/>
      <c r="D29" s="29">
        <f t="shared" ref="D29:BN29" si="40">D27+D25</f>
        <v>303240.60812500003</v>
      </c>
      <c r="E29" s="29">
        <f t="shared" si="40"/>
        <v>699786.01875000005</v>
      </c>
      <c r="F29" s="29">
        <f t="shared" si="40"/>
        <v>723112.2193750001</v>
      </c>
      <c r="G29" s="29">
        <f t="shared" si="40"/>
        <v>723112.2193750001</v>
      </c>
      <c r="H29" s="29">
        <f t="shared" si="40"/>
        <v>1258248.4018722223</v>
      </c>
      <c r="I29" s="29">
        <f t="shared" si="40"/>
        <v>1388971.2146361112</v>
      </c>
      <c r="J29" s="29">
        <f t="shared" si="40"/>
        <v>1614494.2938750004</v>
      </c>
      <c r="K29" s="29">
        <f t="shared" si="40"/>
        <v>1999535.1608611115</v>
      </c>
      <c r="L29" s="29">
        <f t="shared" si="40"/>
        <v>2465733.7127444446</v>
      </c>
      <c r="M29" s="29">
        <f t="shared" si="40"/>
        <v>2269967.5925111109</v>
      </c>
      <c r="N29" s="29">
        <f t="shared" si="40"/>
        <v>2831352.1825222224</v>
      </c>
      <c r="O29" s="29">
        <f t="shared" si="40"/>
        <v>2813916.6666666665</v>
      </c>
      <c r="P29" s="29">
        <f t="shared" si="40"/>
        <v>2907713.888888889</v>
      </c>
      <c r="Q29" s="29">
        <f t="shared" si="40"/>
        <v>13205856.130769184</v>
      </c>
      <c r="R29" s="29">
        <f t="shared" si="40"/>
        <v>2817828.2517830916</v>
      </c>
      <c r="S29" s="29">
        <f t="shared" si="40"/>
        <v>2817828.2517830916</v>
      </c>
      <c r="T29" s="29">
        <f t="shared" si="40"/>
        <v>13375696.491848929</v>
      </c>
      <c r="U29" s="29">
        <f t="shared" si="40"/>
        <v>2725695.4737496497</v>
      </c>
      <c r="V29" s="29">
        <f t="shared" si="40"/>
        <v>2637769.8133061123</v>
      </c>
      <c r="W29" s="29">
        <f t="shared" si="40"/>
        <v>13640680.547497056</v>
      </c>
      <c r="X29" s="29">
        <f t="shared" si="40"/>
        <v>2631259.3762653708</v>
      </c>
      <c r="Y29" s="29">
        <f t="shared" si="40"/>
        <v>2376621.3721106574</v>
      </c>
      <c r="Z29" s="29">
        <f t="shared" si="40"/>
        <v>13819119.076856464</v>
      </c>
      <c r="AA29" s="29">
        <f t="shared" si="40"/>
        <v>2452705.5254941797</v>
      </c>
      <c r="AB29" s="29">
        <f t="shared" si="40"/>
        <v>2534462.3763439856</v>
      </c>
      <c r="AC29" s="29">
        <f t="shared" si="40"/>
        <v>13923462.264565192</v>
      </c>
      <c r="AD29" s="29">
        <f t="shared" si="40"/>
        <v>2435245.4514245661</v>
      </c>
      <c r="AE29" s="29">
        <f t="shared" si="40"/>
        <v>2435245.4514245661</v>
      </c>
      <c r="AF29" s="29">
        <f t="shared" si="40"/>
        <v>14114214.804087689</v>
      </c>
      <c r="AG29" s="29">
        <f t="shared" si="40"/>
        <v>2333548.1033821604</v>
      </c>
      <c r="AH29" s="29">
        <f t="shared" si="40"/>
        <v>2258272.3581117685</v>
      </c>
      <c r="AI29" s="29">
        <f t="shared" si="40"/>
        <v>14381649.328764014</v>
      </c>
      <c r="AJ29" s="29">
        <f t="shared" si="40"/>
        <v>2229308.321638695</v>
      </c>
      <c r="AK29" s="29">
        <f t="shared" si="40"/>
        <v>2013568.806641402</v>
      </c>
      <c r="AL29" s="29">
        <f t="shared" si="40"/>
        <v>14578612.077655096</v>
      </c>
      <c r="AM29" s="29">
        <f t="shared" si="40"/>
        <v>2053996.0116306215</v>
      </c>
      <c r="AN29" s="29">
        <f t="shared" si="40"/>
        <v>2122462.5453516422</v>
      </c>
      <c r="AO29" s="29">
        <f t="shared" si="40"/>
        <v>14715565.165440794</v>
      </c>
      <c r="AP29" s="29">
        <f t="shared" si="40"/>
        <v>2012945.6246574137</v>
      </c>
      <c r="AQ29" s="29">
        <f t="shared" si="40"/>
        <v>2012945.6246574137</v>
      </c>
      <c r="AR29" s="29">
        <f t="shared" si="40"/>
        <v>14926120.277485183</v>
      </c>
      <c r="AS29" s="29">
        <f t="shared" si="40"/>
        <v>1900690.7809458291</v>
      </c>
      <c r="AT29" s="29">
        <f t="shared" si="40"/>
        <v>1839378.1751088672</v>
      </c>
      <c r="AU29" s="29">
        <f t="shared" si="40"/>
        <v>15199540.22107718</v>
      </c>
      <c r="AV29" s="29">
        <f t="shared" si="40"/>
        <v>1785629.5661414554</v>
      </c>
      <c r="AW29" s="29">
        <f t="shared" si="40"/>
        <v>1670427.6586484581</v>
      </c>
      <c r="AX29" s="29">
        <f t="shared" si="40"/>
        <v>15416950.242276089</v>
      </c>
      <c r="AY29" s="29">
        <f t="shared" si="40"/>
        <v>1613895.3106131987</v>
      </c>
      <c r="AZ29" s="29">
        <f t="shared" si="40"/>
        <v>1667691.8209669723</v>
      </c>
      <c r="BA29" s="29">
        <f t="shared" si="40"/>
        <v>15589898.558128741</v>
      </c>
      <c r="BB29" s="29">
        <f t="shared" si="40"/>
        <v>1546805.632163127</v>
      </c>
      <c r="BC29" s="29">
        <f t="shared" si="40"/>
        <v>1546805.632163127</v>
      </c>
      <c r="BD29" s="29">
        <f t="shared" si="40"/>
        <v>15822312.004990328</v>
      </c>
      <c r="BE29" s="29">
        <f t="shared" si="40"/>
        <v>1422897.2886391853</v>
      </c>
      <c r="BF29" s="29">
        <f t="shared" si="40"/>
        <v>1376997.3761024375</v>
      </c>
      <c r="BG29" s="29">
        <f t="shared" si="40"/>
        <v>16102338.731137233</v>
      </c>
      <c r="BH29" s="29">
        <f t="shared" si="40"/>
        <v>1295891.2365271451</v>
      </c>
      <c r="BI29" s="29">
        <f t="shared" si="40"/>
        <v>1170482.4071858088</v>
      </c>
      <c r="BJ29" s="29">
        <f t="shared" si="40"/>
        <v>16342318.715087643</v>
      </c>
      <c r="BK29" s="29">
        <f t="shared" si="40"/>
        <v>1128106.4836570686</v>
      </c>
      <c r="BL29" s="29">
        <f t="shared" si="40"/>
        <v>1165710.0331123041</v>
      </c>
      <c r="BM29" s="29">
        <f t="shared" si="40"/>
        <v>16554999.027681589</v>
      </c>
      <c r="BN29" s="29">
        <f t="shared" si="40"/>
        <v>1032274.2996120921</v>
      </c>
      <c r="BO29" s="29">
        <f t="shared" ref="BO29:CH29" si="41">BO27+BO25</f>
        <v>1032274.2996120921</v>
      </c>
      <c r="BP29" s="29">
        <f t="shared" si="41"/>
        <v>16811539.986281995</v>
      </c>
      <c r="BQ29" s="29">
        <f t="shared" si="41"/>
        <v>895502.6727743746</v>
      </c>
      <c r="BR29" s="29">
        <f t="shared" si="41"/>
        <v>866615.48978165293</v>
      </c>
      <c r="BS29" s="29">
        <f t="shared" si="41"/>
        <v>17098859.364178564</v>
      </c>
      <c r="BT29" s="29">
        <f t="shared" si="41"/>
        <v>755311.75526571437</v>
      </c>
      <c r="BU29" s="29">
        <f t="shared" si="41"/>
        <v>682217.06927225809</v>
      </c>
      <c r="BV29" s="29">
        <f t="shared" si="41"/>
        <v>17363752.36395501</v>
      </c>
      <c r="BW29" s="29">
        <f t="shared" si="41"/>
        <v>591886.5143412943</v>
      </c>
      <c r="BX29" s="29">
        <f t="shared" si="41"/>
        <v>611616.06481933745</v>
      </c>
      <c r="BY29" s="29">
        <f t="shared" si="41"/>
        <v>17620289.366722256</v>
      </c>
      <c r="BZ29" s="29">
        <f t="shared" si="41"/>
        <v>464327.98211180122</v>
      </c>
      <c r="CA29" s="29">
        <f t="shared" si="41"/>
        <v>464327.98211180122</v>
      </c>
      <c r="CB29" s="29">
        <f t="shared" si="41"/>
        <v>17903462.583798684</v>
      </c>
      <c r="CC29" s="29">
        <f t="shared" si="41"/>
        <v>313357.69733657653</v>
      </c>
      <c r="CD29" s="29">
        <f t="shared" si="41"/>
        <v>303249.38451926759</v>
      </c>
      <c r="CE29" s="29">
        <f t="shared" si="41"/>
        <v>18198831.684703372</v>
      </c>
      <c r="CF29" s="29">
        <f t="shared" si="41"/>
        <v>158613.15544197123</v>
      </c>
      <c r="CG29" s="29">
        <f t="shared" si="41"/>
        <v>143263.49523790952</v>
      </c>
      <c r="CH29" s="29">
        <f t="shared" si="41"/>
        <v>18491223.992492937</v>
      </c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</row>
    <row r="30" spans="1:122" s="22" customFormat="1" ht="14.25" thickBot="1">
      <c r="A30" s="31" t="s">
        <v>68</v>
      </c>
      <c r="B30" s="32"/>
      <c r="C30" s="32"/>
      <c r="D30" s="32">
        <f t="shared" ref="D30:BE30" si="42">D24-D27</f>
        <v>83974322.25</v>
      </c>
      <c r="E30" s="32">
        <f t="shared" si="42"/>
        <v>83974322.25</v>
      </c>
      <c r="F30" s="32">
        <f t="shared" si="42"/>
        <v>83974322.25</v>
      </c>
      <c r="G30" s="32">
        <f t="shared" si="42"/>
        <v>83974322.25</v>
      </c>
      <c r="H30" s="32">
        <f t="shared" si="42"/>
        <v>161299882.99000001</v>
      </c>
      <c r="I30" s="32">
        <f t="shared" si="42"/>
        <v>161299882.99000001</v>
      </c>
      <c r="J30" s="32">
        <f t="shared" si="42"/>
        <v>226178747.54000002</v>
      </c>
      <c r="K30" s="32">
        <f t="shared" si="42"/>
        <v>272875098.88</v>
      </c>
      <c r="L30" s="32">
        <f t="shared" si="42"/>
        <v>291852976.18000001</v>
      </c>
      <c r="M30" s="32">
        <f>M24-M27</f>
        <v>291852976.18000001</v>
      </c>
      <c r="N30" s="32">
        <f t="shared" si="42"/>
        <v>337670000</v>
      </c>
      <c r="O30" s="32">
        <f t="shared" si="42"/>
        <v>337670000</v>
      </c>
      <c r="P30" s="32">
        <f t="shared" si="42"/>
        <v>337670000</v>
      </c>
      <c r="Q30" s="32">
        <f>Q24-Q27</f>
        <v>327231667.94900417</v>
      </c>
      <c r="R30" s="32">
        <f t="shared" si="42"/>
        <v>327231667.94900417</v>
      </c>
      <c r="S30" s="32">
        <f t="shared" si="42"/>
        <v>327231667.94900417</v>
      </c>
      <c r="T30" s="32">
        <f t="shared" si="42"/>
        <v>316532377.59673345</v>
      </c>
      <c r="U30" s="32">
        <f t="shared" si="42"/>
        <v>316532377.59673345</v>
      </c>
      <c r="V30" s="32">
        <f t="shared" si="42"/>
        <v>316532377.59673345</v>
      </c>
      <c r="W30" s="32">
        <f t="shared" si="42"/>
        <v>305565604.98565596</v>
      </c>
      <c r="X30" s="32">
        <f t="shared" si="42"/>
        <v>305565604.98565596</v>
      </c>
      <c r="Y30" s="32">
        <f t="shared" si="42"/>
        <v>305565604.98565596</v>
      </c>
      <c r="Z30" s="32">
        <f t="shared" si="42"/>
        <v>294324663.05930156</v>
      </c>
      <c r="AA30" s="32">
        <f t="shared" si="42"/>
        <v>294324663.05930156</v>
      </c>
      <c r="AB30" s="32">
        <f t="shared" si="42"/>
        <v>294324663.05930156</v>
      </c>
      <c r="AC30" s="32">
        <f t="shared" si="42"/>
        <v>282802697.58478826</v>
      </c>
      <c r="AD30" s="32">
        <f t="shared" si="42"/>
        <v>282802697.58478826</v>
      </c>
      <c r="AE30" s="32">
        <f t="shared" si="42"/>
        <v>282802697.58478826</v>
      </c>
      <c r="AF30" s="32">
        <f t="shared" si="42"/>
        <v>270992682.97341216</v>
      </c>
      <c r="AG30" s="32">
        <f t="shared" si="42"/>
        <v>270992682.97341216</v>
      </c>
      <c r="AH30" s="32">
        <f t="shared" si="42"/>
        <v>270992682.97341216</v>
      </c>
      <c r="AI30" s="32">
        <f t="shared" si="42"/>
        <v>258887417.99675164</v>
      </c>
      <c r="AJ30" s="32">
        <f t="shared" si="42"/>
        <v>258887417.99675164</v>
      </c>
      <c r="AK30" s="32">
        <f t="shared" si="42"/>
        <v>258887417.99675164</v>
      </c>
      <c r="AL30" s="32">
        <f t="shared" si="42"/>
        <v>246479521.39567459</v>
      </c>
      <c r="AM30" s="32">
        <f t="shared" si="42"/>
        <v>246479521.39567459</v>
      </c>
      <c r="AN30" s="32">
        <f t="shared" si="42"/>
        <v>246479521.39567459</v>
      </c>
      <c r="AO30" s="32">
        <f t="shared" si="42"/>
        <v>233761427.3795706</v>
      </c>
      <c r="AP30" s="32">
        <f t="shared" si="42"/>
        <v>233761427.3795706</v>
      </c>
      <c r="AQ30" s="32">
        <f t="shared" si="42"/>
        <v>233761427.3795706</v>
      </c>
      <c r="AR30" s="32">
        <f t="shared" si="42"/>
        <v>220725381.01306403</v>
      </c>
      <c r="AS30" s="32">
        <f t="shared" si="42"/>
        <v>220725381.01306403</v>
      </c>
      <c r="AT30" s="32">
        <f t="shared" si="42"/>
        <v>220725381.01306403</v>
      </c>
      <c r="AU30" s="32">
        <f t="shared" si="42"/>
        <v>207363433.48739481</v>
      </c>
      <c r="AV30" s="32">
        <f t="shared" si="42"/>
        <v>207363433.48739481</v>
      </c>
      <c r="AW30" s="32">
        <f t="shared" si="42"/>
        <v>207363433.48739481</v>
      </c>
      <c r="AX30" s="32">
        <f t="shared" si="42"/>
        <v>193667437.27358386</v>
      </c>
      <c r="AY30" s="32">
        <f t="shared" si="42"/>
        <v>193667437.27358386</v>
      </c>
      <c r="AZ30" s="32">
        <f t="shared" si="42"/>
        <v>193667437.27358386</v>
      </c>
      <c r="BA30" s="32">
        <f t="shared" si="42"/>
        <v>179629041.15442762</v>
      </c>
      <c r="BB30" s="32">
        <f t="shared" si="42"/>
        <v>179629041.15442762</v>
      </c>
      <c r="BC30" s="32">
        <f t="shared" si="42"/>
        <v>179629041.15442762</v>
      </c>
      <c r="BD30" s="32">
        <f t="shared" si="42"/>
        <v>165239685.13229248</v>
      </c>
      <c r="BE30" s="32">
        <f t="shared" si="42"/>
        <v>165239685.13229248</v>
      </c>
      <c r="BF30" s="32">
        <f t="shared" ref="BF30:BT30" si="43">BF24-BF27</f>
        <v>165239685.13229248</v>
      </c>
      <c r="BG30" s="32">
        <f t="shared" si="43"/>
        <v>150490595.20960397</v>
      </c>
      <c r="BH30" s="32">
        <f t="shared" si="43"/>
        <v>150490595.20960397</v>
      </c>
      <c r="BI30" s="32">
        <f t="shared" si="43"/>
        <v>150490595.20960397</v>
      </c>
      <c r="BJ30" s="32">
        <f t="shared" si="43"/>
        <v>135372778.03884822</v>
      </c>
      <c r="BK30" s="32">
        <f t="shared" si="43"/>
        <v>135372778.03884822</v>
      </c>
      <c r="BL30" s="32">
        <f t="shared" si="43"/>
        <v>135372778.03884822</v>
      </c>
      <c r="BM30" s="32">
        <f t="shared" si="43"/>
        <v>119877015.4388236</v>
      </c>
      <c r="BN30" s="32">
        <f t="shared" si="43"/>
        <v>119877015.4388236</v>
      </c>
      <c r="BO30" s="32">
        <f t="shared" si="43"/>
        <v>119877015.4388236</v>
      </c>
      <c r="BP30" s="32">
        <f t="shared" si="43"/>
        <v>103993858.77379835</v>
      </c>
      <c r="BQ30" s="32">
        <f t="shared" si="43"/>
        <v>103993858.77379835</v>
      </c>
      <c r="BR30" s="32">
        <f t="shared" si="43"/>
        <v>103993858.77379835</v>
      </c>
      <c r="BS30" s="32">
        <f t="shared" si="43"/>
        <v>87713623.192147464</v>
      </c>
      <c r="BT30" s="32">
        <f t="shared" si="43"/>
        <v>87713623.192147464</v>
      </c>
      <c r="BU30" s="32">
        <f>BU24-BU27</f>
        <v>87713623.192147464</v>
      </c>
      <c r="BV30" s="32">
        <f t="shared" ref="BV30:CG30" si="44">BV24-BV27</f>
        <v>71026381.720955312</v>
      </c>
      <c r="BW30" s="32">
        <f t="shared" si="44"/>
        <v>71026381.720955312</v>
      </c>
      <c r="BX30" s="32">
        <f t="shared" si="44"/>
        <v>71026381.720955312</v>
      </c>
      <c r="BY30" s="32">
        <f t="shared" si="44"/>
        <v>53921959.212983362</v>
      </c>
      <c r="BZ30" s="32">
        <f t="shared" si="44"/>
        <v>53921959.212983362</v>
      </c>
      <c r="CA30" s="32">
        <f t="shared" si="44"/>
        <v>53921959.212983362</v>
      </c>
      <c r="CB30" s="32">
        <f t="shared" si="44"/>
        <v>36389926.142312109</v>
      </c>
      <c r="CC30" s="32">
        <f t="shared" si="44"/>
        <v>36389926.142312109</v>
      </c>
      <c r="CD30" s="32">
        <f t="shared" si="44"/>
        <v>36389926.142312109</v>
      </c>
      <c r="CE30" s="32">
        <f t="shared" si="44"/>
        <v>18419592.244874079</v>
      </c>
      <c r="CF30" s="32">
        <f t="shared" si="44"/>
        <v>18419592.244874079</v>
      </c>
      <c r="CG30" s="32">
        <f t="shared" si="44"/>
        <v>18419592.244874079</v>
      </c>
      <c r="CH30" s="32">
        <f>CH24-CH27</f>
        <v>9.6857547760009766E-8</v>
      </c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</row>
    <row r="31" spans="1:122" s="22" customFormat="1">
      <c r="A31" s="21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</row>
    <row r="32" spans="1:122" s="49" customFormat="1">
      <c r="A32" s="47"/>
      <c r="B32" s="48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CH32" s="49">
        <f>CH26-PABL_Loan!AD32</f>
        <v>0</v>
      </c>
    </row>
    <row r="33" spans="2:15"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</row>
    <row r="34" spans="2:15">
      <c r="B34" s="33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</row>
    <row r="35" spans="2:15"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</row>
    <row r="36" spans="2:15"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</row>
    <row r="37" spans="2:15"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</row>
    <row r="38" spans="2:15">
      <c r="B38" s="33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</row>
    <row r="39" spans="2:15"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</row>
    <row r="40" spans="2:15">
      <c r="E40" s="35"/>
    </row>
  </sheetData>
  <phoneticPr fontId="0" type="noConversion"/>
  <pageMargins left="0.75" right="0.75" top="1" bottom="1" header="0.5" footer="0.5"/>
  <pageSetup paperSize="9" orientation="portrait" r:id="rId1"/>
  <headerFooter alignWithMargins="0"/>
  <ignoredErrors>
    <ignoredError sqref="D29:E29 O24:BE24 D27:D28 D30 E26:E28 E30 CE24:CG24 BY24:CD24 CH24 BU24:BW24 BU26:BW26 BB31:BK31 BB26:BE26 BF26:BK26 BO26:BT26 BO24:BT24 BF24:BN24 BL26:BN26 AR26:AT26 AL26:AQ26 AH26:AK26 S26:V26 X26:Y26 O26:P26 AA26:AB26 AF26:AG26 R26 F29:G29 F26:J26 F30:J30 H29:J29 N26 M24 K26:M26 C31 F28:J28 F27:G27 O28:P30 N28:N30 R28:R30 S28:V30 CO31 CE28:CG30 BY28:CD30 CH28:CH30 BU28:BW30 BB28:BE30 BF28:BK30 BO28:BT30 BL28:BN30 AR28:AT30 AL28:AQ30 AH28:AK30 X28:Y30 AA28:AB30 AF28:AG30 BY26:CD26 CE26:CG26 K28:M29 K30:L30" unlockedFormula="1"/>
    <ignoredError sqref="AW26:BA26 AU26:AV26 W26 Q26 AC26 Z26 AD26:AE26 Q28:Q29 AW28:BA30 AU28:AV30 W28:W30 AC28:AC30 Z28:Z30 AD28:AE30" formula="1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view="pageBreakPreview" topLeftCell="A19" zoomScale="80" zoomScaleNormal="100" zoomScaleSheetLayoutView="80" workbookViewId="0">
      <selection activeCell="D19" sqref="D19:F19"/>
    </sheetView>
  </sheetViews>
  <sheetFormatPr defaultColWidth="9.140625" defaultRowHeight="13.5"/>
  <cols>
    <col min="1" max="1" width="15" style="22" bestFit="1" customWidth="1"/>
    <col min="2" max="2" width="16.140625" style="22" customWidth="1"/>
    <col min="3" max="3" width="16.28515625" style="22" customWidth="1"/>
    <col min="4" max="4" width="17.7109375" style="22" customWidth="1"/>
    <col min="5" max="5" width="16.5703125" style="22" bestFit="1" customWidth="1"/>
    <col min="6" max="6" width="20.28515625" style="22" bestFit="1" customWidth="1"/>
    <col min="7" max="7" width="16" style="22" bestFit="1" customWidth="1"/>
    <col min="8" max="8" width="14.5703125" style="22" bestFit="1" customWidth="1"/>
    <col min="9" max="16384" width="9.140625" style="22"/>
  </cols>
  <sheetData>
    <row r="1" spans="1:5" ht="16.5">
      <c r="A1" s="16" t="s">
        <v>41</v>
      </c>
      <c r="B1" s="17"/>
      <c r="C1" s="109" t="str">
        <f>PABL_Loan!C1</f>
        <v>Pretty Auto Bricks Ltd.</v>
      </c>
      <c r="D1" s="17"/>
      <c r="E1" s="17"/>
    </row>
    <row r="2" spans="1:5">
      <c r="A2" s="21"/>
      <c r="B2" s="21"/>
      <c r="C2" s="21"/>
      <c r="D2" s="21"/>
      <c r="E2" s="21"/>
    </row>
    <row r="3" spans="1:5" ht="16.5">
      <c r="A3" s="16"/>
      <c r="B3" s="17"/>
      <c r="C3" s="17"/>
      <c r="D3" s="17"/>
      <c r="E3" s="17"/>
    </row>
    <row r="4" spans="1:5" ht="15">
      <c r="A4" s="20" t="s">
        <v>42</v>
      </c>
      <c r="B4" s="21"/>
      <c r="C4" s="78">
        <f>Accrual_PABL!B5</f>
        <v>41673</v>
      </c>
      <c r="D4" s="20"/>
      <c r="E4" s="20"/>
    </row>
    <row r="5" spans="1:5">
      <c r="A5" s="21"/>
      <c r="B5" s="21"/>
      <c r="C5" s="21"/>
      <c r="D5" s="21"/>
      <c r="E5" s="21"/>
    </row>
    <row r="6" spans="1:5" ht="15">
      <c r="A6" s="20" t="s">
        <v>43</v>
      </c>
      <c r="B6" s="21"/>
      <c r="C6" s="79">
        <f>PABL_Loan!C5</f>
        <v>337670000</v>
      </c>
      <c r="D6" s="20"/>
      <c r="E6" s="21"/>
    </row>
    <row r="7" spans="1:5" ht="15">
      <c r="A7" s="20"/>
      <c r="B7" s="21"/>
      <c r="C7" s="21"/>
      <c r="D7" s="21"/>
      <c r="E7" s="21"/>
    </row>
    <row r="8" spans="1:5" ht="15">
      <c r="A8" s="20" t="s">
        <v>75</v>
      </c>
      <c r="B8" s="21"/>
      <c r="C8" s="78">
        <f>PABL_Loan!C7</f>
        <v>42509</v>
      </c>
      <c r="D8" s="21"/>
      <c r="E8" s="88"/>
    </row>
    <row r="9" spans="1:5" ht="15">
      <c r="A9" s="20"/>
      <c r="B9" s="21"/>
      <c r="C9" s="88"/>
      <c r="D9" s="21"/>
      <c r="E9" s="21"/>
    </row>
    <row r="10" spans="1:5" ht="15">
      <c r="A10" s="20" t="s">
        <v>51</v>
      </c>
      <c r="B10" s="21"/>
      <c r="C10" s="89">
        <v>0.1</v>
      </c>
      <c r="D10" s="21"/>
      <c r="E10" s="21"/>
    </row>
    <row r="11" spans="1:5" ht="15">
      <c r="A11" s="20" t="s">
        <v>52</v>
      </c>
      <c r="B11" s="21"/>
      <c r="C11" s="88" t="s">
        <v>53</v>
      </c>
      <c r="D11" s="21"/>
      <c r="E11" s="21"/>
    </row>
    <row r="12" spans="1:5" ht="15">
      <c r="A12" s="20" t="s">
        <v>16</v>
      </c>
      <c r="B12" s="21"/>
      <c r="C12" s="128" t="str">
        <f>Accrual_PABL!B14</f>
        <v>Annuity</v>
      </c>
      <c r="D12" s="127"/>
      <c r="E12" s="21"/>
    </row>
    <row r="13" spans="1:5" ht="15">
      <c r="A13" s="90" t="s">
        <v>55</v>
      </c>
      <c r="B13" s="21"/>
      <c r="C13" s="33">
        <v>360</v>
      </c>
      <c r="D13" s="113" t="s">
        <v>56</v>
      </c>
      <c r="E13" s="21"/>
    </row>
    <row r="14" spans="1:5" ht="15">
      <c r="A14" s="90" t="s">
        <v>57</v>
      </c>
      <c r="B14" s="88"/>
      <c r="C14" s="91">
        <v>24</v>
      </c>
      <c r="D14" s="21"/>
      <c r="E14" s="21"/>
    </row>
    <row r="15" spans="1:5" ht="15">
      <c r="A15" s="90"/>
      <c r="B15" s="92"/>
      <c r="C15" s="93"/>
      <c r="D15" s="21"/>
      <c r="E15" s="21"/>
    </row>
    <row r="16" spans="1:5" ht="15">
      <c r="A16" s="90" t="s">
        <v>58</v>
      </c>
      <c r="B16" s="92"/>
      <c r="C16" s="93"/>
      <c r="D16" s="21"/>
      <c r="E16" s="21"/>
    </row>
    <row r="17" spans="1:8" ht="15">
      <c r="A17" s="94"/>
      <c r="B17" s="95"/>
      <c r="C17" s="95">
        <f>PABL_Loan!C22</f>
        <v>42509</v>
      </c>
      <c r="D17" s="95">
        <f>PABL_Loan!D22</f>
        <v>42618</v>
      </c>
      <c r="E17" s="95">
        <f>PABL_Loan!E22</f>
        <v>42690</v>
      </c>
      <c r="F17" s="95">
        <f>PABL_Loan!F22</f>
        <v>42732</v>
      </c>
    </row>
    <row r="18" spans="1:8" ht="15">
      <c r="A18" s="96"/>
      <c r="B18" s="97"/>
      <c r="C18" s="98">
        <f>PABL_Loan!C23</f>
        <v>83974322.25</v>
      </c>
      <c r="D18" s="98">
        <f>PABL_Loan!D23</f>
        <v>77325560.739999995</v>
      </c>
      <c r="E18" s="98">
        <f>PABL_Loan!E23</f>
        <v>64878864.549999997</v>
      </c>
      <c r="F18" s="98">
        <f>PABL_Loan!F23</f>
        <v>46696351.340000004</v>
      </c>
    </row>
    <row r="19" spans="1:8" ht="15">
      <c r="A19" s="99"/>
      <c r="B19" s="100"/>
      <c r="C19" s="101">
        <f>C18</f>
        <v>83974322.25</v>
      </c>
      <c r="D19" s="101">
        <f>D18+C19</f>
        <v>161299882.99000001</v>
      </c>
      <c r="E19" s="101">
        <f t="shared" ref="E19:F19" si="0">E18+D19</f>
        <v>226178747.54000002</v>
      </c>
      <c r="F19" s="101">
        <f t="shared" si="0"/>
        <v>272875098.88</v>
      </c>
    </row>
    <row r="20" spans="1:8">
      <c r="A20" s="82"/>
    </row>
    <row r="21" spans="1:8" ht="15">
      <c r="A21" s="111"/>
      <c r="B21" s="112"/>
      <c r="C21" s="112"/>
      <c r="D21" s="112"/>
      <c r="E21" s="112"/>
      <c r="F21" s="112"/>
      <c r="G21" s="112"/>
      <c r="H21" s="112"/>
    </row>
    <row r="22" spans="1:8">
      <c r="A22" s="82"/>
    </row>
    <row r="23" spans="1:8" ht="15">
      <c r="A23" s="118" t="s">
        <v>61</v>
      </c>
      <c r="B23" s="119" t="s">
        <v>62</v>
      </c>
      <c r="C23" s="119" t="s">
        <v>63</v>
      </c>
      <c r="D23" s="119" t="s">
        <v>64</v>
      </c>
      <c r="E23" s="119" t="s">
        <v>65</v>
      </c>
      <c r="F23" s="119" t="s">
        <v>66</v>
      </c>
      <c r="G23" s="119" t="s">
        <v>67</v>
      </c>
      <c r="H23" s="119" t="s">
        <v>68</v>
      </c>
    </row>
    <row r="24" spans="1:8">
      <c r="A24" s="116">
        <f t="array" ref="A24:H51">TRANSPOSE(PABL_Loan!C29:AD36)</f>
        <v>42536</v>
      </c>
      <c r="B24" s="117">
        <v>83974322.25</v>
      </c>
      <c r="C24" s="117">
        <v>629807.416875</v>
      </c>
      <c r="D24" s="117">
        <v>629807.416875</v>
      </c>
      <c r="E24" s="117">
        <v>0</v>
      </c>
      <c r="F24" s="117">
        <v>0</v>
      </c>
      <c r="G24" s="117">
        <v>629807.416875</v>
      </c>
      <c r="H24" s="117">
        <v>83974322.25</v>
      </c>
    </row>
    <row r="25" spans="1:8">
      <c r="A25" s="116">
        <v>42628</v>
      </c>
      <c r="B25" s="117">
        <v>161299882.99000001</v>
      </c>
      <c r="C25" s="117">
        <v>2360803.6817777781</v>
      </c>
      <c r="D25" s="117">
        <v>2990611.0986527782</v>
      </c>
      <c r="E25" s="117">
        <v>0</v>
      </c>
      <c r="F25" s="117">
        <v>0</v>
      </c>
      <c r="G25" s="117">
        <v>2360803.6817777781</v>
      </c>
      <c r="H25" s="117">
        <v>161299882.99000001</v>
      </c>
    </row>
    <row r="26" spans="1:8">
      <c r="A26" s="116">
        <v>42719</v>
      </c>
      <c r="B26" s="117">
        <v>226178747.54000002</v>
      </c>
      <c r="C26" s="117">
        <v>4599937.8955666674</v>
      </c>
      <c r="D26" s="117">
        <v>7590548.9942194456</v>
      </c>
      <c r="E26" s="117">
        <v>0</v>
      </c>
      <c r="F26" s="117">
        <v>0</v>
      </c>
      <c r="G26" s="117">
        <v>4599937.8955666674</v>
      </c>
      <c r="H26" s="117">
        <v>226178747.54000002</v>
      </c>
    </row>
    <row r="27" spans="1:8">
      <c r="A27" s="116">
        <v>42809</v>
      </c>
      <c r="B27" s="117">
        <v>337670000</v>
      </c>
      <c r="C27" s="117">
        <v>7092451.8526499998</v>
      </c>
      <c r="D27" s="117">
        <v>14683000.846869446</v>
      </c>
      <c r="E27" s="117">
        <v>0</v>
      </c>
      <c r="F27" s="117">
        <v>0</v>
      </c>
      <c r="G27" s="117">
        <v>7092451.8526499998</v>
      </c>
      <c r="H27" s="117">
        <v>337670000</v>
      </c>
    </row>
    <row r="28" spans="1:8">
      <c r="A28" s="116">
        <v>42901</v>
      </c>
      <c r="B28" s="117">
        <v>337670000</v>
      </c>
      <c r="C28" s="117">
        <v>8629344.444444444</v>
      </c>
      <c r="D28" s="117">
        <v>23312345.29131389</v>
      </c>
      <c r="E28" s="117">
        <v>10438332.050995832</v>
      </c>
      <c r="F28" s="117">
        <v>10438332.050995832</v>
      </c>
      <c r="G28" s="117">
        <v>19067676.495440274</v>
      </c>
      <c r="H28" s="117">
        <v>327231667.94900417</v>
      </c>
    </row>
    <row r="29" spans="1:8">
      <c r="A29" s="116">
        <v>42992</v>
      </c>
      <c r="B29" s="117">
        <v>327231667.94900417</v>
      </c>
      <c r="C29" s="117">
        <v>8271689.3842664948</v>
      </c>
      <c r="D29" s="117">
        <v>31584034.675580386</v>
      </c>
      <c r="E29" s="117">
        <v>10699290.352270728</v>
      </c>
      <c r="F29" s="117">
        <v>21137622.40326656</v>
      </c>
      <c r="G29" s="117">
        <v>18970979.736537222</v>
      </c>
      <c r="H29" s="117">
        <v>316532377.59673345</v>
      </c>
    </row>
    <row r="30" spans="1:8">
      <c r="A30" s="116">
        <v>43084</v>
      </c>
      <c r="B30" s="117">
        <v>316532377.59673345</v>
      </c>
      <c r="C30" s="117">
        <v>8089160.7608054113</v>
      </c>
      <c r="D30" s="117">
        <v>39673195.436385795</v>
      </c>
      <c r="E30" s="117">
        <v>10966772.611077495</v>
      </c>
      <c r="F30" s="117">
        <v>32104395.014344055</v>
      </c>
      <c r="G30" s="117">
        <v>19055933.371882908</v>
      </c>
      <c r="H30" s="117">
        <v>305565604.98565596</v>
      </c>
    </row>
    <row r="31" spans="1:8">
      <c r="A31" s="116">
        <v>43174</v>
      </c>
      <c r="B31" s="117">
        <v>305565604.98565596</v>
      </c>
      <c r="C31" s="117">
        <v>7639140.1246413998</v>
      </c>
      <c r="D31" s="117">
        <v>47312335.561027199</v>
      </c>
      <c r="E31" s="117">
        <v>11240941.926354432</v>
      </c>
      <c r="F31" s="117">
        <v>43345336.94069849</v>
      </c>
      <c r="G31" s="117">
        <v>18880082.050995834</v>
      </c>
      <c r="H31" s="117">
        <v>294324663.05930156</v>
      </c>
    </row>
    <row r="32" spans="1:8">
      <c r="A32" s="116">
        <v>43266</v>
      </c>
      <c r="B32" s="117">
        <v>294324663.05930156</v>
      </c>
      <c r="C32" s="117">
        <v>7521630.2781821517</v>
      </c>
      <c r="D32" s="117">
        <v>54833965.839209348</v>
      </c>
      <c r="E32" s="117">
        <v>11521965.474513294</v>
      </c>
      <c r="F32" s="117">
        <v>54867302.415211782</v>
      </c>
      <c r="G32" s="117">
        <v>19043595.752695445</v>
      </c>
      <c r="H32" s="117">
        <v>282802697.58478826</v>
      </c>
    </row>
    <row r="33" spans="1:8">
      <c r="A33" s="116">
        <v>43358</v>
      </c>
      <c r="B33" s="117">
        <v>282802697.58478826</v>
      </c>
      <c r="C33" s="117">
        <v>7227180.0493890336</v>
      </c>
      <c r="D33" s="117">
        <v>62061145.888598382</v>
      </c>
      <c r="E33" s="117">
        <v>11810014.611376125</v>
      </c>
      <c r="F33" s="117">
        <v>66677317.026587903</v>
      </c>
      <c r="G33" s="117">
        <v>19037194.66076516</v>
      </c>
      <c r="H33" s="117">
        <v>270992682.97341216</v>
      </c>
    </row>
    <row r="34" spans="1:8">
      <c r="A34" s="116">
        <v>43449</v>
      </c>
      <c r="B34" s="117">
        <v>270992682.97341216</v>
      </c>
      <c r="C34" s="117">
        <v>6850092.819605696</v>
      </c>
      <c r="D34" s="117">
        <v>68911238.708204076</v>
      </c>
      <c r="E34" s="117">
        <v>12105264.976660529</v>
      </c>
      <c r="F34" s="117">
        <v>78782582.003248438</v>
      </c>
      <c r="G34" s="117">
        <v>18955357.796266224</v>
      </c>
      <c r="H34" s="117">
        <v>258887417.99675164</v>
      </c>
    </row>
    <row r="35" spans="1:8">
      <c r="A35" s="116">
        <v>43539</v>
      </c>
      <c r="B35" s="117">
        <v>258887417.99675164</v>
      </c>
      <c r="C35" s="117">
        <v>6472185.4499187907</v>
      </c>
      <c r="D35" s="117">
        <v>75383424.158122867</v>
      </c>
      <c r="E35" s="117">
        <v>12407896.601077043</v>
      </c>
      <c r="F35" s="117">
        <v>91190478.604325473</v>
      </c>
      <c r="G35" s="117">
        <v>18880082.050995834</v>
      </c>
      <c r="H35" s="117">
        <v>246479521.39567459</v>
      </c>
    </row>
    <row r="36" spans="1:8">
      <c r="A36" s="116">
        <v>43631</v>
      </c>
      <c r="B36" s="117">
        <v>246479521.39567459</v>
      </c>
      <c r="C36" s="117">
        <v>6298921.1023339061</v>
      </c>
      <c r="D36" s="117">
        <v>81682345.260456771</v>
      </c>
      <c r="E36" s="117">
        <v>12718094.016103968</v>
      </c>
      <c r="F36" s="117">
        <v>103908572.62042944</v>
      </c>
      <c r="G36" s="117">
        <v>19017015.118437875</v>
      </c>
      <c r="H36" s="117">
        <v>233761427.3795706</v>
      </c>
    </row>
    <row r="37" spans="1:8">
      <c r="A37" s="116">
        <v>43723</v>
      </c>
      <c r="B37" s="117">
        <v>233761427.3795706</v>
      </c>
      <c r="C37" s="117">
        <v>5973903.1441445816</v>
      </c>
      <c r="D37" s="117">
        <v>87656248.40460135</v>
      </c>
      <c r="E37" s="117">
        <v>13036046.366506567</v>
      </c>
      <c r="F37" s="117">
        <v>116944618.986936</v>
      </c>
      <c r="G37" s="117">
        <v>19009949.510651149</v>
      </c>
      <c r="H37" s="117">
        <v>220725381.01306403</v>
      </c>
    </row>
    <row r="38" spans="1:8">
      <c r="A38" s="116">
        <v>43814</v>
      </c>
      <c r="B38" s="117">
        <v>220725381.01306403</v>
      </c>
      <c r="C38" s="117">
        <v>5579447.1311635636</v>
      </c>
      <c r="D38" s="117">
        <v>93235695.535764918</v>
      </c>
      <c r="E38" s="117">
        <v>13361947.525669232</v>
      </c>
      <c r="F38" s="117">
        <v>130306566.51260523</v>
      </c>
      <c r="G38" s="117">
        <v>18941394.656832796</v>
      </c>
      <c r="H38" s="117">
        <v>207363433.48739481</v>
      </c>
    </row>
    <row r="39" spans="1:8">
      <c r="A39" s="116">
        <v>43905</v>
      </c>
      <c r="B39" s="117">
        <v>207363433.48739481</v>
      </c>
      <c r="C39" s="117">
        <v>5241686.7909313692</v>
      </c>
      <c r="D39" s="117">
        <v>98477382.326696292</v>
      </c>
      <c r="E39" s="117">
        <v>13695996.213810964</v>
      </c>
      <c r="F39" s="117">
        <v>144002562.7264162</v>
      </c>
      <c r="G39" s="117">
        <v>18937683.004742332</v>
      </c>
      <c r="H39" s="117">
        <v>193667437.27358386</v>
      </c>
    </row>
    <row r="40" spans="1:8">
      <c r="A40" s="116">
        <v>43997</v>
      </c>
      <c r="B40" s="117">
        <v>193667437.27358386</v>
      </c>
      <c r="C40" s="117">
        <v>4949278.9525471432</v>
      </c>
      <c r="D40" s="117">
        <v>103426661.27924344</v>
      </c>
      <c r="E40" s="117">
        <v>14038396.119156236</v>
      </c>
      <c r="F40" s="117">
        <v>158040958.84557244</v>
      </c>
      <c r="G40" s="117">
        <v>18987675.071703378</v>
      </c>
      <c r="H40" s="117">
        <v>179629041.15442762</v>
      </c>
    </row>
    <row r="41" spans="1:8">
      <c r="A41" s="116">
        <v>44089</v>
      </c>
      <c r="B41" s="117">
        <v>179629041.15442762</v>
      </c>
      <c r="C41" s="117">
        <v>4590519.9406131506</v>
      </c>
      <c r="D41" s="117">
        <v>108017181.21985659</v>
      </c>
      <c r="E41" s="117">
        <v>14389356.022135142</v>
      </c>
      <c r="F41" s="117">
        <v>172430314.86770758</v>
      </c>
      <c r="G41" s="117">
        <v>18979875.962748293</v>
      </c>
      <c r="H41" s="117">
        <v>165239685.13229248</v>
      </c>
    </row>
    <row r="42" spans="1:8">
      <c r="A42" s="116">
        <v>44180</v>
      </c>
      <c r="B42" s="117">
        <v>165239685.13229248</v>
      </c>
      <c r="C42" s="117">
        <v>4176892.0408440605</v>
      </c>
      <c r="D42" s="117">
        <v>112194073.26070064</v>
      </c>
      <c r="E42" s="117">
        <v>14749089.922688521</v>
      </c>
      <c r="F42" s="117">
        <v>187179404.79039609</v>
      </c>
      <c r="G42" s="117">
        <v>18925981.963532582</v>
      </c>
      <c r="H42" s="117">
        <v>150490595.20960397</v>
      </c>
    </row>
    <row r="43" spans="1:8">
      <c r="A43" s="116">
        <v>44270</v>
      </c>
      <c r="B43" s="117">
        <v>150490595.20960397</v>
      </c>
      <c r="C43" s="117">
        <v>3762264.8802400995</v>
      </c>
      <c r="D43" s="117">
        <v>115956338.14094074</v>
      </c>
      <c r="E43" s="117">
        <v>15117817.170755733</v>
      </c>
      <c r="F43" s="117">
        <v>202297221.96115184</v>
      </c>
      <c r="G43" s="117">
        <v>18880082.050995834</v>
      </c>
      <c r="H43" s="117">
        <v>135372778.03884822</v>
      </c>
    </row>
    <row r="44" spans="1:8">
      <c r="A44" s="116">
        <v>44362</v>
      </c>
      <c r="B44" s="117">
        <v>135372778.03884822</v>
      </c>
      <c r="C44" s="117">
        <v>3459526.5498816767</v>
      </c>
      <c r="D44" s="117">
        <v>119415864.69082242</v>
      </c>
      <c r="E44" s="117">
        <v>15495762.600024629</v>
      </c>
      <c r="F44" s="117">
        <v>217792984.56117648</v>
      </c>
      <c r="G44" s="117">
        <v>18955289.149906307</v>
      </c>
      <c r="H44" s="117">
        <v>119877015.4388236</v>
      </c>
    </row>
    <row r="45" spans="1:8">
      <c r="A45" s="116">
        <v>44454</v>
      </c>
      <c r="B45" s="117">
        <v>119877015.4388236</v>
      </c>
      <c r="C45" s="117">
        <v>3063523.7278810474</v>
      </c>
      <c r="D45" s="117">
        <v>122479388.41870347</v>
      </c>
      <c r="E45" s="117">
        <v>15883156.665025244</v>
      </c>
      <c r="F45" s="117">
        <v>233676141.22620171</v>
      </c>
      <c r="G45" s="117">
        <v>18946680.39290629</v>
      </c>
      <c r="H45" s="117">
        <v>103993858.77379835</v>
      </c>
    </row>
    <row r="46" spans="1:8">
      <c r="A46" s="116">
        <v>44545</v>
      </c>
      <c r="B46" s="117">
        <v>103993858.77379835</v>
      </c>
      <c r="C46" s="117">
        <v>2628733.6523376806</v>
      </c>
      <c r="D46" s="117">
        <v>125108122.07104115</v>
      </c>
      <c r="E46" s="117">
        <v>16280235.581650876</v>
      </c>
      <c r="F46" s="117">
        <v>249956376.8078526</v>
      </c>
      <c r="G46" s="117">
        <v>18908969.233988557</v>
      </c>
      <c r="H46" s="117">
        <v>87713623.192147464</v>
      </c>
    </row>
    <row r="47" spans="1:8">
      <c r="A47" s="116">
        <v>44635</v>
      </c>
      <c r="B47" s="117">
        <v>87713623.192147464</v>
      </c>
      <c r="C47" s="117">
        <v>2192840.5798036866</v>
      </c>
      <c r="D47" s="117">
        <v>127300962.65084484</v>
      </c>
      <c r="E47" s="117">
        <v>16687241.471192146</v>
      </c>
      <c r="F47" s="117">
        <v>266643618.27904475</v>
      </c>
      <c r="G47" s="117">
        <v>18880082.050995834</v>
      </c>
      <c r="H47" s="117">
        <v>71026381.720955312</v>
      </c>
    </row>
    <row r="48" spans="1:8">
      <c r="A48" s="116">
        <v>44727</v>
      </c>
      <c r="B48" s="117">
        <v>71026381.720955312</v>
      </c>
      <c r="C48" s="117">
        <v>1815118.6439799692</v>
      </c>
      <c r="D48" s="117">
        <v>129116081.29482481</v>
      </c>
      <c r="E48" s="117">
        <v>17104422.50797195</v>
      </c>
      <c r="F48" s="117">
        <v>283748040.78701669</v>
      </c>
      <c r="G48" s="117">
        <v>18919541.15195192</v>
      </c>
      <c r="H48" s="117">
        <v>53921959.212983362</v>
      </c>
    </row>
    <row r="49" spans="1:8">
      <c r="A49" s="116">
        <v>44819</v>
      </c>
      <c r="B49" s="117">
        <v>53921959.212983362</v>
      </c>
      <c r="C49" s="117">
        <v>1378005.624331797</v>
      </c>
      <c r="D49" s="117">
        <v>130494086.91915661</v>
      </c>
      <c r="E49" s="117">
        <v>17532033.070671249</v>
      </c>
      <c r="F49" s="117">
        <v>301280073.85768795</v>
      </c>
      <c r="G49" s="117">
        <v>18910038.695003048</v>
      </c>
      <c r="H49" s="117">
        <v>36389926.142312109</v>
      </c>
    </row>
    <row r="50" spans="1:8">
      <c r="A50" s="116">
        <v>44910</v>
      </c>
      <c r="B50" s="117">
        <v>36389926.142312109</v>
      </c>
      <c r="C50" s="117">
        <v>919856.46637511172</v>
      </c>
      <c r="D50" s="117">
        <v>131413943.38553172</v>
      </c>
      <c r="E50" s="117">
        <v>17970333.897438031</v>
      </c>
      <c r="F50" s="117">
        <v>319250407.755126</v>
      </c>
      <c r="G50" s="117">
        <v>18890190.363813143</v>
      </c>
      <c r="H50" s="117">
        <v>18419592.244874079</v>
      </c>
    </row>
    <row r="51" spans="1:8">
      <c r="A51" s="116">
        <v>45000</v>
      </c>
      <c r="B51" s="117">
        <v>18419592.244874079</v>
      </c>
      <c r="C51" s="117">
        <v>460489.80612185202</v>
      </c>
      <c r="D51" s="117">
        <v>131874433.19165358</v>
      </c>
      <c r="E51" s="117">
        <v>18419592.244873982</v>
      </c>
      <c r="F51" s="117">
        <v>337670000</v>
      </c>
      <c r="G51" s="117">
        <v>18880082.050995834</v>
      </c>
      <c r="H51" s="117">
        <v>9.6857547760009766E-8</v>
      </c>
    </row>
  </sheetData>
  <pageMargins left="0.41" right="0.2" top="0.75" bottom="0.75" header="0.3" footer="0.3"/>
  <pageSetup paperSize="9" scale="75" fitToHeight="0" orientation="portrait" r:id="rId1"/>
  <ignoredErrors>
    <ignoredError sqref="C17:C18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IDCOL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Ashraf Hossain Bhuiyan</dc:creator>
  <cp:keywords/>
  <dc:description/>
  <cp:lastModifiedBy>Guest User</cp:lastModifiedBy>
  <cp:revision/>
  <dcterms:created xsi:type="dcterms:W3CDTF">2004-09-21T04:29:34Z</dcterms:created>
  <dcterms:modified xsi:type="dcterms:W3CDTF">2026-02-08T05:08:48Z</dcterms:modified>
  <cp:category/>
  <cp:contentStatus/>
</cp:coreProperties>
</file>