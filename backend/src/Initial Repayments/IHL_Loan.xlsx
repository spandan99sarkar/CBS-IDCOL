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RHAN\CAD Files\All-Loan-BdBank_Revised\Term_Loans\INFRASTRUCTURE LOANS\BDT LOANS\"/>
    </mc:Choice>
  </mc:AlternateContent>
  <xr:revisionPtr revIDLastSave="0" documentId="11_1C709E5590377B5EDD94639858299F16FFF71FED" xr6:coauthVersionLast="47" xr6:coauthVersionMax="47" xr10:uidLastSave="{00000000-0000-0000-0000-000000000000}"/>
  <bookViews>
    <workbookView xWindow="0" yWindow="0" windowWidth="20496" windowHeight="7752" tabRatio="815" firstSheet="1" activeTab="1" xr2:uid="{00000000-000D-0000-FFFF-FFFF00000000}"/>
  </bookViews>
  <sheets>
    <sheet name="Disbursement" sheetId="4" r:id="rId1"/>
    <sheet name="Summary" sheetId="5" r:id="rId2"/>
    <sheet name="IHL_Loan" sheetId="2" r:id="rId3"/>
    <sheet name="Accrual_IHL" sheetId="3" r:id="rId4"/>
    <sheet name="Repayment Schedule" sheetId="7" r:id="rId5"/>
  </sheets>
  <definedNames>
    <definedName name="_xlnm.Print_Area" localSheetId="2">IHL_Loan!$A$1:$K$40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2" l="1"/>
  <c r="B29" i="2"/>
  <c r="B34" i="2" s="1"/>
  <c r="B42" i="2"/>
  <c r="D53" i="2" l="1"/>
  <c r="C53" i="2"/>
  <c r="D49" i="2"/>
  <c r="E49" i="2" s="1"/>
  <c r="F49" i="2" s="1"/>
  <c r="G49" i="2" s="1"/>
  <c r="H49" i="2" s="1"/>
  <c r="I49" i="2" s="1"/>
  <c r="J49" i="2" s="1"/>
  <c r="K49" i="2" s="1"/>
  <c r="L49" i="2" s="1"/>
  <c r="M49" i="2" s="1"/>
  <c r="N49" i="2" s="1"/>
  <c r="O49" i="2" s="1"/>
  <c r="P49" i="2" s="1"/>
  <c r="Q49" i="2" s="1"/>
  <c r="R49" i="2" s="1"/>
  <c r="S49" i="2" s="1"/>
  <c r="T49" i="2" s="1"/>
  <c r="U49" i="2" s="1"/>
  <c r="V49" i="2" s="1"/>
  <c r="W49" i="2" s="1"/>
  <c r="X49" i="2" s="1"/>
  <c r="Y49" i="2" s="1"/>
  <c r="Z49" i="2" s="1"/>
  <c r="AA49" i="2" s="1"/>
  <c r="AB49" i="2" s="1"/>
  <c r="AC49" i="2" s="1"/>
  <c r="AD49" i="2" s="1"/>
  <c r="AE49" i="2" s="1"/>
  <c r="AF49" i="2" s="1"/>
  <c r="AG49" i="2" s="1"/>
  <c r="AH49" i="2" s="1"/>
  <c r="AI49" i="2" s="1"/>
  <c r="AJ49" i="2" s="1"/>
  <c r="AK49" i="2" s="1"/>
  <c r="AL49" i="2" s="1"/>
  <c r="AM49" i="2" s="1"/>
  <c r="AN49" i="2" s="1"/>
  <c r="AO49" i="2" s="1"/>
  <c r="AP49" i="2" s="1"/>
  <c r="AQ49" i="2" s="1"/>
  <c r="AR49" i="2" s="1"/>
  <c r="AS49" i="2" s="1"/>
  <c r="AT49" i="2" s="1"/>
  <c r="AU49" i="2" s="1"/>
  <c r="AV49" i="2" s="1"/>
  <c r="AW49" i="2" s="1"/>
  <c r="AX49" i="2" s="1"/>
  <c r="AY49" i="2" s="1"/>
  <c r="AZ49" i="2" s="1"/>
  <c r="BA49" i="2" s="1"/>
  <c r="BB49" i="2" s="1"/>
  <c r="BC49" i="2" s="1"/>
  <c r="BD49" i="2" s="1"/>
  <c r="BE49" i="2" s="1"/>
  <c r="BF49" i="2" s="1"/>
  <c r="BG49" i="2" s="1"/>
  <c r="BH49" i="2" s="1"/>
  <c r="BI49" i="2" s="1"/>
  <c r="BJ49" i="2" s="1"/>
  <c r="BK49" i="2" s="1"/>
  <c r="BL49" i="2" s="1"/>
  <c r="BM49" i="2" s="1"/>
  <c r="BN49" i="2" s="1"/>
  <c r="BO49" i="2" s="1"/>
  <c r="BP49" i="2" s="1"/>
  <c r="BQ49" i="2" s="1"/>
  <c r="BR49" i="2" s="1"/>
  <c r="BS49" i="2" s="1"/>
  <c r="BT49" i="2" s="1"/>
  <c r="BU49" i="2" s="1"/>
  <c r="BV49" i="2" s="1"/>
  <c r="BW49" i="2" s="1"/>
  <c r="BX49" i="2" s="1"/>
  <c r="BY49" i="2" s="1"/>
  <c r="BZ49" i="2" s="1"/>
  <c r="CA49" i="2" s="1"/>
  <c r="CB49" i="2" s="1"/>
  <c r="CC49" i="2" s="1"/>
  <c r="CD49" i="2" s="1"/>
  <c r="CE49" i="2" s="1"/>
  <c r="CF49" i="2" s="1"/>
  <c r="CG49" i="2" s="1"/>
  <c r="CH49" i="2" s="1"/>
  <c r="J21" i="5" l="1"/>
  <c r="G21" i="5"/>
  <c r="C35" i="5"/>
  <c r="CG23" i="3" l="1"/>
  <c r="CG19" i="3"/>
  <c r="CF27" i="3"/>
  <c r="CC27" i="3"/>
  <c r="BZ27" i="3"/>
  <c r="BW27" i="3"/>
  <c r="BT27" i="3"/>
  <c r="BQ27" i="3"/>
  <c r="BN27" i="3"/>
  <c r="BK27" i="3"/>
  <c r="BH27" i="3"/>
  <c r="BE27" i="3"/>
  <c r="BB27" i="3"/>
  <c r="AY27" i="3"/>
  <c r="AV27" i="3"/>
  <c r="AS27" i="3"/>
  <c r="AP27" i="3"/>
  <c r="AM27" i="3"/>
  <c r="AJ27" i="3"/>
  <c r="AG27" i="3"/>
  <c r="AD27" i="3"/>
  <c r="L26" i="2" l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J21" i="2"/>
  <c r="AA21" i="2" l="1"/>
  <c r="AA42" i="2"/>
  <c r="B35" i="5"/>
  <c r="F35" i="5"/>
  <c r="E35" i="5"/>
  <c r="D35" i="5"/>
  <c r="AB21" i="2" l="1"/>
  <c r="AB42" i="2"/>
  <c r="C27" i="3"/>
  <c r="D27" i="3" s="1"/>
  <c r="E27" i="3" s="1"/>
  <c r="F27" i="3" s="1"/>
  <c r="G27" i="3" s="1"/>
  <c r="H27" i="3" s="1"/>
  <c r="I27" i="3" s="1"/>
  <c r="J27" i="3" s="1"/>
  <c r="K27" i="3" s="1"/>
  <c r="L27" i="3" s="1"/>
  <c r="AC21" i="2" l="1"/>
  <c r="AC42" i="2"/>
  <c r="M27" i="3"/>
  <c r="P27" i="3" s="1"/>
  <c r="S27" i="3" s="1"/>
  <c r="V27" i="3" s="1"/>
  <c r="Y27" i="3" s="1"/>
  <c r="B21" i="2"/>
  <c r="AD42" i="2" l="1"/>
  <c r="AD21" i="2"/>
  <c r="N27" i="3"/>
  <c r="Q27" i="3" s="1"/>
  <c r="T27" i="3" s="1"/>
  <c r="W27" i="3" s="1"/>
  <c r="Z27" i="3" s="1"/>
  <c r="AC27" i="3" s="1"/>
  <c r="AF27" i="3" s="1"/>
  <c r="AI27" i="3" s="1"/>
  <c r="AL27" i="3" s="1"/>
  <c r="AO27" i="3" s="1"/>
  <c r="AR27" i="3" s="1"/>
  <c r="AU27" i="3" s="1"/>
  <c r="AX27" i="3" s="1"/>
  <c r="BA27" i="3" s="1"/>
  <c r="BD27" i="3" s="1"/>
  <c r="BG27" i="3" s="1"/>
  <c r="BJ27" i="3" s="1"/>
  <c r="BM27" i="3" s="1"/>
  <c r="BP27" i="3" s="1"/>
  <c r="BS27" i="3" s="1"/>
  <c r="BV27" i="3" s="1"/>
  <c r="BY27" i="3" s="1"/>
  <c r="CB27" i="3" s="1"/>
  <c r="CE27" i="3" s="1"/>
  <c r="D8" i="4"/>
  <c r="C19" i="3" l="1"/>
  <c r="D19" i="3" s="1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BI19" i="3" s="1"/>
  <c r="BJ19" i="3" s="1"/>
  <c r="BK19" i="3" s="1"/>
  <c r="BL19" i="3" s="1"/>
  <c r="BM19" i="3" s="1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W42" i="2" l="1"/>
  <c r="O42" i="2"/>
  <c r="F42" i="2"/>
  <c r="T42" i="2"/>
  <c r="L42" i="2"/>
  <c r="C42" i="2"/>
  <c r="S42" i="2"/>
  <c r="K42" i="2"/>
  <c r="X42" i="2"/>
  <c r="P42" i="2"/>
  <c r="G42" i="2"/>
  <c r="Z42" i="2"/>
  <c r="V42" i="2"/>
  <c r="R42" i="2"/>
  <c r="N42" i="2"/>
  <c r="I42" i="2"/>
  <c r="E42" i="2"/>
  <c r="Y42" i="2"/>
  <c r="U42" i="2"/>
  <c r="Q42" i="2"/>
  <c r="M42" i="2"/>
  <c r="H42" i="2"/>
  <c r="D42" i="2"/>
  <c r="C21" i="2" l="1"/>
  <c r="C17" i="2"/>
  <c r="C16" i="2"/>
  <c r="M35" i="5"/>
  <c r="C9" i="7"/>
  <c r="C7" i="7"/>
  <c r="C5" i="7"/>
  <c r="C3" i="7"/>
  <c r="J35" i="5"/>
  <c r="B22" i="5"/>
  <c r="B5" i="5" s="1"/>
  <c r="B9" i="3"/>
  <c r="C23" i="3"/>
  <c r="D23" i="3" s="1"/>
  <c r="C32" i="2"/>
  <c r="D32" i="2" s="1"/>
  <c r="E32" i="2" s="1"/>
  <c r="C1" i="2"/>
  <c r="B1" i="3" s="1"/>
  <c r="B1" i="5"/>
  <c r="B19" i="5" s="1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L35" i="5"/>
  <c r="K35" i="5"/>
  <c r="I35" i="5"/>
  <c r="H35" i="5"/>
  <c r="G35" i="5"/>
  <c r="B28" i="3"/>
  <c r="B4" i="5" s="1"/>
  <c r="B26" i="5"/>
  <c r="B11" i="5" s="1"/>
  <c r="B28" i="5"/>
  <c r="C28" i="5" s="1"/>
  <c r="D28" i="5" s="1"/>
  <c r="B7" i="3"/>
  <c r="B12" i="3"/>
  <c r="B5" i="3"/>
  <c r="E9" i="2" l="1"/>
  <c r="D14" i="5"/>
  <c r="E28" i="5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R28" i="5" s="1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F28" i="5" s="1"/>
  <c r="AG28" i="5" s="1"/>
  <c r="AH28" i="5" s="1"/>
  <c r="AI28" i="5" s="1"/>
  <c r="AJ28" i="5" s="1"/>
  <c r="AK28" i="5" s="1"/>
  <c r="AL28" i="5" s="1"/>
  <c r="AM28" i="5" s="1"/>
  <c r="AN28" i="5" s="1"/>
  <c r="AO28" i="5" s="1"/>
  <c r="AP28" i="5" s="1"/>
  <c r="AQ28" i="5" s="1"/>
  <c r="AR28" i="5" s="1"/>
  <c r="AS28" i="5" s="1"/>
  <c r="AT28" i="5" s="1"/>
  <c r="AU28" i="5" s="1"/>
  <c r="AV28" i="5" s="1"/>
  <c r="AW28" i="5" s="1"/>
  <c r="AX28" i="5" s="1"/>
  <c r="AY28" i="5" s="1"/>
  <c r="AZ28" i="5" s="1"/>
  <c r="BA28" i="5" s="1"/>
  <c r="BB28" i="5" s="1"/>
  <c r="BC28" i="5" s="1"/>
  <c r="BD28" i="5" s="1"/>
  <c r="BE28" i="5" s="1"/>
  <c r="BF28" i="5" s="1"/>
  <c r="BG28" i="5" s="1"/>
  <c r="BH28" i="5" s="1"/>
  <c r="BI28" i="5" s="1"/>
  <c r="BJ28" i="5" s="1"/>
  <c r="BK28" i="5" s="1"/>
  <c r="BL28" i="5" s="1"/>
  <c r="BM28" i="5" s="1"/>
  <c r="BN28" i="5" s="1"/>
  <c r="BO28" i="5" s="1"/>
  <c r="BP28" i="5" s="1"/>
  <c r="BQ28" i="5" s="1"/>
  <c r="BR28" i="5" s="1"/>
  <c r="BS28" i="5" s="1"/>
  <c r="BT28" i="5" s="1"/>
  <c r="BU28" i="5" s="1"/>
  <c r="BV28" i="5" s="1"/>
  <c r="BW28" i="5" s="1"/>
  <c r="BX28" i="5" s="1"/>
  <c r="BY28" i="5" s="1"/>
  <c r="BZ28" i="5" s="1"/>
  <c r="CA28" i="5" s="1"/>
  <c r="CB28" i="5" s="1"/>
  <c r="CC28" i="5" s="1"/>
  <c r="CD28" i="5" s="1"/>
  <c r="CE28" i="5" s="1"/>
  <c r="CF28" i="5" s="1"/>
  <c r="CG28" i="5" s="1"/>
  <c r="E10" i="2"/>
  <c r="B6" i="5"/>
  <c r="C16" i="3"/>
  <c r="B24" i="3" s="1"/>
  <c r="B12" i="5"/>
  <c r="C12" i="7"/>
  <c r="C1" i="7"/>
  <c r="D1" i="5"/>
  <c r="D19" i="5" s="1"/>
  <c r="E23" i="3"/>
  <c r="E1" i="5" s="1"/>
  <c r="E19" i="5" s="1"/>
  <c r="C1" i="5"/>
  <c r="C19" i="5" s="1"/>
  <c r="C13" i="7"/>
  <c r="C14" i="7" s="1"/>
  <c r="E21" i="2"/>
  <c r="D21" i="2"/>
  <c r="C18" i="2"/>
  <c r="C15" i="3"/>
  <c r="C28" i="3"/>
  <c r="C14" i="5"/>
  <c r="B14" i="5"/>
  <c r="F51" i="2" l="1"/>
  <c r="E51" i="2"/>
  <c r="G51" i="2"/>
  <c r="C29" i="2"/>
  <c r="B25" i="3"/>
  <c r="E14" i="5"/>
  <c r="C17" i="3"/>
  <c r="B30" i="3"/>
  <c r="C24" i="3" s="1"/>
  <c r="C25" i="3" s="1"/>
  <c r="F23" i="3"/>
  <c r="F1" i="5" s="1"/>
  <c r="F19" i="5" s="1"/>
  <c r="F21" i="2"/>
  <c r="C4" i="5"/>
  <c r="D28" i="3"/>
  <c r="H51" i="2" l="1"/>
  <c r="J51" i="2"/>
  <c r="I51" i="2"/>
  <c r="C50" i="2"/>
  <c r="C52" i="2" s="1"/>
  <c r="C54" i="2" s="1"/>
  <c r="D50" i="2"/>
  <c r="D52" i="2" s="1"/>
  <c r="D54" i="2" s="1"/>
  <c r="D30" i="3"/>
  <c r="B26" i="3"/>
  <c r="C26" i="3" s="1"/>
  <c r="B3" i="5"/>
  <c r="B7" i="5" s="1"/>
  <c r="G23" i="3"/>
  <c r="H23" i="3" s="1"/>
  <c r="C22" i="5"/>
  <c r="C5" i="5" s="1"/>
  <c r="G21" i="2"/>
  <c r="F14" i="5"/>
  <c r="E28" i="3"/>
  <c r="D4" i="5"/>
  <c r="G14" i="5"/>
  <c r="C10" i="5" l="1"/>
  <c r="C30" i="3"/>
  <c r="D24" i="3" s="1"/>
  <c r="G1" i="5"/>
  <c r="G19" i="5" s="1"/>
  <c r="C3" i="5"/>
  <c r="C7" i="5" s="1"/>
  <c r="B9" i="5"/>
  <c r="B13" i="5" s="1"/>
  <c r="D21" i="5"/>
  <c r="D22" i="5" s="1"/>
  <c r="D5" i="5" s="1"/>
  <c r="C6" i="5"/>
  <c r="I23" i="3"/>
  <c r="H1" i="5"/>
  <c r="H19" i="5" s="1"/>
  <c r="H21" i="2"/>
  <c r="E4" i="5"/>
  <c r="F28" i="3"/>
  <c r="H14" i="5"/>
  <c r="D3" i="5" l="1"/>
  <c r="D25" i="3"/>
  <c r="D10" i="5"/>
  <c r="E10" i="5" s="1"/>
  <c r="C26" i="5"/>
  <c r="C11" i="5" s="1"/>
  <c r="D7" i="5"/>
  <c r="B29" i="3"/>
  <c r="C29" i="3"/>
  <c r="C9" i="5"/>
  <c r="E22" i="5"/>
  <c r="E5" i="5" s="1"/>
  <c r="D6" i="5"/>
  <c r="J23" i="3"/>
  <c r="I1" i="5"/>
  <c r="I19" i="5" s="1"/>
  <c r="I21" i="2"/>
  <c r="C28" i="2"/>
  <c r="G28" i="3"/>
  <c r="F4" i="5"/>
  <c r="I14" i="5"/>
  <c r="E50" i="2" l="1"/>
  <c r="E52" i="2" s="1"/>
  <c r="C34" i="2"/>
  <c r="G30" i="3" s="1"/>
  <c r="D25" i="5"/>
  <c r="C12" i="5"/>
  <c r="C13" i="5"/>
  <c r="F22" i="5"/>
  <c r="E6" i="5"/>
  <c r="J1" i="5"/>
  <c r="J19" i="5" s="1"/>
  <c r="K23" i="3"/>
  <c r="K21" i="2"/>
  <c r="E24" i="3"/>
  <c r="E25" i="3" s="1"/>
  <c r="F50" i="2" s="1"/>
  <c r="F52" i="2" s="1"/>
  <c r="H28" i="3"/>
  <c r="G4" i="5"/>
  <c r="J14" i="5"/>
  <c r="D29" i="2" l="1"/>
  <c r="D28" i="2"/>
  <c r="E3" i="5"/>
  <c r="E7" i="5" s="1"/>
  <c r="E30" i="3"/>
  <c r="F24" i="3" s="1"/>
  <c r="F25" i="3" s="1"/>
  <c r="F5" i="5"/>
  <c r="K1" i="5"/>
  <c r="K19" i="5" s="1"/>
  <c r="L23" i="3"/>
  <c r="L21" i="2"/>
  <c r="D29" i="3"/>
  <c r="D26" i="3"/>
  <c r="E26" i="3" s="1"/>
  <c r="H4" i="5"/>
  <c r="K14" i="5"/>
  <c r="K51" i="2" l="1"/>
  <c r="L51" i="2"/>
  <c r="M51" i="2"/>
  <c r="G50" i="2"/>
  <c r="G52" i="2" s="1"/>
  <c r="D34" i="2"/>
  <c r="J30" i="3" s="1"/>
  <c r="F10" i="5"/>
  <c r="G10" i="5" s="1"/>
  <c r="D26" i="5"/>
  <c r="E53" i="2" s="1"/>
  <c r="E54" i="2" s="1"/>
  <c r="F3" i="5"/>
  <c r="F7" i="5" s="1"/>
  <c r="F30" i="3"/>
  <c r="G24" i="3" s="1"/>
  <c r="G22" i="5"/>
  <c r="G5" i="5" s="1"/>
  <c r="F6" i="5"/>
  <c r="L1" i="5"/>
  <c r="L19" i="5" s="1"/>
  <c r="M23" i="3"/>
  <c r="M21" i="2"/>
  <c r="D9" i="5"/>
  <c r="L14" i="5"/>
  <c r="G3" i="5" l="1"/>
  <c r="G25" i="3"/>
  <c r="H10" i="5"/>
  <c r="E29" i="2"/>
  <c r="E28" i="2"/>
  <c r="E29" i="3"/>
  <c r="D11" i="5"/>
  <c r="E9" i="5"/>
  <c r="G7" i="5"/>
  <c r="H24" i="3"/>
  <c r="H22" i="5"/>
  <c r="G6" i="5"/>
  <c r="M1" i="5"/>
  <c r="M19" i="5" s="1"/>
  <c r="N23" i="3"/>
  <c r="N21" i="2"/>
  <c r="M14" i="5"/>
  <c r="N51" i="2" l="1"/>
  <c r="P51" i="2"/>
  <c r="O51" i="2"/>
  <c r="H50" i="2"/>
  <c r="H52" i="2" s="1"/>
  <c r="E34" i="2"/>
  <c r="M30" i="3" s="1"/>
  <c r="H25" i="3"/>
  <c r="H3" i="5"/>
  <c r="I10" i="5"/>
  <c r="J10" i="5" s="1"/>
  <c r="K10" i="5" s="1"/>
  <c r="E26" i="5"/>
  <c r="F53" i="2" s="1"/>
  <c r="F54" i="2" s="1"/>
  <c r="D13" i="5"/>
  <c r="F26" i="3"/>
  <c r="D12" i="5"/>
  <c r="F29" i="3"/>
  <c r="G29" i="3"/>
  <c r="H30" i="3"/>
  <c r="I24" i="3" s="1"/>
  <c r="H5" i="5"/>
  <c r="O23" i="3"/>
  <c r="N1" i="5"/>
  <c r="N19" i="5" s="1"/>
  <c r="O21" i="2"/>
  <c r="N14" i="5"/>
  <c r="I50" i="2" l="1"/>
  <c r="I52" i="2" s="1"/>
  <c r="I25" i="3"/>
  <c r="J50" i="2" s="1"/>
  <c r="J52" i="2" s="1"/>
  <c r="I3" i="5"/>
  <c r="F9" i="5"/>
  <c r="G26" i="3"/>
  <c r="H26" i="3" s="1"/>
  <c r="E11" i="5"/>
  <c r="H29" i="3"/>
  <c r="F29" i="2"/>
  <c r="H7" i="5"/>
  <c r="H6" i="5"/>
  <c r="P23" i="3"/>
  <c r="O1" i="5"/>
  <c r="O19" i="5" s="1"/>
  <c r="P21" i="2"/>
  <c r="O14" i="5"/>
  <c r="S51" i="2" l="1"/>
  <c r="Q51" i="2"/>
  <c r="R51" i="2"/>
  <c r="I26" i="3"/>
  <c r="F26" i="5"/>
  <c r="G53" i="2" s="1"/>
  <c r="G54" i="2" s="1"/>
  <c r="F28" i="2"/>
  <c r="F34" i="2" s="1"/>
  <c r="P30" i="3" s="1"/>
  <c r="E13" i="5"/>
  <c r="E12" i="5"/>
  <c r="H9" i="5"/>
  <c r="G9" i="5"/>
  <c r="L10" i="5"/>
  <c r="M10" i="5" s="1"/>
  <c r="Q23" i="3"/>
  <c r="P1" i="5"/>
  <c r="P19" i="5" s="1"/>
  <c r="Q21" i="2"/>
  <c r="P14" i="5"/>
  <c r="N10" i="5" l="1"/>
  <c r="O27" i="3"/>
  <c r="U27" i="3"/>
  <c r="R27" i="3"/>
  <c r="X27" i="3"/>
  <c r="F11" i="5"/>
  <c r="G25" i="5" s="1"/>
  <c r="Q1" i="5"/>
  <c r="Q19" i="5" s="1"/>
  <c r="R23" i="3"/>
  <c r="R21" i="2"/>
  <c r="Q14" i="5"/>
  <c r="G26" i="5" l="1"/>
  <c r="H53" i="2" s="1"/>
  <c r="H54" i="2" s="1"/>
  <c r="F13" i="5"/>
  <c r="F12" i="5"/>
  <c r="O10" i="5"/>
  <c r="P10" i="5" s="1"/>
  <c r="R1" i="5"/>
  <c r="R19" i="5" s="1"/>
  <c r="S23" i="3"/>
  <c r="S21" i="2"/>
  <c r="R14" i="5"/>
  <c r="Q10" i="5" l="1"/>
  <c r="T23" i="3"/>
  <c r="S1" i="5"/>
  <c r="S19" i="5" s="1"/>
  <c r="T21" i="2"/>
  <c r="S14" i="5"/>
  <c r="G11" i="5" l="1"/>
  <c r="T1" i="5"/>
  <c r="T19" i="5" s="1"/>
  <c r="U23" i="3"/>
  <c r="U21" i="2"/>
  <c r="T14" i="5"/>
  <c r="G13" i="5" l="1"/>
  <c r="H26" i="5"/>
  <c r="I53" i="2" s="1"/>
  <c r="I54" i="2" s="1"/>
  <c r="G12" i="5"/>
  <c r="V23" i="3"/>
  <c r="U1" i="5"/>
  <c r="U19" i="5" s="1"/>
  <c r="V21" i="2"/>
  <c r="U14" i="5"/>
  <c r="H11" i="5" l="1"/>
  <c r="I28" i="3"/>
  <c r="I30" i="3"/>
  <c r="V1" i="5"/>
  <c r="V19" i="5" s="1"/>
  <c r="W23" i="3"/>
  <c r="W21" i="2"/>
  <c r="V14" i="5"/>
  <c r="H13" i="5" l="1"/>
  <c r="I26" i="5"/>
  <c r="H12" i="5"/>
  <c r="J28" i="3"/>
  <c r="I4" i="5"/>
  <c r="J24" i="3"/>
  <c r="X23" i="3"/>
  <c r="W1" i="5"/>
  <c r="W19" i="5" s="1"/>
  <c r="X21" i="2"/>
  <c r="W14" i="5"/>
  <c r="I11" i="5" l="1"/>
  <c r="J25" i="5" s="1"/>
  <c r="J53" i="2"/>
  <c r="J54" i="2" s="1"/>
  <c r="J25" i="3"/>
  <c r="K50" i="2" s="1"/>
  <c r="K52" i="2" s="1"/>
  <c r="K54" i="2" s="1"/>
  <c r="J3" i="5"/>
  <c r="J26" i="5"/>
  <c r="K53" i="2" s="1"/>
  <c r="J4" i="5"/>
  <c r="I29" i="3"/>
  <c r="K24" i="3"/>
  <c r="I22" i="5"/>
  <c r="I5" i="5" s="1"/>
  <c r="I7" i="5" s="1"/>
  <c r="Y23" i="3"/>
  <c r="X1" i="5"/>
  <c r="X19" i="5" s="1"/>
  <c r="Y21" i="2"/>
  <c r="X14" i="5"/>
  <c r="I12" i="5" l="1"/>
  <c r="K25" i="3"/>
  <c r="L50" i="2" s="1"/>
  <c r="L52" i="2" s="1"/>
  <c r="K3" i="5"/>
  <c r="I6" i="5"/>
  <c r="I9" i="5"/>
  <c r="I13" i="5" s="1"/>
  <c r="J29" i="3"/>
  <c r="J22" i="5"/>
  <c r="J5" i="5" s="1"/>
  <c r="J7" i="5" s="1"/>
  <c r="Z23" i="3"/>
  <c r="Y1" i="5"/>
  <c r="Y19" i="5" s="1"/>
  <c r="Z21" i="2"/>
  <c r="Y14" i="5"/>
  <c r="J6" i="5" l="1"/>
  <c r="J26" i="3"/>
  <c r="K26" i="3" s="1"/>
  <c r="J11" i="5"/>
  <c r="Z1" i="5"/>
  <c r="Z19" i="5" s="1"/>
  <c r="AA23" i="3"/>
  <c r="Z14" i="5"/>
  <c r="K26" i="5" l="1"/>
  <c r="L53" i="2" s="1"/>
  <c r="L54" i="2" s="1"/>
  <c r="J9" i="5"/>
  <c r="J13" i="5" s="1"/>
  <c r="J12" i="5"/>
  <c r="AB23" i="3"/>
  <c r="AA1" i="5"/>
  <c r="AA19" i="5" s="1"/>
  <c r="AA14" i="5"/>
  <c r="K28" i="3" l="1"/>
  <c r="K30" i="3"/>
  <c r="AC23" i="3"/>
  <c r="AB1" i="5"/>
  <c r="AB19" i="5" s="1"/>
  <c r="AB14" i="5"/>
  <c r="L24" i="3" l="1"/>
  <c r="K4" i="5"/>
  <c r="L28" i="3"/>
  <c r="K11" i="5"/>
  <c r="AD23" i="3"/>
  <c r="AC1" i="5"/>
  <c r="AC19" i="5" s="1"/>
  <c r="AC14" i="5"/>
  <c r="L25" i="3" l="1"/>
  <c r="M50" i="2" s="1"/>
  <c r="M52" i="2" s="1"/>
  <c r="L3" i="5"/>
  <c r="L26" i="5"/>
  <c r="M53" i="2" s="1"/>
  <c r="K22" i="5"/>
  <c r="K5" i="5" s="1"/>
  <c r="K7" i="5" s="1"/>
  <c r="L4" i="5"/>
  <c r="M28" i="3"/>
  <c r="K29" i="3"/>
  <c r="L30" i="3"/>
  <c r="M24" i="3" s="1"/>
  <c r="K12" i="5"/>
  <c r="AD1" i="5"/>
  <c r="AD19" i="5" s="1"/>
  <c r="AE23" i="3"/>
  <c r="AD14" i="5"/>
  <c r="M54" i="2" l="1"/>
  <c r="M25" i="3"/>
  <c r="N50" i="2" s="1"/>
  <c r="N52" i="2" s="1"/>
  <c r="M3" i="5"/>
  <c r="K6" i="5"/>
  <c r="N24" i="3"/>
  <c r="L29" i="3"/>
  <c r="N28" i="3"/>
  <c r="N4" i="5" s="1"/>
  <c r="M4" i="5"/>
  <c r="M21" i="5" s="1"/>
  <c r="K9" i="5"/>
  <c r="K13" i="5" s="1"/>
  <c r="L22" i="5"/>
  <c r="L5" i="5" s="1"/>
  <c r="L7" i="5" s="1"/>
  <c r="AF23" i="3"/>
  <c r="AE1" i="5"/>
  <c r="AE19" i="5" s="1"/>
  <c r="AE14" i="5"/>
  <c r="N25" i="3" l="1"/>
  <c r="N3" i="5"/>
  <c r="M29" i="3"/>
  <c r="L6" i="5"/>
  <c r="L26" i="3"/>
  <c r="M26" i="3" s="1"/>
  <c r="M22" i="5"/>
  <c r="M5" i="5" s="1"/>
  <c r="M7" i="5" s="1"/>
  <c r="N30" i="3"/>
  <c r="O24" i="3" s="1"/>
  <c r="O3" i="5" s="1"/>
  <c r="L11" i="5"/>
  <c r="M25" i="5" s="1"/>
  <c r="AF1" i="5"/>
  <c r="AF19" i="5" s="1"/>
  <c r="AG23" i="3"/>
  <c r="AF14" i="5"/>
  <c r="N29" i="3" l="1"/>
  <c r="O50" i="2"/>
  <c r="O52" i="2" s="1"/>
  <c r="M26" i="5"/>
  <c r="N53" i="2" s="1"/>
  <c r="N54" i="2" s="1"/>
  <c r="M9" i="5"/>
  <c r="L9" i="5"/>
  <c r="L13" i="5" s="1"/>
  <c r="N22" i="5"/>
  <c r="N5" i="5" s="1"/>
  <c r="M6" i="5"/>
  <c r="L12" i="5"/>
  <c r="AG1" i="5"/>
  <c r="AG19" i="5" s="1"/>
  <c r="AH23" i="3"/>
  <c r="AG14" i="5"/>
  <c r="N26" i="3" l="1"/>
  <c r="N9" i="5" s="1"/>
  <c r="N7" i="5"/>
  <c r="N6" i="5"/>
  <c r="AH1" i="5"/>
  <c r="AH19" i="5" s="1"/>
  <c r="AI23" i="3"/>
  <c r="AH14" i="5"/>
  <c r="M11" i="5" l="1"/>
  <c r="AJ23" i="3"/>
  <c r="AI1" i="5"/>
  <c r="AI19" i="5" s="1"/>
  <c r="AI14" i="5"/>
  <c r="M13" i="5" l="1"/>
  <c r="N26" i="5"/>
  <c r="O53" i="2" s="1"/>
  <c r="O54" i="2" s="1"/>
  <c r="M12" i="5"/>
  <c r="AJ1" i="5"/>
  <c r="AJ19" i="5" s="1"/>
  <c r="AK23" i="3"/>
  <c r="AJ14" i="5"/>
  <c r="AL23" i="3" l="1"/>
  <c r="AK1" i="5"/>
  <c r="AK19" i="5" s="1"/>
  <c r="AK14" i="5"/>
  <c r="N11" i="5" l="1"/>
  <c r="AL1" i="5"/>
  <c r="AL19" i="5" s="1"/>
  <c r="AM23" i="3"/>
  <c r="AL14" i="5"/>
  <c r="N13" i="5" l="1"/>
  <c r="O26" i="5"/>
  <c r="P53" i="2" s="1"/>
  <c r="N12" i="5"/>
  <c r="AN23" i="3"/>
  <c r="AM1" i="5"/>
  <c r="AM19" i="5" s="1"/>
  <c r="AM14" i="5"/>
  <c r="O28" i="3" l="1"/>
  <c r="O30" i="3"/>
  <c r="O25" i="3" s="1"/>
  <c r="P50" i="2" s="1"/>
  <c r="P52" i="2" s="1"/>
  <c r="P54" i="2" s="1"/>
  <c r="AO23" i="3"/>
  <c r="AN1" i="5"/>
  <c r="AN19" i="5" s="1"/>
  <c r="AN14" i="5"/>
  <c r="P24" i="3" l="1"/>
  <c r="P28" i="3"/>
  <c r="O4" i="5"/>
  <c r="O11" i="5"/>
  <c r="P25" i="5" s="1"/>
  <c r="AP23" i="3"/>
  <c r="AO1" i="5"/>
  <c r="AO19" i="5" s="1"/>
  <c r="AO14" i="5"/>
  <c r="P25" i="3" l="1"/>
  <c r="Q50" i="2" s="1"/>
  <c r="Q52" i="2" s="1"/>
  <c r="P3" i="5"/>
  <c r="P26" i="5"/>
  <c r="Q53" i="2" s="1"/>
  <c r="P4" i="5"/>
  <c r="Q28" i="3"/>
  <c r="O29" i="3"/>
  <c r="O26" i="3"/>
  <c r="Q24" i="3"/>
  <c r="O12" i="5"/>
  <c r="O22" i="5"/>
  <c r="O5" i="5" s="1"/>
  <c r="O7" i="5" s="1"/>
  <c r="AQ23" i="3"/>
  <c r="AP1" i="5"/>
  <c r="AP19" i="5" s="1"/>
  <c r="AP14" i="5"/>
  <c r="Q54" i="2" l="1"/>
  <c r="P26" i="3"/>
  <c r="P21" i="5"/>
  <c r="Q25" i="3"/>
  <c r="Q3" i="5"/>
  <c r="P29" i="3"/>
  <c r="O6" i="5"/>
  <c r="Q30" i="3"/>
  <c r="R24" i="3" s="1"/>
  <c r="R3" i="5" s="1"/>
  <c r="Q4" i="5"/>
  <c r="R28" i="3"/>
  <c r="P22" i="5"/>
  <c r="P5" i="5" s="1"/>
  <c r="P7" i="5" s="1"/>
  <c r="O9" i="5"/>
  <c r="O13" i="5" s="1"/>
  <c r="AR23" i="3"/>
  <c r="AQ1" i="5"/>
  <c r="AQ19" i="5" s="1"/>
  <c r="AQ14" i="5"/>
  <c r="Q26" i="3" l="1"/>
  <c r="R50" i="2"/>
  <c r="R52" i="2" s="1"/>
  <c r="Q29" i="3"/>
  <c r="P6" i="5"/>
  <c r="Q22" i="5"/>
  <c r="Q5" i="5" s="1"/>
  <c r="Q7" i="5" s="1"/>
  <c r="R30" i="3"/>
  <c r="R25" i="3" s="1"/>
  <c r="S50" i="2" s="1"/>
  <c r="S52" i="2" s="1"/>
  <c r="S28" i="3"/>
  <c r="R4" i="5"/>
  <c r="P11" i="5"/>
  <c r="AS23" i="3"/>
  <c r="AR1" i="5"/>
  <c r="AR19" i="5" s="1"/>
  <c r="AR14" i="5"/>
  <c r="S24" i="3" l="1"/>
  <c r="R26" i="3"/>
  <c r="P12" i="5"/>
  <c r="Q26" i="5"/>
  <c r="R53" i="2" s="1"/>
  <c r="R54" i="2" s="1"/>
  <c r="Q6" i="5"/>
  <c r="T28" i="3"/>
  <c r="S4" i="5"/>
  <c r="P9" i="5"/>
  <c r="P13" i="5" s="1"/>
  <c r="R22" i="5"/>
  <c r="R5" i="5" s="1"/>
  <c r="R7" i="5" s="1"/>
  <c r="AT23" i="3"/>
  <c r="AS1" i="5"/>
  <c r="AS19" i="5" s="1"/>
  <c r="AS14" i="5"/>
  <c r="S21" i="5" l="1"/>
  <c r="S22" i="5" s="1"/>
  <c r="S5" i="5" s="1"/>
  <c r="R29" i="3"/>
  <c r="R6" i="5"/>
  <c r="Q9" i="5"/>
  <c r="T4" i="5"/>
  <c r="U28" i="3"/>
  <c r="AT1" i="5"/>
  <c r="AT19" i="5" s="1"/>
  <c r="AU23" i="3"/>
  <c r="AT14" i="5"/>
  <c r="T22" i="5" l="1"/>
  <c r="T5" i="5" s="1"/>
  <c r="R9" i="5"/>
  <c r="U4" i="5"/>
  <c r="V28" i="3"/>
  <c r="S6" i="5"/>
  <c r="Q11" i="5"/>
  <c r="AV23" i="3"/>
  <c r="AU1" i="5"/>
  <c r="AU19" i="5" s="1"/>
  <c r="AU14" i="5"/>
  <c r="Q13" i="5" l="1"/>
  <c r="T6" i="5"/>
  <c r="Q12" i="5"/>
  <c r="U22" i="5"/>
  <c r="U5" i="5" s="1"/>
  <c r="V4" i="5"/>
  <c r="W28" i="3"/>
  <c r="AV1" i="5"/>
  <c r="AV19" i="5" s="1"/>
  <c r="AW23" i="3"/>
  <c r="AV14" i="5"/>
  <c r="V21" i="5" l="1"/>
  <c r="U6" i="5"/>
  <c r="X28" i="3"/>
  <c r="W4" i="5"/>
  <c r="V22" i="5"/>
  <c r="V5" i="5" s="1"/>
  <c r="AX23" i="3"/>
  <c r="AW1" i="5"/>
  <c r="AW19" i="5" s="1"/>
  <c r="AW14" i="5"/>
  <c r="W22" i="5" l="1"/>
  <c r="W5" i="5" s="1"/>
  <c r="Y28" i="3"/>
  <c r="X4" i="5"/>
  <c r="V6" i="5"/>
  <c r="AX1" i="5"/>
  <c r="AX19" i="5" s="1"/>
  <c r="AY23" i="3"/>
  <c r="AX14" i="5"/>
  <c r="Z28" i="3" l="1"/>
  <c r="Y4" i="5"/>
  <c r="X22" i="5"/>
  <c r="X5" i="5" s="1"/>
  <c r="W6" i="5"/>
  <c r="AY1" i="5"/>
  <c r="AY19" i="5" s="1"/>
  <c r="AZ23" i="3"/>
  <c r="AY14" i="5"/>
  <c r="Y21" i="5" l="1"/>
  <c r="Y22" i="5" s="1"/>
  <c r="Y5" i="5" s="1"/>
  <c r="X6" i="5"/>
  <c r="Z4" i="5"/>
  <c r="AA28" i="3"/>
  <c r="AZ1" i="5"/>
  <c r="AZ19" i="5" s="1"/>
  <c r="BA23" i="3"/>
  <c r="AZ14" i="5"/>
  <c r="Y6" i="5" l="1"/>
  <c r="AA4" i="5"/>
  <c r="Z22" i="5"/>
  <c r="Z5" i="5" s="1"/>
  <c r="BB23" i="3"/>
  <c r="BA1" i="5"/>
  <c r="BA19" i="5" s="1"/>
  <c r="BA14" i="5"/>
  <c r="Z6" i="5" l="1"/>
  <c r="AA22" i="5"/>
  <c r="AA5" i="5" s="1"/>
  <c r="BB1" i="5"/>
  <c r="BB19" i="5" s="1"/>
  <c r="BC23" i="3"/>
  <c r="BB14" i="5"/>
  <c r="AA6" i="5" l="1"/>
  <c r="BD23" i="3"/>
  <c r="BC1" i="5"/>
  <c r="BC19" i="5" s="1"/>
  <c r="BC14" i="5"/>
  <c r="BE23" i="3" l="1"/>
  <c r="BD1" i="5"/>
  <c r="BD19" i="5" s="1"/>
  <c r="BD14" i="5"/>
  <c r="BF23" i="3" l="1"/>
  <c r="BE1" i="5"/>
  <c r="BE19" i="5" s="1"/>
  <c r="BE14" i="5"/>
  <c r="BG23" i="3" l="1"/>
  <c r="BF1" i="5"/>
  <c r="BF19" i="5" s="1"/>
  <c r="BF14" i="5"/>
  <c r="BH23" i="3" l="1"/>
  <c r="BG1" i="5"/>
  <c r="BG19" i="5" s="1"/>
  <c r="BG14" i="5"/>
  <c r="BI23" i="3" l="1"/>
  <c r="BH1" i="5"/>
  <c r="BH19" i="5" s="1"/>
  <c r="BH14" i="5"/>
  <c r="BJ23" i="3" l="1"/>
  <c r="BI1" i="5"/>
  <c r="BI19" i="5" s="1"/>
  <c r="BI14" i="5"/>
  <c r="BJ1" i="5" l="1"/>
  <c r="BJ19" i="5" s="1"/>
  <c r="BK23" i="3"/>
  <c r="BJ14" i="5"/>
  <c r="BL23" i="3" l="1"/>
  <c r="BK1" i="5"/>
  <c r="BK19" i="5" s="1"/>
  <c r="BK14" i="5"/>
  <c r="BL1" i="5" l="1"/>
  <c r="BL19" i="5" s="1"/>
  <c r="BM23" i="3"/>
  <c r="BL14" i="5"/>
  <c r="BN23" i="3" l="1"/>
  <c r="BM1" i="5"/>
  <c r="BM19" i="5" s="1"/>
  <c r="BM14" i="5"/>
  <c r="BN1" i="5" l="1"/>
  <c r="BN19" i="5" s="1"/>
  <c r="BO23" i="3"/>
  <c r="BN14" i="5"/>
  <c r="BO1" i="5" l="1"/>
  <c r="BO19" i="5" s="1"/>
  <c r="BP23" i="3"/>
  <c r="BO14" i="5"/>
  <c r="BP1" i="5" l="1"/>
  <c r="BP19" i="5" s="1"/>
  <c r="BQ23" i="3"/>
  <c r="BP14" i="5"/>
  <c r="BR23" i="3" l="1"/>
  <c r="BQ1" i="5"/>
  <c r="BQ19" i="5" s="1"/>
  <c r="BQ14" i="5"/>
  <c r="BR1" i="5" l="1"/>
  <c r="BR19" i="5" s="1"/>
  <c r="BS23" i="3"/>
  <c r="BR14" i="5"/>
  <c r="BT23" i="3" l="1"/>
  <c r="BS1" i="5"/>
  <c r="BS19" i="5" s="1"/>
  <c r="BS14" i="5"/>
  <c r="BU23" i="3" l="1"/>
  <c r="BT1" i="5"/>
  <c r="BT19" i="5" s="1"/>
  <c r="BT14" i="5"/>
  <c r="BV23" i="3" l="1"/>
  <c r="BU1" i="5"/>
  <c r="BU19" i="5" s="1"/>
  <c r="BU14" i="5"/>
  <c r="BW23" i="3" l="1"/>
  <c r="BV1" i="5"/>
  <c r="BV19" i="5" s="1"/>
  <c r="BV14" i="5"/>
  <c r="BX23" i="3" l="1"/>
  <c r="BW1" i="5"/>
  <c r="BW19" i="5" s="1"/>
  <c r="BW14" i="5"/>
  <c r="BY23" i="3" l="1"/>
  <c r="BX1" i="5"/>
  <c r="BX19" i="5" s="1"/>
  <c r="BX14" i="5"/>
  <c r="BZ23" i="3" l="1"/>
  <c r="BY1" i="5"/>
  <c r="BY19" i="5" s="1"/>
  <c r="BY14" i="5"/>
  <c r="BZ1" i="5" l="1"/>
  <c r="BZ19" i="5" s="1"/>
  <c r="CA23" i="3"/>
  <c r="BZ14" i="5"/>
  <c r="CA1" i="5" l="1"/>
  <c r="CA19" i="5" s="1"/>
  <c r="CB23" i="3"/>
  <c r="CA14" i="5"/>
  <c r="CB1" i="5" l="1"/>
  <c r="CB19" i="5" s="1"/>
  <c r="CC23" i="3"/>
  <c r="CB14" i="5"/>
  <c r="CD23" i="3" l="1"/>
  <c r="CC1" i="5"/>
  <c r="CC19" i="5" s="1"/>
  <c r="CC14" i="5"/>
  <c r="CD1" i="5" l="1"/>
  <c r="CD19" i="5" s="1"/>
  <c r="CE23" i="3"/>
  <c r="CD14" i="5"/>
  <c r="CE1" i="5" l="1"/>
  <c r="CE19" i="5" s="1"/>
  <c r="CF23" i="3"/>
  <c r="CE14" i="5"/>
  <c r="CF1" i="5" l="1"/>
  <c r="CF19" i="5" s="1"/>
  <c r="CF14" i="5"/>
  <c r="CG1" i="5" l="1"/>
  <c r="CG19" i="5" s="1"/>
  <c r="CG14" i="5"/>
  <c r="F32" i="2" l="1"/>
  <c r="G28" i="2"/>
  <c r="G29" i="2" l="1"/>
  <c r="R10" i="5"/>
  <c r="G32" i="2"/>
  <c r="H32" i="2" s="1"/>
  <c r="I32" i="2" s="1"/>
  <c r="J32" i="2" s="1"/>
  <c r="S3" i="5" l="1"/>
  <c r="S7" i="5" s="1"/>
  <c r="U51" i="2"/>
  <c r="V51" i="2"/>
  <c r="T51" i="2"/>
  <c r="G34" i="2"/>
  <c r="S10" i="5"/>
  <c r="R26" i="5"/>
  <c r="U10" i="5"/>
  <c r="V10" i="5" s="1"/>
  <c r="R11" i="5" l="1"/>
  <c r="R13" i="5" s="1"/>
  <c r="S53" i="2"/>
  <c r="S54" i="2" s="1"/>
  <c r="W10" i="5"/>
  <c r="H29" i="2"/>
  <c r="S30" i="3"/>
  <c r="T10" i="5"/>
  <c r="S25" i="5"/>
  <c r="S26" i="5" s="1"/>
  <c r="H28" i="2"/>
  <c r="R12" i="5"/>
  <c r="H34" i="2" l="1"/>
  <c r="V30" i="3" s="1"/>
  <c r="W24" i="3" s="1"/>
  <c r="X51" i="2"/>
  <c r="Y51" i="2"/>
  <c r="W51" i="2"/>
  <c r="S11" i="5"/>
  <c r="T53" i="2"/>
  <c r="I29" i="2"/>
  <c r="Z51" i="2" s="1"/>
  <c r="I28" i="2"/>
  <c r="I34" i="2" s="1"/>
  <c r="S25" i="3"/>
  <c r="T50" i="2" s="1"/>
  <c r="T52" i="2" s="1"/>
  <c r="T24" i="3"/>
  <c r="W25" i="3"/>
  <c r="W3" i="5"/>
  <c r="W7" i="5" s="1"/>
  <c r="W30" i="3"/>
  <c r="X24" i="3" s="1"/>
  <c r="X10" i="5"/>
  <c r="Y10" i="5" s="1"/>
  <c r="S12" i="5"/>
  <c r="T26" i="5"/>
  <c r="U53" i="2" s="1"/>
  <c r="T54" i="2" l="1"/>
  <c r="W29" i="3"/>
  <c r="X30" i="3"/>
  <c r="Y24" i="3" s="1"/>
  <c r="X3" i="5"/>
  <c r="X7" i="5" s="1"/>
  <c r="S29" i="3"/>
  <c r="S26" i="3"/>
  <c r="Y30" i="3"/>
  <c r="Z24" i="3" s="1"/>
  <c r="J28" i="2"/>
  <c r="J29" i="2"/>
  <c r="B37" i="2" s="1"/>
  <c r="Z10" i="5"/>
  <c r="AA10" i="5" s="1"/>
  <c r="T25" i="3"/>
  <c r="T3" i="5"/>
  <c r="T7" i="5" s="1"/>
  <c r="T30" i="3"/>
  <c r="U24" i="3" s="1"/>
  <c r="T11" i="5"/>
  <c r="CH51" i="2" l="1"/>
  <c r="BR51" i="2"/>
  <c r="CC51" i="2"/>
  <c r="AA51" i="2"/>
  <c r="AC51" i="2"/>
  <c r="BK51" i="2"/>
  <c r="AM51" i="2"/>
  <c r="AD51" i="2"/>
  <c r="AR51" i="2"/>
  <c r="BP51" i="2"/>
  <c r="AG51" i="2"/>
  <c r="AH51" i="2"/>
  <c r="BH51" i="2"/>
  <c r="BE51" i="2"/>
  <c r="BA51" i="2"/>
  <c r="AQ51" i="2"/>
  <c r="BV51" i="2"/>
  <c r="AW51" i="2"/>
  <c r="BC51" i="2"/>
  <c r="BZ51" i="2"/>
  <c r="BN51" i="2"/>
  <c r="BX51" i="2"/>
  <c r="CB51" i="2"/>
  <c r="AT51" i="2"/>
  <c r="AU51" i="2"/>
  <c r="BW51" i="2"/>
  <c r="AS51" i="2"/>
  <c r="AK51" i="2"/>
  <c r="AP51" i="2"/>
  <c r="BT51" i="2"/>
  <c r="BO51" i="2"/>
  <c r="AX51" i="2"/>
  <c r="BB51" i="2"/>
  <c r="AI51" i="2"/>
  <c r="AF51" i="2"/>
  <c r="BU51" i="2"/>
  <c r="BS51" i="2"/>
  <c r="AZ51" i="2"/>
  <c r="AE51" i="2"/>
  <c r="BF51" i="2"/>
  <c r="BI51" i="2"/>
  <c r="AB51" i="2"/>
  <c r="CD51" i="2"/>
  <c r="BJ51" i="2"/>
  <c r="CA51" i="2"/>
  <c r="BL51" i="2"/>
  <c r="AV51" i="2"/>
  <c r="CG51" i="2"/>
  <c r="BY51" i="2"/>
  <c r="BD51" i="2"/>
  <c r="CF51" i="2"/>
  <c r="BQ51" i="2"/>
  <c r="AO51" i="2"/>
  <c r="AY51" i="2"/>
  <c r="BG51" i="2"/>
  <c r="BM51" i="2"/>
  <c r="AL51" i="2"/>
  <c r="CE51" i="2"/>
  <c r="AJ51" i="2"/>
  <c r="AN51" i="2"/>
  <c r="T29" i="3"/>
  <c r="U50" i="2"/>
  <c r="U52" i="2" s="1"/>
  <c r="U54" i="2" s="1"/>
  <c r="J34" i="2"/>
  <c r="Z30" i="3" s="1"/>
  <c r="X25" i="3"/>
  <c r="U30" i="3"/>
  <c r="U3" i="5"/>
  <c r="U7" i="5" s="1"/>
  <c r="S9" i="5"/>
  <c r="S13" i="5" s="1"/>
  <c r="T26" i="3"/>
  <c r="Y25" i="3"/>
  <c r="Y3" i="5"/>
  <c r="Y7" i="5" s="1"/>
  <c r="Z3" i="5"/>
  <c r="T12" i="5"/>
  <c r="U26" i="5"/>
  <c r="V53" i="2" s="1"/>
  <c r="R33" i="2" l="1"/>
  <c r="Y33" i="2"/>
  <c r="N33" i="2"/>
  <c r="L33" i="2"/>
  <c r="P33" i="2"/>
  <c r="O33" i="2"/>
  <c r="AA24" i="3"/>
  <c r="AA25" i="3" s="1"/>
  <c r="Z25" i="3"/>
  <c r="V33" i="2"/>
  <c r="U33" i="2"/>
  <c r="Q33" i="2"/>
  <c r="X33" i="2"/>
  <c r="K33" i="2"/>
  <c r="B43" i="2" s="1"/>
  <c r="AC33" i="2"/>
  <c r="Z33" i="2"/>
  <c r="X29" i="3"/>
  <c r="Y29" i="3"/>
  <c r="AB33" i="2"/>
  <c r="M33" i="2"/>
  <c r="T33" i="2"/>
  <c r="S33" i="2"/>
  <c r="W33" i="2"/>
  <c r="K28" i="2"/>
  <c r="K29" i="2" s="1"/>
  <c r="K30" i="2" s="1"/>
  <c r="AB10" i="5" s="1"/>
  <c r="AC10" i="5" s="1"/>
  <c r="AD10" i="5" s="1"/>
  <c r="AA33" i="2"/>
  <c r="D43" i="2"/>
  <c r="U25" i="3"/>
  <c r="V24" i="3"/>
  <c r="AA3" i="5"/>
  <c r="Z7" i="5"/>
  <c r="T9" i="5"/>
  <c r="T13" i="5" s="1"/>
  <c r="U11" i="5"/>
  <c r="V25" i="5" s="1"/>
  <c r="K43" i="2" l="1"/>
  <c r="U43" i="2"/>
  <c r="L43" i="2"/>
  <c r="N43" i="2"/>
  <c r="AA30" i="3"/>
  <c r="AB24" i="3" s="1"/>
  <c r="AA43" i="2"/>
  <c r="AC43" i="2"/>
  <c r="I43" i="2"/>
  <c r="V43" i="2"/>
  <c r="AA29" i="3"/>
  <c r="K31" i="2"/>
  <c r="AB27" i="3" s="1"/>
  <c r="AB28" i="3" s="1"/>
  <c r="O43" i="2"/>
  <c r="E43" i="2"/>
  <c r="G43" i="2"/>
  <c r="X43" i="2"/>
  <c r="Q43" i="2"/>
  <c r="C43" i="2"/>
  <c r="S43" i="2"/>
  <c r="P43" i="2"/>
  <c r="H43" i="2"/>
  <c r="Y43" i="2"/>
  <c r="Z29" i="3"/>
  <c r="R43" i="2"/>
  <c r="U29" i="3"/>
  <c r="V50" i="2"/>
  <c r="V52" i="2" s="1"/>
  <c r="V54" i="2" s="1"/>
  <c r="F43" i="2"/>
  <c r="AB43" i="2"/>
  <c r="Z43" i="2"/>
  <c r="W43" i="2"/>
  <c r="T43" i="2"/>
  <c r="M43" i="2"/>
  <c r="U26" i="3"/>
  <c r="AB3" i="5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BN3" i="5" s="1"/>
  <c r="BO3" i="5" s="1"/>
  <c r="BP3" i="5" s="1"/>
  <c r="BQ3" i="5" s="1"/>
  <c r="BR3" i="5" s="1"/>
  <c r="BS3" i="5" s="1"/>
  <c r="BT3" i="5" s="1"/>
  <c r="BU3" i="5" s="1"/>
  <c r="BV3" i="5" s="1"/>
  <c r="BW3" i="5" s="1"/>
  <c r="BX3" i="5" s="1"/>
  <c r="BY3" i="5" s="1"/>
  <c r="BZ3" i="5" s="1"/>
  <c r="CA3" i="5" s="1"/>
  <c r="CB3" i="5" s="1"/>
  <c r="CC3" i="5" s="1"/>
  <c r="CD3" i="5" s="1"/>
  <c r="CE3" i="5" s="1"/>
  <c r="CF3" i="5" s="1"/>
  <c r="CG3" i="5" s="1"/>
  <c r="AA7" i="5"/>
  <c r="V3" i="5"/>
  <c r="V7" i="5" s="1"/>
  <c r="V25" i="3"/>
  <c r="Z50" i="2" s="1"/>
  <c r="Z52" i="2" s="1"/>
  <c r="V26" i="5"/>
  <c r="W53" i="2" s="1"/>
  <c r="U12" i="5"/>
  <c r="AB50" i="2" l="1"/>
  <c r="K32" i="2"/>
  <c r="K34" i="2"/>
  <c r="L28" i="2" s="1"/>
  <c r="AB52" i="2"/>
  <c r="V29" i="3"/>
  <c r="W50" i="2"/>
  <c r="W52" i="2" s="1"/>
  <c r="W54" i="2" s="1"/>
  <c r="Y50" i="2"/>
  <c r="Y52" i="2" s="1"/>
  <c r="X50" i="2"/>
  <c r="X52" i="2" s="1"/>
  <c r="AA50" i="2"/>
  <c r="AA52" i="2" s="1"/>
  <c r="AC28" i="3"/>
  <c r="AB4" i="5"/>
  <c r="AB22" i="5" s="1"/>
  <c r="AB5" i="5" s="1"/>
  <c r="AB30" i="3"/>
  <c r="V26" i="3"/>
  <c r="U9" i="5"/>
  <c r="U13" i="5" s="1"/>
  <c r="V11" i="5"/>
  <c r="L29" i="2" l="1"/>
  <c r="AC24" i="3"/>
  <c r="AB25" i="3"/>
  <c r="AD28" i="3"/>
  <c r="AC4" i="5"/>
  <c r="W26" i="3"/>
  <c r="V9" i="5"/>
  <c r="V13" i="5" s="1"/>
  <c r="AB7" i="5"/>
  <c r="AB6" i="5"/>
  <c r="AC22" i="5"/>
  <c r="V12" i="5"/>
  <c r="W26" i="5"/>
  <c r="X53" i="2" s="1"/>
  <c r="X54" i="2" s="1"/>
  <c r="AB29" i="3" l="1"/>
  <c r="AC50" i="2"/>
  <c r="AC52" i="2" s="1"/>
  <c r="L31" i="2"/>
  <c r="L30" i="2"/>
  <c r="AE10" i="5" s="1"/>
  <c r="AF10" i="5" s="1"/>
  <c r="AG10" i="5" s="1"/>
  <c r="X26" i="3"/>
  <c r="W9" i="5"/>
  <c r="AC25" i="3"/>
  <c r="AC30" i="3"/>
  <c r="AD24" i="3" s="1"/>
  <c r="AD4" i="5"/>
  <c r="AC5" i="5"/>
  <c r="W11" i="5"/>
  <c r="AE27" i="3" l="1"/>
  <c r="AE28" i="3" s="1"/>
  <c r="L32" i="2"/>
  <c r="L34" i="2"/>
  <c r="M28" i="2" s="1"/>
  <c r="AC29" i="3"/>
  <c r="AD50" i="2"/>
  <c r="AD52" i="2" s="1"/>
  <c r="AD25" i="3"/>
  <c r="AD30" i="3"/>
  <c r="AE24" i="3" s="1"/>
  <c r="AE4" i="5"/>
  <c r="AF28" i="3"/>
  <c r="Y26" i="3"/>
  <c r="X9" i="5"/>
  <c r="AC7" i="5"/>
  <c r="AC6" i="5"/>
  <c r="AD22" i="5"/>
  <c r="W13" i="5"/>
  <c r="W12" i="5"/>
  <c r="X26" i="5"/>
  <c r="Y53" i="2" s="1"/>
  <c r="Y54" i="2" s="1"/>
  <c r="M29" i="2" l="1"/>
  <c r="AD29" i="3"/>
  <c r="AE50" i="2"/>
  <c r="AE52" i="2" s="1"/>
  <c r="AE30" i="3"/>
  <c r="AF24" i="3" s="1"/>
  <c r="Z26" i="3"/>
  <c r="Y9" i="5"/>
  <c r="AG28" i="3"/>
  <c r="AF4" i="5"/>
  <c r="X11" i="5"/>
  <c r="Y25" i="5" s="1"/>
  <c r="AD5" i="5"/>
  <c r="M30" i="2" l="1"/>
  <c r="AH10" i="5" s="1"/>
  <c r="AI10" i="5" s="1"/>
  <c r="AJ10" i="5" s="1"/>
  <c r="M31" i="2"/>
  <c r="AF25" i="3"/>
  <c r="AF30" i="3"/>
  <c r="AG24" i="3" s="1"/>
  <c r="AG4" i="5"/>
  <c r="AE25" i="3"/>
  <c r="Z9" i="5"/>
  <c r="AA26" i="3"/>
  <c r="X13" i="5"/>
  <c r="Y26" i="5"/>
  <c r="Z53" i="2" s="1"/>
  <c r="Z54" i="2" s="1"/>
  <c r="X12" i="5"/>
  <c r="AD7" i="5"/>
  <c r="AD6" i="5"/>
  <c r="AE22" i="5"/>
  <c r="AE29" i="3" l="1"/>
  <c r="AF50" i="2"/>
  <c r="AF52" i="2" s="1"/>
  <c r="AF29" i="3"/>
  <c r="AG50" i="2"/>
  <c r="AH27" i="3"/>
  <c r="AH28" i="3" s="1"/>
  <c r="AH4" i="5" s="1"/>
  <c r="M32" i="2"/>
  <c r="M34" i="2"/>
  <c r="N28" i="2" s="1"/>
  <c r="AG30" i="3"/>
  <c r="AH24" i="3" s="1"/>
  <c r="AG25" i="3"/>
  <c r="AA9" i="5"/>
  <c r="AB26" i="3"/>
  <c r="AE5" i="5"/>
  <c r="Y11" i="5"/>
  <c r="AI28" i="3" l="1"/>
  <c r="AG52" i="2"/>
  <c r="AG29" i="3"/>
  <c r="AH50" i="2"/>
  <c r="AH52" i="2" s="1"/>
  <c r="N29" i="2"/>
  <c r="AH30" i="3"/>
  <c r="AI24" i="3" s="1"/>
  <c r="AI4" i="5"/>
  <c r="AJ28" i="3"/>
  <c r="AC26" i="3"/>
  <c r="AB9" i="5"/>
  <c r="Y13" i="5"/>
  <c r="Y12" i="5"/>
  <c r="Z26" i="5"/>
  <c r="AA53" i="2" s="1"/>
  <c r="AA54" i="2" s="1"/>
  <c r="AE7" i="5"/>
  <c r="AE6" i="5"/>
  <c r="AF22" i="5"/>
  <c r="N31" i="2" l="1"/>
  <c r="N30" i="2"/>
  <c r="AK10" i="5" s="1"/>
  <c r="AL10" i="5" s="1"/>
  <c r="AM10" i="5" s="1"/>
  <c r="AH25" i="3"/>
  <c r="AJ4" i="5"/>
  <c r="AC9" i="5"/>
  <c r="AD26" i="3"/>
  <c r="AI25" i="3"/>
  <c r="AI30" i="3"/>
  <c r="AJ24" i="3" s="1"/>
  <c r="AF5" i="5"/>
  <c r="Z11" i="5"/>
  <c r="AI29" i="3" l="1"/>
  <c r="AJ50" i="2"/>
  <c r="AH29" i="3"/>
  <c r="AI50" i="2"/>
  <c r="AI52" i="2" s="1"/>
  <c r="AK27" i="3"/>
  <c r="AK28" i="3" s="1"/>
  <c r="N32" i="2"/>
  <c r="N34" i="2"/>
  <c r="O28" i="2" s="1"/>
  <c r="AK4" i="5"/>
  <c r="AL28" i="3"/>
  <c r="AD9" i="5"/>
  <c r="AE26" i="3"/>
  <c r="AJ30" i="3"/>
  <c r="AK24" i="3" s="1"/>
  <c r="AJ25" i="3"/>
  <c r="Z13" i="5"/>
  <c r="Z12" i="5"/>
  <c r="AA26" i="5"/>
  <c r="AB53" i="2" s="1"/>
  <c r="AB54" i="2" s="1"/>
  <c r="AF7" i="5"/>
  <c r="AF6" i="5"/>
  <c r="AG22" i="5"/>
  <c r="AJ29" i="3" l="1"/>
  <c r="AK50" i="2"/>
  <c r="AK52" i="2" s="1"/>
  <c r="O29" i="2"/>
  <c r="AJ52" i="2"/>
  <c r="AL4" i="5"/>
  <c r="AM28" i="3"/>
  <c r="AK30" i="3"/>
  <c r="AL24" i="3" s="1"/>
  <c r="AF26" i="3"/>
  <c r="AE9" i="5"/>
  <c r="AA11" i="5"/>
  <c r="AG5" i="5"/>
  <c r="AH21" i="5" s="1"/>
  <c r="O30" i="2" l="1"/>
  <c r="AN10" i="5" s="1"/>
  <c r="AO10" i="5" s="1"/>
  <c r="AP10" i="5" s="1"/>
  <c r="O31" i="2"/>
  <c r="AL25" i="3"/>
  <c r="AL30" i="3"/>
  <c r="AM24" i="3" s="1"/>
  <c r="AK25" i="3"/>
  <c r="AM4" i="5"/>
  <c r="AF9" i="5"/>
  <c r="AG26" i="3"/>
  <c r="AG7" i="5"/>
  <c r="AG6" i="5"/>
  <c r="AH22" i="5"/>
  <c r="AA13" i="5"/>
  <c r="AB26" i="5"/>
  <c r="AC53" i="2" s="1"/>
  <c r="AC54" i="2" s="1"/>
  <c r="AA12" i="5"/>
  <c r="AL29" i="3" l="1"/>
  <c r="AM50" i="2"/>
  <c r="AM52" i="2" s="1"/>
  <c r="AN27" i="3"/>
  <c r="AN28" i="3" s="1"/>
  <c r="AN4" i="5" s="1"/>
  <c r="O32" i="2"/>
  <c r="O34" i="2"/>
  <c r="P28" i="2" s="1"/>
  <c r="AK29" i="3"/>
  <c r="AL50" i="2"/>
  <c r="AL52" i="2" s="1"/>
  <c r="AM30" i="3"/>
  <c r="AN24" i="3" s="1"/>
  <c r="AM25" i="3"/>
  <c r="AH26" i="3"/>
  <c r="AG9" i="5"/>
  <c r="AB11" i="5"/>
  <c r="AH5" i="5"/>
  <c r="AO28" i="3" l="1"/>
  <c r="AM29" i="3"/>
  <c r="AN50" i="2"/>
  <c r="AN52" i="2" s="1"/>
  <c r="P29" i="2"/>
  <c r="AO4" i="5"/>
  <c r="AP28" i="3"/>
  <c r="AN30" i="3"/>
  <c r="AO24" i="3" s="1"/>
  <c r="AH9" i="5"/>
  <c r="AI26" i="3"/>
  <c r="AH7" i="5"/>
  <c r="AH6" i="5"/>
  <c r="AI22" i="5"/>
  <c r="AB12" i="5"/>
  <c r="AC26" i="5"/>
  <c r="AD53" i="2" s="1"/>
  <c r="AD54" i="2" s="1"/>
  <c r="AB13" i="5"/>
  <c r="P30" i="2" l="1"/>
  <c r="AQ10" i="5" s="1"/>
  <c r="AR10" i="5" s="1"/>
  <c r="AS10" i="5" s="1"/>
  <c r="P31" i="2"/>
  <c r="AI9" i="5"/>
  <c r="AJ26" i="3"/>
  <c r="AP4" i="5"/>
  <c r="AO25" i="3"/>
  <c r="AO30" i="3"/>
  <c r="AP24" i="3" s="1"/>
  <c r="AN25" i="3"/>
  <c r="AC11" i="5"/>
  <c r="AI5" i="5"/>
  <c r="AO29" i="3" l="1"/>
  <c r="AP50" i="2"/>
  <c r="AP52" i="2" s="1"/>
  <c r="AQ27" i="3"/>
  <c r="AQ28" i="3" s="1"/>
  <c r="AR28" i="3" s="1"/>
  <c r="P32" i="2"/>
  <c r="P34" i="2"/>
  <c r="Q28" i="2" s="1"/>
  <c r="AN29" i="3"/>
  <c r="AO50" i="2"/>
  <c r="AO52" i="2" s="1"/>
  <c r="AP30" i="3"/>
  <c r="AQ24" i="3" s="1"/>
  <c r="AP25" i="3"/>
  <c r="AJ9" i="5"/>
  <c r="AK26" i="3"/>
  <c r="AC12" i="5"/>
  <c r="AD26" i="5"/>
  <c r="AE53" i="2" s="1"/>
  <c r="AE54" i="2" s="1"/>
  <c r="AC13" i="5"/>
  <c r="AI7" i="5"/>
  <c r="AI6" i="5"/>
  <c r="AJ22" i="5"/>
  <c r="AQ4" i="5" l="1"/>
  <c r="AP29" i="3"/>
  <c r="AQ50" i="2"/>
  <c r="AQ52" i="2" s="1"/>
  <c r="Q29" i="2"/>
  <c r="AR4" i="5"/>
  <c r="AS28" i="3"/>
  <c r="AQ30" i="3"/>
  <c r="AR24" i="3" s="1"/>
  <c r="AK9" i="5"/>
  <c r="AL26" i="3"/>
  <c r="AJ5" i="5"/>
  <c r="AK21" i="5" s="1"/>
  <c r="AD11" i="5"/>
  <c r="Q30" i="2" l="1"/>
  <c r="AT10" i="5" s="1"/>
  <c r="AU10" i="5" s="1"/>
  <c r="AV10" i="5" s="1"/>
  <c r="Q31" i="2"/>
  <c r="AL9" i="5"/>
  <c r="AM26" i="3"/>
  <c r="AS4" i="5"/>
  <c r="AR25" i="3"/>
  <c r="AR30" i="3"/>
  <c r="AS24" i="3" s="1"/>
  <c r="AQ25" i="3"/>
  <c r="AJ7" i="5"/>
  <c r="AJ6" i="5"/>
  <c r="AK22" i="5"/>
  <c r="AD12" i="5"/>
  <c r="AE26" i="5"/>
  <c r="AF53" i="2" s="1"/>
  <c r="AF54" i="2" s="1"/>
  <c r="AD13" i="5"/>
  <c r="AT27" i="3" l="1"/>
  <c r="AT28" i="3" s="1"/>
  <c r="AT4" i="5" s="1"/>
  <c r="Q32" i="2"/>
  <c r="Q34" i="2"/>
  <c r="R28" i="2" s="1"/>
  <c r="AR29" i="3"/>
  <c r="AS50" i="2"/>
  <c r="AS52" i="2" s="1"/>
  <c r="AQ29" i="3"/>
  <c r="AR50" i="2"/>
  <c r="AR52" i="2" s="1"/>
  <c r="AS30" i="3"/>
  <c r="AT24" i="3" s="1"/>
  <c r="AS25" i="3"/>
  <c r="AM9" i="5"/>
  <c r="AN26" i="3"/>
  <c r="AU28" i="3"/>
  <c r="AE11" i="5"/>
  <c r="AK5" i="5"/>
  <c r="AS29" i="3" l="1"/>
  <c r="AT50" i="2"/>
  <c r="AT52" i="2" s="1"/>
  <c r="R29" i="2"/>
  <c r="AU4" i="5"/>
  <c r="AV28" i="3"/>
  <c r="AT30" i="3"/>
  <c r="AU24" i="3" s="1"/>
  <c r="AN9" i="5"/>
  <c r="AO26" i="3"/>
  <c r="AE12" i="5"/>
  <c r="AF26" i="5"/>
  <c r="AG53" i="2" s="1"/>
  <c r="AG54" i="2" s="1"/>
  <c r="AE13" i="5"/>
  <c r="AK7" i="5"/>
  <c r="AK6" i="5"/>
  <c r="AL22" i="5"/>
  <c r="R30" i="2" l="1"/>
  <c r="AW10" i="5" s="1"/>
  <c r="AX10" i="5" s="1"/>
  <c r="AY10" i="5" s="1"/>
  <c r="R31" i="2"/>
  <c r="AO9" i="5"/>
  <c r="AP26" i="3"/>
  <c r="AV4" i="5"/>
  <c r="AU25" i="3"/>
  <c r="AU30" i="3"/>
  <c r="AV24" i="3" s="1"/>
  <c r="AT25" i="3"/>
  <c r="AL5" i="5"/>
  <c r="AF11" i="5"/>
  <c r="AT29" i="3" l="1"/>
  <c r="AU50" i="2"/>
  <c r="AU52" i="2" s="1"/>
  <c r="AU29" i="3"/>
  <c r="AV50" i="2"/>
  <c r="AV52" i="2" s="1"/>
  <c r="AW27" i="3"/>
  <c r="AW28" i="3" s="1"/>
  <c r="AW4" i="5" s="1"/>
  <c r="R32" i="2"/>
  <c r="R34" i="2"/>
  <c r="S28" i="2" s="1"/>
  <c r="AX28" i="3"/>
  <c r="AV25" i="3"/>
  <c r="AW50" i="2" s="1"/>
  <c r="AW52" i="2" s="1"/>
  <c r="AV30" i="3"/>
  <c r="AW24" i="3" s="1"/>
  <c r="AP9" i="5"/>
  <c r="AQ26" i="3"/>
  <c r="AF12" i="5"/>
  <c r="AG26" i="5"/>
  <c r="AH53" i="2" s="1"/>
  <c r="AH54" i="2" s="1"/>
  <c r="AF13" i="5"/>
  <c r="AL7" i="5"/>
  <c r="AL6" i="5"/>
  <c r="AM22" i="5"/>
  <c r="AW30" i="3" l="1"/>
  <c r="AX24" i="3" s="1"/>
  <c r="S29" i="2"/>
  <c r="AV29" i="3"/>
  <c r="AW25" i="3"/>
  <c r="AY28" i="3"/>
  <c r="AX4" i="5"/>
  <c r="AQ9" i="5"/>
  <c r="AR26" i="3"/>
  <c r="AX25" i="3"/>
  <c r="AX30" i="3"/>
  <c r="AY24" i="3" s="1"/>
  <c r="AY25" i="3" s="1"/>
  <c r="AG11" i="5"/>
  <c r="AH25" i="5" s="1"/>
  <c r="AM5" i="5"/>
  <c r="AN21" i="5" s="1"/>
  <c r="AZ50" i="2" l="1"/>
  <c r="AZ52" i="2" s="1"/>
  <c r="AW29" i="3"/>
  <c r="AX50" i="2"/>
  <c r="AX52" i="2" s="1"/>
  <c r="AX29" i="3"/>
  <c r="AY50" i="2"/>
  <c r="AY52" i="2" s="1"/>
  <c r="S30" i="2"/>
  <c r="AZ10" i="5" s="1"/>
  <c r="BA10" i="5" s="1"/>
  <c r="BB10" i="5" s="1"/>
  <c r="S31" i="2"/>
  <c r="AY4" i="5"/>
  <c r="AR9" i="5"/>
  <c r="AS26" i="3"/>
  <c r="AY30" i="3"/>
  <c r="AM7" i="5"/>
  <c r="AM6" i="5"/>
  <c r="AN22" i="5"/>
  <c r="AH26" i="5"/>
  <c r="AI53" i="2" s="1"/>
  <c r="AI54" i="2" s="1"/>
  <c r="AG12" i="5"/>
  <c r="AG13" i="5"/>
  <c r="AZ27" i="3" l="1"/>
  <c r="AZ28" i="3" s="1"/>
  <c r="AZ4" i="5" s="1"/>
  <c r="S32" i="2"/>
  <c r="S34" i="2"/>
  <c r="T28" i="2" s="1"/>
  <c r="AS9" i="5"/>
  <c r="AT26" i="3"/>
  <c r="BA28" i="3"/>
  <c r="AZ24" i="3"/>
  <c r="AH11" i="5"/>
  <c r="AI25" i="5" s="1"/>
  <c r="AN5" i="5"/>
  <c r="T29" i="2" l="1"/>
  <c r="BB28" i="3"/>
  <c r="BA4" i="5"/>
  <c r="AU26" i="3"/>
  <c r="AT9" i="5"/>
  <c r="AZ30" i="3"/>
  <c r="BA24" i="3" s="1"/>
  <c r="BA25" i="3" s="1"/>
  <c r="AY29" i="3"/>
  <c r="AH12" i="5"/>
  <c r="AI26" i="5"/>
  <c r="AJ53" i="2" s="1"/>
  <c r="AJ54" i="2" s="1"/>
  <c r="AH13" i="5"/>
  <c r="AN7" i="5"/>
  <c r="AN6" i="5"/>
  <c r="AO22" i="5"/>
  <c r="BA29" i="3" l="1"/>
  <c r="T30" i="2"/>
  <c r="BC10" i="5" s="1"/>
  <c r="BD10" i="5" s="1"/>
  <c r="BE10" i="5" s="1"/>
  <c r="T31" i="2"/>
  <c r="AU9" i="5"/>
  <c r="AV26" i="3"/>
  <c r="BB4" i="5"/>
  <c r="AZ25" i="3"/>
  <c r="BB50" i="2" s="1"/>
  <c r="BB52" i="2" s="1"/>
  <c r="BA30" i="3"/>
  <c r="BB24" i="3" s="1"/>
  <c r="AO5" i="5"/>
  <c r="AI11" i="5"/>
  <c r="AJ25" i="5" s="1"/>
  <c r="BC27" i="3" l="1"/>
  <c r="BC28" i="3" s="1"/>
  <c r="BD28" i="3" s="1"/>
  <c r="T32" i="2"/>
  <c r="T34" i="2"/>
  <c r="U28" i="2" s="1"/>
  <c r="AZ29" i="3"/>
  <c r="BA50" i="2"/>
  <c r="BA52" i="2" s="1"/>
  <c r="BC4" i="5"/>
  <c r="BB30" i="3"/>
  <c r="BB25" i="3"/>
  <c r="BC50" i="2" s="1"/>
  <c r="BC52" i="2" s="1"/>
  <c r="AV9" i="5"/>
  <c r="AW26" i="3"/>
  <c r="BC24" i="3"/>
  <c r="AO7" i="5"/>
  <c r="AO6" i="5"/>
  <c r="AP22" i="5"/>
  <c r="AI12" i="5"/>
  <c r="AJ26" i="5"/>
  <c r="AK53" i="2" s="1"/>
  <c r="AK54" i="2" s="1"/>
  <c r="AI13" i="5"/>
  <c r="U29" i="2" l="1"/>
  <c r="AW9" i="5"/>
  <c r="AX26" i="3"/>
  <c r="BE28" i="3"/>
  <c r="BD4" i="5"/>
  <c r="BC30" i="3"/>
  <c r="BD24" i="3" s="1"/>
  <c r="BD25" i="3" s="1"/>
  <c r="BB29" i="3"/>
  <c r="AJ11" i="5"/>
  <c r="AK25" i="5" s="1"/>
  <c r="AP5" i="5"/>
  <c r="AQ21" i="5" s="1"/>
  <c r="BC25" i="3" l="1"/>
  <c r="BE50" i="2" s="1"/>
  <c r="BE52" i="2" s="1"/>
  <c r="BD29" i="3"/>
  <c r="BD50" i="2"/>
  <c r="BD52" i="2" s="1"/>
  <c r="U30" i="2"/>
  <c r="BF10" i="5" s="1"/>
  <c r="BG10" i="5" s="1"/>
  <c r="BH10" i="5" s="1"/>
  <c r="U31" i="2"/>
  <c r="AX9" i="5"/>
  <c r="AY26" i="3"/>
  <c r="BE4" i="5"/>
  <c r="BD30" i="3"/>
  <c r="BE24" i="3" s="1"/>
  <c r="AK26" i="5"/>
  <c r="AL53" i="2" s="1"/>
  <c r="AL54" i="2" s="1"/>
  <c r="AJ12" i="5"/>
  <c r="AJ13" i="5"/>
  <c r="AP7" i="5"/>
  <c r="AP6" i="5"/>
  <c r="AQ22" i="5"/>
  <c r="BC29" i="3" l="1"/>
  <c r="BF27" i="3"/>
  <c r="BF28" i="3" s="1"/>
  <c r="BF4" i="5" s="1"/>
  <c r="U32" i="2"/>
  <c r="U34" i="2"/>
  <c r="V28" i="2" s="1"/>
  <c r="AY9" i="5"/>
  <c r="AZ26" i="3"/>
  <c r="BE30" i="3"/>
  <c r="BF24" i="3" s="1"/>
  <c r="BE25" i="3"/>
  <c r="BF50" i="2" s="1"/>
  <c r="BF52" i="2" s="1"/>
  <c r="AQ5" i="5"/>
  <c r="AK11" i="5"/>
  <c r="AL25" i="5" s="1"/>
  <c r="BG28" i="3" l="1"/>
  <c r="V29" i="2"/>
  <c r="BF30" i="3"/>
  <c r="BG24" i="3" s="1"/>
  <c r="BG30" i="3" s="1"/>
  <c r="BH24" i="3" s="1"/>
  <c r="BH25" i="3" s="1"/>
  <c r="BG4" i="5"/>
  <c r="BH28" i="3"/>
  <c r="AZ9" i="5"/>
  <c r="BA26" i="3"/>
  <c r="BE29" i="3"/>
  <c r="AQ7" i="5"/>
  <c r="AQ6" i="5"/>
  <c r="AR22" i="5"/>
  <c r="AK12" i="5"/>
  <c r="AL26" i="5"/>
  <c r="AM53" i="2" s="1"/>
  <c r="AM54" i="2" s="1"/>
  <c r="AK13" i="5"/>
  <c r="BG25" i="3" l="1"/>
  <c r="BG29" i="3"/>
  <c r="V30" i="2"/>
  <c r="BI10" i="5" s="1"/>
  <c r="BJ10" i="5" s="1"/>
  <c r="BK10" i="5" s="1"/>
  <c r="V31" i="2"/>
  <c r="BA9" i="5"/>
  <c r="BB26" i="3"/>
  <c r="BF25" i="3"/>
  <c r="BH50" i="2" s="1"/>
  <c r="BH52" i="2" s="1"/>
  <c r="BH4" i="5"/>
  <c r="BH30" i="3"/>
  <c r="AL11" i="5"/>
  <c r="AM25" i="5" s="1"/>
  <c r="AR5" i="5"/>
  <c r="BF29" i="3" l="1"/>
  <c r="BG50" i="2"/>
  <c r="BG52" i="2" s="1"/>
  <c r="BI27" i="3"/>
  <c r="BI28" i="3" s="1"/>
  <c r="BI4" i="5" s="1"/>
  <c r="V32" i="2"/>
  <c r="V34" i="2"/>
  <c r="W28" i="2" s="1"/>
  <c r="BI50" i="2"/>
  <c r="BI52" i="2" s="1"/>
  <c r="BB9" i="5"/>
  <c r="BC26" i="3"/>
  <c r="BI24" i="3"/>
  <c r="AR7" i="5"/>
  <c r="AR6" i="5"/>
  <c r="AS22" i="5"/>
  <c r="AL12" i="5"/>
  <c r="AM26" i="5"/>
  <c r="AN53" i="2" s="1"/>
  <c r="AN54" i="2" s="1"/>
  <c r="AL13" i="5"/>
  <c r="BJ28" i="3" l="1"/>
  <c r="BK28" i="3" s="1"/>
  <c r="W29" i="2"/>
  <c r="BC9" i="5"/>
  <c r="BD26" i="3"/>
  <c r="BI30" i="3"/>
  <c r="BJ24" i="3" s="1"/>
  <c r="BJ25" i="3" s="1"/>
  <c r="BH29" i="3"/>
  <c r="AM11" i="5"/>
  <c r="AN25" i="5" s="1"/>
  <c r="AS5" i="5"/>
  <c r="AT21" i="5" s="1"/>
  <c r="BJ4" i="5" l="1"/>
  <c r="BI25" i="3"/>
  <c r="BK50" i="2" s="1"/>
  <c r="BK52" i="2" s="1"/>
  <c r="BJ29" i="3"/>
  <c r="W30" i="2"/>
  <c r="BL10" i="5" s="1"/>
  <c r="BM10" i="5" s="1"/>
  <c r="BN10" i="5" s="1"/>
  <c r="W31" i="2"/>
  <c r="BD9" i="5"/>
  <c r="BE26" i="3"/>
  <c r="BK4" i="5"/>
  <c r="BJ30" i="3"/>
  <c r="BK24" i="3" s="1"/>
  <c r="AS7" i="5"/>
  <c r="AS6" i="5"/>
  <c r="AT22" i="5"/>
  <c r="AN26" i="5"/>
  <c r="AO53" i="2" s="1"/>
  <c r="AO54" i="2" s="1"/>
  <c r="AM12" i="5"/>
  <c r="AM13" i="5"/>
  <c r="BL27" i="3" l="1"/>
  <c r="BL28" i="3" s="1"/>
  <c r="BM28" i="3" s="1"/>
  <c r="W32" i="2"/>
  <c r="W34" i="2"/>
  <c r="X28" i="2" s="1"/>
  <c r="BI29" i="3"/>
  <c r="BJ50" i="2"/>
  <c r="BJ52" i="2" s="1"/>
  <c r="BK30" i="3"/>
  <c r="BL24" i="3" s="1"/>
  <c r="BK25" i="3"/>
  <c r="BL50" i="2" s="1"/>
  <c r="BL52" i="2" s="1"/>
  <c r="BE9" i="5"/>
  <c r="BF26" i="3"/>
  <c r="BL4" i="5"/>
  <c r="AN11" i="5"/>
  <c r="AO25" i="5" s="1"/>
  <c r="AT5" i="5"/>
  <c r="X29" i="2" l="1"/>
  <c r="BF9" i="5"/>
  <c r="BG26" i="3"/>
  <c r="BM4" i="5"/>
  <c r="BN28" i="3"/>
  <c r="BL30" i="3"/>
  <c r="BM24" i="3" s="1"/>
  <c r="BM30" i="3" s="1"/>
  <c r="BN24" i="3" s="1"/>
  <c r="BN25" i="3" s="1"/>
  <c r="BK29" i="3"/>
  <c r="AT7" i="5"/>
  <c r="AT6" i="5"/>
  <c r="AU22" i="5"/>
  <c r="AN12" i="5"/>
  <c r="AO26" i="5"/>
  <c r="AP53" i="2" s="1"/>
  <c r="AP54" i="2" s="1"/>
  <c r="AN13" i="5"/>
  <c r="BM25" i="3" l="1"/>
  <c r="BL25" i="3"/>
  <c r="X30" i="2"/>
  <c r="BO10" i="5" s="1"/>
  <c r="BP10" i="5" s="1"/>
  <c r="BQ10" i="5" s="1"/>
  <c r="X31" i="2"/>
  <c r="BG9" i="5"/>
  <c r="BH26" i="3"/>
  <c r="BN4" i="5"/>
  <c r="BN30" i="3"/>
  <c r="AO11" i="5"/>
  <c r="AP25" i="5" s="1"/>
  <c r="AU5" i="5"/>
  <c r="BO50" i="2" l="1"/>
  <c r="BO52" i="2" s="1"/>
  <c r="BL29" i="3"/>
  <c r="BM50" i="2"/>
  <c r="BM52" i="2" s="1"/>
  <c r="BO27" i="3"/>
  <c r="BO28" i="3" s="1"/>
  <c r="BP28" i="3" s="1"/>
  <c r="X32" i="2"/>
  <c r="X34" i="2"/>
  <c r="Y28" i="2" s="1"/>
  <c r="BM29" i="3"/>
  <c r="BN50" i="2"/>
  <c r="BN52" i="2" s="1"/>
  <c r="BH9" i="5"/>
  <c r="BI26" i="3"/>
  <c r="BO24" i="3"/>
  <c r="AO12" i="5"/>
  <c r="AP26" i="5"/>
  <c r="AQ53" i="2" s="1"/>
  <c r="AQ54" i="2" s="1"/>
  <c r="AO13" i="5"/>
  <c r="AU7" i="5"/>
  <c r="AU6" i="5"/>
  <c r="AV22" i="5"/>
  <c r="BO4" i="5" l="1"/>
  <c r="Y29" i="2"/>
  <c r="BI9" i="5"/>
  <c r="BJ26" i="3"/>
  <c r="BQ28" i="3"/>
  <c r="BP4" i="5"/>
  <c r="BO30" i="3"/>
  <c r="BP24" i="3" s="1"/>
  <c r="BP25" i="3" s="1"/>
  <c r="BN29" i="3"/>
  <c r="AP11" i="5"/>
  <c r="AQ25" i="5" s="1"/>
  <c r="AV5" i="5"/>
  <c r="AW21" i="5" s="1"/>
  <c r="BP29" i="3" l="1"/>
  <c r="Y30" i="2"/>
  <c r="BR10" i="5" s="1"/>
  <c r="BS10" i="5" s="1"/>
  <c r="BT10" i="5" s="1"/>
  <c r="Y31" i="2"/>
  <c r="BJ9" i="5"/>
  <c r="BK26" i="3"/>
  <c r="BQ4" i="5"/>
  <c r="BO25" i="3"/>
  <c r="BQ50" i="2" s="1"/>
  <c r="BQ52" i="2" s="1"/>
  <c r="BP30" i="3"/>
  <c r="BQ24" i="3" s="1"/>
  <c r="AV7" i="5"/>
  <c r="AV6" i="5"/>
  <c r="AW22" i="5"/>
  <c r="AQ26" i="5"/>
  <c r="AR53" i="2" s="1"/>
  <c r="AR54" i="2" s="1"/>
  <c r="AP12" i="5"/>
  <c r="AP13" i="5"/>
  <c r="BR27" i="3" l="1"/>
  <c r="BR28" i="3" s="1"/>
  <c r="BR4" i="5" s="1"/>
  <c r="Y32" i="2"/>
  <c r="Y34" i="2"/>
  <c r="Z28" i="2" s="1"/>
  <c r="BO29" i="3"/>
  <c r="BP50" i="2"/>
  <c r="BP52" i="2" s="1"/>
  <c r="BL26" i="3"/>
  <c r="BK9" i="5"/>
  <c r="BQ30" i="3"/>
  <c r="BR24" i="3" s="1"/>
  <c r="BQ25" i="3"/>
  <c r="BR50" i="2" s="1"/>
  <c r="BR52" i="2" s="1"/>
  <c r="BS28" i="3"/>
  <c r="AQ11" i="5"/>
  <c r="AR25" i="5" s="1"/>
  <c r="AW5" i="5"/>
  <c r="Z29" i="2" l="1"/>
  <c r="BS4" i="5"/>
  <c r="BT28" i="3"/>
  <c r="BL9" i="5"/>
  <c r="BM26" i="3"/>
  <c r="BR30" i="3"/>
  <c r="BS24" i="3" s="1"/>
  <c r="BS25" i="3" s="1"/>
  <c r="BQ29" i="3"/>
  <c r="AW7" i="5"/>
  <c r="AW6" i="5"/>
  <c r="AX22" i="5"/>
  <c r="AQ12" i="5"/>
  <c r="AR26" i="5"/>
  <c r="AS53" i="2" s="1"/>
  <c r="AS54" i="2" s="1"/>
  <c r="AQ13" i="5"/>
  <c r="BR25" i="3" l="1"/>
  <c r="BR29" i="3" s="1"/>
  <c r="BS50" i="2"/>
  <c r="BS52" i="2" s="1"/>
  <c r="BS29" i="3"/>
  <c r="BT50" i="2"/>
  <c r="BT52" i="2" s="1"/>
  <c r="Z31" i="2"/>
  <c r="Z30" i="2"/>
  <c r="BU10" i="5" s="1"/>
  <c r="BV10" i="5" s="1"/>
  <c r="BW10" i="5" s="1"/>
  <c r="BT4" i="5"/>
  <c r="BM9" i="5"/>
  <c r="BN26" i="3"/>
  <c r="BS30" i="3"/>
  <c r="BT24" i="3" s="1"/>
  <c r="AR11" i="5"/>
  <c r="AS25" i="5" s="1"/>
  <c r="AX5" i="5"/>
  <c r="BU27" i="3" l="1"/>
  <c r="BU28" i="3" s="1"/>
  <c r="BU4" i="5" s="1"/>
  <c r="Z32" i="2"/>
  <c r="Z34" i="2"/>
  <c r="AA28" i="2" s="1"/>
  <c r="BV28" i="3"/>
  <c r="BT30" i="3"/>
  <c r="BU24" i="3" s="1"/>
  <c r="BT25" i="3"/>
  <c r="BU50" i="2" s="1"/>
  <c r="BU52" i="2" s="1"/>
  <c r="BN9" i="5"/>
  <c r="BO26" i="3"/>
  <c r="AX7" i="5"/>
  <c r="AX6" i="5"/>
  <c r="AY22" i="5"/>
  <c r="AR12" i="5"/>
  <c r="AS26" i="5"/>
  <c r="AT53" i="2" s="1"/>
  <c r="AT54" i="2" s="1"/>
  <c r="AR13" i="5"/>
  <c r="AA29" i="2" l="1"/>
  <c r="BO9" i="5"/>
  <c r="BP26" i="3"/>
  <c r="BW28" i="3"/>
  <c r="BV4" i="5"/>
  <c r="BU30" i="3"/>
  <c r="BV24" i="3" s="1"/>
  <c r="BV25" i="3" s="1"/>
  <c r="BT29" i="3"/>
  <c r="AS11" i="5"/>
  <c r="AT25" i="5" s="1"/>
  <c r="AY5" i="5"/>
  <c r="AZ21" i="5" s="1"/>
  <c r="BU25" i="3" l="1"/>
  <c r="BU29" i="3" s="1"/>
  <c r="BV50" i="2"/>
  <c r="BV52" i="2" s="1"/>
  <c r="BV29" i="3"/>
  <c r="BW50" i="2"/>
  <c r="BW52" i="2" s="1"/>
  <c r="AA30" i="2"/>
  <c r="AA31" i="2"/>
  <c r="BP9" i="5"/>
  <c r="BQ26" i="3"/>
  <c r="BW4" i="5"/>
  <c r="BV30" i="3"/>
  <c r="BW24" i="3" s="1"/>
  <c r="AT26" i="5"/>
  <c r="AU53" i="2" s="1"/>
  <c r="AU54" i="2" s="1"/>
  <c r="AS12" i="5"/>
  <c r="AS13" i="5"/>
  <c r="AY7" i="5"/>
  <c r="AY6" i="5"/>
  <c r="AZ22" i="5"/>
  <c r="BX27" i="3" l="1"/>
  <c r="BX28" i="3" s="1"/>
  <c r="BY28" i="3" s="1"/>
  <c r="AA32" i="2"/>
  <c r="AA34" i="2"/>
  <c r="AB28" i="2" s="1"/>
  <c r="BX10" i="5"/>
  <c r="BY10" i="5" s="1"/>
  <c r="BZ10" i="5" s="1"/>
  <c r="BX4" i="5"/>
  <c r="BQ9" i="5"/>
  <c r="BR26" i="3"/>
  <c r="BW30" i="3"/>
  <c r="BX24" i="3" s="1"/>
  <c r="BW25" i="3"/>
  <c r="BX50" i="2" s="1"/>
  <c r="BX52" i="2" s="1"/>
  <c r="AT11" i="5"/>
  <c r="AU25" i="5" s="1"/>
  <c r="AZ5" i="5"/>
  <c r="AB29" i="2" l="1"/>
  <c r="BR9" i="5"/>
  <c r="BS26" i="3"/>
  <c r="BX25" i="3"/>
  <c r="BY4" i="5"/>
  <c r="BZ28" i="3"/>
  <c r="BX30" i="3"/>
  <c r="BY24" i="3" s="1"/>
  <c r="BY25" i="3" s="1"/>
  <c r="BW29" i="3"/>
  <c r="AZ7" i="5"/>
  <c r="AZ6" i="5"/>
  <c r="BA22" i="5"/>
  <c r="AT12" i="5"/>
  <c r="AU26" i="5"/>
  <c r="AV53" i="2" s="1"/>
  <c r="AV54" i="2" s="1"/>
  <c r="AT13" i="5"/>
  <c r="BX29" i="3" l="1"/>
  <c r="BY50" i="2"/>
  <c r="BY52" i="2" s="1"/>
  <c r="AB30" i="2"/>
  <c r="CA10" i="5" s="1"/>
  <c r="CB10" i="5" s="1"/>
  <c r="CC10" i="5" s="1"/>
  <c r="AB31" i="2"/>
  <c r="BY29" i="3"/>
  <c r="BZ50" i="2"/>
  <c r="BZ52" i="2" s="1"/>
  <c r="BZ4" i="5"/>
  <c r="BS9" i="5"/>
  <c r="BT26" i="3"/>
  <c r="BY30" i="3"/>
  <c r="BZ24" i="3" s="1"/>
  <c r="AU11" i="5"/>
  <c r="AV25" i="5" s="1"/>
  <c r="BA5" i="5"/>
  <c r="CA27" i="3" l="1"/>
  <c r="CA28" i="3" s="1"/>
  <c r="CA4" i="5" s="1"/>
  <c r="AB32" i="2"/>
  <c r="AB34" i="2"/>
  <c r="AC28" i="2" s="1"/>
  <c r="BT9" i="5"/>
  <c r="BU26" i="3"/>
  <c r="BZ30" i="3"/>
  <c r="BZ25" i="3"/>
  <c r="CA50" i="2" s="1"/>
  <c r="CA52" i="2" s="1"/>
  <c r="CA24" i="3"/>
  <c r="BA7" i="5"/>
  <c r="BA6" i="5"/>
  <c r="BB22" i="5"/>
  <c r="AU12" i="5"/>
  <c r="AV26" i="5"/>
  <c r="AW53" i="2" s="1"/>
  <c r="AW54" i="2" s="1"/>
  <c r="AU13" i="5"/>
  <c r="CB28" i="3" l="1"/>
  <c r="CC28" i="3" s="1"/>
  <c r="AC29" i="2"/>
  <c r="CB4" i="5"/>
  <c r="BU9" i="5"/>
  <c r="BV26" i="3"/>
  <c r="CA30" i="3"/>
  <c r="CB24" i="3" s="1"/>
  <c r="CB25" i="3" s="1"/>
  <c r="BZ29" i="3"/>
  <c r="BB5" i="5"/>
  <c r="BC21" i="5" s="1"/>
  <c r="AV11" i="5"/>
  <c r="AW25" i="5" s="1"/>
  <c r="CA25" i="3" l="1"/>
  <c r="CA29" i="3" s="1"/>
  <c r="CB29" i="3"/>
  <c r="CC50" i="2"/>
  <c r="CC52" i="2" s="1"/>
  <c r="AC31" i="2"/>
  <c r="AC30" i="2"/>
  <c r="CD10" i="5" s="1"/>
  <c r="CE10" i="5" s="1"/>
  <c r="CF10" i="5" s="1"/>
  <c r="CC4" i="5"/>
  <c r="BV9" i="5"/>
  <c r="BW26" i="3"/>
  <c r="CB30" i="3"/>
  <c r="CC24" i="3" s="1"/>
  <c r="AW26" i="5"/>
  <c r="AX53" i="2" s="1"/>
  <c r="AX54" i="2" s="1"/>
  <c r="AV12" i="5"/>
  <c r="AV13" i="5"/>
  <c r="BB7" i="5"/>
  <c r="BB6" i="5"/>
  <c r="BC22" i="5"/>
  <c r="CB50" i="2" l="1"/>
  <c r="CB52" i="2" s="1"/>
  <c r="CD27" i="3"/>
  <c r="CD28" i="3" s="1"/>
  <c r="AC32" i="2"/>
  <c r="AC34" i="2"/>
  <c r="CC30" i="3"/>
  <c r="CD24" i="3" s="1"/>
  <c r="CC25" i="3"/>
  <c r="CD50" i="2" s="1"/>
  <c r="CD52" i="2" s="1"/>
  <c r="CE28" i="3"/>
  <c r="CD4" i="5"/>
  <c r="BW9" i="5"/>
  <c r="BX26" i="3"/>
  <c r="BC5" i="5"/>
  <c r="AW11" i="5"/>
  <c r="AX25" i="5" s="1"/>
  <c r="AD31" i="2" l="1"/>
  <c r="AD28" i="2"/>
  <c r="BX9" i="5"/>
  <c r="BY26" i="3"/>
  <c r="CF28" i="3"/>
  <c r="CE4" i="5"/>
  <c r="CD30" i="3"/>
  <c r="CE24" i="3" s="1"/>
  <c r="CE25" i="3" s="1"/>
  <c r="CC29" i="3"/>
  <c r="AW12" i="5"/>
  <c r="AX26" i="5"/>
  <c r="AY53" i="2" s="1"/>
  <c r="AY54" i="2" s="1"/>
  <c r="AW13" i="5"/>
  <c r="BC7" i="5"/>
  <c r="BC6" i="5"/>
  <c r="BD22" i="5"/>
  <c r="AD34" i="2" l="1"/>
  <c r="AD29" i="2"/>
  <c r="CE29" i="3"/>
  <c r="CG27" i="3"/>
  <c r="AD32" i="2"/>
  <c r="BY9" i="5"/>
  <c r="BZ26" i="3"/>
  <c r="CG28" i="3"/>
  <c r="CG4" i="5" s="1"/>
  <c r="CF4" i="5"/>
  <c r="CD25" i="3"/>
  <c r="CF50" i="2" s="1"/>
  <c r="CF52" i="2" s="1"/>
  <c r="CE30" i="3"/>
  <c r="CF24" i="3" s="1"/>
  <c r="AX11" i="5"/>
  <c r="AY25" i="5" s="1"/>
  <c r="BD5" i="5"/>
  <c r="CD29" i="3" l="1"/>
  <c r="CE50" i="2"/>
  <c r="CE52" i="2" s="1"/>
  <c r="AD33" i="2"/>
  <c r="AD43" i="2" s="1"/>
  <c r="AD30" i="2"/>
  <c r="CG10" i="5" s="1"/>
  <c r="CF30" i="3"/>
  <c r="CG24" i="3" s="1"/>
  <c r="CF25" i="3"/>
  <c r="CG50" i="2" s="1"/>
  <c r="CG52" i="2" s="1"/>
  <c r="BZ9" i="5"/>
  <c r="CA26" i="3"/>
  <c r="BD7" i="5"/>
  <c r="BD6" i="5"/>
  <c r="BE22" i="5"/>
  <c r="AX12" i="5"/>
  <c r="AY26" i="5"/>
  <c r="AZ53" i="2" s="1"/>
  <c r="AZ54" i="2" s="1"/>
  <c r="AX13" i="5"/>
  <c r="A17" i="7" l="1" a="1"/>
  <c r="CG30" i="3"/>
  <c r="CG25" i="3" s="1"/>
  <c r="CH50" i="2" s="1"/>
  <c r="CH52" i="2" s="1"/>
  <c r="CA9" i="5"/>
  <c r="CB26" i="3"/>
  <c r="CF29" i="3"/>
  <c r="AY11" i="5"/>
  <c r="AZ25" i="5" s="1"/>
  <c r="BE5" i="5"/>
  <c r="BF21" i="5" s="1"/>
  <c r="A19" i="7" l="1"/>
  <c r="F37" i="7"/>
  <c r="G22" i="7"/>
  <c r="G42" i="7"/>
  <c r="H43" i="7"/>
  <c r="C32" i="7"/>
  <c r="A17" i="7"/>
  <c r="D44" i="7"/>
  <c r="H32" i="7"/>
  <c r="E17" i="7"/>
  <c r="F30" i="7"/>
  <c r="F22" i="7"/>
  <c r="E40" i="7"/>
  <c r="E32" i="7"/>
  <c r="E24" i="7"/>
  <c r="C42" i="7"/>
  <c r="G29" i="7"/>
  <c r="D24" i="7"/>
  <c r="D27" i="7"/>
  <c r="H37" i="7"/>
  <c r="C23" i="7"/>
  <c r="D32" i="7"/>
  <c r="G24" i="7"/>
  <c r="C45" i="7"/>
  <c r="D18" i="7"/>
  <c r="G39" i="7"/>
  <c r="H19" i="7"/>
  <c r="F29" i="7"/>
  <c r="A45" i="7"/>
  <c r="A34" i="7"/>
  <c r="E23" i="7"/>
  <c r="G31" i="7"/>
  <c r="D31" i="7"/>
  <c r="C25" i="7"/>
  <c r="D42" i="7"/>
  <c r="H23" i="7"/>
  <c r="F31" i="7"/>
  <c r="B21" i="7"/>
  <c r="A36" i="7"/>
  <c r="E25" i="7"/>
  <c r="C36" i="7"/>
  <c r="B40" i="7"/>
  <c r="C30" i="7"/>
  <c r="B45" i="7"/>
  <c r="H27" i="7"/>
  <c r="F33" i="7"/>
  <c r="B23" i="7"/>
  <c r="A38" i="7"/>
  <c r="E27" i="7"/>
  <c r="H40" i="7"/>
  <c r="D20" i="7"/>
  <c r="F36" i="7"/>
  <c r="D28" i="7"/>
  <c r="H31" i="7"/>
  <c r="B17" i="7"/>
  <c r="B25" i="7"/>
  <c r="A40" i="7"/>
  <c r="E29" i="7"/>
  <c r="G34" i="7"/>
  <c r="G18" i="7"/>
  <c r="D37" i="7"/>
  <c r="C41" i="7"/>
  <c r="C28" i="7"/>
  <c r="G40" i="7"/>
  <c r="G41" i="7"/>
  <c r="H28" i="7"/>
  <c r="B18" i="7"/>
  <c r="F20" i="7"/>
  <c r="E38" i="7"/>
  <c r="E22" i="7"/>
  <c r="G25" i="7"/>
  <c r="H45" i="7"/>
  <c r="C19" i="7"/>
  <c r="D17" i="7"/>
  <c r="B38" i="7"/>
  <c r="B19" i="7"/>
  <c r="A42" i="7"/>
  <c r="A21" i="7"/>
  <c r="F44" i="7"/>
  <c r="D38" i="7"/>
  <c r="B29" i="7"/>
  <c r="E33" i="7"/>
  <c r="G28" i="7"/>
  <c r="C22" i="7"/>
  <c r="H22" i="7"/>
  <c r="B20" i="7"/>
  <c r="A25" i="7"/>
  <c r="G38" i="7"/>
  <c r="G43" i="7"/>
  <c r="B33" i="7"/>
  <c r="E37" i="7"/>
  <c r="H42" i="7"/>
  <c r="D33" i="7"/>
  <c r="F38" i="7"/>
  <c r="C40" i="7"/>
  <c r="G26" i="7"/>
  <c r="E18" i="7"/>
  <c r="D19" i="7"/>
  <c r="H35" i="7"/>
  <c r="C20" i="7"/>
  <c r="D26" i="7"/>
  <c r="D36" i="7"/>
  <c r="H20" i="7"/>
  <c r="F32" i="7"/>
  <c r="F24" i="7"/>
  <c r="E42" i="7"/>
  <c r="E34" i="7"/>
  <c r="E26" i="7"/>
  <c r="H44" i="7"/>
  <c r="G33" i="7"/>
  <c r="A18" i="7"/>
  <c r="B36" i="7"/>
  <c r="F40" i="7"/>
  <c r="C27" i="7"/>
  <c r="D39" i="7"/>
  <c r="G32" i="7"/>
  <c r="D34" i="7"/>
  <c r="C26" i="7"/>
  <c r="B43" i="7"/>
  <c r="H25" i="7"/>
  <c r="B32" i="7"/>
  <c r="F21" i="7"/>
  <c r="A37" i="7"/>
  <c r="A26" i="7"/>
  <c r="C38" i="7"/>
  <c r="G44" i="7"/>
  <c r="C33" i="7"/>
  <c r="G45" i="7"/>
  <c r="H29" i="7"/>
  <c r="B34" i="7"/>
  <c r="F23" i="7"/>
  <c r="A39" i="7"/>
  <c r="A28" i="7"/>
  <c r="F41" i="7"/>
  <c r="D22" i="7"/>
  <c r="C37" i="7"/>
  <c r="D30" i="7"/>
  <c r="H33" i="7"/>
  <c r="F17" i="7"/>
  <c r="F25" i="7"/>
  <c r="A41" i="7"/>
  <c r="A30" i="7"/>
  <c r="E19" i="7"/>
  <c r="G19" i="7"/>
  <c r="H41" i="7"/>
  <c r="B42" i="7"/>
  <c r="B37" i="7"/>
  <c r="F19" i="7"/>
  <c r="F27" i="7"/>
  <c r="A43" i="7"/>
  <c r="A32" i="7"/>
  <c r="E21" i="7"/>
  <c r="F45" i="7"/>
  <c r="F28" i="7"/>
  <c r="E30" i="7"/>
  <c r="F39" i="7"/>
  <c r="H17" i="7"/>
  <c r="C35" i="7"/>
  <c r="C44" i="7"/>
  <c r="H39" i="7"/>
  <c r="G35" i="7"/>
  <c r="B27" i="7"/>
  <c r="E31" i="7"/>
  <c r="G23" i="7"/>
  <c r="G17" i="7"/>
  <c r="H18" i="7"/>
  <c r="A44" i="7"/>
  <c r="A23" i="7"/>
  <c r="D25" i="7"/>
  <c r="B41" i="7"/>
  <c r="B31" i="7"/>
  <c r="E35" i="7"/>
  <c r="F35" i="7"/>
  <c r="C29" i="7"/>
  <c r="H26" i="7"/>
  <c r="B22" i="7"/>
  <c r="A27" i="7"/>
  <c r="G30" i="7"/>
  <c r="D29" i="7"/>
  <c r="C24" i="7"/>
  <c r="F34" i="7"/>
  <c r="E28" i="7"/>
  <c r="D41" i="7"/>
  <c r="H38" i="7"/>
  <c r="H30" i="7"/>
  <c r="A29" i="7"/>
  <c r="G36" i="7"/>
  <c r="E41" i="7"/>
  <c r="F42" i="7"/>
  <c r="B28" i="7"/>
  <c r="G27" i="7"/>
  <c r="H21" i="7"/>
  <c r="A24" i="7"/>
  <c r="D35" i="7"/>
  <c r="F26" i="7"/>
  <c r="E20" i="7"/>
  <c r="C43" i="7"/>
  <c r="C17" i="7"/>
  <c r="B35" i="7"/>
  <c r="F43" i="7"/>
  <c r="H34" i="7"/>
  <c r="B44" i="7"/>
  <c r="E43" i="7"/>
  <c r="B30" i="7"/>
  <c r="B39" i="7"/>
  <c r="H36" i="7"/>
  <c r="C31" i="7"/>
  <c r="B24" i="7"/>
  <c r="F18" i="7"/>
  <c r="G37" i="7"/>
  <c r="C21" i="7"/>
  <c r="H24" i="7"/>
  <c r="E36" i="7"/>
  <c r="G21" i="7"/>
  <c r="D45" i="7"/>
  <c r="D21" i="7"/>
  <c r="E39" i="7"/>
  <c r="C39" i="7"/>
  <c r="B26" i="7"/>
  <c r="G20" i="7"/>
  <c r="C18" i="7"/>
  <c r="A22" i="7"/>
  <c r="D40" i="7"/>
  <c r="A35" i="7"/>
  <c r="A31" i="7"/>
  <c r="D23" i="7"/>
  <c r="E44" i="7"/>
  <c r="C34" i="7"/>
  <c r="D43" i="7"/>
  <c r="A20" i="7"/>
  <c r="A33" i="7"/>
  <c r="E45" i="7"/>
  <c r="CG33" i="3"/>
  <c r="CG29" i="3"/>
  <c r="CB9" i="5"/>
  <c r="CC26" i="3"/>
  <c r="BE7" i="5"/>
  <c r="BE6" i="5"/>
  <c r="BF22" i="5"/>
  <c r="AZ26" i="5"/>
  <c r="BA53" i="2" s="1"/>
  <c r="BA54" i="2" s="1"/>
  <c r="AY12" i="5"/>
  <c r="AY13" i="5"/>
  <c r="CC9" i="5" l="1"/>
  <c r="CD26" i="3"/>
  <c r="AZ11" i="5"/>
  <c r="BA25" i="5" s="1"/>
  <c r="BF5" i="5"/>
  <c r="CD9" i="5" l="1"/>
  <c r="CE26" i="3"/>
  <c r="BF7" i="5"/>
  <c r="BF6" i="5"/>
  <c r="BG22" i="5"/>
  <c r="AZ12" i="5"/>
  <c r="BA26" i="5"/>
  <c r="BB53" i="2" s="1"/>
  <c r="BB54" i="2" s="1"/>
  <c r="AZ13" i="5"/>
  <c r="CE9" i="5" l="1"/>
  <c r="CF26" i="3"/>
  <c r="BA11" i="5"/>
  <c r="BB25" i="5" s="1"/>
  <c r="BG5" i="5"/>
  <c r="CG26" i="3" l="1"/>
  <c r="CG9" i="5" s="1"/>
  <c r="CF9" i="5"/>
  <c r="BG7" i="5"/>
  <c r="BG6" i="5"/>
  <c r="BH22" i="5"/>
  <c r="BA12" i="5"/>
  <c r="BB26" i="5"/>
  <c r="BC53" i="2" s="1"/>
  <c r="BC54" i="2" s="1"/>
  <c r="BA13" i="5"/>
  <c r="BB11" i="5" l="1"/>
  <c r="BC25" i="5" s="1"/>
  <c r="BH5" i="5"/>
  <c r="BI21" i="5" s="1"/>
  <c r="BC26" i="5" l="1"/>
  <c r="BD53" i="2" s="1"/>
  <c r="BD54" i="2" s="1"/>
  <c r="BB12" i="5"/>
  <c r="BB13" i="5"/>
  <c r="BH7" i="5"/>
  <c r="BH6" i="5"/>
  <c r="BI22" i="5"/>
  <c r="BC11" i="5" l="1"/>
  <c r="BD25" i="5" s="1"/>
  <c r="BI5" i="5"/>
  <c r="BC12" i="5" l="1"/>
  <c r="BD26" i="5"/>
  <c r="BE53" i="2" s="1"/>
  <c r="BE54" i="2" s="1"/>
  <c r="BC13" i="5"/>
  <c r="BI7" i="5"/>
  <c r="BI6" i="5"/>
  <c r="BJ22" i="5"/>
  <c r="BJ5" i="5" l="1"/>
  <c r="BD11" i="5"/>
  <c r="BE25" i="5" s="1"/>
  <c r="BJ7" i="5" l="1"/>
  <c r="BJ6" i="5"/>
  <c r="BK22" i="5"/>
  <c r="BD12" i="5"/>
  <c r="BE26" i="5"/>
  <c r="BF53" i="2" s="1"/>
  <c r="BF54" i="2" s="1"/>
  <c r="BD13" i="5"/>
  <c r="BE11" i="5" l="1"/>
  <c r="BF25" i="5" s="1"/>
  <c r="BK5" i="5"/>
  <c r="BL21" i="5" s="1"/>
  <c r="BF26" i="5" l="1"/>
  <c r="BG53" i="2" s="1"/>
  <c r="BG54" i="2" s="1"/>
  <c r="BE12" i="5"/>
  <c r="BE13" i="5"/>
  <c r="BK7" i="5"/>
  <c r="BK6" i="5"/>
  <c r="BL22" i="5"/>
  <c r="BF11" i="5" l="1"/>
  <c r="BG25" i="5" s="1"/>
  <c r="BL5" i="5"/>
  <c r="BF12" i="5" l="1"/>
  <c r="BG26" i="5"/>
  <c r="BH53" i="2" s="1"/>
  <c r="BH54" i="2" s="1"/>
  <c r="BF13" i="5"/>
  <c r="BL7" i="5"/>
  <c r="BL6" i="5"/>
  <c r="BM22" i="5"/>
  <c r="BM5" i="5" l="1"/>
  <c r="BG11" i="5"/>
  <c r="BH25" i="5" s="1"/>
  <c r="BM7" i="5" l="1"/>
  <c r="BM6" i="5"/>
  <c r="BN22" i="5"/>
  <c r="BG12" i="5"/>
  <c r="BH26" i="5"/>
  <c r="BI53" i="2" s="1"/>
  <c r="BI54" i="2" s="1"/>
  <c r="BG13" i="5"/>
  <c r="BH11" i="5" l="1"/>
  <c r="BI25" i="5" s="1"/>
  <c r="BN5" i="5"/>
  <c r="BO21" i="5" s="1"/>
  <c r="BN7" i="5" l="1"/>
  <c r="BN6" i="5"/>
  <c r="BO22" i="5"/>
  <c r="BI26" i="5"/>
  <c r="BJ53" i="2" s="1"/>
  <c r="BJ54" i="2" s="1"/>
  <c r="BH12" i="5"/>
  <c r="BH13" i="5"/>
  <c r="BI11" i="5" l="1"/>
  <c r="BJ25" i="5" s="1"/>
  <c r="BO5" i="5"/>
  <c r="BI12" i="5" l="1"/>
  <c r="BJ26" i="5"/>
  <c r="BK53" i="2" s="1"/>
  <c r="BK54" i="2" s="1"/>
  <c r="BI13" i="5"/>
  <c r="BO7" i="5"/>
  <c r="BO6" i="5"/>
  <c r="BP22" i="5"/>
  <c r="BP5" i="5" l="1"/>
  <c r="BJ11" i="5"/>
  <c r="BK25" i="5" s="1"/>
  <c r="BP7" i="5" l="1"/>
  <c r="BP6" i="5"/>
  <c r="BQ22" i="5"/>
  <c r="BJ12" i="5"/>
  <c r="BK26" i="5"/>
  <c r="BL53" i="2" s="1"/>
  <c r="BL54" i="2" s="1"/>
  <c r="BJ13" i="5"/>
  <c r="BK11" i="5" l="1"/>
  <c r="BL25" i="5" s="1"/>
  <c r="BQ5" i="5"/>
  <c r="BR21" i="5" s="1"/>
  <c r="BL26" i="5" l="1"/>
  <c r="BM53" i="2" s="1"/>
  <c r="BM54" i="2" s="1"/>
  <c r="BK12" i="5"/>
  <c r="BK13" i="5"/>
  <c r="BQ7" i="5"/>
  <c r="BQ6" i="5"/>
  <c r="BR22" i="5"/>
  <c r="BR5" i="5" l="1"/>
  <c r="BL11" i="5"/>
  <c r="BM25" i="5" s="1"/>
  <c r="BL12" i="5" l="1"/>
  <c r="BM26" i="5"/>
  <c r="BN53" i="2" s="1"/>
  <c r="BN54" i="2" s="1"/>
  <c r="BL13" i="5"/>
  <c r="BR7" i="5"/>
  <c r="BR6" i="5"/>
  <c r="BS22" i="5"/>
  <c r="BS5" i="5" l="1"/>
  <c r="BM11" i="5"/>
  <c r="BN25" i="5" s="1"/>
  <c r="BS7" i="5" l="1"/>
  <c r="BS6" i="5"/>
  <c r="BT22" i="5"/>
  <c r="BM12" i="5"/>
  <c r="BN26" i="5"/>
  <c r="BO53" i="2" s="1"/>
  <c r="BO54" i="2" s="1"/>
  <c r="BM13" i="5"/>
  <c r="BN11" i="5" l="1"/>
  <c r="BO25" i="5" s="1"/>
  <c r="BT5" i="5"/>
  <c r="BU21" i="5" s="1"/>
  <c r="BT7" i="5" l="1"/>
  <c r="BT6" i="5"/>
  <c r="BU22" i="5"/>
  <c r="BO26" i="5"/>
  <c r="BP53" i="2" s="1"/>
  <c r="BP54" i="2" s="1"/>
  <c r="BN12" i="5"/>
  <c r="BN13" i="5"/>
  <c r="BO11" i="5" l="1"/>
  <c r="BP25" i="5" s="1"/>
  <c r="BU5" i="5"/>
  <c r="BU7" i="5" l="1"/>
  <c r="BU6" i="5"/>
  <c r="BV22" i="5"/>
  <c r="BO12" i="5"/>
  <c r="BP26" i="5"/>
  <c r="BQ53" i="2" s="1"/>
  <c r="BQ54" i="2" s="1"/>
  <c r="BO13" i="5"/>
  <c r="BP11" i="5" l="1"/>
  <c r="BQ25" i="5" s="1"/>
  <c r="BV5" i="5"/>
  <c r="BP12" i="5" l="1"/>
  <c r="BQ26" i="5"/>
  <c r="BR53" i="2" s="1"/>
  <c r="BR54" i="2" s="1"/>
  <c r="BP13" i="5"/>
  <c r="BV7" i="5"/>
  <c r="BV6" i="5"/>
  <c r="BW22" i="5"/>
  <c r="BQ11" i="5" l="1"/>
  <c r="BR25" i="5" s="1"/>
  <c r="BW5" i="5"/>
  <c r="BX21" i="5" s="1"/>
  <c r="BW7" i="5" l="1"/>
  <c r="BW6" i="5"/>
  <c r="BX22" i="5"/>
  <c r="BR26" i="5"/>
  <c r="BS53" i="2" s="1"/>
  <c r="BS54" i="2" s="1"/>
  <c r="BQ12" i="5"/>
  <c r="BQ13" i="5"/>
  <c r="BR11" i="5" l="1"/>
  <c r="BS25" i="5" s="1"/>
  <c r="BX5" i="5"/>
  <c r="BR12" i="5" l="1"/>
  <c r="BS26" i="5"/>
  <c r="BT53" i="2" s="1"/>
  <c r="BT54" i="2" s="1"/>
  <c r="BR13" i="5"/>
  <c r="BX7" i="5"/>
  <c r="BX6" i="5"/>
  <c r="BY22" i="5"/>
  <c r="BY5" i="5" l="1"/>
  <c r="BS11" i="5"/>
  <c r="BT25" i="5" s="1"/>
  <c r="BS12" i="5" l="1"/>
  <c r="BT26" i="5"/>
  <c r="BU53" i="2" s="1"/>
  <c r="BU54" i="2" s="1"/>
  <c r="BS13" i="5"/>
  <c r="BY7" i="5"/>
  <c r="BY6" i="5"/>
  <c r="BZ22" i="5"/>
  <c r="BZ5" i="5" l="1"/>
  <c r="CA21" i="5" s="1"/>
  <c r="BT11" i="5"/>
  <c r="BU25" i="5" s="1"/>
  <c r="BZ7" i="5" l="1"/>
  <c r="BZ6" i="5"/>
  <c r="CA22" i="5"/>
  <c r="BU26" i="5"/>
  <c r="BV53" i="2" s="1"/>
  <c r="BV54" i="2" s="1"/>
  <c r="BT12" i="5"/>
  <c r="BT13" i="5"/>
  <c r="BU11" i="5" l="1"/>
  <c r="BV25" i="5" s="1"/>
  <c r="CA5" i="5"/>
  <c r="BU12" i="5" l="1"/>
  <c r="BV26" i="5"/>
  <c r="BW53" i="2" s="1"/>
  <c r="BW54" i="2" s="1"/>
  <c r="BU13" i="5"/>
  <c r="CA7" i="5"/>
  <c r="CA6" i="5"/>
  <c r="CB22" i="5"/>
  <c r="CB5" i="5" l="1"/>
  <c r="BV11" i="5"/>
  <c r="BW25" i="5" s="1"/>
  <c r="CB7" i="5" l="1"/>
  <c r="CB6" i="5"/>
  <c r="CC22" i="5"/>
  <c r="BV12" i="5"/>
  <c r="BW26" i="5"/>
  <c r="BX53" i="2" s="1"/>
  <c r="BX54" i="2" s="1"/>
  <c r="BV13" i="5"/>
  <c r="BW11" i="5" l="1"/>
  <c r="BX25" i="5" s="1"/>
  <c r="CC5" i="5"/>
  <c r="CD21" i="5" s="1"/>
  <c r="CC7" i="5" l="1"/>
  <c r="CC6" i="5"/>
  <c r="CD22" i="5"/>
  <c r="BX26" i="5"/>
  <c r="BY53" i="2" s="1"/>
  <c r="BY54" i="2" s="1"/>
  <c r="BW12" i="5"/>
  <c r="BW13" i="5"/>
  <c r="CD5" i="5" l="1"/>
  <c r="BX11" i="5"/>
  <c r="BY25" i="5" s="1"/>
  <c r="CD7" i="5" l="1"/>
  <c r="CD6" i="5"/>
  <c r="CE22" i="5"/>
  <c r="BX12" i="5"/>
  <c r="BY26" i="5"/>
  <c r="BZ53" i="2" s="1"/>
  <c r="BZ54" i="2" s="1"/>
  <c r="BX13" i="5"/>
  <c r="BY11" i="5" l="1"/>
  <c r="BZ25" i="5" s="1"/>
  <c r="CE5" i="5"/>
  <c r="CE7" i="5" l="1"/>
  <c r="CE6" i="5"/>
  <c r="CF22" i="5"/>
  <c r="BY12" i="5"/>
  <c r="BZ26" i="5"/>
  <c r="CA53" i="2" s="1"/>
  <c r="CA54" i="2" s="1"/>
  <c r="BY13" i="5"/>
  <c r="CF5" i="5" l="1"/>
  <c r="CG21" i="5" s="1"/>
  <c r="BZ11" i="5"/>
  <c r="CA25" i="5" s="1"/>
  <c r="CF7" i="5" l="1"/>
  <c r="CF6" i="5"/>
  <c r="CG22" i="5"/>
  <c r="CA26" i="5"/>
  <c r="CB53" i="2" s="1"/>
  <c r="CB54" i="2" s="1"/>
  <c r="BZ12" i="5"/>
  <c r="BZ13" i="5"/>
  <c r="CA11" i="5" l="1"/>
  <c r="CB25" i="5" s="1"/>
  <c r="CG5" i="5"/>
  <c r="CG7" i="5" l="1"/>
  <c r="CG6" i="5"/>
  <c r="CA12" i="5"/>
  <c r="CB26" i="5"/>
  <c r="CC53" i="2" s="1"/>
  <c r="CC54" i="2" s="1"/>
  <c r="CA13" i="5"/>
  <c r="CB11" i="5" l="1"/>
  <c r="CC25" i="5" s="1"/>
  <c r="CB12" i="5" l="1"/>
  <c r="CC26" i="5"/>
  <c r="CD53" i="2" s="1"/>
  <c r="CD54" i="2" s="1"/>
  <c r="CB13" i="5"/>
  <c r="CC11" i="5" l="1"/>
  <c r="CD25" i="5" s="1"/>
  <c r="CD26" i="5" l="1"/>
  <c r="CE53" i="2" s="1"/>
  <c r="CE54" i="2" s="1"/>
  <c r="CC12" i="5"/>
  <c r="CC13" i="5"/>
  <c r="CD11" i="5" l="1"/>
  <c r="CE25" i="5" s="1"/>
  <c r="CD12" i="5" l="1"/>
  <c r="CE26" i="5"/>
  <c r="CF53" i="2" s="1"/>
  <c r="CF54" i="2" s="1"/>
  <c r="CD13" i="5"/>
  <c r="CE11" i="5" l="1"/>
  <c r="CF25" i="5" s="1"/>
  <c r="CE12" i="5" l="1"/>
  <c r="CF26" i="5"/>
  <c r="CG53" i="2" s="1"/>
  <c r="CG54" i="2" s="1"/>
  <c r="CE13" i="5"/>
  <c r="CF11" i="5" l="1"/>
  <c r="CG25" i="5" s="1"/>
  <c r="CG26" i="5" l="1"/>
  <c r="CH53" i="2" s="1"/>
  <c r="CH54" i="2" s="1"/>
  <c r="CF12" i="5"/>
  <c r="CF13" i="5"/>
  <c r="CG11" i="5" l="1"/>
  <c r="CG12" i="5" l="1"/>
  <c r="CG13" i="5"/>
</calcChain>
</file>

<file path=xl/sharedStrings.xml><?xml version="1.0" encoding="utf-8"?>
<sst xmlns="http://schemas.openxmlformats.org/spreadsheetml/2006/main" count="117" uniqueCount="82">
  <si>
    <t>Borrower:</t>
  </si>
  <si>
    <t>Imperial Hospital Limited (IHL)</t>
  </si>
  <si>
    <t>Currency:</t>
  </si>
  <si>
    <t>BDT</t>
  </si>
  <si>
    <t xml:space="preserve">Type </t>
  </si>
  <si>
    <t>IDCOL Loan</t>
  </si>
  <si>
    <t>Source :</t>
  </si>
  <si>
    <t>IDCOL Current Account</t>
  </si>
  <si>
    <t>Disbursement Number</t>
  </si>
  <si>
    <t>Disbursement Date</t>
  </si>
  <si>
    <t>Disbursement</t>
  </si>
  <si>
    <t>Cumulative Disbursement</t>
  </si>
  <si>
    <t>Source</t>
  </si>
  <si>
    <t xml:space="preserve"> </t>
  </si>
  <si>
    <t>Principal</t>
  </si>
  <si>
    <t>Opening balance</t>
  </si>
  <si>
    <t>Repayment due</t>
  </si>
  <si>
    <t xml:space="preserve">Loan Repayment </t>
  </si>
  <si>
    <t>Repayment overdue</t>
  </si>
  <si>
    <t>Loan outstanding</t>
  </si>
  <si>
    <t>Interest</t>
  </si>
  <si>
    <t>Interest accrued</t>
  </si>
  <si>
    <t>Interest due</t>
  </si>
  <si>
    <t>interest received</t>
  </si>
  <si>
    <t>Interest overdue</t>
  </si>
  <si>
    <t>Interest receivable</t>
  </si>
  <si>
    <t>LD and others</t>
  </si>
  <si>
    <t>Repayment receipts:</t>
  </si>
  <si>
    <t>Repayment received</t>
  </si>
  <si>
    <t>Repayment received (cumulative)</t>
  </si>
  <si>
    <t>Interest receipts:</t>
  </si>
  <si>
    <t>Interest received</t>
  </si>
  <si>
    <t>Interest received (cumulative)</t>
  </si>
  <si>
    <t>LD/others</t>
  </si>
  <si>
    <t>LD/others (cumulative)</t>
  </si>
  <si>
    <t>Actual Payment date</t>
  </si>
  <si>
    <t>Actual Payment amount:</t>
  </si>
  <si>
    <t>LPC</t>
  </si>
  <si>
    <t>Total</t>
  </si>
  <si>
    <t>Project name:</t>
  </si>
  <si>
    <t>Agreement signing date</t>
  </si>
  <si>
    <t>Loan Amount</t>
  </si>
  <si>
    <t>*If payment date is not a business day, then payment date shall be immediately the preceeding business day.</t>
  </si>
  <si>
    <t>Payment frequency</t>
  </si>
  <si>
    <t>Quarterly</t>
  </si>
  <si>
    <t>Interest Rate</t>
  </si>
  <si>
    <t>Maturity date</t>
  </si>
  <si>
    <t>months</t>
  </si>
  <si>
    <t>Moratorium period (Principal)</t>
  </si>
  <si>
    <t>Annuity</t>
  </si>
  <si>
    <t>Interest calculation</t>
  </si>
  <si>
    <t>days basis</t>
  </si>
  <si>
    <t>Number of installments</t>
  </si>
  <si>
    <t>Drawdown</t>
  </si>
  <si>
    <t>Period</t>
  </si>
  <si>
    <t>Expected Interest Rate</t>
  </si>
  <si>
    <t>Repayment</t>
  </si>
  <si>
    <t>Interest capitalized</t>
  </si>
  <si>
    <t>Repayment Period</t>
  </si>
  <si>
    <t>Repayment Date</t>
  </si>
  <si>
    <t>Opening Balance</t>
  </si>
  <si>
    <t>Interest Payment</t>
  </si>
  <si>
    <t>Cumulative interest</t>
  </si>
  <si>
    <t>Principal Payment</t>
  </si>
  <si>
    <t>Cumulative repayment</t>
  </si>
  <si>
    <t>Total Debt Service</t>
  </si>
  <si>
    <t>Closing Balance</t>
  </si>
  <si>
    <t>Interest Capitalized</t>
  </si>
  <si>
    <t>Average Installment Size</t>
  </si>
  <si>
    <t>Particulars</t>
  </si>
  <si>
    <t>Total interest accrued</t>
  </si>
  <si>
    <t>Total interest capitalized</t>
  </si>
  <si>
    <t>Net interest accrued</t>
  </si>
  <si>
    <t>Total interest received</t>
  </si>
  <si>
    <t>Total interest receivable</t>
  </si>
  <si>
    <t>Assumptions:</t>
  </si>
  <si>
    <t>Tenor</t>
  </si>
  <si>
    <t>7 years</t>
  </si>
  <si>
    <t xml:space="preserve"> days basis</t>
  </si>
  <si>
    <t>Accrual of interest</t>
  </si>
  <si>
    <t>Months</t>
  </si>
  <si>
    <t>Financial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</si>
</sst>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0000%"/>
    <numFmt numFmtId="167" formatCode="[$-409]mmm\-yy;@"/>
  </numFmts>
  <fonts count="17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indexed="12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b/>
      <sz val="14"/>
      <color indexed="10"/>
      <name val="Book Antiqua"/>
      <family val="1"/>
    </font>
    <font>
      <sz val="14"/>
      <color indexed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color indexed="10"/>
      <name val="Book Antiqua"/>
      <family val="1"/>
    </font>
    <font>
      <sz val="10"/>
      <color indexed="8"/>
      <name val="Book Antiqua"/>
      <family val="1"/>
    </font>
    <font>
      <sz val="10"/>
      <color rgb="FFFF0000"/>
      <name val="Book Antiqua"/>
      <family val="1"/>
    </font>
    <font>
      <i/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3" fontId="2" fillId="0" borderId="0" xfId="0" applyNumberFormat="1" applyFont="1" applyAlignment="1" applyProtection="1">
      <alignment horizontal="center"/>
      <protection locked="0"/>
    </xf>
    <xf numFmtId="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3" fontId="2" fillId="0" borderId="0" xfId="0" applyNumberFormat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Protection="1">
      <protection locked="0"/>
    </xf>
    <xf numFmtId="4" fontId="2" fillId="0" borderId="0" xfId="0" applyNumberFormat="1" applyFont="1" applyProtection="1">
      <protection locked="0"/>
    </xf>
    <xf numFmtId="165" fontId="2" fillId="0" borderId="0" xfId="1" applyNumberFormat="1" applyFont="1" applyFill="1" applyBorder="1" applyProtection="1">
      <protection locked="0"/>
    </xf>
    <xf numFmtId="3" fontId="2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right"/>
      <protection locked="0"/>
    </xf>
    <xf numFmtId="3" fontId="2" fillId="0" borderId="1" xfId="0" applyNumberFormat="1" applyFont="1" applyBorder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/>
    <xf numFmtId="10" fontId="11" fillId="0" borderId="0" xfId="0" applyNumberFormat="1" applyFont="1" applyAlignment="1" applyProtection="1">
      <alignment horizontal="center"/>
      <protection locked="0"/>
    </xf>
    <xf numFmtId="3" fontId="12" fillId="0" borderId="0" xfId="0" applyNumberFormat="1" applyFont="1" applyAlignment="1" applyProtection="1">
      <alignment horizontal="right"/>
      <protection locked="0"/>
    </xf>
    <xf numFmtId="3" fontId="12" fillId="0" borderId="0" xfId="0" applyNumberFormat="1" applyFont="1" applyAlignment="1" applyProtection="1">
      <alignment horizontal="center"/>
      <protection locked="0"/>
    </xf>
    <xf numFmtId="0" fontId="6" fillId="2" borderId="2" xfId="0" applyFont="1" applyFill="1" applyBorder="1" applyProtection="1">
      <protection locked="0"/>
    </xf>
    <xf numFmtId="164" fontId="6" fillId="2" borderId="2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Protection="1">
      <protection locked="0"/>
    </xf>
    <xf numFmtId="43" fontId="12" fillId="0" borderId="0" xfId="1" applyFont="1"/>
    <xf numFmtId="0" fontId="12" fillId="0" borderId="1" xfId="0" applyFont="1" applyBorder="1" applyProtection="1">
      <protection locked="0"/>
    </xf>
    <xf numFmtId="3" fontId="12" fillId="0" borderId="1" xfId="0" applyNumberFormat="1" applyFont="1" applyBorder="1" applyProtection="1">
      <protection locked="0"/>
    </xf>
    <xf numFmtId="0" fontId="12" fillId="0" borderId="0" xfId="0" applyFont="1" applyAlignment="1" applyProtection="1">
      <alignment horizontal="right"/>
      <protection locked="0"/>
    </xf>
    <xf numFmtId="4" fontId="12" fillId="0" borderId="0" xfId="0" applyNumberFormat="1" applyFont="1" applyProtection="1">
      <protection locked="0"/>
    </xf>
    <xf numFmtId="0" fontId="12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0" xfId="0" applyFont="1" applyAlignment="1">
      <alignment horizontal="left"/>
    </xf>
    <xf numFmtId="43" fontId="13" fillId="0" borderId="0" xfId="1" applyFont="1"/>
    <xf numFmtId="0" fontId="12" fillId="0" borderId="0" xfId="0" applyFont="1" applyAlignment="1">
      <alignment horizontal="right"/>
    </xf>
    <xf numFmtId="15" fontId="12" fillId="0" borderId="0" xfId="0" applyNumberFormat="1" applyFont="1"/>
    <xf numFmtId="4" fontId="12" fillId="0" borderId="0" xfId="0" applyNumberFormat="1" applyFont="1"/>
    <xf numFmtId="0" fontId="14" fillId="0" borderId="0" xfId="0" applyFont="1" applyProtection="1">
      <protection locked="0"/>
    </xf>
    <xf numFmtId="3" fontId="14" fillId="0" borderId="0" xfId="0" applyNumberFormat="1" applyFont="1" applyAlignment="1" applyProtection="1">
      <alignment horizontal="right"/>
      <protection locked="0"/>
    </xf>
    <xf numFmtId="1" fontId="12" fillId="0" borderId="0" xfId="0" applyNumberFormat="1" applyFont="1" applyProtection="1">
      <protection locked="0"/>
    </xf>
    <xf numFmtId="1" fontId="12" fillId="0" borderId="0" xfId="0" applyNumberFormat="1" applyFont="1" applyAlignment="1" applyProtection="1">
      <alignment horizontal="right"/>
      <protection locked="0"/>
    </xf>
    <xf numFmtId="1" fontId="12" fillId="0" borderId="0" xfId="0" applyNumberFormat="1" applyFont="1"/>
    <xf numFmtId="1" fontId="2" fillId="0" borderId="0" xfId="0" applyNumberFormat="1" applyFont="1" applyAlignment="1" applyProtection="1">
      <alignment horizontal="right"/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0" fontId="14" fillId="0" borderId="0" xfId="0" applyFont="1"/>
    <xf numFmtId="166" fontId="12" fillId="0" borderId="0" xfId="0" applyNumberFormat="1" applyFont="1" applyAlignment="1" applyProtection="1">
      <alignment horizontal="right"/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3" fontId="2" fillId="0" borderId="0" xfId="0" applyNumberFormat="1" applyFont="1"/>
    <xf numFmtId="0" fontId="5" fillId="0" borderId="0" xfId="0" applyFont="1" applyAlignment="1" applyProtection="1">
      <alignment horizontal="right"/>
      <protection locked="0"/>
    </xf>
    <xf numFmtId="3" fontId="5" fillId="0" borderId="0" xfId="0" applyNumberFormat="1" applyFont="1"/>
    <xf numFmtId="3" fontId="5" fillId="2" borderId="2" xfId="0" applyNumberFormat="1" applyFont="1" applyFill="1" applyBorder="1"/>
    <xf numFmtId="164" fontId="5" fillId="2" borderId="2" xfId="0" applyNumberFormat="1" applyFont="1" applyFill="1" applyBorder="1" applyAlignment="1" applyProtection="1">
      <alignment horizontal="right"/>
      <protection locked="0"/>
    </xf>
    <xf numFmtId="3" fontId="5" fillId="0" borderId="5" xfId="0" applyNumberFormat="1" applyFont="1" applyBorder="1"/>
    <xf numFmtId="164" fontId="5" fillId="0" borderId="5" xfId="0" applyNumberFormat="1" applyFont="1" applyBorder="1" applyAlignment="1" applyProtection="1">
      <alignment horizontal="right"/>
      <protection locked="0"/>
    </xf>
    <xf numFmtId="3" fontId="5" fillId="0" borderId="6" xfId="0" applyNumberFormat="1" applyFont="1" applyBorder="1"/>
    <xf numFmtId="164" fontId="5" fillId="0" borderId="6" xfId="0" applyNumberFormat="1" applyFont="1" applyBorder="1" applyAlignment="1" applyProtection="1">
      <alignment horizontal="right"/>
      <protection locked="0"/>
    </xf>
    <xf numFmtId="3" fontId="2" fillId="0" borderId="5" xfId="0" applyNumberFormat="1" applyFont="1" applyBorder="1" applyAlignment="1" applyProtection="1">
      <alignment horizontal="right"/>
      <protection locked="0"/>
    </xf>
    <xf numFmtId="3" fontId="2" fillId="0" borderId="5" xfId="0" applyNumberFormat="1" applyFont="1" applyBorder="1" applyProtection="1">
      <protection locked="0"/>
    </xf>
    <xf numFmtId="3" fontId="2" fillId="0" borderId="6" xfId="0" applyNumberFormat="1" applyFont="1" applyBorder="1" applyAlignment="1" applyProtection="1">
      <alignment horizontal="right"/>
      <protection locked="0"/>
    </xf>
    <xf numFmtId="3" fontId="2" fillId="0" borderId="6" xfId="0" applyNumberFormat="1" applyFont="1" applyBorder="1" applyProtection="1">
      <protection locked="0"/>
    </xf>
    <xf numFmtId="164" fontId="2" fillId="0" borderId="4" xfId="0" applyNumberFormat="1" applyFont="1" applyBorder="1" applyAlignment="1" applyProtection="1">
      <alignment horizontal="right"/>
      <protection locked="0"/>
    </xf>
    <xf numFmtId="3" fontId="2" fillId="0" borderId="4" xfId="0" applyNumberFormat="1" applyFont="1" applyBorder="1" applyAlignment="1" applyProtection="1">
      <alignment horizontal="right"/>
      <protection locked="0"/>
    </xf>
    <xf numFmtId="9" fontId="2" fillId="0" borderId="4" xfId="2" applyFont="1" applyFill="1" applyBorder="1" applyAlignment="1" applyProtection="1">
      <alignment horizontal="right"/>
      <protection locked="0"/>
    </xf>
    <xf numFmtId="0" fontId="2" fillId="0" borderId="4" xfId="0" applyFont="1" applyBorder="1" applyAlignment="1" applyProtection="1">
      <alignment horizontal="right"/>
      <protection locked="0"/>
    </xf>
    <xf numFmtId="41" fontId="2" fillId="0" borderId="4" xfId="1" applyNumberFormat="1" applyFont="1" applyFill="1" applyBorder="1" applyAlignment="1" applyProtection="1">
      <alignment horizontal="right"/>
      <protection locked="0"/>
    </xf>
    <xf numFmtId="9" fontId="2" fillId="0" borderId="4" xfId="0" applyNumberFormat="1" applyFont="1" applyBorder="1" applyAlignment="1" applyProtection="1">
      <alignment horizontal="right"/>
      <protection locked="0"/>
    </xf>
    <xf numFmtId="0" fontId="12" fillId="0" borderId="0" xfId="0" applyFont="1" applyAlignment="1">
      <alignment horizontal="center"/>
    </xf>
    <xf numFmtId="43" fontId="12" fillId="0" borderId="0" xfId="1" applyFont="1" applyAlignment="1">
      <alignment horizontal="center"/>
    </xf>
    <xf numFmtId="4" fontId="12" fillId="0" borderId="0" xfId="0" applyNumberFormat="1" applyFont="1" applyAlignment="1">
      <alignment horizontal="center"/>
    </xf>
    <xf numFmtId="164" fontId="2" fillId="2" borderId="6" xfId="0" applyNumberFormat="1" applyFont="1" applyFill="1" applyBorder="1" applyAlignment="1" applyProtection="1">
      <alignment horizontal="right"/>
      <protection locked="0"/>
    </xf>
    <xf numFmtId="0" fontId="2" fillId="2" borderId="6" xfId="0" applyFont="1" applyFill="1" applyBorder="1" applyProtection="1">
      <protection locked="0"/>
    </xf>
    <xf numFmtId="43" fontId="15" fillId="0" borderId="0" xfId="1" applyFont="1"/>
    <xf numFmtId="0" fontId="15" fillId="0" borderId="0" xfId="0" applyFont="1"/>
    <xf numFmtId="0" fontId="11" fillId="3" borderId="7" xfId="0" applyFont="1" applyFill="1" applyBorder="1"/>
    <xf numFmtId="0" fontId="11" fillId="3" borderId="8" xfId="0" applyFont="1" applyFill="1" applyBorder="1" applyAlignment="1">
      <alignment horizontal="center"/>
    </xf>
    <xf numFmtId="0" fontId="11" fillId="3" borderId="9" xfId="0" applyFont="1" applyFill="1" applyBorder="1"/>
    <xf numFmtId="164" fontId="12" fillId="0" borderId="0" xfId="0" applyNumberFormat="1" applyFont="1"/>
    <xf numFmtId="164" fontId="12" fillId="0" borderId="2" xfId="1" applyNumberFormat="1" applyFont="1" applyBorder="1"/>
    <xf numFmtId="164" fontId="12" fillId="0" borderId="4" xfId="0" applyNumberFormat="1" applyFont="1" applyBorder="1" applyAlignment="1" applyProtection="1">
      <alignment horizontal="right"/>
      <protection locked="0"/>
    </xf>
    <xf numFmtId="3" fontId="12" fillId="0" borderId="4" xfId="0" applyNumberFormat="1" applyFont="1" applyBorder="1" applyAlignment="1" applyProtection="1">
      <alignment horizontal="right"/>
      <protection locked="0"/>
    </xf>
    <xf numFmtId="164" fontId="12" fillId="0" borderId="0" xfId="0" applyNumberFormat="1" applyFont="1" applyAlignment="1" applyProtection="1">
      <alignment horizontal="right"/>
      <protection locked="0"/>
    </xf>
    <xf numFmtId="9" fontId="12" fillId="0" borderId="4" xfId="2" applyFont="1" applyFill="1" applyBorder="1" applyAlignment="1" applyProtection="1">
      <alignment horizontal="right"/>
      <protection locked="0"/>
    </xf>
    <xf numFmtId="3" fontId="11" fillId="0" borderId="0" xfId="0" applyNumberFormat="1" applyFont="1"/>
    <xf numFmtId="0" fontId="12" fillId="0" borderId="4" xfId="0" applyFont="1" applyBorder="1" applyAlignment="1" applyProtection="1">
      <alignment horizontal="right"/>
      <protection locked="0"/>
    </xf>
    <xf numFmtId="164" fontId="11" fillId="0" borderId="0" xfId="0" applyNumberFormat="1" applyFont="1" applyAlignment="1" applyProtection="1">
      <alignment horizontal="right"/>
      <protection locked="0"/>
    </xf>
    <xf numFmtId="0" fontId="11" fillId="0" borderId="0" xfId="0" applyFont="1" applyAlignment="1" applyProtection="1">
      <alignment horizontal="right"/>
      <protection locked="0"/>
    </xf>
    <xf numFmtId="3" fontId="11" fillId="0" borderId="2" xfId="0" applyNumberFormat="1" applyFont="1" applyBorder="1"/>
    <xf numFmtId="164" fontId="11" fillId="0" borderId="2" xfId="0" applyNumberFormat="1" applyFont="1" applyBorder="1" applyAlignment="1" applyProtection="1">
      <alignment horizontal="right"/>
      <protection locked="0"/>
    </xf>
    <xf numFmtId="3" fontId="11" fillId="0" borderId="5" xfId="0" applyNumberFormat="1" applyFont="1" applyBorder="1"/>
    <xf numFmtId="164" fontId="11" fillId="0" borderId="5" xfId="0" applyNumberFormat="1" applyFont="1" applyBorder="1" applyAlignment="1" applyProtection="1">
      <alignment horizontal="right"/>
      <protection locked="0"/>
    </xf>
    <xf numFmtId="3" fontId="12" fillId="0" borderId="5" xfId="0" applyNumberFormat="1" applyFont="1" applyBorder="1" applyAlignment="1" applyProtection="1">
      <alignment horizontal="right"/>
      <protection locked="0"/>
    </xf>
    <xf numFmtId="3" fontId="11" fillId="0" borderId="6" xfId="0" applyNumberFormat="1" applyFont="1" applyBorder="1"/>
    <xf numFmtId="164" fontId="11" fillId="0" borderId="6" xfId="0" applyNumberFormat="1" applyFont="1" applyBorder="1" applyAlignment="1" applyProtection="1">
      <alignment horizontal="right"/>
      <protection locked="0"/>
    </xf>
    <xf numFmtId="3" fontId="12" fillId="0" borderId="6" xfId="0" applyNumberFormat="1" applyFont="1" applyBorder="1" applyAlignment="1" applyProtection="1">
      <alignment horizontal="right"/>
      <protection locked="0"/>
    </xf>
    <xf numFmtId="165" fontId="12" fillId="0" borderId="4" xfId="1" applyNumberFormat="1" applyFont="1" applyFill="1" applyBorder="1"/>
    <xf numFmtId="43" fontId="12" fillId="0" borderId="0" xfId="1" applyFont="1" applyBorder="1"/>
    <xf numFmtId="164" fontId="2" fillId="2" borderId="2" xfId="0" applyNumberFormat="1" applyFont="1" applyFill="1" applyBorder="1" applyAlignment="1" applyProtection="1">
      <alignment horizontal="right"/>
      <protection locked="0"/>
    </xf>
    <xf numFmtId="0" fontId="5" fillId="0" borderId="1" xfId="0" applyFont="1" applyBorder="1" applyProtection="1">
      <protection locked="0"/>
    </xf>
    <xf numFmtId="10" fontId="2" fillId="0" borderId="1" xfId="0" applyNumberFormat="1" applyFont="1" applyBorder="1" applyAlignment="1" applyProtection="1">
      <alignment horizontal="right"/>
      <protection locked="0"/>
    </xf>
    <xf numFmtId="164" fontId="12" fillId="0" borderId="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left"/>
    </xf>
    <xf numFmtId="164" fontId="2" fillId="0" borderId="0" xfId="0" applyNumberFormat="1" applyFont="1" applyProtection="1">
      <protection locked="0"/>
    </xf>
    <xf numFmtId="164" fontId="2" fillId="2" borderId="2" xfId="0" applyNumberFormat="1" applyFont="1" applyFill="1" applyBorder="1" applyProtection="1">
      <protection locked="0"/>
    </xf>
    <xf numFmtId="10" fontId="2" fillId="0" borderId="0" xfId="0" applyNumberFormat="1" applyFont="1" applyAlignment="1" applyProtection="1">
      <alignment horizontal="right"/>
      <protection locked="0"/>
    </xf>
    <xf numFmtId="0" fontId="2" fillId="0" borderId="11" xfId="0" applyFont="1" applyBorder="1" applyAlignment="1" applyProtection="1">
      <alignment horizontal="right"/>
      <protection locked="0"/>
    </xf>
    <xf numFmtId="15" fontId="12" fillId="0" borderId="0" xfId="0" applyNumberFormat="1" applyFont="1" applyAlignment="1">
      <alignment horizontal="center"/>
    </xf>
    <xf numFmtId="164" fontId="2" fillId="0" borderId="4" xfId="0" applyNumberFormat="1" applyFont="1" applyBorder="1" applyAlignment="1" applyProtection="1">
      <alignment horizontal="right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167" fontId="2" fillId="2" borderId="2" xfId="0" applyNumberFormat="1" applyFont="1" applyFill="1" applyBorder="1" applyAlignment="1" applyProtection="1">
      <alignment horizontal="right"/>
      <protection locked="0"/>
    </xf>
    <xf numFmtId="0" fontId="11" fillId="3" borderId="9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1" applyNumberFormat="1" applyFont="1" applyFill="1" applyBorder="1"/>
    <xf numFmtId="164" fontId="5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2" fillId="0" borderId="10" xfId="0" applyFont="1" applyBorder="1" applyAlignment="1">
      <alignment horizontal="right"/>
    </xf>
    <xf numFmtId="43" fontId="12" fillId="0" borderId="0" xfId="1" applyFont="1" applyFill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164" fontId="11" fillId="4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165" fontId="2" fillId="6" borderId="0" xfId="1" applyNumberFormat="1" applyFont="1" applyFill="1" applyBorder="1" applyProtection="1">
      <protection locked="0"/>
    </xf>
    <xf numFmtId="3" fontId="5" fillId="5" borderId="0" xfId="0" applyNumberFormat="1" applyFont="1" applyFill="1" applyProtection="1">
      <protection locked="0"/>
    </xf>
    <xf numFmtId="165" fontId="2" fillId="0" borderId="0" xfId="0" applyNumberFormat="1" applyFont="1" applyProtection="1">
      <protection locked="0"/>
    </xf>
    <xf numFmtId="3" fontId="5" fillId="0" borderId="0" xfId="0" applyNumberFormat="1" applyFont="1" applyProtection="1">
      <protection locked="0"/>
    </xf>
    <xf numFmtId="43" fontId="2" fillId="0" borderId="0" xfId="0" applyNumberFormat="1" applyFont="1" applyProtection="1">
      <protection locked="0"/>
    </xf>
    <xf numFmtId="165" fontId="12" fillId="0" borderId="0" xfId="0" applyNumberFormat="1" applyFont="1"/>
    <xf numFmtId="3" fontId="2" fillId="7" borderId="10" xfId="0" applyNumberFormat="1" applyFont="1" applyFill="1" applyBorder="1" applyAlignment="1" applyProtection="1">
      <alignment horizontal="center"/>
      <protection locked="0"/>
    </xf>
    <xf numFmtId="3" fontId="2" fillId="7" borderId="2" xfId="0" applyNumberFormat="1" applyFont="1" applyFill="1" applyBorder="1" applyAlignment="1" applyProtection="1">
      <alignment horizontal="center"/>
      <protection locked="0"/>
    </xf>
    <xf numFmtId="3" fontId="2" fillId="7" borderId="3" xfId="0" applyNumberFormat="1" applyFont="1" applyFill="1" applyBorder="1" applyAlignment="1" applyProtection="1">
      <alignment horizontal="center"/>
      <protection locked="0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showGridLines="0" workbookViewId="0">
      <selection activeCell="C15" sqref="C15"/>
    </sheetView>
  </sheetViews>
  <sheetFormatPr defaultColWidth="9.140625" defaultRowHeight="13.9"/>
  <cols>
    <col min="1" max="1" width="21.5703125" style="23" customWidth="1"/>
    <col min="2" max="2" width="21.42578125" style="23" customWidth="1"/>
    <col min="3" max="3" width="17.42578125" style="23" customWidth="1"/>
    <col min="4" max="4" width="24.5703125" style="23" bestFit="1" customWidth="1"/>
    <col min="5" max="5" width="21.5703125" style="23" bestFit="1" customWidth="1"/>
    <col min="6" max="6" width="9.28515625" style="23" bestFit="1" customWidth="1"/>
    <col min="7" max="7" width="17.5703125" style="23" customWidth="1"/>
    <col min="8" max="8" width="18.85546875" style="23" customWidth="1"/>
    <col min="9" max="9" width="15" style="23" customWidth="1"/>
    <col min="10" max="10" width="19.28515625" style="23" customWidth="1"/>
    <col min="11" max="11" width="22" style="23" customWidth="1"/>
    <col min="12" max="16384" width="9.140625" style="23"/>
  </cols>
  <sheetData>
    <row r="1" spans="1:11">
      <c r="A1" s="41" t="s">
        <v>0</v>
      </c>
      <c r="B1" s="23" t="s">
        <v>1</v>
      </c>
    </row>
    <row r="2" spans="1:11">
      <c r="A2" s="41" t="s">
        <v>2</v>
      </c>
      <c r="B2" s="23" t="s">
        <v>3</v>
      </c>
    </row>
    <row r="3" spans="1:11">
      <c r="A3" s="41" t="s">
        <v>4</v>
      </c>
      <c r="B3" s="23" t="s">
        <v>5</v>
      </c>
    </row>
    <row r="4" spans="1:11">
      <c r="A4" s="41" t="s">
        <v>6</v>
      </c>
      <c r="B4" s="117" t="s">
        <v>7</v>
      </c>
    </row>
    <row r="6" spans="1:11" ht="14.45" thickBot="1"/>
    <row r="7" spans="1:11" ht="14.45" thickBot="1">
      <c r="A7" s="80" t="s">
        <v>8</v>
      </c>
      <c r="B7" s="81" t="s">
        <v>9</v>
      </c>
      <c r="C7" s="81" t="s">
        <v>10</v>
      </c>
      <c r="D7" s="82" t="s">
        <v>11</v>
      </c>
      <c r="E7" s="116" t="s">
        <v>12</v>
      </c>
      <c r="G7" s="124"/>
      <c r="H7" s="125"/>
      <c r="I7" s="125"/>
      <c r="J7" s="124"/>
      <c r="K7" s="125"/>
    </row>
    <row r="8" spans="1:11">
      <c r="A8" s="73">
        <v>1</v>
      </c>
      <c r="B8" s="112">
        <v>43118</v>
      </c>
      <c r="C8" s="74">
        <v>150000000</v>
      </c>
      <c r="D8" s="75">
        <f>C8+C9</f>
        <v>150000000</v>
      </c>
      <c r="E8" s="117" t="s">
        <v>7</v>
      </c>
      <c r="F8" s="42"/>
      <c r="G8" s="73"/>
      <c r="H8" s="112"/>
      <c r="I8" s="123"/>
      <c r="J8" s="75"/>
      <c r="K8" s="117"/>
    </row>
    <row r="9" spans="1:11">
      <c r="A9" s="73"/>
      <c r="B9" s="112"/>
      <c r="C9" s="74"/>
      <c r="D9" s="75"/>
      <c r="E9" s="117"/>
      <c r="F9" s="42"/>
      <c r="G9" s="73"/>
      <c r="H9" s="112"/>
      <c r="I9" s="123"/>
      <c r="J9" s="75"/>
      <c r="K9" s="117"/>
    </row>
    <row r="10" spans="1:11">
      <c r="A10" s="73"/>
      <c r="B10" s="112"/>
      <c r="C10" s="74"/>
      <c r="D10" s="75"/>
      <c r="E10" s="117"/>
      <c r="G10" s="73"/>
      <c r="H10" s="112"/>
      <c r="I10" s="123"/>
      <c r="J10" s="75"/>
      <c r="K10" s="117"/>
    </row>
    <row r="11" spans="1:11">
      <c r="A11" s="73"/>
      <c r="B11" s="112"/>
      <c r="C11" s="74"/>
      <c r="D11" s="75"/>
      <c r="E11" s="117"/>
      <c r="G11" s="73"/>
      <c r="H11" s="112"/>
      <c r="I11" s="123"/>
      <c r="J11" s="75"/>
      <c r="K11" s="117"/>
    </row>
    <row r="12" spans="1:11">
      <c r="B12" s="42"/>
      <c r="C12" s="30"/>
      <c r="D12" s="43"/>
      <c r="G12" s="42"/>
    </row>
    <row r="13" spans="1:11">
      <c r="B13" s="42"/>
      <c r="C13" s="30"/>
      <c r="D13" s="43"/>
      <c r="G13" s="42"/>
    </row>
    <row r="14" spans="1:11">
      <c r="B14" s="42"/>
      <c r="C14" s="30"/>
      <c r="D14" s="43"/>
      <c r="G14" s="42"/>
    </row>
    <row r="15" spans="1:11">
      <c r="B15" s="42"/>
      <c r="C15" s="30"/>
      <c r="D15" s="43"/>
      <c r="G15" s="42"/>
    </row>
    <row r="16" spans="1:11">
      <c r="B16" s="42"/>
      <c r="C16" s="30"/>
      <c r="D16" s="43"/>
      <c r="E16" s="23" t="s">
        <v>13</v>
      </c>
      <c r="G16" s="42"/>
    </row>
    <row r="17" spans="7:7">
      <c r="G17" s="42"/>
    </row>
    <row r="18" spans="7:7">
      <c r="G18" s="42"/>
    </row>
    <row r="19" spans="7:7">
      <c r="G19" s="42"/>
    </row>
    <row r="20" spans="7:7">
      <c r="G20" s="42"/>
    </row>
    <row r="21" spans="7:7">
      <c r="G21" s="42"/>
    </row>
    <row r="22" spans="7:7">
      <c r="G22" s="4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G35"/>
  <sheetViews>
    <sheetView showGridLines="0" tabSelected="1" zoomScaleNormal="100" workbookViewId="0">
      <pane xSplit="1" ySplit="1" topLeftCell="Z2" activePane="bottomRight" state="frozen"/>
      <selection pane="bottomRight" activeCell="AE26" sqref="AE26"/>
      <selection pane="bottomLeft" activeCell="B31" sqref="B31"/>
      <selection pane="topRight" activeCell="B31" sqref="B31"/>
    </sheetView>
  </sheetViews>
  <sheetFormatPr defaultColWidth="9.140625" defaultRowHeight="13.9"/>
  <cols>
    <col min="1" max="1" width="30.140625" style="35" bestFit="1" customWidth="1"/>
    <col min="2" max="2" width="14.5703125" style="23" bestFit="1" customWidth="1"/>
    <col min="3" max="4" width="16" style="23" bestFit="1" customWidth="1"/>
    <col min="5" max="31" width="15.5703125" style="23" bestFit="1" customWidth="1"/>
    <col min="32" max="37" width="15.5703125" style="23" customWidth="1"/>
    <col min="38" max="39" width="15.5703125" style="23" bestFit="1" customWidth="1"/>
    <col min="40" max="41" width="15.5703125" style="23" customWidth="1"/>
    <col min="42" max="42" width="15.5703125" style="23" bestFit="1" customWidth="1"/>
    <col min="43" max="49" width="15.5703125" style="23" customWidth="1"/>
    <col min="50" max="51" width="15.5703125" style="23" bestFit="1" customWidth="1"/>
    <col min="52" max="53" width="15.5703125" style="23" customWidth="1"/>
    <col min="54" max="85" width="17.28515625" style="23" bestFit="1" customWidth="1"/>
    <col min="86" max="16384" width="9.140625" style="23"/>
  </cols>
  <sheetData>
    <row r="1" spans="1:85">
      <c r="B1" s="28">
        <f>Accrual_IHL!B23</f>
        <v>43132</v>
      </c>
      <c r="C1" s="28">
        <f>Accrual_IHL!C23</f>
        <v>43160</v>
      </c>
      <c r="D1" s="28">
        <f>Accrual_IHL!D23</f>
        <v>43191</v>
      </c>
      <c r="E1" s="28">
        <f>Accrual_IHL!E23</f>
        <v>43221</v>
      </c>
      <c r="F1" s="28">
        <f>Accrual_IHL!F23</f>
        <v>43252</v>
      </c>
      <c r="G1" s="28">
        <f>Accrual_IHL!G23</f>
        <v>43282</v>
      </c>
      <c r="H1" s="28">
        <f>Accrual_IHL!H23</f>
        <v>43313</v>
      </c>
      <c r="I1" s="28">
        <f>Accrual_IHL!I23</f>
        <v>43344</v>
      </c>
      <c r="J1" s="28">
        <f>Accrual_IHL!J23</f>
        <v>43374</v>
      </c>
      <c r="K1" s="28">
        <f>Accrual_IHL!K23</f>
        <v>43405</v>
      </c>
      <c r="L1" s="28">
        <f>Accrual_IHL!L23</f>
        <v>43435</v>
      </c>
      <c r="M1" s="28">
        <f>Accrual_IHL!M23</f>
        <v>43466</v>
      </c>
      <c r="N1" s="28">
        <f>Accrual_IHL!N23</f>
        <v>43497</v>
      </c>
      <c r="O1" s="28">
        <f>Accrual_IHL!O23</f>
        <v>43525</v>
      </c>
      <c r="P1" s="28">
        <f>Accrual_IHL!P23</f>
        <v>43556</v>
      </c>
      <c r="Q1" s="28">
        <f>Accrual_IHL!Q23</f>
        <v>43586</v>
      </c>
      <c r="R1" s="28">
        <f>Accrual_IHL!R23</f>
        <v>43617</v>
      </c>
      <c r="S1" s="28">
        <f>Accrual_IHL!S23</f>
        <v>43647</v>
      </c>
      <c r="T1" s="28">
        <f>Accrual_IHL!T23</f>
        <v>43678</v>
      </c>
      <c r="U1" s="28">
        <f>Accrual_IHL!U23</f>
        <v>43709</v>
      </c>
      <c r="V1" s="28">
        <f>Accrual_IHL!V23</f>
        <v>43739</v>
      </c>
      <c r="W1" s="28">
        <f>Accrual_IHL!W23</f>
        <v>43770</v>
      </c>
      <c r="X1" s="28">
        <f>Accrual_IHL!X23</f>
        <v>43800</v>
      </c>
      <c r="Y1" s="28">
        <f>Accrual_IHL!Y23</f>
        <v>43831</v>
      </c>
      <c r="Z1" s="28">
        <f>Accrual_IHL!Z23</f>
        <v>43862</v>
      </c>
      <c r="AA1" s="28">
        <f>Accrual_IHL!AA23</f>
        <v>43891</v>
      </c>
      <c r="AB1" s="28">
        <f>Accrual_IHL!AB23</f>
        <v>43922</v>
      </c>
      <c r="AC1" s="28">
        <f>Accrual_IHL!AC23</f>
        <v>43952</v>
      </c>
      <c r="AD1" s="28">
        <f>Accrual_IHL!AD23</f>
        <v>43983</v>
      </c>
      <c r="AE1" s="28">
        <f>Accrual_IHL!AE23</f>
        <v>44013</v>
      </c>
      <c r="AF1" s="28">
        <f>Accrual_IHL!AF23</f>
        <v>44044</v>
      </c>
      <c r="AG1" s="28">
        <f>Accrual_IHL!AG23</f>
        <v>44075</v>
      </c>
      <c r="AH1" s="28">
        <f>Accrual_IHL!AH23</f>
        <v>44105</v>
      </c>
      <c r="AI1" s="28">
        <f>Accrual_IHL!AI23</f>
        <v>44136</v>
      </c>
      <c r="AJ1" s="28">
        <f>Accrual_IHL!AJ23</f>
        <v>44166</v>
      </c>
      <c r="AK1" s="28">
        <f>Accrual_IHL!AK23</f>
        <v>44197</v>
      </c>
      <c r="AL1" s="28">
        <f>Accrual_IHL!AL23</f>
        <v>44228</v>
      </c>
      <c r="AM1" s="28">
        <f>Accrual_IHL!AM23</f>
        <v>44256</v>
      </c>
      <c r="AN1" s="28">
        <f>Accrual_IHL!AN23</f>
        <v>44287</v>
      </c>
      <c r="AO1" s="28">
        <f>Accrual_IHL!AO23</f>
        <v>44317</v>
      </c>
      <c r="AP1" s="28">
        <f>Accrual_IHL!AP23</f>
        <v>44348</v>
      </c>
      <c r="AQ1" s="28">
        <f>Accrual_IHL!AQ23</f>
        <v>44378</v>
      </c>
      <c r="AR1" s="28">
        <f>Accrual_IHL!AR23</f>
        <v>44409</v>
      </c>
      <c r="AS1" s="28">
        <f>Accrual_IHL!AS23</f>
        <v>44440</v>
      </c>
      <c r="AT1" s="28">
        <f>Accrual_IHL!AT23</f>
        <v>44470</v>
      </c>
      <c r="AU1" s="28">
        <f>Accrual_IHL!AU23</f>
        <v>44501</v>
      </c>
      <c r="AV1" s="28">
        <f>Accrual_IHL!AV23</f>
        <v>44531</v>
      </c>
      <c r="AW1" s="28">
        <f>Accrual_IHL!AW23</f>
        <v>44562</v>
      </c>
      <c r="AX1" s="28">
        <f>Accrual_IHL!AX23</f>
        <v>44593</v>
      </c>
      <c r="AY1" s="28">
        <f>Accrual_IHL!AY23</f>
        <v>44621</v>
      </c>
      <c r="AZ1" s="28">
        <f>Accrual_IHL!AZ23</f>
        <v>44652</v>
      </c>
      <c r="BA1" s="28">
        <f>Accrual_IHL!BA23</f>
        <v>44682</v>
      </c>
      <c r="BB1" s="28">
        <f>Accrual_IHL!BB23</f>
        <v>44713</v>
      </c>
      <c r="BC1" s="28">
        <f>Accrual_IHL!BC23</f>
        <v>44743</v>
      </c>
      <c r="BD1" s="28">
        <f>Accrual_IHL!BD23</f>
        <v>44774</v>
      </c>
      <c r="BE1" s="28">
        <f>Accrual_IHL!BE23</f>
        <v>44805</v>
      </c>
      <c r="BF1" s="28">
        <f>Accrual_IHL!BF23</f>
        <v>44835</v>
      </c>
      <c r="BG1" s="28">
        <f>Accrual_IHL!BG23</f>
        <v>44866</v>
      </c>
      <c r="BH1" s="28">
        <f>Accrual_IHL!BH23</f>
        <v>44896</v>
      </c>
      <c r="BI1" s="28">
        <f>Accrual_IHL!BI23</f>
        <v>44927</v>
      </c>
      <c r="BJ1" s="28">
        <f>Accrual_IHL!BJ23</f>
        <v>44958</v>
      </c>
      <c r="BK1" s="28">
        <f>Accrual_IHL!BK23</f>
        <v>44986</v>
      </c>
      <c r="BL1" s="28">
        <f>Accrual_IHL!BL23</f>
        <v>45017</v>
      </c>
      <c r="BM1" s="28">
        <f>Accrual_IHL!BM23</f>
        <v>45047</v>
      </c>
      <c r="BN1" s="28">
        <f>Accrual_IHL!BN23</f>
        <v>45078</v>
      </c>
      <c r="BO1" s="28">
        <f>Accrual_IHL!BO23</f>
        <v>45108</v>
      </c>
      <c r="BP1" s="28">
        <f>Accrual_IHL!BP23</f>
        <v>45139</v>
      </c>
      <c r="BQ1" s="28">
        <f>Accrual_IHL!BQ23</f>
        <v>45170</v>
      </c>
      <c r="BR1" s="28">
        <f>Accrual_IHL!BR23</f>
        <v>45200</v>
      </c>
      <c r="BS1" s="28">
        <f>Accrual_IHL!BS23</f>
        <v>45231</v>
      </c>
      <c r="BT1" s="28">
        <f>Accrual_IHL!BT23</f>
        <v>45261</v>
      </c>
      <c r="BU1" s="28">
        <f>Accrual_IHL!BU23</f>
        <v>45292</v>
      </c>
      <c r="BV1" s="28">
        <f>Accrual_IHL!BV23</f>
        <v>45323</v>
      </c>
      <c r="BW1" s="28">
        <f>Accrual_IHL!BW23</f>
        <v>45352</v>
      </c>
      <c r="BX1" s="28">
        <f>Accrual_IHL!BX23</f>
        <v>45383</v>
      </c>
      <c r="BY1" s="28">
        <f>Accrual_IHL!BY23</f>
        <v>45413</v>
      </c>
      <c r="BZ1" s="28">
        <f>Accrual_IHL!BZ23</f>
        <v>45444</v>
      </c>
      <c r="CA1" s="28">
        <f>Accrual_IHL!CA23</f>
        <v>45474</v>
      </c>
      <c r="CB1" s="28">
        <f>Accrual_IHL!CB23</f>
        <v>45505</v>
      </c>
      <c r="CC1" s="28">
        <f>Accrual_IHL!CC23</f>
        <v>45536</v>
      </c>
      <c r="CD1" s="28">
        <f>Accrual_IHL!CD23</f>
        <v>45566</v>
      </c>
      <c r="CE1" s="28">
        <f>Accrual_IHL!CE23</f>
        <v>45597</v>
      </c>
      <c r="CF1" s="28">
        <f>Accrual_IHL!CF23</f>
        <v>45627</v>
      </c>
      <c r="CG1" s="28">
        <f>Accrual_IHL!CG23</f>
        <v>45658</v>
      </c>
    </row>
    <row r="2" spans="1:85">
      <c r="A2" s="36" t="s">
        <v>14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</row>
    <row r="3" spans="1:85">
      <c r="A3" s="37" t="s">
        <v>15</v>
      </c>
      <c r="B3" s="30">
        <f>Accrual_IHL!B24</f>
        <v>150000000</v>
      </c>
      <c r="C3" s="30">
        <f>Accrual_IHL!C24</f>
        <v>150000000</v>
      </c>
      <c r="D3" s="30">
        <f>Accrual_IHL!D24+IHL_Loan!B29</f>
        <v>152958333.33333334</v>
      </c>
      <c r="E3" s="30">
        <f>Accrual_IHL!E24</f>
        <v>152958333.33333334</v>
      </c>
      <c r="F3" s="30">
        <f>Accrual_IHL!F24</f>
        <v>152958333.33333334</v>
      </c>
      <c r="G3" s="30">
        <f>Accrual_IHL!G24+IHL_Loan!C29</f>
        <v>156867268.51851854</v>
      </c>
      <c r="H3" s="30">
        <f>Accrual_IHL!H24</f>
        <v>156867268.51851854</v>
      </c>
      <c r="I3" s="30">
        <f>Accrual_IHL!I24</f>
        <v>156867268.51851854</v>
      </c>
      <c r="J3" s="30">
        <f>Accrual_IHL!J24+IHL_Loan!D29</f>
        <v>160876098.71399179</v>
      </c>
      <c r="K3" s="30">
        <f>Accrual_IHL!K24</f>
        <v>160876098.71399179</v>
      </c>
      <c r="L3" s="30">
        <f>Accrual_IHL!L24</f>
        <v>160876098.71399179</v>
      </c>
      <c r="M3" s="30">
        <f>Accrual_IHL!M24+IHL_Loan!E29</f>
        <v>164942688.98703992</v>
      </c>
      <c r="N3" s="30">
        <f>Accrual_IHL!N24</f>
        <v>164942688.98703992</v>
      </c>
      <c r="O3" s="30">
        <f>Accrual_IHL!O24</f>
        <v>164942688.98703992</v>
      </c>
      <c r="P3" s="30">
        <f>Accrual_IHL!P24+IHL_Loan!F29</f>
        <v>169066256.21171594</v>
      </c>
      <c r="Q3" s="30">
        <f>Accrual_IHL!Q24</f>
        <v>169066256.21171594</v>
      </c>
      <c r="R3" s="30">
        <f>Accrual_IHL!R24</f>
        <v>169066256.21171594</v>
      </c>
      <c r="S3" s="30">
        <f>Accrual_IHL!S24+IHL_Loan!G29</f>
        <v>173386838.31490424</v>
      </c>
      <c r="T3" s="30">
        <f>Accrual_IHL!T24</f>
        <v>173386838.31490424</v>
      </c>
      <c r="U3" s="30">
        <f>Accrual_IHL!U24</f>
        <v>173386838.31490424</v>
      </c>
      <c r="V3" s="30">
        <f>Accrual_IHL!V24+IHL_Loan!H29</f>
        <v>177817835.29406291</v>
      </c>
      <c r="W3" s="30">
        <f>Accrual_IHL!W24</f>
        <v>177817835.29406291</v>
      </c>
      <c r="X3" s="30">
        <f>Accrual_IHL!X24</f>
        <v>177817835.29406291</v>
      </c>
      <c r="Y3" s="30">
        <f>Accrual_IHL!Y24+IHL_Loan!I29</f>
        <v>182312675.01955172</v>
      </c>
      <c r="Z3" s="30">
        <f>Accrual_IHL!Z24+IHL_Loan!J29</f>
        <v>182717814.29737294</v>
      </c>
      <c r="AA3" s="30">
        <f t="shared" ref="AA3:BU3" si="0">Z3</f>
        <v>182717814.29737294</v>
      </c>
      <c r="AB3" s="30">
        <f t="shared" si="0"/>
        <v>182717814.29737294</v>
      </c>
      <c r="AC3" s="30">
        <f t="shared" si="0"/>
        <v>182717814.29737294</v>
      </c>
      <c r="AD3" s="30">
        <f t="shared" si="0"/>
        <v>182717814.29737294</v>
      </c>
      <c r="AE3" s="30">
        <f t="shared" si="0"/>
        <v>182717814.29737294</v>
      </c>
      <c r="AF3" s="30">
        <f t="shared" si="0"/>
        <v>182717814.29737294</v>
      </c>
      <c r="AG3" s="30">
        <f t="shared" si="0"/>
        <v>182717814.29737294</v>
      </c>
      <c r="AH3" s="30">
        <f t="shared" si="0"/>
        <v>182717814.29737294</v>
      </c>
      <c r="AI3" s="30">
        <f t="shared" si="0"/>
        <v>182717814.29737294</v>
      </c>
      <c r="AJ3" s="30">
        <f t="shared" si="0"/>
        <v>182717814.29737294</v>
      </c>
      <c r="AK3" s="30">
        <f t="shared" si="0"/>
        <v>182717814.29737294</v>
      </c>
      <c r="AL3" s="30">
        <f t="shared" si="0"/>
        <v>182717814.29737294</v>
      </c>
      <c r="AM3" s="30">
        <f t="shared" si="0"/>
        <v>182717814.29737294</v>
      </c>
      <c r="AN3" s="30">
        <f t="shared" si="0"/>
        <v>182717814.29737294</v>
      </c>
      <c r="AO3" s="30">
        <f t="shared" si="0"/>
        <v>182717814.29737294</v>
      </c>
      <c r="AP3" s="30">
        <f t="shared" si="0"/>
        <v>182717814.29737294</v>
      </c>
      <c r="AQ3" s="30">
        <f t="shared" si="0"/>
        <v>182717814.29737294</v>
      </c>
      <c r="AR3" s="30">
        <f t="shared" si="0"/>
        <v>182717814.29737294</v>
      </c>
      <c r="AS3" s="30">
        <f t="shared" si="0"/>
        <v>182717814.29737294</v>
      </c>
      <c r="AT3" s="30">
        <f t="shared" si="0"/>
        <v>182717814.29737294</v>
      </c>
      <c r="AU3" s="30">
        <f t="shared" si="0"/>
        <v>182717814.29737294</v>
      </c>
      <c r="AV3" s="30">
        <f t="shared" si="0"/>
        <v>182717814.29737294</v>
      </c>
      <c r="AW3" s="30">
        <f t="shared" si="0"/>
        <v>182717814.29737294</v>
      </c>
      <c r="AX3" s="30">
        <f t="shared" si="0"/>
        <v>182717814.29737294</v>
      </c>
      <c r="AY3" s="30">
        <f t="shared" si="0"/>
        <v>182717814.29737294</v>
      </c>
      <c r="AZ3" s="30">
        <f t="shared" si="0"/>
        <v>182717814.29737294</v>
      </c>
      <c r="BA3" s="30">
        <f t="shared" si="0"/>
        <v>182717814.29737294</v>
      </c>
      <c r="BB3" s="30">
        <f t="shared" si="0"/>
        <v>182717814.29737294</v>
      </c>
      <c r="BC3" s="30">
        <f t="shared" si="0"/>
        <v>182717814.29737294</v>
      </c>
      <c r="BD3" s="30">
        <f t="shared" si="0"/>
        <v>182717814.29737294</v>
      </c>
      <c r="BE3" s="30">
        <f t="shared" si="0"/>
        <v>182717814.29737294</v>
      </c>
      <c r="BF3" s="30">
        <f t="shared" si="0"/>
        <v>182717814.29737294</v>
      </c>
      <c r="BG3" s="30">
        <f t="shared" si="0"/>
        <v>182717814.29737294</v>
      </c>
      <c r="BH3" s="30">
        <f t="shared" si="0"/>
        <v>182717814.29737294</v>
      </c>
      <c r="BI3" s="30">
        <f t="shared" si="0"/>
        <v>182717814.29737294</v>
      </c>
      <c r="BJ3" s="30">
        <f t="shared" si="0"/>
        <v>182717814.29737294</v>
      </c>
      <c r="BK3" s="30">
        <f t="shared" si="0"/>
        <v>182717814.29737294</v>
      </c>
      <c r="BL3" s="30">
        <f t="shared" si="0"/>
        <v>182717814.29737294</v>
      </c>
      <c r="BM3" s="30">
        <f t="shared" si="0"/>
        <v>182717814.29737294</v>
      </c>
      <c r="BN3" s="30">
        <f t="shared" si="0"/>
        <v>182717814.29737294</v>
      </c>
      <c r="BO3" s="30">
        <f t="shared" si="0"/>
        <v>182717814.29737294</v>
      </c>
      <c r="BP3" s="30">
        <f t="shared" si="0"/>
        <v>182717814.29737294</v>
      </c>
      <c r="BQ3" s="30">
        <f t="shared" si="0"/>
        <v>182717814.29737294</v>
      </c>
      <c r="BR3" s="30">
        <f t="shared" si="0"/>
        <v>182717814.29737294</v>
      </c>
      <c r="BS3" s="30">
        <f t="shared" si="0"/>
        <v>182717814.29737294</v>
      </c>
      <c r="BT3" s="30">
        <f t="shared" si="0"/>
        <v>182717814.29737294</v>
      </c>
      <c r="BU3" s="30">
        <f t="shared" si="0"/>
        <v>182717814.29737294</v>
      </c>
      <c r="BV3" s="30">
        <f t="shared" ref="BV3:CG3" si="1">BU3</f>
        <v>182717814.29737294</v>
      </c>
      <c r="BW3" s="30">
        <f t="shared" si="1"/>
        <v>182717814.29737294</v>
      </c>
      <c r="BX3" s="30">
        <f t="shared" si="1"/>
        <v>182717814.29737294</v>
      </c>
      <c r="BY3" s="30">
        <f t="shared" si="1"/>
        <v>182717814.29737294</v>
      </c>
      <c r="BZ3" s="30">
        <f t="shared" si="1"/>
        <v>182717814.29737294</v>
      </c>
      <c r="CA3" s="30">
        <f t="shared" si="1"/>
        <v>182717814.29737294</v>
      </c>
      <c r="CB3" s="30">
        <f t="shared" si="1"/>
        <v>182717814.29737294</v>
      </c>
      <c r="CC3" s="30">
        <f t="shared" si="1"/>
        <v>182717814.29737294</v>
      </c>
      <c r="CD3" s="30">
        <f t="shared" si="1"/>
        <v>182717814.29737294</v>
      </c>
      <c r="CE3" s="30">
        <f t="shared" si="1"/>
        <v>182717814.29737294</v>
      </c>
      <c r="CF3" s="30">
        <f t="shared" si="1"/>
        <v>182717814.29737294</v>
      </c>
      <c r="CG3" s="30">
        <f t="shared" si="1"/>
        <v>182717814.29737294</v>
      </c>
    </row>
    <row r="4" spans="1:85">
      <c r="A4" s="37" t="s">
        <v>16</v>
      </c>
      <c r="B4" s="30">
        <f>Accrual_IHL!B28</f>
        <v>0</v>
      </c>
      <c r="C4" s="30">
        <f>Accrual_IHL!C28</f>
        <v>0</v>
      </c>
      <c r="D4" s="30">
        <f>Accrual_IHL!D28</f>
        <v>0</v>
      </c>
      <c r="E4" s="30">
        <f>Accrual_IHL!E28</f>
        <v>0</v>
      </c>
      <c r="F4" s="30">
        <f>Accrual_IHL!F28</f>
        <v>0</v>
      </c>
      <c r="G4" s="30">
        <f>Accrual_IHL!G28</f>
        <v>0</v>
      </c>
      <c r="H4" s="30">
        <f>Accrual_IHL!H28</f>
        <v>0</v>
      </c>
      <c r="I4" s="30">
        <f>Accrual_IHL!I28</f>
        <v>0</v>
      </c>
      <c r="J4" s="30">
        <f>Accrual_IHL!J28</f>
        <v>0</v>
      </c>
      <c r="K4" s="30">
        <f>Accrual_IHL!K28</f>
        <v>0</v>
      </c>
      <c r="L4" s="30">
        <f>Accrual_IHL!L28</f>
        <v>0</v>
      </c>
      <c r="M4" s="30">
        <f>Accrual_IHL!M28</f>
        <v>0</v>
      </c>
      <c r="N4" s="30">
        <f>Accrual_IHL!N28</f>
        <v>0</v>
      </c>
      <c r="O4" s="30">
        <f>Accrual_IHL!O28</f>
        <v>0</v>
      </c>
      <c r="P4" s="30">
        <f>Accrual_IHL!P28</f>
        <v>0</v>
      </c>
      <c r="Q4" s="30">
        <f>Accrual_IHL!Q28</f>
        <v>0</v>
      </c>
      <c r="R4" s="30">
        <f>Accrual_IHL!R28</f>
        <v>0</v>
      </c>
      <c r="S4" s="30">
        <f>Accrual_IHL!S28</f>
        <v>0</v>
      </c>
      <c r="T4" s="30">
        <f>Accrual_IHL!T28</f>
        <v>0</v>
      </c>
      <c r="U4" s="30">
        <f>Accrual_IHL!U28</f>
        <v>0</v>
      </c>
      <c r="V4" s="30">
        <f>Accrual_IHL!V28</f>
        <v>0</v>
      </c>
      <c r="W4" s="30">
        <f>Accrual_IHL!W28</f>
        <v>0</v>
      </c>
      <c r="X4" s="30">
        <f>Accrual_IHL!X28</f>
        <v>0</v>
      </c>
      <c r="Y4" s="30">
        <f>Accrual_IHL!Y28</f>
        <v>0</v>
      </c>
      <c r="Z4" s="30">
        <f>Accrual_IHL!Z28</f>
        <v>0</v>
      </c>
      <c r="AA4" s="30">
        <f>Accrual_IHL!AA28</f>
        <v>0</v>
      </c>
      <c r="AB4" s="30">
        <f>Accrual_IHL!AB28</f>
        <v>7508162.4372926122</v>
      </c>
      <c r="AC4" s="30">
        <f>Accrual_IHL!AC28</f>
        <v>7508162.4372926122</v>
      </c>
      <c r="AD4" s="30">
        <f>Accrual_IHL!AD28</f>
        <v>7508162.4372926122</v>
      </c>
      <c r="AE4" s="30">
        <f>Accrual_IHL!AE28</f>
        <v>14751405.601128159</v>
      </c>
      <c r="AF4" s="30">
        <f>Accrual_IHL!AF28</f>
        <v>14751405.601128159</v>
      </c>
      <c r="AG4" s="30">
        <f>Accrual_IHL!AG28</f>
        <v>14751405.601128159</v>
      </c>
      <c r="AH4" s="30">
        <f>Accrual_IHL!AH28</f>
        <v>22179753.868039504</v>
      </c>
      <c r="AI4" s="30">
        <f>Accrual_IHL!AI28</f>
        <v>22179753.868039504</v>
      </c>
      <c r="AJ4" s="30">
        <f>Accrual_IHL!AJ28</f>
        <v>22179753.868039504</v>
      </c>
      <c r="AK4" s="30">
        <f>Accrual_IHL!AK28</f>
        <v>29842531.60744673</v>
      </c>
      <c r="AL4" s="30">
        <f>Accrual_IHL!AL28</f>
        <v>29842531.60744673</v>
      </c>
      <c r="AM4" s="30">
        <f>Accrual_IHL!AM28</f>
        <v>29842531.60744673</v>
      </c>
      <c r="AN4" s="30">
        <f>Accrual_IHL!AN28</f>
        <v>37741472.69601395</v>
      </c>
      <c r="AO4" s="30">
        <f>Accrual_IHL!AO28</f>
        <v>37741472.69601395</v>
      </c>
      <c r="AP4" s="30">
        <f>Accrual_IHL!AP28</f>
        <v>37741472.69601395</v>
      </c>
      <c r="AQ4" s="30">
        <f>Accrual_IHL!AQ28</f>
        <v>45757344.899794601</v>
      </c>
      <c r="AR4" s="30">
        <f>Accrual_IHL!AR28</f>
        <v>45757344.899794601</v>
      </c>
      <c r="AS4" s="30">
        <f>Accrual_IHL!AS28</f>
        <v>45757344.899794601</v>
      </c>
      <c r="AT4" s="30">
        <f>Accrual_IHL!AT28</f>
        <v>53978067.171005197</v>
      </c>
      <c r="AU4" s="30">
        <f>Accrual_IHL!AU28</f>
        <v>53978067.171005197</v>
      </c>
      <c r="AV4" s="30">
        <f>Accrual_IHL!AV28</f>
        <v>53978067.171005197</v>
      </c>
      <c r="AW4" s="30">
        <f>Accrual_IHL!AW28</f>
        <v>62444635.607792944</v>
      </c>
      <c r="AX4" s="30">
        <f>Accrual_IHL!AX28</f>
        <v>62444635.607792944</v>
      </c>
      <c r="AY4" s="30">
        <f>Accrual_IHL!AY28</f>
        <v>62444635.607792944</v>
      </c>
      <c r="AZ4" s="30">
        <f>Accrual_IHL!AZ28</f>
        <v>71158629.296368822</v>
      </c>
      <c r="BA4" s="30">
        <f>Accrual_IHL!BA28</f>
        <v>71158629.296368822</v>
      </c>
      <c r="BB4" s="30">
        <f>Accrual_IHL!BB28</f>
        <v>71158629.296368822</v>
      </c>
      <c r="BC4" s="30">
        <f>Accrual_IHL!BC28</f>
        <v>80028495.502158538</v>
      </c>
      <c r="BD4" s="30">
        <f>Accrual_IHL!BD28</f>
        <v>80028495.502158538</v>
      </c>
      <c r="BE4" s="30">
        <f>Accrual_IHL!BE28</f>
        <v>80028495.502158538</v>
      </c>
      <c r="BF4" s="30">
        <f>Accrual_IHL!BF28</f>
        <v>89153560.877317101</v>
      </c>
      <c r="BG4" s="30">
        <f>Accrual_IHL!BG28</f>
        <v>89153560.877317101</v>
      </c>
      <c r="BH4" s="30">
        <f>Accrual_IHL!BH28</f>
        <v>89153560.877317101</v>
      </c>
      <c r="BI4" s="30">
        <f>Accrual_IHL!BI28</f>
        <v>98509287.62723662</v>
      </c>
      <c r="BJ4" s="30">
        <f>Accrual_IHL!BJ28</f>
        <v>98509287.62723662</v>
      </c>
      <c r="BK4" s="30">
        <f>Accrual_IHL!BK28</f>
        <v>98509287.62723662</v>
      </c>
      <c r="BL4" s="30">
        <f>Accrual_IHL!BL28</f>
        <v>108101506.35889022</v>
      </c>
      <c r="BM4" s="30">
        <f>Accrual_IHL!BM28</f>
        <v>108101506.35889022</v>
      </c>
      <c r="BN4" s="30">
        <f>Accrual_IHL!BN28</f>
        <v>108101506.35889022</v>
      </c>
      <c r="BO4" s="30">
        <f>Accrual_IHL!BO28</f>
        <v>117936195.0640384</v>
      </c>
      <c r="BP4" s="30">
        <f>Accrual_IHL!BP28</f>
        <v>117936195.0640384</v>
      </c>
      <c r="BQ4" s="30">
        <f>Accrual_IHL!BQ28</f>
        <v>117936195.0640384</v>
      </c>
      <c r="BR4" s="30">
        <f>Accrual_IHL!BR28</f>
        <v>128019482.84478892</v>
      </c>
      <c r="BS4" s="30">
        <f>Accrual_IHL!BS28</f>
        <v>128019482.84478892</v>
      </c>
      <c r="BT4" s="30">
        <f>Accrual_IHL!BT28</f>
        <v>128019482.84478892</v>
      </c>
      <c r="BU4" s="30">
        <f>Accrual_IHL!BU28</f>
        <v>138357653.73333067</v>
      </c>
      <c r="BV4" s="30">
        <f>Accrual_IHL!BV28</f>
        <v>138357653.73333067</v>
      </c>
      <c r="BW4" s="30">
        <f>Accrual_IHL!BW28</f>
        <v>138357653.73333067</v>
      </c>
      <c r="BX4" s="30">
        <f>Accrual_IHL!BX28</f>
        <v>148957150.60822165</v>
      </c>
      <c r="BY4" s="30">
        <f>Accrual_IHL!BY28</f>
        <v>148957150.60822165</v>
      </c>
      <c r="BZ4" s="30">
        <f>Accrual_IHL!BZ28</f>
        <v>148957150.60822165</v>
      </c>
      <c r="CA4" s="30">
        <f>Accrual_IHL!CA28</f>
        <v>159796445.32326475</v>
      </c>
      <c r="CB4" s="30">
        <f>Accrual_IHL!CB28</f>
        <v>159796445.32326475</v>
      </c>
      <c r="CC4" s="30">
        <f>Accrual_IHL!CC28</f>
        <v>159796445.32326475</v>
      </c>
      <c r="CD4" s="30">
        <f>Accrual_IHL!CD28</f>
        <v>170931500.16085291</v>
      </c>
      <c r="CE4" s="30">
        <f>Accrual_IHL!CE28</f>
        <v>170931500.16085291</v>
      </c>
      <c r="CF4" s="30">
        <f>Accrual_IHL!CF28</f>
        <v>170931500.16085291</v>
      </c>
      <c r="CG4" s="30">
        <f>Accrual_IHL!CG28</f>
        <v>182717814.29737291</v>
      </c>
    </row>
    <row r="5" spans="1:85">
      <c r="A5" s="37" t="s">
        <v>17</v>
      </c>
      <c r="B5" s="30">
        <f t="shared" ref="B5:BD5" si="2">B22</f>
        <v>0</v>
      </c>
      <c r="C5" s="30">
        <f t="shared" si="2"/>
        <v>0</v>
      </c>
      <c r="D5" s="30">
        <f t="shared" si="2"/>
        <v>0</v>
      </c>
      <c r="E5" s="30">
        <f t="shared" si="2"/>
        <v>0</v>
      </c>
      <c r="F5" s="30">
        <f t="shared" si="2"/>
        <v>0</v>
      </c>
      <c r="G5" s="30">
        <f t="shared" si="2"/>
        <v>0</v>
      </c>
      <c r="H5" s="30">
        <f t="shared" si="2"/>
        <v>0</v>
      </c>
      <c r="I5" s="30">
        <f t="shared" si="2"/>
        <v>0</v>
      </c>
      <c r="J5" s="30">
        <f t="shared" si="2"/>
        <v>0</v>
      </c>
      <c r="K5" s="30">
        <f t="shared" si="2"/>
        <v>0</v>
      </c>
      <c r="L5" s="30">
        <f t="shared" si="2"/>
        <v>0</v>
      </c>
      <c r="M5" s="30">
        <f t="shared" si="2"/>
        <v>0</v>
      </c>
      <c r="N5" s="30">
        <f t="shared" si="2"/>
        <v>0</v>
      </c>
      <c r="O5" s="30">
        <f t="shared" si="2"/>
        <v>0</v>
      </c>
      <c r="P5" s="30">
        <f t="shared" si="2"/>
        <v>0</v>
      </c>
      <c r="Q5" s="30">
        <f t="shared" si="2"/>
        <v>0</v>
      </c>
      <c r="R5" s="30">
        <f t="shared" si="2"/>
        <v>0</v>
      </c>
      <c r="S5" s="30">
        <f t="shared" si="2"/>
        <v>0</v>
      </c>
      <c r="T5" s="30">
        <f t="shared" si="2"/>
        <v>0</v>
      </c>
      <c r="U5" s="30">
        <f t="shared" si="2"/>
        <v>0</v>
      </c>
      <c r="V5" s="30">
        <f t="shared" si="2"/>
        <v>0</v>
      </c>
      <c r="W5" s="30">
        <f t="shared" si="2"/>
        <v>0</v>
      </c>
      <c r="X5" s="30">
        <f t="shared" si="2"/>
        <v>0</v>
      </c>
      <c r="Y5" s="30">
        <f t="shared" si="2"/>
        <v>0</v>
      </c>
      <c r="Z5" s="30">
        <f t="shared" si="2"/>
        <v>0</v>
      </c>
      <c r="AA5" s="30">
        <f t="shared" si="2"/>
        <v>0</v>
      </c>
      <c r="AB5" s="30">
        <f t="shared" si="2"/>
        <v>0</v>
      </c>
      <c r="AC5" s="30">
        <f t="shared" si="2"/>
        <v>0</v>
      </c>
      <c r="AD5" s="30">
        <f t="shared" si="2"/>
        <v>0</v>
      </c>
      <c r="AE5" s="30">
        <f t="shared" si="2"/>
        <v>0</v>
      </c>
      <c r="AF5" s="30">
        <f t="shared" si="2"/>
        <v>0</v>
      </c>
      <c r="AG5" s="30">
        <f t="shared" si="2"/>
        <v>0</v>
      </c>
      <c r="AH5" s="30">
        <f t="shared" si="2"/>
        <v>22179753.868039504</v>
      </c>
      <c r="AI5" s="30">
        <f t="shared" si="2"/>
        <v>22179753.868039504</v>
      </c>
      <c r="AJ5" s="30">
        <f t="shared" si="2"/>
        <v>22179753.868039504</v>
      </c>
      <c r="AK5" s="30">
        <f t="shared" si="2"/>
        <v>29842531.60744673</v>
      </c>
      <c r="AL5" s="30">
        <f t="shared" si="2"/>
        <v>29842531.60744673</v>
      </c>
      <c r="AM5" s="30">
        <f t="shared" si="2"/>
        <v>29842531.60744673</v>
      </c>
      <c r="AN5" s="30">
        <f t="shared" si="2"/>
        <v>37741472.69601395</v>
      </c>
      <c r="AO5" s="30">
        <f t="shared" si="2"/>
        <v>37741472.69601395</v>
      </c>
      <c r="AP5" s="30">
        <f t="shared" si="2"/>
        <v>37741472.69601395</v>
      </c>
      <c r="AQ5" s="30">
        <f t="shared" si="2"/>
        <v>45757344.899794601</v>
      </c>
      <c r="AR5" s="30">
        <f t="shared" si="2"/>
        <v>45757344.899794601</v>
      </c>
      <c r="AS5" s="30">
        <f t="shared" si="2"/>
        <v>45757344.899794601</v>
      </c>
      <c r="AT5" s="30">
        <f t="shared" si="2"/>
        <v>53978067.171005197</v>
      </c>
      <c r="AU5" s="30">
        <f t="shared" si="2"/>
        <v>53978067.171005197</v>
      </c>
      <c r="AV5" s="30">
        <f t="shared" si="2"/>
        <v>53978067.171005197</v>
      </c>
      <c r="AW5" s="30">
        <f t="shared" si="2"/>
        <v>62444635.607792944</v>
      </c>
      <c r="AX5" s="30">
        <f t="shared" si="2"/>
        <v>62444635.607792944</v>
      </c>
      <c r="AY5" s="30">
        <f t="shared" si="2"/>
        <v>62444635.607792944</v>
      </c>
      <c r="AZ5" s="30">
        <f t="shared" si="2"/>
        <v>71158629.296368822</v>
      </c>
      <c r="BA5" s="30">
        <f t="shared" si="2"/>
        <v>71158629.296368822</v>
      </c>
      <c r="BB5" s="30">
        <f t="shared" si="2"/>
        <v>71158629.296368822</v>
      </c>
      <c r="BC5" s="30">
        <f t="shared" si="2"/>
        <v>80028495.502158538</v>
      </c>
      <c r="BD5" s="30">
        <f t="shared" si="2"/>
        <v>80028495.502158538</v>
      </c>
      <c r="BE5" s="30">
        <f t="shared" ref="BE5:BS5" si="3">BE22</f>
        <v>80028495.502158538</v>
      </c>
      <c r="BF5" s="30">
        <f t="shared" si="3"/>
        <v>89153560.877317101</v>
      </c>
      <c r="BG5" s="30">
        <f t="shared" si="3"/>
        <v>89153560.877317101</v>
      </c>
      <c r="BH5" s="30">
        <f t="shared" si="3"/>
        <v>89153560.877317101</v>
      </c>
      <c r="BI5" s="30">
        <f t="shared" si="3"/>
        <v>98509287.62723662</v>
      </c>
      <c r="BJ5" s="30">
        <f t="shared" si="3"/>
        <v>98509287.62723662</v>
      </c>
      <c r="BK5" s="30">
        <f t="shared" si="3"/>
        <v>98509287.62723662</v>
      </c>
      <c r="BL5" s="30">
        <f t="shared" si="3"/>
        <v>108101506.35889022</v>
      </c>
      <c r="BM5" s="30">
        <f t="shared" si="3"/>
        <v>108101506.35889022</v>
      </c>
      <c r="BN5" s="30">
        <f t="shared" si="3"/>
        <v>108101506.35889022</v>
      </c>
      <c r="BO5" s="30">
        <f t="shared" si="3"/>
        <v>117936195.0640384</v>
      </c>
      <c r="BP5" s="30">
        <f t="shared" si="3"/>
        <v>117936195.0640384</v>
      </c>
      <c r="BQ5" s="30">
        <f t="shared" si="3"/>
        <v>117936195.0640384</v>
      </c>
      <c r="BR5" s="30">
        <f t="shared" si="3"/>
        <v>128019482.84478892</v>
      </c>
      <c r="BS5" s="30">
        <f t="shared" si="3"/>
        <v>128019482.84478892</v>
      </c>
      <c r="BT5" s="30">
        <f t="shared" ref="BT5:CF5" si="4">BT22</f>
        <v>128019482.84478892</v>
      </c>
      <c r="BU5" s="30">
        <f t="shared" si="4"/>
        <v>138357653.73333067</v>
      </c>
      <c r="BV5" s="30">
        <f t="shared" si="4"/>
        <v>138357653.73333067</v>
      </c>
      <c r="BW5" s="30">
        <f t="shared" si="4"/>
        <v>138357653.73333067</v>
      </c>
      <c r="BX5" s="30">
        <f t="shared" si="4"/>
        <v>148957150.60822165</v>
      </c>
      <c r="BY5" s="30">
        <f t="shared" si="4"/>
        <v>148957150.60822165</v>
      </c>
      <c r="BZ5" s="30">
        <f t="shared" si="4"/>
        <v>148957150.60822165</v>
      </c>
      <c r="CA5" s="30">
        <f t="shared" si="4"/>
        <v>159796445.32326475</v>
      </c>
      <c r="CB5" s="30">
        <f t="shared" si="4"/>
        <v>159796445.32326475</v>
      </c>
      <c r="CC5" s="30">
        <f t="shared" si="4"/>
        <v>159796445.32326475</v>
      </c>
      <c r="CD5" s="30">
        <f t="shared" si="4"/>
        <v>170931500.16085291</v>
      </c>
      <c r="CE5" s="30">
        <f t="shared" si="4"/>
        <v>170931500.16085291</v>
      </c>
      <c r="CF5" s="30">
        <f t="shared" si="4"/>
        <v>170931500.16085291</v>
      </c>
      <c r="CG5" s="30">
        <f>CG22</f>
        <v>182717814.29737291</v>
      </c>
    </row>
    <row r="6" spans="1:85">
      <c r="A6" s="37" t="s">
        <v>18</v>
      </c>
      <c r="B6" s="30">
        <f t="shared" ref="B6:BD6" si="5">IF((B4-B5)&gt;0,(B4-B5),0)</f>
        <v>0</v>
      </c>
      <c r="C6" s="30">
        <f t="shared" si="5"/>
        <v>0</v>
      </c>
      <c r="D6" s="30">
        <f t="shared" si="5"/>
        <v>0</v>
      </c>
      <c r="E6" s="30">
        <f t="shared" si="5"/>
        <v>0</v>
      </c>
      <c r="F6" s="30">
        <f t="shared" si="5"/>
        <v>0</v>
      </c>
      <c r="G6" s="30">
        <f t="shared" si="5"/>
        <v>0</v>
      </c>
      <c r="H6" s="30">
        <f t="shared" si="5"/>
        <v>0</v>
      </c>
      <c r="I6" s="30">
        <f t="shared" si="5"/>
        <v>0</v>
      </c>
      <c r="J6" s="30">
        <f t="shared" si="5"/>
        <v>0</v>
      </c>
      <c r="K6" s="30">
        <f t="shared" si="5"/>
        <v>0</v>
      </c>
      <c r="L6" s="30">
        <f t="shared" si="5"/>
        <v>0</v>
      </c>
      <c r="M6" s="30">
        <f t="shared" si="5"/>
        <v>0</v>
      </c>
      <c r="N6" s="30">
        <f t="shared" si="5"/>
        <v>0</v>
      </c>
      <c r="O6" s="30">
        <f t="shared" si="5"/>
        <v>0</v>
      </c>
      <c r="P6" s="30">
        <f t="shared" si="5"/>
        <v>0</v>
      </c>
      <c r="Q6" s="30">
        <f t="shared" si="5"/>
        <v>0</v>
      </c>
      <c r="R6" s="30">
        <f t="shared" si="5"/>
        <v>0</v>
      </c>
      <c r="S6" s="30">
        <f t="shared" si="5"/>
        <v>0</v>
      </c>
      <c r="T6" s="30">
        <f t="shared" si="5"/>
        <v>0</v>
      </c>
      <c r="U6" s="30">
        <f t="shared" si="5"/>
        <v>0</v>
      </c>
      <c r="V6" s="30">
        <f t="shared" si="5"/>
        <v>0</v>
      </c>
      <c r="W6" s="30">
        <f t="shared" si="5"/>
        <v>0</v>
      </c>
      <c r="X6" s="30">
        <f t="shared" si="5"/>
        <v>0</v>
      </c>
      <c r="Y6" s="30">
        <f t="shared" si="5"/>
        <v>0</v>
      </c>
      <c r="Z6" s="30">
        <f t="shared" si="5"/>
        <v>0</v>
      </c>
      <c r="AA6" s="30">
        <f t="shared" si="5"/>
        <v>0</v>
      </c>
      <c r="AB6" s="30">
        <f t="shared" si="5"/>
        <v>7508162.4372926122</v>
      </c>
      <c r="AC6" s="30">
        <f t="shared" si="5"/>
        <v>7508162.4372926122</v>
      </c>
      <c r="AD6" s="30">
        <f t="shared" si="5"/>
        <v>7508162.4372926122</v>
      </c>
      <c r="AE6" s="30">
        <f t="shared" si="5"/>
        <v>14751405.601128159</v>
      </c>
      <c r="AF6" s="30">
        <f t="shared" si="5"/>
        <v>14751405.601128159</v>
      </c>
      <c r="AG6" s="30">
        <f t="shared" si="5"/>
        <v>14751405.601128159</v>
      </c>
      <c r="AH6" s="30">
        <f t="shared" si="5"/>
        <v>0</v>
      </c>
      <c r="AI6" s="30">
        <f t="shared" si="5"/>
        <v>0</v>
      </c>
      <c r="AJ6" s="30">
        <f t="shared" si="5"/>
        <v>0</v>
      </c>
      <c r="AK6" s="30">
        <f t="shared" si="5"/>
        <v>0</v>
      </c>
      <c r="AL6" s="30">
        <f t="shared" si="5"/>
        <v>0</v>
      </c>
      <c r="AM6" s="30">
        <f t="shared" si="5"/>
        <v>0</v>
      </c>
      <c r="AN6" s="30">
        <f t="shared" si="5"/>
        <v>0</v>
      </c>
      <c r="AO6" s="30">
        <f t="shared" si="5"/>
        <v>0</v>
      </c>
      <c r="AP6" s="30">
        <f t="shared" si="5"/>
        <v>0</v>
      </c>
      <c r="AQ6" s="30">
        <f t="shared" si="5"/>
        <v>0</v>
      </c>
      <c r="AR6" s="30">
        <f t="shared" si="5"/>
        <v>0</v>
      </c>
      <c r="AS6" s="30">
        <f t="shared" si="5"/>
        <v>0</v>
      </c>
      <c r="AT6" s="30">
        <f t="shared" si="5"/>
        <v>0</v>
      </c>
      <c r="AU6" s="30">
        <f t="shared" si="5"/>
        <v>0</v>
      </c>
      <c r="AV6" s="30">
        <f t="shared" si="5"/>
        <v>0</v>
      </c>
      <c r="AW6" s="30">
        <f t="shared" si="5"/>
        <v>0</v>
      </c>
      <c r="AX6" s="30">
        <f t="shared" si="5"/>
        <v>0</v>
      </c>
      <c r="AY6" s="30">
        <f t="shared" si="5"/>
        <v>0</v>
      </c>
      <c r="AZ6" s="30">
        <f t="shared" si="5"/>
        <v>0</v>
      </c>
      <c r="BA6" s="30">
        <f t="shared" si="5"/>
        <v>0</v>
      </c>
      <c r="BB6" s="30">
        <f t="shared" si="5"/>
        <v>0</v>
      </c>
      <c r="BC6" s="30">
        <f t="shared" si="5"/>
        <v>0</v>
      </c>
      <c r="BD6" s="30">
        <f t="shared" si="5"/>
        <v>0</v>
      </c>
      <c r="BE6" s="30">
        <f t="shared" ref="BE6:BT6" si="6">IF((BE4-BE5)&gt;0,(BE4-BE5),0)</f>
        <v>0</v>
      </c>
      <c r="BF6" s="30">
        <f t="shared" si="6"/>
        <v>0</v>
      </c>
      <c r="BG6" s="30">
        <f t="shared" si="6"/>
        <v>0</v>
      </c>
      <c r="BH6" s="30">
        <f t="shared" si="6"/>
        <v>0</v>
      </c>
      <c r="BI6" s="30">
        <f t="shared" si="6"/>
        <v>0</v>
      </c>
      <c r="BJ6" s="30">
        <f t="shared" si="6"/>
        <v>0</v>
      </c>
      <c r="BK6" s="30">
        <f t="shared" si="6"/>
        <v>0</v>
      </c>
      <c r="BL6" s="30">
        <f t="shared" si="6"/>
        <v>0</v>
      </c>
      <c r="BM6" s="30">
        <f t="shared" si="6"/>
        <v>0</v>
      </c>
      <c r="BN6" s="30">
        <f t="shared" si="6"/>
        <v>0</v>
      </c>
      <c r="BO6" s="30">
        <f t="shared" si="6"/>
        <v>0</v>
      </c>
      <c r="BP6" s="30">
        <f t="shared" si="6"/>
        <v>0</v>
      </c>
      <c r="BQ6" s="30">
        <f t="shared" si="6"/>
        <v>0</v>
      </c>
      <c r="BR6" s="30">
        <f t="shared" si="6"/>
        <v>0</v>
      </c>
      <c r="BS6" s="30">
        <f t="shared" si="6"/>
        <v>0</v>
      </c>
      <c r="BT6" s="30">
        <f t="shared" si="6"/>
        <v>0</v>
      </c>
      <c r="BU6" s="30">
        <f t="shared" ref="BU6:CF6" si="7">IF((BU4-BU5)&gt;0,(BU4-BU5),0)</f>
        <v>0</v>
      </c>
      <c r="BV6" s="30">
        <f t="shared" si="7"/>
        <v>0</v>
      </c>
      <c r="BW6" s="30">
        <f t="shared" si="7"/>
        <v>0</v>
      </c>
      <c r="BX6" s="30">
        <f t="shared" si="7"/>
        <v>0</v>
      </c>
      <c r="BY6" s="30">
        <f t="shared" si="7"/>
        <v>0</v>
      </c>
      <c r="BZ6" s="30">
        <f t="shared" si="7"/>
        <v>0</v>
      </c>
      <c r="CA6" s="30">
        <f t="shared" si="7"/>
        <v>0</v>
      </c>
      <c r="CB6" s="30">
        <f t="shared" si="7"/>
        <v>0</v>
      </c>
      <c r="CC6" s="30">
        <f t="shared" si="7"/>
        <v>0</v>
      </c>
      <c r="CD6" s="30">
        <f t="shared" si="7"/>
        <v>0</v>
      </c>
      <c r="CE6" s="30">
        <f t="shared" si="7"/>
        <v>0</v>
      </c>
      <c r="CF6" s="30">
        <f t="shared" si="7"/>
        <v>0</v>
      </c>
      <c r="CG6" s="30">
        <f>IF((CG4-CG5)&gt;0,(CG4-CG5),0)</f>
        <v>0</v>
      </c>
    </row>
    <row r="7" spans="1:85">
      <c r="A7" s="37" t="s">
        <v>19</v>
      </c>
      <c r="B7" s="30">
        <f t="shared" ref="B7:BD7" si="8">B3-B5</f>
        <v>150000000</v>
      </c>
      <c r="C7" s="30">
        <f t="shared" si="8"/>
        <v>150000000</v>
      </c>
      <c r="D7" s="30">
        <f t="shared" si="8"/>
        <v>152958333.33333334</v>
      </c>
      <c r="E7" s="30">
        <f t="shared" si="8"/>
        <v>152958333.33333334</v>
      </c>
      <c r="F7" s="30">
        <f t="shared" si="8"/>
        <v>152958333.33333334</v>
      </c>
      <c r="G7" s="30">
        <f t="shared" si="8"/>
        <v>156867268.51851854</v>
      </c>
      <c r="H7" s="30">
        <f t="shared" si="8"/>
        <v>156867268.51851854</v>
      </c>
      <c r="I7" s="30">
        <f t="shared" si="8"/>
        <v>156867268.51851854</v>
      </c>
      <c r="J7" s="30">
        <f t="shared" si="8"/>
        <v>160876098.71399179</v>
      </c>
      <c r="K7" s="30">
        <f t="shared" si="8"/>
        <v>160876098.71399179</v>
      </c>
      <c r="L7" s="30">
        <f t="shared" si="8"/>
        <v>160876098.71399179</v>
      </c>
      <c r="M7" s="30">
        <f t="shared" si="8"/>
        <v>164942688.98703992</v>
      </c>
      <c r="N7" s="30">
        <f t="shared" si="8"/>
        <v>164942688.98703992</v>
      </c>
      <c r="O7" s="30">
        <f t="shared" si="8"/>
        <v>164942688.98703992</v>
      </c>
      <c r="P7" s="30">
        <f t="shared" si="8"/>
        <v>169066256.21171594</v>
      </c>
      <c r="Q7" s="30">
        <f t="shared" si="8"/>
        <v>169066256.21171594</v>
      </c>
      <c r="R7" s="30">
        <f t="shared" si="8"/>
        <v>169066256.21171594</v>
      </c>
      <c r="S7" s="30">
        <f t="shared" si="8"/>
        <v>173386838.31490424</v>
      </c>
      <c r="T7" s="30">
        <f t="shared" si="8"/>
        <v>173386838.31490424</v>
      </c>
      <c r="U7" s="30">
        <f t="shared" si="8"/>
        <v>173386838.31490424</v>
      </c>
      <c r="V7" s="30">
        <f t="shared" si="8"/>
        <v>177817835.29406291</v>
      </c>
      <c r="W7" s="30">
        <f t="shared" si="8"/>
        <v>177817835.29406291</v>
      </c>
      <c r="X7" s="30">
        <f t="shared" si="8"/>
        <v>177817835.29406291</v>
      </c>
      <c r="Y7" s="30">
        <f t="shared" si="8"/>
        <v>182312675.01955172</v>
      </c>
      <c r="Z7" s="30">
        <f t="shared" si="8"/>
        <v>182717814.29737294</v>
      </c>
      <c r="AA7" s="30">
        <f t="shared" si="8"/>
        <v>182717814.29737294</v>
      </c>
      <c r="AB7" s="30">
        <f t="shared" si="8"/>
        <v>182717814.29737294</v>
      </c>
      <c r="AC7" s="30">
        <f t="shared" si="8"/>
        <v>182717814.29737294</v>
      </c>
      <c r="AD7" s="30">
        <f t="shared" si="8"/>
        <v>182717814.29737294</v>
      </c>
      <c r="AE7" s="30">
        <f t="shared" si="8"/>
        <v>182717814.29737294</v>
      </c>
      <c r="AF7" s="30">
        <f t="shared" si="8"/>
        <v>182717814.29737294</v>
      </c>
      <c r="AG7" s="30">
        <f t="shared" si="8"/>
        <v>182717814.29737294</v>
      </c>
      <c r="AH7" s="30">
        <f t="shared" si="8"/>
        <v>160538060.42933345</v>
      </c>
      <c r="AI7" s="30">
        <f t="shared" si="8"/>
        <v>160538060.42933345</v>
      </c>
      <c r="AJ7" s="30">
        <f t="shared" si="8"/>
        <v>160538060.42933345</v>
      </c>
      <c r="AK7" s="30">
        <f t="shared" si="8"/>
        <v>152875282.68992621</v>
      </c>
      <c r="AL7" s="30">
        <f t="shared" si="8"/>
        <v>152875282.68992621</v>
      </c>
      <c r="AM7" s="30">
        <f t="shared" si="8"/>
        <v>152875282.68992621</v>
      </c>
      <c r="AN7" s="30">
        <f t="shared" si="8"/>
        <v>144976341.60135898</v>
      </c>
      <c r="AO7" s="30">
        <f t="shared" si="8"/>
        <v>144976341.60135898</v>
      </c>
      <c r="AP7" s="30">
        <f t="shared" si="8"/>
        <v>144976341.60135898</v>
      </c>
      <c r="AQ7" s="30">
        <f t="shared" si="8"/>
        <v>136960469.39757833</v>
      </c>
      <c r="AR7" s="30">
        <f t="shared" si="8"/>
        <v>136960469.39757833</v>
      </c>
      <c r="AS7" s="30">
        <f t="shared" si="8"/>
        <v>136960469.39757833</v>
      </c>
      <c r="AT7" s="30">
        <f t="shared" si="8"/>
        <v>128739747.12636775</v>
      </c>
      <c r="AU7" s="30">
        <f t="shared" si="8"/>
        <v>128739747.12636775</v>
      </c>
      <c r="AV7" s="30">
        <f t="shared" si="8"/>
        <v>128739747.12636775</v>
      </c>
      <c r="AW7" s="30">
        <f t="shared" si="8"/>
        <v>120273178.68957999</v>
      </c>
      <c r="AX7" s="30">
        <f t="shared" si="8"/>
        <v>120273178.68957999</v>
      </c>
      <c r="AY7" s="30">
        <f t="shared" si="8"/>
        <v>120273178.68957999</v>
      </c>
      <c r="AZ7" s="30">
        <f t="shared" si="8"/>
        <v>111559185.00100411</v>
      </c>
      <c r="BA7" s="30">
        <f t="shared" si="8"/>
        <v>111559185.00100411</v>
      </c>
      <c r="BB7" s="30">
        <f t="shared" si="8"/>
        <v>111559185.00100411</v>
      </c>
      <c r="BC7" s="30">
        <f t="shared" si="8"/>
        <v>102689318.7952144</v>
      </c>
      <c r="BD7" s="30">
        <f t="shared" si="8"/>
        <v>102689318.7952144</v>
      </c>
      <c r="BE7" s="30">
        <f t="shared" ref="BE7:BS7" si="9">BE3-BE5</f>
        <v>102689318.7952144</v>
      </c>
      <c r="BF7" s="30">
        <f t="shared" si="9"/>
        <v>93564253.420055836</v>
      </c>
      <c r="BG7" s="30">
        <f t="shared" si="9"/>
        <v>93564253.420055836</v>
      </c>
      <c r="BH7" s="30">
        <f t="shared" si="9"/>
        <v>93564253.420055836</v>
      </c>
      <c r="BI7" s="30">
        <f t="shared" si="9"/>
        <v>84208526.670136318</v>
      </c>
      <c r="BJ7" s="30">
        <f t="shared" si="9"/>
        <v>84208526.670136318</v>
      </c>
      <c r="BK7" s="30">
        <f t="shared" si="9"/>
        <v>84208526.670136318</v>
      </c>
      <c r="BL7" s="30">
        <f t="shared" si="9"/>
        <v>74616307.938482717</v>
      </c>
      <c r="BM7" s="30">
        <f t="shared" si="9"/>
        <v>74616307.938482717</v>
      </c>
      <c r="BN7" s="30">
        <f t="shared" si="9"/>
        <v>74616307.938482717</v>
      </c>
      <c r="BO7" s="30">
        <f t="shared" si="9"/>
        <v>64781619.233334541</v>
      </c>
      <c r="BP7" s="30">
        <f t="shared" si="9"/>
        <v>64781619.233334541</v>
      </c>
      <c r="BQ7" s="30">
        <f t="shared" si="9"/>
        <v>64781619.233334541</v>
      </c>
      <c r="BR7" s="30">
        <f t="shared" si="9"/>
        <v>54698331.452584013</v>
      </c>
      <c r="BS7" s="30">
        <f t="shared" si="9"/>
        <v>54698331.452584013</v>
      </c>
      <c r="BT7" s="30">
        <f t="shared" ref="BT7:CF7" si="10">BT3-BT5</f>
        <v>54698331.452584013</v>
      </c>
      <c r="BU7" s="30">
        <f t="shared" si="10"/>
        <v>44360160.56404227</v>
      </c>
      <c r="BV7" s="30">
        <f t="shared" si="10"/>
        <v>44360160.56404227</v>
      </c>
      <c r="BW7" s="30">
        <f t="shared" si="10"/>
        <v>44360160.56404227</v>
      </c>
      <c r="BX7" s="30">
        <f t="shared" si="10"/>
        <v>33760663.689151287</v>
      </c>
      <c r="BY7" s="30">
        <f t="shared" si="10"/>
        <v>33760663.689151287</v>
      </c>
      <c r="BZ7" s="30">
        <f t="shared" si="10"/>
        <v>33760663.689151287</v>
      </c>
      <c r="CA7" s="30">
        <f t="shared" si="10"/>
        <v>22921368.974108189</v>
      </c>
      <c r="CB7" s="30">
        <f t="shared" si="10"/>
        <v>22921368.974108189</v>
      </c>
      <c r="CC7" s="30">
        <f t="shared" si="10"/>
        <v>22921368.974108189</v>
      </c>
      <c r="CD7" s="30">
        <f t="shared" si="10"/>
        <v>11786314.136520028</v>
      </c>
      <c r="CE7" s="30">
        <f t="shared" si="10"/>
        <v>11786314.136520028</v>
      </c>
      <c r="CF7" s="30">
        <f t="shared" si="10"/>
        <v>11786314.136520028</v>
      </c>
      <c r="CG7" s="30">
        <f>CG3-CG5</f>
        <v>0</v>
      </c>
    </row>
    <row r="8" spans="1:85">
      <c r="A8" s="36" t="s">
        <v>20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</row>
    <row r="9" spans="1:85">
      <c r="A9" s="38" t="s">
        <v>21</v>
      </c>
      <c r="B9" s="30">
        <f>Accrual_IHL!B26</f>
        <v>583333.33333333337</v>
      </c>
      <c r="C9" s="30">
        <f>Accrual_IHL!C26</f>
        <v>1750000</v>
      </c>
      <c r="D9" s="30">
        <f>Accrual_IHL!D26</f>
        <v>3043310.1851851852</v>
      </c>
      <c r="E9" s="30">
        <f>Accrual_IHL!E26</f>
        <v>4317962.9629629627</v>
      </c>
      <c r="F9" s="30">
        <f>Accrual_IHL!F26</f>
        <v>5635104.166666667</v>
      </c>
      <c r="G9" s="30">
        <f>Accrual_IHL!G26</f>
        <v>6910842.7597736632</v>
      </c>
      <c r="H9" s="30">
        <f>Accrual_IHL!H26</f>
        <v>8261644.2386831287</v>
      </c>
      <c r="I9" s="30">
        <f>Accrual_IHL!I26</f>
        <v>9612445.7175925933</v>
      </c>
      <c r="J9" s="30">
        <f>Accrual_IHL!J26</f>
        <v>10920786.519190101</v>
      </c>
      <c r="K9" s="30">
        <f>Accrual_IHL!K26</f>
        <v>12306108.480338363</v>
      </c>
      <c r="L9" s="30">
        <f>Accrual_IHL!L26</f>
        <v>13646742.636288295</v>
      </c>
      <c r="M9" s="30">
        <f>Accrual_IHL!M26</f>
        <v>15034323.814254917</v>
      </c>
      <c r="N9" s="30">
        <f>Accrual_IHL!N26</f>
        <v>16454663.63608776</v>
      </c>
      <c r="O9" s="30">
        <f>Accrual_IHL!O26</f>
        <v>17737551.217098072</v>
      </c>
      <c r="P9" s="30">
        <f>Accrual_IHL!P26</f>
        <v>19160181.909611292</v>
      </c>
      <c r="Q9" s="30">
        <f>Accrual_IHL!Q26</f>
        <v>20569067.378042258</v>
      </c>
      <c r="R9" s="30">
        <f>Accrual_IHL!R26</f>
        <v>22024915.695420925</v>
      </c>
      <c r="S9" s="30">
        <f>Accrual_IHL!S26</f>
        <v>23435001.325547222</v>
      </c>
      <c r="T9" s="30">
        <f>Accrual_IHL!T26</f>
        <v>24928054.655481119</v>
      </c>
      <c r="U9" s="30">
        <f>Accrual_IHL!U26</f>
        <v>26421107.985415015</v>
      </c>
      <c r="V9" s="30">
        <f>Accrual_IHL!V26</f>
        <v>27867229.137200095</v>
      </c>
      <c r="W9" s="30">
        <f>Accrual_IHL!W26</f>
        <v>29398438.274454527</v>
      </c>
      <c r="X9" s="30">
        <f>Accrual_IHL!X26</f>
        <v>30880253.568571717</v>
      </c>
      <c r="Y9" s="30">
        <f>Accrual_IHL!Y26</f>
        <v>32413959.839006975</v>
      </c>
      <c r="Z9" s="30">
        <f>Accrual_IHL!Z26</f>
        <v>33986688.007771321</v>
      </c>
      <c r="AA9" s="30">
        <f>Accrual_IHL!AA26</f>
        <v>35458581.511833489</v>
      </c>
      <c r="AB9" s="30">
        <f>Accrual_IHL!AB26</f>
        <v>37027813.711373486</v>
      </c>
      <c r="AC9" s="30">
        <f>Accrual_IHL!AC26</f>
        <v>38487894.143540822</v>
      </c>
      <c r="AD9" s="30">
        <f>Accrual_IHL!AD26</f>
        <v>39996643.923447073</v>
      </c>
      <c r="AE9" s="30">
        <f>Accrual_IHL!AE26</f>
        <v>41454712.343624458</v>
      </c>
      <c r="AF9" s="30">
        <f>Accrual_IHL!AF26</f>
        <v>42901089.751842119</v>
      </c>
      <c r="AG9" s="30">
        <f>Accrual_IHL!AG26</f>
        <v>44347467.16005978</v>
      </c>
      <c r="AH9" s="30">
        <f>Accrual_IHL!AH26</f>
        <v>45745123.802454345</v>
      </c>
      <c r="AI9" s="30">
        <f>Accrual_IHL!AI26</f>
        <v>47127534.878373608</v>
      </c>
      <c r="AJ9" s="30">
        <f>Accrual_IHL!AJ26</f>
        <v>48465352.048618056</v>
      </c>
      <c r="AK9" s="30">
        <f>Accrual_IHL!AK26</f>
        <v>49843506.025793202</v>
      </c>
      <c r="AL9" s="30">
        <f>Accrual_IHL!AL26</f>
        <v>51159932.071178675</v>
      </c>
      <c r="AM9" s="30">
        <f>Accrual_IHL!AM26</f>
        <v>52348962.04765588</v>
      </c>
      <c r="AN9" s="30">
        <f>Accrual_IHL!AN26</f>
        <v>53660999.7924366</v>
      </c>
      <c r="AO9" s="30">
        <f>Accrual_IHL!AO26</f>
        <v>54869135.972447924</v>
      </c>
      <c r="AP9" s="30">
        <f>Accrual_IHL!AP26</f>
        <v>56117543.358459629</v>
      </c>
      <c r="AQ9" s="30">
        <f>Accrual_IHL!AQ26</f>
        <v>57323452.907303236</v>
      </c>
      <c r="AR9" s="30">
        <f>Accrual_IHL!AR26</f>
        <v>58502834.727115713</v>
      </c>
      <c r="AS9" s="30">
        <f>Accrual_IHL!AS26</f>
        <v>59682216.54692819</v>
      </c>
      <c r="AT9" s="30">
        <f>Accrual_IHL!AT26</f>
        <v>60821270.257943787</v>
      </c>
      <c r="AU9" s="30">
        <f>Accrual_IHL!AU26</f>
        <v>61929862.524865285</v>
      </c>
      <c r="AV9" s="30">
        <f>Accrual_IHL!AV26</f>
        <v>63002693.750918351</v>
      </c>
      <c r="AW9" s="30">
        <f>Accrual_IHL!AW26</f>
        <v>64106582.368708305</v>
      </c>
      <c r="AX9" s="30">
        <f>Accrual_IHL!AX26</f>
        <v>65142268.074090801</v>
      </c>
      <c r="AY9" s="30">
        <f>Accrual_IHL!AY26</f>
        <v>66077726.130565315</v>
      </c>
      <c r="AZ9" s="30">
        <f>Accrual_IHL!AZ26</f>
        <v>67108570.728343047</v>
      </c>
      <c r="BA9" s="30">
        <f>Accrual_IHL!BA26</f>
        <v>68038230.603351414</v>
      </c>
      <c r="BB9" s="30">
        <f>Accrual_IHL!BB26</f>
        <v>68998879.140860066</v>
      </c>
      <c r="BC9" s="30">
        <f>Accrual_IHL!BC26</f>
        <v>69926075.164144605</v>
      </c>
      <c r="BD9" s="30">
        <f>Accrual_IHL!BD26</f>
        <v>70810344.29821451</v>
      </c>
      <c r="BE9" s="30">
        <f>Accrual_IHL!BE26</f>
        <v>71694613.432284415</v>
      </c>
      <c r="BF9" s="30">
        <f>Accrual_IHL!BF26</f>
        <v>72545288.27481389</v>
      </c>
      <c r="BG9" s="30">
        <f>Accrual_IHL!BG26</f>
        <v>73350980.457042143</v>
      </c>
      <c r="BH9" s="30">
        <f>Accrual_IHL!BH26</f>
        <v>74130682.568875939</v>
      </c>
      <c r="BI9" s="30">
        <f>Accrual_IHL!BI26</f>
        <v>74928578.312145934</v>
      </c>
      <c r="BJ9" s="30">
        <f>Accrual_IHL!BJ26</f>
        <v>75653707.291805446</v>
      </c>
      <c r="BK9" s="30">
        <f>Accrual_IHL!BK26</f>
        <v>76308662.499239832</v>
      </c>
      <c r="BL9" s="30">
        <f>Accrual_IHL!BL26</f>
        <v>77028462.468492866</v>
      </c>
      <c r="BM9" s="30">
        <f>Accrual_IHL!BM26</f>
        <v>77650265.034646884</v>
      </c>
      <c r="BN9" s="30">
        <f>Accrual_IHL!BN26</f>
        <v>78292794.353006035</v>
      </c>
      <c r="BO9" s="30">
        <f>Accrual_IHL!BO26</f>
        <v>78909133.203212753</v>
      </c>
      <c r="BP9" s="30">
        <f>Accrual_IHL!BP26</f>
        <v>79466974.924388692</v>
      </c>
      <c r="BQ9" s="30">
        <f>Accrual_IHL!BQ26</f>
        <v>80024816.645564631</v>
      </c>
      <c r="BR9" s="30">
        <f>Accrual_IHL!BR26</f>
        <v>80556260.732691795</v>
      </c>
      <c r="BS9" s="30">
        <f>Accrual_IHL!BS26</f>
        <v>81027274.142422378</v>
      </c>
      <c r="BT9" s="30">
        <f>Accrual_IHL!BT26</f>
        <v>81483093.571193919</v>
      </c>
      <c r="BU9" s="30">
        <f>Accrual_IHL!BU26</f>
        <v>81942620.124381676</v>
      </c>
      <c r="BV9" s="30">
        <f>Accrual_IHL!BV26</f>
        <v>82324610.395905375</v>
      </c>
      <c r="BW9" s="30">
        <f>Accrual_IHL!BW26</f>
        <v>82681956.133782387</v>
      </c>
      <c r="BX9" s="30">
        <f>Accrual_IHL!BX26</f>
        <v>83052169.186556205</v>
      </c>
      <c r="BY9" s="30">
        <f>Accrual_IHL!BY26</f>
        <v>83333508.050632462</v>
      </c>
      <c r="BZ9" s="30">
        <f>Accrual_IHL!BZ26</f>
        <v>83624224.8768446</v>
      </c>
      <c r="CA9" s="30">
        <f>Accrual_IHL!CA26</f>
        <v>83902552.825722232</v>
      </c>
      <c r="CB9" s="30">
        <f>Accrual_IHL!CB26</f>
        <v>84099931.280777052</v>
      </c>
      <c r="CC9" s="30">
        <f>Accrual_IHL!CC26</f>
        <v>84297309.735831872</v>
      </c>
      <c r="CD9" s="30">
        <f>Accrual_IHL!CD26</f>
        <v>84485228.073161215</v>
      </c>
      <c r="CE9" s="30">
        <f>Accrual_IHL!CE26</f>
        <v>84586721.333781242</v>
      </c>
      <c r="CF9" s="30">
        <f>Accrual_IHL!CF26</f>
        <v>84684940.618252248</v>
      </c>
      <c r="CG9" s="30">
        <f>Accrual_IHL!CG26</f>
        <v>84779885.926574215</v>
      </c>
    </row>
    <row r="10" spans="1:85">
      <c r="A10" s="37" t="s">
        <v>22</v>
      </c>
      <c r="B10" s="30">
        <v>0</v>
      </c>
      <c r="C10" s="30">
        <f>IHL_Loan!$B$30</f>
        <v>0</v>
      </c>
      <c r="D10" s="30">
        <f>C10</f>
        <v>0</v>
      </c>
      <c r="E10" s="30">
        <f>D10</f>
        <v>0</v>
      </c>
      <c r="F10" s="30">
        <f>IHL_Loan!$C$30</f>
        <v>0</v>
      </c>
      <c r="G10" s="30">
        <f>F10</f>
        <v>0</v>
      </c>
      <c r="H10" s="30">
        <f>G10</f>
        <v>0</v>
      </c>
      <c r="I10" s="30">
        <f>IHL_Loan!$D$30</f>
        <v>0</v>
      </c>
      <c r="J10" s="30">
        <f t="shared" ref="J10:K10" si="11">I10</f>
        <v>0</v>
      </c>
      <c r="K10" s="30">
        <f t="shared" si="11"/>
        <v>0</v>
      </c>
      <c r="L10" s="30">
        <f>IHL_Loan!$E$30</f>
        <v>0</v>
      </c>
      <c r="M10" s="30">
        <f t="shared" ref="M10:N10" si="12">L10</f>
        <v>0</v>
      </c>
      <c r="N10" s="30">
        <f t="shared" si="12"/>
        <v>0</v>
      </c>
      <c r="O10" s="30">
        <f>IHL_Loan!$F$30</f>
        <v>0</v>
      </c>
      <c r="P10" s="30">
        <f t="shared" ref="P10:Q10" si="13">O10</f>
        <v>0</v>
      </c>
      <c r="Q10" s="30">
        <f t="shared" si="13"/>
        <v>0</v>
      </c>
      <c r="R10" s="30">
        <f>IHL_Loan!$G$30</f>
        <v>0</v>
      </c>
      <c r="S10" s="30">
        <f t="shared" ref="S10:T10" si="14">R10</f>
        <v>0</v>
      </c>
      <c r="T10" s="30">
        <f t="shared" si="14"/>
        <v>0</v>
      </c>
      <c r="U10" s="30">
        <f>IHL_Loan!$H$30</f>
        <v>0</v>
      </c>
      <c r="V10" s="30">
        <f t="shared" ref="V10:W10" si="15">U10</f>
        <v>0</v>
      </c>
      <c r="W10" s="30">
        <f t="shared" si="15"/>
        <v>0</v>
      </c>
      <c r="X10" s="30">
        <f>IHL_Loan!$I$30</f>
        <v>0</v>
      </c>
      <c r="Y10" s="30">
        <f t="shared" ref="Y10:AA10" si="16">X10</f>
        <v>0</v>
      </c>
      <c r="Z10" s="30">
        <f t="shared" si="16"/>
        <v>0</v>
      </c>
      <c r="AA10" s="30">
        <f t="shared" si="16"/>
        <v>0</v>
      </c>
      <c r="AB10" s="30">
        <f>IHL_Loan!$K$30</f>
        <v>4212660.7185227657</v>
      </c>
      <c r="AC10" s="30">
        <f>AB10</f>
        <v>4212660.7185227657</v>
      </c>
      <c r="AD10" s="30">
        <f>AC10</f>
        <v>4212660.7185227657</v>
      </c>
      <c r="AE10" s="30">
        <f>IHL_Loan!$L$30</f>
        <v>8690240.7105025966</v>
      </c>
      <c r="AF10" s="30">
        <f t="shared" ref="AF10:AG10" si="17">AE10</f>
        <v>8690240.7105025966</v>
      </c>
      <c r="AG10" s="30">
        <f t="shared" si="17"/>
        <v>8690240.7105025966</v>
      </c>
      <c r="AH10" s="30">
        <f>IHL_Loan!$M$30</f>
        <v>12982715.59940663</v>
      </c>
      <c r="AI10" s="30">
        <f t="shared" ref="AI10:AJ10" si="18">AH10</f>
        <v>12982715.59940663</v>
      </c>
      <c r="AJ10" s="30">
        <f t="shared" si="18"/>
        <v>12982715.59940663</v>
      </c>
      <c r="AK10" s="30">
        <f>IHL_Loan!$N$30</f>
        <v>17040761.015814781</v>
      </c>
      <c r="AL10" s="30">
        <f t="shared" ref="AL10:AM10" si="19">AK10</f>
        <v>17040761.015814781</v>
      </c>
      <c r="AM10" s="30">
        <f t="shared" si="19"/>
        <v>17040761.015814781</v>
      </c>
      <c r="AN10" s="30">
        <f>IHL_Loan!$O$30</f>
        <v>20862643.083062936</v>
      </c>
      <c r="AO10" s="30">
        <f t="shared" ref="AO10:AP10" si="20">AN10</f>
        <v>20862643.083062936</v>
      </c>
      <c r="AP10" s="30">
        <f t="shared" si="20"/>
        <v>20862643.083062936</v>
      </c>
      <c r="AQ10" s="30">
        <f>IHL_Loan!$P$30</f>
        <v>24567594.035097666</v>
      </c>
      <c r="AR10" s="30">
        <f t="shared" ref="AR10:AS10" si="21">AQ10</f>
        <v>24567594.035097666</v>
      </c>
      <c r="AS10" s="30">
        <f t="shared" si="21"/>
        <v>24567594.035097666</v>
      </c>
      <c r="AT10" s="30">
        <f>IHL_Loan!$Q$30</f>
        <v>28067694.919702444</v>
      </c>
      <c r="AU10" s="30">
        <f t="shared" ref="AU10:AV10" si="22">AT10</f>
        <v>28067694.919702444</v>
      </c>
      <c r="AV10" s="30">
        <f t="shared" si="22"/>
        <v>28067694.919702444</v>
      </c>
      <c r="AW10" s="30">
        <f>IHL_Loan!$R$30</f>
        <v>31321949.638730071</v>
      </c>
      <c r="AX10" s="30">
        <f t="shared" ref="AX10:AY10" si="23">AW10</f>
        <v>31321949.638730071</v>
      </c>
      <c r="AY10" s="30">
        <f t="shared" si="23"/>
        <v>31321949.638730071</v>
      </c>
      <c r="AZ10" s="30">
        <f>IHL_Loan!$S$30</f>
        <v>34328779.105969571</v>
      </c>
      <c r="BA10" s="30">
        <f t="shared" ref="BA10:BB10" si="24">AZ10</f>
        <v>34328779.105969571</v>
      </c>
      <c r="BB10" s="30">
        <f t="shared" si="24"/>
        <v>34328779.105969571</v>
      </c>
      <c r="BC10" s="30">
        <f>IHL_Loan!$T$30</f>
        <v>37179736.055995233</v>
      </c>
      <c r="BD10" s="30">
        <f t="shared" ref="BD10:BE10" si="25">BC10</f>
        <v>37179736.055995233</v>
      </c>
      <c r="BE10" s="30">
        <f t="shared" si="25"/>
        <v>37179736.055995233</v>
      </c>
      <c r="BF10" s="30">
        <f>IHL_Loan!$U$30</f>
        <v>39775493.83665204</v>
      </c>
      <c r="BG10" s="30">
        <f t="shared" ref="BG10:BH10" si="26">BF10</f>
        <v>39775493.83665204</v>
      </c>
      <c r="BH10" s="30">
        <f t="shared" si="26"/>
        <v>39775493.83665204</v>
      </c>
      <c r="BI10" s="30">
        <f>IHL_Loan!$V$30</f>
        <v>42140590.242547899</v>
      </c>
      <c r="BJ10" s="30">
        <f t="shared" ref="BJ10:BK10" si="27">BI10</f>
        <v>42140590.242547899</v>
      </c>
      <c r="BK10" s="30">
        <f t="shared" si="27"/>
        <v>42140590.242547899</v>
      </c>
      <c r="BL10" s="30">
        <f>IHL_Loan!$W$30</f>
        <v>44269194.666709676</v>
      </c>
      <c r="BM10" s="30">
        <f t="shared" ref="BM10:BN10" si="28">BL10</f>
        <v>44269194.666709676</v>
      </c>
      <c r="BN10" s="30">
        <f t="shared" si="28"/>
        <v>44269194.666709676</v>
      </c>
      <c r="BO10" s="30">
        <f>IHL_Loan!$X$30</f>
        <v>46155329.117376879</v>
      </c>
      <c r="BP10" s="30">
        <f t="shared" ref="BP10:BQ10" si="29">BO10</f>
        <v>46155329.117376879</v>
      </c>
      <c r="BQ10" s="30">
        <f t="shared" si="29"/>
        <v>46155329.117376879</v>
      </c>
      <c r="BR10" s="30">
        <f>IHL_Loan!$Y$30</f>
        <v>47792864.492441721</v>
      </c>
      <c r="BS10" s="30">
        <f t="shared" ref="BS10:BT10" si="30">BR10</f>
        <v>47792864.492441721</v>
      </c>
      <c r="BT10" s="30">
        <f t="shared" si="30"/>
        <v>47792864.492441721</v>
      </c>
      <c r="BU10" s="30">
        <f>IHL_Loan!$Z$30</f>
        <v>49175516.759715371</v>
      </c>
      <c r="BV10" s="30">
        <f t="shared" ref="BV10:BW10" si="31">BU10</f>
        <v>49175516.759715371</v>
      </c>
      <c r="BW10" s="30">
        <f t="shared" si="31"/>
        <v>49175516.759715371</v>
      </c>
      <c r="BX10" s="30">
        <f>IHL_Loan!$AA$30</f>
        <v>50296843.040639773</v>
      </c>
      <c r="BY10" s="30">
        <f t="shared" ref="BY10:BZ10" si="32">BX10</f>
        <v>50296843.040639773</v>
      </c>
      <c r="BZ10" s="30">
        <f t="shared" si="32"/>
        <v>50296843.040639773</v>
      </c>
      <c r="CA10" s="30">
        <f>IHL_Loan!$AB$30</f>
        <v>51178371.481412053</v>
      </c>
      <c r="CB10" s="30">
        <f t="shared" ref="CB10:CC10" si="33">CA10</f>
        <v>51178371.481412053</v>
      </c>
      <c r="CC10" s="30">
        <f t="shared" si="33"/>
        <v>51178371.481412053</v>
      </c>
      <c r="CD10" s="30">
        <f>IHL_Loan!$AC$30</f>
        <v>51764139.799639262</v>
      </c>
      <c r="CE10" s="30">
        <f t="shared" ref="CE10:CF10" si="34">CD10</f>
        <v>51764139.799639262</v>
      </c>
      <c r="CF10" s="30">
        <f t="shared" si="34"/>
        <v>51764139.799639262</v>
      </c>
      <c r="CG10" s="30">
        <f>IHL_Loan!$AD$30</f>
        <v>52062071.629201293</v>
      </c>
    </row>
    <row r="11" spans="1:85">
      <c r="A11" s="37" t="s">
        <v>23</v>
      </c>
      <c r="B11" s="30">
        <f>B26</f>
        <v>0</v>
      </c>
      <c r="C11" s="30">
        <f>C26</f>
        <v>0</v>
      </c>
      <c r="D11" s="30">
        <f>D26</f>
        <v>0</v>
      </c>
      <c r="E11" s="30">
        <f>E26</f>
        <v>0</v>
      </c>
      <c r="F11" s="30">
        <f>F26</f>
        <v>0</v>
      </c>
      <c r="G11" s="30">
        <f t="shared" ref="G11:M11" si="35">G26</f>
        <v>0</v>
      </c>
      <c r="H11" s="30">
        <f t="shared" si="35"/>
        <v>0</v>
      </c>
      <c r="I11" s="30">
        <f t="shared" si="35"/>
        <v>0</v>
      </c>
      <c r="J11" s="30">
        <f t="shared" si="35"/>
        <v>0</v>
      </c>
      <c r="K11" s="30">
        <f t="shared" si="35"/>
        <v>0</v>
      </c>
      <c r="L11" s="30">
        <f t="shared" si="35"/>
        <v>0</v>
      </c>
      <c r="M11" s="30">
        <f t="shared" si="35"/>
        <v>0</v>
      </c>
      <c r="N11" s="30">
        <f t="shared" ref="N11:AR11" si="36">N26</f>
        <v>0</v>
      </c>
      <c r="O11" s="30">
        <f t="shared" si="36"/>
        <v>0</v>
      </c>
      <c r="P11" s="30">
        <f t="shared" si="36"/>
        <v>0</v>
      </c>
      <c r="Q11" s="30">
        <f t="shared" si="36"/>
        <v>0</v>
      </c>
      <c r="R11" s="30">
        <f t="shared" si="36"/>
        <v>0</v>
      </c>
      <c r="S11" s="30">
        <f t="shared" si="36"/>
        <v>0</v>
      </c>
      <c r="T11" s="30">
        <f t="shared" si="36"/>
        <v>0</v>
      </c>
      <c r="U11" s="30">
        <f t="shared" si="36"/>
        <v>0</v>
      </c>
      <c r="V11" s="30">
        <f t="shared" si="36"/>
        <v>0</v>
      </c>
      <c r="W11" s="30">
        <f t="shared" si="36"/>
        <v>0</v>
      </c>
      <c r="X11" s="30">
        <f t="shared" si="36"/>
        <v>0</v>
      </c>
      <c r="Y11" s="30">
        <f t="shared" si="36"/>
        <v>0</v>
      </c>
      <c r="Z11" s="30">
        <f t="shared" si="36"/>
        <v>0</v>
      </c>
      <c r="AA11" s="30">
        <f t="shared" si="36"/>
        <v>0</v>
      </c>
      <c r="AB11" s="30">
        <f t="shared" si="36"/>
        <v>0</v>
      </c>
      <c r="AC11" s="30">
        <f t="shared" si="36"/>
        <v>0</v>
      </c>
      <c r="AD11" s="30">
        <f t="shared" si="36"/>
        <v>0</v>
      </c>
      <c r="AE11" s="30">
        <f t="shared" si="36"/>
        <v>0</v>
      </c>
      <c r="AF11" s="30">
        <f t="shared" si="36"/>
        <v>0</v>
      </c>
      <c r="AG11" s="30">
        <f t="shared" si="36"/>
        <v>0</v>
      </c>
      <c r="AH11" s="30">
        <f t="shared" si="36"/>
        <v>12982715.59940663</v>
      </c>
      <c r="AI11" s="30">
        <f t="shared" si="36"/>
        <v>12982715.59940663</v>
      </c>
      <c r="AJ11" s="30">
        <f t="shared" si="36"/>
        <v>12982715.59940663</v>
      </c>
      <c r="AK11" s="30">
        <f t="shared" si="36"/>
        <v>17040761.015814781</v>
      </c>
      <c r="AL11" s="30">
        <f t="shared" si="36"/>
        <v>17040761.015814781</v>
      </c>
      <c r="AM11" s="30">
        <f t="shared" si="36"/>
        <v>17040761.015814781</v>
      </c>
      <c r="AN11" s="30">
        <f t="shared" si="36"/>
        <v>20862643.083062936</v>
      </c>
      <c r="AO11" s="30">
        <f t="shared" si="36"/>
        <v>20862643.083062936</v>
      </c>
      <c r="AP11" s="30">
        <f t="shared" si="36"/>
        <v>20862643.083062936</v>
      </c>
      <c r="AQ11" s="30">
        <f t="shared" si="36"/>
        <v>24567594.035097666</v>
      </c>
      <c r="AR11" s="30">
        <f t="shared" si="36"/>
        <v>24567594.035097666</v>
      </c>
      <c r="AS11" s="30">
        <f t="shared" ref="AS11:BX11" si="37">AS26</f>
        <v>24567594.035097666</v>
      </c>
      <c r="AT11" s="30">
        <f t="shared" si="37"/>
        <v>28067694.919702444</v>
      </c>
      <c r="AU11" s="30">
        <f t="shared" si="37"/>
        <v>28067694.919702444</v>
      </c>
      <c r="AV11" s="30">
        <f t="shared" si="37"/>
        <v>28067694.919702444</v>
      </c>
      <c r="AW11" s="30">
        <f t="shared" si="37"/>
        <v>31321949.638730071</v>
      </c>
      <c r="AX11" s="30">
        <f t="shared" si="37"/>
        <v>31321949.638730071</v>
      </c>
      <c r="AY11" s="30">
        <f t="shared" si="37"/>
        <v>31321949.638730071</v>
      </c>
      <c r="AZ11" s="30">
        <f t="shared" si="37"/>
        <v>34328779.105969571</v>
      </c>
      <c r="BA11" s="30">
        <f t="shared" si="37"/>
        <v>34328779.105969571</v>
      </c>
      <c r="BB11" s="30">
        <f t="shared" si="37"/>
        <v>34328779.105969571</v>
      </c>
      <c r="BC11" s="30">
        <f t="shared" si="37"/>
        <v>37179736.055995233</v>
      </c>
      <c r="BD11" s="30">
        <f t="shared" si="37"/>
        <v>37179736.055995233</v>
      </c>
      <c r="BE11" s="30">
        <f t="shared" si="37"/>
        <v>37179736.055995233</v>
      </c>
      <c r="BF11" s="30">
        <f t="shared" si="37"/>
        <v>39775493.83665204</v>
      </c>
      <c r="BG11" s="30">
        <f t="shared" si="37"/>
        <v>39775493.83665204</v>
      </c>
      <c r="BH11" s="30">
        <f t="shared" si="37"/>
        <v>39775493.83665204</v>
      </c>
      <c r="BI11" s="30">
        <f t="shared" si="37"/>
        <v>42140590.242547899</v>
      </c>
      <c r="BJ11" s="30">
        <f t="shared" si="37"/>
        <v>42140590.242547899</v>
      </c>
      <c r="BK11" s="30">
        <f t="shared" si="37"/>
        <v>42140590.242547899</v>
      </c>
      <c r="BL11" s="30">
        <f t="shared" si="37"/>
        <v>44269194.666709676</v>
      </c>
      <c r="BM11" s="30">
        <f t="shared" si="37"/>
        <v>44269194.666709676</v>
      </c>
      <c r="BN11" s="30">
        <f t="shared" si="37"/>
        <v>44269194.666709676</v>
      </c>
      <c r="BO11" s="30">
        <f t="shared" si="37"/>
        <v>46155329.117376879</v>
      </c>
      <c r="BP11" s="30">
        <f t="shared" si="37"/>
        <v>46155329.117376879</v>
      </c>
      <c r="BQ11" s="30">
        <f t="shared" si="37"/>
        <v>46155329.117376879</v>
      </c>
      <c r="BR11" s="30">
        <f t="shared" si="37"/>
        <v>47792864.492441721</v>
      </c>
      <c r="BS11" s="30">
        <f t="shared" si="37"/>
        <v>47792864.492441721</v>
      </c>
      <c r="BT11" s="30">
        <f t="shared" si="37"/>
        <v>47792864.492441721</v>
      </c>
      <c r="BU11" s="30">
        <f t="shared" si="37"/>
        <v>49175516.759715371</v>
      </c>
      <c r="BV11" s="30">
        <f t="shared" si="37"/>
        <v>49175516.759715371</v>
      </c>
      <c r="BW11" s="30">
        <f t="shared" si="37"/>
        <v>49175516.759715371</v>
      </c>
      <c r="BX11" s="30">
        <f t="shared" si="37"/>
        <v>50296843.040639773</v>
      </c>
      <c r="BY11" s="30">
        <f t="shared" ref="BY11:CF11" si="38">BY26</f>
        <v>50296843.040639773</v>
      </c>
      <c r="BZ11" s="30">
        <f t="shared" si="38"/>
        <v>50296843.040639773</v>
      </c>
      <c r="CA11" s="30">
        <f t="shared" si="38"/>
        <v>51178371.481412053</v>
      </c>
      <c r="CB11" s="30">
        <f t="shared" si="38"/>
        <v>51178371.481412053</v>
      </c>
      <c r="CC11" s="30">
        <f t="shared" si="38"/>
        <v>51178371.481412053</v>
      </c>
      <c r="CD11" s="30">
        <f t="shared" si="38"/>
        <v>51764139.799639262</v>
      </c>
      <c r="CE11" s="30">
        <f t="shared" si="38"/>
        <v>51764139.799639262</v>
      </c>
      <c r="CF11" s="30">
        <f t="shared" si="38"/>
        <v>51764139.799639262</v>
      </c>
      <c r="CG11" s="30">
        <f>CG26</f>
        <v>52062071.629201293</v>
      </c>
    </row>
    <row r="12" spans="1:85">
      <c r="A12" s="37" t="s">
        <v>24</v>
      </c>
      <c r="B12" s="30">
        <f>IF((B10-B11)&gt;0,(B10-B11),0)</f>
        <v>0</v>
      </c>
      <c r="C12" s="30">
        <f>IF((C10-C11)&gt;0,(C10-C11),0)</f>
        <v>0</v>
      </c>
      <c r="D12" s="30">
        <f t="shared" ref="D12:BO12" si="39">IF((D10-D11)&gt;0,(D10-D11),0)</f>
        <v>0</v>
      </c>
      <c r="E12" s="30">
        <f t="shared" si="39"/>
        <v>0</v>
      </c>
      <c r="F12" s="30">
        <f t="shared" si="39"/>
        <v>0</v>
      </c>
      <c r="G12" s="30">
        <f t="shared" si="39"/>
        <v>0</v>
      </c>
      <c r="H12" s="30">
        <f t="shared" si="39"/>
        <v>0</v>
      </c>
      <c r="I12" s="30">
        <f t="shared" si="39"/>
        <v>0</v>
      </c>
      <c r="J12" s="30">
        <f t="shared" si="39"/>
        <v>0</v>
      </c>
      <c r="K12" s="30">
        <f t="shared" si="39"/>
        <v>0</v>
      </c>
      <c r="L12" s="30">
        <f t="shared" si="39"/>
        <v>0</v>
      </c>
      <c r="M12" s="30">
        <f t="shared" si="39"/>
        <v>0</v>
      </c>
      <c r="N12" s="30">
        <f t="shared" si="39"/>
        <v>0</v>
      </c>
      <c r="O12" s="30">
        <f t="shared" si="39"/>
        <v>0</v>
      </c>
      <c r="P12" s="30">
        <f t="shared" si="39"/>
        <v>0</v>
      </c>
      <c r="Q12" s="30">
        <f t="shared" si="39"/>
        <v>0</v>
      </c>
      <c r="R12" s="30">
        <f t="shared" si="39"/>
        <v>0</v>
      </c>
      <c r="S12" s="30">
        <f t="shared" si="39"/>
        <v>0</v>
      </c>
      <c r="T12" s="30">
        <f t="shared" si="39"/>
        <v>0</v>
      </c>
      <c r="U12" s="30">
        <f t="shared" si="39"/>
        <v>0</v>
      </c>
      <c r="V12" s="30">
        <f t="shared" si="39"/>
        <v>0</v>
      </c>
      <c r="W12" s="30">
        <f t="shared" si="39"/>
        <v>0</v>
      </c>
      <c r="X12" s="30">
        <f t="shared" si="39"/>
        <v>0</v>
      </c>
      <c r="Y12" s="30">
        <f t="shared" si="39"/>
        <v>0</v>
      </c>
      <c r="Z12" s="30">
        <f t="shared" si="39"/>
        <v>0</v>
      </c>
      <c r="AA12" s="30">
        <f t="shared" si="39"/>
        <v>0</v>
      </c>
      <c r="AB12" s="30">
        <f t="shared" si="39"/>
        <v>4212660.7185227657</v>
      </c>
      <c r="AC12" s="30">
        <f t="shared" si="39"/>
        <v>4212660.7185227657</v>
      </c>
      <c r="AD12" s="30">
        <f t="shared" si="39"/>
        <v>4212660.7185227657</v>
      </c>
      <c r="AE12" s="30">
        <f t="shared" si="39"/>
        <v>8690240.7105025966</v>
      </c>
      <c r="AF12" s="30">
        <f t="shared" si="39"/>
        <v>8690240.7105025966</v>
      </c>
      <c r="AG12" s="30">
        <f t="shared" si="39"/>
        <v>8690240.7105025966</v>
      </c>
      <c r="AH12" s="30">
        <f t="shared" si="39"/>
        <v>0</v>
      </c>
      <c r="AI12" s="30">
        <f t="shared" si="39"/>
        <v>0</v>
      </c>
      <c r="AJ12" s="30">
        <f t="shared" si="39"/>
        <v>0</v>
      </c>
      <c r="AK12" s="30">
        <f t="shared" si="39"/>
        <v>0</v>
      </c>
      <c r="AL12" s="30">
        <f t="shared" si="39"/>
        <v>0</v>
      </c>
      <c r="AM12" s="30">
        <f t="shared" si="39"/>
        <v>0</v>
      </c>
      <c r="AN12" s="30">
        <f t="shared" si="39"/>
        <v>0</v>
      </c>
      <c r="AO12" s="30">
        <f t="shared" si="39"/>
        <v>0</v>
      </c>
      <c r="AP12" s="30">
        <f t="shared" si="39"/>
        <v>0</v>
      </c>
      <c r="AQ12" s="30">
        <f t="shared" si="39"/>
        <v>0</v>
      </c>
      <c r="AR12" s="30">
        <f t="shared" si="39"/>
        <v>0</v>
      </c>
      <c r="AS12" s="30">
        <f t="shared" si="39"/>
        <v>0</v>
      </c>
      <c r="AT12" s="30">
        <f t="shared" si="39"/>
        <v>0</v>
      </c>
      <c r="AU12" s="30">
        <f t="shared" si="39"/>
        <v>0</v>
      </c>
      <c r="AV12" s="30">
        <f t="shared" si="39"/>
        <v>0</v>
      </c>
      <c r="AW12" s="30">
        <f t="shared" si="39"/>
        <v>0</v>
      </c>
      <c r="AX12" s="30">
        <f t="shared" si="39"/>
        <v>0</v>
      </c>
      <c r="AY12" s="30">
        <f t="shared" si="39"/>
        <v>0</v>
      </c>
      <c r="AZ12" s="30">
        <f t="shared" si="39"/>
        <v>0</v>
      </c>
      <c r="BA12" s="30">
        <f t="shared" si="39"/>
        <v>0</v>
      </c>
      <c r="BB12" s="30">
        <f t="shared" si="39"/>
        <v>0</v>
      </c>
      <c r="BC12" s="30">
        <f t="shared" si="39"/>
        <v>0</v>
      </c>
      <c r="BD12" s="30">
        <f t="shared" si="39"/>
        <v>0</v>
      </c>
      <c r="BE12" s="30">
        <f t="shared" si="39"/>
        <v>0</v>
      </c>
      <c r="BF12" s="30">
        <f t="shared" si="39"/>
        <v>0</v>
      </c>
      <c r="BG12" s="30">
        <f t="shared" si="39"/>
        <v>0</v>
      </c>
      <c r="BH12" s="30">
        <f t="shared" si="39"/>
        <v>0</v>
      </c>
      <c r="BI12" s="30">
        <f t="shared" si="39"/>
        <v>0</v>
      </c>
      <c r="BJ12" s="30">
        <f t="shared" si="39"/>
        <v>0</v>
      </c>
      <c r="BK12" s="30">
        <f t="shared" si="39"/>
        <v>0</v>
      </c>
      <c r="BL12" s="30">
        <f t="shared" si="39"/>
        <v>0</v>
      </c>
      <c r="BM12" s="30">
        <f t="shared" si="39"/>
        <v>0</v>
      </c>
      <c r="BN12" s="30">
        <f t="shared" si="39"/>
        <v>0</v>
      </c>
      <c r="BO12" s="30">
        <f t="shared" si="39"/>
        <v>0</v>
      </c>
      <c r="BP12" s="30">
        <f t="shared" ref="BP12:CF12" si="40">IF((BP10-BP11)&gt;0,(BP10-BP11),0)</f>
        <v>0</v>
      </c>
      <c r="BQ12" s="30">
        <f t="shared" si="40"/>
        <v>0</v>
      </c>
      <c r="BR12" s="30">
        <f t="shared" si="40"/>
        <v>0</v>
      </c>
      <c r="BS12" s="30">
        <f t="shared" si="40"/>
        <v>0</v>
      </c>
      <c r="BT12" s="30">
        <f t="shared" si="40"/>
        <v>0</v>
      </c>
      <c r="BU12" s="30">
        <f t="shared" si="40"/>
        <v>0</v>
      </c>
      <c r="BV12" s="30">
        <f t="shared" si="40"/>
        <v>0</v>
      </c>
      <c r="BW12" s="30">
        <f t="shared" si="40"/>
        <v>0</v>
      </c>
      <c r="BX12" s="30">
        <f t="shared" si="40"/>
        <v>0</v>
      </c>
      <c r="BY12" s="30">
        <f t="shared" si="40"/>
        <v>0</v>
      </c>
      <c r="BZ12" s="30">
        <f t="shared" si="40"/>
        <v>0</v>
      </c>
      <c r="CA12" s="30">
        <f t="shared" si="40"/>
        <v>0</v>
      </c>
      <c r="CB12" s="30">
        <f t="shared" si="40"/>
        <v>0</v>
      </c>
      <c r="CC12" s="30">
        <f t="shared" si="40"/>
        <v>0</v>
      </c>
      <c r="CD12" s="30">
        <f t="shared" si="40"/>
        <v>0</v>
      </c>
      <c r="CE12" s="30">
        <f t="shared" si="40"/>
        <v>0</v>
      </c>
      <c r="CF12" s="30">
        <f t="shared" si="40"/>
        <v>0</v>
      </c>
      <c r="CG12" s="30">
        <f>IF((CG10-CG11)&gt;0,(CG10-CG11),0)</f>
        <v>0</v>
      </c>
    </row>
    <row r="13" spans="1:85">
      <c r="A13" s="37" t="s">
        <v>25</v>
      </c>
      <c r="B13" s="30">
        <f>B9-B11</f>
        <v>583333.33333333337</v>
      </c>
      <c r="C13" s="30">
        <f t="shared" ref="C13:BN13" si="41">C9-C11</f>
        <v>1750000</v>
      </c>
      <c r="D13" s="30">
        <f t="shared" si="41"/>
        <v>3043310.1851851852</v>
      </c>
      <c r="E13" s="30">
        <f t="shared" si="41"/>
        <v>4317962.9629629627</v>
      </c>
      <c r="F13" s="30">
        <f t="shared" si="41"/>
        <v>5635104.166666667</v>
      </c>
      <c r="G13" s="30">
        <f t="shared" si="41"/>
        <v>6910842.7597736632</v>
      </c>
      <c r="H13" s="30">
        <f t="shared" si="41"/>
        <v>8261644.2386831287</v>
      </c>
      <c r="I13" s="30">
        <f t="shared" si="41"/>
        <v>9612445.7175925933</v>
      </c>
      <c r="J13" s="30">
        <f t="shared" si="41"/>
        <v>10920786.519190101</v>
      </c>
      <c r="K13" s="30">
        <f t="shared" si="41"/>
        <v>12306108.480338363</v>
      </c>
      <c r="L13" s="30">
        <f t="shared" si="41"/>
        <v>13646742.636288295</v>
      </c>
      <c r="M13" s="30">
        <f t="shared" si="41"/>
        <v>15034323.814254917</v>
      </c>
      <c r="N13" s="30">
        <f t="shared" si="41"/>
        <v>16454663.63608776</v>
      </c>
      <c r="O13" s="30">
        <f t="shared" si="41"/>
        <v>17737551.217098072</v>
      </c>
      <c r="P13" s="30">
        <f t="shared" si="41"/>
        <v>19160181.909611292</v>
      </c>
      <c r="Q13" s="30">
        <f t="shared" si="41"/>
        <v>20569067.378042258</v>
      </c>
      <c r="R13" s="30">
        <f t="shared" si="41"/>
        <v>22024915.695420925</v>
      </c>
      <c r="S13" s="30">
        <f t="shared" si="41"/>
        <v>23435001.325547222</v>
      </c>
      <c r="T13" s="30">
        <f t="shared" si="41"/>
        <v>24928054.655481119</v>
      </c>
      <c r="U13" s="30">
        <f t="shared" si="41"/>
        <v>26421107.985415015</v>
      </c>
      <c r="V13" s="30">
        <f t="shared" si="41"/>
        <v>27867229.137200095</v>
      </c>
      <c r="W13" s="30">
        <f t="shared" si="41"/>
        <v>29398438.274454527</v>
      </c>
      <c r="X13" s="30">
        <f t="shared" si="41"/>
        <v>30880253.568571717</v>
      </c>
      <c r="Y13" s="30">
        <f t="shared" si="41"/>
        <v>32413959.839006975</v>
      </c>
      <c r="Z13" s="30">
        <f t="shared" si="41"/>
        <v>33986688.007771321</v>
      </c>
      <c r="AA13" s="30">
        <f t="shared" si="41"/>
        <v>35458581.511833489</v>
      </c>
      <c r="AB13" s="30">
        <f t="shared" si="41"/>
        <v>37027813.711373486</v>
      </c>
      <c r="AC13" s="30">
        <f t="shared" si="41"/>
        <v>38487894.143540822</v>
      </c>
      <c r="AD13" s="30">
        <f t="shared" si="41"/>
        <v>39996643.923447073</v>
      </c>
      <c r="AE13" s="30">
        <f t="shared" si="41"/>
        <v>41454712.343624458</v>
      </c>
      <c r="AF13" s="30">
        <f t="shared" si="41"/>
        <v>42901089.751842119</v>
      </c>
      <c r="AG13" s="30">
        <f t="shared" si="41"/>
        <v>44347467.16005978</v>
      </c>
      <c r="AH13" s="30">
        <f t="shared" si="41"/>
        <v>32762408.203047715</v>
      </c>
      <c r="AI13" s="30">
        <f t="shared" si="41"/>
        <v>34144819.278966978</v>
      </c>
      <c r="AJ13" s="30">
        <f t="shared" si="41"/>
        <v>35482636.449211426</v>
      </c>
      <c r="AK13" s="30">
        <f t="shared" si="41"/>
        <v>32802745.009978421</v>
      </c>
      <c r="AL13" s="30">
        <f t="shared" si="41"/>
        <v>34119171.055363894</v>
      </c>
      <c r="AM13" s="30">
        <f t="shared" si="41"/>
        <v>35308201.031841099</v>
      </c>
      <c r="AN13" s="30">
        <f t="shared" si="41"/>
        <v>32798356.709373664</v>
      </c>
      <c r="AO13" s="30">
        <f t="shared" si="41"/>
        <v>34006492.889384985</v>
      </c>
      <c r="AP13" s="30">
        <f t="shared" si="41"/>
        <v>35254900.27539669</v>
      </c>
      <c r="AQ13" s="30">
        <f t="shared" si="41"/>
        <v>32755858.87220557</v>
      </c>
      <c r="AR13" s="30">
        <f t="shared" si="41"/>
        <v>33935240.692018047</v>
      </c>
      <c r="AS13" s="30">
        <f t="shared" si="41"/>
        <v>35114622.511830524</v>
      </c>
      <c r="AT13" s="30">
        <f t="shared" si="41"/>
        <v>32753575.338241342</v>
      </c>
      <c r="AU13" s="30">
        <f t="shared" si="41"/>
        <v>33862167.605162844</v>
      </c>
      <c r="AV13" s="30">
        <f t="shared" si="41"/>
        <v>34934998.831215903</v>
      </c>
      <c r="AW13" s="30">
        <f t="shared" si="41"/>
        <v>32784632.729978234</v>
      </c>
      <c r="AX13" s="30">
        <f t="shared" si="41"/>
        <v>33820318.43536073</v>
      </c>
      <c r="AY13" s="30">
        <f t="shared" si="41"/>
        <v>34755776.491835244</v>
      </c>
      <c r="AZ13" s="30">
        <f t="shared" si="41"/>
        <v>32779791.622373477</v>
      </c>
      <c r="BA13" s="30">
        <f t="shared" si="41"/>
        <v>33709451.497381844</v>
      </c>
      <c r="BB13" s="30">
        <f t="shared" si="41"/>
        <v>34670100.034890495</v>
      </c>
      <c r="BC13" s="30">
        <f t="shared" si="41"/>
        <v>32746339.108149372</v>
      </c>
      <c r="BD13" s="30">
        <f t="shared" si="41"/>
        <v>33630608.242219277</v>
      </c>
      <c r="BE13" s="30">
        <f t="shared" si="41"/>
        <v>34514877.376289181</v>
      </c>
      <c r="BF13" s="30">
        <f t="shared" si="41"/>
        <v>32769794.43816185</v>
      </c>
      <c r="BG13" s="30">
        <f t="shared" si="41"/>
        <v>33575486.620390102</v>
      </c>
      <c r="BH13" s="30">
        <f t="shared" si="41"/>
        <v>34355188.732223898</v>
      </c>
      <c r="BI13" s="30">
        <f t="shared" si="41"/>
        <v>32787988.069598034</v>
      </c>
      <c r="BJ13" s="30">
        <f t="shared" si="41"/>
        <v>33513117.049257547</v>
      </c>
      <c r="BK13" s="30">
        <f t="shared" si="41"/>
        <v>34168072.256691933</v>
      </c>
      <c r="BL13" s="30">
        <f t="shared" si="41"/>
        <v>32759267.801783189</v>
      </c>
      <c r="BM13" s="30">
        <f t="shared" si="41"/>
        <v>33381070.367937207</v>
      </c>
      <c r="BN13" s="30">
        <f t="shared" si="41"/>
        <v>34023599.686296359</v>
      </c>
      <c r="BO13" s="30">
        <f t="shared" ref="BO13:CF13" si="42">BO9-BO11</f>
        <v>32753804.085835874</v>
      </c>
      <c r="BP13" s="30">
        <f t="shared" si="42"/>
        <v>33311645.807011813</v>
      </c>
      <c r="BQ13" s="30">
        <f t="shared" si="42"/>
        <v>33869487.528187752</v>
      </c>
      <c r="BR13" s="30">
        <f t="shared" si="42"/>
        <v>32763396.240250073</v>
      </c>
      <c r="BS13" s="30">
        <f t="shared" si="42"/>
        <v>33234409.649980657</v>
      </c>
      <c r="BT13" s="30">
        <f t="shared" si="42"/>
        <v>33690229.078752197</v>
      </c>
      <c r="BU13" s="30">
        <f t="shared" si="42"/>
        <v>32767103.364666305</v>
      </c>
      <c r="BV13" s="30">
        <f t="shared" si="42"/>
        <v>33149093.636190005</v>
      </c>
      <c r="BW13" s="30">
        <f t="shared" si="42"/>
        <v>33506439.374067016</v>
      </c>
      <c r="BX13" s="30">
        <f t="shared" si="42"/>
        <v>32755326.145916432</v>
      </c>
      <c r="BY13" s="30">
        <f t="shared" si="42"/>
        <v>33036665.009992689</v>
      </c>
      <c r="BZ13" s="30">
        <f t="shared" si="42"/>
        <v>33327381.836204827</v>
      </c>
      <c r="CA13" s="30">
        <f t="shared" si="42"/>
        <v>32724181.344310179</v>
      </c>
      <c r="CB13" s="30">
        <f t="shared" si="42"/>
        <v>32921559.799364999</v>
      </c>
      <c r="CC13" s="30">
        <f t="shared" si="42"/>
        <v>33118938.254419819</v>
      </c>
      <c r="CD13" s="30">
        <f t="shared" si="42"/>
        <v>32721088.273521952</v>
      </c>
      <c r="CE13" s="30">
        <f t="shared" si="42"/>
        <v>32822581.53414198</v>
      </c>
      <c r="CF13" s="30">
        <f t="shared" si="42"/>
        <v>32920800.818612985</v>
      </c>
      <c r="CG13" s="30">
        <f>CG9-CG11</f>
        <v>32717814.297372922</v>
      </c>
    </row>
    <row r="14" spans="1:85">
      <c r="A14" s="37" t="s">
        <v>26</v>
      </c>
      <c r="B14" s="30">
        <f t="shared" ref="B14:BD14" si="43">B28</f>
        <v>0</v>
      </c>
      <c r="C14" s="30">
        <f t="shared" si="43"/>
        <v>0</v>
      </c>
      <c r="D14" s="30">
        <f t="shared" si="43"/>
        <v>0</v>
      </c>
      <c r="E14" s="30">
        <f t="shared" si="43"/>
        <v>0</v>
      </c>
      <c r="F14" s="30">
        <f t="shared" si="43"/>
        <v>0</v>
      </c>
      <c r="G14" s="30">
        <f t="shared" si="43"/>
        <v>0</v>
      </c>
      <c r="H14" s="30">
        <f t="shared" si="43"/>
        <v>0</v>
      </c>
      <c r="I14" s="30">
        <f t="shared" si="43"/>
        <v>0</v>
      </c>
      <c r="J14" s="30">
        <f t="shared" si="43"/>
        <v>0</v>
      </c>
      <c r="K14" s="30">
        <f t="shared" si="43"/>
        <v>0</v>
      </c>
      <c r="L14" s="30">
        <f t="shared" si="43"/>
        <v>0</v>
      </c>
      <c r="M14" s="30">
        <f t="shared" si="43"/>
        <v>0</v>
      </c>
      <c r="N14" s="30">
        <f t="shared" si="43"/>
        <v>0</v>
      </c>
      <c r="O14" s="30">
        <f t="shared" si="43"/>
        <v>0</v>
      </c>
      <c r="P14" s="30">
        <f t="shared" si="43"/>
        <v>0</v>
      </c>
      <c r="Q14" s="30">
        <f t="shared" si="43"/>
        <v>0</v>
      </c>
      <c r="R14" s="30">
        <f t="shared" si="43"/>
        <v>0</v>
      </c>
      <c r="S14" s="30">
        <f t="shared" si="43"/>
        <v>0</v>
      </c>
      <c r="T14" s="30">
        <f t="shared" si="43"/>
        <v>0</v>
      </c>
      <c r="U14" s="30">
        <f t="shared" si="43"/>
        <v>0</v>
      </c>
      <c r="V14" s="30">
        <f t="shared" si="43"/>
        <v>0</v>
      </c>
      <c r="W14" s="30">
        <f t="shared" si="43"/>
        <v>0</v>
      </c>
      <c r="X14" s="30">
        <f t="shared" si="43"/>
        <v>0</v>
      </c>
      <c r="Y14" s="30">
        <f t="shared" si="43"/>
        <v>0</v>
      </c>
      <c r="Z14" s="30">
        <f t="shared" si="43"/>
        <v>0</v>
      </c>
      <c r="AA14" s="30">
        <f t="shared" si="43"/>
        <v>0</v>
      </c>
      <c r="AB14" s="30">
        <f t="shared" si="43"/>
        <v>0</v>
      </c>
      <c r="AC14" s="30">
        <f t="shared" si="43"/>
        <v>0</v>
      </c>
      <c r="AD14" s="30">
        <f t="shared" si="43"/>
        <v>0</v>
      </c>
      <c r="AE14" s="30">
        <f t="shared" si="43"/>
        <v>0</v>
      </c>
      <c r="AF14" s="30">
        <f t="shared" si="43"/>
        <v>0</v>
      </c>
      <c r="AG14" s="30">
        <f t="shared" si="43"/>
        <v>0</v>
      </c>
      <c r="AH14" s="30">
        <f t="shared" si="43"/>
        <v>0</v>
      </c>
      <c r="AI14" s="30">
        <f t="shared" si="43"/>
        <v>0</v>
      </c>
      <c r="AJ14" s="30">
        <f t="shared" si="43"/>
        <v>0</v>
      </c>
      <c r="AK14" s="30">
        <f t="shared" si="43"/>
        <v>0</v>
      </c>
      <c r="AL14" s="30">
        <f t="shared" si="43"/>
        <v>0</v>
      </c>
      <c r="AM14" s="30">
        <f t="shared" si="43"/>
        <v>0</v>
      </c>
      <c r="AN14" s="30">
        <f t="shared" si="43"/>
        <v>0</v>
      </c>
      <c r="AO14" s="30">
        <f t="shared" si="43"/>
        <v>0</v>
      </c>
      <c r="AP14" s="30">
        <f t="shared" si="43"/>
        <v>0</v>
      </c>
      <c r="AQ14" s="30">
        <f t="shared" si="43"/>
        <v>0</v>
      </c>
      <c r="AR14" s="30">
        <f t="shared" si="43"/>
        <v>0</v>
      </c>
      <c r="AS14" s="30">
        <f t="shared" si="43"/>
        <v>0</v>
      </c>
      <c r="AT14" s="30">
        <f t="shared" si="43"/>
        <v>0</v>
      </c>
      <c r="AU14" s="30">
        <f t="shared" si="43"/>
        <v>0</v>
      </c>
      <c r="AV14" s="30">
        <f t="shared" si="43"/>
        <v>0</v>
      </c>
      <c r="AW14" s="30">
        <f t="shared" si="43"/>
        <v>0</v>
      </c>
      <c r="AX14" s="30">
        <f t="shared" si="43"/>
        <v>0</v>
      </c>
      <c r="AY14" s="30">
        <f t="shared" si="43"/>
        <v>0</v>
      </c>
      <c r="AZ14" s="30">
        <f t="shared" si="43"/>
        <v>0</v>
      </c>
      <c r="BA14" s="30">
        <f t="shared" si="43"/>
        <v>0</v>
      </c>
      <c r="BB14" s="30">
        <f t="shared" si="43"/>
        <v>0</v>
      </c>
      <c r="BC14" s="30">
        <f t="shared" si="43"/>
        <v>0</v>
      </c>
      <c r="BD14" s="30">
        <f t="shared" si="43"/>
        <v>0</v>
      </c>
      <c r="BE14" s="30">
        <f t="shared" ref="BE14:BS14" si="44">BE28</f>
        <v>0</v>
      </c>
      <c r="BF14" s="30">
        <f t="shared" si="44"/>
        <v>0</v>
      </c>
      <c r="BG14" s="30">
        <f t="shared" si="44"/>
        <v>0</v>
      </c>
      <c r="BH14" s="30">
        <f t="shared" si="44"/>
        <v>0</v>
      </c>
      <c r="BI14" s="30">
        <f t="shared" si="44"/>
        <v>0</v>
      </c>
      <c r="BJ14" s="30">
        <f t="shared" si="44"/>
        <v>0</v>
      </c>
      <c r="BK14" s="30">
        <f t="shared" si="44"/>
        <v>0</v>
      </c>
      <c r="BL14" s="30">
        <f t="shared" si="44"/>
        <v>0</v>
      </c>
      <c r="BM14" s="30">
        <f t="shared" si="44"/>
        <v>0</v>
      </c>
      <c r="BN14" s="30">
        <f t="shared" si="44"/>
        <v>0</v>
      </c>
      <c r="BO14" s="30">
        <f t="shared" si="44"/>
        <v>0</v>
      </c>
      <c r="BP14" s="30">
        <f t="shared" si="44"/>
        <v>0</v>
      </c>
      <c r="BQ14" s="30">
        <f t="shared" si="44"/>
        <v>0</v>
      </c>
      <c r="BR14" s="30">
        <f t="shared" si="44"/>
        <v>0</v>
      </c>
      <c r="BS14" s="30">
        <f t="shared" si="44"/>
        <v>0</v>
      </c>
      <c r="BT14" s="30">
        <f t="shared" ref="BT14:CF14" si="45">BT28</f>
        <v>0</v>
      </c>
      <c r="BU14" s="30">
        <f t="shared" si="45"/>
        <v>0</v>
      </c>
      <c r="BV14" s="30">
        <f t="shared" si="45"/>
        <v>0</v>
      </c>
      <c r="BW14" s="30">
        <f t="shared" si="45"/>
        <v>0</v>
      </c>
      <c r="BX14" s="30">
        <f t="shared" si="45"/>
        <v>0</v>
      </c>
      <c r="BY14" s="30">
        <f t="shared" si="45"/>
        <v>0</v>
      </c>
      <c r="BZ14" s="30">
        <f t="shared" si="45"/>
        <v>0</v>
      </c>
      <c r="CA14" s="30">
        <f t="shared" si="45"/>
        <v>0</v>
      </c>
      <c r="CB14" s="30">
        <f t="shared" si="45"/>
        <v>0</v>
      </c>
      <c r="CC14" s="30">
        <f t="shared" si="45"/>
        <v>0</v>
      </c>
      <c r="CD14" s="30">
        <f t="shared" si="45"/>
        <v>0</v>
      </c>
      <c r="CE14" s="30">
        <f t="shared" si="45"/>
        <v>0</v>
      </c>
      <c r="CF14" s="30">
        <f t="shared" si="45"/>
        <v>0</v>
      </c>
      <c r="CG14" s="30">
        <f>CG28</f>
        <v>0</v>
      </c>
    </row>
    <row r="15" spans="1:8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</row>
    <row r="16" spans="1:85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</row>
    <row r="17" spans="1:85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</row>
    <row r="18" spans="1:85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</row>
    <row r="19" spans="1:85">
      <c r="B19" s="28">
        <f>B1</f>
        <v>43132</v>
      </c>
      <c r="C19" s="28">
        <f t="shared" ref="C19:BN19" si="46">C1</f>
        <v>43160</v>
      </c>
      <c r="D19" s="28">
        <f t="shared" si="46"/>
        <v>43191</v>
      </c>
      <c r="E19" s="28">
        <f t="shared" si="46"/>
        <v>43221</v>
      </c>
      <c r="F19" s="28">
        <f t="shared" si="46"/>
        <v>43252</v>
      </c>
      <c r="G19" s="28">
        <f t="shared" si="46"/>
        <v>43282</v>
      </c>
      <c r="H19" s="28">
        <f t="shared" si="46"/>
        <v>43313</v>
      </c>
      <c r="I19" s="28">
        <f t="shared" si="46"/>
        <v>43344</v>
      </c>
      <c r="J19" s="28">
        <f t="shared" si="46"/>
        <v>43374</v>
      </c>
      <c r="K19" s="28">
        <f t="shared" si="46"/>
        <v>43405</v>
      </c>
      <c r="L19" s="28">
        <f t="shared" si="46"/>
        <v>43435</v>
      </c>
      <c r="M19" s="28">
        <f t="shared" si="46"/>
        <v>43466</v>
      </c>
      <c r="N19" s="28">
        <f t="shared" si="46"/>
        <v>43497</v>
      </c>
      <c r="O19" s="28">
        <f t="shared" si="46"/>
        <v>43525</v>
      </c>
      <c r="P19" s="28">
        <f t="shared" si="46"/>
        <v>43556</v>
      </c>
      <c r="Q19" s="28">
        <f t="shared" si="46"/>
        <v>43586</v>
      </c>
      <c r="R19" s="28">
        <f t="shared" si="46"/>
        <v>43617</v>
      </c>
      <c r="S19" s="28">
        <f t="shared" si="46"/>
        <v>43647</v>
      </c>
      <c r="T19" s="28">
        <f t="shared" si="46"/>
        <v>43678</v>
      </c>
      <c r="U19" s="28">
        <f t="shared" si="46"/>
        <v>43709</v>
      </c>
      <c r="V19" s="28">
        <f t="shared" si="46"/>
        <v>43739</v>
      </c>
      <c r="W19" s="28">
        <f t="shared" si="46"/>
        <v>43770</v>
      </c>
      <c r="X19" s="28">
        <f t="shared" si="46"/>
        <v>43800</v>
      </c>
      <c r="Y19" s="28">
        <f t="shared" si="46"/>
        <v>43831</v>
      </c>
      <c r="Z19" s="28">
        <f t="shared" si="46"/>
        <v>43862</v>
      </c>
      <c r="AA19" s="28">
        <f t="shared" si="46"/>
        <v>43891</v>
      </c>
      <c r="AB19" s="28">
        <f t="shared" si="46"/>
        <v>43922</v>
      </c>
      <c r="AC19" s="28">
        <f t="shared" si="46"/>
        <v>43952</v>
      </c>
      <c r="AD19" s="28">
        <f t="shared" si="46"/>
        <v>43983</v>
      </c>
      <c r="AE19" s="28">
        <f t="shared" si="46"/>
        <v>44013</v>
      </c>
      <c r="AF19" s="28">
        <f t="shared" si="46"/>
        <v>44044</v>
      </c>
      <c r="AG19" s="28">
        <f t="shared" si="46"/>
        <v>44075</v>
      </c>
      <c r="AH19" s="28">
        <f t="shared" si="46"/>
        <v>44105</v>
      </c>
      <c r="AI19" s="28">
        <f t="shared" si="46"/>
        <v>44136</v>
      </c>
      <c r="AJ19" s="28">
        <f t="shared" si="46"/>
        <v>44166</v>
      </c>
      <c r="AK19" s="28">
        <f t="shared" si="46"/>
        <v>44197</v>
      </c>
      <c r="AL19" s="28">
        <f t="shared" si="46"/>
        <v>44228</v>
      </c>
      <c r="AM19" s="28">
        <f t="shared" si="46"/>
        <v>44256</v>
      </c>
      <c r="AN19" s="28">
        <f t="shared" si="46"/>
        <v>44287</v>
      </c>
      <c r="AO19" s="28">
        <f t="shared" si="46"/>
        <v>44317</v>
      </c>
      <c r="AP19" s="28">
        <f t="shared" si="46"/>
        <v>44348</v>
      </c>
      <c r="AQ19" s="28">
        <f t="shared" si="46"/>
        <v>44378</v>
      </c>
      <c r="AR19" s="28">
        <f t="shared" si="46"/>
        <v>44409</v>
      </c>
      <c r="AS19" s="28">
        <f t="shared" si="46"/>
        <v>44440</v>
      </c>
      <c r="AT19" s="28">
        <f t="shared" si="46"/>
        <v>44470</v>
      </c>
      <c r="AU19" s="28">
        <f t="shared" si="46"/>
        <v>44501</v>
      </c>
      <c r="AV19" s="28">
        <f t="shared" si="46"/>
        <v>44531</v>
      </c>
      <c r="AW19" s="28">
        <f t="shared" si="46"/>
        <v>44562</v>
      </c>
      <c r="AX19" s="28">
        <f t="shared" si="46"/>
        <v>44593</v>
      </c>
      <c r="AY19" s="28">
        <f t="shared" si="46"/>
        <v>44621</v>
      </c>
      <c r="AZ19" s="28">
        <f t="shared" si="46"/>
        <v>44652</v>
      </c>
      <c r="BA19" s="28">
        <f t="shared" si="46"/>
        <v>44682</v>
      </c>
      <c r="BB19" s="28">
        <f t="shared" si="46"/>
        <v>44713</v>
      </c>
      <c r="BC19" s="28">
        <f t="shared" si="46"/>
        <v>44743</v>
      </c>
      <c r="BD19" s="28">
        <f t="shared" si="46"/>
        <v>44774</v>
      </c>
      <c r="BE19" s="28">
        <f t="shared" si="46"/>
        <v>44805</v>
      </c>
      <c r="BF19" s="28">
        <f t="shared" si="46"/>
        <v>44835</v>
      </c>
      <c r="BG19" s="28">
        <f t="shared" si="46"/>
        <v>44866</v>
      </c>
      <c r="BH19" s="28">
        <f t="shared" si="46"/>
        <v>44896</v>
      </c>
      <c r="BI19" s="28">
        <f t="shared" si="46"/>
        <v>44927</v>
      </c>
      <c r="BJ19" s="28">
        <f t="shared" si="46"/>
        <v>44958</v>
      </c>
      <c r="BK19" s="28">
        <f t="shared" si="46"/>
        <v>44986</v>
      </c>
      <c r="BL19" s="28">
        <f t="shared" si="46"/>
        <v>45017</v>
      </c>
      <c r="BM19" s="28">
        <f t="shared" si="46"/>
        <v>45047</v>
      </c>
      <c r="BN19" s="28">
        <f t="shared" si="46"/>
        <v>45078</v>
      </c>
      <c r="BO19" s="28">
        <f t="shared" ref="BO19:CG19" si="47">BO1</f>
        <v>45108</v>
      </c>
      <c r="BP19" s="28">
        <f t="shared" si="47"/>
        <v>45139</v>
      </c>
      <c r="BQ19" s="28">
        <f t="shared" si="47"/>
        <v>45170</v>
      </c>
      <c r="BR19" s="28">
        <f t="shared" si="47"/>
        <v>45200</v>
      </c>
      <c r="BS19" s="28">
        <f t="shared" si="47"/>
        <v>45231</v>
      </c>
      <c r="BT19" s="28">
        <f t="shared" si="47"/>
        <v>45261</v>
      </c>
      <c r="BU19" s="28">
        <f t="shared" si="47"/>
        <v>45292</v>
      </c>
      <c r="BV19" s="28">
        <f t="shared" si="47"/>
        <v>45323</v>
      </c>
      <c r="BW19" s="28">
        <f t="shared" si="47"/>
        <v>45352</v>
      </c>
      <c r="BX19" s="28">
        <f t="shared" si="47"/>
        <v>45383</v>
      </c>
      <c r="BY19" s="28">
        <f t="shared" si="47"/>
        <v>45413</v>
      </c>
      <c r="BZ19" s="28">
        <f t="shared" si="47"/>
        <v>45444</v>
      </c>
      <c r="CA19" s="28">
        <f t="shared" si="47"/>
        <v>45474</v>
      </c>
      <c r="CB19" s="28">
        <f t="shared" si="47"/>
        <v>45505</v>
      </c>
      <c r="CC19" s="28">
        <f t="shared" si="47"/>
        <v>45536</v>
      </c>
      <c r="CD19" s="28">
        <f t="shared" si="47"/>
        <v>45566</v>
      </c>
      <c r="CE19" s="28">
        <f t="shared" si="47"/>
        <v>45597</v>
      </c>
      <c r="CF19" s="28">
        <f t="shared" si="47"/>
        <v>45627</v>
      </c>
      <c r="CG19" s="28">
        <f t="shared" si="47"/>
        <v>45658</v>
      </c>
    </row>
    <row r="20" spans="1:85">
      <c r="A20" s="39" t="s">
        <v>27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</row>
    <row r="21" spans="1:85">
      <c r="A21" s="37" t="s">
        <v>28</v>
      </c>
      <c r="B21" s="40"/>
      <c r="C21" s="40"/>
      <c r="D21" s="40">
        <f t="shared" ref="D21" si="48">D4-C5</f>
        <v>0</v>
      </c>
      <c r="E21" s="40"/>
      <c r="F21" s="40"/>
      <c r="G21" s="40">
        <f t="shared" ref="G21" si="49">G4-F5</f>
        <v>0</v>
      </c>
      <c r="H21" s="40"/>
      <c r="I21" s="40"/>
      <c r="J21" s="40">
        <f t="shared" ref="J21" si="50">J4-I5</f>
        <v>0</v>
      </c>
      <c r="K21" s="40"/>
      <c r="L21" s="40"/>
      <c r="M21" s="40">
        <f t="shared" ref="M21" si="51">M4-L5</f>
        <v>0</v>
      </c>
      <c r="N21" s="40"/>
      <c r="O21" s="40"/>
      <c r="P21" s="40">
        <f t="shared" ref="P21" si="52">P4-O5</f>
        <v>0</v>
      </c>
      <c r="Q21" s="40"/>
      <c r="R21" s="40"/>
      <c r="S21" s="40">
        <f t="shared" ref="S21" si="53">S4-R5</f>
        <v>0</v>
      </c>
      <c r="T21" s="40"/>
      <c r="U21" s="40"/>
      <c r="V21" s="40">
        <f t="shared" ref="V21" si="54">V4-U5</f>
        <v>0</v>
      </c>
      <c r="W21" s="40"/>
      <c r="X21" s="40"/>
      <c r="Y21" s="40">
        <f t="shared" ref="Y21" si="55">Y4-X5</f>
        <v>0</v>
      </c>
      <c r="Z21" s="40"/>
      <c r="AA21" s="40"/>
      <c r="AB21" s="40">
        <v>0</v>
      </c>
      <c r="AC21" s="40"/>
      <c r="AD21" s="40"/>
      <c r="AE21" s="40">
        <v>0</v>
      </c>
      <c r="AF21" s="40"/>
      <c r="AG21" s="40"/>
      <c r="AH21" s="40">
        <f t="shared" ref="AH21" si="56">AH4-AG5</f>
        <v>22179753.868039504</v>
      </c>
      <c r="AI21" s="40"/>
      <c r="AJ21" s="40"/>
      <c r="AK21" s="40">
        <f t="shared" ref="AK21" si="57">AK4-AJ5</f>
        <v>7662777.7394072264</v>
      </c>
      <c r="AL21" s="40"/>
      <c r="AM21" s="40"/>
      <c r="AN21" s="40">
        <f t="shared" ref="AN21" si="58">AN4-AM5</f>
        <v>7898941.0885672197</v>
      </c>
      <c r="AO21" s="40"/>
      <c r="AP21" s="40"/>
      <c r="AQ21" s="40">
        <f t="shared" ref="AQ21" si="59">AQ4-AP5</f>
        <v>8015872.2037806511</v>
      </c>
      <c r="AR21" s="40"/>
      <c r="AS21" s="40"/>
      <c r="AT21" s="40">
        <f t="shared" ref="AT21" si="60">AT4-AS5</f>
        <v>8220722.271210596</v>
      </c>
      <c r="AU21" s="40"/>
      <c r="AV21" s="40"/>
      <c r="AW21" s="40">
        <f t="shared" ref="AW21" si="61">AW4-AV5</f>
        <v>8466568.4367877468</v>
      </c>
      <c r="AX21" s="40"/>
      <c r="AY21" s="40"/>
      <c r="AZ21" s="40">
        <f t="shared" ref="AZ21" si="62">AZ4-AY5</f>
        <v>8713993.6885758787</v>
      </c>
      <c r="BA21" s="40"/>
      <c r="BB21" s="40"/>
      <c r="BC21" s="40">
        <f t="shared" ref="BC21" si="63">BC4-BB5</f>
        <v>8869866.2057897151</v>
      </c>
      <c r="BD21" s="40"/>
      <c r="BE21" s="40"/>
      <c r="BF21" s="40">
        <f t="shared" ref="BF21" si="64">BF4-BE5</f>
        <v>9125065.3751585633</v>
      </c>
      <c r="BG21" s="40"/>
      <c r="BH21" s="40"/>
      <c r="BI21" s="40">
        <f t="shared" ref="BI21" si="65">BI4-BH5</f>
        <v>9355726.7499195188</v>
      </c>
      <c r="BJ21" s="40"/>
      <c r="BK21" s="40"/>
      <c r="BL21" s="40">
        <f t="shared" ref="BL21" si="66">BL4-BK5</f>
        <v>9592218.7316536009</v>
      </c>
      <c r="BM21" s="40"/>
      <c r="BN21" s="40"/>
      <c r="BO21" s="40">
        <f t="shared" ref="BO21" si="67">BO4-BN5</f>
        <v>9834688.7051481754</v>
      </c>
      <c r="BP21" s="40"/>
      <c r="BQ21" s="40"/>
      <c r="BR21" s="40">
        <f t="shared" ref="BR21" si="68">BR4-BQ5</f>
        <v>10083287.780750528</v>
      </c>
      <c r="BS21" s="40"/>
      <c r="BT21" s="40"/>
      <c r="BU21" s="40">
        <f t="shared" ref="BU21" si="69">BU4-BT5</f>
        <v>10338170.888541743</v>
      </c>
      <c r="BV21" s="40"/>
      <c r="BW21" s="40"/>
      <c r="BX21" s="40">
        <f t="shared" ref="BX21" si="70">BX4-BW5</f>
        <v>10599496.874890983</v>
      </c>
      <c r="BY21" s="40"/>
      <c r="BZ21" s="40"/>
      <c r="CA21" s="40">
        <f t="shared" ref="CA21" si="71">CA4-BZ5</f>
        <v>10839294.715043098</v>
      </c>
      <c r="CB21" s="40"/>
      <c r="CC21" s="40"/>
      <c r="CD21" s="40">
        <f t="shared" ref="CD21" si="72">CD4-CC5</f>
        <v>11135054.837588161</v>
      </c>
      <c r="CE21" s="40"/>
      <c r="CF21" s="40"/>
      <c r="CG21" s="40">
        <f t="shared" ref="CG21" si="73">CG4-CF5</f>
        <v>11786314.136519998</v>
      </c>
    </row>
    <row r="22" spans="1:85">
      <c r="A22" s="37" t="s">
        <v>29</v>
      </c>
      <c r="B22" s="30">
        <f>B21</f>
        <v>0</v>
      </c>
      <c r="C22" s="30">
        <f t="shared" ref="C22:BD22" si="74">B22+C21</f>
        <v>0</v>
      </c>
      <c r="D22" s="30">
        <f t="shared" si="74"/>
        <v>0</v>
      </c>
      <c r="E22" s="30">
        <f t="shared" si="74"/>
        <v>0</v>
      </c>
      <c r="F22" s="30">
        <f t="shared" si="74"/>
        <v>0</v>
      </c>
      <c r="G22" s="30">
        <f t="shared" si="74"/>
        <v>0</v>
      </c>
      <c r="H22" s="30">
        <f t="shared" si="74"/>
        <v>0</v>
      </c>
      <c r="I22" s="30">
        <f t="shared" si="74"/>
        <v>0</v>
      </c>
      <c r="J22" s="30">
        <f t="shared" si="74"/>
        <v>0</v>
      </c>
      <c r="K22" s="30">
        <f t="shared" si="74"/>
        <v>0</v>
      </c>
      <c r="L22" s="30">
        <f t="shared" si="74"/>
        <v>0</v>
      </c>
      <c r="M22" s="30">
        <f t="shared" si="74"/>
        <v>0</v>
      </c>
      <c r="N22" s="30">
        <f t="shared" si="74"/>
        <v>0</v>
      </c>
      <c r="O22" s="30">
        <f t="shared" si="74"/>
        <v>0</v>
      </c>
      <c r="P22" s="30">
        <f t="shared" si="74"/>
        <v>0</v>
      </c>
      <c r="Q22" s="30">
        <f t="shared" si="74"/>
        <v>0</v>
      </c>
      <c r="R22" s="30">
        <f t="shared" si="74"/>
        <v>0</v>
      </c>
      <c r="S22" s="30">
        <f t="shared" si="74"/>
        <v>0</v>
      </c>
      <c r="T22" s="30">
        <f t="shared" si="74"/>
        <v>0</v>
      </c>
      <c r="U22" s="30">
        <f t="shared" si="74"/>
        <v>0</v>
      </c>
      <c r="V22" s="30">
        <f t="shared" si="74"/>
        <v>0</v>
      </c>
      <c r="W22" s="30">
        <f t="shared" si="74"/>
        <v>0</v>
      </c>
      <c r="X22" s="30">
        <f t="shared" si="74"/>
        <v>0</v>
      </c>
      <c r="Y22" s="30">
        <f t="shared" si="74"/>
        <v>0</v>
      </c>
      <c r="Z22" s="30">
        <f t="shared" si="74"/>
        <v>0</v>
      </c>
      <c r="AA22" s="30">
        <f t="shared" si="74"/>
        <v>0</v>
      </c>
      <c r="AB22" s="30">
        <f t="shared" si="74"/>
        <v>0</v>
      </c>
      <c r="AC22" s="30">
        <f t="shared" si="74"/>
        <v>0</v>
      </c>
      <c r="AD22" s="30">
        <f t="shared" si="74"/>
        <v>0</v>
      </c>
      <c r="AE22" s="30">
        <f t="shared" si="74"/>
        <v>0</v>
      </c>
      <c r="AF22" s="30">
        <f t="shared" si="74"/>
        <v>0</v>
      </c>
      <c r="AG22" s="30">
        <f t="shared" si="74"/>
        <v>0</v>
      </c>
      <c r="AH22" s="30">
        <f t="shared" si="74"/>
        <v>22179753.868039504</v>
      </c>
      <c r="AI22" s="30">
        <f t="shared" si="74"/>
        <v>22179753.868039504</v>
      </c>
      <c r="AJ22" s="30">
        <f t="shared" si="74"/>
        <v>22179753.868039504</v>
      </c>
      <c r="AK22" s="30">
        <f t="shared" si="74"/>
        <v>29842531.60744673</v>
      </c>
      <c r="AL22" s="30">
        <f t="shared" si="74"/>
        <v>29842531.60744673</v>
      </c>
      <c r="AM22" s="30">
        <f t="shared" si="74"/>
        <v>29842531.60744673</v>
      </c>
      <c r="AN22" s="30">
        <f t="shared" si="74"/>
        <v>37741472.69601395</v>
      </c>
      <c r="AO22" s="30">
        <f t="shared" si="74"/>
        <v>37741472.69601395</v>
      </c>
      <c r="AP22" s="30">
        <f t="shared" si="74"/>
        <v>37741472.69601395</v>
      </c>
      <c r="AQ22" s="30">
        <f t="shared" si="74"/>
        <v>45757344.899794601</v>
      </c>
      <c r="AR22" s="30">
        <f t="shared" si="74"/>
        <v>45757344.899794601</v>
      </c>
      <c r="AS22" s="30">
        <f t="shared" si="74"/>
        <v>45757344.899794601</v>
      </c>
      <c r="AT22" s="30">
        <f t="shared" si="74"/>
        <v>53978067.171005197</v>
      </c>
      <c r="AU22" s="30">
        <f t="shared" si="74"/>
        <v>53978067.171005197</v>
      </c>
      <c r="AV22" s="30">
        <f t="shared" si="74"/>
        <v>53978067.171005197</v>
      </c>
      <c r="AW22" s="30">
        <f t="shared" si="74"/>
        <v>62444635.607792944</v>
      </c>
      <c r="AX22" s="30">
        <f t="shared" si="74"/>
        <v>62444635.607792944</v>
      </c>
      <c r="AY22" s="30">
        <f t="shared" si="74"/>
        <v>62444635.607792944</v>
      </c>
      <c r="AZ22" s="30">
        <f t="shared" si="74"/>
        <v>71158629.296368822</v>
      </c>
      <c r="BA22" s="30">
        <f t="shared" si="74"/>
        <v>71158629.296368822</v>
      </c>
      <c r="BB22" s="30">
        <f t="shared" si="74"/>
        <v>71158629.296368822</v>
      </c>
      <c r="BC22" s="30">
        <f t="shared" si="74"/>
        <v>80028495.502158538</v>
      </c>
      <c r="BD22" s="30">
        <f t="shared" si="74"/>
        <v>80028495.502158538</v>
      </c>
      <c r="BE22" s="30">
        <f t="shared" ref="BE22:BT22" si="75">BD22+BE21</f>
        <v>80028495.502158538</v>
      </c>
      <c r="BF22" s="30">
        <f t="shared" si="75"/>
        <v>89153560.877317101</v>
      </c>
      <c r="BG22" s="30">
        <f t="shared" si="75"/>
        <v>89153560.877317101</v>
      </c>
      <c r="BH22" s="30">
        <f t="shared" si="75"/>
        <v>89153560.877317101</v>
      </c>
      <c r="BI22" s="30">
        <f t="shared" si="75"/>
        <v>98509287.62723662</v>
      </c>
      <c r="BJ22" s="30">
        <f t="shared" si="75"/>
        <v>98509287.62723662</v>
      </c>
      <c r="BK22" s="30">
        <f t="shared" si="75"/>
        <v>98509287.62723662</v>
      </c>
      <c r="BL22" s="30">
        <f t="shared" si="75"/>
        <v>108101506.35889022</v>
      </c>
      <c r="BM22" s="30">
        <f t="shared" si="75"/>
        <v>108101506.35889022</v>
      </c>
      <c r="BN22" s="30">
        <f t="shared" si="75"/>
        <v>108101506.35889022</v>
      </c>
      <c r="BO22" s="30">
        <f t="shared" si="75"/>
        <v>117936195.0640384</v>
      </c>
      <c r="BP22" s="30">
        <f t="shared" si="75"/>
        <v>117936195.0640384</v>
      </c>
      <c r="BQ22" s="30">
        <f t="shared" si="75"/>
        <v>117936195.0640384</v>
      </c>
      <c r="BR22" s="30">
        <f t="shared" si="75"/>
        <v>128019482.84478892</v>
      </c>
      <c r="BS22" s="30">
        <f t="shared" si="75"/>
        <v>128019482.84478892</v>
      </c>
      <c r="BT22" s="30">
        <f t="shared" si="75"/>
        <v>128019482.84478892</v>
      </c>
      <c r="BU22" s="30">
        <f t="shared" ref="BU22:CF22" si="76">BT22+BU21</f>
        <v>138357653.73333067</v>
      </c>
      <c r="BV22" s="30">
        <f t="shared" si="76"/>
        <v>138357653.73333067</v>
      </c>
      <c r="BW22" s="30">
        <f t="shared" si="76"/>
        <v>138357653.73333067</v>
      </c>
      <c r="BX22" s="30">
        <f t="shared" si="76"/>
        <v>148957150.60822165</v>
      </c>
      <c r="BY22" s="30">
        <f t="shared" si="76"/>
        <v>148957150.60822165</v>
      </c>
      <c r="BZ22" s="30">
        <f t="shared" si="76"/>
        <v>148957150.60822165</v>
      </c>
      <c r="CA22" s="30">
        <f t="shared" si="76"/>
        <v>159796445.32326475</v>
      </c>
      <c r="CB22" s="30">
        <f t="shared" si="76"/>
        <v>159796445.32326475</v>
      </c>
      <c r="CC22" s="30">
        <f t="shared" si="76"/>
        <v>159796445.32326475</v>
      </c>
      <c r="CD22" s="30">
        <f t="shared" si="76"/>
        <v>170931500.16085291</v>
      </c>
      <c r="CE22" s="30">
        <f t="shared" si="76"/>
        <v>170931500.16085291</v>
      </c>
      <c r="CF22" s="30">
        <f t="shared" si="76"/>
        <v>170931500.16085291</v>
      </c>
      <c r="CG22" s="30">
        <f>CF22+CG21</f>
        <v>182717814.29737291</v>
      </c>
    </row>
    <row r="23" spans="1:85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</row>
    <row r="24" spans="1:85">
      <c r="A24" s="39" t="s">
        <v>30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</row>
    <row r="25" spans="1:85" s="79" customFormat="1">
      <c r="A25" s="37" t="s">
        <v>31</v>
      </c>
      <c r="B25" s="78"/>
      <c r="C25" s="78"/>
      <c r="D25" s="78">
        <f t="shared" ref="D25:BO25" si="77">D10-C11</f>
        <v>0</v>
      </c>
      <c r="E25" s="78"/>
      <c r="F25" s="78"/>
      <c r="G25" s="78">
        <f t="shared" ref="G25" si="78">G10-F11</f>
        <v>0</v>
      </c>
      <c r="H25" s="78"/>
      <c r="I25" s="78"/>
      <c r="J25" s="78">
        <f t="shared" si="77"/>
        <v>0</v>
      </c>
      <c r="K25" s="78"/>
      <c r="L25" s="78"/>
      <c r="M25" s="78">
        <f t="shared" ref="M25" si="79">M10-L11</f>
        <v>0</v>
      </c>
      <c r="N25" s="78"/>
      <c r="O25" s="78"/>
      <c r="P25" s="78">
        <f t="shared" ref="P25" si="80">P10-O11</f>
        <v>0</v>
      </c>
      <c r="Q25" s="78"/>
      <c r="R25" s="78"/>
      <c r="S25" s="78">
        <f t="shared" ref="S25" si="81">S10-R11</f>
        <v>0</v>
      </c>
      <c r="T25" s="78"/>
      <c r="U25" s="78"/>
      <c r="V25" s="78">
        <f t="shared" ref="V25" si="82">V10-U11</f>
        <v>0</v>
      </c>
      <c r="W25" s="78"/>
      <c r="X25" s="78"/>
      <c r="Y25" s="78">
        <f t="shared" ref="Y25" si="83">Y10-X11</f>
        <v>0</v>
      </c>
      <c r="Z25" s="78"/>
      <c r="AA25" s="78"/>
      <c r="AB25" s="78">
        <v>0</v>
      </c>
      <c r="AC25" s="78"/>
      <c r="AD25" s="78"/>
      <c r="AE25" s="78">
        <v>0</v>
      </c>
      <c r="AF25" s="78"/>
      <c r="AG25" s="78"/>
      <c r="AH25" s="78">
        <f t="shared" si="77"/>
        <v>12982715.59940663</v>
      </c>
      <c r="AI25" s="78">
        <f t="shared" si="77"/>
        <v>0</v>
      </c>
      <c r="AJ25" s="78">
        <f t="shared" si="77"/>
        <v>0</v>
      </c>
      <c r="AK25" s="78">
        <f t="shared" si="77"/>
        <v>4058045.4164081514</v>
      </c>
      <c r="AL25" s="78">
        <f t="shared" si="77"/>
        <v>0</v>
      </c>
      <c r="AM25" s="78">
        <f t="shared" si="77"/>
        <v>0</v>
      </c>
      <c r="AN25" s="78">
        <f t="shared" si="77"/>
        <v>3821882.0672481544</v>
      </c>
      <c r="AO25" s="78">
        <f t="shared" si="77"/>
        <v>0</v>
      </c>
      <c r="AP25" s="78">
        <f t="shared" si="77"/>
        <v>0</v>
      </c>
      <c r="AQ25" s="78">
        <f t="shared" si="77"/>
        <v>3704950.9520347305</v>
      </c>
      <c r="AR25" s="78">
        <f t="shared" si="77"/>
        <v>0</v>
      </c>
      <c r="AS25" s="78">
        <f t="shared" si="77"/>
        <v>0</v>
      </c>
      <c r="AT25" s="78">
        <f t="shared" si="77"/>
        <v>3500100.8846047781</v>
      </c>
      <c r="AU25" s="78">
        <f t="shared" si="77"/>
        <v>0</v>
      </c>
      <c r="AV25" s="78">
        <f t="shared" si="77"/>
        <v>0</v>
      </c>
      <c r="AW25" s="78">
        <f t="shared" si="77"/>
        <v>3254254.7190276273</v>
      </c>
      <c r="AX25" s="78">
        <f t="shared" si="77"/>
        <v>0</v>
      </c>
      <c r="AY25" s="78">
        <f t="shared" si="77"/>
        <v>0</v>
      </c>
      <c r="AZ25" s="78">
        <f t="shared" si="77"/>
        <v>3006829.4672394991</v>
      </c>
      <c r="BA25" s="78">
        <f t="shared" si="77"/>
        <v>0</v>
      </c>
      <c r="BB25" s="78">
        <f t="shared" si="77"/>
        <v>0</v>
      </c>
      <c r="BC25" s="78">
        <f t="shared" si="77"/>
        <v>2850956.9500256628</v>
      </c>
      <c r="BD25" s="78">
        <f t="shared" si="77"/>
        <v>0</v>
      </c>
      <c r="BE25" s="78">
        <f t="shared" si="77"/>
        <v>0</v>
      </c>
      <c r="BF25" s="78">
        <f t="shared" si="77"/>
        <v>2595757.7806568071</v>
      </c>
      <c r="BG25" s="78">
        <f t="shared" si="77"/>
        <v>0</v>
      </c>
      <c r="BH25" s="78">
        <f t="shared" si="77"/>
        <v>0</v>
      </c>
      <c r="BI25" s="78">
        <f t="shared" si="77"/>
        <v>2365096.405895859</v>
      </c>
      <c r="BJ25" s="78">
        <f t="shared" si="77"/>
        <v>0</v>
      </c>
      <c r="BK25" s="78">
        <f t="shared" si="77"/>
        <v>0</v>
      </c>
      <c r="BL25" s="78">
        <f t="shared" si="77"/>
        <v>2128604.4241617769</v>
      </c>
      <c r="BM25" s="78">
        <f t="shared" si="77"/>
        <v>0</v>
      </c>
      <c r="BN25" s="78">
        <f t="shared" si="77"/>
        <v>0</v>
      </c>
      <c r="BO25" s="78">
        <f t="shared" si="77"/>
        <v>1886134.4506672025</v>
      </c>
      <c r="BP25" s="78">
        <f t="shared" ref="BP25:CG25" si="84">BP10-BO11</f>
        <v>0</v>
      </c>
      <c r="BQ25" s="78">
        <f t="shared" si="84"/>
        <v>0</v>
      </c>
      <c r="BR25" s="78">
        <f t="shared" si="84"/>
        <v>1637535.3750648424</v>
      </c>
      <c r="BS25" s="78">
        <f t="shared" si="84"/>
        <v>0</v>
      </c>
      <c r="BT25" s="78">
        <f t="shared" si="84"/>
        <v>0</v>
      </c>
      <c r="BU25" s="78">
        <f t="shared" si="84"/>
        <v>1382652.2672736496</v>
      </c>
      <c r="BV25" s="78">
        <f t="shared" si="84"/>
        <v>0</v>
      </c>
      <c r="BW25" s="78">
        <f t="shared" si="84"/>
        <v>0</v>
      </c>
      <c r="BX25" s="78">
        <f t="shared" si="84"/>
        <v>1121326.2809244022</v>
      </c>
      <c r="BY25" s="78">
        <f t="shared" si="84"/>
        <v>0</v>
      </c>
      <c r="BZ25" s="78">
        <f t="shared" si="84"/>
        <v>0</v>
      </c>
      <c r="CA25" s="78">
        <f t="shared" si="84"/>
        <v>881528.4407722801</v>
      </c>
      <c r="CB25" s="78">
        <f t="shared" si="84"/>
        <v>0</v>
      </c>
      <c r="CC25" s="78">
        <f t="shared" si="84"/>
        <v>0</v>
      </c>
      <c r="CD25" s="78">
        <f t="shared" si="84"/>
        <v>585768.31822720915</v>
      </c>
      <c r="CE25" s="78">
        <f t="shared" si="84"/>
        <v>0</v>
      </c>
      <c r="CF25" s="78">
        <f t="shared" si="84"/>
        <v>0</v>
      </c>
      <c r="CG25" s="78">
        <f t="shared" si="84"/>
        <v>297931.82956203073</v>
      </c>
    </row>
    <row r="26" spans="1:85">
      <c r="A26" s="37" t="s">
        <v>32</v>
      </c>
      <c r="B26" s="30">
        <f>B25</f>
        <v>0</v>
      </c>
      <c r="C26" s="30">
        <f>B26+C25</f>
        <v>0</v>
      </c>
      <c r="D26" s="30">
        <f>C26+D25</f>
        <v>0</v>
      </c>
      <c r="E26" s="30">
        <f t="shared" ref="E26:BP26" si="85">D26+E25</f>
        <v>0</v>
      </c>
      <c r="F26" s="30">
        <f t="shared" si="85"/>
        <v>0</v>
      </c>
      <c r="G26" s="30">
        <f t="shared" si="85"/>
        <v>0</v>
      </c>
      <c r="H26" s="30">
        <f t="shared" si="85"/>
        <v>0</v>
      </c>
      <c r="I26" s="30">
        <f t="shared" si="85"/>
        <v>0</v>
      </c>
      <c r="J26" s="30">
        <f t="shared" si="85"/>
        <v>0</v>
      </c>
      <c r="K26" s="30">
        <f t="shared" si="85"/>
        <v>0</v>
      </c>
      <c r="L26" s="30">
        <f t="shared" si="85"/>
        <v>0</v>
      </c>
      <c r="M26" s="30">
        <f t="shared" si="85"/>
        <v>0</v>
      </c>
      <c r="N26" s="30">
        <f t="shared" si="85"/>
        <v>0</v>
      </c>
      <c r="O26" s="30">
        <f t="shared" si="85"/>
        <v>0</v>
      </c>
      <c r="P26" s="30">
        <f t="shared" si="85"/>
        <v>0</v>
      </c>
      <c r="Q26" s="30">
        <f t="shared" si="85"/>
        <v>0</v>
      </c>
      <c r="R26" s="30">
        <f t="shared" si="85"/>
        <v>0</v>
      </c>
      <c r="S26" s="30">
        <f t="shared" si="85"/>
        <v>0</v>
      </c>
      <c r="T26" s="30">
        <f t="shared" si="85"/>
        <v>0</v>
      </c>
      <c r="U26" s="30">
        <f t="shared" si="85"/>
        <v>0</v>
      </c>
      <c r="V26" s="30">
        <f t="shared" si="85"/>
        <v>0</v>
      </c>
      <c r="W26" s="30">
        <f t="shared" si="85"/>
        <v>0</v>
      </c>
      <c r="X26" s="30">
        <f t="shared" si="85"/>
        <v>0</v>
      </c>
      <c r="Y26" s="30">
        <f t="shared" si="85"/>
        <v>0</v>
      </c>
      <c r="Z26" s="30">
        <f t="shared" si="85"/>
        <v>0</v>
      </c>
      <c r="AA26" s="30">
        <f t="shared" si="85"/>
        <v>0</v>
      </c>
      <c r="AB26" s="30">
        <f t="shared" si="85"/>
        <v>0</v>
      </c>
      <c r="AC26" s="30">
        <f t="shared" si="85"/>
        <v>0</v>
      </c>
      <c r="AD26" s="30">
        <f t="shared" si="85"/>
        <v>0</v>
      </c>
      <c r="AE26" s="30">
        <f t="shared" si="85"/>
        <v>0</v>
      </c>
      <c r="AF26" s="30">
        <f t="shared" si="85"/>
        <v>0</v>
      </c>
      <c r="AG26" s="30">
        <f t="shared" si="85"/>
        <v>0</v>
      </c>
      <c r="AH26" s="30">
        <f t="shared" si="85"/>
        <v>12982715.59940663</v>
      </c>
      <c r="AI26" s="30">
        <f t="shared" si="85"/>
        <v>12982715.59940663</v>
      </c>
      <c r="AJ26" s="30">
        <f t="shared" si="85"/>
        <v>12982715.59940663</v>
      </c>
      <c r="AK26" s="30">
        <f t="shared" si="85"/>
        <v>17040761.015814781</v>
      </c>
      <c r="AL26" s="30">
        <f t="shared" si="85"/>
        <v>17040761.015814781</v>
      </c>
      <c r="AM26" s="30">
        <f t="shared" si="85"/>
        <v>17040761.015814781</v>
      </c>
      <c r="AN26" s="30">
        <f t="shared" si="85"/>
        <v>20862643.083062936</v>
      </c>
      <c r="AO26" s="30">
        <f t="shared" si="85"/>
        <v>20862643.083062936</v>
      </c>
      <c r="AP26" s="30">
        <f t="shared" si="85"/>
        <v>20862643.083062936</v>
      </c>
      <c r="AQ26" s="30">
        <f t="shared" si="85"/>
        <v>24567594.035097666</v>
      </c>
      <c r="AR26" s="30">
        <f t="shared" si="85"/>
        <v>24567594.035097666</v>
      </c>
      <c r="AS26" s="30">
        <f t="shared" si="85"/>
        <v>24567594.035097666</v>
      </c>
      <c r="AT26" s="30">
        <f t="shared" si="85"/>
        <v>28067694.919702444</v>
      </c>
      <c r="AU26" s="30">
        <f t="shared" si="85"/>
        <v>28067694.919702444</v>
      </c>
      <c r="AV26" s="30">
        <f t="shared" si="85"/>
        <v>28067694.919702444</v>
      </c>
      <c r="AW26" s="30">
        <f t="shared" si="85"/>
        <v>31321949.638730071</v>
      </c>
      <c r="AX26" s="30">
        <f t="shared" si="85"/>
        <v>31321949.638730071</v>
      </c>
      <c r="AY26" s="30">
        <f t="shared" si="85"/>
        <v>31321949.638730071</v>
      </c>
      <c r="AZ26" s="30">
        <f t="shared" si="85"/>
        <v>34328779.105969571</v>
      </c>
      <c r="BA26" s="30">
        <f t="shared" si="85"/>
        <v>34328779.105969571</v>
      </c>
      <c r="BB26" s="30">
        <f t="shared" si="85"/>
        <v>34328779.105969571</v>
      </c>
      <c r="BC26" s="30">
        <f t="shared" si="85"/>
        <v>37179736.055995233</v>
      </c>
      <c r="BD26" s="30">
        <f t="shared" si="85"/>
        <v>37179736.055995233</v>
      </c>
      <c r="BE26" s="30">
        <f t="shared" si="85"/>
        <v>37179736.055995233</v>
      </c>
      <c r="BF26" s="30">
        <f t="shared" si="85"/>
        <v>39775493.83665204</v>
      </c>
      <c r="BG26" s="30">
        <f t="shared" si="85"/>
        <v>39775493.83665204</v>
      </c>
      <c r="BH26" s="30">
        <f t="shared" si="85"/>
        <v>39775493.83665204</v>
      </c>
      <c r="BI26" s="30">
        <f t="shared" si="85"/>
        <v>42140590.242547899</v>
      </c>
      <c r="BJ26" s="30">
        <f t="shared" si="85"/>
        <v>42140590.242547899</v>
      </c>
      <c r="BK26" s="30">
        <f t="shared" si="85"/>
        <v>42140590.242547899</v>
      </c>
      <c r="BL26" s="30">
        <f t="shared" si="85"/>
        <v>44269194.666709676</v>
      </c>
      <c r="BM26" s="30">
        <f t="shared" si="85"/>
        <v>44269194.666709676</v>
      </c>
      <c r="BN26" s="30">
        <f t="shared" si="85"/>
        <v>44269194.666709676</v>
      </c>
      <c r="BO26" s="30">
        <f t="shared" si="85"/>
        <v>46155329.117376879</v>
      </c>
      <c r="BP26" s="30">
        <f t="shared" si="85"/>
        <v>46155329.117376879</v>
      </c>
      <c r="BQ26" s="30">
        <f t="shared" ref="BQ26:CG26" si="86">BP26+BQ25</f>
        <v>46155329.117376879</v>
      </c>
      <c r="BR26" s="30">
        <f t="shared" si="86"/>
        <v>47792864.492441721</v>
      </c>
      <c r="BS26" s="30">
        <f t="shared" si="86"/>
        <v>47792864.492441721</v>
      </c>
      <c r="BT26" s="30">
        <f t="shared" si="86"/>
        <v>47792864.492441721</v>
      </c>
      <c r="BU26" s="30">
        <f t="shared" si="86"/>
        <v>49175516.759715371</v>
      </c>
      <c r="BV26" s="30">
        <f t="shared" si="86"/>
        <v>49175516.759715371</v>
      </c>
      <c r="BW26" s="30">
        <f t="shared" si="86"/>
        <v>49175516.759715371</v>
      </c>
      <c r="BX26" s="30">
        <f t="shared" si="86"/>
        <v>50296843.040639773</v>
      </c>
      <c r="BY26" s="30">
        <f t="shared" si="86"/>
        <v>50296843.040639773</v>
      </c>
      <c r="BZ26" s="30">
        <f t="shared" si="86"/>
        <v>50296843.040639773</v>
      </c>
      <c r="CA26" s="30">
        <f t="shared" si="86"/>
        <v>51178371.481412053</v>
      </c>
      <c r="CB26" s="30">
        <f t="shared" si="86"/>
        <v>51178371.481412053</v>
      </c>
      <c r="CC26" s="30">
        <f t="shared" si="86"/>
        <v>51178371.481412053</v>
      </c>
      <c r="CD26" s="30">
        <f t="shared" si="86"/>
        <v>51764139.799639262</v>
      </c>
      <c r="CE26" s="30">
        <f t="shared" si="86"/>
        <v>51764139.799639262</v>
      </c>
      <c r="CF26" s="30">
        <f t="shared" si="86"/>
        <v>51764139.799639262</v>
      </c>
      <c r="CG26" s="30">
        <f t="shared" si="86"/>
        <v>52062071.629201293</v>
      </c>
    </row>
    <row r="27" spans="1:85">
      <c r="A27" s="37" t="s">
        <v>33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  <c r="CD27" s="30">
        <v>0</v>
      </c>
      <c r="CE27" s="30">
        <v>0</v>
      </c>
      <c r="CF27" s="30">
        <v>0</v>
      </c>
      <c r="CG27" s="30">
        <v>0</v>
      </c>
    </row>
    <row r="28" spans="1:85">
      <c r="A28" s="35" t="s">
        <v>34</v>
      </c>
      <c r="B28" s="30">
        <f>B27</f>
        <v>0</v>
      </c>
      <c r="C28" s="30">
        <f t="shared" ref="C28:D28" si="87">B28+C27</f>
        <v>0</v>
      </c>
      <c r="D28" s="30">
        <f t="shared" si="87"/>
        <v>0</v>
      </c>
      <c r="E28" s="30">
        <f t="shared" ref="E28" si="88">D28+E27</f>
        <v>0</v>
      </c>
      <c r="F28" s="30">
        <f t="shared" ref="F28" si="89">E28+F27</f>
        <v>0</v>
      </c>
      <c r="G28" s="30">
        <f t="shared" ref="G28" si="90">F28+G27</f>
        <v>0</v>
      </c>
      <c r="H28" s="30">
        <f t="shared" ref="H28" si="91">G28+H27</f>
        <v>0</v>
      </c>
      <c r="I28" s="30">
        <f t="shared" ref="I28" si="92">H28+I27</f>
        <v>0</v>
      </c>
      <c r="J28" s="30">
        <f t="shared" ref="J28" si="93">I28+J27</f>
        <v>0</v>
      </c>
      <c r="K28" s="30">
        <f t="shared" ref="K28" si="94">J28+K27</f>
        <v>0</v>
      </c>
      <c r="L28" s="30">
        <f t="shared" ref="L28" si="95">K28+L27</f>
        <v>0</v>
      </c>
      <c r="M28" s="30">
        <f t="shared" ref="M28" si="96">L28+M27</f>
        <v>0</v>
      </c>
      <c r="N28" s="30">
        <f t="shared" ref="N28" si="97">M28+N27</f>
        <v>0</v>
      </c>
      <c r="O28" s="30">
        <f t="shared" ref="O28" si="98">N28+O27</f>
        <v>0</v>
      </c>
      <c r="P28" s="30">
        <f t="shared" ref="P28" si="99">O28+P27</f>
        <v>0</v>
      </c>
      <c r="Q28" s="30">
        <f t="shared" ref="Q28" si="100">P28+Q27</f>
        <v>0</v>
      </c>
      <c r="R28" s="30">
        <f t="shared" ref="R28" si="101">Q28+R27</f>
        <v>0</v>
      </c>
      <c r="S28" s="30">
        <f t="shared" ref="S28" si="102">R28+S27</f>
        <v>0</v>
      </c>
      <c r="T28" s="30">
        <f t="shared" ref="T28" si="103">S28+T27</f>
        <v>0</v>
      </c>
      <c r="U28" s="30">
        <f t="shared" ref="U28" si="104">T28+U27</f>
        <v>0</v>
      </c>
      <c r="V28" s="30">
        <f t="shared" ref="V28" si="105">U28+V27</f>
        <v>0</v>
      </c>
      <c r="W28" s="30">
        <f t="shared" ref="W28" si="106">V28+W27</f>
        <v>0</v>
      </c>
      <c r="X28" s="30">
        <f t="shared" ref="X28" si="107">W28+X27</f>
        <v>0</v>
      </c>
      <c r="Y28" s="30">
        <f t="shared" ref="Y28" si="108">X28+Y27</f>
        <v>0</v>
      </c>
      <c r="Z28" s="30">
        <f t="shared" ref="Z28" si="109">Y28+Z27</f>
        <v>0</v>
      </c>
      <c r="AA28" s="30">
        <f t="shared" ref="AA28" si="110">Z28+AA27</f>
        <v>0</v>
      </c>
      <c r="AB28" s="30">
        <f t="shared" ref="AB28" si="111">AA28+AB27</f>
        <v>0</v>
      </c>
      <c r="AC28" s="30">
        <f t="shared" ref="AC28" si="112">AB28+AC27</f>
        <v>0</v>
      </c>
      <c r="AD28" s="30">
        <f t="shared" ref="AD28" si="113">AC28+AD27</f>
        <v>0</v>
      </c>
      <c r="AE28" s="30">
        <f t="shared" ref="AE28" si="114">AD28+AE27</f>
        <v>0</v>
      </c>
      <c r="AF28" s="30">
        <f t="shared" ref="AF28" si="115">AE28+AF27</f>
        <v>0</v>
      </c>
      <c r="AG28" s="30">
        <f t="shared" ref="AG28" si="116">AF28+AG27</f>
        <v>0</v>
      </c>
      <c r="AH28" s="30">
        <f t="shared" ref="AH28" si="117">AG28+AH27</f>
        <v>0</v>
      </c>
      <c r="AI28" s="30">
        <f t="shared" ref="AI28" si="118">AH28+AI27</f>
        <v>0</v>
      </c>
      <c r="AJ28" s="30">
        <f t="shared" ref="AJ28" si="119">AI28+AJ27</f>
        <v>0</v>
      </c>
      <c r="AK28" s="30">
        <f t="shared" ref="AK28" si="120">AJ28+AK27</f>
        <v>0</v>
      </c>
      <c r="AL28" s="30">
        <f t="shared" ref="AL28" si="121">AK28+AL27</f>
        <v>0</v>
      </c>
      <c r="AM28" s="30">
        <f t="shared" ref="AM28" si="122">AL28+AM27</f>
        <v>0</v>
      </c>
      <c r="AN28" s="30">
        <f t="shared" ref="AN28" si="123">AM28+AN27</f>
        <v>0</v>
      </c>
      <c r="AO28" s="30">
        <f t="shared" ref="AO28" si="124">AN28+AO27</f>
        <v>0</v>
      </c>
      <c r="AP28" s="30">
        <f t="shared" ref="AP28" si="125">AO28+AP27</f>
        <v>0</v>
      </c>
      <c r="AQ28" s="30">
        <f t="shared" ref="AQ28" si="126">AP28+AQ27</f>
        <v>0</v>
      </c>
      <c r="AR28" s="30">
        <f t="shared" ref="AR28" si="127">AQ28+AR27</f>
        <v>0</v>
      </c>
      <c r="AS28" s="30">
        <f t="shared" ref="AS28" si="128">AR28+AS27</f>
        <v>0</v>
      </c>
      <c r="AT28" s="30">
        <f t="shared" ref="AT28" si="129">AS28+AT27</f>
        <v>0</v>
      </c>
      <c r="AU28" s="30">
        <f t="shared" ref="AU28" si="130">AT28+AU27</f>
        <v>0</v>
      </c>
      <c r="AV28" s="30">
        <f t="shared" ref="AV28" si="131">AU28+AV27</f>
        <v>0</v>
      </c>
      <c r="AW28" s="30">
        <f t="shared" ref="AW28" si="132">AV28+AW27</f>
        <v>0</v>
      </c>
      <c r="AX28" s="30">
        <f t="shared" ref="AX28" si="133">AW28+AX27</f>
        <v>0</v>
      </c>
      <c r="AY28" s="30">
        <f t="shared" ref="AY28" si="134">AX28+AY27</f>
        <v>0</v>
      </c>
      <c r="AZ28" s="30">
        <f t="shared" ref="AZ28" si="135">AY28+AZ27</f>
        <v>0</v>
      </c>
      <c r="BA28" s="30">
        <f t="shared" ref="BA28" si="136">AZ28+BA27</f>
        <v>0</v>
      </c>
      <c r="BB28" s="30">
        <f t="shared" ref="BB28" si="137">BA28+BB27</f>
        <v>0</v>
      </c>
      <c r="BC28" s="30">
        <f t="shared" ref="BC28" si="138">BB28+BC27</f>
        <v>0</v>
      </c>
      <c r="BD28" s="30">
        <f t="shared" ref="BD28" si="139">BC28+BD27</f>
        <v>0</v>
      </c>
      <c r="BE28" s="30">
        <f t="shared" ref="BE28" si="140">BD28+BE27</f>
        <v>0</v>
      </c>
      <c r="BF28" s="30">
        <f t="shared" ref="BF28" si="141">BE28+BF27</f>
        <v>0</v>
      </c>
      <c r="BG28" s="30">
        <f t="shared" ref="BG28" si="142">BF28+BG27</f>
        <v>0</v>
      </c>
      <c r="BH28" s="30">
        <f t="shared" ref="BH28" si="143">BG28+BH27</f>
        <v>0</v>
      </c>
      <c r="BI28" s="30">
        <f t="shared" ref="BI28" si="144">BH28+BI27</f>
        <v>0</v>
      </c>
      <c r="BJ28" s="30">
        <f t="shared" ref="BJ28" si="145">BI28+BJ27</f>
        <v>0</v>
      </c>
      <c r="BK28" s="30">
        <f t="shared" ref="BK28" si="146">BJ28+BK27</f>
        <v>0</v>
      </c>
      <c r="BL28" s="30">
        <f t="shared" ref="BL28" si="147">BK28+BL27</f>
        <v>0</v>
      </c>
      <c r="BM28" s="30">
        <f t="shared" ref="BM28" si="148">BL28+BM27</f>
        <v>0</v>
      </c>
      <c r="BN28" s="30">
        <f t="shared" ref="BN28" si="149">BM28+BN27</f>
        <v>0</v>
      </c>
      <c r="BO28" s="30">
        <f t="shared" ref="BO28" si="150">BN28+BO27</f>
        <v>0</v>
      </c>
      <c r="BP28" s="30">
        <f t="shared" ref="BP28" si="151">BO28+BP27</f>
        <v>0</v>
      </c>
      <c r="BQ28" s="30">
        <f t="shared" ref="BQ28" si="152">BP28+BQ27</f>
        <v>0</v>
      </c>
      <c r="BR28" s="30">
        <f t="shared" ref="BR28" si="153">BQ28+BR27</f>
        <v>0</v>
      </c>
      <c r="BS28" s="30">
        <f t="shared" ref="BS28" si="154">BR28+BS27</f>
        <v>0</v>
      </c>
      <c r="BT28" s="30">
        <f t="shared" ref="BT28" si="155">BS28+BT27</f>
        <v>0</v>
      </c>
      <c r="BU28" s="30">
        <f t="shared" ref="BU28" si="156">BT28+BU27</f>
        <v>0</v>
      </c>
      <c r="BV28" s="30">
        <f t="shared" ref="BV28" si="157">BU28+BV27</f>
        <v>0</v>
      </c>
      <c r="BW28" s="30">
        <f t="shared" ref="BW28" si="158">BV28+BW27</f>
        <v>0</v>
      </c>
      <c r="BX28" s="30">
        <f t="shared" ref="BX28" si="159">BW28+BX27</f>
        <v>0</v>
      </c>
      <c r="BY28" s="30">
        <f t="shared" ref="BY28" si="160">BX28+BY27</f>
        <v>0</v>
      </c>
      <c r="BZ28" s="30">
        <f t="shared" ref="BZ28" si="161">BY28+BZ27</f>
        <v>0</v>
      </c>
      <c r="CA28" s="30">
        <f t="shared" ref="CA28" si="162">BZ28+CA27</f>
        <v>0</v>
      </c>
      <c r="CB28" s="30">
        <f t="shared" ref="CB28" si="163">CA28+CB27</f>
        <v>0</v>
      </c>
      <c r="CC28" s="30">
        <f t="shared" ref="CC28" si="164">CB28+CC27</f>
        <v>0</v>
      </c>
      <c r="CD28" s="30">
        <f t="shared" ref="CD28" si="165">CC28+CD27</f>
        <v>0</v>
      </c>
      <c r="CE28" s="30">
        <f t="shared" ref="CE28" si="166">CD28+CE27</f>
        <v>0</v>
      </c>
      <c r="CF28" s="30">
        <f t="shared" ref="CF28" si="167">CE28+CF27</f>
        <v>0</v>
      </c>
      <c r="CG28" s="30">
        <f t="shared" ref="CG28" si="168">CF28+CG27</f>
        <v>0</v>
      </c>
    </row>
    <row r="29" spans="1:85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</row>
    <row r="30" spans="1:85" s="83" customFormat="1">
      <c r="A30" s="107" t="s">
        <v>35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</row>
    <row r="31" spans="1:85">
      <c r="A31" s="107" t="s">
        <v>36</v>
      </c>
      <c r="B31" s="102"/>
      <c r="C31" s="102"/>
      <c r="D31" s="102"/>
      <c r="E31" s="102"/>
      <c r="F31" s="102"/>
      <c r="G31" s="102"/>
      <c r="H31" s="102"/>
      <c r="I31" s="30"/>
      <c r="J31" s="102"/>
      <c r="K31" s="102"/>
      <c r="L31" s="30"/>
      <c r="M31" s="102"/>
      <c r="N31" s="102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</row>
    <row r="32" spans="1:85">
      <c r="A32" s="122" t="s">
        <v>20</v>
      </c>
      <c r="B32" s="102"/>
      <c r="C32" s="102"/>
      <c r="D32" s="102"/>
      <c r="E32" s="102"/>
      <c r="F32" s="102"/>
      <c r="G32" s="102"/>
      <c r="H32" s="102"/>
      <c r="I32" s="30"/>
      <c r="J32" s="102"/>
      <c r="K32" s="102"/>
      <c r="L32" s="30"/>
      <c r="M32" s="102"/>
      <c r="N32" s="102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</row>
    <row r="33" spans="1:85">
      <c r="A33" s="122" t="s">
        <v>14</v>
      </c>
      <c r="B33" s="102"/>
      <c r="C33" s="102"/>
      <c r="D33" s="102"/>
      <c r="E33" s="102"/>
      <c r="F33" s="102"/>
      <c r="G33" s="102"/>
      <c r="H33" s="102"/>
      <c r="I33" s="30"/>
      <c r="J33" s="102"/>
      <c r="K33" s="102"/>
      <c r="L33" s="30"/>
      <c r="M33" s="102"/>
      <c r="N33" s="102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</row>
    <row r="34" spans="1:85">
      <c r="A34" s="122" t="s">
        <v>37</v>
      </c>
      <c r="B34" s="102"/>
      <c r="C34" s="102"/>
      <c r="D34" s="102"/>
      <c r="E34" s="102"/>
      <c r="F34" s="102"/>
      <c r="G34" s="102"/>
      <c r="H34" s="102"/>
      <c r="I34" s="30"/>
      <c r="J34" s="102"/>
      <c r="K34" s="102"/>
      <c r="L34" s="30"/>
      <c r="M34" s="102"/>
      <c r="N34" s="102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</row>
    <row r="35" spans="1:85">
      <c r="A35" s="39" t="s">
        <v>38</v>
      </c>
      <c r="B35" s="102">
        <f>SUM(B32:B34)</f>
        <v>0</v>
      </c>
      <c r="C35" s="102">
        <f t="shared" ref="C35" si="169">SUM(C32:C34)</f>
        <v>0</v>
      </c>
      <c r="D35" s="102">
        <f t="shared" ref="D35:F35" si="170">SUM(D32:D34)</f>
        <v>0</v>
      </c>
      <c r="E35" s="102">
        <f t="shared" si="170"/>
        <v>0</v>
      </c>
      <c r="F35" s="102">
        <f t="shared" si="170"/>
        <v>0</v>
      </c>
      <c r="G35" s="102">
        <f t="shared" ref="G35:BN35" si="171">SUM(G32:G34)</f>
        <v>0</v>
      </c>
      <c r="H35" s="102">
        <f t="shared" si="171"/>
        <v>0</v>
      </c>
      <c r="I35" s="30">
        <f t="shared" si="171"/>
        <v>0</v>
      </c>
      <c r="J35" s="30">
        <f t="shared" si="171"/>
        <v>0</v>
      </c>
      <c r="K35" s="102">
        <f t="shared" si="171"/>
        <v>0</v>
      </c>
      <c r="L35" s="30">
        <f t="shared" si="171"/>
        <v>0</v>
      </c>
      <c r="M35" s="30">
        <f>SUM(M32:M34)</f>
        <v>0</v>
      </c>
      <c r="N35" s="102">
        <f t="shared" si="171"/>
        <v>0</v>
      </c>
      <c r="O35" s="30">
        <f t="shared" si="171"/>
        <v>0</v>
      </c>
      <c r="P35" s="30">
        <f t="shared" si="171"/>
        <v>0</v>
      </c>
      <c r="Q35" s="30">
        <f t="shared" si="171"/>
        <v>0</v>
      </c>
      <c r="R35" s="30">
        <f t="shared" si="171"/>
        <v>0</v>
      </c>
      <c r="S35" s="30">
        <f t="shared" si="171"/>
        <v>0</v>
      </c>
      <c r="T35" s="30">
        <f t="shared" si="171"/>
        <v>0</v>
      </c>
      <c r="U35" s="30">
        <f t="shared" si="171"/>
        <v>0</v>
      </c>
      <c r="V35" s="30">
        <f t="shared" si="171"/>
        <v>0</v>
      </c>
      <c r="W35" s="30">
        <f t="shared" si="171"/>
        <v>0</v>
      </c>
      <c r="X35" s="30">
        <f t="shared" si="171"/>
        <v>0</v>
      </c>
      <c r="Y35" s="30">
        <f t="shared" si="171"/>
        <v>0</v>
      </c>
      <c r="Z35" s="30">
        <f t="shared" si="171"/>
        <v>0</v>
      </c>
      <c r="AA35" s="30">
        <f t="shared" si="171"/>
        <v>0</v>
      </c>
      <c r="AB35" s="30">
        <f t="shared" si="171"/>
        <v>0</v>
      </c>
      <c r="AC35" s="30">
        <f t="shared" si="171"/>
        <v>0</v>
      </c>
      <c r="AD35" s="30">
        <f t="shared" si="171"/>
        <v>0</v>
      </c>
      <c r="AE35" s="30">
        <f t="shared" si="171"/>
        <v>0</v>
      </c>
      <c r="AF35" s="30">
        <f t="shared" si="171"/>
        <v>0</v>
      </c>
      <c r="AG35" s="30">
        <f t="shared" si="171"/>
        <v>0</v>
      </c>
      <c r="AH35" s="30">
        <f t="shared" si="171"/>
        <v>0</v>
      </c>
      <c r="AI35" s="30">
        <f t="shared" si="171"/>
        <v>0</v>
      </c>
      <c r="AJ35" s="30">
        <f t="shared" si="171"/>
        <v>0</v>
      </c>
      <c r="AK35" s="30">
        <f t="shared" si="171"/>
        <v>0</v>
      </c>
      <c r="AL35" s="30">
        <f t="shared" si="171"/>
        <v>0</v>
      </c>
      <c r="AM35" s="30">
        <f t="shared" si="171"/>
        <v>0</v>
      </c>
      <c r="AN35" s="30">
        <f t="shared" si="171"/>
        <v>0</v>
      </c>
      <c r="AO35" s="30">
        <f t="shared" si="171"/>
        <v>0</v>
      </c>
      <c r="AP35" s="30">
        <f t="shared" si="171"/>
        <v>0</v>
      </c>
      <c r="AQ35" s="30">
        <f t="shared" si="171"/>
        <v>0</v>
      </c>
      <c r="AR35" s="30">
        <f t="shared" si="171"/>
        <v>0</v>
      </c>
      <c r="AS35" s="30">
        <f t="shared" si="171"/>
        <v>0</v>
      </c>
      <c r="AT35" s="30">
        <f t="shared" si="171"/>
        <v>0</v>
      </c>
      <c r="AU35" s="30">
        <f t="shared" si="171"/>
        <v>0</v>
      </c>
      <c r="AV35" s="30">
        <f t="shared" si="171"/>
        <v>0</v>
      </c>
      <c r="AW35" s="30">
        <f t="shared" si="171"/>
        <v>0</v>
      </c>
      <c r="AX35" s="30">
        <f t="shared" si="171"/>
        <v>0</v>
      </c>
      <c r="AY35" s="30">
        <f t="shared" si="171"/>
        <v>0</v>
      </c>
      <c r="AZ35" s="30">
        <f t="shared" si="171"/>
        <v>0</v>
      </c>
      <c r="BA35" s="30">
        <f t="shared" si="171"/>
        <v>0</v>
      </c>
      <c r="BB35" s="30">
        <f t="shared" si="171"/>
        <v>0</v>
      </c>
      <c r="BC35" s="30">
        <f t="shared" si="171"/>
        <v>0</v>
      </c>
      <c r="BD35" s="30">
        <f t="shared" si="171"/>
        <v>0</v>
      </c>
      <c r="BE35" s="30">
        <f t="shared" si="171"/>
        <v>0</v>
      </c>
      <c r="BF35" s="30">
        <f t="shared" si="171"/>
        <v>0</v>
      </c>
      <c r="BG35" s="30">
        <f t="shared" si="171"/>
        <v>0</v>
      </c>
      <c r="BH35" s="30">
        <f t="shared" si="171"/>
        <v>0</v>
      </c>
      <c r="BI35" s="30">
        <f t="shared" si="171"/>
        <v>0</v>
      </c>
      <c r="BJ35" s="30">
        <f t="shared" si="171"/>
        <v>0</v>
      </c>
      <c r="BK35" s="30">
        <f t="shared" si="171"/>
        <v>0</v>
      </c>
      <c r="BL35" s="30">
        <f t="shared" si="171"/>
        <v>0</v>
      </c>
      <c r="BM35" s="30">
        <f t="shared" si="171"/>
        <v>0</v>
      </c>
      <c r="BN35" s="30">
        <f t="shared" si="171"/>
        <v>0</v>
      </c>
      <c r="BO35" s="30">
        <f t="shared" ref="BO35:CG35" si="172">SUM(BO32:BO34)</f>
        <v>0</v>
      </c>
      <c r="BP35" s="30">
        <f t="shared" si="172"/>
        <v>0</v>
      </c>
      <c r="BQ35" s="30">
        <f t="shared" si="172"/>
        <v>0</v>
      </c>
      <c r="BR35" s="30">
        <f t="shared" si="172"/>
        <v>0</v>
      </c>
      <c r="BS35" s="30">
        <f t="shared" si="172"/>
        <v>0</v>
      </c>
      <c r="BT35" s="30">
        <f t="shared" si="172"/>
        <v>0</v>
      </c>
      <c r="BU35" s="30">
        <f t="shared" si="172"/>
        <v>0</v>
      </c>
      <c r="BV35" s="30">
        <f t="shared" si="172"/>
        <v>0</v>
      </c>
      <c r="BW35" s="30">
        <f t="shared" si="172"/>
        <v>0</v>
      </c>
      <c r="BX35" s="30">
        <f t="shared" si="172"/>
        <v>0</v>
      </c>
      <c r="BY35" s="30">
        <f t="shared" si="172"/>
        <v>0</v>
      </c>
      <c r="BZ35" s="30">
        <f t="shared" si="172"/>
        <v>0</v>
      </c>
      <c r="CA35" s="30">
        <f t="shared" si="172"/>
        <v>0</v>
      </c>
      <c r="CB35" s="30">
        <f t="shared" si="172"/>
        <v>0</v>
      </c>
      <c r="CC35" s="30">
        <f t="shared" si="172"/>
        <v>0</v>
      </c>
      <c r="CD35" s="30">
        <f t="shared" si="172"/>
        <v>0</v>
      </c>
      <c r="CE35" s="30">
        <f t="shared" si="172"/>
        <v>0</v>
      </c>
      <c r="CF35" s="30">
        <f t="shared" si="172"/>
        <v>0</v>
      </c>
      <c r="CG35" s="30">
        <f t="shared" si="172"/>
        <v>0</v>
      </c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A54"/>
  <sheetViews>
    <sheetView showGridLines="0" workbookViewId="0">
      <selection activeCell="D27" sqref="D27"/>
    </sheetView>
  </sheetViews>
  <sheetFormatPr defaultColWidth="8" defaultRowHeight="13.15"/>
  <cols>
    <col min="1" max="1" width="29" style="3" bestFit="1" customWidth="1"/>
    <col min="2" max="2" width="12.28515625" style="3" bestFit="1" customWidth="1"/>
    <col min="3" max="3" width="12.42578125" style="3" customWidth="1"/>
    <col min="4" max="6" width="12.28515625" style="3" bestFit="1" customWidth="1"/>
    <col min="7" max="7" width="13.28515625" style="3" customWidth="1"/>
    <col min="8" max="9" width="12.28515625" style="3" bestFit="1" customWidth="1"/>
    <col min="10" max="10" width="12.28515625" style="3" customWidth="1"/>
    <col min="11" max="22" width="12.28515625" style="3" bestFit="1" customWidth="1"/>
    <col min="23" max="34" width="10.85546875" style="3" bestFit="1" customWidth="1"/>
    <col min="35" max="86" width="12" style="3" bestFit="1" customWidth="1"/>
    <col min="87" max="16384" width="8" style="3"/>
  </cols>
  <sheetData>
    <row r="1" spans="1:7" s="11" customFormat="1" ht="13.9">
      <c r="A1" s="10" t="s">
        <v>39</v>
      </c>
      <c r="C1" s="10" t="str">
        <f>Disbursement!B1</f>
        <v>Imperial Hospital Limited (IHL)</v>
      </c>
    </row>
    <row r="2" spans="1:7" s="11" customFormat="1" ht="13.9">
      <c r="A2" s="10"/>
    </row>
    <row r="3" spans="1:7" s="12" customFormat="1">
      <c r="A3" s="12" t="s">
        <v>40</v>
      </c>
      <c r="B3" s="3"/>
      <c r="C3" s="67">
        <v>42831</v>
      </c>
      <c r="E3" s="120"/>
    </row>
    <row r="5" spans="1:7">
      <c r="A5" s="12" t="s">
        <v>41</v>
      </c>
      <c r="C5" s="68">
        <v>182760434.63</v>
      </c>
      <c r="D5" s="12"/>
      <c r="G5" s="121" t="s">
        <v>42</v>
      </c>
    </row>
    <row r="6" spans="1:7">
      <c r="A6" s="12"/>
    </row>
    <row r="7" spans="1:7">
      <c r="A7" s="12" t="s">
        <v>43</v>
      </c>
      <c r="C7" s="67" t="s">
        <v>44</v>
      </c>
    </row>
    <row r="8" spans="1:7">
      <c r="A8" s="12" t="s">
        <v>45</v>
      </c>
      <c r="C8" s="69">
        <v>0.1</v>
      </c>
    </row>
    <row r="9" spans="1:7">
      <c r="A9" s="12" t="s">
        <v>46</v>
      </c>
      <c r="C9" s="111">
        <v>84</v>
      </c>
      <c r="D9" s="3" t="s">
        <v>47</v>
      </c>
      <c r="E9" s="108">
        <f>EDATE(C16,C9)</f>
        <v>45675</v>
      </c>
    </row>
    <row r="10" spans="1:7">
      <c r="A10" s="12" t="s">
        <v>48</v>
      </c>
      <c r="C10" s="111">
        <v>24</v>
      </c>
      <c r="D10" s="3" t="s">
        <v>47</v>
      </c>
      <c r="E10" s="108">
        <f>EDATE(C16,C10)</f>
        <v>43848</v>
      </c>
    </row>
    <row r="11" spans="1:7">
      <c r="A11" s="12" t="s">
        <v>14</v>
      </c>
      <c r="C11" s="113" t="s">
        <v>49</v>
      </c>
    </row>
    <row r="12" spans="1:7">
      <c r="A12" s="56" t="s">
        <v>50</v>
      </c>
      <c r="C12" s="5">
        <v>360</v>
      </c>
      <c r="D12" s="50" t="s">
        <v>51</v>
      </c>
    </row>
    <row r="13" spans="1:7">
      <c r="A13" s="56" t="s">
        <v>52</v>
      </c>
      <c r="B13" s="50"/>
      <c r="C13" s="70">
        <v>20</v>
      </c>
    </row>
    <row r="14" spans="1:7">
      <c r="A14" s="56"/>
      <c r="B14" s="53"/>
      <c r="C14" s="55"/>
    </row>
    <row r="15" spans="1:7">
      <c r="A15" s="56" t="s">
        <v>53</v>
      </c>
      <c r="B15" s="53"/>
      <c r="C15" s="55"/>
      <c r="F15" s="108"/>
    </row>
    <row r="16" spans="1:7">
      <c r="A16" s="57"/>
      <c r="B16" s="58"/>
      <c r="C16" s="58">
        <f>Disbursement!B8</f>
        <v>43118</v>
      </c>
      <c r="D16" s="58"/>
      <c r="E16" s="58"/>
      <c r="F16" s="58"/>
      <c r="G16" s="108"/>
    </row>
    <row r="17" spans="1:131">
      <c r="A17" s="59"/>
      <c r="B17" s="60"/>
      <c r="C17" s="63">
        <f>Disbursement!C8</f>
        <v>150000000</v>
      </c>
      <c r="D17" s="63"/>
      <c r="E17" s="63"/>
      <c r="F17" s="63"/>
    </row>
    <row r="18" spans="1:131">
      <c r="A18" s="61"/>
      <c r="B18" s="62"/>
      <c r="C18" s="65">
        <f>C17</f>
        <v>150000000</v>
      </c>
      <c r="D18" s="65"/>
      <c r="E18" s="65"/>
      <c r="F18" s="65"/>
    </row>
    <row r="19" spans="1:131">
      <c r="A19" s="54"/>
      <c r="B19" s="53"/>
      <c r="C19" s="53"/>
    </row>
    <row r="20" spans="1:131">
      <c r="A20" s="12"/>
    </row>
    <row r="21" spans="1:131">
      <c r="A21" s="14" t="s">
        <v>54</v>
      </c>
      <c r="B21" s="103">
        <f>B27</f>
        <v>43189</v>
      </c>
      <c r="C21" s="103">
        <f t="shared" ref="C21:Z21" si="0">C27</f>
        <v>43281</v>
      </c>
      <c r="D21" s="103">
        <f t="shared" si="0"/>
        <v>43373</v>
      </c>
      <c r="E21" s="103">
        <f t="shared" si="0"/>
        <v>43464</v>
      </c>
      <c r="F21" s="103">
        <f t="shared" si="0"/>
        <v>43554</v>
      </c>
      <c r="G21" s="103">
        <f t="shared" si="0"/>
        <v>43646</v>
      </c>
      <c r="H21" s="103">
        <f t="shared" si="0"/>
        <v>43738</v>
      </c>
      <c r="I21" s="103">
        <f t="shared" si="0"/>
        <v>43829</v>
      </c>
      <c r="J21" s="103">
        <f t="shared" ref="J21" si="1">J27</f>
        <v>43837</v>
      </c>
      <c r="K21" s="103">
        <f t="shared" si="0"/>
        <v>43920</v>
      </c>
      <c r="L21" s="103">
        <f t="shared" si="0"/>
        <v>44012</v>
      </c>
      <c r="M21" s="103">
        <f t="shared" si="0"/>
        <v>44104</v>
      </c>
      <c r="N21" s="103">
        <f t="shared" si="0"/>
        <v>44195</v>
      </c>
      <c r="O21" s="103">
        <f t="shared" si="0"/>
        <v>44285</v>
      </c>
      <c r="P21" s="103">
        <f t="shared" si="0"/>
        <v>44377</v>
      </c>
      <c r="Q21" s="103">
        <f t="shared" si="0"/>
        <v>44469</v>
      </c>
      <c r="R21" s="103">
        <f t="shared" si="0"/>
        <v>44560</v>
      </c>
      <c r="S21" s="103">
        <f t="shared" si="0"/>
        <v>44650</v>
      </c>
      <c r="T21" s="103">
        <f t="shared" si="0"/>
        <v>44742</v>
      </c>
      <c r="U21" s="103">
        <f t="shared" si="0"/>
        <v>44833</v>
      </c>
      <c r="V21" s="103">
        <f t="shared" si="0"/>
        <v>44924</v>
      </c>
      <c r="W21" s="103">
        <f t="shared" si="0"/>
        <v>45015</v>
      </c>
      <c r="X21" s="103">
        <f t="shared" si="0"/>
        <v>45106</v>
      </c>
      <c r="Y21" s="103">
        <f t="shared" si="0"/>
        <v>45197</v>
      </c>
      <c r="Z21" s="103">
        <f t="shared" si="0"/>
        <v>45288</v>
      </c>
      <c r="AA21" s="103">
        <f t="shared" ref="AA21:AD21" si="2">AA27</f>
        <v>45379</v>
      </c>
      <c r="AB21" s="103">
        <f t="shared" si="2"/>
        <v>45473</v>
      </c>
      <c r="AC21" s="103">
        <f t="shared" si="2"/>
        <v>45565</v>
      </c>
      <c r="AD21" s="103">
        <f t="shared" si="2"/>
        <v>45656</v>
      </c>
      <c r="AE21" s="103"/>
      <c r="AF21" s="103"/>
      <c r="AG21" s="103"/>
      <c r="AH21" s="103"/>
    </row>
    <row r="22" spans="1:131" ht="13.5" customHeight="1" thickBot="1">
      <c r="A22" s="104" t="s">
        <v>55</v>
      </c>
      <c r="B22" s="105">
        <v>0.1</v>
      </c>
      <c r="C22" s="105">
        <v>0.1</v>
      </c>
      <c r="D22" s="105">
        <v>0.1</v>
      </c>
      <c r="E22" s="105">
        <v>0.1</v>
      </c>
      <c r="F22" s="105">
        <v>0.1</v>
      </c>
      <c r="G22" s="105">
        <v>0.1</v>
      </c>
      <c r="H22" s="105">
        <v>0.1</v>
      </c>
      <c r="I22" s="105">
        <v>0.1</v>
      </c>
      <c r="J22" s="105">
        <v>0.1</v>
      </c>
      <c r="K22" s="105">
        <v>0.1</v>
      </c>
      <c r="L22" s="105">
        <v>0.1</v>
      </c>
      <c r="M22" s="105">
        <v>0.1</v>
      </c>
      <c r="N22" s="105">
        <v>0.1</v>
      </c>
      <c r="O22" s="105">
        <v>0.1</v>
      </c>
      <c r="P22" s="105">
        <v>0.1</v>
      </c>
      <c r="Q22" s="105">
        <v>0.1</v>
      </c>
      <c r="R22" s="105">
        <v>0.1</v>
      </c>
      <c r="S22" s="105">
        <v>0.1</v>
      </c>
      <c r="T22" s="105">
        <v>0.1</v>
      </c>
      <c r="U22" s="105">
        <v>0.1</v>
      </c>
      <c r="V22" s="105">
        <v>0.1</v>
      </c>
      <c r="W22" s="105">
        <v>0.1</v>
      </c>
      <c r="X22" s="105">
        <v>0.1</v>
      </c>
      <c r="Y22" s="105">
        <v>0.1</v>
      </c>
      <c r="Z22" s="105">
        <v>0.1</v>
      </c>
      <c r="AA22" s="105">
        <v>0.1</v>
      </c>
      <c r="AB22" s="105">
        <v>0.1</v>
      </c>
      <c r="AC22" s="105">
        <v>0.1</v>
      </c>
      <c r="AD22" s="105">
        <v>0.1</v>
      </c>
      <c r="AE22" s="105"/>
      <c r="AF22" s="105"/>
      <c r="AG22" s="105"/>
      <c r="AH22" s="105"/>
    </row>
    <row r="23" spans="1:131" ht="13.5" customHeight="1">
      <c r="A23" s="12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</row>
    <row r="24" spans="1:131">
      <c r="B24" s="50"/>
      <c r="C24" s="50"/>
      <c r="D24" s="4"/>
      <c r="E24" s="4"/>
      <c r="F24" s="1"/>
      <c r="G24" s="2"/>
      <c r="H24" s="2"/>
      <c r="I24" s="2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131">
      <c r="A25" s="12" t="s">
        <v>56</v>
      </c>
      <c r="B25" s="134" t="s">
        <v>57</v>
      </c>
      <c r="C25" s="135"/>
      <c r="D25" s="135"/>
      <c r="E25" s="135"/>
      <c r="F25" s="135"/>
      <c r="G25" s="135"/>
      <c r="H25" s="135"/>
      <c r="I25" s="135"/>
      <c r="J25" s="13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131">
      <c r="A26" s="14" t="s">
        <v>58</v>
      </c>
      <c r="B26" s="15"/>
      <c r="C26" s="15"/>
      <c r="D26" s="15"/>
      <c r="E26" s="15"/>
      <c r="F26" s="15"/>
      <c r="G26" s="15"/>
      <c r="H26" s="15"/>
      <c r="I26" s="15"/>
      <c r="J26" s="15"/>
      <c r="K26" s="15">
        <v>1</v>
      </c>
      <c r="L26" s="15">
        <f>K26+1</f>
        <v>2</v>
      </c>
      <c r="M26" s="15">
        <f t="shared" ref="M26:Z26" si="3">L26+1</f>
        <v>3</v>
      </c>
      <c r="N26" s="15">
        <f t="shared" si="3"/>
        <v>4</v>
      </c>
      <c r="O26" s="15">
        <f t="shared" si="3"/>
        <v>5</v>
      </c>
      <c r="P26" s="15">
        <f t="shared" si="3"/>
        <v>6</v>
      </c>
      <c r="Q26" s="15">
        <f t="shared" si="3"/>
        <v>7</v>
      </c>
      <c r="R26" s="15">
        <f t="shared" si="3"/>
        <v>8</v>
      </c>
      <c r="S26" s="15">
        <f t="shared" si="3"/>
        <v>9</v>
      </c>
      <c r="T26" s="15">
        <f t="shared" si="3"/>
        <v>10</v>
      </c>
      <c r="U26" s="15">
        <f t="shared" si="3"/>
        <v>11</v>
      </c>
      <c r="V26" s="15">
        <f t="shared" si="3"/>
        <v>12</v>
      </c>
      <c r="W26" s="15">
        <f t="shared" si="3"/>
        <v>13</v>
      </c>
      <c r="X26" s="15">
        <f t="shared" si="3"/>
        <v>14</v>
      </c>
      <c r="Y26" s="15">
        <f t="shared" si="3"/>
        <v>15</v>
      </c>
      <c r="Z26" s="15">
        <f t="shared" si="3"/>
        <v>16</v>
      </c>
      <c r="AA26" s="15">
        <f t="shared" ref="AA26:AD26" si="4">Z26+1</f>
        <v>17</v>
      </c>
      <c r="AB26" s="15">
        <f t="shared" si="4"/>
        <v>18</v>
      </c>
      <c r="AC26" s="15">
        <f t="shared" si="4"/>
        <v>19</v>
      </c>
      <c r="AD26" s="15">
        <f t="shared" si="4"/>
        <v>20</v>
      </c>
      <c r="AE26" s="15"/>
      <c r="AF26" s="15"/>
      <c r="AG26" s="15"/>
      <c r="AH26" s="15"/>
    </row>
    <row r="27" spans="1:131">
      <c r="A27" s="77" t="s">
        <v>59</v>
      </c>
      <c r="B27" s="103">
        <v>43189</v>
      </c>
      <c r="C27" s="103">
        <v>43281</v>
      </c>
      <c r="D27" s="103">
        <v>43373</v>
      </c>
      <c r="E27" s="103">
        <v>43464</v>
      </c>
      <c r="F27" s="103">
        <v>43554</v>
      </c>
      <c r="G27" s="103">
        <v>43646</v>
      </c>
      <c r="H27" s="103">
        <v>43738</v>
      </c>
      <c r="I27" s="103">
        <v>43829</v>
      </c>
      <c r="J27" s="103">
        <v>43837</v>
      </c>
      <c r="K27" s="103">
        <v>43920</v>
      </c>
      <c r="L27" s="103">
        <v>44012</v>
      </c>
      <c r="M27" s="103">
        <v>44104</v>
      </c>
      <c r="N27" s="103">
        <v>44195</v>
      </c>
      <c r="O27" s="103">
        <v>44285</v>
      </c>
      <c r="P27" s="103">
        <v>44377</v>
      </c>
      <c r="Q27" s="103">
        <v>44469</v>
      </c>
      <c r="R27" s="103">
        <v>44560</v>
      </c>
      <c r="S27" s="103">
        <v>44650</v>
      </c>
      <c r="T27" s="103">
        <v>44742</v>
      </c>
      <c r="U27" s="103">
        <v>44833</v>
      </c>
      <c r="V27" s="103">
        <v>44924</v>
      </c>
      <c r="W27" s="103">
        <v>45015</v>
      </c>
      <c r="X27" s="103">
        <v>45106</v>
      </c>
      <c r="Y27" s="103">
        <v>45197</v>
      </c>
      <c r="Z27" s="103">
        <v>45288</v>
      </c>
      <c r="AA27" s="103">
        <v>45379</v>
      </c>
      <c r="AB27" s="103">
        <v>45473</v>
      </c>
      <c r="AC27" s="103">
        <v>45565</v>
      </c>
      <c r="AD27" s="103">
        <v>45656</v>
      </c>
      <c r="AE27" s="76"/>
      <c r="AF27" s="76"/>
      <c r="AG27" s="76"/>
      <c r="AH27" s="76"/>
    </row>
    <row r="28" spans="1:131">
      <c r="A28" s="3" t="s">
        <v>60</v>
      </c>
      <c r="B28" s="9">
        <f>C17</f>
        <v>150000000</v>
      </c>
      <c r="C28" s="4">
        <f t="shared" ref="C28:L28" si="5">B34</f>
        <v>152958333.33333334</v>
      </c>
      <c r="D28" s="4">
        <f t="shared" si="5"/>
        <v>156867268.51851854</v>
      </c>
      <c r="E28" s="4">
        <f t="shared" si="5"/>
        <v>160876098.71399179</v>
      </c>
      <c r="F28" s="4">
        <f t="shared" si="5"/>
        <v>164942688.98703992</v>
      </c>
      <c r="G28" s="4">
        <f t="shared" si="5"/>
        <v>169066256.21171594</v>
      </c>
      <c r="H28" s="4">
        <f t="shared" si="5"/>
        <v>173386838.31490424</v>
      </c>
      <c r="I28" s="4">
        <f t="shared" si="5"/>
        <v>177817835.29406291</v>
      </c>
      <c r="J28" s="4">
        <f t="shared" si="5"/>
        <v>182312675.01955172</v>
      </c>
      <c r="K28" s="4">
        <f>J34</f>
        <v>182717814.29737294</v>
      </c>
      <c r="L28" s="4">
        <f t="shared" si="5"/>
        <v>175209651.86008033</v>
      </c>
      <c r="M28" s="4">
        <f t="shared" ref="M28:Z28" si="6">L34</f>
        <v>167966408.69624478</v>
      </c>
      <c r="N28" s="4">
        <f t="shared" si="6"/>
        <v>160538060.42933342</v>
      </c>
      <c r="O28" s="4">
        <f t="shared" si="6"/>
        <v>152875282.68992621</v>
      </c>
      <c r="P28" s="4">
        <f t="shared" si="6"/>
        <v>144976341.60135898</v>
      </c>
      <c r="Q28" s="4">
        <f t="shared" si="6"/>
        <v>136960469.39757833</v>
      </c>
      <c r="R28" s="4">
        <f t="shared" si="6"/>
        <v>128739747.12636773</v>
      </c>
      <c r="S28" s="4">
        <f t="shared" si="6"/>
        <v>120273178.68957998</v>
      </c>
      <c r="T28" s="4">
        <f t="shared" si="6"/>
        <v>111559185.0010041</v>
      </c>
      <c r="U28" s="4">
        <f t="shared" si="6"/>
        <v>102689318.79521438</v>
      </c>
      <c r="V28" s="4">
        <f t="shared" si="6"/>
        <v>93564253.420055807</v>
      </c>
      <c r="W28" s="4">
        <f t="shared" si="6"/>
        <v>84208526.670136288</v>
      </c>
      <c r="X28" s="4">
        <f t="shared" si="6"/>
        <v>74616307.938482687</v>
      </c>
      <c r="Y28" s="4">
        <f t="shared" si="6"/>
        <v>64781619.233334512</v>
      </c>
      <c r="Z28" s="4">
        <f t="shared" si="6"/>
        <v>54698331.452583976</v>
      </c>
      <c r="AA28" s="4">
        <f t="shared" ref="AA28" si="7">Z34</f>
        <v>44360160.564042248</v>
      </c>
      <c r="AB28" s="4">
        <f t="shared" ref="AB28" si="8">AA34</f>
        <v>33760663.689151272</v>
      </c>
      <c r="AC28" s="4">
        <f t="shared" ref="AC28" si="9">AB34</f>
        <v>22921368.974108178</v>
      </c>
      <c r="AD28" s="4">
        <f t="shared" ref="AD28" si="10">AC34</f>
        <v>11786314.136520009</v>
      </c>
      <c r="AE28" s="4"/>
      <c r="AF28" s="4"/>
      <c r="AG28" s="4"/>
      <c r="AH28" s="4"/>
    </row>
    <row r="29" spans="1:131" s="8" customFormat="1">
      <c r="A29" s="8" t="s">
        <v>61</v>
      </c>
      <c r="B29" s="128">
        <f>C18*(B27-C16)*$B$22/360</f>
        <v>2958333.3333333335</v>
      </c>
      <c r="C29" s="128">
        <f>B34*(C27-B27)*$B$22/360</f>
        <v>3908935.1851851861</v>
      </c>
      <c r="D29" s="128">
        <f>C34*(D27-C27)*$B$22/360</f>
        <v>4008830.1954732519</v>
      </c>
      <c r="E29" s="128">
        <f>D34*(E27-D27)*$B$22/360</f>
        <v>4066590.2730481261</v>
      </c>
      <c r="F29" s="128">
        <f>E34*(F27-E27)*$B$22/360</f>
        <v>4123567.2246759986</v>
      </c>
      <c r="G29" s="128">
        <f>F34*(G27-F27)*$B$22/360</f>
        <v>4320582.1031882968</v>
      </c>
      <c r="H29" s="128">
        <f t="shared" ref="H29:J29" si="11">G34*(H27-G27)*$B$22/360</f>
        <v>4430996.9791586641</v>
      </c>
      <c r="I29" s="128">
        <f t="shared" si="11"/>
        <v>4494839.7254888127</v>
      </c>
      <c r="J29" s="128">
        <f t="shared" si="11"/>
        <v>405139.2778212261</v>
      </c>
      <c r="K29" s="8">
        <f>K28*(K27-J27)*K22/360</f>
        <v>4212660.7185227657</v>
      </c>
      <c r="L29" s="8">
        <f t="shared" ref="L29:Z29" si="12">L28*(L27-K27)*L22/360</f>
        <v>4477579.9919798309</v>
      </c>
      <c r="M29" s="8">
        <f t="shared" si="12"/>
        <v>4292474.8889040342</v>
      </c>
      <c r="N29" s="8">
        <f t="shared" si="12"/>
        <v>4058045.4164081509</v>
      </c>
      <c r="O29" s="8">
        <f t="shared" si="12"/>
        <v>3821882.0672481558</v>
      </c>
      <c r="P29" s="8">
        <f t="shared" si="12"/>
        <v>3704950.9520347295</v>
      </c>
      <c r="Q29" s="8">
        <f t="shared" si="12"/>
        <v>3500100.8846047791</v>
      </c>
      <c r="R29" s="8">
        <f t="shared" si="12"/>
        <v>3254254.7190276291</v>
      </c>
      <c r="S29" s="8">
        <f t="shared" si="12"/>
        <v>3006829.4672394996</v>
      </c>
      <c r="T29" s="8">
        <f t="shared" si="12"/>
        <v>2850956.9500256605</v>
      </c>
      <c r="U29" s="8">
        <f t="shared" si="12"/>
        <v>2595757.7806568081</v>
      </c>
      <c r="V29" s="8">
        <f t="shared" si="12"/>
        <v>2365096.4058958553</v>
      </c>
      <c r="W29" s="8">
        <f t="shared" si="12"/>
        <v>2128604.4241617788</v>
      </c>
      <c r="X29" s="8">
        <f t="shared" si="12"/>
        <v>1886134.4506672011</v>
      </c>
      <c r="Y29" s="8">
        <f t="shared" si="12"/>
        <v>1637535.3750648445</v>
      </c>
      <c r="Z29" s="8">
        <f t="shared" si="12"/>
        <v>1382652.2672736505</v>
      </c>
      <c r="AA29" s="8">
        <f t="shared" ref="AA29" si="13">AA28*(AA27-Z27)*AA22/360</f>
        <v>1121326.2809244012</v>
      </c>
      <c r="AB29" s="8">
        <f t="shared" ref="AB29" si="14">AB28*(AB27-AA27)*AB22/360</f>
        <v>881528.44077228324</v>
      </c>
      <c r="AC29" s="8">
        <f t="shared" ref="AC29" si="15">AC28*(AC27-AB27)*AC22/360</f>
        <v>585768.31822720903</v>
      </c>
      <c r="AD29" s="8">
        <f t="shared" ref="AD29" si="16">AD28*(AD27-AC27)*AD22/360</f>
        <v>297931.82956203358</v>
      </c>
    </row>
    <row r="30" spans="1:131">
      <c r="A30" s="3" t="s">
        <v>62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f t="shared" ref="K30:Z30" si="17">K29+J30</f>
        <v>4212660.7185227657</v>
      </c>
      <c r="L30" s="4">
        <f t="shared" si="17"/>
        <v>8690240.7105025966</v>
      </c>
      <c r="M30" s="4">
        <f t="shared" si="17"/>
        <v>12982715.59940663</v>
      </c>
      <c r="N30" s="4">
        <f t="shared" si="17"/>
        <v>17040761.015814781</v>
      </c>
      <c r="O30" s="4">
        <f t="shared" si="17"/>
        <v>20862643.083062936</v>
      </c>
      <c r="P30" s="4">
        <f t="shared" si="17"/>
        <v>24567594.035097666</v>
      </c>
      <c r="Q30" s="4">
        <f t="shared" si="17"/>
        <v>28067694.919702444</v>
      </c>
      <c r="R30" s="4">
        <f t="shared" si="17"/>
        <v>31321949.638730071</v>
      </c>
      <c r="S30" s="4">
        <f t="shared" si="17"/>
        <v>34328779.105969571</v>
      </c>
      <c r="T30" s="4">
        <f t="shared" si="17"/>
        <v>37179736.055995233</v>
      </c>
      <c r="U30" s="4">
        <f t="shared" si="17"/>
        <v>39775493.83665204</v>
      </c>
      <c r="V30" s="4">
        <f t="shared" si="17"/>
        <v>42140590.242547899</v>
      </c>
      <c r="W30" s="4">
        <f t="shared" si="17"/>
        <v>44269194.666709676</v>
      </c>
      <c r="X30" s="4">
        <f t="shared" si="17"/>
        <v>46155329.117376879</v>
      </c>
      <c r="Y30" s="4">
        <f t="shared" si="17"/>
        <v>47792864.492441721</v>
      </c>
      <c r="Z30" s="4">
        <f t="shared" si="17"/>
        <v>49175516.759715371</v>
      </c>
      <c r="AA30" s="4">
        <f t="shared" ref="AA30" si="18">AA29+Z30</f>
        <v>50296843.040639773</v>
      </c>
      <c r="AB30" s="4">
        <f t="shared" ref="AB30" si="19">AB29+AA30</f>
        <v>51178371.481412053</v>
      </c>
      <c r="AC30" s="4">
        <f t="shared" ref="AC30" si="20">AC29+AB30</f>
        <v>51764139.799639262</v>
      </c>
      <c r="AD30" s="4">
        <f t="shared" ref="AD30" si="21">AD29+AC30</f>
        <v>52062071.629201293</v>
      </c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</row>
    <row r="31" spans="1:131">
      <c r="A31" s="3" t="s">
        <v>63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f>K33-K29</f>
        <v>7508162.4372926122</v>
      </c>
      <c r="L31" s="4">
        <f t="shared" ref="L31:Z31" si="22">L33-L29</f>
        <v>7243243.1638355469</v>
      </c>
      <c r="M31" s="4">
        <f t="shared" si="22"/>
        <v>7428348.2669113437</v>
      </c>
      <c r="N31" s="4">
        <f t="shared" si="22"/>
        <v>7662777.7394072264</v>
      </c>
      <c r="O31" s="4">
        <f t="shared" si="22"/>
        <v>7898941.0885672215</v>
      </c>
      <c r="P31" s="4">
        <f t="shared" si="22"/>
        <v>8015872.2037806483</v>
      </c>
      <c r="Q31" s="4">
        <f t="shared" si="22"/>
        <v>8220722.2712105988</v>
      </c>
      <c r="R31" s="4">
        <f t="shared" si="22"/>
        <v>8466568.4367877487</v>
      </c>
      <c r="S31" s="4">
        <f t="shared" si="22"/>
        <v>8713993.6885758787</v>
      </c>
      <c r="T31" s="4">
        <f t="shared" si="22"/>
        <v>8869866.2057897169</v>
      </c>
      <c r="U31" s="4">
        <f t="shared" si="22"/>
        <v>9125065.3751585707</v>
      </c>
      <c r="V31" s="4">
        <f t="shared" si="22"/>
        <v>9355726.7499195226</v>
      </c>
      <c r="W31" s="4">
        <f t="shared" si="22"/>
        <v>9592218.7316535991</v>
      </c>
      <c r="X31" s="4">
        <f t="shared" si="22"/>
        <v>9834688.7051481772</v>
      </c>
      <c r="Y31" s="4">
        <f t="shared" si="22"/>
        <v>10083287.780750534</v>
      </c>
      <c r="Z31" s="4">
        <f t="shared" si="22"/>
        <v>10338170.888541728</v>
      </c>
      <c r="AA31" s="4">
        <f t="shared" ref="AA31:AC31" si="23">AA33-AA29</f>
        <v>10599496.874890976</v>
      </c>
      <c r="AB31" s="4">
        <f t="shared" si="23"/>
        <v>10839294.715043094</v>
      </c>
      <c r="AC31" s="4">
        <f t="shared" si="23"/>
        <v>11135054.837588169</v>
      </c>
      <c r="AD31" s="4">
        <f>AC34</f>
        <v>11786314.136520009</v>
      </c>
      <c r="AE31" s="4"/>
      <c r="AF31" s="4"/>
      <c r="AG31" s="4"/>
      <c r="AH31" s="4"/>
    </row>
    <row r="32" spans="1:131">
      <c r="A32" s="3" t="s">
        <v>64</v>
      </c>
      <c r="B32" s="4">
        <v>0</v>
      </c>
      <c r="C32" s="4">
        <f t="shared" ref="C32:Z32" si="24">C31+B32</f>
        <v>0</v>
      </c>
      <c r="D32" s="4">
        <f t="shared" si="24"/>
        <v>0</v>
      </c>
      <c r="E32" s="4">
        <f t="shared" si="24"/>
        <v>0</v>
      </c>
      <c r="F32" s="4">
        <f t="shared" si="24"/>
        <v>0</v>
      </c>
      <c r="G32" s="4">
        <f t="shared" si="24"/>
        <v>0</v>
      </c>
      <c r="H32" s="4">
        <f t="shared" si="24"/>
        <v>0</v>
      </c>
      <c r="I32" s="4">
        <f t="shared" si="24"/>
        <v>0</v>
      </c>
      <c r="J32" s="4">
        <f t="shared" si="24"/>
        <v>0</v>
      </c>
      <c r="K32" s="4">
        <f>K31+I32</f>
        <v>7508162.4372926122</v>
      </c>
      <c r="L32" s="4">
        <f t="shared" si="24"/>
        <v>14751405.601128159</v>
      </c>
      <c r="M32" s="4">
        <f t="shared" si="24"/>
        <v>22179753.868039504</v>
      </c>
      <c r="N32" s="4">
        <f t="shared" si="24"/>
        <v>29842531.60744673</v>
      </c>
      <c r="O32" s="4">
        <f t="shared" si="24"/>
        <v>37741472.69601395</v>
      </c>
      <c r="P32" s="4">
        <f t="shared" si="24"/>
        <v>45757344.899794601</v>
      </c>
      <c r="Q32" s="4">
        <f t="shared" si="24"/>
        <v>53978067.171005197</v>
      </c>
      <c r="R32" s="4">
        <f t="shared" si="24"/>
        <v>62444635.607792944</v>
      </c>
      <c r="S32" s="4">
        <f t="shared" si="24"/>
        <v>71158629.296368822</v>
      </c>
      <c r="T32" s="4">
        <f t="shared" si="24"/>
        <v>80028495.502158538</v>
      </c>
      <c r="U32" s="4">
        <f t="shared" si="24"/>
        <v>89153560.877317101</v>
      </c>
      <c r="V32" s="4">
        <f t="shared" si="24"/>
        <v>98509287.62723662</v>
      </c>
      <c r="W32" s="4">
        <f t="shared" si="24"/>
        <v>108101506.35889022</v>
      </c>
      <c r="X32" s="4">
        <f t="shared" si="24"/>
        <v>117936195.0640384</v>
      </c>
      <c r="Y32" s="4">
        <f t="shared" si="24"/>
        <v>128019482.84478892</v>
      </c>
      <c r="Z32" s="4">
        <f t="shared" si="24"/>
        <v>138357653.73333067</v>
      </c>
      <c r="AA32" s="4">
        <f t="shared" ref="AA32" si="25">AA31+Z32</f>
        <v>148957150.60822165</v>
      </c>
      <c r="AB32" s="4">
        <f t="shared" ref="AB32" si="26">AB31+AA32</f>
        <v>159796445.32326475</v>
      </c>
      <c r="AC32" s="4">
        <f t="shared" ref="AC32" si="27">AC31+AB32</f>
        <v>170931500.16085291</v>
      </c>
      <c r="AD32" s="4">
        <f t="shared" ref="AD32" si="28">AD31+AC32</f>
        <v>182717814.29737291</v>
      </c>
      <c r="AE32" s="4"/>
      <c r="AF32" s="4"/>
      <c r="AG32" s="4"/>
      <c r="AH32" s="4"/>
    </row>
    <row r="33" spans="1:34">
      <c r="A33" s="3" t="s">
        <v>65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f>-PMT(K22/4,20,$J$34)</f>
        <v>11720823.155815378</v>
      </c>
      <c r="L33" s="9">
        <f t="shared" ref="L33:Z33" si="29">-PMT(L22/4,20,$J$34)</f>
        <v>11720823.155815378</v>
      </c>
      <c r="M33" s="9">
        <f t="shared" si="29"/>
        <v>11720823.155815378</v>
      </c>
      <c r="N33" s="9">
        <f t="shared" si="29"/>
        <v>11720823.155815378</v>
      </c>
      <c r="O33" s="9">
        <f t="shared" si="29"/>
        <v>11720823.155815378</v>
      </c>
      <c r="P33" s="9">
        <f t="shared" si="29"/>
        <v>11720823.155815378</v>
      </c>
      <c r="Q33" s="9">
        <f t="shared" si="29"/>
        <v>11720823.155815378</v>
      </c>
      <c r="R33" s="9">
        <f t="shared" si="29"/>
        <v>11720823.155815378</v>
      </c>
      <c r="S33" s="9">
        <f t="shared" si="29"/>
        <v>11720823.155815378</v>
      </c>
      <c r="T33" s="9">
        <f t="shared" si="29"/>
        <v>11720823.155815378</v>
      </c>
      <c r="U33" s="9">
        <f t="shared" si="29"/>
        <v>11720823.155815378</v>
      </c>
      <c r="V33" s="9">
        <f t="shared" si="29"/>
        <v>11720823.155815378</v>
      </c>
      <c r="W33" s="9">
        <f t="shared" si="29"/>
        <v>11720823.155815378</v>
      </c>
      <c r="X33" s="9">
        <f t="shared" si="29"/>
        <v>11720823.155815378</v>
      </c>
      <c r="Y33" s="9">
        <f t="shared" si="29"/>
        <v>11720823.155815378</v>
      </c>
      <c r="Z33" s="9">
        <f t="shared" si="29"/>
        <v>11720823.155815378</v>
      </c>
      <c r="AA33" s="9">
        <f t="shared" ref="AA33:AC33" si="30">-PMT(AA22/4,20,$J$34)</f>
        <v>11720823.155815378</v>
      </c>
      <c r="AB33" s="9">
        <f t="shared" si="30"/>
        <v>11720823.155815378</v>
      </c>
      <c r="AC33" s="9">
        <f t="shared" si="30"/>
        <v>11720823.155815378</v>
      </c>
      <c r="AD33" s="9">
        <f>AD29+AD31</f>
        <v>12084245.966082044</v>
      </c>
      <c r="AE33" s="9"/>
      <c r="AF33" s="9"/>
      <c r="AG33" s="9"/>
      <c r="AH33" s="9"/>
    </row>
    <row r="34" spans="1:34" ht="13.9" thickBot="1">
      <c r="A34" s="6" t="s">
        <v>66</v>
      </c>
      <c r="B34" s="16">
        <f>B28+B29</f>
        <v>152958333.33333334</v>
      </c>
      <c r="C34" s="16">
        <f t="shared" ref="C34:I34" si="31">C28+C29</f>
        <v>156867268.51851854</v>
      </c>
      <c r="D34" s="16">
        <f t="shared" si="31"/>
        <v>160876098.71399179</v>
      </c>
      <c r="E34" s="16">
        <f t="shared" si="31"/>
        <v>164942688.98703992</v>
      </c>
      <c r="F34" s="16">
        <f t="shared" si="31"/>
        <v>169066256.21171594</v>
      </c>
      <c r="G34" s="16">
        <f t="shared" si="31"/>
        <v>173386838.31490424</v>
      </c>
      <c r="H34" s="16">
        <f t="shared" si="31"/>
        <v>177817835.29406291</v>
      </c>
      <c r="I34" s="16">
        <f t="shared" si="31"/>
        <v>182312675.01955172</v>
      </c>
      <c r="J34" s="16">
        <f t="shared" ref="J34" si="32">J28+J29</f>
        <v>182717814.29737294</v>
      </c>
      <c r="K34" s="16">
        <f t="shared" ref="K34:S34" si="33">K28-K31</f>
        <v>175209651.86008033</v>
      </c>
      <c r="L34" s="16">
        <f t="shared" si="33"/>
        <v>167966408.69624478</v>
      </c>
      <c r="M34" s="16">
        <f t="shared" si="33"/>
        <v>160538060.42933342</v>
      </c>
      <c r="N34" s="16">
        <f t="shared" si="33"/>
        <v>152875282.68992621</v>
      </c>
      <c r="O34" s="16">
        <f t="shared" si="33"/>
        <v>144976341.60135898</v>
      </c>
      <c r="P34" s="16">
        <f t="shared" si="33"/>
        <v>136960469.39757833</v>
      </c>
      <c r="Q34" s="16">
        <f t="shared" si="33"/>
        <v>128739747.12636773</v>
      </c>
      <c r="R34" s="16">
        <f t="shared" si="33"/>
        <v>120273178.68957998</v>
      </c>
      <c r="S34" s="16">
        <f t="shared" si="33"/>
        <v>111559185.0010041</v>
      </c>
      <c r="T34" s="16">
        <f>T28-T31</f>
        <v>102689318.79521438</v>
      </c>
      <c r="U34" s="16">
        <f t="shared" ref="U34:Z34" si="34">U28-U31</f>
        <v>93564253.420055807</v>
      </c>
      <c r="V34" s="16">
        <f t="shared" si="34"/>
        <v>84208526.670136288</v>
      </c>
      <c r="W34" s="16">
        <f t="shared" si="34"/>
        <v>74616307.938482687</v>
      </c>
      <c r="X34" s="16">
        <f t="shared" si="34"/>
        <v>64781619.233334512</v>
      </c>
      <c r="Y34" s="16">
        <f t="shared" si="34"/>
        <v>54698331.452583976</v>
      </c>
      <c r="Z34" s="16">
        <f t="shared" si="34"/>
        <v>44360160.564042248</v>
      </c>
      <c r="AA34" s="16">
        <f t="shared" ref="AA34:AD34" si="35">AA28-AA31</f>
        <v>33760663.689151272</v>
      </c>
      <c r="AB34" s="16">
        <f t="shared" si="35"/>
        <v>22921368.974108178</v>
      </c>
      <c r="AC34" s="16">
        <f t="shared" si="35"/>
        <v>11786314.136520009</v>
      </c>
      <c r="AD34" s="16">
        <f t="shared" si="35"/>
        <v>0</v>
      </c>
      <c r="AE34" s="16"/>
      <c r="AF34" s="16"/>
      <c r="AG34" s="16"/>
      <c r="AH34" s="16"/>
    </row>
    <row r="35" spans="1:34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spans="1:34">
      <c r="A37" s="12" t="s">
        <v>67</v>
      </c>
      <c r="B37" s="129">
        <f>SUM(B29:J29)</f>
        <v>32717814.297372892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4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4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spans="1:34">
      <c r="C40" s="5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2" spans="1:34">
      <c r="A42" s="14" t="s">
        <v>68</v>
      </c>
      <c r="B42" s="109">
        <f>B27</f>
        <v>43189</v>
      </c>
      <c r="C42" s="109">
        <f t="shared" ref="C42:Z42" si="36">C27</f>
        <v>43281</v>
      </c>
      <c r="D42" s="109">
        <f t="shared" si="36"/>
        <v>43373</v>
      </c>
      <c r="E42" s="109">
        <f t="shared" si="36"/>
        <v>43464</v>
      </c>
      <c r="F42" s="109">
        <f t="shared" si="36"/>
        <v>43554</v>
      </c>
      <c r="G42" s="109">
        <f t="shared" si="36"/>
        <v>43646</v>
      </c>
      <c r="H42" s="109">
        <f t="shared" si="36"/>
        <v>43738</v>
      </c>
      <c r="I42" s="109">
        <f t="shared" si="36"/>
        <v>43829</v>
      </c>
      <c r="J42" s="109"/>
      <c r="K42" s="109">
        <f t="shared" si="36"/>
        <v>43920</v>
      </c>
      <c r="L42" s="109">
        <f t="shared" si="36"/>
        <v>44012</v>
      </c>
      <c r="M42" s="109">
        <f t="shared" si="36"/>
        <v>44104</v>
      </c>
      <c r="N42" s="109">
        <f t="shared" si="36"/>
        <v>44195</v>
      </c>
      <c r="O42" s="109">
        <f t="shared" si="36"/>
        <v>44285</v>
      </c>
      <c r="P42" s="109">
        <f t="shared" si="36"/>
        <v>44377</v>
      </c>
      <c r="Q42" s="109">
        <f t="shared" si="36"/>
        <v>44469</v>
      </c>
      <c r="R42" s="109">
        <f t="shared" si="36"/>
        <v>44560</v>
      </c>
      <c r="S42" s="109">
        <f t="shared" si="36"/>
        <v>44650</v>
      </c>
      <c r="T42" s="109">
        <f t="shared" si="36"/>
        <v>44742</v>
      </c>
      <c r="U42" s="109">
        <f t="shared" si="36"/>
        <v>44833</v>
      </c>
      <c r="V42" s="109">
        <f t="shared" si="36"/>
        <v>44924</v>
      </c>
      <c r="W42" s="109">
        <f t="shared" si="36"/>
        <v>45015</v>
      </c>
      <c r="X42" s="109">
        <f t="shared" si="36"/>
        <v>45106</v>
      </c>
      <c r="Y42" s="109">
        <f t="shared" si="36"/>
        <v>45197</v>
      </c>
      <c r="Z42" s="109">
        <f t="shared" si="36"/>
        <v>45288</v>
      </c>
      <c r="AA42" s="109">
        <f t="shared" ref="AA42:AD42" si="37">AA27</f>
        <v>45379</v>
      </c>
      <c r="AB42" s="109">
        <f t="shared" si="37"/>
        <v>45473</v>
      </c>
      <c r="AC42" s="109">
        <f t="shared" si="37"/>
        <v>45565</v>
      </c>
      <c r="AD42" s="109">
        <f t="shared" si="37"/>
        <v>45656</v>
      </c>
      <c r="AE42" s="109"/>
      <c r="AF42" s="109"/>
      <c r="AG42" s="109"/>
      <c r="AH42" s="109"/>
    </row>
    <row r="43" spans="1:34">
      <c r="B43" s="9">
        <f t="shared" ref="B43:I43" si="38">AVERAGE($K$33)</f>
        <v>11720823.155815378</v>
      </c>
      <c r="C43" s="9">
        <f t="shared" si="38"/>
        <v>11720823.155815378</v>
      </c>
      <c r="D43" s="9">
        <f t="shared" si="38"/>
        <v>11720823.155815378</v>
      </c>
      <c r="E43" s="9">
        <f t="shared" si="38"/>
        <v>11720823.155815378</v>
      </c>
      <c r="F43" s="9">
        <f t="shared" si="38"/>
        <v>11720823.155815378</v>
      </c>
      <c r="G43" s="9">
        <f t="shared" si="38"/>
        <v>11720823.155815378</v>
      </c>
      <c r="H43" s="9">
        <f t="shared" si="38"/>
        <v>11720823.155815378</v>
      </c>
      <c r="I43" s="9">
        <f t="shared" si="38"/>
        <v>11720823.155815378</v>
      </c>
      <c r="J43" s="9"/>
      <c r="K43" s="9">
        <f>AVERAGE($K$33)</f>
        <v>11720823.155815378</v>
      </c>
      <c r="L43" s="9">
        <f>AVERAGE($K$33:L33)</f>
        <v>11720823.155815378</v>
      </c>
      <c r="M43" s="9">
        <f>AVERAGE($K$33:M33)</f>
        <v>11720823.155815378</v>
      </c>
      <c r="N43" s="9">
        <f>AVERAGE($K$33:N33)</f>
        <v>11720823.155815378</v>
      </c>
      <c r="O43" s="9">
        <f>AVERAGE($K$33:O33)</f>
        <v>11720823.155815378</v>
      </c>
      <c r="P43" s="9">
        <f>AVERAGE($K$33:P33)</f>
        <v>11720823.155815378</v>
      </c>
      <c r="Q43" s="9">
        <f>AVERAGE($K$33:Q33)</f>
        <v>11720823.155815378</v>
      </c>
      <c r="R43" s="9">
        <f>AVERAGE($K$33:R33)</f>
        <v>11720823.155815378</v>
      </c>
      <c r="S43" s="9">
        <f>AVERAGE($K$33:S33)</f>
        <v>11720823.155815378</v>
      </c>
      <c r="T43" s="9">
        <f>AVERAGE($K$33:T33)</f>
        <v>11720823.155815378</v>
      </c>
      <c r="U43" s="9">
        <f>AVERAGE($K$33:U33)</f>
        <v>11720823.155815378</v>
      </c>
      <c r="V43" s="9">
        <f>AVERAGE($K$33:V33)</f>
        <v>11720823.155815378</v>
      </c>
      <c r="W43" s="9">
        <f>AVERAGE($K$33:W33)</f>
        <v>11720823.155815376</v>
      </c>
      <c r="X43" s="9">
        <f>AVERAGE($K$33:X33)</f>
        <v>11720823.155815376</v>
      </c>
      <c r="Y43" s="9">
        <f>AVERAGE($K$33:Y33)</f>
        <v>11720823.155815374</v>
      </c>
      <c r="Z43" s="9">
        <f>AVERAGE($K$33:Z33)</f>
        <v>11720823.155815374</v>
      </c>
      <c r="AA43" s="9">
        <f>AVERAGE($K$33:AA33)</f>
        <v>11720823.155815374</v>
      </c>
      <c r="AB43" s="9">
        <f>AVERAGE($K$33:AB33)</f>
        <v>11720823.155815372</v>
      </c>
      <c r="AC43" s="9">
        <f>AVERAGE($K$33:AC33)</f>
        <v>11720823.155815372</v>
      </c>
      <c r="AD43" s="9">
        <f>AVERAGE($K$33:AD33)</f>
        <v>11738994.296328705</v>
      </c>
      <c r="AE43" s="9"/>
      <c r="AF43" s="9"/>
      <c r="AG43" s="9"/>
      <c r="AH43" s="9"/>
    </row>
    <row r="46" spans="1:34">
      <c r="C46" s="5"/>
      <c r="D46" s="7"/>
      <c r="E46" s="7"/>
      <c r="F46" s="7"/>
      <c r="G46" s="7"/>
      <c r="H46" s="7"/>
      <c r="I46" s="7"/>
      <c r="J46" s="7"/>
      <c r="K46" s="7"/>
    </row>
    <row r="49" spans="1:86">
      <c r="A49" s="14" t="s">
        <v>69</v>
      </c>
      <c r="B49" s="14"/>
      <c r="C49" s="109">
        <v>43131</v>
      </c>
      <c r="D49" s="109">
        <f>EOMONTH(C49,1)</f>
        <v>43159</v>
      </c>
      <c r="E49" s="109">
        <f t="shared" ref="E49:BP49" si="39">EOMONTH(D49,1)</f>
        <v>43190</v>
      </c>
      <c r="F49" s="109">
        <f t="shared" si="39"/>
        <v>43220</v>
      </c>
      <c r="G49" s="109">
        <f t="shared" si="39"/>
        <v>43251</v>
      </c>
      <c r="H49" s="109">
        <f t="shared" si="39"/>
        <v>43281</v>
      </c>
      <c r="I49" s="109">
        <f t="shared" si="39"/>
        <v>43312</v>
      </c>
      <c r="J49" s="109">
        <f t="shared" si="39"/>
        <v>43343</v>
      </c>
      <c r="K49" s="109">
        <f t="shared" si="39"/>
        <v>43373</v>
      </c>
      <c r="L49" s="109">
        <f t="shared" si="39"/>
        <v>43404</v>
      </c>
      <c r="M49" s="109">
        <f t="shared" si="39"/>
        <v>43434</v>
      </c>
      <c r="N49" s="109">
        <f t="shared" si="39"/>
        <v>43465</v>
      </c>
      <c r="O49" s="109">
        <f t="shared" si="39"/>
        <v>43496</v>
      </c>
      <c r="P49" s="109">
        <f t="shared" si="39"/>
        <v>43524</v>
      </c>
      <c r="Q49" s="109">
        <f t="shared" si="39"/>
        <v>43555</v>
      </c>
      <c r="R49" s="109">
        <f t="shared" si="39"/>
        <v>43585</v>
      </c>
      <c r="S49" s="109">
        <f t="shared" si="39"/>
        <v>43616</v>
      </c>
      <c r="T49" s="109">
        <f t="shared" si="39"/>
        <v>43646</v>
      </c>
      <c r="U49" s="109">
        <f t="shared" si="39"/>
        <v>43677</v>
      </c>
      <c r="V49" s="109">
        <f t="shared" si="39"/>
        <v>43708</v>
      </c>
      <c r="W49" s="109">
        <f t="shared" si="39"/>
        <v>43738</v>
      </c>
      <c r="X49" s="109">
        <f t="shared" si="39"/>
        <v>43769</v>
      </c>
      <c r="Y49" s="109">
        <f t="shared" si="39"/>
        <v>43799</v>
      </c>
      <c r="Z49" s="109">
        <f t="shared" si="39"/>
        <v>43830</v>
      </c>
      <c r="AA49" s="109">
        <f t="shared" si="39"/>
        <v>43861</v>
      </c>
      <c r="AB49" s="109">
        <f t="shared" si="39"/>
        <v>43890</v>
      </c>
      <c r="AC49" s="109">
        <f t="shared" si="39"/>
        <v>43921</v>
      </c>
      <c r="AD49" s="109">
        <f t="shared" si="39"/>
        <v>43951</v>
      </c>
      <c r="AE49" s="109">
        <f t="shared" si="39"/>
        <v>43982</v>
      </c>
      <c r="AF49" s="109">
        <f t="shared" si="39"/>
        <v>44012</v>
      </c>
      <c r="AG49" s="109">
        <f t="shared" si="39"/>
        <v>44043</v>
      </c>
      <c r="AH49" s="109">
        <f t="shared" si="39"/>
        <v>44074</v>
      </c>
      <c r="AI49" s="109">
        <f t="shared" si="39"/>
        <v>44104</v>
      </c>
      <c r="AJ49" s="109">
        <f t="shared" si="39"/>
        <v>44135</v>
      </c>
      <c r="AK49" s="109">
        <f t="shared" si="39"/>
        <v>44165</v>
      </c>
      <c r="AL49" s="109">
        <f t="shared" si="39"/>
        <v>44196</v>
      </c>
      <c r="AM49" s="109">
        <f t="shared" si="39"/>
        <v>44227</v>
      </c>
      <c r="AN49" s="109">
        <f t="shared" si="39"/>
        <v>44255</v>
      </c>
      <c r="AO49" s="109">
        <f t="shared" si="39"/>
        <v>44286</v>
      </c>
      <c r="AP49" s="109">
        <f t="shared" si="39"/>
        <v>44316</v>
      </c>
      <c r="AQ49" s="109">
        <f t="shared" si="39"/>
        <v>44347</v>
      </c>
      <c r="AR49" s="109">
        <f t="shared" si="39"/>
        <v>44377</v>
      </c>
      <c r="AS49" s="109">
        <f t="shared" si="39"/>
        <v>44408</v>
      </c>
      <c r="AT49" s="109">
        <f t="shared" si="39"/>
        <v>44439</v>
      </c>
      <c r="AU49" s="109">
        <f t="shared" si="39"/>
        <v>44469</v>
      </c>
      <c r="AV49" s="109">
        <f t="shared" si="39"/>
        <v>44500</v>
      </c>
      <c r="AW49" s="109">
        <f t="shared" si="39"/>
        <v>44530</v>
      </c>
      <c r="AX49" s="109">
        <f t="shared" si="39"/>
        <v>44561</v>
      </c>
      <c r="AY49" s="109">
        <f t="shared" si="39"/>
        <v>44592</v>
      </c>
      <c r="AZ49" s="109">
        <f t="shared" si="39"/>
        <v>44620</v>
      </c>
      <c r="BA49" s="109">
        <f t="shared" si="39"/>
        <v>44651</v>
      </c>
      <c r="BB49" s="109">
        <f t="shared" si="39"/>
        <v>44681</v>
      </c>
      <c r="BC49" s="109">
        <f t="shared" si="39"/>
        <v>44712</v>
      </c>
      <c r="BD49" s="109">
        <f t="shared" si="39"/>
        <v>44742</v>
      </c>
      <c r="BE49" s="109">
        <f t="shared" si="39"/>
        <v>44773</v>
      </c>
      <c r="BF49" s="109">
        <f t="shared" si="39"/>
        <v>44804</v>
      </c>
      <c r="BG49" s="109">
        <f t="shared" si="39"/>
        <v>44834</v>
      </c>
      <c r="BH49" s="109">
        <f t="shared" si="39"/>
        <v>44865</v>
      </c>
      <c r="BI49" s="109">
        <f t="shared" si="39"/>
        <v>44895</v>
      </c>
      <c r="BJ49" s="109">
        <f t="shared" si="39"/>
        <v>44926</v>
      </c>
      <c r="BK49" s="109">
        <f t="shared" si="39"/>
        <v>44957</v>
      </c>
      <c r="BL49" s="109">
        <f t="shared" si="39"/>
        <v>44985</v>
      </c>
      <c r="BM49" s="109">
        <f t="shared" si="39"/>
        <v>45016</v>
      </c>
      <c r="BN49" s="109">
        <f t="shared" si="39"/>
        <v>45046</v>
      </c>
      <c r="BO49" s="109">
        <f t="shared" si="39"/>
        <v>45077</v>
      </c>
      <c r="BP49" s="109">
        <f t="shared" si="39"/>
        <v>45107</v>
      </c>
      <c r="BQ49" s="109">
        <f t="shared" ref="BQ49:CH49" si="40">EOMONTH(BP49,1)</f>
        <v>45138</v>
      </c>
      <c r="BR49" s="109">
        <f t="shared" si="40"/>
        <v>45169</v>
      </c>
      <c r="BS49" s="109">
        <f t="shared" si="40"/>
        <v>45199</v>
      </c>
      <c r="BT49" s="109">
        <f t="shared" si="40"/>
        <v>45230</v>
      </c>
      <c r="BU49" s="109">
        <f t="shared" si="40"/>
        <v>45260</v>
      </c>
      <c r="BV49" s="109">
        <f t="shared" si="40"/>
        <v>45291</v>
      </c>
      <c r="BW49" s="109">
        <f t="shared" si="40"/>
        <v>45322</v>
      </c>
      <c r="BX49" s="109">
        <f t="shared" si="40"/>
        <v>45351</v>
      </c>
      <c r="BY49" s="109">
        <f t="shared" si="40"/>
        <v>45382</v>
      </c>
      <c r="BZ49" s="109">
        <f t="shared" si="40"/>
        <v>45412</v>
      </c>
      <c r="CA49" s="109">
        <f t="shared" si="40"/>
        <v>45443</v>
      </c>
      <c r="CB49" s="109">
        <f t="shared" si="40"/>
        <v>45473</v>
      </c>
      <c r="CC49" s="109">
        <f t="shared" si="40"/>
        <v>45504</v>
      </c>
      <c r="CD49" s="109">
        <f t="shared" si="40"/>
        <v>45535</v>
      </c>
      <c r="CE49" s="109">
        <f t="shared" si="40"/>
        <v>45565</v>
      </c>
      <c r="CF49" s="109">
        <f t="shared" si="40"/>
        <v>45596</v>
      </c>
      <c r="CG49" s="109">
        <f t="shared" si="40"/>
        <v>45626</v>
      </c>
      <c r="CH49" s="109">
        <f t="shared" si="40"/>
        <v>45657</v>
      </c>
    </row>
    <row r="50" spans="1:86">
      <c r="A50" s="3" t="s">
        <v>70</v>
      </c>
      <c r="C50" s="9">
        <f>SUM(Accrual_IHL!$B$25)</f>
        <v>583333.33333333337</v>
      </c>
      <c r="D50" s="9">
        <f>SUM(Accrual_IHL!$B$25:C25)</f>
        <v>1750000</v>
      </c>
      <c r="E50" s="9">
        <f>SUM(Accrual_IHL!$B$25:D25)</f>
        <v>3043310.1851851852</v>
      </c>
      <c r="F50" s="9">
        <f>SUM(Accrual_IHL!$B$25:E25)</f>
        <v>4317962.9629629627</v>
      </c>
      <c r="G50" s="9">
        <f>SUM(Accrual_IHL!$B$25:F25)</f>
        <v>5635104.166666667</v>
      </c>
      <c r="H50" s="9">
        <f>SUM(Accrual_IHL!$B$25:G25)</f>
        <v>6910842.7597736632</v>
      </c>
      <c r="I50" s="9">
        <f>SUM(Accrual_IHL!$B$25:H25)</f>
        <v>8261644.2386831287</v>
      </c>
      <c r="J50" s="9">
        <f>SUM(Accrual_IHL!$B$25:I25)</f>
        <v>9612445.7175925933</v>
      </c>
      <c r="K50" s="9">
        <f>SUM(Accrual_IHL!$B$25:J25)</f>
        <v>10920786.519190101</v>
      </c>
      <c r="L50" s="9">
        <f>SUM(Accrual_IHL!$B$25:K25)</f>
        <v>12306108.480338363</v>
      </c>
      <c r="M50" s="9">
        <f>SUM(Accrual_IHL!$B$25:L25)</f>
        <v>13646742.636288295</v>
      </c>
      <c r="N50" s="9">
        <f>SUM(Accrual_IHL!$B$25:M25)</f>
        <v>15034323.814254917</v>
      </c>
      <c r="O50" s="9">
        <f>SUM(Accrual_IHL!$B$25:N25)</f>
        <v>16454663.63608776</v>
      </c>
      <c r="P50" s="9">
        <f>SUM(Accrual_IHL!$B$25:O25)</f>
        <v>17737551.217098072</v>
      </c>
      <c r="Q50" s="9">
        <f>SUM(Accrual_IHL!$B$25:P25)</f>
        <v>19160181.909611292</v>
      </c>
      <c r="R50" s="9">
        <f>SUM(Accrual_IHL!$B$25:Q25)</f>
        <v>20569067.378042258</v>
      </c>
      <c r="S50" s="9">
        <f>SUM(Accrual_IHL!$B$25:R25)</f>
        <v>22024915.695420925</v>
      </c>
      <c r="T50" s="9">
        <f>SUM(Accrual_IHL!$B$25:S25)</f>
        <v>23435001.325547222</v>
      </c>
      <c r="U50" s="9">
        <f>SUM(Accrual_IHL!$B$25:T25)</f>
        <v>24928054.655481119</v>
      </c>
      <c r="V50" s="9">
        <f>SUM(Accrual_IHL!$B$25:U25)</f>
        <v>26421107.985415015</v>
      </c>
      <c r="W50" s="9">
        <f>SUM(Accrual_IHL!$B$25:V25)</f>
        <v>27867229.137200095</v>
      </c>
      <c r="X50" s="9">
        <f>SUM(Accrual_IHL!$B$25:W25)</f>
        <v>29398438.274454527</v>
      </c>
      <c r="Y50" s="9">
        <f>SUM(Accrual_IHL!$B$25:X25)</f>
        <v>30880253.568571717</v>
      </c>
      <c r="Z50" s="9">
        <f>SUM(Accrual_IHL!$B$25:Y25)</f>
        <v>32413959.839006975</v>
      </c>
      <c r="AA50" s="9">
        <f>SUM(Accrual_IHL!$B$25:Z25)</f>
        <v>33986688.007771321</v>
      </c>
      <c r="AB50" s="9">
        <f>SUM(Accrual_IHL!$B$25:AA25)</f>
        <v>35458581.511833489</v>
      </c>
      <c r="AC50" s="9">
        <f>SUM(Accrual_IHL!$B$25:AB25)</f>
        <v>37027813.711373486</v>
      </c>
      <c r="AD50" s="9">
        <f>SUM(Accrual_IHL!$B$25:AC25)</f>
        <v>38487894.143540822</v>
      </c>
      <c r="AE50" s="9">
        <f>SUM(Accrual_IHL!$B$25:AD25)</f>
        <v>39996643.923447073</v>
      </c>
      <c r="AF50" s="9">
        <f>SUM(Accrual_IHL!$B$25:AE25)</f>
        <v>41454712.343624458</v>
      </c>
      <c r="AG50" s="9">
        <f>SUM(Accrual_IHL!$B$25:AF25)</f>
        <v>42901089.751842119</v>
      </c>
      <c r="AH50" s="9">
        <f>SUM(Accrual_IHL!$B$25:AG25)</f>
        <v>44347467.16005978</v>
      </c>
      <c r="AI50" s="9">
        <f>SUM(Accrual_IHL!$B$25:AH25)</f>
        <v>45745123.802454345</v>
      </c>
      <c r="AJ50" s="9">
        <f>SUM(Accrual_IHL!$B$25:AI25)</f>
        <v>47127534.878373608</v>
      </c>
      <c r="AK50" s="9">
        <f>SUM(Accrual_IHL!$B$25:AJ25)</f>
        <v>48465352.048618056</v>
      </c>
      <c r="AL50" s="9">
        <f>SUM(Accrual_IHL!$B$25:AK25)</f>
        <v>49843506.025793202</v>
      </c>
      <c r="AM50" s="9">
        <f>SUM(Accrual_IHL!$B$25:AL25)</f>
        <v>51159932.071178675</v>
      </c>
      <c r="AN50" s="9">
        <f>SUM(Accrual_IHL!$B$25:AM25)</f>
        <v>52348962.04765588</v>
      </c>
      <c r="AO50" s="9">
        <f>SUM(Accrual_IHL!$B$25:AN25)</f>
        <v>53660999.7924366</v>
      </c>
      <c r="AP50" s="9">
        <f>SUM(Accrual_IHL!$B$25:AO25)</f>
        <v>54869135.972447924</v>
      </c>
      <c r="AQ50" s="9">
        <f>SUM(Accrual_IHL!$B$25:AP25)</f>
        <v>56117543.358459629</v>
      </c>
      <c r="AR50" s="9">
        <f>SUM(Accrual_IHL!$B$25:AQ25)</f>
        <v>57323452.907303236</v>
      </c>
      <c r="AS50" s="9">
        <f>SUM(Accrual_IHL!$B$25:AR25)</f>
        <v>58502834.727115713</v>
      </c>
      <c r="AT50" s="9">
        <f>SUM(Accrual_IHL!$B$25:AS25)</f>
        <v>59682216.54692819</v>
      </c>
      <c r="AU50" s="9">
        <f>SUM(Accrual_IHL!$B$25:AT25)</f>
        <v>60821270.257943787</v>
      </c>
      <c r="AV50" s="9">
        <f>SUM(Accrual_IHL!$B$25:AU25)</f>
        <v>61929862.524865285</v>
      </c>
      <c r="AW50" s="9">
        <f>SUM(Accrual_IHL!$B$25:AV25)</f>
        <v>63002693.750918351</v>
      </c>
      <c r="AX50" s="9">
        <f>SUM(Accrual_IHL!$B$25:AW25)</f>
        <v>64106582.368708305</v>
      </c>
      <c r="AY50" s="9">
        <f>SUM(Accrual_IHL!$B$25:AX25)</f>
        <v>65142268.074090801</v>
      </c>
      <c r="AZ50" s="9">
        <f>SUM(Accrual_IHL!$B$25:AY25)</f>
        <v>66077726.130565315</v>
      </c>
      <c r="BA50" s="9">
        <f>SUM(Accrual_IHL!$B$25:AZ25)</f>
        <v>67108570.728343047</v>
      </c>
      <c r="BB50" s="9">
        <f>SUM(Accrual_IHL!$B$25:BA25)</f>
        <v>68038230.603351414</v>
      </c>
      <c r="BC50" s="9">
        <f>SUM(Accrual_IHL!$B$25:BB25)</f>
        <v>68998879.140860066</v>
      </c>
      <c r="BD50" s="9">
        <f>SUM(Accrual_IHL!$B$25:BC25)</f>
        <v>69926075.164144605</v>
      </c>
      <c r="BE50" s="9">
        <f>SUM(Accrual_IHL!$B$25:BD25)</f>
        <v>70810344.29821451</v>
      </c>
      <c r="BF50" s="9">
        <f>SUM(Accrual_IHL!$B$25:BE25)</f>
        <v>71694613.432284415</v>
      </c>
      <c r="BG50" s="9">
        <f>SUM(Accrual_IHL!$B$25:BF25)</f>
        <v>72545288.27481389</v>
      </c>
      <c r="BH50" s="9">
        <f>SUM(Accrual_IHL!$B$25:BG25)</f>
        <v>73350980.457042143</v>
      </c>
      <c r="BI50" s="9">
        <f>SUM(Accrual_IHL!$B$25:BH25)</f>
        <v>74130682.568875939</v>
      </c>
      <c r="BJ50" s="9">
        <f>SUM(Accrual_IHL!$B$25:BI25)</f>
        <v>74928578.312145934</v>
      </c>
      <c r="BK50" s="9">
        <f>SUM(Accrual_IHL!$B$25:BJ25)</f>
        <v>75653707.291805446</v>
      </c>
      <c r="BL50" s="9">
        <f>SUM(Accrual_IHL!$B$25:BK25)</f>
        <v>76308662.499239832</v>
      </c>
      <c r="BM50" s="9">
        <f>SUM(Accrual_IHL!$B$25:BL25)</f>
        <v>77028462.468492866</v>
      </c>
      <c r="BN50" s="9">
        <f>SUM(Accrual_IHL!$B$25:BM25)</f>
        <v>77650265.034646884</v>
      </c>
      <c r="BO50" s="9">
        <f>SUM(Accrual_IHL!$B$25:BN25)</f>
        <v>78292794.353006035</v>
      </c>
      <c r="BP50" s="9">
        <f>SUM(Accrual_IHL!$B$25:BO25)</f>
        <v>78909133.203212753</v>
      </c>
      <c r="BQ50" s="9">
        <f>SUM(Accrual_IHL!$B$25:BP25)</f>
        <v>79466974.924388692</v>
      </c>
      <c r="BR50" s="9">
        <f>SUM(Accrual_IHL!$B$25:BQ25)</f>
        <v>80024816.645564631</v>
      </c>
      <c r="BS50" s="9">
        <f>SUM(Accrual_IHL!$B$25:BR25)</f>
        <v>80556260.732691795</v>
      </c>
      <c r="BT50" s="9">
        <f>SUM(Accrual_IHL!$B$25:BS25)</f>
        <v>81027274.142422378</v>
      </c>
      <c r="BU50" s="9">
        <f>SUM(Accrual_IHL!$B$25:BT25)</f>
        <v>81483093.571193919</v>
      </c>
      <c r="BV50" s="9">
        <f>SUM(Accrual_IHL!$B$25:BU25)</f>
        <v>81942620.124381676</v>
      </c>
      <c r="BW50" s="9">
        <f>SUM(Accrual_IHL!$B$25:BV25)</f>
        <v>82324610.395905375</v>
      </c>
      <c r="BX50" s="9">
        <f>SUM(Accrual_IHL!$B$25:BW25)</f>
        <v>82681956.133782387</v>
      </c>
      <c r="BY50" s="9">
        <f>SUM(Accrual_IHL!$B$25:BX25)</f>
        <v>83052169.186556205</v>
      </c>
      <c r="BZ50" s="9">
        <f>SUM(Accrual_IHL!$B$25:BY25)</f>
        <v>83333508.050632462</v>
      </c>
      <c r="CA50" s="9">
        <f>SUM(Accrual_IHL!$B$25:BZ25)</f>
        <v>83624224.8768446</v>
      </c>
      <c r="CB50" s="9">
        <f>SUM(Accrual_IHL!$B$25:CA25)</f>
        <v>83902552.825722232</v>
      </c>
      <c r="CC50" s="9">
        <f>SUM(Accrual_IHL!$B$25:CB25)</f>
        <v>84099931.280777052</v>
      </c>
      <c r="CD50" s="9">
        <f>SUM(Accrual_IHL!$B$25:CC25)</f>
        <v>84297309.735831872</v>
      </c>
      <c r="CE50" s="9">
        <f>SUM(Accrual_IHL!$B$25:CD25)</f>
        <v>84485228.073161215</v>
      </c>
      <c r="CF50" s="9">
        <f>SUM(Accrual_IHL!$B$25:CE25)</f>
        <v>84586721.333781242</v>
      </c>
      <c r="CG50" s="9">
        <f>SUM(Accrual_IHL!$B$25:CF25)</f>
        <v>84684940.618252248</v>
      </c>
      <c r="CH50" s="9">
        <f>SUM(Accrual_IHL!$B$25:CG25)</f>
        <v>84779885.926574215</v>
      </c>
    </row>
    <row r="51" spans="1:86">
      <c r="A51" s="3" t="s">
        <v>71</v>
      </c>
      <c r="C51" s="130">
        <v>0</v>
      </c>
      <c r="D51" s="130">
        <v>0</v>
      </c>
      <c r="E51" s="130">
        <f>SUM($B$29)</f>
        <v>2958333.3333333335</v>
      </c>
      <c r="F51" s="130">
        <f>SUM($B$29)</f>
        <v>2958333.3333333335</v>
      </c>
      <c r="G51" s="130">
        <f>SUM($B$29)</f>
        <v>2958333.3333333335</v>
      </c>
      <c r="H51" s="130">
        <f>SUM($B$29:$C$29)</f>
        <v>6867268.5185185196</v>
      </c>
      <c r="I51" s="130">
        <f t="shared" ref="I51:J51" si="41">SUM($B$29:$C$29)</f>
        <v>6867268.5185185196</v>
      </c>
      <c r="J51" s="130">
        <f t="shared" si="41"/>
        <v>6867268.5185185196</v>
      </c>
      <c r="K51" s="130">
        <f>SUM($B$29:$D$29)</f>
        <v>10876098.713991772</v>
      </c>
      <c r="L51" s="130">
        <f t="shared" ref="L51:M51" si="42">SUM($B$29:$D$29)</f>
        <v>10876098.713991772</v>
      </c>
      <c r="M51" s="130">
        <f t="shared" si="42"/>
        <v>10876098.713991772</v>
      </c>
      <c r="N51" s="130">
        <f>SUM($B$29:$E$29)</f>
        <v>14942688.987039898</v>
      </c>
      <c r="O51" s="130">
        <f t="shared" ref="O51:P51" si="43">SUM($B$29:$E$29)</f>
        <v>14942688.987039898</v>
      </c>
      <c r="P51" s="130">
        <f t="shared" si="43"/>
        <v>14942688.987039898</v>
      </c>
      <c r="Q51" s="130">
        <f>SUM($B$29:$F$29)</f>
        <v>19066256.211715896</v>
      </c>
      <c r="R51" s="130">
        <f t="shared" ref="R51:S51" si="44">SUM($B$29:$F$29)</f>
        <v>19066256.211715896</v>
      </c>
      <c r="S51" s="130">
        <f t="shared" si="44"/>
        <v>19066256.211715896</v>
      </c>
      <c r="T51" s="130">
        <f>SUM($B$29:$G$29)</f>
        <v>23386838.314904191</v>
      </c>
      <c r="U51" s="130">
        <f t="shared" ref="U51:V51" si="45">SUM($B$29:$G$29)</f>
        <v>23386838.314904191</v>
      </c>
      <c r="V51" s="130">
        <f t="shared" si="45"/>
        <v>23386838.314904191</v>
      </c>
      <c r="W51" s="130">
        <f>SUM($B$29:$H$29)</f>
        <v>27817835.294062853</v>
      </c>
      <c r="X51" s="130">
        <f t="shared" ref="X51:Y51" si="46">SUM($B$29:$H$29)</f>
        <v>27817835.294062853</v>
      </c>
      <c r="Y51" s="130">
        <f t="shared" si="46"/>
        <v>27817835.294062853</v>
      </c>
      <c r="Z51" s="130">
        <f>SUM($B$29:$I$29)</f>
        <v>32312675.019551665</v>
      </c>
      <c r="AA51" s="130">
        <f>SUM($B$29:$J$29)</f>
        <v>32717814.297372892</v>
      </c>
      <c r="AB51" s="130">
        <f t="shared" ref="AB51:CH51" si="47">SUM($B$29:$J$29)</f>
        <v>32717814.297372892</v>
      </c>
      <c r="AC51" s="130">
        <f t="shared" si="47"/>
        <v>32717814.297372892</v>
      </c>
      <c r="AD51" s="130">
        <f t="shared" si="47"/>
        <v>32717814.297372892</v>
      </c>
      <c r="AE51" s="130">
        <f t="shared" si="47"/>
        <v>32717814.297372892</v>
      </c>
      <c r="AF51" s="130">
        <f t="shared" si="47"/>
        <v>32717814.297372892</v>
      </c>
      <c r="AG51" s="130">
        <f t="shared" si="47"/>
        <v>32717814.297372892</v>
      </c>
      <c r="AH51" s="130">
        <f t="shared" si="47"/>
        <v>32717814.297372892</v>
      </c>
      <c r="AI51" s="130">
        <f t="shared" si="47"/>
        <v>32717814.297372892</v>
      </c>
      <c r="AJ51" s="130">
        <f t="shared" si="47"/>
        <v>32717814.297372892</v>
      </c>
      <c r="AK51" s="130">
        <f t="shared" si="47"/>
        <v>32717814.297372892</v>
      </c>
      <c r="AL51" s="130">
        <f t="shared" si="47"/>
        <v>32717814.297372892</v>
      </c>
      <c r="AM51" s="130">
        <f t="shared" si="47"/>
        <v>32717814.297372892</v>
      </c>
      <c r="AN51" s="130">
        <f t="shared" si="47"/>
        <v>32717814.297372892</v>
      </c>
      <c r="AO51" s="130">
        <f t="shared" si="47"/>
        <v>32717814.297372892</v>
      </c>
      <c r="AP51" s="130">
        <f t="shared" si="47"/>
        <v>32717814.297372892</v>
      </c>
      <c r="AQ51" s="130">
        <f t="shared" si="47"/>
        <v>32717814.297372892</v>
      </c>
      <c r="AR51" s="130">
        <f t="shared" si="47"/>
        <v>32717814.297372892</v>
      </c>
      <c r="AS51" s="130">
        <f t="shared" si="47"/>
        <v>32717814.297372892</v>
      </c>
      <c r="AT51" s="130">
        <f t="shared" si="47"/>
        <v>32717814.297372892</v>
      </c>
      <c r="AU51" s="130">
        <f t="shared" si="47"/>
        <v>32717814.297372892</v>
      </c>
      <c r="AV51" s="130">
        <f t="shared" si="47"/>
        <v>32717814.297372892</v>
      </c>
      <c r="AW51" s="130">
        <f t="shared" si="47"/>
        <v>32717814.297372892</v>
      </c>
      <c r="AX51" s="130">
        <f t="shared" si="47"/>
        <v>32717814.297372892</v>
      </c>
      <c r="AY51" s="130">
        <f t="shared" si="47"/>
        <v>32717814.297372892</v>
      </c>
      <c r="AZ51" s="130">
        <f t="shared" si="47"/>
        <v>32717814.297372892</v>
      </c>
      <c r="BA51" s="130">
        <f t="shared" si="47"/>
        <v>32717814.297372892</v>
      </c>
      <c r="BB51" s="130">
        <f t="shared" si="47"/>
        <v>32717814.297372892</v>
      </c>
      <c r="BC51" s="130">
        <f t="shared" si="47"/>
        <v>32717814.297372892</v>
      </c>
      <c r="BD51" s="130">
        <f t="shared" si="47"/>
        <v>32717814.297372892</v>
      </c>
      <c r="BE51" s="130">
        <f t="shared" si="47"/>
        <v>32717814.297372892</v>
      </c>
      <c r="BF51" s="130">
        <f t="shared" si="47"/>
        <v>32717814.297372892</v>
      </c>
      <c r="BG51" s="130">
        <f t="shared" si="47"/>
        <v>32717814.297372892</v>
      </c>
      <c r="BH51" s="130">
        <f t="shared" si="47"/>
        <v>32717814.297372892</v>
      </c>
      <c r="BI51" s="130">
        <f t="shared" si="47"/>
        <v>32717814.297372892</v>
      </c>
      <c r="BJ51" s="130">
        <f t="shared" si="47"/>
        <v>32717814.297372892</v>
      </c>
      <c r="BK51" s="130">
        <f t="shared" si="47"/>
        <v>32717814.297372892</v>
      </c>
      <c r="BL51" s="130">
        <f t="shared" si="47"/>
        <v>32717814.297372892</v>
      </c>
      <c r="BM51" s="130">
        <f t="shared" si="47"/>
        <v>32717814.297372892</v>
      </c>
      <c r="BN51" s="130">
        <f t="shared" si="47"/>
        <v>32717814.297372892</v>
      </c>
      <c r="BO51" s="130">
        <f t="shared" si="47"/>
        <v>32717814.297372892</v>
      </c>
      <c r="BP51" s="130">
        <f t="shared" si="47"/>
        <v>32717814.297372892</v>
      </c>
      <c r="BQ51" s="130">
        <f t="shared" si="47"/>
        <v>32717814.297372892</v>
      </c>
      <c r="BR51" s="130">
        <f t="shared" si="47"/>
        <v>32717814.297372892</v>
      </c>
      <c r="BS51" s="130">
        <f t="shared" si="47"/>
        <v>32717814.297372892</v>
      </c>
      <c r="BT51" s="130">
        <f t="shared" si="47"/>
        <v>32717814.297372892</v>
      </c>
      <c r="BU51" s="130">
        <f t="shared" si="47"/>
        <v>32717814.297372892</v>
      </c>
      <c r="BV51" s="130">
        <f t="shared" si="47"/>
        <v>32717814.297372892</v>
      </c>
      <c r="BW51" s="130">
        <f t="shared" si="47"/>
        <v>32717814.297372892</v>
      </c>
      <c r="BX51" s="130">
        <f t="shared" si="47"/>
        <v>32717814.297372892</v>
      </c>
      <c r="BY51" s="130">
        <f t="shared" si="47"/>
        <v>32717814.297372892</v>
      </c>
      <c r="BZ51" s="130">
        <f t="shared" si="47"/>
        <v>32717814.297372892</v>
      </c>
      <c r="CA51" s="130">
        <f t="shared" si="47"/>
        <v>32717814.297372892</v>
      </c>
      <c r="CB51" s="130">
        <f t="shared" si="47"/>
        <v>32717814.297372892</v>
      </c>
      <c r="CC51" s="130">
        <f t="shared" si="47"/>
        <v>32717814.297372892</v>
      </c>
      <c r="CD51" s="130">
        <f t="shared" si="47"/>
        <v>32717814.297372892</v>
      </c>
      <c r="CE51" s="130">
        <f t="shared" si="47"/>
        <v>32717814.297372892</v>
      </c>
      <c r="CF51" s="130">
        <f t="shared" si="47"/>
        <v>32717814.297372892</v>
      </c>
      <c r="CG51" s="130">
        <f t="shared" si="47"/>
        <v>32717814.297372892</v>
      </c>
      <c r="CH51" s="130">
        <f t="shared" si="47"/>
        <v>32717814.297372892</v>
      </c>
    </row>
    <row r="52" spans="1:86">
      <c r="A52" s="12" t="s">
        <v>72</v>
      </c>
      <c r="B52" s="12"/>
      <c r="C52" s="131">
        <f>C50-C51</f>
        <v>583333.33333333337</v>
      </c>
      <c r="D52" s="131">
        <f t="shared" ref="D52:BO52" si="48">D50-D51</f>
        <v>1750000</v>
      </c>
      <c r="E52" s="131">
        <f t="shared" si="48"/>
        <v>84976.851851851679</v>
      </c>
      <c r="F52" s="131">
        <f t="shared" si="48"/>
        <v>1359629.6296296292</v>
      </c>
      <c r="G52" s="131">
        <f t="shared" si="48"/>
        <v>2676770.8333333335</v>
      </c>
      <c r="H52" s="131">
        <f t="shared" si="48"/>
        <v>43574.241255143657</v>
      </c>
      <c r="I52" s="131">
        <f t="shared" si="48"/>
        <v>1394375.7201646091</v>
      </c>
      <c r="J52" s="131">
        <f t="shared" si="48"/>
        <v>2745177.1990740737</v>
      </c>
      <c r="K52" s="131">
        <f t="shared" si="48"/>
        <v>44687.80519832857</v>
      </c>
      <c r="L52" s="131">
        <f t="shared" si="48"/>
        <v>1430009.7663465906</v>
      </c>
      <c r="M52" s="131">
        <f t="shared" si="48"/>
        <v>2770643.9222965222</v>
      </c>
      <c r="N52" s="131">
        <f t="shared" si="48"/>
        <v>91634.827215019614</v>
      </c>
      <c r="O52" s="131">
        <f t="shared" si="48"/>
        <v>1511974.6490478627</v>
      </c>
      <c r="P52" s="131">
        <f t="shared" si="48"/>
        <v>2794862.2300581746</v>
      </c>
      <c r="Q52" s="131">
        <f t="shared" si="48"/>
        <v>93925.697895396501</v>
      </c>
      <c r="R52" s="131">
        <f t="shared" si="48"/>
        <v>1502811.1663263626</v>
      </c>
      <c r="S52" s="131">
        <f t="shared" si="48"/>
        <v>2958659.4837050289</v>
      </c>
      <c r="T52" s="131">
        <f t="shared" si="48"/>
        <v>48163.010643031448</v>
      </c>
      <c r="U52" s="131">
        <f t="shared" si="48"/>
        <v>1541216.3405769281</v>
      </c>
      <c r="V52" s="131">
        <f t="shared" si="48"/>
        <v>3034269.6705108248</v>
      </c>
      <c r="W52" s="131">
        <f t="shared" si="48"/>
        <v>49393.8431372419</v>
      </c>
      <c r="X52" s="131">
        <f t="shared" si="48"/>
        <v>1580602.9803916737</v>
      </c>
      <c r="Y52" s="131">
        <f t="shared" si="48"/>
        <v>3062418.2745088637</v>
      </c>
      <c r="Z52" s="131">
        <f t="shared" si="48"/>
        <v>101284.8194553107</v>
      </c>
      <c r="AA52" s="131">
        <f t="shared" si="48"/>
        <v>1268873.7103984281</v>
      </c>
      <c r="AB52" s="131">
        <f t="shared" si="48"/>
        <v>2740767.2144605964</v>
      </c>
      <c r="AC52" s="131">
        <f t="shared" si="48"/>
        <v>4309999.4140005931</v>
      </c>
      <c r="AD52" s="131">
        <f t="shared" si="48"/>
        <v>5770079.8461679295</v>
      </c>
      <c r="AE52" s="131">
        <f t="shared" si="48"/>
        <v>7278829.62607418</v>
      </c>
      <c r="AF52" s="131">
        <f t="shared" si="48"/>
        <v>8736898.0462515652</v>
      </c>
      <c r="AG52" s="131">
        <f t="shared" si="48"/>
        <v>10183275.454469226</v>
      </c>
      <c r="AH52" s="131">
        <f t="shared" si="48"/>
        <v>11629652.862686887</v>
      </c>
      <c r="AI52" s="131">
        <f t="shared" si="48"/>
        <v>13027309.505081452</v>
      </c>
      <c r="AJ52" s="131">
        <f t="shared" si="48"/>
        <v>14409720.581000715</v>
      </c>
      <c r="AK52" s="131">
        <f t="shared" si="48"/>
        <v>15747537.751245163</v>
      </c>
      <c r="AL52" s="131">
        <f t="shared" si="48"/>
        <v>17125691.72842031</v>
      </c>
      <c r="AM52" s="131">
        <f t="shared" si="48"/>
        <v>18442117.773805782</v>
      </c>
      <c r="AN52" s="131">
        <f t="shared" si="48"/>
        <v>19631147.750282988</v>
      </c>
      <c r="AO52" s="131">
        <f t="shared" si="48"/>
        <v>20943185.495063707</v>
      </c>
      <c r="AP52" s="131">
        <f t="shared" si="48"/>
        <v>22151321.675075032</v>
      </c>
      <c r="AQ52" s="131">
        <f t="shared" si="48"/>
        <v>23399729.061086737</v>
      </c>
      <c r="AR52" s="131">
        <f t="shared" si="48"/>
        <v>24605638.609930344</v>
      </c>
      <c r="AS52" s="131">
        <f t="shared" si="48"/>
        <v>25785020.429742821</v>
      </c>
      <c r="AT52" s="131">
        <f t="shared" si="48"/>
        <v>26964402.249555297</v>
      </c>
      <c r="AU52" s="131">
        <f t="shared" si="48"/>
        <v>28103455.960570894</v>
      </c>
      <c r="AV52" s="131">
        <f t="shared" si="48"/>
        <v>29212048.227492392</v>
      </c>
      <c r="AW52" s="131">
        <f t="shared" si="48"/>
        <v>30284879.453545459</v>
      </c>
      <c r="AX52" s="131">
        <f t="shared" si="48"/>
        <v>31388768.071335413</v>
      </c>
      <c r="AY52" s="131">
        <f t="shared" si="48"/>
        <v>32424453.776717909</v>
      </c>
      <c r="AZ52" s="131">
        <f t="shared" si="48"/>
        <v>33359911.833192423</v>
      </c>
      <c r="BA52" s="131">
        <f t="shared" si="48"/>
        <v>34390756.430970155</v>
      </c>
      <c r="BB52" s="131">
        <f t="shared" si="48"/>
        <v>35320416.305978522</v>
      </c>
      <c r="BC52" s="131">
        <f t="shared" si="48"/>
        <v>36281064.843487173</v>
      </c>
      <c r="BD52" s="131">
        <f t="shared" si="48"/>
        <v>37208260.866771713</v>
      </c>
      <c r="BE52" s="131">
        <f t="shared" si="48"/>
        <v>38092530.000841618</v>
      </c>
      <c r="BF52" s="131">
        <f t="shared" si="48"/>
        <v>38976799.134911522</v>
      </c>
      <c r="BG52" s="131">
        <f t="shared" si="48"/>
        <v>39827473.977440998</v>
      </c>
      <c r="BH52" s="131">
        <f t="shared" si="48"/>
        <v>40633166.15966925</v>
      </c>
      <c r="BI52" s="131">
        <f t="shared" si="48"/>
        <v>41412868.271503046</v>
      </c>
      <c r="BJ52" s="131">
        <f t="shared" si="48"/>
        <v>42210764.014773041</v>
      </c>
      <c r="BK52" s="131">
        <f t="shared" si="48"/>
        <v>42935892.994432554</v>
      </c>
      <c r="BL52" s="131">
        <f t="shared" si="48"/>
        <v>43590848.20186694</v>
      </c>
      <c r="BM52" s="131">
        <f t="shared" si="48"/>
        <v>44310648.171119973</v>
      </c>
      <c r="BN52" s="131">
        <f t="shared" si="48"/>
        <v>44932450.737273991</v>
      </c>
      <c r="BO52" s="131">
        <f t="shared" si="48"/>
        <v>45574980.055633143</v>
      </c>
      <c r="BP52" s="131">
        <f t="shared" ref="BP52:CH52" si="49">BP50-BP51</f>
        <v>46191318.90583986</v>
      </c>
      <c r="BQ52" s="131">
        <f t="shared" si="49"/>
        <v>46749160.627015799</v>
      </c>
      <c r="BR52" s="131">
        <f t="shared" si="49"/>
        <v>47307002.348191738</v>
      </c>
      <c r="BS52" s="131">
        <f t="shared" si="49"/>
        <v>47838446.435318902</v>
      </c>
      <c r="BT52" s="131">
        <f t="shared" si="49"/>
        <v>48309459.845049486</v>
      </c>
      <c r="BU52" s="131">
        <f t="shared" si="49"/>
        <v>48765279.273821026</v>
      </c>
      <c r="BV52" s="131">
        <f t="shared" si="49"/>
        <v>49224805.827008784</v>
      </c>
      <c r="BW52" s="131">
        <f t="shared" si="49"/>
        <v>49606796.098532483</v>
      </c>
      <c r="BX52" s="131">
        <f t="shared" si="49"/>
        <v>49964141.836409494</v>
      </c>
      <c r="BY52" s="131">
        <f t="shared" si="49"/>
        <v>50334354.889183313</v>
      </c>
      <c r="BZ52" s="131">
        <f t="shared" si="49"/>
        <v>50615693.753259569</v>
      </c>
      <c r="CA52" s="131">
        <f t="shared" si="49"/>
        <v>50906410.579471707</v>
      </c>
      <c r="CB52" s="131">
        <f t="shared" si="49"/>
        <v>51184738.52834934</v>
      </c>
      <c r="CC52" s="131">
        <f t="shared" si="49"/>
        <v>51382116.98340416</v>
      </c>
      <c r="CD52" s="131">
        <f t="shared" si="49"/>
        <v>51579495.438458979</v>
      </c>
      <c r="CE52" s="131">
        <f t="shared" si="49"/>
        <v>51767413.775788322</v>
      </c>
      <c r="CF52" s="131">
        <f t="shared" si="49"/>
        <v>51868907.03640835</v>
      </c>
      <c r="CG52" s="131">
        <f t="shared" si="49"/>
        <v>51967126.320879355</v>
      </c>
      <c r="CH52" s="131">
        <f t="shared" si="49"/>
        <v>52062071.629201323</v>
      </c>
    </row>
    <row r="53" spans="1:86">
      <c r="A53" s="3" t="s">
        <v>73</v>
      </c>
      <c r="C53" s="132">
        <f>Summary!B26</f>
        <v>0</v>
      </c>
      <c r="D53" s="132">
        <f>Summary!C26</f>
        <v>0</v>
      </c>
      <c r="E53" s="132">
        <f>Summary!D26</f>
        <v>0</v>
      </c>
      <c r="F53" s="132">
        <f>Summary!E26</f>
        <v>0</v>
      </c>
      <c r="G53" s="132">
        <f>Summary!F26</f>
        <v>0</v>
      </c>
      <c r="H53" s="132">
        <f>Summary!G26</f>
        <v>0</v>
      </c>
      <c r="I53" s="132">
        <f>Summary!H26</f>
        <v>0</v>
      </c>
      <c r="J53" s="132">
        <f>Summary!I26</f>
        <v>0</v>
      </c>
      <c r="K53" s="132">
        <f>Summary!J26</f>
        <v>0</v>
      </c>
      <c r="L53" s="132">
        <f>Summary!K26</f>
        <v>0</v>
      </c>
      <c r="M53" s="132">
        <f>Summary!L26</f>
        <v>0</v>
      </c>
      <c r="N53" s="132">
        <f>Summary!M26</f>
        <v>0</v>
      </c>
      <c r="O53" s="132">
        <f>Summary!N26</f>
        <v>0</v>
      </c>
      <c r="P53" s="132">
        <f>Summary!O26</f>
        <v>0</v>
      </c>
      <c r="Q53" s="132">
        <f>Summary!P26</f>
        <v>0</v>
      </c>
      <c r="R53" s="132">
        <f>Summary!Q26</f>
        <v>0</v>
      </c>
      <c r="S53" s="132">
        <f>Summary!R26</f>
        <v>0</v>
      </c>
      <c r="T53" s="132">
        <f>Summary!S26</f>
        <v>0</v>
      </c>
      <c r="U53" s="132">
        <f>Summary!T26</f>
        <v>0</v>
      </c>
      <c r="V53" s="132">
        <f>Summary!U26</f>
        <v>0</v>
      </c>
      <c r="W53" s="132">
        <f>Summary!V26</f>
        <v>0</v>
      </c>
      <c r="X53" s="132">
        <f>Summary!W26</f>
        <v>0</v>
      </c>
      <c r="Y53" s="132">
        <f>Summary!X26</f>
        <v>0</v>
      </c>
      <c r="Z53" s="132">
        <f>Summary!Y26</f>
        <v>0</v>
      </c>
      <c r="AA53" s="132">
        <f>Summary!Z26</f>
        <v>0</v>
      </c>
      <c r="AB53" s="132">
        <f>Summary!AA26</f>
        <v>0</v>
      </c>
      <c r="AC53" s="132">
        <f>Summary!AB26</f>
        <v>0</v>
      </c>
      <c r="AD53" s="132">
        <f>Summary!AC26</f>
        <v>0</v>
      </c>
      <c r="AE53" s="132">
        <f>Summary!AD26</f>
        <v>0</v>
      </c>
      <c r="AF53" s="132">
        <f>Summary!AE26</f>
        <v>0</v>
      </c>
      <c r="AG53" s="132">
        <f>Summary!AF26</f>
        <v>0</v>
      </c>
      <c r="AH53" s="132">
        <f>Summary!AG26</f>
        <v>0</v>
      </c>
      <c r="AI53" s="132">
        <f>Summary!AH26</f>
        <v>12982715.59940663</v>
      </c>
      <c r="AJ53" s="132">
        <f>Summary!AI26</f>
        <v>12982715.59940663</v>
      </c>
      <c r="AK53" s="132">
        <f>Summary!AJ26</f>
        <v>12982715.59940663</v>
      </c>
      <c r="AL53" s="132">
        <f>Summary!AK26</f>
        <v>17040761.015814781</v>
      </c>
      <c r="AM53" s="132">
        <f>Summary!AL26</f>
        <v>17040761.015814781</v>
      </c>
      <c r="AN53" s="132">
        <f>Summary!AM26</f>
        <v>17040761.015814781</v>
      </c>
      <c r="AO53" s="132">
        <f>Summary!AN26</f>
        <v>20862643.083062936</v>
      </c>
      <c r="AP53" s="132">
        <f>Summary!AO26</f>
        <v>20862643.083062936</v>
      </c>
      <c r="AQ53" s="132">
        <f>Summary!AP26</f>
        <v>20862643.083062936</v>
      </c>
      <c r="AR53" s="132">
        <f>Summary!AQ26</f>
        <v>24567594.035097666</v>
      </c>
      <c r="AS53" s="132">
        <f>Summary!AR26</f>
        <v>24567594.035097666</v>
      </c>
      <c r="AT53" s="132">
        <f>Summary!AS26</f>
        <v>24567594.035097666</v>
      </c>
      <c r="AU53" s="132">
        <f>Summary!AT26</f>
        <v>28067694.919702444</v>
      </c>
      <c r="AV53" s="132">
        <f>Summary!AU26</f>
        <v>28067694.919702444</v>
      </c>
      <c r="AW53" s="132">
        <f>Summary!AV26</f>
        <v>28067694.919702444</v>
      </c>
      <c r="AX53" s="132">
        <f>Summary!AW26</f>
        <v>31321949.638730071</v>
      </c>
      <c r="AY53" s="132">
        <f>Summary!AX26</f>
        <v>31321949.638730071</v>
      </c>
      <c r="AZ53" s="132">
        <f>Summary!AY26</f>
        <v>31321949.638730071</v>
      </c>
      <c r="BA53" s="132">
        <f>Summary!AZ26</f>
        <v>34328779.105969571</v>
      </c>
      <c r="BB53" s="132">
        <f>Summary!BA26</f>
        <v>34328779.105969571</v>
      </c>
      <c r="BC53" s="132">
        <f>Summary!BB26</f>
        <v>34328779.105969571</v>
      </c>
      <c r="BD53" s="132">
        <f>Summary!BC26</f>
        <v>37179736.055995233</v>
      </c>
      <c r="BE53" s="132">
        <f>Summary!BD26</f>
        <v>37179736.055995233</v>
      </c>
      <c r="BF53" s="132">
        <f>Summary!BE26</f>
        <v>37179736.055995233</v>
      </c>
      <c r="BG53" s="132">
        <f>Summary!BF26</f>
        <v>39775493.83665204</v>
      </c>
      <c r="BH53" s="132">
        <f>Summary!BG26</f>
        <v>39775493.83665204</v>
      </c>
      <c r="BI53" s="132">
        <f>Summary!BH26</f>
        <v>39775493.83665204</v>
      </c>
      <c r="BJ53" s="132">
        <f>Summary!BI26</f>
        <v>42140590.242547899</v>
      </c>
      <c r="BK53" s="132">
        <f>Summary!BJ26</f>
        <v>42140590.242547899</v>
      </c>
      <c r="BL53" s="132">
        <f>Summary!BK26</f>
        <v>42140590.242547899</v>
      </c>
      <c r="BM53" s="132">
        <f>Summary!BL26</f>
        <v>44269194.666709676</v>
      </c>
      <c r="BN53" s="132">
        <f>Summary!BM26</f>
        <v>44269194.666709676</v>
      </c>
      <c r="BO53" s="132">
        <f>Summary!BN26</f>
        <v>44269194.666709676</v>
      </c>
      <c r="BP53" s="132">
        <f>Summary!BO26</f>
        <v>46155329.117376879</v>
      </c>
      <c r="BQ53" s="132">
        <f>Summary!BP26</f>
        <v>46155329.117376879</v>
      </c>
      <c r="BR53" s="132">
        <f>Summary!BQ26</f>
        <v>46155329.117376879</v>
      </c>
      <c r="BS53" s="132">
        <f>Summary!BR26</f>
        <v>47792864.492441721</v>
      </c>
      <c r="BT53" s="132">
        <f>Summary!BS26</f>
        <v>47792864.492441721</v>
      </c>
      <c r="BU53" s="132">
        <f>Summary!BT26</f>
        <v>47792864.492441721</v>
      </c>
      <c r="BV53" s="132">
        <f>Summary!BU26</f>
        <v>49175516.759715371</v>
      </c>
      <c r="BW53" s="132">
        <f>Summary!BV26</f>
        <v>49175516.759715371</v>
      </c>
      <c r="BX53" s="132">
        <f>Summary!BW26</f>
        <v>49175516.759715371</v>
      </c>
      <c r="BY53" s="132">
        <f>Summary!BX26</f>
        <v>50296843.040639773</v>
      </c>
      <c r="BZ53" s="132">
        <f>Summary!BY26</f>
        <v>50296843.040639773</v>
      </c>
      <c r="CA53" s="132">
        <f>Summary!BZ26</f>
        <v>50296843.040639773</v>
      </c>
      <c r="CB53" s="132">
        <f>Summary!CA26</f>
        <v>51178371.481412053</v>
      </c>
      <c r="CC53" s="132">
        <f>Summary!CB26</f>
        <v>51178371.481412053</v>
      </c>
      <c r="CD53" s="132">
        <f>Summary!CC26</f>
        <v>51178371.481412053</v>
      </c>
      <c r="CE53" s="132">
        <f>Summary!CD26</f>
        <v>51764139.799639262</v>
      </c>
      <c r="CF53" s="132">
        <f>Summary!CE26</f>
        <v>51764139.799639262</v>
      </c>
      <c r="CG53" s="132">
        <f>Summary!CF26</f>
        <v>51764139.799639262</v>
      </c>
      <c r="CH53" s="132">
        <f>Summary!CG26</f>
        <v>52062071.629201293</v>
      </c>
    </row>
    <row r="54" spans="1:86">
      <c r="A54" s="12" t="s">
        <v>74</v>
      </c>
      <c r="B54" s="12"/>
      <c r="C54" s="131">
        <f>C52-C53</f>
        <v>583333.33333333337</v>
      </c>
      <c r="D54" s="131">
        <f t="shared" ref="D54:BO54" si="50">D52-D53</f>
        <v>1750000</v>
      </c>
      <c r="E54" s="131">
        <f t="shared" si="50"/>
        <v>84976.851851851679</v>
      </c>
      <c r="F54" s="131">
        <f t="shared" si="50"/>
        <v>1359629.6296296292</v>
      </c>
      <c r="G54" s="131">
        <f t="shared" si="50"/>
        <v>2676770.8333333335</v>
      </c>
      <c r="H54" s="131">
        <f t="shared" si="50"/>
        <v>43574.241255143657</v>
      </c>
      <c r="I54" s="131">
        <f t="shared" si="50"/>
        <v>1394375.7201646091</v>
      </c>
      <c r="J54" s="131">
        <f t="shared" si="50"/>
        <v>2745177.1990740737</v>
      </c>
      <c r="K54" s="131">
        <f t="shared" si="50"/>
        <v>44687.80519832857</v>
      </c>
      <c r="L54" s="131">
        <f t="shared" si="50"/>
        <v>1430009.7663465906</v>
      </c>
      <c r="M54" s="131">
        <f t="shared" si="50"/>
        <v>2770643.9222965222</v>
      </c>
      <c r="N54" s="131">
        <f t="shared" si="50"/>
        <v>91634.827215019614</v>
      </c>
      <c r="O54" s="131">
        <f t="shared" si="50"/>
        <v>1511974.6490478627</v>
      </c>
      <c r="P54" s="131">
        <f t="shared" si="50"/>
        <v>2794862.2300581746</v>
      </c>
      <c r="Q54" s="131">
        <f t="shared" si="50"/>
        <v>93925.697895396501</v>
      </c>
      <c r="R54" s="131">
        <f t="shared" si="50"/>
        <v>1502811.1663263626</v>
      </c>
      <c r="S54" s="131">
        <f t="shared" si="50"/>
        <v>2958659.4837050289</v>
      </c>
      <c r="T54" s="131">
        <f t="shared" si="50"/>
        <v>48163.010643031448</v>
      </c>
      <c r="U54" s="131">
        <f t="shared" si="50"/>
        <v>1541216.3405769281</v>
      </c>
      <c r="V54" s="131">
        <f t="shared" si="50"/>
        <v>3034269.6705108248</v>
      </c>
      <c r="W54" s="131">
        <f t="shared" si="50"/>
        <v>49393.8431372419</v>
      </c>
      <c r="X54" s="131">
        <f t="shared" si="50"/>
        <v>1580602.9803916737</v>
      </c>
      <c r="Y54" s="131">
        <f t="shared" si="50"/>
        <v>3062418.2745088637</v>
      </c>
      <c r="Z54" s="131">
        <f t="shared" si="50"/>
        <v>101284.8194553107</v>
      </c>
      <c r="AA54" s="131">
        <f t="shared" si="50"/>
        <v>1268873.7103984281</v>
      </c>
      <c r="AB54" s="131">
        <f t="shared" si="50"/>
        <v>2740767.2144605964</v>
      </c>
      <c r="AC54" s="131">
        <f t="shared" si="50"/>
        <v>4309999.4140005931</v>
      </c>
      <c r="AD54" s="131">
        <f t="shared" si="50"/>
        <v>5770079.8461679295</v>
      </c>
      <c r="AE54" s="131">
        <f t="shared" si="50"/>
        <v>7278829.62607418</v>
      </c>
      <c r="AF54" s="131">
        <f t="shared" si="50"/>
        <v>8736898.0462515652</v>
      </c>
      <c r="AG54" s="131">
        <f t="shared" si="50"/>
        <v>10183275.454469226</v>
      </c>
      <c r="AH54" s="131">
        <f t="shared" si="50"/>
        <v>11629652.862686887</v>
      </c>
      <c r="AI54" s="131">
        <f t="shared" si="50"/>
        <v>44593.905674822628</v>
      </c>
      <c r="AJ54" s="131">
        <f t="shared" si="50"/>
        <v>1427004.9815940857</v>
      </c>
      <c r="AK54" s="131">
        <f t="shared" si="50"/>
        <v>2764822.1518385336</v>
      </c>
      <c r="AL54" s="131">
        <f t="shared" si="50"/>
        <v>84930.712605528533</v>
      </c>
      <c r="AM54" s="131">
        <f t="shared" si="50"/>
        <v>1401356.757991001</v>
      </c>
      <c r="AN54" s="131">
        <f t="shared" si="50"/>
        <v>2590386.7344682068</v>
      </c>
      <c r="AO54" s="131">
        <f t="shared" si="50"/>
        <v>80542.412000771612</v>
      </c>
      <c r="AP54" s="131">
        <f t="shared" si="50"/>
        <v>1288678.5920120962</v>
      </c>
      <c r="AQ54" s="131">
        <f t="shared" si="50"/>
        <v>2537085.978023801</v>
      </c>
      <c r="AR54" s="131">
        <f t="shared" si="50"/>
        <v>38044.574832677841</v>
      </c>
      <c r="AS54" s="131">
        <f t="shared" si="50"/>
        <v>1217426.3946451545</v>
      </c>
      <c r="AT54" s="131">
        <f t="shared" si="50"/>
        <v>2396808.2144576311</v>
      </c>
      <c r="AU54" s="131">
        <f t="shared" si="50"/>
        <v>35761.040868449956</v>
      </c>
      <c r="AV54" s="131">
        <f t="shared" si="50"/>
        <v>1144353.3077899478</v>
      </c>
      <c r="AW54" s="131">
        <f t="shared" si="50"/>
        <v>2217184.5338430144</v>
      </c>
      <c r="AX54" s="131">
        <f t="shared" si="50"/>
        <v>66818.432605341077</v>
      </c>
      <c r="AY54" s="131">
        <f t="shared" si="50"/>
        <v>1102504.1379878372</v>
      </c>
      <c r="AZ54" s="131">
        <f t="shared" si="50"/>
        <v>2037962.1944623515</v>
      </c>
      <c r="BA54" s="131">
        <f t="shared" si="50"/>
        <v>61977.325000584126</v>
      </c>
      <c r="BB54" s="131">
        <f t="shared" si="50"/>
        <v>991637.20000895113</v>
      </c>
      <c r="BC54" s="131">
        <f t="shared" si="50"/>
        <v>1952285.7375176027</v>
      </c>
      <c r="BD54" s="131">
        <f t="shared" si="50"/>
        <v>28524.810776479542</v>
      </c>
      <c r="BE54" s="131">
        <f t="shared" si="50"/>
        <v>912793.94484638423</v>
      </c>
      <c r="BF54" s="131">
        <f t="shared" si="50"/>
        <v>1797063.0789162889</v>
      </c>
      <c r="BG54" s="131">
        <f t="shared" si="50"/>
        <v>51980.140788957477</v>
      </c>
      <c r="BH54" s="131">
        <f t="shared" si="50"/>
        <v>857672.32301720977</v>
      </c>
      <c r="BI54" s="131">
        <f t="shared" si="50"/>
        <v>1637374.4348510057</v>
      </c>
      <c r="BJ54" s="131">
        <f t="shared" si="50"/>
        <v>70173.772225141525</v>
      </c>
      <c r="BK54" s="131">
        <f t="shared" si="50"/>
        <v>795302.75188465416</v>
      </c>
      <c r="BL54" s="131">
        <f t="shared" si="50"/>
        <v>1450257.9593190402</v>
      </c>
      <c r="BM54" s="131">
        <f t="shared" si="50"/>
        <v>41453.504410296679</v>
      </c>
      <c r="BN54" s="131">
        <f t="shared" si="50"/>
        <v>663256.07056431472</v>
      </c>
      <c r="BO54" s="131">
        <f t="shared" si="50"/>
        <v>1305785.3889234662</v>
      </c>
      <c r="BP54" s="131">
        <f t="shared" ref="BP54:CH54" si="51">BP52-BP53</f>
        <v>35989.788462981582</v>
      </c>
      <c r="BQ54" s="131">
        <f t="shared" si="51"/>
        <v>593831.50963892043</v>
      </c>
      <c r="BR54" s="131">
        <f t="shared" si="51"/>
        <v>1151673.2308148593</v>
      </c>
      <c r="BS54" s="131">
        <f t="shared" si="51"/>
        <v>45581.942877180874</v>
      </c>
      <c r="BT54" s="131">
        <f t="shared" si="51"/>
        <v>516595.3526077643</v>
      </c>
      <c r="BU54" s="131">
        <f t="shared" si="51"/>
        <v>972414.78137930483</v>
      </c>
      <c r="BV54" s="131">
        <f t="shared" si="51"/>
        <v>49289.067293412983</v>
      </c>
      <c r="BW54" s="131">
        <f t="shared" si="51"/>
        <v>431279.33881711215</v>
      </c>
      <c r="BX54" s="131">
        <f t="shared" si="51"/>
        <v>788625.07669412345</v>
      </c>
      <c r="BY54" s="131">
        <f t="shared" si="51"/>
        <v>37511.848543539643</v>
      </c>
      <c r="BZ54" s="131">
        <f t="shared" si="51"/>
        <v>318850.7126197964</v>
      </c>
      <c r="CA54" s="131">
        <f t="shared" si="51"/>
        <v>609567.53883193433</v>
      </c>
      <c r="CB54" s="131">
        <f t="shared" si="51"/>
        <v>6367.0469372868538</v>
      </c>
      <c r="CC54" s="131">
        <f t="shared" si="51"/>
        <v>203745.50199210644</v>
      </c>
      <c r="CD54" s="131">
        <f t="shared" si="51"/>
        <v>401123.95704692602</v>
      </c>
      <c r="CE54" s="131">
        <f t="shared" si="51"/>
        <v>3273.9761490598321</v>
      </c>
      <c r="CF54" s="131">
        <f t="shared" si="51"/>
        <v>104767.23676908761</v>
      </c>
      <c r="CG54" s="131">
        <f t="shared" si="51"/>
        <v>202986.52124009281</v>
      </c>
      <c r="CH54" s="131">
        <f t="shared" si="51"/>
        <v>0</v>
      </c>
    </row>
  </sheetData>
  <mergeCells count="1">
    <mergeCell ref="B25:J25"/>
  </mergeCells>
  <phoneticPr fontId="0" type="noConversion"/>
  <pageMargins left="0.42" right="0.28000000000000003" top="0.25" bottom="0.21" header="0.23" footer="0.19"/>
  <pageSetup paperSize="9" scale="90" orientation="landscape" horizontalDpi="4294967292" verticalDpi="1200" r:id="rId1"/>
  <headerFooter alignWithMargins="0"/>
  <ignoredErrors>
    <ignoredError sqref="L40:U40 C32:E32 K34:T34 B40:I40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35"/>
  <sheetViews>
    <sheetView showGridLines="0" workbookViewId="0">
      <selection activeCell="E10" sqref="E10"/>
    </sheetView>
  </sheetViews>
  <sheetFormatPr defaultColWidth="9.5703125" defaultRowHeight="13.9"/>
  <cols>
    <col min="1" max="1" width="30.5703125" style="22" customWidth="1"/>
    <col min="2" max="2" width="18.140625" style="22" customWidth="1"/>
    <col min="3" max="22" width="12.28515625" style="22" bestFit="1" customWidth="1"/>
    <col min="23" max="84" width="10.85546875" style="22" bestFit="1" customWidth="1"/>
    <col min="85" max="96" width="12.28515625" style="22" bestFit="1" customWidth="1"/>
    <col min="97" max="143" width="9.5703125" style="22" bestFit="1" customWidth="1"/>
    <col min="144" max="16384" width="9.5703125" style="22"/>
  </cols>
  <sheetData>
    <row r="1" spans="1:74" s="18" customFormat="1" ht="14.45">
      <c r="A1" s="17" t="s">
        <v>39</v>
      </c>
      <c r="B1" s="10" t="str">
        <f>IHL_Loan!C1</f>
        <v>Imperial Hospital Limited (IHL)</v>
      </c>
    </row>
    <row r="3" spans="1:74" s="20" customFormat="1" ht="18">
      <c r="A3" s="19" t="s">
        <v>75</v>
      </c>
    </row>
    <row r="4" spans="1:74" s="18" customFormat="1" ht="14.45">
      <c r="A4" s="17"/>
    </row>
    <row r="5" spans="1:74" s="21" customFormat="1">
      <c r="A5" s="21" t="s">
        <v>40</v>
      </c>
      <c r="B5" s="67">
        <f>IHL_Loan!C3</f>
        <v>42831</v>
      </c>
    </row>
    <row r="6" spans="1:74">
      <c r="B6" s="50"/>
    </row>
    <row r="7" spans="1:74">
      <c r="A7" s="21" t="s">
        <v>41</v>
      </c>
      <c r="B7" s="71">
        <f>IHL_Loan!C5</f>
        <v>182760434.63</v>
      </c>
      <c r="C7" s="21" t="s">
        <v>3</v>
      </c>
    </row>
    <row r="8" spans="1:74">
      <c r="A8" s="21"/>
      <c r="B8" s="50"/>
    </row>
    <row r="9" spans="1:74">
      <c r="A9" s="21" t="s">
        <v>45</v>
      </c>
      <c r="B9" s="72">
        <f>IHL_Loan!C8</f>
        <v>0.1</v>
      </c>
    </row>
    <row r="10" spans="1:74">
      <c r="A10" s="21" t="s">
        <v>76</v>
      </c>
      <c r="B10" s="50" t="s">
        <v>77</v>
      </c>
    </row>
    <row r="11" spans="1:74">
      <c r="A11" s="21" t="s">
        <v>50</v>
      </c>
      <c r="B11" s="49">
        <v>360</v>
      </c>
      <c r="C11" s="22" t="s">
        <v>78</v>
      </c>
    </row>
    <row r="12" spans="1:74">
      <c r="A12" s="21" t="s">
        <v>14</v>
      </c>
      <c r="B12" s="114" t="str">
        <f>IHL_Loan!C11</f>
        <v>Annuity</v>
      </c>
    </row>
    <row r="13" spans="1:74">
      <c r="A13" s="21"/>
      <c r="B13" s="13"/>
    </row>
    <row r="14" spans="1:74" s="23" customFormat="1">
      <c r="A14" s="56" t="s">
        <v>53</v>
      </c>
      <c r="B14" s="53"/>
      <c r="C14" s="55"/>
      <c r="D14" s="3"/>
      <c r="E14" s="3"/>
      <c r="F14" s="3"/>
      <c r="G14" s="3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</row>
    <row r="15" spans="1:74">
      <c r="A15" s="57"/>
      <c r="B15" s="58"/>
      <c r="C15" s="58">
        <f>IHL_Loan!C16</f>
        <v>43118</v>
      </c>
      <c r="D15" s="58"/>
      <c r="E15" s="58"/>
      <c r="F15" s="58"/>
      <c r="G15" s="58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</row>
    <row r="16" spans="1:74">
      <c r="A16" s="59"/>
      <c r="B16" s="60"/>
      <c r="C16" s="63">
        <f>IHL_Loan!C17</f>
        <v>150000000</v>
      </c>
      <c r="D16" s="63"/>
      <c r="E16" s="63"/>
      <c r="F16" s="63"/>
      <c r="G16" s="64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29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29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</row>
    <row r="17" spans="1:96" s="23" customFormat="1" ht="13.5" customHeight="1">
      <c r="A17" s="61"/>
      <c r="B17" s="62"/>
      <c r="C17" s="65">
        <f>C16</f>
        <v>150000000</v>
      </c>
      <c r="D17" s="65"/>
      <c r="E17" s="65"/>
      <c r="F17" s="65"/>
      <c r="G17" s="66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</row>
    <row r="18" spans="1:96" s="23" customFormat="1" ht="13.5" customHeight="1">
      <c r="A18" s="21"/>
      <c r="B18" s="24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9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I18" s="29"/>
    </row>
    <row r="19" spans="1:96" s="23" customFormat="1" ht="13.5" customHeight="1">
      <c r="A19" s="14" t="s">
        <v>54</v>
      </c>
      <c r="B19" s="115">
        <v>43069</v>
      </c>
      <c r="C19" s="115">
        <f>EDATE(B19,1)</f>
        <v>43099</v>
      </c>
      <c r="D19" s="115">
        <f>EDATE(C19,1)</f>
        <v>43130</v>
      </c>
      <c r="E19" s="115">
        <f t="shared" ref="E19:BP19" si="0">EDATE(D19,1)</f>
        <v>43159</v>
      </c>
      <c r="F19" s="115">
        <f t="shared" si="0"/>
        <v>43187</v>
      </c>
      <c r="G19" s="115">
        <f t="shared" si="0"/>
        <v>43218</v>
      </c>
      <c r="H19" s="115">
        <f t="shared" si="0"/>
        <v>43248</v>
      </c>
      <c r="I19" s="115">
        <f t="shared" si="0"/>
        <v>43279</v>
      </c>
      <c r="J19" s="115">
        <f t="shared" si="0"/>
        <v>43309</v>
      </c>
      <c r="K19" s="115">
        <f t="shared" si="0"/>
        <v>43340</v>
      </c>
      <c r="L19" s="115">
        <f t="shared" si="0"/>
        <v>43371</v>
      </c>
      <c r="M19" s="115">
        <f t="shared" si="0"/>
        <v>43401</v>
      </c>
      <c r="N19" s="115">
        <f t="shared" si="0"/>
        <v>43432</v>
      </c>
      <c r="O19" s="115">
        <f t="shared" si="0"/>
        <v>43462</v>
      </c>
      <c r="P19" s="115">
        <f t="shared" si="0"/>
        <v>43493</v>
      </c>
      <c r="Q19" s="115">
        <f t="shared" si="0"/>
        <v>43524</v>
      </c>
      <c r="R19" s="115">
        <f t="shared" si="0"/>
        <v>43552</v>
      </c>
      <c r="S19" s="115">
        <f t="shared" si="0"/>
        <v>43583</v>
      </c>
      <c r="T19" s="115">
        <f t="shared" si="0"/>
        <v>43613</v>
      </c>
      <c r="U19" s="115">
        <f t="shared" si="0"/>
        <v>43644</v>
      </c>
      <c r="V19" s="115">
        <f t="shared" si="0"/>
        <v>43674</v>
      </c>
      <c r="W19" s="115">
        <f t="shared" si="0"/>
        <v>43705</v>
      </c>
      <c r="X19" s="115">
        <f t="shared" si="0"/>
        <v>43736</v>
      </c>
      <c r="Y19" s="115">
        <f t="shared" si="0"/>
        <v>43766</v>
      </c>
      <c r="Z19" s="115">
        <f t="shared" si="0"/>
        <v>43797</v>
      </c>
      <c r="AA19" s="115">
        <f t="shared" si="0"/>
        <v>43827</v>
      </c>
      <c r="AB19" s="115">
        <f t="shared" si="0"/>
        <v>43858</v>
      </c>
      <c r="AC19" s="115">
        <f t="shared" si="0"/>
        <v>43889</v>
      </c>
      <c r="AD19" s="115">
        <f t="shared" si="0"/>
        <v>43918</v>
      </c>
      <c r="AE19" s="115">
        <f t="shared" si="0"/>
        <v>43949</v>
      </c>
      <c r="AF19" s="115">
        <f t="shared" si="0"/>
        <v>43979</v>
      </c>
      <c r="AG19" s="115">
        <f t="shared" si="0"/>
        <v>44010</v>
      </c>
      <c r="AH19" s="115">
        <f t="shared" si="0"/>
        <v>44040</v>
      </c>
      <c r="AI19" s="115">
        <f t="shared" si="0"/>
        <v>44071</v>
      </c>
      <c r="AJ19" s="115">
        <f t="shared" si="0"/>
        <v>44102</v>
      </c>
      <c r="AK19" s="115">
        <f t="shared" si="0"/>
        <v>44132</v>
      </c>
      <c r="AL19" s="115">
        <f t="shared" si="0"/>
        <v>44163</v>
      </c>
      <c r="AM19" s="115">
        <f t="shared" si="0"/>
        <v>44193</v>
      </c>
      <c r="AN19" s="115">
        <f t="shared" si="0"/>
        <v>44224</v>
      </c>
      <c r="AO19" s="115">
        <f t="shared" si="0"/>
        <v>44255</v>
      </c>
      <c r="AP19" s="115">
        <f t="shared" si="0"/>
        <v>44283</v>
      </c>
      <c r="AQ19" s="115">
        <f t="shared" si="0"/>
        <v>44314</v>
      </c>
      <c r="AR19" s="115">
        <f t="shared" si="0"/>
        <v>44344</v>
      </c>
      <c r="AS19" s="115">
        <f t="shared" si="0"/>
        <v>44375</v>
      </c>
      <c r="AT19" s="115">
        <f t="shared" si="0"/>
        <v>44405</v>
      </c>
      <c r="AU19" s="115">
        <f t="shared" si="0"/>
        <v>44436</v>
      </c>
      <c r="AV19" s="115">
        <f t="shared" si="0"/>
        <v>44467</v>
      </c>
      <c r="AW19" s="115">
        <f t="shared" si="0"/>
        <v>44497</v>
      </c>
      <c r="AX19" s="115">
        <f t="shared" si="0"/>
        <v>44528</v>
      </c>
      <c r="AY19" s="115">
        <f t="shared" si="0"/>
        <v>44558</v>
      </c>
      <c r="AZ19" s="115">
        <f t="shared" si="0"/>
        <v>44589</v>
      </c>
      <c r="BA19" s="115">
        <f t="shared" si="0"/>
        <v>44620</v>
      </c>
      <c r="BB19" s="115">
        <f t="shared" si="0"/>
        <v>44648</v>
      </c>
      <c r="BC19" s="115">
        <f t="shared" si="0"/>
        <v>44679</v>
      </c>
      <c r="BD19" s="115">
        <f t="shared" si="0"/>
        <v>44709</v>
      </c>
      <c r="BE19" s="115">
        <f t="shared" si="0"/>
        <v>44740</v>
      </c>
      <c r="BF19" s="115">
        <f t="shared" si="0"/>
        <v>44770</v>
      </c>
      <c r="BG19" s="115">
        <f t="shared" si="0"/>
        <v>44801</v>
      </c>
      <c r="BH19" s="115">
        <f t="shared" si="0"/>
        <v>44832</v>
      </c>
      <c r="BI19" s="115">
        <f t="shared" si="0"/>
        <v>44862</v>
      </c>
      <c r="BJ19" s="115">
        <f t="shared" si="0"/>
        <v>44893</v>
      </c>
      <c r="BK19" s="115">
        <f t="shared" si="0"/>
        <v>44923</v>
      </c>
      <c r="BL19" s="115">
        <f t="shared" si="0"/>
        <v>44954</v>
      </c>
      <c r="BM19" s="115">
        <f t="shared" si="0"/>
        <v>44985</v>
      </c>
      <c r="BN19" s="115">
        <f t="shared" si="0"/>
        <v>45013</v>
      </c>
      <c r="BO19" s="115">
        <f t="shared" si="0"/>
        <v>45044</v>
      </c>
      <c r="BP19" s="115">
        <f t="shared" si="0"/>
        <v>45074</v>
      </c>
      <c r="BQ19" s="115">
        <f t="shared" ref="BQ19:CG19" si="1">EDATE(BP19,1)</f>
        <v>45105</v>
      </c>
      <c r="BR19" s="115">
        <f t="shared" si="1"/>
        <v>45135</v>
      </c>
      <c r="BS19" s="115">
        <f t="shared" si="1"/>
        <v>45166</v>
      </c>
      <c r="BT19" s="115">
        <f t="shared" si="1"/>
        <v>45197</v>
      </c>
      <c r="BU19" s="115">
        <f t="shared" si="1"/>
        <v>45227</v>
      </c>
      <c r="BV19" s="115">
        <f t="shared" si="1"/>
        <v>45258</v>
      </c>
      <c r="BW19" s="115">
        <f t="shared" si="1"/>
        <v>45288</v>
      </c>
      <c r="BX19" s="115">
        <f t="shared" si="1"/>
        <v>45319</v>
      </c>
      <c r="BY19" s="115">
        <f t="shared" si="1"/>
        <v>45350</v>
      </c>
      <c r="BZ19" s="115">
        <f t="shared" si="1"/>
        <v>45379</v>
      </c>
      <c r="CA19" s="115">
        <f t="shared" si="1"/>
        <v>45410</v>
      </c>
      <c r="CB19" s="115">
        <f t="shared" si="1"/>
        <v>45440</v>
      </c>
      <c r="CC19" s="115">
        <f t="shared" si="1"/>
        <v>45471</v>
      </c>
      <c r="CD19" s="115">
        <f t="shared" si="1"/>
        <v>45501</v>
      </c>
      <c r="CE19" s="115">
        <f t="shared" si="1"/>
        <v>45532</v>
      </c>
      <c r="CF19" s="115">
        <f t="shared" si="1"/>
        <v>45563</v>
      </c>
      <c r="CG19" s="115">
        <f t="shared" si="1"/>
        <v>45593</v>
      </c>
      <c r="CH19" s="115"/>
      <c r="CI19" s="115"/>
      <c r="CJ19" s="115"/>
      <c r="CK19" s="115"/>
      <c r="CL19" s="115"/>
      <c r="CM19" s="115"/>
      <c r="CN19" s="115"/>
      <c r="CO19" s="115"/>
      <c r="CP19" s="115"/>
      <c r="CQ19" s="115"/>
      <c r="CR19" s="115"/>
    </row>
    <row r="20" spans="1:96" s="23" customFormat="1" ht="13.5" customHeight="1" thickBot="1">
      <c r="A20" s="104" t="s">
        <v>55</v>
      </c>
      <c r="B20" s="105">
        <v>0.1</v>
      </c>
      <c r="C20" s="105">
        <v>0.1</v>
      </c>
      <c r="D20" s="105">
        <v>0.1</v>
      </c>
      <c r="E20" s="105">
        <v>0.1</v>
      </c>
      <c r="F20" s="105">
        <v>0.1</v>
      </c>
      <c r="G20" s="105">
        <v>0.1</v>
      </c>
      <c r="H20" s="105">
        <v>0.1</v>
      </c>
      <c r="I20" s="105">
        <v>0.1</v>
      </c>
      <c r="J20" s="105">
        <v>0.1</v>
      </c>
      <c r="K20" s="105">
        <v>0.1</v>
      </c>
      <c r="L20" s="105">
        <v>0.1</v>
      </c>
      <c r="M20" s="105">
        <v>0.1</v>
      </c>
      <c r="N20" s="105">
        <v>0.1</v>
      </c>
      <c r="O20" s="105">
        <v>0.1</v>
      </c>
      <c r="P20" s="105">
        <v>0.1</v>
      </c>
      <c r="Q20" s="105">
        <v>0.1</v>
      </c>
      <c r="R20" s="105">
        <v>0.1</v>
      </c>
      <c r="S20" s="105">
        <v>0.1</v>
      </c>
      <c r="T20" s="105">
        <v>0.1</v>
      </c>
      <c r="U20" s="105">
        <v>0.1</v>
      </c>
      <c r="V20" s="105">
        <v>0.1</v>
      </c>
      <c r="W20" s="105">
        <v>0.1</v>
      </c>
      <c r="X20" s="105">
        <v>0.1</v>
      </c>
      <c r="Y20" s="105">
        <v>0.1</v>
      </c>
      <c r="Z20" s="105">
        <v>0.1</v>
      </c>
      <c r="AA20" s="105">
        <v>0.1</v>
      </c>
      <c r="AB20" s="105">
        <v>0.1</v>
      </c>
      <c r="AC20" s="105">
        <v>0.1</v>
      </c>
      <c r="AD20" s="105">
        <v>0.1</v>
      </c>
      <c r="AE20" s="105">
        <v>0.1</v>
      </c>
      <c r="AF20" s="105">
        <v>0.1</v>
      </c>
      <c r="AG20" s="105">
        <v>0.1</v>
      </c>
      <c r="AH20" s="105">
        <v>0.1</v>
      </c>
      <c r="AI20" s="105">
        <v>0.1</v>
      </c>
      <c r="AJ20" s="105">
        <v>0.1</v>
      </c>
      <c r="AK20" s="105">
        <v>0.1</v>
      </c>
      <c r="AL20" s="105">
        <v>0.1</v>
      </c>
      <c r="AM20" s="105">
        <v>0.1</v>
      </c>
      <c r="AN20" s="105">
        <v>0.1</v>
      </c>
      <c r="AO20" s="105">
        <v>0.1</v>
      </c>
      <c r="AP20" s="105">
        <v>0.1</v>
      </c>
      <c r="AQ20" s="105">
        <v>0.1</v>
      </c>
      <c r="AR20" s="105">
        <v>0.1</v>
      </c>
      <c r="AS20" s="105">
        <v>0.1</v>
      </c>
      <c r="AT20" s="105">
        <v>0.1</v>
      </c>
      <c r="AU20" s="105">
        <v>0.1</v>
      </c>
      <c r="AV20" s="105">
        <v>0.1</v>
      </c>
      <c r="AW20" s="105">
        <v>0.1</v>
      </c>
      <c r="AX20" s="105">
        <v>0.1</v>
      </c>
      <c r="AY20" s="105">
        <v>0.1</v>
      </c>
      <c r="AZ20" s="105">
        <v>0.1</v>
      </c>
      <c r="BA20" s="105">
        <v>0.1</v>
      </c>
      <c r="BB20" s="105">
        <v>0.1</v>
      </c>
      <c r="BC20" s="105">
        <v>0.1</v>
      </c>
      <c r="BD20" s="105">
        <v>0.1</v>
      </c>
      <c r="BE20" s="105">
        <v>0.1</v>
      </c>
      <c r="BF20" s="105">
        <v>0.1</v>
      </c>
      <c r="BG20" s="105">
        <v>0.1</v>
      </c>
      <c r="BH20" s="105">
        <v>0.1</v>
      </c>
      <c r="BI20" s="105">
        <v>0.1</v>
      </c>
      <c r="BJ20" s="105">
        <v>0.1</v>
      </c>
      <c r="BK20" s="105">
        <v>0.1</v>
      </c>
      <c r="BL20" s="105">
        <v>0.1</v>
      </c>
      <c r="BM20" s="105">
        <v>0.1</v>
      </c>
      <c r="BN20" s="105">
        <v>0.1</v>
      </c>
      <c r="BO20" s="105">
        <v>0.1</v>
      </c>
      <c r="BP20" s="105">
        <v>0.1</v>
      </c>
      <c r="BQ20" s="105">
        <v>0.1</v>
      </c>
      <c r="BR20" s="105">
        <v>0.1</v>
      </c>
      <c r="BS20" s="105">
        <v>0.1</v>
      </c>
      <c r="BT20" s="105">
        <v>0.1</v>
      </c>
      <c r="BU20" s="105">
        <v>0.1</v>
      </c>
      <c r="BV20" s="105">
        <v>0.1</v>
      </c>
      <c r="BW20" s="105">
        <v>0.1</v>
      </c>
      <c r="BX20" s="105">
        <v>0.1</v>
      </c>
      <c r="BY20" s="105">
        <v>0.1</v>
      </c>
      <c r="BZ20" s="105">
        <v>0.1</v>
      </c>
      <c r="CA20" s="105">
        <v>0.1</v>
      </c>
      <c r="CB20" s="105">
        <v>0.1</v>
      </c>
      <c r="CC20" s="105">
        <v>0.1</v>
      </c>
      <c r="CD20" s="105">
        <v>0.1</v>
      </c>
      <c r="CE20" s="105">
        <v>0.1</v>
      </c>
      <c r="CF20" s="105">
        <v>0.1</v>
      </c>
      <c r="CG20" s="105">
        <v>0.1</v>
      </c>
      <c r="CH20" s="105"/>
      <c r="CI20" s="105"/>
      <c r="CJ20" s="105"/>
      <c r="CK20" s="105"/>
      <c r="CL20" s="105"/>
      <c r="CM20" s="105"/>
      <c r="CN20" s="105"/>
      <c r="CO20" s="105"/>
      <c r="CP20" s="105"/>
      <c r="CQ20" s="105"/>
      <c r="CR20" s="105"/>
    </row>
    <row r="21" spans="1:96" s="23" customFormat="1" ht="13.5" customHeight="1">
      <c r="A21" s="21"/>
      <c r="B21" s="24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9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I21" s="29"/>
    </row>
    <row r="22" spans="1:96" s="23" customFormat="1">
      <c r="A22" s="21" t="s">
        <v>79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</row>
    <row r="23" spans="1:96" s="23" customFormat="1">
      <c r="A23" s="27" t="s">
        <v>80</v>
      </c>
      <c r="B23" s="28">
        <v>43132</v>
      </c>
      <c r="C23" s="28">
        <f>EDATE(B23,1)</f>
        <v>43160</v>
      </c>
      <c r="D23" s="28">
        <f t="shared" ref="D23:BO23" si="2">EDATE(C23,1)</f>
        <v>43191</v>
      </c>
      <c r="E23" s="28">
        <f t="shared" si="2"/>
        <v>43221</v>
      </c>
      <c r="F23" s="28">
        <f t="shared" si="2"/>
        <v>43252</v>
      </c>
      <c r="G23" s="28">
        <f t="shared" si="2"/>
        <v>43282</v>
      </c>
      <c r="H23" s="28">
        <f t="shared" si="2"/>
        <v>43313</v>
      </c>
      <c r="I23" s="28">
        <f t="shared" si="2"/>
        <v>43344</v>
      </c>
      <c r="J23" s="28">
        <f t="shared" si="2"/>
        <v>43374</v>
      </c>
      <c r="K23" s="28">
        <f t="shared" si="2"/>
        <v>43405</v>
      </c>
      <c r="L23" s="28">
        <f t="shared" si="2"/>
        <v>43435</v>
      </c>
      <c r="M23" s="28">
        <f t="shared" si="2"/>
        <v>43466</v>
      </c>
      <c r="N23" s="28">
        <f t="shared" si="2"/>
        <v>43497</v>
      </c>
      <c r="O23" s="28">
        <f t="shared" si="2"/>
        <v>43525</v>
      </c>
      <c r="P23" s="28">
        <f t="shared" si="2"/>
        <v>43556</v>
      </c>
      <c r="Q23" s="28">
        <f t="shared" si="2"/>
        <v>43586</v>
      </c>
      <c r="R23" s="28">
        <f t="shared" si="2"/>
        <v>43617</v>
      </c>
      <c r="S23" s="28">
        <f t="shared" si="2"/>
        <v>43647</v>
      </c>
      <c r="T23" s="28">
        <f t="shared" si="2"/>
        <v>43678</v>
      </c>
      <c r="U23" s="28">
        <f t="shared" si="2"/>
        <v>43709</v>
      </c>
      <c r="V23" s="28">
        <f t="shared" si="2"/>
        <v>43739</v>
      </c>
      <c r="W23" s="28">
        <f t="shared" si="2"/>
        <v>43770</v>
      </c>
      <c r="X23" s="28">
        <f t="shared" si="2"/>
        <v>43800</v>
      </c>
      <c r="Y23" s="28">
        <f t="shared" si="2"/>
        <v>43831</v>
      </c>
      <c r="Z23" s="28">
        <f t="shared" si="2"/>
        <v>43862</v>
      </c>
      <c r="AA23" s="28">
        <f t="shared" si="2"/>
        <v>43891</v>
      </c>
      <c r="AB23" s="28">
        <f t="shared" si="2"/>
        <v>43922</v>
      </c>
      <c r="AC23" s="28">
        <f t="shared" si="2"/>
        <v>43952</v>
      </c>
      <c r="AD23" s="28">
        <f t="shared" si="2"/>
        <v>43983</v>
      </c>
      <c r="AE23" s="28">
        <f t="shared" si="2"/>
        <v>44013</v>
      </c>
      <c r="AF23" s="28">
        <f t="shared" si="2"/>
        <v>44044</v>
      </c>
      <c r="AG23" s="28">
        <f t="shared" si="2"/>
        <v>44075</v>
      </c>
      <c r="AH23" s="28">
        <f t="shared" si="2"/>
        <v>44105</v>
      </c>
      <c r="AI23" s="28">
        <f t="shared" si="2"/>
        <v>44136</v>
      </c>
      <c r="AJ23" s="28">
        <f t="shared" si="2"/>
        <v>44166</v>
      </c>
      <c r="AK23" s="28">
        <f t="shared" si="2"/>
        <v>44197</v>
      </c>
      <c r="AL23" s="28">
        <f t="shared" si="2"/>
        <v>44228</v>
      </c>
      <c r="AM23" s="28">
        <f t="shared" si="2"/>
        <v>44256</v>
      </c>
      <c r="AN23" s="28">
        <f t="shared" si="2"/>
        <v>44287</v>
      </c>
      <c r="AO23" s="28">
        <f t="shared" si="2"/>
        <v>44317</v>
      </c>
      <c r="AP23" s="28">
        <f t="shared" si="2"/>
        <v>44348</v>
      </c>
      <c r="AQ23" s="28">
        <f t="shared" si="2"/>
        <v>44378</v>
      </c>
      <c r="AR23" s="28">
        <f t="shared" si="2"/>
        <v>44409</v>
      </c>
      <c r="AS23" s="28">
        <f t="shared" si="2"/>
        <v>44440</v>
      </c>
      <c r="AT23" s="28">
        <f t="shared" si="2"/>
        <v>44470</v>
      </c>
      <c r="AU23" s="28">
        <f t="shared" si="2"/>
        <v>44501</v>
      </c>
      <c r="AV23" s="28">
        <f t="shared" si="2"/>
        <v>44531</v>
      </c>
      <c r="AW23" s="28">
        <f t="shared" si="2"/>
        <v>44562</v>
      </c>
      <c r="AX23" s="28">
        <f t="shared" si="2"/>
        <v>44593</v>
      </c>
      <c r="AY23" s="28">
        <f t="shared" si="2"/>
        <v>44621</v>
      </c>
      <c r="AZ23" s="28">
        <f t="shared" si="2"/>
        <v>44652</v>
      </c>
      <c r="BA23" s="28">
        <f t="shared" si="2"/>
        <v>44682</v>
      </c>
      <c r="BB23" s="28">
        <f t="shared" si="2"/>
        <v>44713</v>
      </c>
      <c r="BC23" s="28">
        <f t="shared" si="2"/>
        <v>44743</v>
      </c>
      <c r="BD23" s="28">
        <f t="shared" si="2"/>
        <v>44774</v>
      </c>
      <c r="BE23" s="28">
        <f t="shared" si="2"/>
        <v>44805</v>
      </c>
      <c r="BF23" s="28">
        <f t="shared" si="2"/>
        <v>44835</v>
      </c>
      <c r="BG23" s="28">
        <f t="shared" si="2"/>
        <v>44866</v>
      </c>
      <c r="BH23" s="28">
        <f t="shared" si="2"/>
        <v>44896</v>
      </c>
      <c r="BI23" s="28">
        <f t="shared" si="2"/>
        <v>44927</v>
      </c>
      <c r="BJ23" s="28">
        <f t="shared" si="2"/>
        <v>44958</v>
      </c>
      <c r="BK23" s="28">
        <f t="shared" si="2"/>
        <v>44986</v>
      </c>
      <c r="BL23" s="28">
        <f t="shared" si="2"/>
        <v>45017</v>
      </c>
      <c r="BM23" s="28">
        <f t="shared" si="2"/>
        <v>45047</v>
      </c>
      <c r="BN23" s="28">
        <f t="shared" si="2"/>
        <v>45078</v>
      </c>
      <c r="BO23" s="28">
        <f t="shared" si="2"/>
        <v>45108</v>
      </c>
      <c r="BP23" s="28">
        <f t="shared" ref="BP23:CG23" si="3">EDATE(BO23,1)</f>
        <v>45139</v>
      </c>
      <c r="BQ23" s="28">
        <f t="shared" si="3"/>
        <v>45170</v>
      </c>
      <c r="BR23" s="28">
        <f t="shared" si="3"/>
        <v>45200</v>
      </c>
      <c r="BS23" s="28">
        <f t="shared" si="3"/>
        <v>45231</v>
      </c>
      <c r="BT23" s="28">
        <f t="shared" si="3"/>
        <v>45261</v>
      </c>
      <c r="BU23" s="28">
        <f t="shared" si="3"/>
        <v>45292</v>
      </c>
      <c r="BV23" s="28">
        <f t="shared" si="3"/>
        <v>45323</v>
      </c>
      <c r="BW23" s="28">
        <f t="shared" si="3"/>
        <v>45352</v>
      </c>
      <c r="BX23" s="28">
        <f t="shared" si="3"/>
        <v>45383</v>
      </c>
      <c r="BY23" s="28">
        <f t="shared" si="3"/>
        <v>45413</v>
      </c>
      <c r="BZ23" s="28">
        <f t="shared" si="3"/>
        <v>45444</v>
      </c>
      <c r="CA23" s="28">
        <f t="shared" si="3"/>
        <v>45474</v>
      </c>
      <c r="CB23" s="28">
        <f t="shared" si="3"/>
        <v>45505</v>
      </c>
      <c r="CC23" s="28">
        <f t="shared" si="3"/>
        <v>45536</v>
      </c>
      <c r="CD23" s="28">
        <f t="shared" si="3"/>
        <v>45566</v>
      </c>
      <c r="CE23" s="28">
        <f t="shared" si="3"/>
        <v>45597</v>
      </c>
      <c r="CF23" s="28">
        <f t="shared" si="3"/>
        <v>45627</v>
      </c>
      <c r="CG23" s="28">
        <f t="shared" si="3"/>
        <v>45658</v>
      </c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</row>
    <row r="24" spans="1:96" s="23" customFormat="1">
      <c r="A24" s="22" t="s">
        <v>60</v>
      </c>
      <c r="B24" s="29">
        <f>C16</f>
        <v>150000000</v>
      </c>
      <c r="C24" s="25">
        <f>B30+F16</f>
        <v>150000000</v>
      </c>
      <c r="D24" s="25">
        <f>C30</f>
        <v>150000000</v>
      </c>
      <c r="E24" s="25">
        <f t="shared" ref="E24:BO24" si="4">D30</f>
        <v>152958333.33333334</v>
      </c>
      <c r="F24" s="25">
        <f>E30</f>
        <v>152958333.33333334</v>
      </c>
      <c r="G24" s="25">
        <f t="shared" si="4"/>
        <v>152958333.33333334</v>
      </c>
      <c r="H24" s="25">
        <f t="shared" si="4"/>
        <v>156867268.51851854</v>
      </c>
      <c r="I24" s="25">
        <f t="shared" si="4"/>
        <v>156867268.51851854</v>
      </c>
      <c r="J24" s="25">
        <f t="shared" si="4"/>
        <v>156867268.51851854</v>
      </c>
      <c r="K24" s="25">
        <f>J30</f>
        <v>160876098.71399179</v>
      </c>
      <c r="L24" s="25">
        <f t="shared" si="4"/>
        <v>160876098.71399179</v>
      </c>
      <c r="M24" s="25">
        <f t="shared" si="4"/>
        <v>160876098.71399179</v>
      </c>
      <c r="N24" s="25">
        <f t="shared" si="4"/>
        <v>164942688.98703992</v>
      </c>
      <c r="O24" s="25">
        <f t="shared" si="4"/>
        <v>164942688.98703992</v>
      </c>
      <c r="P24" s="25">
        <f t="shared" si="4"/>
        <v>164942688.98703992</v>
      </c>
      <c r="Q24" s="25">
        <f t="shared" si="4"/>
        <v>169066256.21171594</v>
      </c>
      <c r="R24" s="25">
        <f t="shared" si="4"/>
        <v>169066256.21171594</v>
      </c>
      <c r="S24" s="25">
        <f t="shared" si="4"/>
        <v>169066256.21171594</v>
      </c>
      <c r="T24" s="25">
        <f t="shared" si="4"/>
        <v>173386838.31490424</v>
      </c>
      <c r="U24" s="25">
        <f t="shared" si="4"/>
        <v>173386838.31490424</v>
      </c>
      <c r="V24" s="25">
        <f t="shared" si="4"/>
        <v>173386838.31490424</v>
      </c>
      <c r="W24" s="25">
        <f t="shared" si="4"/>
        <v>177817835.29406291</v>
      </c>
      <c r="X24" s="25">
        <f t="shared" si="4"/>
        <v>177817835.29406291</v>
      </c>
      <c r="Y24" s="25">
        <f t="shared" si="4"/>
        <v>177817835.29406291</v>
      </c>
      <c r="Z24" s="25">
        <f t="shared" si="4"/>
        <v>182312675.01955172</v>
      </c>
      <c r="AA24" s="25">
        <f t="shared" si="4"/>
        <v>182717814.29737294</v>
      </c>
      <c r="AB24" s="25">
        <f t="shared" si="4"/>
        <v>182717814.29737294</v>
      </c>
      <c r="AC24" s="25">
        <f t="shared" si="4"/>
        <v>175209651.86008033</v>
      </c>
      <c r="AD24" s="25">
        <f t="shared" si="4"/>
        <v>175209651.86008033</v>
      </c>
      <c r="AE24" s="25">
        <f t="shared" si="4"/>
        <v>175209651.86008033</v>
      </c>
      <c r="AF24" s="25">
        <f t="shared" si="4"/>
        <v>167966408.69624478</v>
      </c>
      <c r="AG24" s="25">
        <f t="shared" si="4"/>
        <v>167966408.69624478</v>
      </c>
      <c r="AH24" s="25">
        <f t="shared" si="4"/>
        <v>167966408.69624478</v>
      </c>
      <c r="AI24" s="25">
        <f t="shared" si="4"/>
        <v>160538060.42933342</v>
      </c>
      <c r="AJ24" s="25">
        <f t="shared" si="4"/>
        <v>160538060.42933342</v>
      </c>
      <c r="AK24" s="25">
        <f t="shared" si="4"/>
        <v>160538060.42933342</v>
      </c>
      <c r="AL24" s="25">
        <f t="shared" si="4"/>
        <v>152875282.68992621</v>
      </c>
      <c r="AM24" s="25">
        <f>AL30</f>
        <v>152875282.68992621</v>
      </c>
      <c r="AN24" s="25">
        <f t="shared" si="4"/>
        <v>152875282.68992621</v>
      </c>
      <c r="AO24" s="25">
        <f t="shared" si="4"/>
        <v>144976341.60135898</v>
      </c>
      <c r="AP24" s="25">
        <f t="shared" si="4"/>
        <v>144976341.60135898</v>
      </c>
      <c r="AQ24" s="25">
        <f>AP30</f>
        <v>144976341.60135898</v>
      </c>
      <c r="AR24" s="25">
        <f t="shared" si="4"/>
        <v>136960469.39757833</v>
      </c>
      <c r="AS24" s="25">
        <f t="shared" si="4"/>
        <v>136960469.39757833</v>
      </c>
      <c r="AT24" s="25">
        <f t="shared" si="4"/>
        <v>136960469.39757833</v>
      </c>
      <c r="AU24" s="25">
        <f t="shared" si="4"/>
        <v>128739747.12636773</v>
      </c>
      <c r="AV24" s="25">
        <f t="shared" si="4"/>
        <v>128739747.12636773</v>
      </c>
      <c r="AW24" s="25">
        <f t="shared" si="4"/>
        <v>128739747.12636773</v>
      </c>
      <c r="AX24" s="25">
        <f t="shared" si="4"/>
        <v>120273178.68957998</v>
      </c>
      <c r="AY24" s="25">
        <f t="shared" si="4"/>
        <v>120273178.68957998</v>
      </c>
      <c r="AZ24" s="25">
        <f t="shared" si="4"/>
        <v>120273178.68957998</v>
      </c>
      <c r="BA24" s="25">
        <f t="shared" si="4"/>
        <v>111559185.0010041</v>
      </c>
      <c r="BB24" s="25">
        <f t="shared" si="4"/>
        <v>111559185.0010041</v>
      </c>
      <c r="BC24" s="25">
        <f t="shared" si="4"/>
        <v>111559185.0010041</v>
      </c>
      <c r="BD24" s="25">
        <f t="shared" si="4"/>
        <v>102689318.79521438</v>
      </c>
      <c r="BE24" s="25">
        <f t="shared" si="4"/>
        <v>102689318.79521438</v>
      </c>
      <c r="BF24" s="25">
        <f t="shared" si="4"/>
        <v>102689318.79521438</v>
      </c>
      <c r="BG24" s="25">
        <f t="shared" si="4"/>
        <v>93564253.420055807</v>
      </c>
      <c r="BH24" s="25">
        <f t="shared" si="4"/>
        <v>93564253.420055807</v>
      </c>
      <c r="BI24" s="25">
        <f t="shared" si="4"/>
        <v>93564253.420055807</v>
      </c>
      <c r="BJ24" s="25">
        <f t="shared" si="4"/>
        <v>84208526.670136288</v>
      </c>
      <c r="BK24" s="25">
        <f t="shared" si="4"/>
        <v>84208526.670136288</v>
      </c>
      <c r="BL24" s="25">
        <f t="shared" si="4"/>
        <v>84208526.670136288</v>
      </c>
      <c r="BM24" s="25">
        <f t="shared" si="4"/>
        <v>74616307.938482687</v>
      </c>
      <c r="BN24" s="25">
        <f t="shared" si="4"/>
        <v>74616307.938482687</v>
      </c>
      <c r="BO24" s="25">
        <f t="shared" si="4"/>
        <v>74616307.938482687</v>
      </c>
      <c r="BP24" s="25">
        <f t="shared" ref="BP24:CG24" si="5">BO30</f>
        <v>64781619.233334512</v>
      </c>
      <c r="BQ24" s="25">
        <f t="shared" si="5"/>
        <v>64781619.233334512</v>
      </c>
      <c r="BR24" s="25">
        <f t="shared" si="5"/>
        <v>64781619.233334512</v>
      </c>
      <c r="BS24" s="25">
        <f t="shared" si="5"/>
        <v>54698331.452583976</v>
      </c>
      <c r="BT24" s="25">
        <f t="shared" si="5"/>
        <v>54698331.452583976</v>
      </c>
      <c r="BU24" s="25">
        <f t="shared" si="5"/>
        <v>54698331.452583976</v>
      </c>
      <c r="BV24" s="25">
        <f t="shared" si="5"/>
        <v>44360160.564042248</v>
      </c>
      <c r="BW24" s="25">
        <f t="shared" si="5"/>
        <v>44360160.564042248</v>
      </c>
      <c r="BX24" s="25">
        <f t="shared" si="5"/>
        <v>44360160.564042248</v>
      </c>
      <c r="BY24" s="25">
        <f t="shared" si="5"/>
        <v>33760663.689151272</v>
      </c>
      <c r="BZ24" s="25">
        <f t="shared" si="5"/>
        <v>33760663.689151272</v>
      </c>
      <c r="CA24" s="25">
        <f t="shared" si="5"/>
        <v>33760663.689151272</v>
      </c>
      <c r="CB24" s="25">
        <f t="shared" si="5"/>
        <v>22921368.974108178</v>
      </c>
      <c r="CC24" s="25">
        <f t="shared" si="5"/>
        <v>22921368.974108178</v>
      </c>
      <c r="CD24" s="25">
        <f t="shared" si="5"/>
        <v>22921368.974108178</v>
      </c>
      <c r="CE24" s="25">
        <f t="shared" si="5"/>
        <v>11786314.136520009</v>
      </c>
      <c r="CF24" s="25">
        <f t="shared" si="5"/>
        <v>11786314.136520009</v>
      </c>
      <c r="CG24" s="25">
        <f t="shared" si="5"/>
        <v>11786314.136520009</v>
      </c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</row>
    <row r="25" spans="1:96" s="23" customFormat="1">
      <c r="A25" s="22" t="s">
        <v>61</v>
      </c>
      <c r="B25" s="25">
        <f>B24*(B23-C15)*B20/360</f>
        <v>583333.33333333337</v>
      </c>
      <c r="C25" s="25">
        <f>C24*(C23-B23)*C20/360</f>
        <v>1166666.6666666667</v>
      </c>
      <c r="D25" s="25">
        <f>D24*(IHL_Loan!$B$27-C23)*D20/360+D30*(D23-IHL_Loan!$B$27)*D20/360</f>
        <v>1293310.1851851852</v>
      </c>
      <c r="E25" s="25">
        <f t="shared" ref="E25:H25" si="6">E24*(E23-D23)*E20/360</f>
        <v>1274652.7777777778</v>
      </c>
      <c r="F25" s="25">
        <f t="shared" si="6"/>
        <v>1317141.2037037041</v>
      </c>
      <c r="G25" s="25">
        <f>G24*(IHL_Loan!$C$27-F23)*G20/360+G30*(G23-IHL_Loan!$C$27)*G20/360</f>
        <v>1275738.5931069963</v>
      </c>
      <c r="H25" s="25">
        <f t="shared" si="6"/>
        <v>1350801.4789094653</v>
      </c>
      <c r="I25" s="25">
        <f t="shared" ref="I25:N25" si="7">I24*(I23-H23)*I20/360</f>
        <v>1350801.4789094653</v>
      </c>
      <c r="J25" s="25">
        <f>J24*(IHL_Loan!$D$27-I23)*J20/360+J30*(J23-IHL_Loan!$D$27)*J20/360</f>
        <v>1308340.8015975084</v>
      </c>
      <c r="K25" s="25">
        <f t="shared" si="7"/>
        <v>1385321.9611482627</v>
      </c>
      <c r="L25" s="25">
        <f t="shared" si="7"/>
        <v>1340634.1559499316</v>
      </c>
      <c r="M25" s="25">
        <f>M24*(IHL_Loan!$E$27-L23)*M20/360+M30*(M23-IHL_Loan!$E$27)*M20/360</f>
        <v>1387581.1779666229</v>
      </c>
      <c r="N25" s="25">
        <f t="shared" si="7"/>
        <v>1420339.8218328441</v>
      </c>
      <c r="O25" s="25">
        <f>O24*(IHL_Loan!$F$27-N23)*N20/360+O30*(O23-IHL_Loan!$F$27)*O20/360</f>
        <v>1282887.5810103102</v>
      </c>
      <c r="P25" s="25">
        <f>P24*(IHL_Loan!$F$27-O23)*P20/360+P30*(P23-IHL_Loan!$F$27)*P20/360</f>
        <v>1422630.6925132195</v>
      </c>
      <c r="Q25" s="25">
        <f t="shared" ref="Q25" si="8">Q24*(Q23-P23)*Q20/360</f>
        <v>1408885.4684309664</v>
      </c>
      <c r="R25" s="25">
        <f>R24*(IHL_Loan!$G$27-Q23)*Q20/360+R30*(R23-IHL_Loan!$G$27)*R20/360</f>
        <v>1455848.3173786656</v>
      </c>
      <c r="S25" s="25">
        <f>S24*(IHL_Loan!$G$27-R23)*S20/360+S30*(S23-IHL_Loan!$G$27)*S20/360</f>
        <v>1410085.6301262961</v>
      </c>
      <c r="T25" s="25">
        <f t="shared" ref="T25" si="9">T24*(T23-S23)*T20/360</f>
        <v>1493053.3299338976</v>
      </c>
      <c r="U25" s="25">
        <f>U24*(IHL_Loan!$H$27-T23)*T20/360+U30*(U23-IHL_Loan!$H$27)*U20/360</f>
        <v>1493053.3299338976</v>
      </c>
      <c r="V25" s="25">
        <f>V24*(IHL_Loan!$H$27-U23)*V20/360+V30*(V23-IHL_Loan!$H$27)*V20/360</f>
        <v>1446121.1517850796</v>
      </c>
      <c r="W25" s="25">
        <f t="shared" ref="W25" si="10">W24*(W23-V23)*W20/360</f>
        <v>1531209.1372544309</v>
      </c>
      <c r="X25" s="25">
        <f>X24*(IHL_Loan!$I$27-W23)*W20/360+X30*(X23-IHL_Loan!$I$27)*X20/360</f>
        <v>1481815.2941171913</v>
      </c>
      <c r="Y25" s="25">
        <f>Y24*(IHL_Loan!$I$27-X23)*Y20/360+Y30*(Y23-IHL_Loan!$I$27)*Y20/360</f>
        <v>1533706.2704352578</v>
      </c>
      <c r="Z25" s="25">
        <f>Z24*(IHL_Loan!$J$27-Y23)*Z20/360+Z30*(Z23-IHL_Loan!$J$27)*Z20/360</f>
        <v>1572728.1687643428</v>
      </c>
      <c r="AA25" s="25">
        <f t="shared" ref="AA25" si="11">AA24*(AA23-Z23)*AA20/360</f>
        <v>1471893.5040621711</v>
      </c>
      <c r="AB25" s="25">
        <f>AB24*(IHL_Loan!$K$27-AA23)*AA20/360+AB30*(AB23-IHL_Loan!$K$27)*AB20/360</f>
        <v>1569232.1995399934</v>
      </c>
      <c r="AC25" s="25">
        <f t="shared" ref="AC25:AD25" si="12">AC24*(AC23-AB23)*AC20/360</f>
        <v>1460080.4321673361</v>
      </c>
      <c r="AD25" s="25">
        <f t="shared" si="12"/>
        <v>1508749.7799062473</v>
      </c>
      <c r="AE25" s="25">
        <f>AE24*(IHL_Loan!$L$27-AD23)*AD20/360+AE30*(AE23-IHL_Loan!$L$27)*AE20/360</f>
        <v>1458068.4201773817</v>
      </c>
      <c r="AF25" s="25">
        <f t="shared" ref="AF25" si="13">AF24*(AF23-AE23)*AF20/360</f>
        <v>1446377.4082176632</v>
      </c>
      <c r="AG25" s="25">
        <f t="shared" ref="AG25" si="14">AG24*(AG23-AF23)*AG20/360</f>
        <v>1446377.4082176632</v>
      </c>
      <c r="AH25" s="25">
        <f>AH24*(IHL_Loan!$M$27-AG23)*AG20/360+AH30*(AH23-IHL_Loan!$M$27)*AH20/360</f>
        <v>1397656.6423945646</v>
      </c>
      <c r="AI25" s="25">
        <f t="shared" ref="AI25" si="15">AI24*(AI23-AH23)*AI20/360</f>
        <v>1382411.0759192598</v>
      </c>
      <c r="AJ25" s="25">
        <f t="shared" ref="AJ25" si="16">AJ24*(AJ23-AI23)*AJ20/360</f>
        <v>1337817.1702444453</v>
      </c>
      <c r="AK25" s="25">
        <f>AK24*(IHL_Loan!$N$27-AJ23)*AJ20/360+AK30*(AK23-IHL_Loan!$N$27)*AK20/360</f>
        <v>1378153.9771751449</v>
      </c>
      <c r="AL25" s="25">
        <f t="shared" ref="AL25" si="17">AL24*(AL23-AK23)*AL20/360</f>
        <v>1316426.0453854757</v>
      </c>
      <c r="AM25" s="25">
        <f t="shared" ref="AM25" si="18">AM24*(AM23-AL23)*AM20/360</f>
        <v>1189029.9764772039</v>
      </c>
      <c r="AN25" s="25">
        <f>AN24*(IHL_Loan!$O$27-AM23)*AM20/360+AN30*(AN23-IHL_Loan!$O$27)*AN20/360</f>
        <v>1312037.7447807163</v>
      </c>
      <c r="AO25" s="25">
        <f t="shared" ref="AO25" si="19">AO24*(AO23-AN23)*AO20/360</f>
        <v>1208136.1800113248</v>
      </c>
      <c r="AP25" s="25">
        <f t="shared" ref="AP25" si="20">AP24*(AP23-AO23)*AP20/360</f>
        <v>1248407.3860117022</v>
      </c>
      <c r="AQ25" s="25">
        <f>AQ24*(IHL_Loan!$P$27-AP23)*AP20/360+AQ30*(AQ23-IHL_Loan!$P$27)*AQ20/360</f>
        <v>1205909.548843608</v>
      </c>
      <c r="AR25" s="25">
        <f t="shared" ref="AR25" si="21">AR24*(AR23-AQ23)*AR20/360</f>
        <v>1179381.8198124801</v>
      </c>
      <c r="AS25" s="25">
        <f t="shared" ref="AS25" si="22">AS24*(AS23-AR23)*AS20/360</f>
        <v>1179381.8198124801</v>
      </c>
      <c r="AT25" s="25">
        <f>AT24*(IHL_Loan!$Q$27-AS23)*AS20/360+AT30*(AT23-IHL_Loan!$Q$27)*AT20/360</f>
        <v>1139053.7110155942</v>
      </c>
      <c r="AU25" s="25">
        <f t="shared" ref="AU25" si="23">AU24*(AU23-AT23)*AU20/360</f>
        <v>1108592.2669215</v>
      </c>
      <c r="AV25" s="25">
        <f t="shared" ref="AV25" si="24">AV24*(AV23-AU23)*AV20/360</f>
        <v>1072831.2260530645</v>
      </c>
      <c r="AW25" s="25">
        <f>AW24*(IHL_Loan!$R$27-AV23)*AV20/360+AW30*(AW23-IHL_Loan!$R$27)*AW20/360</f>
        <v>1103888.6177899512</v>
      </c>
      <c r="AX25" s="25">
        <f t="shared" ref="AX25" si="25">AX24*(AX23-AW23)*AX20/360</f>
        <v>1035685.7053824943</v>
      </c>
      <c r="AY25" s="25">
        <f t="shared" ref="AY25" si="26">AY24*(AY23-AX23)*AY20/360</f>
        <v>935458.05647451105</v>
      </c>
      <c r="AZ25" s="25">
        <f>AZ24*(IHL_Loan!$S$27-AY23)*AY20/360+AZ30*(AZ23-IHL_Loan!$S$27)*AZ20/360</f>
        <v>1030844.5977777299</v>
      </c>
      <c r="BA25" s="25">
        <f t="shared" ref="BA25" si="27">BA24*(BA23-AZ23)*BA20/360</f>
        <v>929659.87500836747</v>
      </c>
      <c r="BB25" s="25">
        <f t="shared" ref="BB25" si="28">BB24*(BB23-BA23)*BB20/360</f>
        <v>960648.53750864649</v>
      </c>
      <c r="BC25" s="25">
        <f>BC24*(IHL_Loan!$T$27-BB23)*BB20/360+BC30*(BC23-IHL_Loan!$T$27)*BC20/360</f>
        <v>927196.02328453714</v>
      </c>
      <c r="BD25" s="25">
        <f t="shared" ref="BD25" si="29">BD24*(BD23-BC23)*BD20/360</f>
        <v>884269.13406990166</v>
      </c>
      <c r="BE25" s="25">
        <f t="shared" ref="BE25" si="30">BE24*(BE23-BD23)*BE20/360</f>
        <v>884269.13406990166</v>
      </c>
      <c r="BF25" s="25">
        <f>BF24*(IHL_Loan!$U$27-BE23)*BE20/360+BF30*(BF23-IHL_Loan!$U$27)*BF20/360</f>
        <v>850674.84252947615</v>
      </c>
      <c r="BG25" s="25">
        <f t="shared" ref="BG25" si="31">BG24*(BG23-BF23)*BG20/360</f>
        <v>805692.18222825846</v>
      </c>
      <c r="BH25" s="25">
        <f t="shared" ref="BH25" si="32">BH24*(BH23-BG23)*BH20/360</f>
        <v>779702.11183379835</v>
      </c>
      <c r="BI25" s="25">
        <f>BI24*(IHL_Loan!$V$27-BH23)*BH20/360+BI30*(BI23-IHL_Loan!$V$27)*BI20/360</f>
        <v>797895.74326999206</v>
      </c>
      <c r="BJ25" s="25">
        <f t="shared" ref="BJ25" si="33">BJ24*(BJ23-BI23)*BJ20/360</f>
        <v>725128.97965950693</v>
      </c>
      <c r="BK25" s="25">
        <f t="shared" ref="BK25" si="34">BK24*(BK23-BJ23)*BK20/360</f>
        <v>654955.20743439335</v>
      </c>
      <c r="BL25" s="25">
        <f>BL24*(IHL_Loan!$W$27-BK23)*BK20/360+BL30*(BL23-IHL_Loan!$W$27)*BL20/360</f>
        <v>719799.9692530327</v>
      </c>
      <c r="BM25" s="25">
        <f t="shared" ref="BM25" si="35">BM24*(BM23-BL23)*BM20/360</f>
        <v>621802.56615402235</v>
      </c>
      <c r="BN25" s="25">
        <f t="shared" ref="BN25" si="36">BN24*(BN23-BM23)*BN20/360</f>
        <v>642529.31835915649</v>
      </c>
      <c r="BO25" s="25">
        <f>BO24*(IHL_Loan!$X$27-BN23)*BN20/360+BO30*(BO23-IHL_Loan!$X$27)*BO20/360</f>
        <v>616338.85020671785</v>
      </c>
      <c r="BP25" s="25">
        <f t="shared" ref="BP25" si="37">BP24*(BP23-BO23)*BP20/360</f>
        <v>557841.72117593617</v>
      </c>
      <c r="BQ25" s="25">
        <f t="shared" ref="BQ25" si="38">BQ24*(BQ23-BP23)*BQ20/360</f>
        <v>557841.72117593617</v>
      </c>
      <c r="BR25" s="25">
        <f>BR24*(IHL_Loan!$Y$27-BQ23)*BQ20/360+BR30*(BR23-IHL_Loan!$Y$27)*BR20/360</f>
        <v>531444.08712716214</v>
      </c>
      <c r="BS25" s="25">
        <f t="shared" ref="BS25" si="39">BS24*(BS23-BR23)*BS20/360</f>
        <v>471013.40973058424</v>
      </c>
      <c r="BT25" s="25">
        <f t="shared" ref="BT25" si="40">BT24*(BT23-BS23)*BT20/360</f>
        <v>455819.42877153313</v>
      </c>
      <c r="BU25" s="25">
        <f>BU24*(IHL_Loan!$Z$27-BT23)*BT20/360+BU30*(BU23-IHL_Loan!$Z$27)*BU20/360</f>
        <v>459526.55318776012</v>
      </c>
      <c r="BV25" s="25">
        <f t="shared" ref="BV25" si="41">BV24*(BV23-BU23)*BV20/360</f>
        <v>381990.27152369707</v>
      </c>
      <c r="BW25" s="25">
        <f t="shared" ref="BW25" si="42">BW24*(BW23-BV23)*BW20/360</f>
        <v>357345.73787700699</v>
      </c>
      <c r="BX25" s="25">
        <f>BX24*(IHL_Loan!$AA$27-BW23)*BW20/360+BX30*(BX23-IHL_Loan!$AA$27)*BX20/360</f>
        <v>370213.05277381832</v>
      </c>
      <c r="BY25" s="25">
        <f t="shared" ref="BY25" si="43">BY24*(BY23-BX23)*BY20/360</f>
        <v>281338.86407626059</v>
      </c>
      <c r="BZ25" s="25">
        <f t="shared" ref="BZ25" si="44">BZ24*(BZ23-BY23)*BZ20/360</f>
        <v>290716.82621213596</v>
      </c>
      <c r="CA25" s="25">
        <f>CA24*(IHL_Loan!$AB$27-BZ23)*BZ20/360+CA30*(CA23-IHL_Loan!$AB$27)*CA20/360</f>
        <v>278327.94887763751</v>
      </c>
      <c r="CB25" s="25">
        <f t="shared" ref="CB25" si="45">CB24*(CB23-CA23)*CB20/360</f>
        <v>197378.4550548204</v>
      </c>
      <c r="CC25" s="25">
        <f t="shared" ref="CC25" si="46">CC24*(CC23-CB23)*CC20/360</f>
        <v>197378.4550548204</v>
      </c>
      <c r="CD25" s="25">
        <f>CD24*(IHL_Loan!$AC$27-CC23)*CC20/360+CD30*(CD23-IHL_Loan!$AC$27)*CD20/360</f>
        <v>187918.33732934925</v>
      </c>
      <c r="CE25" s="25">
        <f t="shared" ref="CE25" si="47">CE24*(CE23-CD23)*CE20/360</f>
        <v>101493.26062003341</v>
      </c>
      <c r="CF25" s="25">
        <f t="shared" ref="CF25" si="48">CF24*(CF23-CE23)*CF20/360</f>
        <v>98219.284471000094</v>
      </c>
      <c r="CG25" s="25">
        <f>CG24*(IHL_Loan!$AD$27-CF23)*CF20/360+CG30*(CG23-IHL_Loan!$AD$27)*CG20/360</f>
        <v>94945.308321966746</v>
      </c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</row>
    <row r="26" spans="1:96" s="51" customFormat="1">
      <c r="A26" s="44" t="s">
        <v>62</v>
      </c>
      <c r="B26" s="45">
        <f>B25</f>
        <v>583333.33333333337</v>
      </c>
      <c r="C26" s="45">
        <f>B26+C25</f>
        <v>1750000</v>
      </c>
      <c r="D26" s="45">
        <f t="shared" ref="D26:AJ26" si="49">C26+D25</f>
        <v>3043310.1851851852</v>
      </c>
      <c r="E26" s="45">
        <f>D26+E25</f>
        <v>4317962.9629629627</v>
      </c>
      <c r="F26" s="45">
        <f t="shared" si="49"/>
        <v>5635104.166666667</v>
      </c>
      <c r="G26" s="45">
        <f>F26+G25</f>
        <v>6910842.7597736632</v>
      </c>
      <c r="H26" s="45">
        <f>G26+H25</f>
        <v>8261644.2386831287</v>
      </c>
      <c r="I26" s="45">
        <f>H26+I25</f>
        <v>9612445.7175925933</v>
      </c>
      <c r="J26" s="45">
        <f t="shared" si="49"/>
        <v>10920786.519190101</v>
      </c>
      <c r="K26" s="45">
        <f>J26+K25</f>
        <v>12306108.480338363</v>
      </c>
      <c r="L26" s="45">
        <f t="shared" si="49"/>
        <v>13646742.636288295</v>
      </c>
      <c r="M26" s="45">
        <f>L26+M25</f>
        <v>15034323.814254917</v>
      </c>
      <c r="N26" s="45">
        <f t="shared" si="49"/>
        <v>16454663.63608776</v>
      </c>
      <c r="O26" s="45">
        <f t="shared" si="49"/>
        <v>17737551.217098072</v>
      </c>
      <c r="P26" s="45">
        <f>O26+P25</f>
        <v>19160181.909611292</v>
      </c>
      <c r="Q26" s="45">
        <f>P26+Q25</f>
        <v>20569067.378042258</v>
      </c>
      <c r="R26" s="45">
        <f t="shared" si="49"/>
        <v>22024915.695420925</v>
      </c>
      <c r="S26" s="45">
        <f t="shared" si="49"/>
        <v>23435001.325547222</v>
      </c>
      <c r="T26" s="45">
        <f t="shared" si="49"/>
        <v>24928054.655481119</v>
      </c>
      <c r="U26" s="45">
        <f t="shared" si="49"/>
        <v>26421107.985415015</v>
      </c>
      <c r="V26" s="45">
        <f t="shared" si="49"/>
        <v>27867229.137200095</v>
      </c>
      <c r="W26" s="45">
        <f>V26+W25</f>
        <v>29398438.274454527</v>
      </c>
      <c r="X26" s="45">
        <f t="shared" si="49"/>
        <v>30880253.568571717</v>
      </c>
      <c r="Y26" s="45">
        <f>X26+Y25</f>
        <v>32413959.839006975</v>
      </c>
      <c r="Z26" s="45">
        <f>Y26+Z25</f>
        <v>33986688.007771321</v>
      </c>
      <c r="AA26" s="45">
        <f t="shared" si="49"/>
        <v>35458581.511833489</v>
      </c>
      <c r="AB26" s="45">
        <f>AA26+AB25</f>
        <v>37027813.711373486</v>
      </c>
      <c r="AC26" s="45">
        <f>AB26+AC25</f>
        <v>38487894.143540822</v>
      </c>
      <c r="AD26" s="45">
        <f t="shared" si="49"/>
        <v>39996643.923447073</v>
      </c>
      <c r="AE26" s="45">
        <f t="shared" si="49"/>
        <v>41454712.343624458</v>
      </c>
      <c r="AF26" s="45">
        <f>AE26+AF25</f>
        <v>42901089.751842119</v>
      </c>
      <c r="AG26" s="45">
        <f t="shared" si="49"/>
        <v>44347467.16005978</v>
      </c>
      <c r="AH26" s="45">
        <f t="shared" si="49"/>
        <v>45745123.802454345</v>
      </c>
      <c r="AI26" s="45">
        <f>AH26+AI25</f>
        <v>47127534.878373608</v>
      </c>
      <c r="AJ26" s="45">
        <f t="shared" si="49"/>
        <v>48465352.048618056</v>
      </c>
      <c r="AK26" s="45">
        <f t="shared" ref="AK26:BN26" si="50">AJ26+AK25</f>
        <v>49843506.025793202</v>
      </c>
      <c r="AL26" s="45">
        <f t="shared" si="50"/>
        <v>51159932.071178675</v>
      </c>
      <c r="AM26" s="45">
        <f t="shared" si="50"/>
        <v>52348962.04765588</v>
      </c>
      <c r="AN26" s="45">
        <f>AM26+AN25</f>
        <v>53660999.7924366</v>
      </c>
      <c r="AO26" s="45">
        <f t="shared" si="50"/>
        <v>54869135.972447924</v>
      </c>
      <c r="AP26" s="45">
        <f t="shared" si="50"/>
        <v>56117543.358459629</v>
      </c>
      <c r="AQ26" s="45">
        <f t="shared" si="50"/>
        <v>57323452.907303236</v>
      </c>
      <c r="AR26" s="45">
        <f>AQ26+AR25</f>
        <v>58502834.727115713</v>
      </c>
      <c r="AS26" s="45">
        <f t="shared" si="50"/>
        <v>59682216.54692819</v>
      </c>
      <c r="AT26" s="45">
        <f t="shared" si="50"/>
        <v>60821270.257943787</v>
      </c>
      <c r="AU26" s="45">
        <f t="shared" si="50"/>
        <v>61929862.524865285</v>
      </c>
      <c r="AV26" s="45">
        <f t="shared" si="50"/>
        <v>63002693.750918351</v>
      </c>
      <c r="AW26" s="45">
        <f t="shared" si="50"/>
        <v>64106582.368708305</v>
      </c>
      <c r="AX26" s="45">
        <f t="shared" si="50"/>
        <v>65142268.074090801</v>
      </c>
      <c r="AY26" s="45">
        <f t="shared" si="50"/>
        <v>66077726.130565315</v>
      </c>
      <c r="AZ26" s="45">
        <f t="shared" si="50"/>
        <v>67108570.728343047</v>
      </c>
      <c r="BA26" s="45">
        <f t="shared" si="50"/>
        <v>68038230.603351414</v>
      </c>
      <c r="BB26" s="45">
        <f t="shared" si="50"/>
        <v>68998879.140860066</v>
      </c>
      <c r="BC26" s="45">
        <f t="shared" si="50"/>
        <v>69926075.164144605</v>
      </c>
      <c r="BD26" s="45">
        <f>BC26+BD25</f>
        <v>70810344.29821451</v>
      </c>
      <c r="BE26" s="45">
        <f t="shared" si="50"/>
        <v>71694613.432284415</v>
      </c>
      <c r="BF26" s="45">
        <f t="shared" si="50"/>
        <v>72545288.27481389</v>
      </c>
      <c r="BG26" s="45">
        <f>BF26+BG25</f>
        <v>73350980.457042143</v>
      </c>
      <c r="BH26" s="45">
        <f t="shared" si="50"/>
        <v>74130682.568875939</v>
      </c>
      <c r="BI26" s="45">
        <f t="shared" si="50"/>
        <v>74928578.312145934</v>
      </c>
      <c r="BJ26" s="45">
        <f t="shared" si="50"/>
        <v>75653707.291805446</v>
      </c>
      <c r="BK26" s="45">
        <f t="shared" si="50"/>
        <v>76308662.499239832</v>
      </c>
      <c r="BL26" s="45">
        <f t="shared" si="50"/>
        <v>77028462.468492866</v>
      </c>
      <c r="BM26" s="45">
        <f t="shared" si="50"/>
        <v>77650265.034646884</v>
      </c>
      <c r="BN26" s="45">
        <f t="shared" si="50"/>
        <v>78292794.353006035</v>
      </c>
      <c r="BO26" s="45">
        <f t="shared" ref="BO26:CG26" si="51">BN26+BO25</f>
        <v>78909133.203212753</v>
      </c>
      <c r="BP26" s="45">
        <f t="shared" si="51"/>
        <v>79466974.924388692</v>
      </c>
      <c r="BQ26" s="45">
        <f t="shared" si="51"/>
        <v>80024816.645564631</v>
      </c>
      <c r="BR26" s="45">
        <f>BQ26+BR25</f>
        <v>80556260.732691795</v>
      </c>
      <c r="BS26" s="45">
        <f t="shared" si="51"/>
        <v>81027274.142422378</v>
      </c>
      <c r="BT26" s="45">
        <f t="shared" si="51"/>
        <v>81483093.571193919</v>
      </c>
      <c r="BU26" s="45">
        <f t="shared" si="51"/>
        <v>81942620.124381676</v>
      </c>
      <c r="BV26" s="45">
        <f t="shared" si="51"/>
        <v>82324610.395905375</v>
      </c>
      <c r="BW26" s="45">
        <f t="shared" si="51"/>
        <v>82681956.133782387</v>
      </c>
      <c r="BX26" s="45">
        <f t="shared" si="51"/>
        <v>83052169.186556205</v>
      </c>
      <c r="BY26" s="45">
        <f t="shared" si="51"/>
        <v>83333508.050632462</v>
      </c>
      <c r="BZ26" s="45">
        <f t="shared" si="51"/>
        <v>83624224.8768446</v>
      </c>
      <c r="CA26" s="45">
        <f t="shared" si="51"/>
        <v>83902552.825722232</v>
      </c>
      <c r="CB26" s="45">
        <f t="shared" si="51"/>
        <v>84099931.280777052</v>
      </c>
      <c r="CC26" s="45">
        <f t="shared" si="51"/>
        <v>84297309.735831872</v>
      </c>
      <c r="CD26" s="45">
        <f t="shared" si="51"/>
        <v>84485228.073161215</v>
      </c>
      <c r="CE26" s="45">
        <f t="shared" si="51"/>
        <v>84586721.333781242</v>
      </c>
      <c r="CF26" s="45">
        <f t="shared" si="51"/>
        <v>84684940.618252248</v>
      </c>
      <c r="CG26" s="45">
        <f t="shared" si="51"/>
        <v>84779885.926574215</v>
      </c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</row>
    <row r="27" spans="1:96" s="23" customFormat="1">
      <c r="A27" s="22" t="s">
        <v>63</v>
      </c>
      <c r="B27" s="25">
        <v>0</v>
      </c>
      <c r="C27" s="25">
        <f>B27</f>
        <v>0</v>
      </c>
      <c r="D27" s="25">
        <f t="shared" ref="D27:N27" si="52">C27</f>
        <v>0</v>
      </c>
      <c r="E27" s="25">
        <f t="shared" si="52"/>
        <v>0</v>
      </c>
      <c r="F27" s="25">
        <f t="shared" si="52"/>
        <v>0</v>
      </c>
      <c r="G27" s="25">
        <f t="shared" si="52"/>
        <v>0</v>
      </c>
      <c r="H27" s="25">
        <f t="shared" si="52"/>
        <v>0</v>
      </c>
      <c r="I27" s="25">
        <f t="shared" si="52"/>
        <v>0</v>
      </c>
      <c r="J27" s="25">
        <f t="shared" si="52"/>
        <v>0</v>
      </c>
      <c r="K27" s="25">
        <f t="shared" si="52"/>
        <v>0</v>
      </c>
      <c r="L27" s="25">
        <f t="shared" si="52"/>
        <v>0</v>
      </c>
      <c r="M27" s="25">
        <f>L27</f>
        <v>0</v>
      </c>
      <c r="N27" s="25">
        <f t="shared" si="52"/>
        <v>0</v>
      </c>
      <c r="O27" s="25">
        <f>IHL_Loan!$F$31</f>
        <v>0</v>
      </c>
      <c r="P27" s="25">
        <f>M27</f>
        <v>0</v>
      </c>
      <c r="Q27" s="25">
        <f>N27</f>
        <v>0</v>
      </c>
      <c r="R27" s="25">
        <f>IHL_Loan!$G$31</f>
        <v>0</v>
      </c>
      <c r="S27" s="25">
        <f t="shared" ref="S27" si="53">P27</f>
        <v>0</v>
      </c>
      <c r="T27" s="25">
        <f>Q27</f>
        <v>0</v>
      </c>
      <c r="U27" s="25">
        <f>IHL_Loan!$H$31</f>
        <v>0</v>
      </c>
      <c r="V27" s="25">
        <f t="shared" ref="V27:W27" si="54">S27</f>
        <v>0</v>
      </c>
      <c r="W27" s="25">
        <f t="shared" si="54"/>
        <v>0</v>
      </c>
      <c r="X27" s="25">
        <f>IHL_Loan!$I$31</f>
        <v>0</v>
      </c>
      <c r="Y27" s="25">
        <f t="shared" ref="Y27:Z27" si="55">V27</f>
        <v>0</v>
      </c>
      <c r="Z27" s="25">
        <f t="shared" si="55"/>
        <v>0</v>
      </c>
      <c r="AA27" s="25">
        <v>0</v>
      </c>
      <c r="AB27" s="25">
        <f>IHL_Loan!$K$31</f>
        <v>7508162.4372926122</v>
      </c>
      <c r="AC27" s="25">
        <f t="shared" ref="AC27:AD27" si="56">Z27</f>
        <v>0</v>
      </c>
      <c r="AD27" s="25">
        <f t="shared" si="56"/>
        <v>0</v>
      </c>
      <c r="AE27" s="25">
        <f>IHL_Loan!$L$31</f>
        <v>7243243.1638355469</v>
      </c>
      <c r="AF27" s="25">
        <f t="shared" ref="AF27" si="57">AC27</f>
        <v>0</v>
      </c>
      <c r="AG27" s="25">
        <f t="shared" ref="AG27" si="58">AD27</f>
        <v>0</v>
      </c>
      <c r="AH27" s="25">
        <f>IHL_Loan!$M$31</f>
        <v>7428348.2669113437</v>
      </c>
      <c r="AI27" s="25">
        <f t="shared" ref="AI27" si="59">AF27</f>
        <v>0</v>
      </c>
      <c r="AJ27" s="25">
        <f t="shared" ref="AJ27" si="60">AG27</f>
        <v>0</v>
      </c>
      <c r="AK27" s="25">
        <f>IHL_Loan!$N$31</f>
        <v>7662777.7394072264</v>
      </c>
      <c r="AL27" s="25">
        <f t="shared" ref="AL27" si="61">AI27</f>
        <v>0</v>
      </c>
      <c r="AM27" s="25">
        <f t="shared" ref="AM27" si="62">AJ27</f>
        <v>0</v>
      </c>
      <c r="AN27" s="25">
        <f>IHL_Loan!$O$31</f>
        <v>7898941.0885672215</v>
      </c>
      <c r="AO27" s="25">
        <f t="shared" ref="AO27" si="63">AL27</f>
        <v>0</v>
      </c>
      <c r="AP27" s="25">
        <f t="shared" ref="AP27" si="64">AM27</f>
        <v>0</v>
      </c>
      <c r="AQ27" s="25">
        <f>IHL_Loan!$P$31</f>
        <v>8015872.2037806483</v>
      </c>
      <c r="AR27" s="25">
        <f t="shared" ref="AR27" si="65">AO27</f>
        <v>0</v>
      </c>
      <c r="AS27" s="25">
        <f t="shared" ref="AS27" si="66">AP27</f>
        <v>0</v>
      </c>
      <c r="AT27" s="25">
        <f>IHL_Loan!$Q$31</f>
        <v>8220722.2712105988</v>
      </c>
      <c r="AU27" s="25">
        <f t="shared" ref="AU27" si="67">AR27</f>
        <v>0</v>
      </c>
      <c r="AV27" s="25">
        <f t="shared" ref="AV27" si="68">AS27</f>
        <v>0</v>
      </c>
      <c r="AW27" s="25">
        <f>IHL_Loan!$R$31</f>
        <v>8466568.4367877487</v>
      </c>
      <c r="AX27" s="25">
        <f t="shared" ref="AX27" si="69">AU27</f>
        <v>0</v>
      </c>
      <c r="AY27" s="25">
        <f t="shared" ref="AY27" si="70">AV27</f>
        <v>0</v>
      </c>
      <c r="AZ27" s="25">
        <f>IHL_Loan!$S$31</f>
        <v>8713993.6885758787</v>
      </c>
      <c r="BA27" s="25">
        <f t="shared" ref="BA27" si="71">AX27</f>
        <v>0</v>
      </c>
      <c r="BB27" s="25">
        <f t="shared" ref="BB27" si="72">AY27</f>
        <v>0</v>
      </c>
      <c r="BC27" s="25">
        <f>IHL_Loan!$T$31</f>
        <v>8869866.2057897169</v>
      </c>
      <c r="BD27" s="25">
        <f t="shared" ref="BD27" si="73">BA27</f>
        <v>0</v>
      </c>
      <c r="BE27" s="25">
        <f t="shared" ref="BE27" si="74">BB27</f>
        <v>0</v>
      </c>
      <c r="BF27" s="25">
        <f>IHL_Loan!$U$31</f>
        <v>9125065.3751585707</v>
      </c>
      <c r="BG27" s="25">
        <f t="shared" ref="BG27" si="75">BD27</f>
        <v>0</v>
      </c>
      <c r="BH27" s="25">
        <f t="shared" ref="BH27" si="76">BE27</f>
        <v>0</v>
      </c>
      <c r="BI27" s="25">
        <f>IHL_Loan!$V$31</f>
        <v>9355726.7499195226</v>
      </c>
      <c r="BJ27" s="25">
        <f t="shared" ref="BJ27" si="77">BG27</f>
        <v>0</v>
      </c>
      <c r="BK27" s="25">
        <f t="shared" ref="BK27" si="78">BH27</f>
        <v>0</v>
      </c>
      <c r="BL27" s="25">
        <f>IHL_Loan!$W$31</f>
        <v>9592218.7316535991</v>
      </c>
      <c r="BM27" s="25">
        <f t="shared" ref="BM27" si="79">BJ27</f>
        <v>0</v>
      </c>
      <c r="BN27" s="25">
        <f t="shared" ref="BN27" si="80">BK27</f>
        <v>0</v>
      </c>
      <c r="BO27" s="25">
        <f>IHL_Loan!$X$31</f>
        <v>9834688.7051481772</v>
      </c>
      <c r="BP27" s="25">
        <f t="shared" ref="BP27" si="81">BM27</f>
        <v>0</v>
      </c>
      <c r="BQ27" s="25">
        <f t="shared" ref="BQ27" si="82">BN27</f>
        <v>0</v>
      </c>
      <c r="BR27" s="25">
        <f>IHL_Loan!$Y$31</f>
        <v>10083287.780750534</v>
      </c>
      <c r="BS27" s="25">
        <f t="shared" ref="BS27" si="83">BP27</f>
        <v>0</v>
      </c>
      <c r="BT27" s="25">
        <f t="shared" ref="BT27" si="84">BQ27</f>
        <v>0</v>
      </c>
      <c r="BU27" s="25">
        <f>IHL_Loan!$Z$31</f>
        <v>10338170.888541728</v>
      </c>
      <c r="BV27" s="25">
        <f t="shared" ref="BV27" si="85">BS27</f>
        <v>0</v>
      </c>
      <c r="BW27" s="25">
        <f t="shared" ref="BW27" si="86">BT27</f>
        <v>0</v>
      </c>
      <c r="BX27" s="25">
        <f>IHL_Loan!$AA$31</f>
        <v>10599496.874890976</v>
      </c>
      <c r="BY27" s="25">
        <f t="shared" ref="BY27" si="87">BV27</f>
        <v>0</v>
      </c>
      <c r="BZ27" s="25">
        <f t="shared" ref="BZ27" si="88">BW27</f>
        <v>0</v>
      </c>
      <c r="CA27" s="25">
        <f>IHL_Loan!$AB$31</f>
        <v>10839294.715043094</v>
      </c>
      <c r="CB27" s="25">
        <f t="shared" ref="CB27" si="89">BY27</f>
        <v>0</v>
      </c>
      <c r="CC27" s="25">
        <f t="shared" ref="CC27" si="90">BZ27</f>
        <v>0</v>
      </c>
      <c r="CD27" s="25">
        <f>IHL_Loan!$AC$31</f>
        <v>11135054.837588169</v>
      </c>
      <c r="CE27" s="25">
        <f t="shared" ref="CE27" si="91">CB27</f>
        <v>0</v>
      </c>
      <c r="CF27" s="25">
        <f t="shared" ref="CF27" si="92">CC27</f>
        <v>0</v>
      </c>
      <c r="CG27" s="25">
        <f>IHL_Loan!$AD$31</f>
        <v>11786314.136520009</v>
      </c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</row>
    <row r="28" spans="1:96" s="23" customFormat="1">
      <c r="A28" s="22" t="s">
        <v>64</v>
      </c>
      <c r="B28" s="25">
        <f>B27</f>
        <v>0</v>
      </c>
      <c r="C28" s="25">
        <f>B28+C27</f>
        <v>0</v>
      </c>
      <c r="D28" s="25">
        <f t="shared" ref="D28:AD28" si="93">C28+D27</f>
        <v>0</v>
      </c>
      <c r="E28" s="25">
        <f t="shared" si="93"/>
        <v>0</v>
      </c>
      <c r="F28" s="25">
        <f t="shared" si="93"/>
        <v>0</v>
      </c>
      <c r="G28" s="25">
        <f t="shared" si="93"/>
        <v>0</v>
      </c>
      <c r="H28" s="25">
        <f t="shared" si="93"/>
        <v>0</v>
      </c>
      <c r="I28" s="25">
        <f t="shared" si="93"/>
        <v>0</v>
      </c>
      <c r="J28" s="25">
        <f t="shared" si="93"/>
        <v>0</v>
      </c>
      <c r="K28" s="25">
        <f t="shared" si="93"/>
        <v>0</v>
      </c>
      <c r="L28" s="25">
        <f t="shared" si="93"/>
        <v>0</v>
      </c>
      <c r="M28" s="25">
        <f t="shared" si="93"/>
        <v>0</v>
      </c>
      <c r="N28" s="25">
        <f t="shared" si="93"/>
        <v>0</v>
      </c>
      <c r="O28" s="25">
        <f t="shared" si="93"/>
        <v>0</v>
      </c>
      <c r="P28" s="25">
        <f t="shared" si="93"/>
        <v>0</v>
      </c>
      <c r="Q28" s="25">
        <f t="shared" si="93"/>
        <v>0</v>
      </c>
      <c r="R28" s="25">
        <f t="shared" si="93"/>
        <v>0</v>
      </c>
      <c r="S28" s="25">
        <f t="shared" si="93"/>
        <v>0</v>
      </c>
      <c r="T28" s="25">
        <f t="shared" si="93"/>
        <v>0</v>
      </c>
      <c r="U28" s="25">
        <f t="shared" si="93"/>
        <v>0</v>
      </c>
      <c r="V28" s="25">
        <f t="shared" si="93"/>
        <v>0</v>
      </c>
      <c r="W28" s="25">
        <f t="shared" si="93"/>
        <v>0</v>
      </c>
      <c r="X28" s="25">
        <f t="shared" si="93"/>
        <v>0</v>
      </c>
      <c r="Y28" s="25">
        <f t="shared" si="93"/>
        <v>0</v>
      </c>
      <c r="Z28" s="25">
        <f t="shared" si="93"/>
        <v>0</v>
      </c>
      <c r="AA28" s="25">
        <f t="shared" si="93"/>
        <v>0</v>
      </c>
      <c r="AB28" s="25">
        <f t="shared" si="93"/>
        <v>7508162.4372926122</v>
      </c>
      <c r="AC28" s="25">
        <f t="shared" si="93"/>
        <v>7508162.4372926122</v>
      </c>
      <c r="AD28" s="25">
        <f t="shared" si="93"/>
        <v>7508162.4372926122</v>
      </c>
      <c r="AE28" s="25">
        <f t="shared" ref="AE28:BD28" si="94">AD28+AE27</f>
        <v>14751405.601128159</v>
      </c>
      <c r="AF28" s="25">
        <f t="shared" si="94"/>
        <v>14751405.601128159</v>
      </c>
      <c r="AG28" s="25">
        <f t="shared" si="94"/>
        <v>14751405.601128159</v>
      </c>
      <c r="AH28" s="25">
        <f t="shared" si="94"/>
        <v>22179753.868039504</v>
      </c>
      <c r="AI28" s="25">
        <f t="shared" si="94"/>
        <v>22179753.868039504</v>
      </c>
      <c r="AJ28" s="25">
        <f t="shared" si="94"/>
        <v>22179753.868039504</v>
      </c>
      <c r="AK28" s="25">
        <f t="shared" si="94"/>
        <v>29842531.60744673</v>
      </c>
      <c r="AL28" s="25">
        <f t="shared" si="94"/>
        <v>29842531.60744673</v>
      </c>
      <c r="AM28" s="25">
        <f t="shared" si="94"/>
        <v>29842531.60744673</v>
      </c>
      <c r="AN28" s="25">
        <f t="shared" si="94"/>
        <v>37741472.69601395</v>
      </c>
      <c r="AO28" s="25">
        <f t="shared" si="94"/>
        <v>37741472.69601395</v>
      </c>
      <c r="AP28" s="25">
        <f t="shared" si="94"/>
        <v>37741472.69601395</v>
      </c>
      <c r="AQ28" s="25">
        <f t="shared" si="94"/>
        <v>45757344.899794601</v>
      </c>
      <c r="AR28" s="25">
        <f t="shared" si="94"/>
        <v>45757344.899794601</v>
      </c>
      <c r="AS28" s="25">
        <f t="shared" si="94"/>
        <v>45757344.899794601</v>
      </c>
      <c r="AT28" s="25">
        <f t="shared" si="94"/>
        <v>53978067.171005197</v>
      </c>
      <c r="AU28" s="25">
        <f t="shared" si="94"/>
        <v>53978067.171005197</v>
      </c>
      <c r="AV28" s="25">
        <f t="shared" si="94"/>
        <v>53978067.171005197</v>
      </c>
      <c r="AW28" s="25">
        <f t="shared" si="94"/>
        <v>62444635.607792944</v>
      </c>
      <c r="AX28" s="25">
        <f t="shared" si="94"/>
        <v>62444635.607792944</v>
      </c>
      <c r="AY28" s="25">
        <f t="shared" si="94"/>
        <v>62444635.607792944</v>
      </c>
      <c r="AZ28" s="25">
        <f t="shared" si="94"/>
        <v>71158629.296368822</v>
      </c>
      <c r="BA28" s="25">
        <f t="shared" si="94"/>
        <v>71158629.296368822</v>
      </c>
      <c r="BB28" s="25">
        <f t="shared" si="94"/>
        <v>71158629.296368822</v>
      </c>
      <c r="BC28" s="25">
        <f t="shared" si="94"/>
        <v>80028495.502158538</v>
      </c>
      <c r="BD28" s="25">
        <f t="shared" si="94"/>
        <v>80028495.502158538</v>
      </c>
      <c r="BE28" s="25">
        <f t="shared" ref="BE28:BS28" si="95">BD28+BE27</f>
        <v>80028495.502158538</v>
      </c>
      <c r="BF28" s="25">
        <f t="shared" si="95"/>
        <v>89153560.877317101</v>
      </c>
      <c r="BG28" s="25">
        <f t="shared" si="95"/>
        <v>89153560.877317101</v>
      </c>
      <c r="BH28" s="25">
        <f t="shared" si="95"/>
        <v>89153560.877317101</v>
      </c>
      <c r="BI28" s="25">
        <f t="shared" si="95"/>
        <v>98509287.62723662</v>
      </c>
      <c r="BJ28" s="25">
        <f t="shared" si="95"/>
        <v>98509287.62723662</v>
      </c>
      <c r="BK28" s="25">
        <f t="shared" si="95"/>
        <v>98509287.62723662</v>
      </c>
      <c r="BL28" s="25">
        <f t="shared" si="95"/>
        <v>108101506.35889022</v>
      </c>
      <c r="BM28" s="25">
        <f t="shared" si="95"/>
        <v>108101506.35889022</v>
      </c>
      <c r="BN28" s="25">
        <f t="shared" si="95"/>
        <v>108101506.35889022</v>
      </c>
      <c r="BO28" s="25">
        <f t="shared" si="95"/>
        <v>117936195.0640384</v>
      </c>
      <c r="BP28" s="25">
        <f t="shared" si="95"/>
        <v>117936195.0640384</v>
      </c>
      <c r="BQ28" s="25">
        <f t="shared" si="95"/>
        <v>117936195.0640384</v>
      </c>
      <c r="BR28" s="25">
        <f t="shared" si="95"/>
        <v>128019482.84478892</v>
      </c>
      <c r="BS28" s="25">
        <f t="shared" si="95"/>
        <v>128019482.84478892</v>
      </c>
      <c r="BT28" s="25">
        <f>BS28+BT27</f>
        <v>128019482.84478892</v>
      </c>
      <c r="BU28" s="25">
        <f t="shared" ref="BU28:CG28" si="96">BT28+BU27</f>
        <v>138357653.73333067</v>
      </c>
      <c r="BV28" s="25">
        <f t="shared" si="96"/>
        <v>138357653.73333067</v>
      </c>
      <c r="BW28" s="25">
        <f t="shared" si="96"/>
        <v>138357653.73333067</v>
      </c>
      <c r="BX28" s="25">
        <f t="shared" si="96"/>
        <v>148957150.60822165</v>
      </c>
      <c r="BY28" s="25">
        <f t="shared" si="96"/>
        <v>148957150.60822165</v>
      </c>
      <c r="BZ28" s="25">
        <f t="shared" si="96"/>
        <v>148957150.60822165</v>
      </c>
      <c r="CA28" s="25">
        <f t="shared" si="96"/>
        <v>159796445.32326475</v>
      </c>
      <c r="CB28" s="25">
        <f t="shared" si="96"/>
        <v>159796445.32326475</v>
      </c>
      <c r="CC28" s="25">
        <f t="shared" si="96"/>
        <v>159796445.32326475</v>
      </c>
      <c r="CD28" s="25">
        <f t="shared" si="96"/>
        <v>170931500.16085291</v>
      </c>
      <c r="CE28" s="25">
        <f t="shared" si="96"/>
        <v>170931500.16085291</v>
      </c>
      <c r="CF28" s="25">
        <f t="shared" si="96"/>
        <v>170931500.16085291</v>
      </c>
      <c r="CG28" s="25">
        <f t="shared" si="96"/>
        <v>182717814.29737291</v>
      </c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</row>
    <row r="29" spans="1:96" s="23" customFormat="1">
      <c r="A29" s="22" t="s">
        <v>65</v>
      </c>
      <c r="B29" s="29">
        <f t="shared" ref="B29:BM29" si="97">B27+B25</f>
        <v>583333.33333333337</v>
      </c>
      <c r="C29" s="29">
        <f t="shared" si="97"/>
        <v>1166666.6666666667</v>
      </c>
      <c r="D29" s="29">
        <f t="shared" si="97"/>
        <v>1293310.1851851852</v>
      </c>
      <c r="E29" s="29">
        <f t="shared" si="97"/>
        <v>1274652.7777777778</v>
      </c>
      <c r="F29" s="29">
        <f t="shared" si="97"/>
        <v>1317141.2037037041</v>
      </c>
      <c r="G29" s="29">
        <f t="shared" si="97"/>
        <v>1275738.5931069963</v>
      </c>
      <c r="H29" s="29">
        <f t="shared" si="97"/>
        <v>1350801.4789094653</v>
      </c>
      <c r="I29" s="29">
        <f t="shared" si="97"/>
        <v>1350801.4789094653</v>
      </c>
      <c r="J29" s="29">
        <f t="shared" si="97"/>
        <v>1308340.8015975084</v>
      </c>
      <c r="K29" s="29">
        <f t="shared" si="97"/>
        <v>1385321.9611482627</v>
      </c>
      <c r="L29" s="29">
        <f t="shared" si="97"/>
        <v>1340634.1559499316</v>
      </c>
      <c r="M29" s="29">
        <f t="shared" si="97"/>
        <v>1387581.1779666229</v>
      </c>
      <c r="N29" s="29">
        <f t="shared" si="97"/>
        <v>1420339.8218328441</v>
      </c>
      <c r="O29" s="29">
        <f t="shared" si="97"/>
        <v>1282887.5810103102</v>
      </c>
      <c r="P29" s="29">
        <f t="shared" si="97"/>
        <v>1422630.6925132195</v>
      </c>
      <c r="Q29" s="29">
        <f t="shared" si="97"/>
        <v>1408885.4684309664</v>
      </c>
      <c r="R29" s="29">
        <f t="shared" si="97"/>
        <v>1455848.3173786656</v>
      </c>
      <c r="S29" s="29">
        <f t="shared" si="97"/>
        <v>1410085.6301262961</v>
      </c>
      <c r="T29" s="29">
        <f t="shared" si="97"/>
        <v>1493053.3299338976</v>
      </c>
      <c r="U29" s="29">
        <f t="shared" si="97"/>
        <v>1493053.3299338976</v>
      </c>
      <c r="V29" s="29">
        <f t="shared" si="97"/>
        <v>1446121.1517850796</v>
      </c>
      <c r="W29" s="29">
        <f t="shared" si="97"/>
        <v>1531209.1372544309</v>
      </c>
      <c r="X29" s="29">
        <f t="shared" si="97"/>
        <v>1481815.2941171913</v>
      </c>
      <c r="Y29" s="29">
        <f t="shared" si="97"/>
        <v>1533706.2704352578</v>
      </c>
      <c r="Z29" s="29">
        <f t="shared" si="97"/>
        <v>1572728.1687643428</v>
      </c>
      <c r="AA29" s="29">
        <f t="shared" si="97"/>
        <v>1471893.5040621711</v>
      </c>
      <c r="AB29" s="29">
        <f t="shared" si="97"/>
        <v>9077394.636832606</v>
      </c>
      <c r="AC29" s="29">
        <f t="shared" si="97"/>
        <v>1460080.4321673361</v>
      </c>
      <c r="AD29" s="29">
        <f t="shared" si="97"/>
        <v>1508749.7799062473</v>
      </c>
      <c r="AE29" s="29">
        <f t="shared" si="97"/>
        <v>8701311.5840129294</v>
      </c>
      <c r="AF29" s="29">
        <f t="shared" si="97"/>
        <v>1446377.4082176632</v>
      </c>
      <c r="AG29" s="29">
        <f t="shared" si="97"/>
        <v>1446377.4082176632</v>
      </c>
      <c r="AH29" s="29">
        <f t="shared" si="97"/>
        <v>8826004.9093059078</v>
      </c>
      <c r="AI29" s="29">
        <f t="shared" si="97"/>
        <v>1382411.0759192598</v>
      </c>
      <c r="AJ29" s="29">
        <f t="shared" si="97"/>
        <v>1337817.1702444453</v>
      </c>
      <c r="AK29" s="29">
        <f t="shared" si="97"/>
        <v>9040931.7165823709</v>
      </c>
      <c r="AL29" s="29">
        <f t="shared" si="97"/>
        <v>1316426.0453854757</v>
      </c>
      <c r="AM29" s="29">
        <f t="shared" si="97"/>
        <v>1189029.9764772039</v>
      </c>
      <c r="AN29" s="29">
        <f t="shared" si="97"/>
        <v>9210978.8333479371</v>
      </c>
      <c r="AO29" s="29">
        <f t="shared" si="97"/>
        <v>1208136.1800113248</v>
      </c>
      <c r="AP29" s="29">
        <f t="shared" si="97"/>
        <v>1248407.3860117022</v>
      </c>
      <c r="AQ29" s="29">
        <f t="shared" si="97"/>
        <v>9221781.7526242565</v>
      </c>
      <c r="AR29" s="29">
        <f t="shared" si="97"/>
        <v>1179381.8198124801</v>
      </c>
      <c r="AS29" s="29">
        <f t="shared" si="97"/>
        <v>1179381.8198124801</v>
      </c>
      <c r="AT29" s="29">
        <f t="shared" si="97"/>
        <v>9359775.982226193</v>
      </c>
      <c r="AU29" s="29">
        <f t="shared" si="97"/>
        <v>1108592.2669215</v>
      </c>
      <c r="AV29" s="29">
        <f t="shared" si="97"/>
        <v>1072831.2260530645</v>
      </c>
      <c r="AW29" s="29">
        <f t="shared" si="97"/>
        <v>9570457.0545777008</v>
      </c>
      <c r="AX29" s="29">
        <f t="shared" si="97"/>
        <v>1035685.7053824943</v>
      </c>
      <c r="AY29" s="29">
        <f t="shared" si="97"/>
        <v>935458.05647451105</v>
      </c>
      <c r="AZ29" s="29">
        <f t="shared" si="97"/>
        <v>9744838.2863536086</v>
      </c>
      <c r="BA29" s="29">
        <f t="shared" si="97"/>
        <v>929659.87500836747</v>
      </c>
      <c r="BB29" s="29">
        <f t="shared" si="97"/>
        <v>960648.53750864649</v>
      </c>
      <c r="BC29" s="29">
        <f t="shared" si="97"/>
        <v>9797062.2290742546</v>
      </c>
      <c r="BD29" s="29">
        <f t="shared" si="97"/>
        <v>884269.13406990166</v>
      </c>
      <c r="BE29" s="29">
        <f t="shared" si="97"/>
        <v>884269.13406990166</v>
      </c>
      <c r="BF29" s="29">
        <f t="shared" si="97"/>
        <v>9975740.2176880464</v>
      </c>
      <c r="BG29" s="29">
        <f t="shared" si="97"/>
        <v>805692.18222825846</v>
      </c>
      <c r="BH29" s="29">
        <f t="shared" si="97"/>
        <v>779702.11183379835</v>
      </c>
      <c r="BI29" s="29">
        <f t="shared" si="97"/>
        <v>10153622.493189514</v>
      </c>
      <c r="BJ29" s="29">
        <f t="shared" si="97"/>
        <v>725128.97965950693</v>
      </c>
      <c r="BK29" s="29">
        <f t="shared" si="97"/>
        <v>654955.20743439335</v>
      </c>
      <c r="BL29" s="29">
        <f t="shared" si="97"/>
        <v>10312018.700906632</v>
      </c>
      <c r="BM29" s="29">
        <f t="shared" si="97"/>
        <v>621802.56615402235</v>
      </c>
      <c r="BN29" s="29">
        <f t="shared" ref="BN29:CF29" si="98">BN27+BN25</f>
        <v>642529.31835915649</v>
      </c>
      <c r="BO29" s="29">
        <f t="shared" si="98"/>
        <v>10451027.555354895</v>
      </c>
      <c r="BP29" s="29">
        <f t="shared" si="98"/>
        <v>557841.72117593617</v>
      </c>
      <c r="BQ29" s="29">
        <f t="shared" si="98"/>
        <v>557841.72117593617</v>
      </c>
      <c r="BR29" s="29">
        <f t="shared" si="98"/>
        <v>10614731.867877696</v>
      </c>
      <c r="BS29" s="29">
        <f t="shared" si="98"/>
        <v>471013.40973058424</v>
      </c>
      <c r="BT29" s="29">
        <f t="shared" si="98"/>
        <v>455819.42877153313</v>
      </c>
      <c r="BU29" s="29">
        <f t="shared" si="98"/>
        <v>10797697.441729488</v>
      </c>
      <c r="BV29" s="29">
        <f t="shared" si="98"/>
        <v>381990.27152369707</v>
      </c>
      <c r="BW29" s="29">
        <f t="shared" si="98"/>
        <v>357345.73787700699</v>
      </c>
      <c r="BX29" s="29">
        <f t="shared" si="98"/>
        <v>10969709.927664794</v>
      </c>
      <c r="BY29" s="29">
        <f t="shared" si="98"/>
        <v>281338.86407626059</v>
      </c>
      <c r="BZ29" s="29">
        <f t="shared" si="98"/>
        <v>290716.82621213596</v>
      </c>
      <c r="CA29" s="29">
        <f t="shared" si="98"/>
        <v>11117622.663920732</v>
      </c>
      <c r="CB29" s="29">
        <f t="shared" si="98"/>
        <v>197378.4550548204</v>
      </c>
      <c r="CC29" s="29">
        <f t="shared" si="98"/>
        <v>197378.4550548204</v>
      </c>
      <c r="CD29" s="29">
        <f t="shared" si="98"/>
        <v>11322973.174917517</v>
      </c>
      <c r="CE29" s="29">
        <f t="shared" si="98"/>
        <v>101493.26062003341</v>
      </c>
      <c r="CF29" s="29">
        <f t="shared" si="98"/>
        <v>98219.284471000094</v>
      </c>
      <c r="CG29" s="29">
        <f t="shared" ref="CG29" si="99">CG27+CG25</f>
        <v>11881259.444841975</v>
      </c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</row>
    <row r="30" spans="1:96" s="23" customFormat="1" ht="14.45" thickBot="1">
      <c r="A30" s="31" t="s">
        <v>66</v>
      </c>
      <c r="B30" s="32">
        <f>B24-B27</f>
        <v>150000000</v>
      </c>
      <c r="C30" s="32">
        <f t="shared" ref="C30:BN30" si="100">C24-C27</f>
        <v>150000000</v>
      </c>
      <c r="D30" s="32">
        <f>IHL_Loan!$B$34</f>
        <v>152958333.33333334</v>
      </c>
      <c r="E30" s="32">
        <f t="shared" si="100"/>
        <v>152958333.33333334</v>
      </c>
      <c r="F30" s="32">
        <f t="shared" si="100"/>
        <v>152958333.33333334</v>
      </c>
      <c r="G30" s="32">
        <f>IHL_Loan!$C$34</f>
        <v>156867268.51851854</v>
      </c>
      <c r="H30" s="32">
        <f t="shared" si="100"/>
        <v>156867268.51851854</v>
      </c>
      <c r="I30" s="32">
        <f t="shared" si="100"/>
        <v>156867268.51851854</v>
      </c>
      <c r="J30" s="32">
        <f>IHL_Loan!$D$34</f>
        <v>160876098.71399179</v>
      </c>
      <c r="K30" s="32">
        <f t="shared" si="100"/>
        <v>160876098.71399179</v>
      </c>
      <c r="L30" s="32">
        <f t="shared" si="100"/>
        <v>160876098.71399179</v>
      </c>
      <c r="M30" s="32">
        <f>IHL_Loan!$E$34</f>
        <v>164942688.98703992</v>
      </c>
      <c r="N30" s="32">
        <f t="shared" si="100"/>
        <v>164942688.98703992</v>
      </c>
      <c r="O30" s="32">
        <f t="shared" si="100"/>
        <v>164942688.98703992</v>
      </c>
      <c r="P30" s="32">
        <f>IHL_Loan!$F$34</f>
        <v>169066256.21171594</v>
      </c>
      <c r="Q30" s="32">
        <f t="shared" si="100"/>
        <v>169066256.21171594</v>
      </c>
      <c r="R30" s="32">
        <f t="shared" si="100"/>
        <v>169066256.21171594</v>
      </c>
      <c r="S30" s="32">
        <f>IHL_Loan!$G$34</f>
        <v>173386838.31490424</v>
      </c>
      <c r="T30" s="32">
        <f t="shared" si="100"/>
        <v>173386838.31490424</v>
      </c>
      <c r="U30" s="32">
        <f t="shared" si="100"/>
        <v>173386838.31490424</v>
      </c>
      <c r="V30" s="32">
        <f>IHL_Loan!$H$34</f>
        <v>177817835.29406291</v>
      </c>
      <c r="W30" s="32">
        <f t="shared" si="100"/>
        <v>177817835.29406291</v>
      </c>
      <c r="X30" s="32">
        <f t="shared" si="100"/>
        <v>177817835.29406291</v>
      </c>
      <c r="Y30" s="32">
        <f>IHL_Loan!$I$34</f>
        <v>182312675.01955172</v>
      </c>
      <c r="Z30" s="32">
        <f>IHL_Loan!$J$34</f>
        <v>182717814.29737294</v>
      </c>
      <c r="AA30" s="32">
        <f t="shared" si="100"/>
        <v>182717814.29737294</v>
      </c>
      <c r="AB30" s="32">
        <f t="shared" si="100"/>
        <v>175209651.86008033</v>
      </c>
      <c r="AC30" s="32">
        <f t="shared" si="100"/>
        <v>175209651.86008033</v>
      </c>
      <c r="AD30" s="32">
        <f t="shared" si="100"/>
        <v>175209651.86008033</v>
      </c>
      <c r="AE30" s="32">
        <f t="shared" si="100"/>
        <v>167966408.69624478</v>
      </c>
      <c r="AF30" s="32">
        <f t="shared" si="100"/>
        <v>167966408.69624478</v>
      </c>
      <c r="AG30" s="32">
        <f t="shared" si="100"/>
        <v>167966408.69624478</v>
      </c>
      <c r="AH30" s="32">
        <f t="shared" si="100"/>
        <v>160538060.42933342</v>
      </c>
      <c r="AI30" s="32">
        <f t="shared" si="100"/>
        <v>160538060.42933342</v>
      </c>
      <c r="AJ30" s="32">
        <f t="shared" si="100"/>
        <v>160538060.42933342</v>
      </c>
      <c r="AK30" s="32">
        <f t="shared" si="100"/>
        <v>152875282.68992621</v>
      </c>
      <c r="AL30" s="32">
        <f t="shared" si="100"/>
        <v>152875282.68992621</v>
      </c>
      <c r="AM30" s="32">
        <f t="shared" si="100"/>
        <v>152875282.68992621</v>
      </c>
      <c r="AN30" s="32">
        <f t="shared" si="100"/>
        <v>144976341.60135898</v>
      </c>
      <c r="AO30" s="32">
        <f t="shared" si="100"/>
        <v>144976341.60135898</v>
      </c>
      <c r="AP30" s="32">
        <f t="shared" si="100"/>
        <v>144976341.60135898</v>
      </c>
      <c r="AQ30" s="32">
        <f t="shared" si="100"/>
        <v>136960469.39757833</v>
      </c>
      <c r="AR30" s="32">
        <f t="shared" si="100"/>
        <v>136960469.39757833</v>
      </c>
      <c r="AS30" s="32">
        <f t="shared" si="100"/>
        <v>136960469.39757833</v>
      </c>
      <c r="AT30" s="32">
        <f t="shared" si="100"/>
        <v>128739747.12636773</v>
      </c>
      <c r="AU30" s="32">
        <f t="shared" si="100"/>
        <v>128739747.12636773</v>
      </c>
      <c r="AV30" s="32">
        <f t="shared" si="100"/>
        <v>128739747.12636773</v>
      </c>
      <c r="AW30" s="32">
        <f t="shared" si="100"/>
        <v>120273178.68957998</v>
      </c>
      <c r="AX30" s="32">
        <f t="shared" si="100"/>
        <v>120273178.68957998</v>
      </c>
      <c r="AY30" s="32">
        <f t="shared" si="100"/>
        <v>120273178.68957998</v>
      </c>
      <c r="AZ30" s="32">
        <f t="shared" si="100"/>
        <v>111559185.0010041</v>
      </c>
      <c r="BA30" s="32">
        <f t="shared" si="100"/>
        <v>111559185.0010041</v>
      </c>
      <c r="BB30" s="32">
        <f t="shared" si="100"/>
        <v>111559185.0010041</v>
      </c>
      <c r="BC30" s="32">
        <f t="shared" si="100"/>
        <v>102689318.79521438</v>
      </c>
      <c r="BD30" s="32">
        <f t="shared" si="100"/>
        <v>102689318.79521438</v>
      </c>
      <c r="BE30" s="32">
        <f t="shared" si="100"/>
        <v>102689318.79521438</v>
      </c>
      <c r="BF30" s="32">
        <f t="shared" si="100"/>
        <v>93564253.420055807</v>
      </c>
      <c r="BG30" s="32">
        <f t="shared" si="100"/>
        <v>93564253.420055807</v>
      </c>
      <c r="BH30" s="32">
        <f t="shared" si="100"/>
        <v>93564253.420055807</v>
      </c>
      <c r="BI30" s="32">
        <f t="shared" si="100"/>
        <v>84208526.670136288</v>
      </c>
      <c r="BJ30" s="32">
        <f t="shared" si="100"/>
        <v>84208526.670136288</v>
      </c>
      <c r="BK30" s="32">
        <f t="shared" si="100"/>
        <v>84208526.670136288</v>
      </c>
      <c r="BL30" s="32">
        <f t="shared" si="100"/>
        <v>74616307.938482687</v>
      </c>
      <c r="BM30" s="32">
        <f t="shared" si="100"/>
        <v>74616307.938482687</v>
      </c>
      <c r="BN30" s="32">
        <f t="shared" si="100"/>
        <v>74616307.938482687</v>
      </c>
      <c r="BO30" s="32">
        <f t="shared" ref="BO30:CF30" si="101">BO24-BO27</f>
        <v>64781619.233334512</v>
      </c>
      <c r="BP30" s="32">
        <f t="shared" si="101"/>
        <v>64781619.233334512</v>
      </c>
      <c r="BQ30" s="32">
        <f t="shared" si="101"/>
        <v>64781619.233334512</v>
      </c>
      <c r="BR30" s="32">
        <f t="shared" si="101"/>
        <v>54698331.452583976</v>
      </c>
      <c r="BS30" s="32">
        <f t="shared" si="101"/>
        <v>54698331.452583976</v>
      </c>
      <c r="BT30" s="32">
        <f t="shared" si="101"/>
        <v>54698331.452583976</v>
      </c>
      <c r="BU30" s="32">
        <f t="shared" si="101"/>
        <v>44360160.564042248</v>
      </c>
      <c r="BV30" s="32">
        <f t="shared" si="101"/>
        <v>44360160.564042248</v>
      </c>
      <c r="BW30" s="32">
        <f t="shared" si="101"/>
        <v>44360160.564042248</v>
      </c>
      <c r="BX30" s="32">
        <f t="shared" si="101"/>
        <v>33760663.689151272</v>
      </c>
      <c r="BY30" s="32">
        <f t="shared" si="101"/>
        <v>33760663.689151272</v>
      </c>
      <c r="BZ30" s="32">
        <f t="shared" si="101"/>
        <v>33760663.689151272</v>
      </c>
      <c r="CA30" s="32">
        <f t="shared" si="101"/>
        <v>22921368.974108178</v>
      </c>
      <c r="CB30" s="32">
        <f t="shared" si="101"/>
        <v>22921368.974108178</v>
      </c>
      <c r="CC30" s="32">
        <f t="shared" si="101"/>
        <v>22921368.974108178</v>
      </c>
      <c r="CD30" s="32">
        <f t="shared" si="101"/>
        <v>11786314.136520009</v>
      </c>
      <c r="CE30" s="32">
        <f t="shared" si="101"/>
        <v>11786314.136520009</v>
      </c>
      <c r="CF30" s="32">
        <f t="shared" si="101"/>
        <v>11786314.136520009</v>
      </c>
      <c r="CG30" s="32">
        <f t="shared" ref="CG30" si="102">CG24-CG27</f>
        <v>0</v>
      </c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</row>
    <row r="31" spans="1:96" s="23" customFormat="1">
      <c r="A31" s="22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</row>
    <row r="32" spans="1:96" s="48" customFormat="1">
      <c r="A32" s="46"/>
      <c r="B32" s="47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</row>
    <row r="33" spans="2:96"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CG33" s="29">
        <f>SUM(B25:CG25)-SUM(IHL_Loan!B29:AD29)</f>
        <v>0</v>
      </c>
      <c r="CR33" s="29"/>
    </row>
    <row r="34" spans="2:96"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CG34" s="29"/>
    </row>
    <row r="35" spans="2:96"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C29:F29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3"/>
  <sheetViews>
    <sheetView topLeftCell="A10" zoomScaleNormal="100" workbookViewId="0">
      <selection activeCell="D49" sqref="D49"/>
    </sheetView>
  </sheetViews>
  <sheetFormatPr defaultColWidth="9.140625" defaultRowHeight="13.9"/>
  <cols>
    <col min="1" max="1" width="15" style="23" bestFit="1" customWidth="1"/>
    <col min="2" max="2" width="16.140625" style="23" customWidth="1"/>
    <col min="3" max="3" width="16.28515625" style="23" customWidth="1"/>
    <col min="4" max="4" width="17.7109375" style="23" customWidth="1"/>
    <col min="5" max="5" width="16.5703125" style="23" bestFit="1" customWidth="1"/>
    <col min="6" max="6" width="20.28515625" style="23" bestFit="1" customWidth="1"/>
    <col min="7" max="7" width="16" style="23" bestFit="1" customWidth="1"/>
    <col min="8" max="8" width="14.5703125" style="23" bestFit="1" customWidth="1"/>
    <col min="9" max="16384" width="9.140625" style="23"/>
  </cols>
  <sheetData>
    <row r="1" spans="1:8" ht="14.45">
      <c r="A1" s="17" t="s">
        <v>39</v>
      </c>
      <c r="B1" s="18"/>
      <c r="C1" s="17" t="str">
        <f>IHL_Loan!C1</f>
        <v>Imperial Hospital Limited (IHL)</v>
      </c>
      <c r="D1" s="18"/>
      <c r="E1" s="18"/>
    </row>
    <row r="2" spans="1:8" ht="14.45">
      <c r="A2" s="17"/>
      <c r="B2" s="18"/>
      <c r="C2" s="18"/>
      <c r="D2" s="18"/>
      <c r="E2" s="18"/>
    </row>
    <row r="3" spans="1:8">
      <c r="A3" s="21" t="s">
        <v>81</v>
      </c>
      <c r="B3" s="22"/>
      <c r="C3" s="85">
        <f>IHL_Loan!C3</f>
        <v>42831</v>
      </c>
      <c r="D3" s="21"/>
      <c r="E3" s="21"/>
    </row>
    <row r="4" spans="1:8">
      <c r="A4" s="22"/>
      <c r="B4" s="22"/>
      <c r="C4" s="22"/>
      <c r="D4" s="22"/>
      <c r="E4" s="22"/>
    </row>
    <row r="5" spans="1:8">
      <c r="A5" s="21" t="s">
        <v>41</v>
      </c>
      <c r="B5" s="22"/>
      <c r="C5" s="86">
        <f>IHL_Loan!C5</f>
        <v>182760434.63</v>
      </c>
      <c r="D5" s="21"/>
      <c r="E5" s="22"/>
    </row>
    <row r="6" spans="1:8">
      <c r="A6" s="21"/>
      <c r="B6" s="22"/>
      <c r="C6" s="22"/>
      <c r="D6" s="22"/>
      <c r="E6" s="22"/>
    </row>
    <row r="7" spans="1:8">
      <c r="A7" s="21" t="s">
        <v>45</v>
      </c>
      <c r="B7" s="22"/>
      <c r="C7" s="88">
        <f>IHL_Loan!C8</f>
        <v>0.1</v>
      </c>
      <c r="D7" s="22"/>
      <c r="E7" s="22"/>
    </row>
    <row r="8" spans="1:8">
      <c r="A8" s="89"/>
      <c r="B8" s="22"/>
      <c r="C8" s="33"/>
      <c r="D8" s="87"/>
      <c r="E8" s="22"/>
    </row>
    <row r="9" spans="1:8">
      <c r="A9" s="89" t="s">
        <v>52</v>
      </c>
      <c r="B9" s="87"/>
      <c r="C9" s="90">
        <f>IHL_Loan!C13</f>
        <v>20</v>
      </c>
      <c r="D9" s="22"/>
      <c r="E9" s="22"/>
    </row>
    <row r="10" spans="1:8">
      <c r="A10" s="89"/>
      <c r="B10" s="91"/>
      <c r="C10" s="92"/>
      <c r="D10" s="22"/>
      <c r="E10" s="22"/>
    </row>
    <row r="11" spans="1:8">
      <c r="A11" s="89" t="s">
        <v>53</v>
      </c>
      <c r="B11" s="91"/>
      <c r="C11" s="92"/>
      <c r="D11" s="22"/>
      <c r="E11" s="22"/>
    </row>
    <row r="12" spans="1:8">
      <c r="A12" s="93"/>
      <c r="B12" s="94"/>
      <c r="C12" s="94">
        <f>IHL_Loan!C16</f>
        <v>43118</v>
      </c>
      <c r="D12" s="94"/>
      <c r="E12" s="94"/>
    </row>
    <row r="13" spans="1:8">
      <c r="A13" s="95"/>
      <c r="B13" s="96"/>
      <c r="C13" s="97">
        <f>IHL_Loan!C17</f>
        <v>150000000</v>
      </c>
      <c r="D13" s="97"/>
      <c r="E13" s="97"/>
    </row>
    <row r="14" spans="1:8">
      <c r="A14" s="98"/>
      <c r="B14" s="99"/>
      <c r="C14" s="100">
        <f>C13</f>
        <v>150000000</v>
      </c>
      <c r="D14" s="100"/>
      <c r="E14" s="100"/>
    </row>
    <row r="15" spans="1:8">
      <c r="A15" s="83"/>
    </row>
    <row r="16" spans="1:8">
      <c r="A16" s="126" t="s">
        <v>59</v>
      </c>
      <c r="B16" s="127" t="s">
        <v>60</v>
      </c>
      <c r="C16" s="127" t="s">
        <v>61</v>
      </c>
      <c r="D16" s="127" t="s">
        <v>62</v>
      </c>
      <c r="E16" s="127" t="s">
        <v>63</v>
      </c>
      <c r="F16" s="127" t="s">
        <v>64</v>
      </c>
      <c r="G16" s="127" t="s">
        <v>65</v>
      </c>
      <c r="H16" s="127" t="s">
        <v>66</v>
      </c>
    </row>
    <row r="17" spans="1:11">
      <c r="A17" s="106">
        <f t="array" ref="A17:H45">TRANSPOSE(IHL_Loan!B27:AD34)</f>
        <v>43189</v>
      </c>
      <c r="B17" s="101">
        <v>150000000</v>
      </c>
      <c r="C17" s="101">
        <v>2958333.3333333335</v>
      </c>
      <c r="D17" s="101">
        <v>0</v>
      </c>
      <c r="E17" s="101">
        <v>0</v>
      </c>
      <c r="F17" s="101">
        <v>0</v>
      </c>
      <c r="G17" s="101">
        <v>0</v>
      </c>
      <c r="H17" s="101">
        <v>152958333.33333334</v>
      </c>
      <c r="J17" s="119"/>
      <c r="K17" s="133"/>
    </row>
    <row r="18" spans="1:11">
      <c r="A18" s="106">
        <v>43281</v>
      </c>
      <c r="B18" s="101">
        <v>152958333.33333334</v>
      </c>
      <c r="C18" s="101">
        <v>3908935.1851851861</v>
      </c>
      <c r="D18" s="101">
        <v>0</v>
      </c>
      <c r="E18" s="101">
        <v>0</v>
      </c>
      <c r="F18" s="101">
        <v>0</v>
      </c>
      <c r="G18" s="101">
        <v>0</v>
      </c>
      <c r="H18" s="101">
        <v>156867268.51851854</v>
      </c>
      <c r="J18" s="119"/>
      <c r="K18" s="133"/>
    </row>
    <row r="19" spans="1:11">
      <c r="A19" s="106">
        <v>43373</v>
      </c>
      <c r="B19" s="101">
        <v>156867268.51851854</v>
      </c>
      <c r="C19" s="101">
        <v>4008830.1954732519</v>
      </c>
      <c r="D19" s="101">
        <v>0</v>
      </c>
      <c r="E19" s="101">
        <v>0</v>
      </c>
      <c r="F19" s="101">
        <v>0</v>
      </c>
      <c r="G19" s="101">
        <v>0</v>
      </c>
      <c r="H19" s="101">
        <v>160876098.71399179</v>
      </c>
      <c r="J19" s="119"/>
      <c r="K19" s="133"/>
    </row>
    <row r="20" spans="1:11">
      <c r="A20" s="106">
        <v>43464</v>
      </c>
      <c r="B20" s="101">
        <v>160876098.71399179</v>
      </c>
      <c r="C20" s="101">
        <v>4066590.2730481261</v>
      </c>
      <c r="D20" s="101">
        <v>0</v>
      </c>
      <c r="E20" s="101">
        <v>0</v>
      </c>
      <c r="F20" s="101">
        <v>0</v>
      </c>
      <c r="G20" s="101">
        <v>0</v>
      </c>
      <c r="H20" s="101">
        <v>164942688.98703992</v>
      </c>
      <c r="J20" s="119"/>
      <c r="K20" s="133"/>
    </row>
    <row r="21" spans="1:11">
      <c r="A21" s="106">
        <v>43554</v>
      </c>
      <c r="B21" s="101">
        <v>164942688.98703992</v>
      </c>
      <c r="C21" s="101">
        <v>4123567.2246759986</v>
      </c>
      <c r="D21" s="101">
        <v>0</v>
      </c>
      <c r="E21" s="101">
        <v>0</v>
      </c>
      <c r="F21" s="101">
        <v>0</v>
      </c>
      <c r="G21" s="101">
        <v>0</v>
      </c>
      <c r="H21" s="101">
        <v>169066256.21171594</v>
      </c>
      <c r="J21" s="119"/>
      <c r="K21" s="133"/>
    </row>
    <row r="22" spans="1:11">
      <c r="A22" s="106">
        <v>43646</v>
      </c>
      <c r="B22" s="101">
        <v>169066256.21171594</v>
      </c>
      <c r="C22" s="101">
        <v>4320582.1031882968</v>
      </c>
      <c r="D22" s="101">
        <v>0</v>
      </c>
      <c r="E22" s="101">
        <v>0</v>
      </c>
      <c r="F22" s="101">
        <v>0</v>
      </c>
      <c r="G22" s="101">
        <v>0</v>
      </c>
      <c r="H22" s="101">
        <v>173386838.31490424</v>
      </c>
      <c r="J22" s="119"/>
      <c r="K22" s="133"/>
    </row>
    <row r="23" spans="1:11">
      <c r="A23" s="106">
        <v>43738</v>
      </c>
      <c r="B23" s="101">
        <v>173386838.31490424</v>
      </c>
      <c r="C23" s="101">
        <v>4430996.9791586641</v>
      </c>
      <c r="D23" s="101">
        <v>0</v>
      </c>
      <c r="E23" s="101">
        <v>0</v>
      </c>
      <c r="F23" s="101">
        <v>0</v>
      </c>
      <c r="G23" s="101">
        <v>0</v>
      </c>
      <c r="H23" s="101">
        <v>177817835.29406291</v>
      </c>
      <c r="J23" s="119"/>
      <c r="K23" s="133"/>
    </row>
    <row r="24" spans="1:11">
      <c r="A24" s="106">
        <v>43829</v>
      </c>
      <c r="B24" s="101">
        <v>177817835.29406291</v>
      </c>
      <c r="C24" s="101">
        <v>4494839.7254888127</v>
      </c>
      <c r="D24" s="101">
        <v>0</v>
      </c>
      <c r="E24" s="101">
        <v>0</v>
      </c>
      <c r="F24" s="101">
        <v>0</v>
      </c>
      <c r="G24" s="101">
        <v>0</v>
      </c>
      <c r="H24" s="101">
        <v>182312675.01955172</v>
      </c>
      <c r="J24" s="119"/>
      <c r="K24" s="133"/>
    </row>
    <row r="25" spans="1:11">
      <c r="A25" s="106">
        <v>43837</v>
      </c>
      <c r="B25" s="101">
        <v>182312675.01955172</v>
      </c>
      <c r="C25" s="101">
        <v>405139.2778212261</v>
      </c>
      <c r="D25" s="101">
        <v>0</v>
      </c>
      <c r="E25" s="101">
        <v>0</v>
      </c>
      <c r="F25" s="101">
        <v>0</v>
      </c>
      <c r="G25" s="101">
        <v>0</v>
      </c>
      <c r="H25" s="101">
        <v>182717814.29737294</v>
      </c>
      <c r="J25" s="119"/>
      <c r="K25" s="133"/>
    </row>
    <row r="26" spans="1:11">
      <c r="A26" s="106">
        <v>43920</v>
      </c>
      <c r="B26" s="101">
        <v>182717814.29737294</v>
      </c>
      <c r="C26" s="101">
        <v>4212660.7185227657</v>
      </c>
      <c r="D26" s="101">
        <v>4212660.7185227657</v>
      </c>
      <c r="E26" s="101">
        <v>7508162.4372926122</v>
      </c>
      <c r="F26" s="101">
        <v>7508162.4372926122</v>
      </c>
      <c r="G26" s="101">
        <v>11720823.155815378</v>
      </c>
      <c r="H26" s="101">
        <v>175209651.86008033</v>
      </c>
      <c r="J26" s="119"/>
      <c r="K26" s="133"/>
    </row>
    <row r="27" spans="1:11">
      <c r="A27" s="106">
        <v>44012</v>
      </c>
      <c r="B27" s="101">
        <v>175209651.86008033</v>
      </c>
      <c r="C27" s="101">
        <v>4477579.9919798309</v>
      </c>
      <c r="D27" s="101">
        <v>8690240.7105025966</v>
      </c>
      <c r="E27" s="101">
        <v>7243243.1638355469</v>
      </c>
      <c r="F27" s="101">
        <v>14751405.601128159</v>
      </c>
      <c r="G27" s="101">
        <v>11720823.155815378</v>
      </c>
      <c r="H27" s="101">
        <v>167966408.69624478</v>
      </c>
      <c r="J27" s="119"/>
      <c r="K27" s="133"/>
    </row>
    <row r="28" spans="1:11">
      <c r="A28" s="106">
        <v>44104</v>
      </c>
      <c r="B28" s="101">
        <v>167966408.69624478</v>
      </c>
      <c r="C28" s="101">
        <v>4292474.8889040342</v>
      </c>
      <c r="D28" s="101">
        <v>12982715.59940663</v>
      </c>
      <c r="E28" s="101">
        <v>7428348.2669113437</v>
      </c>
      <c r="F28" s="101">
        <v>22179753.868039504</v>
      </c>
      <c r="G28" s="101">
        <v>11720823.155815378</v>
      </c>
      <c r="H28" s="101">
        <v>160538060.42933342</v>
      </c>
      <c r="J28" s="119"/>
      <c r="K28" s="133"/>
    </row>
    <row r="29" spans="1:11">
      <c r="A29" s="106">
        <v>44195</v>
      </c>
      <c r="B29" s="101">
        <v>160538060.42933342</v>
      </c>
      <c r="C29" s="101">
        <v>4058045.4164081509</v>
      </c>
      <c r="D29" s="101">
        <v>17040761.015814781</v>
      </c>
      <c r="E29" s="101">
        <v>7662777.7394072264</v>
      </c>
      <c r="F29" s="101">
        <v>29842531.60744673</v>
      </c>
      <c r="G29" s="101">
        <v>11720823.155815378</v>
      </c>
      <c r="H29" s="101">
        <v>152875282.68992621</v>
      </c>
      <c r="J29" s="119"/>
      <c r="K29" s="133"/>
    </row>
    <row r="30" spans="1:11">
      <c r="A30" s="106">
        <v>44285</v>
      </c>
      <c r="B30" s="101">
        <v>152875282.68992621</v>
      </c>
      <c r="C30" s="101">
        <v>3821882.0672481558</v>
      </c>
      <c r="D30" s="101">
        <v>20862643.083062936</v>
      </c>
      <c r="E30" s="101">
        <v>7898941.0885672215</v>
      </c>
      <c r="F30" s="101">
        <v>37741472.69601395</v>
      </c>
      <c r="G30" s="101">
        <v>11720823.155815378</v>
      </c>
      <c r="H30" s="101">
        <v>144976341.60135898</v>
      </c>
      <c r="J30" s="119"/>
      <c r="K30" s="133"/>
    </row>
    <row r="31" spans="1:11">
      <c r="A31" s="106">
        <v>44377</v>
      </c>
      <c r="B31" s="101">
        <v>144976341.60135898</v>
      </c>
      <c r="C31" s="101">
        <v>3704950.9520347295</v>
      </c>
      <c r="D31" s="101">
        <v>24567594.035097666</v>
      </c>
      <c r="E31" s="101">
        <v>8015872.2037806483</v>
      </c>
      <c r="F31" s="101">
        <v>45757344.899794601</v>
      </c>
      <c r="G31" s="101">
        <v>11720823.155815378</v>
      </c>
      <c r="H31" s="101">
        <v>136960469.39757833</v>
      </c>
      <c r="J31" s="119"/>
      <c r="K31" s="133"/>
    </row>
    <row r="32" spans="1:11">
      <c r="A32" s="106">
        <v>44469</v>
      </c>
      <c r="B32" s="101">
        <v>136960469.39757833</v>
      </c>
      <c r="C32" s="101">
        <v>3500100.8846047791</v>
      </c>
      <c r="D32" s="101">
        <v>28067694.919702444</v>
      </c>
      <c r="E32" s="101">
        <v>8220722.2712105988</v>
      </c>
      <c r="F32" s="101">
        <v>53978067.171005197</v>
      </c>
      <c r="G32" s="101">
        <v>11720823.155815378</v>
      </c>
      <c r="H32" s="101">
        <v>128739747.12636773</v>
      </c>
      <c r="J32" s="119"/>
      <c r="K32" s="133"/>
    </row>
    <row r="33" spans="1:11">
      <c r="A33" s="106">
        <v>44560</v>
      </c>
      <c r="B33" s="101">
        <v>128739747.12636773</v>
      </c>
      <c r="C33" s="101">
        <v>3254254.7190276291</v>
      </c>
      <c r="D33" s="101">
        <v>31321949.638730071</v>
      </c>
      <c r="E33" s="101">
        <v>8466568.4367877487</v>
      </c>
      <c r="F33" s="101">
        <v>62444635.607792944</v>
      </c>
      <c r="G33" s="101">
        <v>11720823.155815378</v>
      </c>
      <c r="H33" s="101">
        <v>120273178.68957998</v>
      </c>
      <c r="J33" s="119"/>
      <c r="K33" s="133"/>
    </row>
    <row r="34" spans="1:11">
      <c r="A34" s="106">
        <v>44650</v>
      </c>
      <c r="B34" s="101">
        <v>120273178.68957998</v>
      </c>
      <c r="C34" s="101">
        <v>3006829.4672394996</v>
      </c>
      <c r="D34" s="101">
        <v>34328779.105969571</v>
      </c>
      <c r="E34" s="101">
        <v>8713993.6885758787</v>
      </c>
      <c r="F34" s="101">
        <v>71158629.296368822</v>
      </c>
      <c r="G34" s="101">
        <v>11720823.155815378</v>
      </c>
      <c r="H34" s="101">
        <v>111559185.0010041</v>
      </c>
      <c r="J34" s="119"/>
      <c r="K34" s="133"/>
    </row>
    <row r="35" spans="1:11">
      <c r="A35" s="106">
        <v>44742</v>
      </c>
      <c r="B35" s="101">
        <v>111559185.0010041</v>
      </c>
      <c r="C35" s="101">
        <v>2850956.9500256605</v>
      </c>
      <c r="D35" s="101">
        <v>37179736.055995233</v>
      </c>
      <c r="E35" s="101">
        <v>8869866.2057897169</v>
      </c>
      <c r="F35" s="101">
        <v>80028495.502158538</v>
      </c>
      <c r="G35" s="101">
        <v>11720823.155815378</v>
      </c>
      <c r="H35" s="101">
        <v>102689318.79521438</v>
      </c>
      <c r="J35" s="119"/>
      <c r="K35" s="133"/>
    </row>
    <row r="36" spans="1:11">
      <c r="A36" s="106">
        <v>44833</v>
      </c>
      <c r="B36" s="101">
        <v>102689318.79521438</v>
      </c>
      <c r="C36" s="101">
        <v>2595757.7806568081</v>
      </c>
      <c r="D36" s="101">
        <v>39775493.83665204</v>
      </c>
      <c r="E36" s="101">
        <v>9125065.3751585707</v>
      </c>
      <c r="F36" s="101">
        <v>89153560.877317101</v>
      </c>
      <c r="G36" s="101">
        <v>11720823.155815378</v>
      </c>
      <c r="H36" s="101">
        <v>93564253.420055807</v>
      </c>
      <c r="J36" s="119"/>
      <c r="K36" s="133"/>
    </row>
    <row r="37" spans="1:11">
      <c r="A37" s="106">
        <v>44924</v>
      </c>
      <c r="B37" s="101">
        <v>93564253.420055807</v>
      </c>
      <c r="C37" s="101">
        <v>2365096.4058958553</v>
      </c>
      <c r="D37" s="101">
        <v>42140590.242547899</v>
      </c>
      <c r="E37" s="101">
        <v>9355726.7499195226</v>
      </c>
      <c r="F37" s="101">
        <v>98509287.62723662</v>
      </c>
      <c r="G37" s="101">
        <v>11720823.155815378</v>
      </c>
      <c r="H37" s="101">
        <v>84208526.670136288</v>
      </c>
      <c r="J37" s="119"/>
      <c r="K37" s="133"/>
    </row>
    <row r="38" spans="1:11">
      <c r="A38" s="106">
        <v>45015</v>
      </c>
      <c r="B38" s="101">
        <v>84208526.670136288</v>
      </c>
      <c r="C38" s="101">
        <v>2128604.4241617788</v>
      </c>
      <c r="D38" s="101">
        <v>44269194.666709676</v>
      </c>
      <c r="E38" s="101">
        <v>9592218.7316535991</v>
      </c>
      <c r="F38" s="101">
        <v>108101506.35889022</v>
      </c>
      <c r="G38" s="101">
        <v>11720823.155815378</v>
      </c>
      <c r="H38" s="101">
        <v>74616307.938482687</v>
      </c>
      <c r="J38" s="119"/>
      <c r="K38" s="133"/>
    </row>
    <row r="39" spans="1:11">
      <c r="A39" s="106">
        <v>45106</v>
      </c>
      <c r="B39" s="101">
        <v>74616307.938482687</v>
      </c>
      <c r="C39" s="101">
        <v>1886134.4506672011</v>
      </c>
      <c r="D39" s="101">
        <v>46155329.117376879</v>
      </c>
      <c r="E39" s="101">
        <v>9834688.7051481772</v>
      </c>
      <c r="F39" s="101">
        <v>117936195.0640384</v>
      </c>
      <c r="G39" s="101">
        <v>11720823.155815378</v>
      </c>
      <c r="H39" s="101">
        <v>64781619.233334512</v>
      </c>
      <c r="J39" s="119"/>
      <c r="K39" s="133"/>
    </row>
    <row r="40" spans="1:11">
      <c r="A40" s="106">
        <v>45197</v>
      </c>
      <c r="B40" s="101">
        <v>64781619.233334512</v>
      </c>
      <c r="C40" s="101">
        <v>1637535.3750648445</v>
      </c>
      <c r="D40" s="101">
        <v>47792864.492441721</v>
      </c>
      <c r="E40" s="101">
        <v>10083287.780750534</v>
      </c>
      <c r="F40" s="101">
        <v>128019482.84478892</v>
      </c>
      <c r="G40" s="101">
        <v>11720823.155815378</v>
      </c>
      <c r="H40" s="101">
        <v>54698331.452583976</v>
      </c>
      <c r="J40" s="119"/>
      <c r="K40" s="133"/>
    </row>
    <row r="41" spans="1:11">
      <c r="A41" s="106">
        <v>45288</v>
      </c>
      <c r="B41" s="101">
        <v>54698331.452583976</v>
      </c>
      <c r="C41" s="101">
        <v>1382652.2672736505</v>
      </c>
      <c r="D41" s="101">
        <v>49175516.759715371</v>
      </c>
      <c r="E41" s="101">
        <v>10338170.888541728</v>
      </c>
      <c r="F41" s="101">
        <v>138357653.73333067</v>
      </c>
      <c r="G41" s="101">
        <v>11720823.155815378</v>
      </c>
      <c r="H41" s="101">
        <v>44360160.564042248</v>
      </c>
      <c r="J41" s="119"/>
      <c r="K41" s="133"/>
    </row>
    <row r="42" spans="1:11">
      <c r="A42" s="106">
        <v>45379</v>
      </c>
      <c r="B42" s="101">
        <v>44360160.564042248</v>
      </c>
      <c r="C42" s="101">
        <v>1121326.2809244012</v>
      </c>
      <c r="D42" s="101">
        <v>50296843.040639773</v>
      </c>
      <c r="E42" s="101">
        <v>10599496.874890976</v>
      </c>
      <c r="F42" s="101">
        <v>148957150.60822165</v>
      </c>
      <c r="G42" s="101">
        <v>11720823.155815378</v>
      </c>
      <c r="H42" s="101">
        <v>33760663.689151272</v>
      </c>
      <c r="J42" s="119"/>
      <c r="K42" s="133"/>
    </row>
    <row r="43" spans="1:11">
      <c r="A43" s="106">
        <v>45473</v>
      </c>
      <c r="B43" s="101">
        <v>33760663.689151272</v>
      </c>
      <c r="C43" s="101">
        <v>881528.44077228324</v>
      </c>
      <c r="D43" s="101">
        <v>51178371.481412053</v>
      </c>
      <c r="E43" s="101">
        <v>10839294.715043094</v>
      </c>
      <c r="F43" s="101">
        <v>159796445.32326475</v>
      </c>
      <c r="G43" s="101">
        <v>11720823.155815378</v>
      </c>
      <c r="H43" s="101">
        <v>22921368.974108178</v>
      </c>
      <c r="J43" s="119"/>
      <c r="K43" s="133"/>
    </row>
    <row r="44" spans="1:11">
      <c r="A44" s="106">
        <v>45565</v>
      </c>
      <c r="B44" s="101">
        <v>22921368.974108178</v>
      </c>
      <c r="C44" s="101">
        <v>585768.31822720903</v>
      </c>
      <c r="D44" s="101">
        <v>51764139.799639262</v>
      </c>
      <c r="E44" s="101">
        <v>11135054.837588169</v>
      </c>
      <c r="F44" s="101">
        <v>170931500.16085291</v>
      </c>
      <c r="G44" s="101">
        <v>11720823.155815378</v>
      </c>
      <c r="H44" s="101">
        <v>11786314.136520009</v>
      </c>
      <c r="J44" s="119"/>
      <c r="K44" s="133"/>
    </row>
    <row r="45" spans="1:11">
      <c r="A45" s="106">
        <v>45656</v>
      </c>
      <c r="B45" s="101">
        <v>11786314.136520009</v>
      </c>
      <c r="C45" s="101">
        <v>297931.82956203358</v>
      </c>
      <c r="D45" s="101">
        <v>52062071.629201293</v>
      </c>
      <c r="E45" s="101">
        <v>11786314.136520009</v>
      </c>
      <c r="F45" s="101">
        <v>182717814.29737291</v>
      </c>
      <c r="G45" s="101">
        <v>12084245.966082044</v>
      </c>
      <c r="H45" s="101">
        <v>0</v>
      </c>
      <c r="J45" s="119"/>
      <c r="K45" s="133"/>
    </row>
    <row r="46" spans="1:11">
      <c r="A46" s="118"/>
      <c r="B46" s="119"/>
      <c r="C46" s="119"/>
      <c r="D46" s="119"/>
      <c r="E46" s="119"/>
      <c r="F46" s="119"/>
      <c r="G46" s="119"/>
      <c r="H46" s="119"/>
    </row>
    <row r="47" spans="1:11">
      <c r="A47" s="118"/>
      <c r="B47" s="119"/>
      <c r="C47" s="119"/>
      <c r="D47" s="119"/>
      <c r="E47" s="119"/>
      <c r="F47" s="119"/>
      <c r="G47" s="119"/>
      <c r="H47" s="119"/>
    </row>
    <row r="48" spans="1:11">
      <c r="A48" s="118"/>
      <c r="B48" s="119"/>
      <c r="C48" s="119"/>
      <c r="D48" s="119"/>
      <c r="E48" s="119"/>
      <c r="F48" s="119"/>
      <c r="G48" s="119"/>
      <c r="H48" s="119"/>
    </row>
    <row r="49" spans="1:8">
      <c r="A49" s="118"/>
      <c r="B49" s="119"/>
      <c r="C49" s="119"/>
      <c r="D49" s="119"/>
      <c r="E49" s="119"/>
      <c r="F49" s="119"/>
      <c r="G49" s="119"/>
      <c r="H49" s="119"/>
    </row>
    <row r="50" spans="1:8">
      <c r="A50" s="118"/>
      <c r="B50" s="119"/>
      <c r="C50" s="119"/>
      <c r="D50" s="119"/>
      <c r="E50" s="119"/>
      <c r="F50" s="119"/>
      <c r="G50" s="119"/>
      <c r="H50" s="119"/>
    </row>
    <row r="51" spans="1:8">
      <c r="A51" s="118"/>
      <c r="B51" s="119"/>
      <c r="C51" s="119"/>
      <c r="D51" s="119"/>
      <c r="E51" s="119"/>
      <c r="F51" s="119"/>
      <c r="G51" s="119"/>
      <c r="H51" s="119"/>
    </row>
    <row r="52" spans="1:8">
      <c r="A52" s="118"/>
      <c r="B52" s="119"/>
      <c r="C52" s="119"/>
      <c r="D52" s="119"/>
      <c r="E52" s="119"/>
      <c r="F52" s="119"/>
      <c r="G52" s="119"/>
      <c r="H52" s="119"/>
    </row>
    <row r="53" spans="1:8">
      <c r="A53" s="118"/>
      <c r="B53" s="119"/>
      <c r="C53" s="119"/>
      <c r="D53" s="119"/>
      <c r="E53" s="119"/>
      <c r="F53" s="119"/>
      <c r="G53" s="119"/>
      <c r="H53" s="119"/>
    </row>
    <row r="54" spans="1:8">
      <c r="A54" s="118"/>
      <c r="B54" s="119"/>
      <c r="C54" s="119"/>
      <c r="D54" s="119"/>
      <c r="E54" s="119"/>
      <c r="F54" s="119"/>
      <c r="G54" s="119"/>
      <c r="H54" s="119"/>
    </row>
    <row r="55" spans="1:8">
      <c r="A55" s="118"/>
      <c r="B55" s="119"/>
      <c r="C55" s="119"/>
      <c r="D55" s="119"/>
      <c r="E55" s="119"/>
      <c r="F55" s="119"/>
      <c r="G55" s="119"/>
      <c r="H55" s="119"/>
    </row>
    <row r="56" spans="1:8">
      <c r="A56" s="118"/>
      <c r="B56" s="119"/>
      <c r="C56" s="119"/>
      <c r="D56" s="119"/>
      <c r="E56" s="119"/>
      <c r="F56" s="119"/>
      <c r="G56" s="119"/>
      <c r="H56" s="119"/>
    </row>
    <row r="57" spans="1:8">
      <c r="A57" s="118"/>
      <c r="B57" s="119"/>
      <c r="C57" s="119"/>
      <c r="D57" s="119"/>
      <c r="E57" s="119"/>
      <c r="F57" s="119"/>
      <c r="G57" s="119"/>
      <c r="H57" s="119"/>
    </row>
    <row r="58" spans="1:8">
      <c r="A58" s="118"/>
      <c r="B58" s="119"/>
      <c r="C58" s="119"/>
      <c r="D58" s="119"/>
      <c r="E58" s="119"/>
      <c r="F58" s="119"/>
      <c r="G58" s="119"/>
      <c r="H58" s="119"/>
    </row>
    <row r="59" spans="1:8">
      <c r="A59" s="118"/>
      <c r="B59" s="119"/>
      <c r="C59" s="119"/>
      <c r="D59" s="119"/>
      <c r="E59" s="119"/>
      <c r="F59" s="119"/>
      <c r="G59" s="119"/>
      <c r="H59" s="119"/>
    </row>
    <row r="60" spans="1:8">
      <c r="A60" s="118"/>
      <c r="B60" s="119"/>
      <c r="C60" s="119"/>
      <c r="D60" s="119"/>
      <c r="E60" s="119"/>
      <c r="F60" s="119"/>
      <c r="G60" s="119"/>
      <c r="H60" s="119"/>
    </row>
    <row r="61" spans="1:8">
      <c r="A61" s="118"/>
      <c r="B61" s="119"/>
      <c r="C61" s="119"/>
      <c r="D61" s="119"/>
      <c r="E61" s="119"/>
      <c r="F61" s="119"/>
      <c r="G61" s="119"/>
      <c r="H61" s="119"/>
    </row>
    <row r="62" spans="1:8">
      <c r="A62" s="118"/>
      <c r="B62" s="119"/>
      <c r="C62" s="119"/>
      <c r="D62" s="119"/>
      <c r="E62" s="119"/>
      <c r="F62" s="119"/>
      <c r="G62" s="119"/>
      <c r="H62" s="119"/>
    </row>
    <row r="63" spans="1:8">
      <c r="A63" s="118"/>
      <c r="B63" s="119"/>
      <c r="C63" s="119"/>
      <c r="D63" s="119"/>
      <c r="E63" s="119"/>
      <c r="F63" s="119"/>
      <c r="G63" s="119"/>
      <c r="H63" s="119"/>
    </row>
  </sheetData>
  <pageMargins left="0.7" right="0.22" top="0.21" bottom="0.17" header="0.3" footer="0.3"/>
  <pageSetup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IDCOL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Zabir Ibne Raquib</dc:creator>
  <cp:keywords/>
  <dc:description/>
  <cp:lastModifiedBy>Guest User</cp:lastModifiedBy>
  <cp:revision/>
  <dcterms:created xsi:type="dcterms:W3CDTF">2004-09-21T04:29:34Z</dcterms:created>
  <dcterms:modified xsi:type="dcterms:W3CDTF">2026-02-05T13:21:22Z</dcterms:modified>
  <cp:category/>
  <cp:contentStatus/>
</cp:coreProperties>
</file>