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arhan\CAD Files\All-Loan-BdBank_Revised\Term_Loans\INFRASTRUCTURE LOANS\BDT LOANS\"/>
    </mc:Choice>
  </mc:AlternateContent>
  <bookViews>
    <workbookView xWindow="0" yWindow="0" windowWidth="20490" windowHeight="7755" tabRatio="815" activeTab="1"/>
  </bookViews>
  <sheets>
    <sheet name="Disbursement" sheetId="4" r:id="rId1"/>
    <sheet name="Summary" sheetId="5" r:id="rId2"/>
    <sheet name="SCBL_Loan" sheetId="2" r:id="rId3"/>
    <sheet name="Accrual_SCBL " sheetId="3" r:id="rId4"/>
    <sheet name="Repayment Schedule" sheetId="7" r:id="rId5"/>
  </sheets>
  <definedNames>
    <definedName name="_xlnm.Print_Area" localSheetId="2">SCBL_Loan!$A$1:$J$37</definedName>
  </definedNames>
  <calcPr calcId="152511"/>
</workbook>
</file>

<file path=xl/calcChain.xml><?xml version="1.0" encoding="utf-8"?>
<calcChain xmlns="http://schemas.openxmlformats.org/spreadsheetml/2006/main">
  <c r="AO39" i="2" l="1"/>
  <c r="O37" i="3" l="1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DQ46" i="3"/>
  <c r="DQ58" i="3" s="1"/>
  <c r="DP46" i="3"/>
  <c r="DP58" i="3" s="1"/>
  <c r="DO46" i="3"/>
  <c r="DO58" i="3" s="1"/>
  <c r="DN46" i="3"/>
  <c r="DN58" i="3" s="1"/>
  <c r="DM46" i="3"/>
  <c r="DM58" i="3" s="1"/>
  <c r="DL46" i="3"/>
  <c r="DL58" i="3" s="1"/>
  <c r="DK46" i="3"/>
  <c r="DK58" i="3" s="1"/>
  <c r="DJ46" i="3"/>
  <c r="DJ58" i="3" s="1"/>
  <c r="DI46" i="3"/>
  <c r="DI58" i="3" s="1"/>
  <c r="DH46" i="3"/>
  <c r="DH58" i="3" s="1"/>
  <c r="DG46" i="3"/>
  <c r="DG58" i="3" s="1"/>
  <c r="DF46" i="3"/>
  <c r="DF58" i="3" s="1"/>
  <c r="DE46" i="3"/>
  <c r="DE58" i="3" s="1"/>
  <c r="DD46" i="3"/>
  <c r="DD58" i="3" s="1"/>
  <c r="DC46" i="3"/>
  <c r="DC58" i="3" s="1"/>
  <c r="DB46" i="3"/>
  <c r="DB58" i="3" s="1"/>
  <c r="DA46" i="3"/>
  <c r="DA58" i="3" s="1"/>
  <c r="CZ46" i="3"/>
  <c r="CZ58" i="3" s="1"/>
  <c r="CY46" i="3"/>
  <c r="CY58" i="3" s="1"/>
  <c r="CX46" i="3"/>
  <c r="CX58" i="3" s="1"/>
  <c r="CW46" i="3"/>
  <c r="CW58" i="3" s="1"/>
  <c r="CV46" i="3"/>
  <c r="CV58" i="3" s="1"/>
  <c r="CU46" i="3"/>
  <c r="CU58" i="3" s="1"/>
  <c r="CT46" i="3"/>
  <c r="CT58" i="3" s="1"/>
  <c r="CS46" i="3"/>
  <c r="CS58" i="3" s="1"/>
  <c r="CR46" i="3"/>
  <c r="CR58" i="3" s="1"/>
  <c r="CQ46" i="3"/>
  <c r="CQ58" i="3" s="1"/>
  <c r="CP46" i="3"/>
  <c r="CP58" i="3" s="1"/>
  <c r="CO46" i="3"/>
  <c r="CO58" i="3" s="1"/>
  <c r="CN46" i="3"/>
  <c r="CN58" i="3" s="1"/>
  <c r="CM46" i="3"/>
  <c r="CM58" i="3" s="1"/>
  <c r="CL46" i="3"/>
  <c r="CL58" i="3" s="1"/>
  <c r="CK46" i="3"/>
  <c r="CK58" i="3" s="1"/>
  <c r="CJ46" i="3"/>
  <c r="CJ58" i="3" s="1"/>
  <c r="CI46" i="3"/>
  <c r="CI58" i="3" s="1"/>
  <c r="CH46" i="3"/>
  <c r="CH58" i="3" s="1"/>
  <c r="CG46" i="3"/>
  <c r="CG58" i="3" s="1"/>
  <c r="CF46" i="3"/>
  <c r="CF58" i="3" s="1"/>
  <c r="CE46" i="3"/>
  <c r="CE58" i="3" s="1"/>
  <c r="CD46" i="3"/>
  <c r="CD58" i="3" s="1"/>
  <c r="CC46" i="3"/>
  <c r="CC58" i="3" s="1"/>
  <c r="CB46" i="3"/>
  <c r="CB58" i="3" s="1"/>
  <c r="CA46" i="3"/>
  <c r="CA58" i="3" s="1"/>
  <c r="BZ46" i="3"/>
  <c r="BZ58" i="3" s="1"/>
  <c r="BY46" i="3"/>
  <c r="BY58" i="3" s="1"/>
  <c r="BX46" i="3"/>
  <c r="BX58" i="3" s="1"/>
  <c r="BW46" i="3"/>
  <c r="BW58" i="3" s="1"/>
  <c r="BV46" i="3"/>
  <c r="BV58" i="3" s="1"/>
  <c r="BU46" i="3"/>
  <c r="BU58" i="3" s="1"/>
  <c r="BT46" i="3"/>
  <c r="BT58" i="3" s="1"/>
  <c r="BS46" i="3"/>
  <c r="BS58" i="3" s="1"/>
  <c r="BR46" i="3"/>
  <c r="BR58" i="3" s="1"/>
  <c r="BQ46" i="3"/>
  <c r="BQ58" i="3" s="1"/>
  <c r="BP46" i="3"/>
  <c r="BP58" i="3" s="1"/>
  <c r="BO46" i="3"/>
  <c r="BO58" i="3" s="1"/>
  <c r="BN46" i="3"/>
  <c r="BN58" i="3" s="1"/>
  <c r="BM46" i="3"/>
  <c r="BM58" i="3" s="1"/>
  <c r="BL46" i="3"/>
  <c r="BL58" i="3" s="1"/>
  <c r="BK46" i="3"/>
  <c r="BK58" i="3" s="1"/>
  <c r="BJ46" i="3"/>
  <c r="BJ58" i="3" s="1"/>
  <c r="BI46" i="3"/>
  <c r="BI58" i="3" s="1"/>
  <c r="BH46" i="3"/>
  <c r="BH58" i="3" s="1"/>
  <c r="BG46" i="3"/>
  <c r="BG58" i="3" s="1"/>
  <c r="BF46" i="3"/>
  <c r="BF58" i="3" s="1"/>
  <c r="BE46" i="3"/>
  <c r="BE58" i="3" s="1"/>
  <c r="BD46" i="3"/>
  <c r="BD58" i="3" s="1"/>
  <c r="BC46" i="3"/>
  <c r="BC58" i="3" s="1"/>
  <c r="BB46" i="3"/>
  <c r="BB58" i="3" s="1"/>
  <c r="BA46" i="3"/>
  <c r="BA58" i="3" s="1"/>
  <c r="AZ46" i="3"/>
  <c r="AZ58" i="3" s="1"/>
  <c r="AY46" i="3"/>
  <c r="AY58" i="3" s="1"/>
  <c r="AX46" i="3"/>
  <c r="AX58" i="3" s="1"/>
  <c r="AW46" i="3"/>
  <c r="AW58" i="3" s="1"/>
  <c r="AV46" i="3"/>
  <c r="AV58" i="3" s="1"/>
  <c r="AU46" i="3"/>
  <c r="AU58" i="3" s="1"/>
  <c r="AT46" i="3"/>
  <c r="AT58" i="3" s="1"/>
  <c r="AS46" i="3"/>
  <c r="AS58" i="3" s="1"/>
  <c r="AR46" i="3"/>
  <c r="AR58" i="3" s="1"/>
  <c r="AQ46" i="3"/>
  <c r="AQ58" i="3" s="1"/>
  <c r="AP46" i="3"/>
  <c r="AP58" i="3" s="1"/>
  <c r="AO46" i="3"/>
  <c r="AO58" i="3" s="1"/>
  <c r="AN46" i="3"/>
  <c r="AN58" i="3" s="1"/>
  <c r="AM46" i="3"/>
  <c r="AM58" i="3" s="1"/>
  <c r="AL46" i="3"/>
  <c r="AL58" i="3" s="1"/>
  <c r="AK46" i="3"/>
  <c r="AK58" i="3" s="1"/>
  <c r="AJ46" i="3"/>
  <c r="AJ58" i="3" s="1"/>
  <c r="AI46" i="3"/>
  <c r="AI58" i="3" s="1"/>
  <c r="AH46" i="3"/>
  <c r="AH58" i="3" s="1"/>
  <c r="AG46" i="3"/>
  <c r="AG58" i="3" s="1"/>
  <c r="AF46" i="3"/>
  <c r="AF58" i="3" s="1"/>
  <c r="AE46" i="3"/>
  <c r="AE58" i="3" s="1"/>
  <c r="AD46" i="3"/>
  <c r="AD58" i="3" s="1"/>
  <c r="AC46" i="3"/>
  <c r="AC58" i="3" s="1"/>
  <c r="AB46" i="3"/>
  <c r="AB58" i="3" s="1"/>
  <c r="AA46" i="3"/>
  <c r="AA58" i="3" s="1"/>
  <c r="Z46" i="3"/>
  <c r="Z58" i="3" s="1"/>
  <c r="Y46" i="3"/>
  <c r="Y58" i="3" s="1"/>
  <c r="X46" i="3"/>
  <c r="X58" i="3" s="1"/>
  <c r="W46" i="3"/>
  <c r="W58" i="3" s="1"/>
  <c r="V46" i="3"/>
  <c r="V58" i="3" s="1"/>
  <c r="U46" i="3"/>
  <c r="U58" i="3" s="1"/>
  <c r="T46" i="3"/>
  <c r="T58" i="3" s="1"/>
  <c r="S46" i="3"/>
  <c r="S58" i="3" s="1"/>
  <c r="R46" i="3"/>
  <c r="R58" i="3" s="1"/>
  <c r="Q46" i="3"/>
  <c r="Q58" i="3" s="1"/>
  <c r="P46" i="3"/>
  <c r="P58" i="3" s="1"/>
  <c r="O46" i="3"/>
  <c r="O58" i="3" s="1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E65" i="2"/>
  <c r="D65" i="2"/>
  <c r="C65" i="2"/>
  <c r="B65" i="2"/>
  <c r="AO52" i="2"/>
  <c r="AO65" i="2" s="1"/>
  <c r="E52" i="2"/>
  <c r="D52" i="2"/>
  <c r="C52" i="2"/>
  <c r="B52" i="2"/>
  <c r="O32" i="3"/>
  <c r="J35" i="5" l="1"/>
  <c r="DQ63" i="3" l="1"/>
  <c r="DN63" i="3"/>
  <c r="DK63" i="3"/>
  <c r="DH63" i="3"/>
  <c r="DE63" i="3"/>
  <c r="DB63" i="3"/>
  <c r="CY63" i="3"/>
  <c r="CV63" i="3"/>
  <c r="CS63" i="3"/>
  <c r="CP63" i="3"/>
  <c r="CM63" i="3"/>
  <c r="CJ63" i="3"/>
  <c r="CG63" i="3"/>
  <c r="CD63" i="3"/>
  <c r="CA63" i="3"/>
  <c r="BX63" i="3"/>
  <c r="BU63" i="3"/>
  <c r="BR63" i="3"/>
  <c r="BO63" i="3"/>
  <c r="BL63" i="3"/>
  <c r="BI63" i="3"/>
  <c r="BF63" i="3"/>
  <c r="BC63" i="3"/>
  <c r="AZ63" i="3"/>
  <c r="AW63" i="3"/>
  <c r="AT63" i="3"/>
  <c r="AQ63" i="3"/>
  <c r="AN63" i="3"/>
  <c r="AK63" i="3"/>
  <c r="AH63" i="3"/>
  <c r="AE63" i="3"/>
  <c r="AB63" i="3"/>
  <c r="Y63" i="3"/>
  <c r="V63" i="3"/>
  <c r="B61" i="3"/>
  <c r="B60" i="3"/>
  <c r="B64" i="3"/>
  <c r="C63" i="3"/>
  <c r="D63" i="3" s="1"/>
  <c r="E63" i="3" s="1"/>
  <c r="F63" i="3" s="1"/>
  <c r="I71" i="2"/>
  <c r="J71" i="2"/>
  <c r="K71" i="2"/>
  <c r="L71" i="2"/>
  <c r="M71" i="2"/>
  <c r="N71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AJ71" i="2"/>
  <c r="AK71" i="2"/>
  <c r="AL71" i="2"/>
  <c r="AM71" i="2"/>
  <c r="AN71" i="2"/>
  <c r="AO71" i="2"/>
  <c r="H71" i="2"/>
  <c r="G68" i="2"/>
  <c r="E69" i="2"/>
  <c r="D69" i="2"/>
  <c r="C69" i="2"/>
  <c r="B69" i="2"/>
  <c r="B68" i="2"/>
  <c r="E18" i="2"/>
  <c r="E17" i="2"/>
  <c r="D10" i="4"/>
  <c r="C64" i="3" l="1"/>
  <c r="D64" i="3"/>
  <c r="E64" i="3" s="1"/>
  <c r="G63" i="3"/>
  <c r="F64" i="3"/>
  <c r="B32" i="2"/>
  <c r="B39" i="2"/>
  <c r="B41" i="2"/>
  <c r="B42" i="2"/>
  <c r="B29" i="2" s="1"/>
  <c r="B35" i="2" s="1"/>
  <c r="B48" i="2"/>
  <c r="B54" i="2"/>
  <c r="B56" i="2" s="1"/>
  <c r="B55" i="2"/>
  <c r="B61" i="2"/>
  <c r="DQ35" i="5"/>
  <c r="DP35" i="5"/>
  <c r="DO35" i="5"/>
  <c r="DN35" i="5"/>
  <c r="DM35" i="5"/>
  <c r="DL35" i="5"/>
  <c r="DK35" i="5"/>
  <c r="DJ35" i="5"/>
  <c r="DI35" i="5"/>
  <c r="DH35" i="5"/>
  <c r="DG35" i="5"/>
  <c r="DF35" i="5"/>
  <c r="DE35" i="5"/>
  <c r="DD35" i="5"/>
  <c r="DC35" i="5"/>
  <c r="DB35" i="5"/>
  <c r="DA35" i="5"/>
  <c r="CZ35" i="5"/>
  <c r="CY35" i="5"/>
  <c r="CX35" i="5"/>
  <c r="CW35" i="5"/>
  <c r="CV35" i="5"/>
  <c r="CU35" i="5"/>
  <c r="CT35" i="5"/>
  <c r="CS35" i="5"/>
  <c r="CR35" i="5"/>
  <c r="CQ35" i="5"/>
  <c r="CP35" i="5"/>
  <c r="CO35" i="5"/>
  <c r="CN35" i="5"/>
  <c r="CM35" i="5"/>
  <c r="CL35" i="5"/>
  <c r="CK35" i="5"/>
  <c r="CJ35" i="5"/>
  <c r="CI35" i="5"/>
  <c r="CH35" i="5"/>
  <c r="CG35" i="5"/>
  <c r="CF35" i="5"/>
  <c r="CE35" i="5"/>
  <c r="CD35" i="5"/>
  <c r="CC35" i="5"/>
  <c r="CB35" i="5"/>
  <c r="CA35" i="5"/>
  <c r="BZ35" i="5"/>
  <c r="BY35" i="5"/>
  <c r="BX35" i="5"/>
  <c r="BW35" i="5"/>
  <c r="BV35" i="5"/>
  <c r="BU35" i="5"/>
  <c r="BT35" i="5"/>
  <c r="BS35" i="5"/>
  <c r="BR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I35" i="5"/>
  <c r="H35" i="5"/>
  <c r="G35" i="5"/>
  <c r="F35" i="5"/>
  <c r="E35" i="5"/>
  <c r="H63" i="3" l="1"/>
  <c r="I63" i="3" s="1"/>
  <c r="G64" i="3"/>
  <c r="H64" i="3" s="1"/>
  <c r="I64" i="3" s="1"/>
  <c r="B43" i="2"/>
  <c r="B47" i="2" s="1"/>
  <c r="B57" i="2"/>
  <c r="B60" i="2"/>
  <c r="B30" i="2"/>
  <c r="B44" i="2"/>
  <c r="B67" i="2"/>
  <c r="J63" i="3" l="1"/>
  <c r="J64" i="3"/>
  <c r="B34" i="2"/>
  <c r="B31" i="2"/>
  <c r="DO1" i="5"/>
  <c r="DP1" i="5"/>
  <c r="DQ1" i="5"/>
  <c r="DO19" i="5"/>
  <c r="DP19" i="5"/>
  <c r="DQ19" i="5"/>
  <c r="DQ37" i="3"/>
  <c r="DO23" i="3"/>
  <c r="DP23" i="3"/>
  <c r="DQ23" i="3" s="1"/>
  <c r="DO35" i="3"/>
  <c r="DP35" i="3"/>
  <c r="DQ35" i="3" s="1"/>
  <c r="DO36" i="3"/>
  <c r="DO37" i="3" s="1"/>
  <c r="DQ39" i="3"/>
  <c r="DO40" i="3"/>
  <c r="DP40" i="3" s="1"/>
  <c r="DQ40" i="3" s="1"/>
  <c r="DO42" i="3"/>
  <c r="DP36" i="3" s="1"/>
  <c r="DO47" i="3"/>
  <c r="DP47" i="3" s="1"/>
  <c r="DQ47" i="3" s="1"/>
  <c r="DQ51" i="3"/>
  <c r="AO21" i="2"/>
  <c r="AO38" i="2" s="1"/>
  <c r="AO51" i="2" s="1"/>
  <c r="AO64" i="2" s="1"/>
  <c r="AO45" i="2"/>
  <c r="AO53" i="2"/>
  <c r="AO58" i="2"/>
  <c r="AO66" i="2"/>
  <c r="K63" i="3" l="1"/>
  <c r="K64" i="3" s="1"/>
  <c r="DO41" i="3"/>
  <c r="DP42" i="3"/>
  <c r="DQ36" i="3" s="1"/>
  <c r="DP37" i="3"/>
  <c r="AO41" i="2"/>
  <c r="AO82" i="2"/>
  <c r="AO32" i="2"/>
  <c r="AO24" i="2"/>
  <c r="DK47" i="3"/>
  <c r="D47" i="3"/>
  <c r="DK51" i="3"/>
  <c r="DE51" i="3"/>
  <c r="CY51" i="3"/>
  <c r="CS51" i="3"/>
  <c r="CM51" i="3"/>
  <c r="CG51" i="3"/>
  <c r="CA51" i="3"/>
  <c r="BU51" i="3"/>
  <c r="BO51" i="3"/>
  <c r="BI51" i="3"/>
  <c r="BC51" i="3"/>
  <c r="AW51" i="3"/>
  <c r="AQ51" i="3"/>
  <c r="AK51" i="3"/>
  <c r="AE51" i="3"/>
  <c r="Y51" i="3"/>
  <c r="D51" i="3"/>
  <c r="E51" i="3" s="1"/>
  <c r="F51" i="3" s="1"/>
  <c r="G51" i="3" s="1"/>
  <c r="H51" i="3" s="1"/>
  <c r="C36" i="3"/>
  <c r="C51" i="3"/>
  <c r="B49" i="3"/>
  <c r="B48" i="3"/>
  <c r="B52" i="3"/>
  <c r="H58" i="2"/>
  <c r="V51" i="3" s="1"/>
  <c r="I58" i="2"/>
  <c r="J58" i="2"/>
  <c r="AB51" i="3" s="1"/>
  <c r="K58" i="2"/>
  <c r="L58" i="2"/>
  <c r="AH51" i="3" s="1"/>
  <c r="M58" i="2"/>
  <c r="N58" i="2"/>
  <c r="AN51" i="3" s="1"/>
  <c r="O58" i="2"/>
  <c r="P58" i="2"/>
  <c r="AT51" i="3" s="1"/>
  <c r="Q58" i="2"/>
  <c r="R58" i="2"/>
  <c r="AZ51" i="3" s="1"/>
  <c r="S58" i="2"/>
  <c r="T58" i="2"/>
  <c r="BF51" i="3" s="1"/>
  <c r="U58" i="2"/>
  <c r="V58" i="2"/>
  <c r="BL51" i="3" s="1"/>
  <c r="W58" i="2"/>
  <c r="X58" i="2"/>
  <c r="BR51" i="3" s="1"/>
  <c r="Y58" i="2"/>
  <c r="Z58" i="2"/>
  <c r="BX51" i="3" s="1"/>
  <c r="AA58" i="2"/>
  <c r="AB58" i="2"/>
  <c r="CD51" i="3" s="1"/>
  <c r="AC58" i="2"/>
  <c r="AD58" i="2"/>
  <c r="CJ51" i="3" s="1"/>
  <c r="AE58" i="2"/>
  <c r="AF58" i="2"/>
  <c r="CP51" i="3" s="1"/>
  <c r="AG58" i="2"/>
  <c r="AH58" i="2"/>
  <c r="CV51" i="3" s="1"/>
  <c r="AI58" i="2"/>
  <c r="AJ58" i="2"/>
  <c r="DB51" i="3" s="1"/>
  <c r="AK58" i="2"/>
  <c r="AL58" i="2"/>
  <c r="DH51" i="3" s="1"/>
  <c r="AM58" i="2"/>
  <c r="AN58" i="2"/>
  <c r="DN51" i="3" s="1"/>
  <c r="G58" i="2"/>
  <c r="S51" i="3" s="1"/>
  <c r="D55" i="2"/>
  <c r="L63" i="3" l="1"/>
  <c r="L64" i="3" s="1"/>
  <c r="DP41" i="3"/>
  <c r="DQ42" i="3"/>
  <c r="AO54" i="2"/>
  <c r="I51" i="3"/>
  <c r="C52" i="3"/>
  <c r="D52" i="3" s="1"/>
  <c r="E52" i="3" s="1"/>
  <c r="F52" i="3" s="1"/>
  <c r="G52" i="3" s="1"/>
  <c r="H52" i="3" s="1"/>
  <c r="D18" i="2"/>
  <c r="D17" i="2"/>
  <c r="M63" i="3" l="1"/>
  <c r="DQ41" i="3"/>
  <c r="AO67" i="2"/>
  <c r="I52" i="3"/>
  <c r="D35" i="5"/>
  <c r="N63" i="3" l="1"/>
  <c r="M64" i="3"/>
  <c r="H40" i="2"/>
  <c r="L40" i="2"/>
  <c r="G40" i="2"/>
  <c r="C39" i="2"/>
  <c r="D39" i="2"/>
  <c r="E39" i="2"/>
  <c r="F39" i="2"/>
  <c r="G39" i="2"/>
  <c r="G52" i="2" s="1"/>
  <c r="G65" i="2" s="1"/>
  <c r="G69" i="2" s="1"/>
  <c r="H39" i="2"/>
  <c r="H52" i="2" s="1"/>
  <c r="H65" i="2" s="1"/>
  <c r="I39" i="2"/>
  <c r="I52" i="2" s="1"/>
  <c r="I65" i="2" s="1"/>
  <c r="J39" i="2"/>
  <c r="J52" i="2" s="1"/>
  <c r="J65" i="2" s="1"/>
  <c r="K39" i="2"/>
  <c r="K52" i="2" s="1"/>
  <c r="K65" i="2" s="1"/>
  <c r="L39" i="2"/>
  <c r="L52" i="2" s="1"/>
  <c r="L65" i="2" s="1"/>
  <c r="M39" i="2"/>
  <c r="M52" i="2" s="1"/>
  <c r="M65" i="2" s="1"/>
  <c r="N39" i="2"/>
  <c r="N52" i="2" s="1"/>
  <c r="N65" i="2" s="1"/>
  <c r="O39" i="2"/>
  <c r="O52" i="2" s="1"/>
  <c r="O65" i="2" s="1"/>
  <c r="P39" i="2"/>
  <c r="P52" i="2" s="1"/>
  <c r="P65" i="2" s="1"/>
  <c r="Q39" i="2"/>
  <c r="Q52" i="2" s="1"/>
  <c r="Q65" i="2" s="1"/>
  <c r="R39" i="2"/>
  <c r="R52" i="2" s="1"/>
  <c r="R65" i="2" s="1"/>
  <c r="S39" i="2"/>
  <c r="S52" i="2" s="1"/>
  <c r="S65" i="2" s="1"/>
  <c r="T39" i="2"/>
  <c r="T52" i="2" s="1"/>
  <c r="T65" i="2" s="1"/>
  <c r="U39" i="2"/>
  <c r="U52" i="2" s="1"/>
  <c r="U65" i="2" s="1"/>
  <c r="V39" i="2"/>
  <c r="V52" i="2" s="1"/>
  <c r="V65" i="2" s="1"/>
  <c r="W39" i="2"/>
  <c r="W52" i="2" s="1"/>
  <c r="W65" i="2" s="1"/>
  <c r="X39" i="2"/>
  <c r="X52" i="2" s="1"/>
  <c r="X65" i="2" s="1"/>
  <c r="Y39" i="2"/>
  <c r="Y52" i="2" s="1"/>
  <c r="Y65" i="2" s="1"/>
  <c r="Z39" i="2"/>
  <c r="Z52" i="2" s="1"/>
  <c r="Z65" i="2" s="1"/>
  <c r="AA39" i="2"/>
  <c r="AA52" i="2" s="1"/>
  <c r="AA65" i="2" s="1"/>
  <c r="AB39" i="2"/>
  <c r="AB52" i="2" s="1"/>
  <c r="AB65" i="2" s="1"/>
  <c r="AC39" i="2"/>
  <c r="AC52" i="2" s="1"/>
  <c r="AC65" i="2" s="1"/>
  <c r="AD39" i="2"/>
  <c r="AD52" i="2" s="1"/>
  <c r="AD65" i="2" s="1"/>
  <c r="AE39" i="2"/>
  <c r="AE52" i="2" s="1"/>
  <c r="AE65" i="2" s="1"/>
  <c r="AF39" i="2"/>
  <c r="AF52" i="2" s="1"/>
  <c r="AF65" i="2" s="1"/>
  <c r="AG39" i="2"/>
  <c r="AG52" i="2" s="1"/>
  <c r="AG65" i="2" s="1"/>
  <c r="AH39" i="2"/>
  <c r="AH52" i="2" s="1"/>
  <c r="AH65" i="2" s="1"/>
  <c r="AI39" i="2"/>
  <c r="AI52" i="2" s="1"/>
  <c r="AI65" i="2" s="1"/>
  <c r="AJ39" i="2"/>
  <c r="AJ52" i="2" s="1"/>
  <c r="AJ65" i="2" s="1"/>
  <c r="AK39" i="2"/>
  <c r="AK52" i="2" s="1"/>
  <c r="AK65" i="2" s="1"/>
  <c r="AL39" i="2"/>
  <c r="AL52" i="2" s="1"/>
  <c r="AL65" i="2" s="1"/>
  <c r="AM39" i="2"/>
  <c r="AM52" i="2" s="1"/>
  <c r="AM65" i="2" s="1"/>
  <c r="AN39" i="2"/>
  <c r="AN52" i="2" s="1"/>
  <c r="AN65" i="2" s="1"/>
  <c r="F32" i="2"/>
  <c r="I27" i="2"/>
  <c r="J27" i="2" s="1"/>
  <c r="K27" i="2" s="1"/>
  <c r="L27" i="2" s="1"/>
  <c r="M27" i="2" s="1"/>
  <c r="N27" i="2" s="1"/>
  <c r="O27" i="2" s="1"/>
  <c r="P27" i="2" s="1"/>
  <c r="Q27" i="2" s="1"/>
  <c r="R27" i="2" s="1"/>
  <c r="S27" i="2" s="1"/>
  <c r="T27" i="2" s="1"/>
  <c r="U27" i="2" s="1"/>
  <c r="V27" i="2" s="1"/>
  <c r="W27" i="2" s="1"/>
  <c r="X27" i="2" s="1"/>
  <c r="Y27" i="2" s="1"/>
  <c r="Z27" i="2" s="1"/>
  <c r="AA27" i="2" s="1"/>
  <c r="AB27" i="2" s="1"/>
  <c r="AC27" i="2" s="1"/>
  <c r="AD27" i="2" s="1"/>
  <c r="AE27" i="2" s="1"/>
  <c r="AF27" i="2" s="1"/>
  <c r="AG27" i="2" s="1"/>
  <c r="AH27" i="2" s="1"/>
  <c r="AI27" i="2" s="1"/>
  <c r="AJ27" i="2" s="1"/>
  <c r="AK27" i="2" s="1"/>
  <c r="AL27" i="2" s="1"/>
  <c r="AM27" i="2" s="1"/>
  <c r="AN27" i="2" s="1"/>
  <c r="AO27" i="2" s="1"/>
  <c r="AO40" i="2" s="1"/>
  <c r="H27" i="2"/>
  <c r="AN24" i="2"/>
  <c r="B22" i="2"/>
  <c r="B59" i="3"/>
  <c r="B47" i="3"/>
  <c r="D87" i="2"/>
  <c r="E87" i="2" s="1"/>
  <c r="F87" i="2" s="1"/>
  <c r="G87" i="2" s="1"/>
  <c r="H87" i="2" s="1"/>
  <c r="I87" i="2" s="1"/>
  <c r="J87" i="2" s="1"/>
  <c r="K87" i="2" s="1"/>
  <c r="L87" i="2" s="1"/>
  <c r="M87" i="2" s="1"/>
  <c r="N87" i="2" s="1"/>
  <c r="C87" i="2"/>
  <c r="N64" i="3" l="1"/>
  <c r="O63" i="3"/>
  <c r="F43" i="2"/>
  <c r="F52" i="2"/>
  <c r="AL40" i="2"/>
  <c r="AH40" i="2"/>
  <c r="AD40" i="2"/>
  <c r="Z40" i="2"/>
  <c r="V40" i="2"/>
  <c r="R40" i="2"/>
  <c r="N40" i="2"/>
  <c r="J40" i="2"/>
  <c r="AK40" i="2"/>
  <c r="AG40" i="2"/>
  <c r="AC40" i="2"/>
  <c r="Y40" i="2"/>
  <c r="U40" i="2"/>
  <c r="Q40" i="2"/>
  <c r="M40" i="2"/>
  <c r="I40" i="2"/>
  <c r="AN40" i="2"/>
  <c r="AJ40" i="2"/>
  <c r="AF40" i="2"/>
  <c r="AB40" i="2"/>
  <c r="X40" i="2"/>
  <c r="T40" i="2"/>
  <c r="P40" i="2"/>
  <c r="AM40" i="2"/>
  <c r="AI40" i="2"/>
  <c r="AE40" i="2"/>
  <c r="AA40" i="2"/>
  <c r="W40" i="2"/>
  <c r="S40" i="2"/>
  <c r="O40" i="2"/>
  <c r="K40" i="2"/>
  <c r="AL24" i="2"/>
  <c r="AH24" i="2"/>
  <c r="AD24" i="2"/>
  <c r="Z24" i="2"/>
  <c r="V24" i="2"/>
  <c r="R24" i="2"/>
  <c r="N24" i="2"/>
  <c r="J24" i="2"/>
  <c r="G24" i="2"/>
  <c r="AK24" i="2"/>
  <c r="AG24" i="2"/>
  <c r="AC24" i="2"/>
  <c r="Y24" i="2"/>
  <c r="U24" i="2"/>
  <c r="Q24" i="2"/>
  <c r="M24" i="2"/>
  <c r="I24" i="2"/>
  <c r="AJ24" i="2"/>
  <c r="AF24" i="2"/>
  <c r="AB24" i="2"/>
  <c r="X24" i="2"/>
  <c r="T24" i="2"/>
  <c r="P24" i="2"/>
  <c r="L24" i="2"/>
  <c r="H24" i="2"/>
  <c r="AM24" i="2"/>
  <c r="AI24" i="2"/>
  <c r="AE24" i="2"/>
  <c r="AA24" i="2"/>
  <c r="W24" i="2"/>
  <c r="S24" i="2"/>
  <c r="O24" i="2"/>
  <c r="K24" i="2"/>
  <c r="E13" i="7"/>
  <c r="P63" i="3" l="1"/>
  <c r="O64" i="3"/>
  <c r="P64" i="3" s="1"/>
  <c r="F56" i="2"/>
  <c r="F65" i="2"/>
  <c r="F69" i="2" s="1"/>
  <c r="H27" i="3"/>
  <c r="G27" i="3"/>
  <c r="F27" i="3"/>
  <c r="E27" i="3"/>
  <c r="D27" i="3"/>
  <c r="C27" i="3"/>
  <c r="B27" i="3"/>
  <c r="I27" i="3"/>
  <c r="C59" i="3"/>
  <c r="D59" i="3" s="1"/>
  <c r="E59" i="3" s="1"/>
  <c r="F59" i="3" s="1"/>
  <c r="G59" i="3" s="1"/>
  <c r="H59" i="3" s="1"/>
  <c r="I59" i="3" s="1"/>
  <c r="J59" i="3" s="1"/>
  <c r="K59" i="3" s="1"/>
  <c r="L59" i="3" s="1"/>
  <c r="M59" i="3" s="1"/>
  <c r="N59" i="3" s="1"/>
  <c r="O59" i="3" s="1"/>
  <c r="P59" i="3" s="1"/>
  <c r="Q59" i="3" s="1"/>
  <c r="R59" i="3" s="1"/>
  <c r="S59" i="3" s="1"/>
  <c r="T59" i="3" s="1"/>
  <c r="U59" i="3" s="1"/>
  <c r="V59" i="3" s="1"/>
  <c r="W59" i="3" s="1"/>
  <c r="X59" i="3" s="1"/>
  <c r="Y59" i="3" s="1"/>
  <c r="Z59" i="3" s="1"/>
  <c r="AA59" i="3" s="1"/>
  <c r="AB59" i="3" s="1"/>
  <c r="AC59" i="3" s="1"/>
  <c r="AD59" i="3" s="1"/>
  <c r="AE59" i="3" s="1"/>
  <c r="AF59" i="3" s="1"/>
  <c r="AG59" i="3" s="1"/>
  <c r="AH59" i="3" s="1"/>
  <c r="AI59" i="3" s="1"/>
  <c r="AJ59" i="3" s="1"/>
  <c r="AK59" i="3" s="1"/>
  <c r="AL59" i="3" s="1"/>
  <c r="AM59" i="3" s="1"/>
  <c r="AN59" i="3" s="1"/>
  <c r="AO59" i="3" s="1"/>
  <c r="AP59" i="3" s="1"/>
  <c r="AQ59" i="3" s="1"/>
  <c r="AR59" i="3" s="1"/>
  <c r="AS59" i="3" s="1"/>
  <c r="AT59" i="3" s="1"/>
  <c r="AU59" i="3" s="1"/>
  <c r="AV59" i="3" s="1"/>
  <c r="AW59" i="3" s="1"/>
  <c r="AX59" i="3" s="1"/>
  <c r="AY59" i="3" s="1"/>
  <c r="AZ59" i="3" s="1"/>
  <c r="BA59" i="3" s="1"/>
  <c r="BB59" i="3" s="1"/>
  <c r="BC59" i="3" s="1"/>
  <c r="BD59" i="3" s="1"/>
  <c r="BE59" i="3" s="1"/>
  <c r="BF59" i="3" s="1"/>
  <c r="BG59" i="3" s="1"/>
  <c r="BH59" i="3" s="1"/>
  <c r="BI59" i="3" s="1"/>
  <c r="BJ59" i="3" s="1"/>
  <c r="BK59" i="3" s="1"/>
  <c r="BL59" i="3" s="1"/>
  <c r="BM59" i="3" s="1"/>
  <c r="BN59" i="3" s="1"/>
  <c r="BO59" i="3" s="1"/>
  <c r="BP59" i="3" s="1"/>
  <c r="BQ59" i="3" s="1"/>
  <c r="BR59" i="3" s="1"/>
  <c r="BS59" i="3" s="1"/>
  <c r="BT59" i="3" s="1"/>
  <c r="BU59" i="3" s="1"/>
  <c r="BV59" i="3" s="1"/>
  <c r="BW59" i="3" s="1"/>
  <c r="BX59" i="3" s="1"/>
  <c r="BY59" i="3" s="1"/>
  <c r="BZ59" i="3" s="1"/>
  <c r="CA59" i="3" s="1"/>
  <c r="CB59" i="3" s="1"/>
  <c r="CC59" i="3" s="1"/>
  <c r="CD59" i="3" s="1"/>
  <c r="CE59" i="3" s="1"/>
  <c r="CF59" i="3" s="1"/>
  <c r="CG59" i="3" s="1"/>
  <c r="CH59" i="3" s="1"/>
  <c r="CI59" i="3" s="1"/>
  <c r="CJ59" i="3" s="1"/>
  <c r="CK59" i="3" s="1"/>
  <c r="CL59" i="3" s="1"/>
  <c r="CM59" i="3" s="1"/>
  <c r="CN59" i="3" s="1"/>
  <c r="CO59" i="3" s="1"/>
  <c r="CP59" i="3" s="1"/>
  <c r="CQ59" i="3" s="1"/>
  <c r="CR59" i="3" s="1"/>
  <c r="CS59" i="3" s="1"/>
  <c r="CT59" i="3" s="1"/>
  <c r="CU59" i="3" s="1"/>
  <c r="CV59" i="3" s="1"/>
  <c r="CW59" i="3" s="1"/>
  <c r="CX59" i="3" s="1"/>
  <c r="CY59" i="3" s="1"/>
  <c r="CZ59" i="3" s="1"/>
  <c r="DA59" i="3" s="1"/>
  <c r="DB59" i="3" s="1"/>
  <c r="DC59" i="3" s="1"/>
  <c r="DD59" i="3" s="1"/>
  <c r="DE59" i="3" s="1"/>
  <c r="DF59" i="3" s="1"/>
  <c r="DG59" i="3" s="1"/>
  <c r="DH59" i="3" s="1"/>
  <c r="DI59" i="3" s="1"/>
  <c r="DJ59" i="3" s="1"/>
  <c r="DK59" i="3" s="1"/>
  <c r="DL59" i="3" s="1"/>
  <c r="DM59" i="3" s="1"/>
  <c r="DN59" i="3" s="1"/>
  <c r="DO59" i="3" s="1"/>
  <c r="DP59" i="3" s="1"/>
  <c r="DQ59" i="3" s="1"/>
  <c r="E32" i="2"/>
  <c r="D32" i="2"/>
  <c r="C32" i="2"/>
  <c r="B74" i="2"/>
  <c r="C68" i="2" s="1"/>
  <c r="C74" i="2" s="1"/>
  <c r="D68" i="2" s="1"/>
  <c r="D74" i="2" s="1"/>
  <c r="E68" i="2" s="1"/>
  <c r="C73" i="2"/>
  <c r="B73" i="2"/>
  <c r="C72" i="2"/>
  <c r="D72" i="2" s="1"/>
  <c r="E72" i="2" s="1"/>
  <c r="F72" i="2" s="1"/>
  <c r="G72" i="2" s="1"/>
  <c r="H72" i="2" s="1"/>
  <c r="I72" i="2" s="1"/>
  <c r="B70" i="2"/>
  <c r="C70" i="2" s="1"/>
  <c r="K66" i="2"/>
  <c r="L66" i="2" s="1"/>
  <c r="M66" i="2" s="1"/>
  <c r="N66" i="2" s="1"/>
  <c r="O66" i="2" s="1"/>
  <c r="P66" i="2" s="1"/>
  <c r="Q66" i="2" s="1"/>
  <c r="R66" i="2" s="1"/>
  <c r="S66" i="2" s="1"/>
  <c r="T66" i="2" s="1"/>
  <c r="U66" i="2" s="1"/>
  <c r="V66" i="2" s="1"/>
  <c r="W66" i="2" s="1"/>
  <c r="X66" i="2" s="1"/>
  <c r="Y66" i="2" s="1"/>
  <c r="Z66" i="2" s="1"/>
  <c r="AA66" i="2" s="1"/>
  <c r="AB66" i="2" s="1"/>
  <c r="AC66" i="2" s="1"/>
  <c r="AD66" i="2" s="1"/>
  <c r="AE66" i="2" s="1"/>
  <c r="AF66" i="2" s="1"/>
  <c r="AG66" i="2" s="1"/>
  <c r="AH66" i="2" s="1"/>
  <c r="AI66" i="2" s="1"/>
  <c r="AJ66" i="2" s="1"/>
  <c r="AK66" i="2" s="1"/>
  <c r="AL66" i="2" s="1"/>
  <c r="AM66" i="2" s="1"/>
  <c r="AN66" i="2" s="1"/>
  <c r="Q63" i="3" l="1"/>
  <c r="E74" i="2"/>
  <c r="F68" i="2" s="1"/>
  <c r="E16" i="2"/>
  <c r="E12" i="7" s="1"/>
  <c r="Q64" i="3" l="1"/>
  <c r="E15" i="3"/>
  <c r="E16" i="3"/>
  <c r="F74" i="2"/>
  <c r="F41" i="2"/>
  <c r="F54" i="2" s="1"/>
  <c r="DQ27" i="3" l="1"/>
  <c r="F67" i="2"/>
  <c r="J72" i="2"/>
  <c r="K72" i="2" s="1"/>
  <c r="L72" i="2" s="1"/>
  <c r="M72" i="2" s="1"/>
  <c r="N72" i="2" s="1"/>
  <c r="O72" i="2" s="1"/>
  <c r="P72" i="2" s="1"/>
  <c r="Q72" i="2" s="1"/>
  <c r="R72" i="2" s="1"/>
  <c r="S72" i="2" s="1"/>
  <c r="T72" i="2" s="1"/>
  <c r="U72" i="2" s="1"/>
  <c r="V72" i="2" s="1"/>
  <c r="W72" i="2" s="1"/>
  <c r="X72" i="2" s="1"/>
  <c r="Y72" i="2" s="1"/>
  <c r="Z72" i="2" s="1"/>
  <c r="AA72" i="2" s="1"/>
  <c r="AB72" i="2" s="1"/>
  <c r="AC72" i="2" s="1"/>
  <c r="AD72" i="2" s="1"/>
  <c r="AE72" i="2" s="1"/>
  <c r="AF72" i="2" s="1"/>
  <c r="AG72" i="2" s="1"/>
  <c r="AH72" i="2" s="1"/>
  <c r="AI72" i="2" s="1"/>
  <c r="AJ72" i="2" s="1"/>
  <c r="AK72" i="2" s="1"/>
  <c r="AL72" i="2" s="1"/>
  <c r="AM72" i="2" s="1"/>
  <c r="AN72" i="2" s="1"/>
  <c r="AO72" i="2" s="1"/>
  <c r="G74" i="2"/>
  <c r="H69" i="2" s="1"/>
  <c r="H68" i="2" l="1"/>
  <c r="D13" i="7"/>
  <c r="D16" i="2"/>
  <c r="D8" i="4"/>
  <c r="D9" i="4" s="1"/>
  <c r="D12" i="7" l="1"/>
  <c r="H74" i="2"/>
  <c r="I69" i="2" s="1"/>
  <c r="I68" i="2"/>
  <c r="I74" i="2" l="1"/>
  <c r="J69" i="2" s="1"/>
  <c r="AN41" i="2"/>
  <c r="AN54" i="2" s="1"/>
  <c r="AN67" i="2" s="1"/>
  <c r="AM41" i="2"/>
  <c r="AM54" i="2" s="1"/>
  <c r="AM67" i="2" s="1"/>
  <c r="AL41" i="2"/>
  <c r="AL54" i="2" s="1"/>
  <c r="AL67" i="2" s="1"/>
  <c r="AK41" i="2"/>
  <c r="AK54" i="2" s="1"/>
  <c r="AK67" i="2" s="1"/>
  <c r="AJ41" i="2"/>
  <c r="AJ54" i="2" s="1"/>
  <c r="AJ67" i="2" s="1"/>
  <c r="AI41" i="2"/>
  <c r="AI54" i="2" s="1"/>
  <c r="AI67" i="2" s="1"/>
  <c r="AH41" i="2"/>
  <c r="AH54" i="2" s="1"/>
  <c r="AH67" i="2" s="1"/>
  <c r="AG41" i="2"/>
  <c r="AG54" i="2" s="1"/>
  <c r="AG67" i="2" s="1"/>
  <c r="AF41" i="2"/>
  <c r="AF54" i="2" s="1"/>
  <c r="AF67" i="2" s="1"/>
  <c r="AE41" i="2"/>
  <c r="AE54" i="2" s="1"/>
  <c r="AE67" i="2" s="1"/>
  <c r="AD41" i="2"/>
  <c r="AD54" i="2" s="1"/>
  <c r="AD67" i="2" s="1"/>
  <c r="AC41" i="2"/>
  <c r="AC54" i="2" s="1"/>
  <c r="AC67" i="2" s="1"/>
  <c r="AB41" i="2"/>
  <c r="AB54" i="2" s="1"/>
  <c r="AB67" i="2" s="1"/>
  <c r="AA41" i="2"/>
  <c r="AA54" i="2" s="1"/>
  <c r="AA67" i="2" s="1"/>
  <c r="Z41" i="2"/>
  <c r="Z54" i="2" s="1"/>
  <c r="Z67" i="2" s="1"/>
  <c r="Y41" i="2"/>
  <c r="Y54" i="2" s="1"/>
  <c r="Y67" i="2" s="1"/>
  <c r="X41" i="2"/>
  <c r="X54" i="2" s="1"/>
  <c r="X67" i="2" s="1"/>
  <c r="W41" i="2"/>
  <c r="W54" i="2" s="1"/>
  <c r="W67" i="2" s="1"/>
  <c r="V41" i="2"/>
  <c r="V54" i="2" s="1"/>
  <c r="V67" i="2" s="1"/>
  <c r="U41" i="2"/>
  <c r="U54" i="2" s="1"/>
  <c r="U67" i="2" s="1"/>
  <c r="T41" i="2"/>
  <c r="T54" i="2" s="1"/>
  <c r="T67" i="2" s="1"/>
  <c r="S41" i="2"/>
  <c r="S54" i="2" s="1"/>
  <c r="S67" i="2" s="1"/>
  <c r="R41" i="2"/>
  <c r="R54" i="2" s="1"/>
  <c r="R67" i="2" s="1"/>
  <c r="Q41" i="2"/>
  <c r="Q54" i="2" s="1"/>
  <c r="Q67" i="2" s="1"/>
  <c r="P41" i="2"/>
  <c r="P54" i="2" s="1"/>
  <c r="P67" i="2" s="1"/>
  <c r="O41" i="2"/>
  <c r="O54" i="2" s="1"/>
  <c r="O67" i="2" s="1"/>
  <c r="N41" i="2"/>
  <c r="N54" i="2" s="1"/>
  <c r="N67" i="2" s="1"/>
  <c r="M41" i="2"/>
  <c r="M54" i="2" s="1"/>
  <c r="M67" i="2" s="1"/>
  <c r="L41" i="2"/>
  <c r="L54" i="2" s="1"/>
  <c r="L67" i="2" s="1"/>
  <c r="K41" i="2"/>
  <c r="K54" i="2" s="1"/>
  <c r="J41" i="2"/>
  <c r="J54" i="2" s="1"/>
  <c r="J67" i="2" s="1"/>
  <c r="I41" i="2"/>
  <c r="H41" i="2"/>
  <c r="H54" i="2" s="1"/>
  <c r="H67" i="2" s="1"/>
  <c r="G41" i="2"/>
  <c r="G54" i="2" s="1"/>
  <c r="E41" i="2"/>
  <c r="E54" i="2" s="1"/>
  <c r="D41" i="2"/>
  <c r="D54" i="2" s="1"/>
  <c r="C41" i="2"/>
  <c r="C54" i="2" s="1"/>
  <c r="C47" i="3"/>
  <c r="E47" i="3" s="1"/>
  <c r="F47" i="3" s="1"/>
  <c r="G47" i="3" s="1"/>
  <c r="H47" i="3" s="1"/>
  <c r="I47" i="3" s="1"/>
  <c r="J47" i="3" s="1"/>
  <c r="K47" i="3" s="1"/>
  <c r="L47" i="3" s="1"/>
  <c r="M47" i="3" s="1"/>
  <c r="N47" i="3" s="1"/>
  <c r="O47" i="3" s="1"/>
  <c r="P47" i="3" s="1"/>
  <c r="Q47" i="3" s="1"/>
  <c r="R47" i="3" s="1"/>
  <c r="S47" i="3" s="1"/>
  <c r="T47" i="3" s="1"/>
  <c r="U47" i="3" s="1"/>
  <c r="V47" i="3" s="1"/>
  <c r="W47" i="3" s="1"/>
  <c r="X47" i="3" s="1"/>
  <c r="Y47" i="3" s="1"/>
  <c r="Z47" i="3" s="1"/>
  <c r="AA47" i="3" s="1"/>
  <c r="AB47" i="3" s="1"/>
  <c r="AC47" i="3" s="1"/>
  <c r="AD47" i="3" s="1"/>
  <c r="AE47" i="3" s="1"/>
  <c r="AF47" i="3" s="1"/>
  <c r="AG47" i="3" s="1"/>
  <c r="AH47" i="3" s="1"/>
  <c r="AI47" i="3" s="1"/>
  <c r="AJ47" i="3" s="1"/>
  <c r="AK47" i="3" s="1"/>
  <c r="AL47" i="3" s="1"/>
  <c r="AM47" i="3" s="1"/>
  <c r="AN47" i="3" s="1"/>
  <c r="AO47" i="3" s="1"/>
  <c r="AP47" i="3" s="1"/>
  <c r="AQ47" i="3" s="1"/>
  <c r="AR47" i="3" s="1"/>
  <c r="AS47" i="3" s="1"/>
  <c r="AT47" i="3" s="1"/>
  <c r="AU47" i="3" s="1"/>
  <c r="AV47" i="3" s="1"/>
  <c r="AW47" i="3" s="1"/>
  <c r="AX47" i="3" s="1"/>
  <c r="AY47" i="3" s="1"/>
  <c r="AZ47" i="3" s="1"/>
  <c r="BA47" i="3" s="1"/>
  <c r="BB47" i="3" s="1"/>
  <c r="BC47" i="3" s="1"/>
  <c r="BD47" i="3" s="1"/>
  <c r="BE47" i="3" s="1"/>
  <c r="BF47" i="3" s="1"/>
  <c r="BG47" i="3" s="1"/>
  <c r="BH47" i="3" s="1"/>
  <c r="BI47" i="3" s="1"/>
  <c r="BJ47" i="3" s="1"/>
  <c r="BK47" i="3" s="1"/>
  <c r="BL47" i="3" s="1"/>
  <c r="BM47" i="3" s="1"/>
  <c r="BN47" i="3" s="1"/>
  <c r="BO47" i="3" s="1"/>
  <c r="BP47" i="3" s="1"/>
  <c r="BQ47" i="3" s="1"/>
  <c r="BR47" i="3" s="1"/>
  <c r="BS47" i="3" s="1"/>
  <c r="BT47" i="3" s="1"/>
  <c r="BU47" i="3" s="1"/>
  <c r="BV47" i="3" s="1"/>
  <c r="BW47" i="3" s="1"/>
  <c r="BX47" i="3" s="1"/>
  <c r="BY47" i="3" s="1"/>
  <c r="BZ47" i="3" s="1"/>
  <c r="CA47" i="3" s="1"/>
  <c r="CB47" i="3" s="1"/>
  <c r="CC47" i="3" s="1"/>
  <c r="CD47" i="3" s="1"/>
  <c r="CE47" i="3" s="1"/>
  <c r="CF47" i="3" s="1"/>
  <c r="CG47" i="3" s="1"/>
  <c r="CH47" i="3" s="1"/>
  <c r="CI47" i="3" s="1"/>
  <c r="CJ47" i="3" s="1"/>
  <c r="CK47" i="3" s="1"/>
  <c r="CL47" i="3" s="1"/>
  <c r="CM47" i="3" s="1"/>
  <c r="CN47" i="3" s="1"/>
  <c r="CO47" i="3" s="1"/>
  <c r="CP47" i="3" s="1"/>
  <c r="CQ47" i="3" s="1"/>
  <c r="CR47" i="3" s="1"/>
  <c r="CS47" i="3" s="1"/>
  <c r="CT47" i="3" s="1"/>
  <c r="CU47" i="3" s="1"/>
  <c r="CV47" i="3" s="1"/>
  <c r="CW47" i="3" s="1"/>
  <c r="CX47" i="3" s="1"/>
  <c r="CY47" i="3" s="1"/>
  <c r="CZ47" i="3" s="1"/>
  <c r="DA47" i="3" s="1"/>
  <c r="DB47" i="3" s="1"/>
  <c r="DC47" i="3" s="1"/>
  <c r="DD47" i="3" s="1"/>
  <c r="DE47" i="3" s="1"/>
  <c r="DF47" i="3" s="1"/>
  <c r="DG47" i="3" s="1"/>
  <c r="DH47" i="3" s="1"/>
  <c r="DI47" i="3" s="1"/>
  <c r="DJ47" i="3" s="1"/>
  <c r="DL47" i="3" s="1"/>
  <c r="DM47" i="3" s="1"/>
  <c r="DN47" i="3" s="1"/>
  <c r="D16" i="3"/>
  <c r="D15" i="3"/>
  <c r="C40" i="3"/>
  <c r="B40" i="3"/>
  <c r="C39" i="3"/>
  <c r="C35" i="3"/>
  <c r="D35" i="3" s="1"/>
  <c r="E35" i="3" s="1"/>
  <c r="F35" i="3" s="1"/>
  <c r="G35" i="3" s="1"/>
  <c r="H35" i="3" s="1"/>
  <c r="I35" i="3" s="1"/>
  <c r="J35" i="3" s="1"/>
  <c r="K35" i="3" s="1"/>
  <c r="L35" i="3" s="1"/>
  <c r="M35" i="3" s="1"/>
  <c r="N35" i="3" s="1"/>
  <c r="O35" i="3" s="1"/>
  <c r="P35" i="3" s="1"/>
  <c r="Q35" i="3" s="1"/>
  <c r="R35" i="3" s="1"/>
  <c r="S35" i="3" s="1"/>
  <c r="T35" i="3" s="1"/>
  <c r="U35" i="3" s="1"/>
  <c r="V35" i="3" s="1"/>
  <c r="W35" i="3" s="1"/>
  <c r="X35" i="3" s="1"/>
  <c r="Y35" i="3" s="1"/>
  <c r="Z35" i="3" s="1"/>
  <c r="AA35" i="3" s="1"/>
  <c r="AB35" i="3" s="1"/>
  <c r="AC35" i="3" s="1"/>
  <c r="AD35" i="3" s="1"/>
  <c r="AE35" i="3" s="1"/>
  <c r="AF35" i="3" s="1"/>
  <c r="AG35" i="3" s="1"/>
  <c r="AH35" i="3" s="1"/>
  <c r="AI35" i="3" s="1"/>
  <c r="AJ35" i="3" s="1"/>
  <c r="AK35" i="3" s="1"/>
  <c r="AL35" i="3" s="1"/>
  <c r="AM35" i="3" s="1"/>
  <c r="AN35" i="3" s="1"/>
  <c r="AO35" i="3" s="1"/>
  <c r="AP35" i="3" s="1"/>
  <c r="AQ35" i="3" s="1"/>
  <c r="AR35" i="3" s="1"/>
  <c r="AS35" i="3" s="1"/>
  <c r="AT35" i="3" s="1"/>
  <c r="AU35" i="3" s="1"/>
  <c r="AV35" i="3" s="1"/>
  <c r="AW35" i="3" s="1"/>
  <c r="AX35" i="3" s="1"/>
  <c r="AY35" i="3" s="1"/>
  <c r="AZ35" i="3" s="1"/>
  <c r="BA35" i="3" s="1"/>
  <c r="BB35" i="3" s="1"/>
  <c r="BC35" i="3" s="1"/>
  <c r="BD35" i="3" s="1"/>
  <c r="BE35" i="3" s="1"/>
  <c r="BF35" i="3" s="1"/>
  <c r="BG35" i="3" s="1"/>
  <c r="BH35" i="3" s="1"/>
  <c r="BI35" i="3" s="1"/>
  <c r="BJ35" i="3" s="1"/>
  <c r="BK35" i="3" s="1"/>
  <c r="BL35" i="3" s="1"/>
  <c r="BM35" i="3" s="1"/>
  <c r="BN35" i="3" s="1"/>
  <c r="BO35" i="3" s="1"/>
  <c r="BP35" i="3" s="1"/>
  <c r="BQ35" i="3" s="1"/>
  <c r="BR35" i="3" s="1"/>
  <c r="BS35" i="3" s="1"/>
  <c r="BT35" i="3" s="1"/>
  <c r="BU35" i="3" s="1"/>
  <c r="BV35" i="3" s="1"/>
  <c r="BW35" i="3" s="1"/>
  <c r="BX35" i="3" s="1"/>
  <c r="BY35" i="3" s="1"/>
  <c r="BZ35" i="3" s="1"/>
  <c r="CA35" i="3" s="1"/>
  <c r="CB35" i="3" s="1"/>
  <c r="CC35" i="3" s="1"/>
  <c r="CD35" i="3" s="1"/>
  <c r="CE35" i="3" s="1"/>
  <c r="CF35" i="3" s="1"/>
  <c r="CG35" i="3" s="1"/>
  <c r="CH35" i="3" s="1"/>
  <c r="CI35" i="3" s="1"/>
  <c r="CJ35" i="3" s="1"/>
  <c r="CK35" i="3" s="1"/>
  <c r="CL35" i="3" s="1"/>
  <c r="CM35" i="3" s="1"/>
  <c r="CN35" i="3" s="1"/>
  <c r="CO35" i="3" s="1"/>
  <c r="CP35" i="3" s="1"/>
  <c r="CQ35" i="3" s="1"/>
  <c r="CR35" i="3" s="1"/>
  <c r="CS35" i="3" s="1"/>
  <c r="CT35" i="3" s="1"/>
  <c r="CU35" i="3" s="1"/>
  <c r="CV35" i="3" s="1"/>
  <c r="CW35" i="3" s="1"/>
  <c r="CX35" i="3" s="1"/>
  <c r="CY35" i="3" s="1"/>
  <c r="CZ35" i="3" s="1"/>
  <c r="DA35" i="3" s="1"/>
  <c r="DB35" i="3" s="1"/>
  <c r="DC35" i="3" s="1"/>
  <c r="DD35" i="3" s="1"/>
  <c r="DE35" i="3" s="1"/>
  <c r="DF35" i="3" s="1"/>
  <c r="DG35" i="3" s="1"/>
  <c r="DH35" i="3" s="1"/>
  <c r="DI35" i="3" s="1"/>
  <c r="DJ35" i="3" s="1"/>
  <c r="DK35" i="3" s="1"/>
  <c r="DL35" i="3" s="1"/>
  <c r="DM35" i="3" s="1"/>
  <c r="DN35" i="3" s="1"/>
  <c r="C59" i="2"/>
  <c r="D59" i="2" s="1"/>
  <c r="E59" i="2" s="1"/>
  <c r="F59" i="2" s="1"/>
  <c r="G59" i="2" s="1"/>
  <c r="H59" i="2" s="1"/>
  <c r="I59" i="2" s="1"/>
  <c r="K53" i="2"/>
  <c r="L53" i="2" s="1"/>
  <c r="M53" i="2" s="1"/>
  <c r="N53" i="2" s="1"/>
  <c r="O53" i="2" s="1"/>
  <c r="P53" i="2" s="1"/>
  <c r="Q53" i="2" s="1"/>
  <c r="R53" i="2" s="1"/>
  <c r="S53" i="2" s="1"/>
  <c r="T53" i="2" s="1"/>
  <c r="U53" i="2" s="1"/>
  <c r="V53" i="2" s="1"/>
  <c r="W53" i="2" s="1"/>
  <c r="X53" i="2" s="1"/>
  <c r="Y53" i="2" s="1"/>
  <c r="Z53" i="2" s="1"/>
  <c r="AA53" i="2" s="1"/>
  <c r="AB53" i="2" s="1"/>
  <c r="AC53" i="2" s="1"/>
  <c r="AD53" i="2" s="1"/>
  <c r="AE53" i="2" s="1"/>
  <c r="AF53" i="2" s="1"/>
  <c r="AG53" i="2" s="1"/>
  <c r="AH53" i="2" s="1"/>
  <c r="AI53" i="2" s="1"/>
  <c r="AJ53" i="2" s="1"/>
  <c r="AK53" i="2" s="1"/>
  <c r="AL53" i="2" s="1"/>
  <c r="AM53" i="2" s="1"/>
  <c r="AN53" i="2" s="1"/>
  <c r="C46" i="2"/>
  <c r="D46" i="2" s="1"/>
  <c r="E46" i="2" s="1"/>
  <c r="F46" i="2" s="1"/>
  <c r="C67" i="2" l="1"/>
  <c r="C56" i="2"/>
  <c r="G67" i="2"/>
  <c r="G56" i="2"/>
  <c r="D67" i="2"/>
  <c r="D70" i="2" s="1"/>
  <c r="D56" i="2"/>
  <c r="E67" i="2"/>
  <c r="E56" i="2"/>
  <c r="D73" i="2"/>
  <c r="F73" i="2"/>
  <c r="K67" i="2"/>
  <c r="I54" i="2"/>
  <c r="J68" i="2"/>
  <c r="D39" i="3"/>
  <c r="E39" i="3"/>
  <c r="J59" i="2"/>
  <c r="K59" i="2" s="1"/>
  <c r="L59" i="2" s="1"/>
  <c r="M59" i="2" s="1"/>
  <c r="N59" i="2" s="1"/>
  <c r="O59" i="2" s="1"/>
  <c r="P59" i="2" s="1"/>
  <c r="Q59" i="2" s="1"/>
  <c r="R59" i="2" s="1"/>
  <c r="S59" i="2" s="1"/>
  <c r="T59" i="2" s="1"/>
  <c r="U59" i="2" s="1"/>
  <c r="V59" i="2" s="1"/>
  <c r="W59" i="2" s="1"/>
  <c r="X59" i="2" s="1"/>
  <c r="Y59" i="2" s="1"/>
  <c r="Z59" i="2" s="1"/>
  <c r="AA59" i="2" s="1"/>
  <c r="AB59" i="2" s="1"/>
  <c r="AC59" i="2" s="1"/>
  <c r="AD59" i="2" s="1"/>
  <c r="AE59" i="2" s="1"/>
  <c r="AF59" i="2" s="1"/>
  <c r="AG59" i="2" s="1"/>
  <c r="AH59" i="2" s="1"/>
  <c r="AI59" i="2" s="1"/>
  <c r="AJ59" i="2" s="1"/>
  <c r="AK59" i="2" s="1"/>
  <c r="AL59" i="2" s="1"/>
  <c r="AM59" i="2" s="1"/>
  <c r="AN59" i="2" s="1"/>
  <c r="AO59" i="2" s="1"/>
  <c r="C60" i="2"/>
  <c r="C55" i="2"/>
  <c r="C61" i="2" s="1"/>
  <c r="E73" i="2" l="1"/>
  <c r="I67" i="2"/>
  <c r="G73" i="2"/>
  <c r="H73" i="2"/>
  <c r="J74" i="2"/>
  <c r="D40" i="3"/>
  <c r="F39" i="3"/>
  <c r="E40" i="3"/>
  <c r="D61" i="2"/>
  <c r="D60" i="2"/>
  <c r="K68" i="2" l="1"/>
  <c r="K69" i="2"/>
  <c r="E70" i="2"/>
  <c r="F70" i="2" s="1"/>
  <c r="G70" i="2" s="1"/>
  <c r="H70" i="2" s="1"/>
  <c r="I73" i="2"/>
  <c r="R63" i="3"/>
  <c r="F40" i="3"/>
  <c r="G39" i="3"/>
  <c r="E60" i="2"/>
  <c r="E55" i="2"/>
  <c r="E61" i="2" l="1"/>
  <c r="J73" i="2"/>
  <c r="I70" i="2"/>
  <c r="J70" i="2" s="1"/>
  <c r="K70" i="2" s="1"/>
  <c r="K73" i="2"/>
  <c r="K74" i="2"/>
  <c r="L69" i="2" s="1"/>
  <c r="S63" i="3"/>
  <c r="R64" i="3"/>
  <c r="G40" i="3"/>
  <c r="H39" i="3"/>
  <c r="F60" i="2" l="1"/>
  <c r="F55" i="2"/>
  <c r="L68" i="2"/>
  <c r="T63" i="3"/>
  <c r="S64" i="3"/>
  <c r="H40" i="3"/>
  <c r="J51" i="3"/>
  <c r="J27" i="3" s="1"/>
  <c r="I39" i="3"/>
  <c r="I40" i="3" s="1"/>
  <c r="F61" i="2" l="1"/>
  <c r="L74" i="2"/>
  <c r="M69" i="2" s="1"/>
  <c r="L73" i="2"/>
  <c r="L70" i="2"/>
  <c r="T64" i="3"/>
  <c r="U63" i="3"/>
  <c r="J52" i="3"/>
  <c r="K51" i="3"/>
  <c r="J39" i="3"/>
  <c r="U64" i="3" l="1"/>
  <c r="K52" i="3"/>
  <c r="K27" i="3"/>
  <c r="G55" i="2"/>
  <c r="M68" i="2"/>
  <c r="L51" i="3"/>
  <c r="L27" i="3" s="1"/>
  <c r="K39" i="3"/>
  <c r="J40" i="3"/>
  <c r="V64" i="3" l="1"/>
  <c r="W64" i="3" s="1"/>
  <c r="G61" i="2"/>
  <c r="H56" i="2" s="1"/>
  <c r="G60" i="2"/>
  <c r="M74" i="2"/>
  <c r="N69" i="2" s="1"/>
  <c r="M73" i="2"/>
  <c r="M70" i="2"/>
  <c r="K40" i="3"/>
  <c r="L40" i="3" s="1"/>
  <c r="M51" i="3"/>
  <c r="M27" i="3" s="1"/>
  <c r="L52" i="3"/>
  <c r="L39" i="3"/>
  <c r="H55" i="2" l="1"/>
  <c r="N68" i="2"/>
  <c r="X64" i="3"/>
  <c r="M52" i="3"/>
  <c r="N51" i="3"/>
  <c r="N27" i="3" s="1"/>
  <c r="M39" i="3"/>
  <c r="H60" i="2" l="1"/>
  <c r="H61" i="2"/>
  <c r="I56" i="2" s="1"/>
  <c r="N74" i="2"/>
  <c r="O69" i="2" s="1"/>
  <c r="N73" i="2"/>
  <c r="N70" i="2"/>
  <c r="M40" i="3"/>
  <c r="N52" i="3"/>
  <c r="O51" i="3"/>
  <c r="O27" i="3" s="1"/>
  <c r="N39" i="3"/>
  <c r="I55" i="2" l="1"/>
  <c r="O68" i="2"/>
  <c r="Y64" i="3"/>
  <c r="P51" i="3"/>
  <c r="P27" i="3" s="1"/>
  <c r="O52" i="3"/>
  <c r="O39" i="3"/>
  <c r="N40" i="3"/>
  <c r="O40" i="3" s="1"/>
  <c r="I61" i="2" l="1"/>
  <c r="J56" i="2" s="1"/>
  <c r="I60" i="2"/>
  <c r="O74" i="2"/>
  <c r="P69" i="2" s="1"/>
  <c r="O73" i="2"/>
  <c r="O70" i="2"/>
  <c r="Z64" i="3"/>
  <c r="AA64" i="3" s="1"/>
  <c r="AB64" i="3" s="1"/>
  <c r="AC64" i="3" s="1"/>
  <c r="Q51" i="3"/>
  <c r="Q27" i="3" s="1"/>
  <c r="P52" i="3"/>
  <c r="P39" i="3"/>
  <c r="J55" i="2" l="1"/>
  <c r="P68" i="2"/>
  <c r="P40" i="3"/>
  <c r="Q40" i="3" s="1"/>
  <c r="Q52" i="3"/>
  <c r="R51" i="3"/>
  <c r="R27" i="3" s="1"/>
  <c r="Q39" i="3"/>
  <c r="J61" i="2" l="1"/>
  <c r="K56" i="2" s="1"/>
  <c r="J60" i="2"/>
  <c r="P74" i="2"/>
  <c r="Q69" i="2" s="1"/>
  <c r="P73" i="2"/>
  <c r="P70" i="2"/>
  <c r="AD64" i="3"/>
  <c r="AE64" i="3" s="1"/>
  <c r="AF64" i="3" s="1"/>
  <c r="R52" i="3"/>
  <c r="R39" i="3"/>
  <c r="AG64" i="3" l="1"/>
  <c r="AH64" i="3" s="1"/>
  <c r="AI64" i="3" s="1"/>
  <c r="K55" i="2"/>
  <c r="Q68" i="2"/>
  <c r="S52" i="3"/>
  <c r="R40" i="3"/>
  <c r="K61" i="2" l="1"/>
  <c r="L56" i="2" s="1"/>
  <c r="K60" i="2"/>
  <c r="Q74" i="2"/>
  <c r="R69" i="2" s="1"/>
  <c r="Q73" i="2"/>
  <c r="Q70" i="2"/>
  <c r="AJ64" i="3"/>
  <c r="AK64" i="3" s="1"/>
  <c r="AL64" i="3" s="1"/>
  <c r="AM64" i="3" s="1"/>
  <c r="AN64" i="3" s="1"/>
  <c r="T52" i="3"/>
  <c r="T27" i="3" l="1"/>
  <c r="AO64" i="3"/>
  <c r="L55" i="2"/>
  <c r="R68" i="2"/>
  <c r="U52" i="3"/>
  <c r="U27" i="3"/>
  <c r="L61" i="2" l="1"/>
  <c r="M56" i="2" s="1"/>
  <c r="L60" i="2"/>
  <c r="R74" i="2"/>
  <c r="S69" i="2" s="1"/>
  <c r="R70" i="2"/>
  <c r="R73" i="2"/>
  <c r="AP64" i="3"/>
  <c r="AQ64" i="3" s="1"/>
  <c r="AR64" i="3" s="1"/>
  <c r="V52" i="3"/>
  <c r="M55" i="2" l="1"/>
  <c r="S68" i="2"/>
  <c r="AS64" i="3"/>
  <c r="AT64" i="3" s="1"/>
  <c r="AU64" i="3" s="1"/>
  <c r="W52" i="3"/>
  <c r="W27" i="3"/>
  <c r="AV64" i="3" l="1"/>
  <c r="AW64" i="3" s="1"/>
  <c r="AX64" i="3" s="1"/>
  <c r="M61" i="2"/>
  <c r="N56" i="2" s="1"/>
  <c r="M60" i="2"/>
  <c r="S74" i="2"/>
  <c r="T69" i="2" s="1"/>
  <c r="S70" i="2"/>
  <c r="S73" i="2"/>
  <c r="X52" i="3"/>
  <c r="X27" i="3"/>
  <c r="N55" i="2" l="1"/>
  <c r="T68" i="2"/>
  <c r="AY64" i="3"/>
  <c r="AZ64" i="3" s="1"/>
  <c r="BA64" i="3" s="1"/>
  <c r="Y52" i="3"/>
  <c r="BB64" i="3" l="1"/>
  <c r="BC64" i="3" s="1"/>
  <c r="BD64" i="3" s="1"/>
  <c r="N60" i="2"/>
  <c r="N61" i="2"/>
  <c r="O56" i="2" s="1"/>
  <c r="T74" i="2"/>
  <c r="U69" i="2" s="1"/>
  <c r="T70" i="2"/>
  <c r="T73" i="2"/>
  <c r="Z52" i="3"/>
  <c r="Z27" i="3"/>
  <c r="O55" i="2" l="1"/>
  <c r="U68" i="2"/>
  <c r="BE64" i="3"/>
  <c r="BF64" i="3" s="1"/>
  <c r="BG64" i="3" s="1"/>
  <c r="AA52" i="3"/>
  <c r="AB52" i="3" s="1"/>
  <c r="AC52" i="3" s="1"/>
  <c r="AC27" i="3"/>
  <c r="AA27" i="3"/>
  <c r="BH64" i="3" l="1"/>
  <c r="BI64" i="3" s="1"/>
  <c r="BJ64" i="3" s="1"/>
  <c r="BK64" i="3" s="1"/>
  <c r="BL64" i="3" s="1"/>
  <c r="O61" i="2"/>
  <c r="P56" i="2" s="1"/>
  <c r="O60" i="2"/>
  <c r="U74" i="2"/>
  <c r="V69" i="2" s="1"/>
  <c r="U70" i="2"/>
  <c r="U73" i="2"/>
  <c r="AD52" i="3"/>
  <c r="AE52" i="3" s="1"/>
  <c r="AF52" i="3" s="1"/>
  <c r="AF27" i="3"/>
  <c r="AD27" i="3"/>
  <c r="BM64" i="3" l="1"/>
  <c r="P55" i="2"/>
  <c r="V68" i="2"/>
  <c r="AG52" i="3"/>
  <c r="AH52" i="3" s="1"/>
  <c r="AI52" i="3" s="1"/>
  <c r="AI27" i="3"/>
  <c r="AG27" i="3"/>
  <c r="P60" i="2" l="1"/>
  <c r="P61" i="2"/>
  <c r="Q56" i="2" s="1"/>
  <c r="V74" i="2"/>
  <c r="W69" i="2" s="1"/>
  <c r="V70" i="2"/>
  <c r="V73" i="2"/>
  <c r="BN64" i="3"/>
  <c r="BO64" i="3" s="1"/>
  <c r="BP64" i="3" s="1"/>
  <c r="AJ52" i="3"/>
  <c r="AK52" i="3" s="1"/>
  <c r="AL52" i="3" s="1"/>
  <c r="AL27" i="3"/>
  <c r="AJ27" i="3"/>
  <c r="BQ64" i="3" l="1"/>
  <c r="BR64" i="3" s="1"/>
  <c r="BS64" i="3" s="1"/>
  <c r="Q55" i="2"/>
  <c r="W68" i="2"/>
  <c r="AM52" i="3"/>
  <c r="AN52" i="3" s="1"/>
  <c r="AO52" i="3" s="1"/>
  <c r="AP52" i="3" s="1"/>
  <c r="AQ52" i="3" s="1"/>
  <c r="AM27" i="3"/>
  <c r="AO27" i="3"/>
  <c r="Q61" i="2" l="1"/>
  <c r="R56" i="2" s="1"/>
  <c r="Q60" i="2"/>
  <c r="W74" i="2"/>
  <c r="X69" i="2" s="1"/>
  <c r="W70" i="2"/>
  <c r="W73" i="2"/>
  <c r="BT64" i="3"/>
  <c r="BU64" i="3" s="1"/>
  <c r="BV64" i="3" s="1"/>
  <c r="BW64" i="3" s="1"/>
  <c r="BX64" i="3" s="1"/>
  <c r="AR52" i="3"/>
  <c r="AP27" i="3"/>
  <c r="AR27" i="3"/>
  <c r="BY64" i="3" l="1"/>
  <c r="R55" i="2"/>
  <c r="X68" i="2"/>
  <c r="AS52" i="3"/>
  <c r="AT52" i="3" s="1"/>
  <c r="AU52" i="3" s="1"/>
  <c r="AS27" i="3"/>
  <c r="AU27" i="3"/>
  <c r="R60" i="2" l="1"/>
  <c r="R61" i="2"/>
  <c r="S56" i="2" s="1"/>
  <c r="X74" i="2"/>
  <c r="Y69" i="2" s="1"/>
  <c r="X70" i="2"/>
  <c r="X73" i="2"/>
  <c r="BZ64" i="3"/>
  <c r="CA64" i="3" s="1"/>
  <c r="CB64" i="3" s="1"/>
  <c r="AV52" i="3"/>
  <c r="AW52" i="3" s="1"/>
  <c r="AX52" i="3" s="1"/>
  <c r="AV27" i="3"/>
  <c r="AX27" i="3"/>
  <c r="CC64" i="3" l="1"/>
  <c r="CD64" i="3" s="1"/>
  <c r="CE64" i="3" s="1"/>
  <c r="S55" i="2"/>
  <c r="Y68" i="2"/>
  <c r="AY52" i="3"/>
  <c r="AZ52" i="3" s="1"/>
  <c r="BA52" i="3" s="1"/>
  <c r="AY27" i="3"/>
  <c r="BA27" i="3"/>
  <c r="S61" i="2" l="1"/>
  <c r="T56" i="2" s="1"/>
  <c r="Y74" i="2"/>
  <c r="Z69" i="2" s="1"/>
  <c r="Y70" i="2"/>
  <c r="Y73" i="2"/>
  <c r="CF64" i="3"/>
  <c r="CG64" i="3" s="1"/>
  <c r="CH64" i="3" s="1"/>
  <c r="BB52" i="3"/>
  <c r="BC52" i="3" s="1"/>
  <c r="BD52" i="3" s="1"/>
  <c r="BB27" i="3"/>
  <c r="BD27" i="3"/>
  <c r="CI64" i="3" l="1"/>
  <c r="CJ64" i="3" s="1"/>
  <c r="CK64" i="3" s="1"/>
  <c r="T55" i="2"/>
  <c r="Z68" i="2"/>
  <c r="BE52" i="3"/>
  <c r="BF52" i="3" s="1"/>
  <c r="BG52" i="3" s="1"/>
  <c r="BE27" i="3"/>
  <c r="BG27" i="3"/>
  <c r="T60" i="2" l="1"/>
  <c r="T61" i="2"/>
  <c r="U56" i="2" s="1"/>
  <c r="Z74" i="2"/>
  <c r="AA69" i="2" s="1"/>
  <c r="Z70" i="2"/>
  <c r="Z73" i="2"/>
  <c r="CL64" i="3"/>
  <c r="CM64" i="3" s="1"/>
  <c r="CN64" i="3" s="1"/>
  <c r="CO64" i="3" s="1"/>
  <c r="CP64" i="3" s="1"/>
  <c r="CQ64" i="3" s="1"/>
  <c r="BH52" i="3"/>
  <c r="BI52" i="3" s="1"/>
  <c r="BJ52" i="3" s="1"/>
  <c r="BK52" i="3" s="1"/>
  <c r="BL52" i="3" s="1"/>
  <c r="BH27" i="3"/>
  <c r="BJ27" i="3"/>
  <c r="U55" i="2" l="1"/>
  <c r="AA68" i="2"/>
  <c r="BM52" i="3"/>
  <c r="BM27" i="3"/>
  <c r="BK27" i="3"/>
  <c r="U61" i="2" l="1"/>
  <c r="V56" i="2" s="1"/>
  <c r="U60" i="2"/>
  <c r="AA74" i="2"/>
  <c r="AB69" i="2" s="1"/>
  <c r="AA70" i="2"/>
  <c r="AA73" i="2"/>
  <c r="CR64" i="3"/>
  <c r="CS64" i="3" s="1"/>
  <c r="CT64" i="3" s="1"/>
  <c r="BN52" i="3"/>
  <c r="BO52" i="3" s="1"/>
  <c r="BP52" i="3" s="1"/>
  <c r="BQ52" i="3" s="1"/>
  <c r="BR52" i="3" s="1"/>
  <c r="BN27" i="3"/>
  <c r="BP27" i="3"/>
  <c r="CU64" i="3" l="1"/>
  <c r="CV64" i="3" s="1"/>
  <c r="CW64" i="3" s="1"/>
  <c r="V55" i="2"/>
  <c r="AB68" i="2"/>
  <c r="BS52" i="3"/>
  <c r="BQ27" i="3"/>
  <c r="BS27" i="3"/>
  <c r="V61" i="2" l="1"/>
  <c r="W56" i="2" s="1"/>
  <c r="V60" i="2"/>
  <c r="AB74" i="2"/>
  <c r="AC69" i="2" s="1"/>
  <c r="AB73" i="2"/>
  <c r="AB70" i="2"/>
  <c r="CX64" i="3"/>
  <c r="CY64" i="3" s="1"/>
  <c r="CZ64" i="3" s="1"/>
  <c r="BT52" i="3"/>
  <c r="BU52" i="3" s="1"/>
  <c r="BV52" i="3" s="1"/>
  <c r="BW52" i="3" s="1"/>
  <c r="BX52" i="3" s="1"/>
  <c r="BT27" i="3"/>
  <c r="BV27" i="3"/>
  <c r="DA64" i="3" l="1"/>
  <c r="DB64" i="3" s="1"/>
  <c r="DC64" i="3" s="1"/>
  <c r="W55" i="2"/>
  <c r="AC68" i="2"/>
  <c r="BY52" i="3"/>
  <c r="BY27" i="3"/>
  <c r="BW27" i="3"/>
  <c r="W60" i="2" l="1"/>
  <c r="W61" i="2"/>
  <c r="X56" i="2" s="1"/>
  <c r="AC74" i="2"/>
  <c r="AD69" i="2" s="1"/>
  <c r="AC70" i="2"/>
  <c r="AC73" i="2"/>
  <c r="DO27" i="3"/>
  <c r="DD64" i="3"/>
  <c r="DE64" i="3" s="1"/>
  <c r="DF64" i="3" s="1"/>
  <c r="DG64" i="3" s="1"/>
  <c r="DH64" i="3" s="1"/>
  <c r="DI64" i="3" s="1"/>
  <c r="BZ52" i="3"/>
  <c r="CA52" i="3" s="1"/>
  <c r="CB52" i="3" s="1"/>
  <c r="CC52" i="3" s="1"/>
  <c r="CD52" i="3" s="1"/>
  <c r="BZ27" i="3"/>
  <c r="CB27" i="3"/>
  <c r="X55" i="2" l="1"/>
  <c r="AD68" i="2"/>
  <c r="CE52" i="3"/>
  <c r="CC27" i="3"/>
  <c r="CE27" i="3"/>
  <c r="X61" i="2" l="1"/>
  <c r="Y56" i="2" s="1"/>
  <c r="X60" i="2"/>
  <c r="AD74" i="2"/>
  <c r="AE69" i="2" s="1"/>
  <c r="AD73" i="2"/>
  <c r="AD70" i="2"/>
  <c r="DP27" i="3"/>
  <c r="DJ64" i="3"/>
  <c r="DK64" i="3" s="1"/>
  <c r="DL64" i="3" s="1"/>
  <c r="DM64" i="3" s="1"/>
  <c r="DN64" i="3" s="1"/>
  <c r="DO64" i="3" s="1"/>
  <c r="DP64" i="3" s="1"/>
  <c r="DQ64" i="3" s="1"/>
  <c r="CF52" i="3"/>
  <c r="CG52" i="3" s="1"/>
  <c r="CH52" i="3" s="1"/>
  <c r="CI52" i="3" s="1"/>
  <c r="CJ52" i="3" s="1"/>
  <c r="CH27" i="3"/>
  <c r="CF27" i="3"/>
  <c r="C25" i="5"/>
  <c r="C10" i="5"/>
  <c r="Y55" i="2" l="1"/>
  <c r="AE68" i="2"/>
  <c r="CK52" i="3"/>
  <c r="CI27" i="3"/>
  <c r="CK27" i="3"/>
  <c r="Y61" i="2" l="1"/>
  <c r="Z56" i="2" s="1"/>
  <c r="Y60" i="2"/>
  <c r="AE74" i="2"/>
  <c r="AF69" i="2" s="1"/>
  <c r="AE73" i="2"/>
  <c r="AE70" i="2"/>
  <c r="CL52" i="3"/>
  <c r="CM52" i="3" s="1"/>
  <c r="CN52" i="3" s="1"/>
  <c r="CN27" i="3"/>
  <c r="CL27" i="3"/>
  <c r="B82" i="2"/>
  <c r="B21" i="2"/>
  <c r="B38" i="2" s="1"/>
  <c r="B51" i="2" s="1"/>
  <c r="B64" i="2" s="1"/>
  <c r="Z55" i="2" l="1"/>
  <c r="AF68" i="2"/>
  <c r="CO52" i="3"/>
  <c r="CP52" i="3" s="1"/>
  <c r="CQ52" i="3" s="1"/>
  <c r="CQ27" i="3"/>
  <c r="CO27" i="3"/>
  <c r="Z60" i="2" l="1"/>
  <c r="Z61" i="2"/>
  <c r="AA56" i="2" s="1"/>
  <c r="AF70" i="2"/>
  <c r="AF73" i="2"/>
  <c r="AF74" i="2"/>
  <c r="AG69" i="2" s="1"/>
  <c r="CR52" i="3"/>
  <c r="CS52" i="3" s="1"/>
  <c r="CT52" i="3" s="1"/>
  <c r="CT27" i="3"/>
  <c r="CR27" i="3"/>
  <c r="AA55" i="2" l="1"/>
  <c r="AG68" i="2"/>
  <c r="CU52" i="3"/>
  <c r="CV52" i="3" s="1"/>
  <c r="CW52" i="3" s="1"/>
  <c r="CU27" i="3"/>
  <c r="CW27" i="3"/>
  <c r="CZ27" i="3"/>
  <c r="AA61" i="2" l="1"/>
  <c r="AB56" i="2" s="1"/>
  <c r="AA60" i="2"/>
  <c r="AG70" i="2"/>
  <c r="AG73" i="2"/>
  <c r="AG74" i="2"/>
  <c r="AH69" i="2" s="1"/>
  <c r="CX52" i="3"/>
  <c r="CY52" i="3" s="1"/>
  <c r="CZ52" i="3" s="1"/>
  <c r="DC27" i="3"/>
  <c r="CX27" i="3"/>
  <c r="AB55" i="2" l="1"/>
  <c r="AH68" i="2"/>
  <c r="DA52" i="3"/>
  <c r="DB52" i="3" s="1"/>
  <c r="DC52" i="3" s="1"/>
  <c r="DA27" i="3"/>
  <c r="DF27" i="3"/>
  <c r="AD82" i="2"/>
  <c r="AB61" i="2" l="1"/>
  <c r="AC56" i="2" s="1"/>
  <c r="AB60" i="2"/>
  <c r="AH74" i="2"/>
  <c r="AI69" i="2" s="1"/>
  <c r="AH70" i="2"/>
  <c r="AH73" i="2"/>
  <c r="DD52" i="3"/>
  <c r="DE52" i="3" s="1"/>
  <c r="DF52" i="3" s="1"/>
  <c r="DI27" i="3"/>
  <c r="DD27" i="3"/>
  <c r="AE82" i="2"/>
  <c r="AD21" i="2"/>
  <c r="AD38" i="2" s="1"/>
  <c r="AD51" i="2" s="1"/>
  <c r="AD64" i="2" s="1"/>
  <c r="AC55" i="2" l="1"/>
  <c r="AI68" i="2"/>
  <c r="DG52" i="3"/>
  <c r="DH52" i="3" s="1"/>
  <c r="DI52" i="3" s="1"/>
  <c r="DL27" i="3"/>
  <c r="DG27" i="3"/>
  <c r="AF82" i="2"/>
  <c r="AE21" i="2"/>
  <c r="AE38" i="2" s="1"/>
  <c r="AE51" i="2" s="1"/>
  <c r="AE64" i="2" s="1"/>
  <c r="AC60" i="2" l="1"/>
  <c r="AC61" i="2"/>
  <c r="AD56" i="2" s="1"/>
  <c r="AI74" i="2"/>
  <c r="AJ69" i="2" s="1"/>
  <c r="AI73" i="2"/>
  <c r="AI70" i="2"/>
  <c r="DJ52" i="3"/>
  <c r="DK52" i="3" s="1"/>
  <c r="DL52" i="3" s="1"/>
  <c r="DJ27" i="3"/>
  <c r="AG82" i="2"/>
  <c r="AF21" i="2"/>
  <c r="AF38" i="2" s="1"/>
  <c r="AF51" i="2" s="1"/>
  <c r="AF64" i="2" s="1"/>
  <c r="AD55" i="2" l="1"/>
  <c r="AJ68" i="2"/>
  <c r="DM52" i="3"/>
  <c r="DN52" i="3" s="1"/>
  <c r="DO52" i="3" s="1"/>
  <c r="DP52" i="3" s="1"/>
  <c r="DQ52" i="3" s="1"/>
  <c r="DM27" i="3"/>
  <c r="AH82" i="2"/>
  <c r="AG21" i="2"/>
  <c r="AG38" i="2" s="1"/>
  <c r="AG51" i="2" s="1"/>
  <c r="AG64" i="2" s="1"/>
  <c r="AC82" i="2"/>
  <c r="AD61" i="2" l="1"/>
  <c r="AE56" i="2" s="1"/>
  <c r="AD60" i="2"/>
  <c r="AJ74" i="2"/>
  <c r="AK69" i="2" s="1"/>
  <c r="AJ73" i="2"/>
  <c r="AJ70" i="2"/>
  <c r="AI82" i="2"/>
  <c r="AH21" i="2"/>
  <c r="AH38" i="2" s="1"/>
  <c r="AH51" i="2" s="1"/>
  <c r="AH64" i="2" s="1"/>
  <c r="V82" i="2"/>
  <c r="N82" i="2"/>
  <c r="F82" i="2"/>
  <c r="AA82" i="2"/>
  <c r="S82" i="2"/>
  <c r="K82" i="2"/>
  <c r="C82" i="2"/>
  <c r="Z82" i="2"/>
  <c r="R82" i="2"/>
  <c r="J82" i="2"/>
  <c r="W82" i="2"/>
  <c r="O82" i="2"/>
  <c r="G82" i="2"/>
  <c r="Y82" i="2"/>
  <c r="U82" i="2"/>
  <c r="Q82" i="2"/>
  <c r="M82" i="2"/>
  <c r="I82" i="2"/>
  <c r="E82" i="2"/>
  <c r="AB82" i="2"/>
  <c r="X82" i="2"/>
  <c r="T82" i="2"/>
  <c r="P82" i="2"/>
  <c r="L82" i="2"/>
  <c r="H82" i="2"/>
  <c r="D82" i="2"/>
  <c r="AE55" i="2" l="1"/>
  <c r="AK68" i="2"/>
  <c r="AJ82" i="2"/>
  <c r="AI21" i="2"/>
  <c r="AI38" i="2" s="1"/>
  <c r="AI51" i="2" s="1"/>
  <c r="AI64" i="2" s="1"/>
  <c r="AE61" i="2" l="1"/>
  <c r="AF56" i="2" s="1"/>
  <c r="AE60" i="2"/>
  <c r="AK74" i="2"/>
  <c r="AL69" i="2" s="1"/>
  <c r="AK70" i="2"/>
  <c r="AK73" i="2"/>
  <c r="AK82" i="2"/>
  <c r="AJ21" i="2"/>
  <c r="AJ38" i="2" s="1"/>
  <c r="AJ51" i="2" s="1"/>
  <c r="AJ64" i="2" s="1"/>
  <c r="C21" i="2"/>
  <c r="C38" i="2" s="1"/>
  <c r="C51" i="2" s="1"/>
  <c r="C64" i="2" s="1"/>
  <c r="C17" i="2"/>
  <c r="C16" i="2"/>
  <c r="C9" i="7"/>
  <c r="C7" i="7"/>
  <c r="C5" i="7"/>
  <c r="C3" i="7"/>
  <c r="B22" i="5"/>
  <c r="B5" i="5" s="1"/>
  <c r="B9" i="3"/>
  <c r="B34" i="3" s="1"/>
  <c r="C23" i="3"/>
  <c r="D23" i="3" s="1"/>
  <c r="C33" i="2"/>
  <c r="D33" i="2" s="1"/>
  <c r="E33" i="2" s="1"/>
  <c r="C1" i="2"/>
  <c r="B1" i="3" s="1"/>
  <c r="B1" i="5"/>
  <c r="B19" i="5" s="1"/>
  <c r="B28" i="3"/>
  <c r="B4" i="5" s="1"/>
  <c r="B26" i="5"/>
  <c r="B11" i="5" s="1"/>
  <c r="B28" i="5"/>
  <c r="C28" i="5" s="1"/>
  <c r="D28" i="5" s="1"/>
  <c r="B7" i="3"/>
  <c r="B12" i="3"/>
  <c r="B5" i="3"/>
  <c r="AF55" i="2" l="1"/>
  <c r="AL68" i="2"/>
  <c r="D14" i="5"/>
  <c r="E28" i="5"/>
  <c r="F28" i="5" s="1"/>
  <c r="G28" i="5" s="1"/>
  <c r="H28" i="5" s="1"/>
  <c r="I28" i="5" s="1"/>
  <c r="J28" i="5" s="1"/>
  <c r="K28" i="5" s="1"/>
  <c r="L28" i="5" s="1"/>
  <c r="M28" i="5" s="1"/>
  <c r="N28" i="5" s="1"/>
  <c r="O28" i="5" s="1"/>
  <c r="P28" i="5" s="1"/>
  <c r="Q28" i="5" s="1"/>
  <c r="R28" i="5" s="1"/>
  <c r="S28" i="5" s="1"/>
  <c r="T28" i="5" s="1"/>
  <c r="U28" i="5" s="1"/>
  <c r="V28" i="5" s="1"/>
  <c r="W28" i="5" s="1"/>
  <c r="X28" i="5" s="1"/>
  <c r="Y28" i="5" s="1"/>
  <c r="Z28" i="5" s="1"/>
  <c r="AA28" i="5" s="1"/>
  <c r="AB28" i="5" s="1"/>
  <c r="AC28" i="5" s="1"/>
  <c r="AD28" i="5" s="1"/>
  <c r="AE28" i="5" s="1"/>
  <c r="AF28" i="5" s="1"/>
  <c r="AG28" i="5" s="1"/>
  <c r="AH28" i="5" s="1"/>
  <c r="AI28" i="5" s="1"/>
  <c r="AJ28" i="5" s="1"/>
  <c r="AK28" i="5" s="1"/>
  <c r="AL28" i="5" s="1"/>
  <c r="AM28" i="5" s="1"/>
  <c r="AN28" i="5" s="1"/>
  <c r="AO28" i="5" s="1"/>
  <c r="AP28" i="5" s="1"/>
  <c r="AQ28" i="5" s="1"/>
  <c r="AR28" i="5" s="1"/>
  <c r="AS28" i="5" s="1"/>
  <c r="AT28" i="5" s="1"/>
  <c r="AU28" i="5" s="1"/>
  <c r="AV28" i="5" s="1"/>
  <c r="AW28" i="5" s="1"/>
  <c r="AX28" i="5" s="1"/>
  <c r="AY28" i="5" s="1"/>
  <c r="AZ28" i="5" s="1"/>
  <c r="BA28" i="5" s="1"/>
  <c r="BB28" i="5" s="1"/>
  <c r="BC28" i="5" s="1"/>
  <c r="BD28" i="5" s="1"/>
  <c r="BE28" i="5" s="1"/>
  <c r="BF28" i="5" s="1"/>
  <c r="BG28" i="5" s="1"/>
  <c r="BH28" i="5" s="1"/>
  <c r="BI28" i="5" s="1"/>
  <c r="BJ28" i="5" s="1"/>
  <c r="BK28" i="5" s="1"/>
  <c r="BL28" i="5" s="1"/>
  <c r="BM28" i="5" s="1"/>
  <c r="BN28" i="5" s="1"/>
  <c r="BO28" i="5" s="1"/>
  <c r="BP28" i="5" s="1"/>
  <c r="BQ28" i="5" s="1"/>
  <c r="BR28" i="5" s="1"/>
  <c r="BS28" i="5" s="1"/>
  <c r="BT28" i="5" s="1"/>
  <c r="BU28" i="5" s="1"/>
  <c r="BV28" i="5" s="1"/>
  <c r="BW28" i="5" s="1"/>
  <c r="BX28" i="5" s="1"/>
  <c r="BY28" i="5" s="1"/>
  <c r="BZ28" i="5" s="1"/>
  <c r="CA28" i="5" s="1"/>
  <c r="CB28" i="5" s="1"/>
  <c r="CC28" i="5" s="1"/>
  <c r="CD28" i="5" s="1"/>
  <c r="CE28" i="5" s="1"/>
  <c r="CF28" i="5" s="1"/>
  <c r="CG28" i="5" s="1"/>
  <c r="CH28" i="5" s="1"/>
  <c r="CI28" i="5" s="1"/>
  <c r="CJ28" i="5" s="1"/>
  <c r="CK28" i="5" s="1"/>
  <c r="CL28" i="5" s="1"/>
  <c r="CM28" i="5" s="1"/>
  <c r="CN28" i="5" s="1"/>
  <c r="CO28" i="5" s="1"/>
  <c r="CP28" i="5" s="1"/>
  <c r="CQ28" i="5" s="1"/>
  <c r="CR28" i="5" s="1"/>
  <c r="CS28" i="5" s="1"/>
  <c r="CT28" i="5" s="1"/>
  <c r="CU28" i="5" s="1"/>
  <c r="E9" i="2"/>
  <c r="E10" i="2"/>
  <c r="B6" i="5"/>
  <c r="C16" i="3"/>
  <c r="B12" i="5"/>
  <c r="AL82" i="2"/>
  <c r="AK21" i="2"/>
  <c r="AK38" i="2" s="1"/>
  <c r="AK51" i="2" s="1"/>
  <c r="AK64" i="2" s="1"/>
  <c r="C12" i="7"/>
  <c r="C1" i="7"/>
  <c r="D1" i="5"/>
  <c r="D19" i="5" s="1"/>
  <c r="E23" i="3"/>
  <c r="E1" i="5" s="1"/>
  <c r="E19" i="5" s="1"/>
  <c r="C1" i="5"/>
  <c r="C19" i="5" s="1"/>
  <c r="C13" i="7"/>
  <c r="C14" i="7" s="1"/>
  <c r="D14" i="7" s="1"/>
  <c r="E14" i="7" s="1"/>
  <c r="E21" i="2"/>
  <c r="E38" i="2" s="1"/>
  <c r="E51" i="2" s="1"/>
  <c r="E64" i="2" s="1"/>
  <c r="D21" i="2"/>
  <c r="D38" i="2" s="1"/>
  <c r="D51" i="2" s="1"/>
  <c r="D64" i="2" s="1"/>
  <c r="C18" i="2"/>
  <c r="C15" i="3"/>
  <c r="C28" i="3"/>
  <c r="C14" i="5"/>
  <c r="B14" i="5"/>
  <c r="B54" i="3" l="1"/>
  <c r="C48" i="3" s="1"/>
  <c r="X45" i="2"/>
  <c r="BR39" i="3" s="1"/>
  <c r="AM45" i="2"/>
  <c r="DK39" i="3" s="1"/>
  <c r="AI45" i="2"/>
  <c r="CY39" i="3" s="1"/>
  <c r="AE45" i="2"/>
  <c r="CM39" i="3" s="1"/>
  <c r="AA45" i="2"/>
  <c r="CA39" i="3" s="1"/>
  <c r="W45" i="2"/>
  <c r="BO39" i="3" s="1"/>
  <c r="S45" i="2"/>
  <c r="BC39" i="3" s="1"/>
  <c r="O45" i="2"/>
  <c r="AQ39" i="3" s="1"/>
  <c r="K45" i="2"/>
  <c r="AE39" i="3" s="1"/>
  <c r="AL45" i="2"/>
  <c r="DH39" i="3" s="1"/>
  <c r="AH45" i="2"/>
  <c r="CV39" i="3" s="1"/>
  <c r="AD45" i="2"/>
  <c r="CJ39" i="3" s="1"/>
  <c r="Z45" i="2"/>
  <c r="BX39" i="3" s="1"/>
  <c r="V45" i="2"/>
  <c r="BL39" i="3" s="1"/>
  <c r="R45" i="2"/>
  <c r="AZ39" i="3" s="1"/>
  <c r="N45" i="2"/>
  <c r="AN39" i="3" s="1"/>
  <c r="J45" i="2"/>
  <c r="AB39" i="3" s="1"/>
  <c r="AK45" i="2"/>
  <c r="DE39" i="3" s="1"/>
  <c r="AG45" i="2"/>
  <c r="CS39" i="3" s="1"/>
  <c r="AC45" i="2"/>
  <c r="CG39" i="3" s="1"/>
  <c r="Y45" i="2"/>
  <c r="BU39" i="3" s="1"/>
  <c r="U45" i="2"/>
  <c r="BI39" i="3" s="1"/>
  <c r="Q45" i="2"/>
  <c r="AW39" i="3" s="1"/>
  <c r="M45" i="2"/>
  <c r="AK39" i="3" s="1"/>
  <c r="I45" i="2"/>
  <c r="AN45" i="2"/>
  <c r="DN39" i="3" s="1"/>
  <c r="AJ45" i="2"/>
  <c r="DB39" i="3" s="1"/>
  <c r="AF45" i="2"/>
  <c r="CP39" i="3" s="1"/>
  <c r="AB45" i="2"/>
  <c r="CD39" i="3" s="1"/>
  <c r="T45" i="2"/>
  <c r="BF39" i="3" s="1"/>
  <c r="P45" i="2"/>
  <c r="AT39" i="3" s="1"/>
  <c r="L45" i="2"/>
  <c r="AH39" i="3" s="1"/>
  <c r="H45" i="2"/>
  <c r="AF61" i="2"/>
  <c r="AG56" i="2" s="1"/>
  <c r="AF60" i="2"/>
  <c r="AL74" i="2"/>
  <c r="AM69" i="2" s="1"/>
  <c r="AL73" i="2"/>
  <c r="AL70" i="2"/>
  <c r="AH32" i="2"/>
  <c r="AG32" i="2"/>
  <c r="AC32" i="2"/>
  <c r="Q32" i="2"/>
  <c r="M32" i="2"/>
  <c r="AM32" i="2"/>
  <c r="AE32" i="2"/>
  <c r="AA32" i="2"/>
  <c r="O32" i="2"/>
  <c r="K32" i="2"/>
  <c r="AL32" i="2"/>
  <c r="R32" i="2"/>
  <c r="N32" i="2"/>
  <c r="P32" i="2"/>
  <c r="L32" i="2"/>
  <c r="X32" i="2"/>
  <c r="AJ32" i="2"/>
  <c r="T32" i="2"/>
  <c r="B36" i="3"/>
  <c r="B37" i="3" s="1"/>
  <c r="C43" i="2"/>
  <c r="C30" i="2" s="1"/>
  <c r="E14" i="5"/>
  <c r="CV28" i="5"/>
  <c r="CU14" i="5"/>
  <c r="C17" i="3"/>
  <c r="D17" i="3" s="1"/>
  <c r="E17" i="3" s="1"/>
  <c r="AM82" i="2"/>
  <c r="AL21" i="2"/>
  <c r="AL38" i="2" s="1"/>
  <c r="AL51" i="2" s="1"/>
  <c r="AL64" i="2" s="1"/>
  <c r="F23" i="3"/>
  <c r="F1" i="5" s="1"/>
  <c r="F19" i="5" s="1"/>
  <c r="F21" i="2"/>
  <c r="F38" i="2" s="1"/>
  <c r="F51" i="2" s="1"/>
  <c r="F64" i="2" s="1"/>
  <c r="C4" i="5"/>
  <c r="D28" i="3"/>
  <c r="B66" i="3" l="1"/>
  <c r="C60" i="3" s="1"/>
  <c r="AK32" i="2"/>
  <c r="Y32" i="2"/>
  <c r="J32" i="2"/>
  <c r="U32" i="2"/>
  <c r="AN32" i="2"/>
  <c r="W32" i="2"/>
  <c r="V32" i="2"/>
  <c r="C54" i="3"/>
  <c r="D48" i="3" s="1"/>
  <c r="C49" i="3"/>
  <c r="B53" i="3"/>
  <c r="B50" i="3"/>
  <c r="AB32" i="2"/>
  <c r="AF32" i="2"/>
  <c r="AD32" i="2"/>
  <c r="S32" i="2"/>
  <c r="AI32" i="2"/>
  <c r="H32" i="2"/>
  <c r="V39" i="3"/>
  <c r="V27" i="3" s="1"/>
  <c r="Y39" i="3"/>
  <c r="Y27" i="3" s="1"/>
  <c r="I32" i="2"/>
  <c r="G32" i="2"/>
  <c r="S39" i="3"/>
  <c r="G46" i="2"/>
  <c r="H46" i="2" s="1"/>
  <c r="I46" i="2" s="1"/>
  <c r="Z32" i="2"/>
  <c r="B24" i="3"/>
  <c r="B30" i="3" s="1"/>
  <c r="BX27" i="3"/>
  <c r="CM27" i="3"/>
  <c r="CS27" i="3"/>
  <c r="CJ27" i="3"/>
  <c r="CY27" i="3"/>
  <c r="CV27" i="3"/>
  <c r="DK27" i="3"/>
  <c r="DN27" i="3"/>
  <c r="AT27" i="3"/>
  <c r="AQ27" i="3"/>
  <c r="AW27" i="3"/>
  <c r="BL27" i="3"/>
  <c r="CD27" i="3"/>
  <c r="CP27" i="3"/>
  <c r="BC27" i="3"/>
  <c r="BI27" i="3"/>
  <c r="DE27" i="3"/>
  <c r="BF27" i="3"/>
  <c r="BR27" i="3"/>
  <c r="AN27" i="3"/>
  <c r="DH27" i="3"/>
  <c r="BO27" i="3"/>
  <c r="BU27" i="3"/>
  <c r="DB27" i="3"/>
  <c r="AH27" i="3"/>
  <c r="AZ27" i="3"/>
  <c r="AE27" i="3"/>
  <c r="CA27" i="3"/>
  <c r="AK27" i="3"/>
  <c r="CG27" i="3"/>
  <c r="AB27" i="3"/>
  <c r="AG55" i="2"/>
  <c r="AM68" i="2"/>
  <c r="B42" i="3"/>
  <c r="C42" i="2"/>
  <c r="C29" i="2" s="1"/>
  <c r="CW28" i="5"/>
  <c r="CV14" i="5"/>
  <c r="AN82" i="2"/>
  <c r="AM21" i="2"/>
  <c r="AM38" i="2" s="1"/>
  <c r="AM51" i="2" s="1"/>
  <c r="AM64" i="2" s="1"/>
  <c r="G23" i="3"/>
  <c r="H23" i="3" s="1"/>
  <c r="C21" i="5"/>
  <c r="C22" i="5" s="1"/>
  <c r="C5" i="5" s="1"/>
  <c r="G21" i="2"/>
  <c r="G38" i="2" s="1"/>
  <c r="G51" i="2" s="1"/>
  <c r="G64" i="2" s="1"/>
  <c r="F14" i="5"/>
  <c r="E28" i="3"/>
  <c r="D4" i="5"/>
  <c r="G14" i="5"/>
  <c r="B65" i="3" l="1"/>
  <c r="B62" i="3"/>
  <c r="C61" i="3"/>
  <c r="C65" i="3" s="1"/>
  <c r="C66" i="3"/>
  <c r="D60" i="3" s="1"/>
  <c r="C50" i="3"/>
  <c r="C53" i="3"/>
  <c r="D49" i="3"/>
  <c r="D53" i="3" s="1"/>
  <c r="D54" i="3"/>
  <c r="E48" i="3" s="1"/>
  <c r="B3" i="5"/>
  <c r="B7" i="5" s="1"/>
  <c r="S27" i="3"/>
  <c r="S40" i="3"/>
  <c r="T40" i="3" s="1"/>
  <c r="U40" i="3" s="1"/>
  <c r="V40" i="3" s="1"/>
  <c r="W40" i="3" s="1"/>
  <c r="X40" i="3" s="1"/>
  <c r="Y40" i="3" s="1"/>
  <c r="Z40" i="3" s="1"/>
  <c r="AA40" i="3" s="1"/>
  <c r="AB40" i="3" s="1"/>
  <c r="AC40" i="3" s="1"/>
  <c r="AD40" i="3" s="1"/>
  <c r="AE40" i="3" s="1"/>
  <c r="AF40" i="3" s="1"/>
  <c r="AG40" i="3" s="1"/>
  <c r="AH40" i="3" s="1"/>
  <c r="AI40" i="3" s="1"/>
  <c r="AJ40" i="3" s="1"/>
  <c r="AK40" i="3" s="1"/>
  <c r="AL40" i="3" s="1"/>
  <c r="AM40" i="3" s="1"/>
  <c r="AN40" i="3" s="1"/>
  <c r="AO40" i="3" s="1"/>
  <c r="AP40" i="3" s="1"/>
  <c r="AQ40" i="3" s="1"/>
  <c r="AR40" i="3" s="1"/>
  <c r="AS40" i="3" s="1"/>
  <c r="AT40" i="3" s="1"/>
  <c r="AU40" i="3" s="1"/>
  <c r="AV40" i="3" s="1"/>
  <c r="AW40" i="3" s="1"/>
  <c r="AX40" i="3" s="1"/>
  <c r="AY40" i="3" s="1"/>
  <c r="AZ40" i="3" s="1"/>
  <c r="BA40" i="3" s="1"/>
  <c r="BB40" i="3" s="1"/>
  <c r="BC40" i="3" s="1"/>
  <c r="BD40" i="3" s="1"/>
  <c r="BE40" i="3" s="1"/>
  <c r="BF40" i="3" s="1"/>
  <c r="BG40" i="3" s="1"/>
  <c r="BH40" i="3" s="1"/>
  <c r="BI40" i="3" s="1"/>
  <c r="BJ40" i="3" s="1"/>
  <c r="BK40" i="3" s="1"/>
  <c r="BL40" i="3" s="1"/>
  <c r="BM40" i="3" s="1"/>
  <c r="BN40" i="3" s="1"/>
  <c r="BO40" i="3" s="1"/>
  <c r="BP40" i="3" s="1"/>
  <c r="BQ40" i="3" s="1"/>
  <c r="BR40" i="3" s="1"/>
  <c r="BS40" i="3" s="1"/>
  <c r="BT40" i="3" s="1"/>
  <c r="BU40" i="3" s="1"/>
  <c r="BV40" i="3" s="1"/>
  <c r="BW40" i="3" s="1"/>
  <c r="BX40" i="3" s="1"/>
  <c r="BY40" i="3" s="1"/>
  <c r="BZ40" i="3" s="1"/>
  <c r="CA40" i="3" s="1"/>
  <c r="CB40" i="3" s="1"/>
  <c r="CC40" i="3" s="1"/>
  <c r="CD40" i="3" s="1"/>
  <c r="CE40" i="3" s="1"/>
  <c r="CF40" i="3" s="1"/>
  <c r="CG40" i="3" s="1"/>
  <c r="CH40" i="3" s="1"/>
  <c r="CI40" i="3" s="1"/>
  <c r="CJ40" i="3" s="1"/>
  <c r="CK40" i="3" s="1"/>
  <c r="CL40" i="3" s="1"/>
  <c r="CM40" i="3" s="1"/>
  <c r="CN40" i="3" s="1"/>
  <c r="CO40" i="3" s="1"/>
  <c r="CP40" i="3" s="1"/>
  <c r="CQ40" i="3" s="1"/>
  <c r="CR40" i="3" s="1"/>
  <c r="CS40" i="3" s="1"/>
  <c r="CT40" i="3" s="1"/>
  <c r="CU40" i="3" s="1"/>
  <c r="CV40" i="3" s="1"/>
  <c r="CW40" i="3" s="1"/>
  <c r="CX40" i="3" s="1"/>
  <c r="CY40" i="3" s="1"/>
  <c r="CZ40" i="3" s="1"/>
  <c r="DA40" i="3" s="1"/>
  <c r="DB40" i="3" s="1"/>
  <c r="DC40" i="3" s="1"/>
  <c r="DD40" i="3" s="1"/>
  <c r="DE40" i="3" s="1"/>
  <c r="DF40" i="3" s="1"/>
  <c r="DG40" i="3" s="1"/>
  <c r="DH40" i="3" s="1"/>
  <c r="DI40" i="3" s="1"/>
  <c r="DJ40" i="3" s="1"/>
  <c r="DK40" i="3" s="1"/>
  <c r="DL40" i="3" s="1"/>
  <c r="DM40" i="3" s="1"/>
  <c r="DN40" i="3" s="1"/>
  <c r="B25" i="3"/>
  <c r="AG60" i="2"/>
  <c r="AG61" i="2"/>
  <c r="AH56" i="2" s="1"/>
  <c r="AM74" i="2"/>
  <c r="AN69" i="2" s="1"/>
  <c r="AM70" i="2"/>
  <c r="AM73" i="2"/>
  <c r="C48" i="2"/>
  <c r="D43" i="2" s="1"/>
  <c r="D30" i="2" s="1"/>
  <c r="B38" i="3"/>
  <c r="B41" i="3"/>
  <c r="CX28" i="5"/>
  <c r="CW14" i="5"/>
  <c r="G1" i="5"/>
  <c r="G19" i="5" s="1"/>
  <c r="C26" i="5"/>
  <c r="AN21" i="2"/>
  <c r="AN38" i="2" s="1"/>
  <c r="AN51" i="2" s="1"/>
  <c r="AN64" i="2" s="1"/>
  <c r="D21" i="5"/>
  <c r="D22" i="5" s="1"/>
  <c r="D5" i="5" s="1"/>
  <c r="C6" i="5"/>
  <c r="I23" i="3"/>
  <c r="H1" i="5"/>
  <c r="H19" i="5" s="1"/>
  <c r="H21" i="2"/>
  <c r="H38" i="2" s="1"/>
  <c r="H51" i="2" s="1"/>
  <c r="H64" i="2" s="1"/>
  <c r="E4" i="5"/>
  <c r="F28" i="3"/>
  <c r="C24" i="3" s="1"/>
  <c r="H14" i="5"/>
  <c r="D61" i="3" l="1"/>
  <c r="D65" i="3" s="1"/>
  <c r="D66" i="3"/>
  <c r="E60" i="3" s="1"/>
  <c r="B9" i="5"/>
  <c r="B13" i="5" s="1"/>
  <c r="C62" i="3"/>
  <c r="B26" i="3"/>
  <c r="E49" i="3"/>
  <c r="E53" i="3" s="1"/>
  <c r="E54" i="3"/>
  <c r="F48" i="3" s="1"/>
  <c r="D50" i="3"/>
  <c r="E50" i="3" s="1"/>
  <c r="AH55" i="2"/>
  <c r="AN68" i="2"/>
  <c r="C37" i="3"/>
  <c r="C25" i="3" s="1"/>
  <c r="C42" i="3"/>
  <c r="D36" i="3" s="1"/>
  <c r="D42" i="2"/>
  <c r="D29" i="2" s="1"/>
  <c r="CY28" i="5"/>
  <c r="CX14" i="5"/>
  <c r="B29" i="3"/>
  <c r="C11" i="5"/>
  <c r="E22" i="5"/>
  <c r="E5" i="5" s="1"/>
  <c r="D6" i="5"/>
  <c r="J23" i="3"/>
  <c r="I1" i="5"/>
  <c r="I19" i="5" s="1"/>
  <c r="I21" i="2"/>
  <c r="I38" i="2" s="1"/>
  <c r="I51" i="2" s="1"/>
  <c r="I64" i="2" s="1"/>
  <c r="G28" i="3"/>
  <c r="F4" i="5"/>
  <c r="I14" i="5"/>
  <c r="E61" i="3" l="1"/>
  <c r="E65" i="3" s="1"/>
  <c r="E66" i="3"/>
  <c r="F60" i="3" s="1"/>
  <c r="D62" i="3"/>
  <c r="C26" i="3"/>
  <c r="F54" i="3"/>
  <c r="G48" i="3" s="1"/>
  <c r="F49" i="3"/>
  <c r="F53" i="3" s="1"/>
  <c r="AH61" i="2"/>
  <c r="AI56" i="2" s="1"/>
  <c r="AH60" i="2"/>
  <c r="AN70" i="2"/>
  <c r="AN73" i="2"/>
  <c r="AN74" i="2"/>
  <c r="AO69" i="2" s="1"/>
  <c r="D24" i="3"/>
  <c r="D30" i="3" s="1"/>
  <c r="D37" i="3"/>
  <c r="C41" i="3"/>
  <c r="D42" i="3"/>
  <c r="E36" i="3" s="1"/>
  <c r="E24" i="3" s="1"/>
  <c r="C38" i="3"/>
  <c r="C30" i="3"/>
  <c r="C3" i="5"/>
  <c r="C7" i="5" s="1"/>
  <c r="D48" i="2"/>
  <c r="CZ28" i="5"/>
  <c r="CY14" i="5"/>
  <c r="C12" i="5"/>
  <c r="C35" i="2"/>
  <c r="F22" i="5"/>
  <c r="E6" i="5"/>
  <c r="J1" i="5"/>
  <c r="J19" i="5" s="1"/>
  <c r="K23" i="3"/>
  <c r="J21" i="2"/>
  <c r="J38" i="2" s="1"/>
  <c r="J51" i="2" s="1"/>
  <c r="J64" i="2" s="1"/>
  <c r="H28" i="3"/>
  <c r="G4" i="5"/>
  <c r="J14" i="5"/>
  <c r="F61" i="3" l="1"/>
  <c r="F65" i="3" s="1"/>
  <c r="F66" i="3"/>
  <c r="G60" i="3" s="1"/>
  <c r="D26" i="3"/>
  <c r="E62" i="3"/>
  <c r="AO68" i="2"/>
  <c r="AO74" i="2" s="1"/>
  <c r="AO73" i="2"/>
  <c r="AO70" i="2"/>
  <c r="F50" i="3"/>
  <c r="G49" i="3"/>
  <c r="G53" i="3" s="1"/>
  <c r="G54" i="3"/>
  <c r="H48" i="3" s="1"/>
  <c r="D3" i="5"/>
  <c r="D7" i="5" s="1"/>
  <c r="AI55" i="2"/>
  <c r="D41" i="3"/>
  <c r="D25" i="3"/>
  <c r="D29" i="3" s="1"/>
  <c r="E30" i="3"/>
  <c r="E37" i="3"/>
  <c r="D38" i="3"/>
  <c r="C9" i="5"/>
  <c r="C13" i="5" s="1"/>
  <c r="C29" i="3"/>
  <c r="E42" i="3"/>
  <c r="F36" i="3" s="1"/>
  <c r="F24" i="3" s="1"/>
  <c r="E43" i="2"/>
  <c r="E30" i="2" s="1"/>
  <c r="E42" i="2"/>
  <c r="E29" i="2" s="1"/>
  <c r="C47" i="2"/>
  <c r="DA28" i="5"/>
  <c r="CZ14" i="5"/>
  <c r="C34" i="2"/>
  <c r="F5" i="5"/>
  <c r="K1" i="5"/>
  <c r="K19" i="5" s="1"/>
  <c r="L23" i="3"/>
  <c r="K21" i="2"/>
  <c r="K38" i="2" s="1"/>
  <c r="K51" i="2" s="1"/>
  <c r="K64" i="2" s="1"/>
  <c r="H4" i="5"/>
  <c r="K14" i="5"/>
  <c r="F62" i="3" l="1"/>
  <c r="E26" i="3"/>
  <c r="G50" i="3"/>
  <c r="H50" i="3" s="1"/>
  <c r="G66" i="3"/>
  <c r="H60" i="3" s="1"/>
  <c r="G61" i="3"/>
  <c r="G65" i="3" s="1"/>
  <c r="H49" i="3"/>
  <c r="H53" i="3" s="1"/>
  <c r="H54" i="3"/>
  <c r="I48" i="3" s="1"/>
  <c r="AI61" i="2"/>
  <c r="AJ56" i="2" s="1"/>
  <c r="AI60" i="2"/>
  <c r="E38" i="3"/>
  <c r="E41" i="3"/>
  <c r="E25" i="3"/>
  <c r="F3" i="5"/>
  <c r="F7" i="5" s="1"/>
  <c r="F37" i="3"/>
  <c r="F41" i="3" s="1"/>
  <c r="E3" i="5"/>
  <c r="E7" i="5" s="1"/>
  <c r="F42" i="3"/>
  <c r="G36" i="3" s="1"/>
  <c r="G24" i="3" s="1"/>
  <c r="E48" i="2"/>
  <c r="DB28" i="5"/>
  <c r="DA14" i="5"/>
  <c r="D35" i="2"/>
  <c r="G21" i="5"/>
  <c r="G22" i="5" s="1"/>
  <c r="G5" i="5" s="1"/>
  <c r="F6" i="5"/>
  <c r="L1" i="5"/>
  <c r="L19" i="5" s="1"/>
  <c r="M23" i="3"/>
  <c r="L21" i="2"/>
  <c r="L38" i="2" s="1"/>
  <c r="L51" i="2" s="1"/>
  <c r="L64" i="2" s="1"/>
  <c r="L14" i="5"/>
  <c r="H61" i="3" l="1"/>
  <c r="H66" i="3"/>
  <c r="I60" i="3" s="1"/>
  <c r="G62" i="3"/>
  <c r="F26" i="3"/>
  <c r="I49" i="3"/>
  <c r="I53" i="3" s="1"/>
  <c r="I54" i="3"/>
  <c r="J48" i="3" s="1"/>
  <c r="AJ55" i="2"/>
  <c r="E9" i="5"/>
  <c r="F38" i="3"/>
  <c r="F25" i="3"/>
  <c r="D9" i="5"/>
  <c r="F30" i="3"/>
  <c r="G42" i="3"/>
  <c r="H36" i="3" s="1"/>
  <c r="H24" i="3" s="1"/>
  <c r="F30" i="2"/>
  <c r="F42" i="2"/>
  <c r="F29" i="2" s="1"/>
  <c r="C44" i="2"/>
  <c r="D47" i="2"/>
  <c r="DC28" i="5"/>
  <c r="DB14" i="5"/>
  <c r="E29" i="3"/>
  <c r="G3" i="5"/>
  <c r="G7" i="5" s="1"/>
  <c r="D34" i="2"/>
  <c r="G30" i="3"/>
  <c r="H22" i="5"/>
  <c r="G6" i="5"/>
  <c r="M1" i="5"/>
  <c r="M19" i="5" s="1"/>
  <c r="N23" i="3"/>
  <c r="M21" i="2"/>
  <c r="M38" i="2" s="1"/>
  <c r="M51" i="2" s="1"/>
  <c r="M64" i="2" s="1"/>
  <c r="M14" i="5"/>
  <c r="I66" i="3" l="1"/>
  <c r="J60" i="3" s="1"/>
  <c r="I61" i="3"/>
  <c r="H62" i="3"/>
  <c r="H65" i="3"/>
  <c r="J54" i="3"/>
  <c r="K48" i="3" s="1"/>
  <c r="J49" i="3"/>
  <c r="J53" i="3" s="1"/>
  <c r="I50" i="3"/>
  <c r="AJ61" i="2"/>
  <c r="AK56" i="2" s="1"/>
  <c r="AJ60" i="2"/>
  <c r="H42" i="3"/>
  <c r="I36" i="3" s="1"/>
  <c r="I42" i="3" s="1"/>
  <c r="J36" i="3" s="1"/>
  <c r="J24" i="3" s="1"/>
  <c r="J3" i="5" s="1"/>
  <c r="H37" i="3"/>
  <c r="H25" i="3" s="1"/>
  <c r="G37" i="3"/>
  <c r="F48" i="2"/>
  <c r="D44" i="2"/>
  <c r="DD28" i="5"/>
  <c r="DC14" i="5"/>
  <c r="F29" i="3"/>
  <c r="H3" i="5"/>
  <c r="H30" i="3"/>
  <c r="H5" i="5"/>
  <c r="O23" i="3"/>
  <c r="N1" i="5"/>
  <c r="N19" i="5" s="1"/>
  <c r="N21" i="2"/>
  <c r="N38" i="2" s="1"/>
  <c r="N51" i="2" s="1"/>
  <c r="N64" i="2" s="1"/>
  <c r="N14" i="5"/>
  <c r="I62" i="3" l="1"/>
  <c r="I65" i="3"/>
  <c r="J66" i="3"/>
  <c r="K60" i="3" s="1"/>
  <c r="J61" i="3"/>
  <c r="J65" i="3" s="1"/>
  <c r="J50" i="3"/>
  <c r="K54" i="3"/>
  <c r="L48" i="3" s="1"/>
  <c r="K49" i="3"/>
  <c r="K53" i="3" s="1"/>
  <c r="AK55" i="2"/>
  <c r="I24" i="3"/>
  <c r="I3" i="5" s="1"/>
  <c r="G25" i="3"/>
  <c r="G29" i="3" s="1"/>
  <c r="I37" i="3"/>
  <c r="I25" i="3" s="1"/>
  <c r="G41" i="3"/>
  <c r="H41" i="3"/>
  <c r="G38" i="3"/>
  <c r="G43" i="2"/>
  <c r="G30" i="2" s="1"/>
  <c r="G42" i="2"/>
  <c r="G29" i="2" s="1"/>
  <c r="J37" i="3"/>
  <c r="J42" i="3"/>
  <c r="K36" i="3" s="1"/>
  <c r="F9" i="5"/>
  <c r="DE28" i="5"/>
  <c r="DD14" i="5"/>
  <c r="H29" i="3"/>
  <c r="E35" i="2"/>
  <c r="H7" i="5"/>
  <c r="H6" i="5"/>
  <c r="P23" i="3"/>
  <c r="O1" i="5"/>
  <c r="O19" i="5" s="1"/>
  <c r="O21" i="2"/>
  <c r="O38" i="2" s="1"/>
  <c r="O51" i="2" s="1"/>
  <c r="O64" i="2" s="1"/>
  <c r="O14" i="5"/>
  <c r="J25" i="3" l="1"/>
  <c r="K61" i="3"/>
  <c r="K65" i="3" s="1"/>
  <c r="K66" i="3"/>
  <c r="L60" i="3" s="1"/>
  <c r="K24" i="3"/>
  <c r="K3" i="5" s="1"/>
  <c r="J62" i="3"/>
  <c r="H38" i="3"/>
  <c r="G26" i="3"/>
  <c r="L49" i="3"/>
  <c r="L53" i="3" s="1"/>
  <c r="L54" i="3"/>
  <c r="M48" i="3" s="1"/>
  <c r="K50" i="3"/>
  <c r="I41" i="3"/>
  <c r="AK60" i="2"/>
  <c r="AK61" i="2"/>
  <c r="AL56" i="2" s="1"/>
  <c r="J41" i="3"/>
  <c r="K37" i="3"/>
  <c r="K42" i="3"/>
  <c r="L36" i="3" s="1"/>
  <c r="L24" i="3" s="1"/>
  <c r="L3" i="5" s="1"/>
  <c r="G48" i="2"/>
  <c r="DF28" i="5"/>
  <c r="DE14" i="5"/>
  <c r="E34" i="2"/>
  <c r="Q23" i="3"/>
  <c r="P1" i="5"/>
  <c r="P19" i="5" s="1"/>
  <c r="P21" i="2"/>
  <c r="P38" i="2" s="1"/>
  <c r="P51" i="2" s="1"/>
  <c r="P64" i="2" s="1"/>
  <c r="P14" i="5"/>
  <c r="L50" i="3" l="1"/>
  <c r="K25" i="3"/>
  <c r="K62" i="3"/>
  <c r="L66" i="3"/>
  <c r="M60" i="3" s="1"/>
  <c r="L61" i="3"/>
  <c r="I38" i="3"/>
  <c r="H26" i="3"/>
  <c r="H9" i="5"/>
  <c r="M54" i="3"/>
  <c r="N48" i="3" s="1"/>
  <c r="M49" i="3"/>
  <c r="M53" i="3" s="1"/>
  <c r="G9" i="5"/>
  <c r="AL55" i="2"/>
  <c r="K41" i="3"/>
  <c r="H43" i="2"/>
  <c r="H30" i="2" s="1"/>
  <c r="H42" i="2"/>
  <c r="H29" i="2" s="1"/>
  <c r="L37" i="3"/>
  <c r="L42" i="3"/>
  <c r="M36" i="3" s="1"/>
  <c r="E47" i="2"/>
  <c r="E44" i="2"/>
  <c r="DG28" i="5"/>
  <c r="DF14" i="5"/>
  <c r="Q1" i="5"/>
  <c r="Q19" i="5" s="1"/>
  <c r="R23" i="3"/>
  <c r="Q21" i="2"/>
  <c r="Q38" i="2" s="1"/>
  <c r="Q51" i="2" s="1"/>
  <c r="Q64" i="2" s="1"/>
  <c r="Q14" i="5"/>
  <c r="M24" i="3" l="1"/>
  <c r="M3" i="5" s="1"/>
  <c r="L62" i="3"/>
  <c r="L65" i="3"/>
  <c r="M61" i="3"/>
  <c r="M66" i="3"/>
  <c r="N60" i="3" s="1"/>
  <c r="L25" i="3"/>
  <c r="I26" i="3"/>
  <c r="J38" i="3"/>
  <c r="N49" i="3"/>
  <c r="N53" i="3" s="1"/>
  <c r="N54" i="3"/>
  <c r="O48" i="3" s="1"/>
  <c r="O49" i="3" s="1"/>
  <c r="M50" i="3"/>
  <c r="AL61" i="2"/>
  <c r="AM56" i="2" s="1"/>
  <c r="AL60" i="2"/>
  <c r="L41" i="3"/>
  <c r="M37" i="3"/>
  <c r="M42" i="3"/>
  <c r="N36" i="3" s="1"/>
  <c r="H48" i="2"/>
  <c r="DH28" i="5"/>
  <c r="DG14" i="5"/>
  <c r="F34" i="2"/>
  <c r="R1" i="5"/>
  <c r="R19" i="5" s="1"/>
  <c r="S23" i="3"/>
  <c r="F33" i="2"/>
  <c r="R21" i="2"/>
  <c r="R38" i="2" s="1"/>
  <c r="R51" i="2" s="1"/>
  <c r="R64" i="2" s="1"/>
  <c r="F35" i="2"/>
  <c r="R14" i="5"/>
  <c r="N61" i="3" l="1"/>
  <c r="N66" i="3"/>
  <c r="O60" i="3" s="1"/>
  <c r="M62" i="3"/>
  <c r="M65" i="3"/>
  <c r="N24" i="3"/>
  <c r="N3" i="5" s="1"/>
  <c r="N50" i="3"/>
  <c r="M25" i="3"/>
  <c r="J26" i="3"/>
  <c r="K38" i="3"/>
  <c r="O54" i="3"/>
  <c r="P48" i="3" s="1"/>
  <c r="O53" i="3"/>
  <c r="AM55" i="2"/>
  <c r="M41" i="3"/>
  <c r="I43" i="2"/>
  <c r="I30" i="2" s="1"/>
  <c r="I42" i="2"/>
  <c r="I29" i="2" s="1"/>
  <c r="N37" i="3"/>
  <c r="N25" i="3" s="1"/>
  <c r="N42" i="3"/>
  <c r="O36" i="3" s="1"/>
  <c r="DI28" i="5"/>
  <c r="DH14" i="5"/>
  <c r="T23" i="3"/>
  <c r="S1" i="5"/>
  <c r="S19" i="5" s="1"/>
  <c r="G34" i="2"/>
  <c r="S21" i="2"/>
  <c r="S38" i="2" s="1"/>
  <c r="S51" i="2" s="1"/>
  <c r="S64" i="2" s="1"/>
  <c r="S14" i="5"/>
  <c r="O24" i="3" l="1"/>
  <c r="O3" i="5" s="1"/>
  <c r="O61" i="3"/>
  <c r="O65" i="3" s="1"/>
  <c r="O66" i="3"/>
  <c r="P60" i="3" s="1"/>
  <c r="N62" i="3"/>
  <c r="O62" i="3" s="1"/>
  <c r="N65" i="3"/>
  <c r="K26" i="3"/>
  <c r="L38" i="3"/>
  <c r="P49" i="3"/>
  <c r="P53" i="3" s="1"/>
  <c r="P54" i="3"/>
  <c r="Q48" i="3" s="1"/>
  <c r="O50" i="3"/>
  <c r="AM61" i="2"/>
  <c r="AN56" i="2" s="1"/>
  <c r="AM60" i="2"/>
  <c r="N41" i="3"/>
  <c r="O25" i="3"/>
  <c r="O42" i="3"/>
  <c r="P36" i="3" s="1"/>
  <c r="P24" i="3" s="1"/>
  <c r="P3" i="5" s="1"/>
  <c r="I48" i="2"/>
  <c r="J43" i="2" s="1"/>
  <c r="J30" i="2" s="1"/>
  <c r="F47" i="2"/>
  <c r="F44" i="2"/>
  <c r="DJ28" i="5"/>
  <c r="DI14" i="5"/>
  <c r="T1" i="5"/>
  <c r="T19" i="5" s="1"/>
  <c r="U23" i="3"/>
  <c r="T21" i="2"/>
  <c r="T38" i="2" s="1"/>
  <c r="T51" i="2" s="1"/>
  <c r="T64" i="2" s="1"/>
  <c r="G33" i="2"/>
  <c r="G35" i="2"/>
  <c r="T14" i="5"/>
  <c r="P50" i="3" l="1"/>
  <c r="P66" i="3"/>
  <c r="Q60" i="3" s="1"/>
  <c r="P61" i="3"/>
  <c r="L26" i="3"/>
  <c r="M38" i="3"/>
  <c r="Q54" i="3"/>
  <c r="R48" i="3" s="1"/>
  <c r="Q49" i="3"/>
  <c r="Q53" i="3" s="1"/>
  <c r="AN55" i="2"/>
  <c r="O41" i="3"/>
  <c r="P37" i="3"/>
  <c r="P42" i="3"/>
  <c r="Q36" i="3" s="1"/>
  <c r="Q24" i="3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AU3" i="5" s="1"/>
  <c r="AV3" i="5" s="1"/>
  <c r="AW3" i="5" s="1"/>
  <c r="AX3" i="5" s="1"/>
  <c r="AY3" i="5" s="1"/>
  <c r="AZ3" i="5" s="1"/>
  <c r="BA3" i="5" s="1"/>
  <c r="BB3" i="5" s="1"/>
  <c r="BC3" i="5" s="1"/>
  <c r="BD3" i="5" s="1"/>
  <c r="BE3" i="5" s="1"/>
  <c r="BF3" i="5" s="1"/>
  <c r="BG3" i="5" s="1"/>
  <c r="BH3" i="5" s="1"/>
  <c r="BI3" i="5" s="1"/>
  <c r="BJ3" i="5" s="1"/>
  <c r="BK3" i="5" s="1"/>
  <c r="BL3" i="5" s="1"/>
  <c r="BM3" i="5" s="1"/>
  <c r="BN3" i="5" s="1"/>
  <c r="BO3" i="5" s="1"/>
  <c r="BP3" i="5" s="1"/>
  <c r="BQ3" i="5" s="1"/>
  <c r="BR3" i="5" s="1"/>
  <c r="BS3" i="5" s="1"/>
  <c r="BT3" i="5" s="1"/>
  <c r="BU3" i="5" s="1"/>
  <c r="BV3" i="5" s="1"/>
  <c r="BW3" i="5" s="1"/>
  <c r="BX3" i="5" s="1"/>
  <c r="BY3" i="5" s="1"/>
  <c r="BZ3" i="5" s="1"/>
  <c r="CA3" i="5" s="1"/>
  <c r="CB3" i="5" s="1"/>
  <c r="CC3" i="5" s="1"/>
  <c r="CD3" i="5" s="1"/>
  <c r="CE3" i="5" s="1"/>
  <c r="CF3" i="5" s="1"/>
  <c r="CG3" i="5" s="1"/>
  <c r="CH3" i="5" s="1"/>
  <c r="CI3" i="5" s="1"/>
  <c r="CJ3" i="5" s="1"/>
  <c r="CK3" i="5" s="1"/>
  <c r="CL3" i="5" s="1"/>
  <c r="CM3" i="5" s="1"/>
  <c r="CN3" i="5" s="1"/>
  <c r="CO3" i="5" s="1"/>
  <c r="CP3" i="5" s="1"/>
  <c r="CQ3" i="5" s="1"/>
  <c r="CR3" i="5" s="1"/>
  <c r="CS3" i="5" s="1"/>
  <c r="CT3" i="5" s="1"/>
  <c r="CU3" i="5" s="1"/>
  <c r="CV3" i="5" s="1"/>
  <c r="CW3" i="5" s="1"/>
  <c r="CX3" i="5" s="1"/>
  <c r="CY3" i="5" s="1"/>
  <c r="CZ3" i="5" s="1"/>
  <c r="DA3" i="5" s="1"/>
  <c r="J42" i="2"/>
  <c r="J29" i="2" s="1"/>
  <c r="H34" i="2"/>
  <c r="DK28" i="5"/>
  <c r="DJ14" i="5"/>
  <c r="V23" i="3"/>
  <c r="U1" i="5"/>
  <c r="U19" i="5" s="1"/>
  <c r="U21" i="2"/>
  <c r="U38" i="2" s="1"/>
  <c r="U51" i="2" s="1"/>
  <c r="U64" i="2" s="1"/>
  <c r="U14" i="5"/>
  <c r="P62" i="3" l="1"/>
  <c r="P65" i="3"/>
  <c r="Q66" i="3"/>
  <c r="R60" i="3" s="1"/>
  <c r="Q61" i="3"/>
  <c r="M26" i="3"/>
  <c r="N38" i="3"/>
  <c r="Q50" i="3"/>
  <c r="R54" i="3"/>
  <c r="S48" i="3" s="1"/>
  <c r="R49" i="3"/>
  <c r="R53" i="3" s="1"/>
  <c r="AN61" i="2"/>
  <c r="AN60" i="2"/>
  <c r="P25" i="3"/>
  <c r="P41" i="3"/>
  <c r="Q37" i="3"/>
  <c r="Q42" i="3"/>
  <c r="R36" i="3" s="1"/>
  <c r="R24" i="3" s="1"/>
  <c r="G44" i="2"/>
  <c r="G47" i="2"/>
  <c r="DL28" i="5"/>
  <c r="DK14" i="5"/>
  <c r="DB3" i="5"/>
  <c r="I28" i="3"/>
  <c r="I30" i="3"/>
  <c r="V1" i="5"/>
  <c r="V19" i="5" s="1"/>
  <c r="W23" i="3"/>
  <c r="V21" i="2"/>
  <c r="V38" i="2" s="1"/>
  <c r="V51" i="2" s="1"/>
  <c r="V64" i="2" s="1"/>
  <c r="V14" i="5"/>
  <c r="Q25" i="3" l="1"/>
  <c r="Q62" i="3"/>
  <c r="Q65" i="3"/>
  <c r="R66" i="3"/>
  <c r="S60" i="3" s="1"/>
  <c r="R61" i="3"/>
  <c r="N26" i="3"/>
  <c r="O38" i="3"/>
  <c r="AO55" i="2"/>
  <c r="AO61" i="2" s="1"/>
  <c r="AO56" i="2"/>
  <c r="S54" i="3"/>
  <c r="T48" i="3" s="1"/>
  <c r="R50" i="3"/>
  <c r="Q41" i="3"/>
  <c r="R37" i="3"/>
  <c r="R42" i="3"/>
  <c r="S36" i="3" s="1"/>
  <c r="DM28" i="5"/>
  <c r="DL14" i="5"/>
  <c r="DC3" i="5"/>
  <c r="J28" i="3"/>
  <c r="I4" i="5"/>
  <c r="X23" i="3"/>
  <c r="W1" i="5"/>
  <c r="W19" i="5" s="1"/>
  <c r="W21" i="2"/>
  <c r="W38" i="2" s="1"/>
  <c r="W51" i="2" s="1"/>
  <c r="W64" i="2" s="1"/>
  <c r="H33" i="2"/>
  <c r="H35" i="2"/>
  <c r="W14" i="5"/>
  <c r="R62" i="3" l="1"/>
  <c r="R65" i="3"/>
  <c r="R25" i="3"/>
  <c r="S66" i="3"/>
  <c r="T60" i="3" s="1"/>
  <c r="O26" i="3"/>
  <c r="P38" i="3"/>
  <c r="AO60" i="2"/>
  <c r="S49" i="3"/>
  <c r="S53" i="3" s="1"/>
  <c r="T49" i="3"/>
  <c r="T53" i="3" s="1"/>
  <c r="T54" i="3"/>
  <c r="U48" i="3" s="1"/>
  <c r="S24" i="3"/>
  <c r="R41" i="3"/>
  <c r="S42" i="3"/>
  <c r="T36" i="3" s="1"/>
  <c r="I34" i="2"/>
  <c r="DN28" i="5"/>
  <c r="DO28" i="5" s="1"/>
  <c r="DM14" i="5"/>
  <c r="DD3" i="5"/>
  <c r="J4" i="5"/>
  <c r="I29" i="3"/>
  <c r="J30" i="3"/>
  <c r="I22" i="5"/>
  <c r="I5" i="5" s="1"/>
  <c r="Y23" i="3"/>
  <c r="X1" i="5"/>
  <c r="X19" i="5" s="1"/>
  <c r="X21" i="2"/>
  <c r="X38" i="2" s="1"/>
  <c r="X51" i="2" s="1"/>
  <c r="X64" i="2" s="1"/>
  <c r="X14" i="5"/>
  <c r="T61" i="3" l="1"/>
  <c r="T65" i="3" s="1"/>
  <c r="T66" i="3"/>
  <c r="U60" i="3" s="1"/>
  <c r="T24" i="3"/>
  <c r="S61" i="3"/>
  <c r="P26" i="3"/>
  <c r="Q38" i="3"/>
  <c r="I7" i="5"/>
  <c r="J21" i="5"/>
  <c r="J22" i="5" s="1"/>
  <c r="J5" i="5" s="1"/>
  <c r="J7" i="5" s="1"/>
  <c r="DO14" i="5"/>
  <c r="DP28" i="5"/>
  <c r="S50" i="3"/>
  <c r="T50" i="3" s="1"/>
  <c r="U49" i="3"/>
  <c r="U53" i="3" s="1"/>
  <c r="U54" i="3"/>
  <c r="V48" i="3" s="1"/>
  <c r="S37" i="3"/>
  <c r="T37" i="3"/>
  <c r="T42" i="3"/>
  <c r="U36" i="3" s="1"/>
  <c r="U24" i="3" s="1"/>
  <c r="H44" i="2"/>
  <c r="H47" i="2"/>
  <c r="DN14" i="5"/>
  <c r="DE3" i="5"/>
  <c r="I6" i="5"/>
  <c r="I9" i="5"/>
  <c r="J29" i="3"/>
  <c r="Z23" i="3"/>
  <c r="Y1" i="5"/>
  <c r="Y19" i="5" s="1"/>
  <c r="Y21" i="2"/>
  <c r="Y38" i="2" s="1"/>
  <c r="Y51" i="2" s="1"/>
  <c r="Y64" i="2" s="1"/>
  <c r="Y14" i="5"/>
  <c r="T25" i="3" l="1"/>
  <c r="S62" i="3"/>
  <c r="T62" i="3" s="1"/>
  <c r="S65" i="3"/>
  <c r="U50" i="3"/>
  <c r="S25" i="3"/>
  <c r="U61" i="3"/>
  <c r="U65" i="3" s="1"/>
  <c r="U66" i="3"/>
  <c r="V60" i="3" s="1"/>
  <c r="Q26" i="3"/>
  <c r="R38" i="3"/>
  <c r="R26" i="3" s="1"/>
  <c r="DP14" i="5"/>
  <c r="DQ28" i="5"/>
  <c r="DQ14" i="5" s="1"/>
  <c r="V54" i="3"/>
  <c r="W48" i="3" s="1"/>
  <c r="S41" i="3"/>
  <c r="T41" i="3"/>
  <c r="U37" i="3"/>
  <c r="U25" i="3" s="1"/>
  <c r="U42" i="3"/>
  <c r="V36" i="3" s="1"/>
  <c r="DF3" i="5"/>
  <c r="J6" i="5"/>
  <c r="Z1" i="5"/>
  <c r="Z19" i="5" s="1"/>
  <c r="AA23" i="3"/>
  <c r="Z21" i="2"/>
  <c r="Z38" i="2" s="1"/>
  <c r="Z51" i="2" s="1"/>
  <c r="Z64" i="2" s="1"/>
  <c r="I33" i="2"/>
  <c r="I35" i="2"/>
  <c r="Z14" i="5"/>
  <c r="V66" i="3" l="1"/>
  <c r="W60" i="3" s="1"/>
  <c r="U62" i="3"/>
  <c r="S38" i="3"/>
  <c r="W49" i="3"/>
  <c r="W53" i="3" s="1"/>
  <c r="W54" i="3"/>
  <c r="X48" i="3" s="1"/>
  <c r="V49" i="3"/>
  <c r="V24" i="3"/>
  <c r="U41" i="3"/>
  <c r="V42" i="3"/>
  <c r="W36" i="3" s="1"/>
  <c r="W24" i="3" s="1"/>
  <c r="DG3" i="5"/>
  <c r="J9" i="5"/>
  <c r="AB23" i="3"/>
  <c r="AA1" i="5"/>
  <c r="AA19" i="5" s="1"/>
  <c r="AA21" i="2"/>
  <c r="AA38" i="2" s="1"/>
  <c r="AA51" i="2" s="1"/>
  <c r="AA64" i="2" s="1"/>
  <c r="AA14" i="5"/>
  <c r="V61" i="3" l="1"/>
  <c r="V65" i="3" s="1"/>
  <c r="W61" i="3"/>
  <c r="W65" i="3" s="1"/>
  <c r="W66" i="3"/>
  <c r="X60" i="3" s="1"/>
  <c r="S26" i="3"/>
  <c r="T38" i="3"/>
  <c r="V53" i="3"/>
  <c r="V50" i="3"/>
  <c r="W50" i="3" s="1"/>
  <c r="X49" i="3"/>
  <c r="X53" i="3" s="1"/>
  <c r="X54" i="3"/>
  <c r="Y48" i="3" s="1"/>
  <c r="V37" i="3"/>
  <c r="V25" i="3" s="1"/>
  <c r="W37" i="3"/>
  <c r="W25" i="3" s="1"/>
  <c r="W42" i="3"/>
  <c r="X36" i="3" s="1"/>
  <c r="I47" i="2"/>
  <c r="I44" i="2"/>
  <c r="DH3" i="5"/>
  <c r="K28" i="3"/>
  <c r="K30" i="3"/>
  <c r="AC23" i="3"/>
  <c r="AB1" i="5"/>
  <c r="AB19" i="5" s="1"/>
  <c r="AC21" i="2"/>
  <c r="AC38" i="2" s="1"/>
  <c r="AC51" i="2" s="1"/>
  <c r="AC64" i="2" s="1"/>
  <c r="AB21" i="2"/>
  <c r="AB38" i="2" s="1"/>
  <c r="AB51" i="2" s="1"/>
  <c r="AB64" i="2" s="1"/>
  <c r="AB14" i="5"/>
  <c r="V62" i="3" l="1"/>
  <c r="X61" i="3"/>
  <c r="X65" i="3" s="1"/>
  <c r="X66" i="3"/>
  <c r="Y60" i="3" s="1"/>
  <c r="X24" i="3"/>
  <c r="W62" i="3"/>
  <c r="V41" i="3"/>
  <c r="T26" i="3"/>
  <c r="U38" i="3"/>
  <c r="Y54" i="3"/>
  <c r="Z48" i="3" s="1"/>
  <c r="X50" i="3"/>
  <c r="W41" i="3"/>
  <c r="X37" i="3"/>
  <c r="X42" i="3"/>
  <c r="Y36" i="3" s="1"/>
  <c r="J46" i="2"/>
  <c r="K46" i="2" s="1"/>
  <c r="L46" i="2" s="1"/>
  <c r="M46" i="2" s="1"/>
  <c r="N46" i="2" s="1"/>
  <c r="O46" i="2" s="1"/>
  <c r="P46" i="2" s="1"/>
  <c r="Q46" i="2" s="1"/>
  <c r="R46" i="2" s="1"/>
  <c r="S46" i="2" s="1"/>
  <c r="T46" i="2" s="1"/>
  <c r="U46" i="2" s="1"/>
  <c r="V46" i="2" s="1"/>
  <c r="W46" i="2" s="1"/>
  <c r="X46" i="2" s="1"/>
  <c r="Y46" i="2" s="1"/>
  <c r="Z46" i="2" s="1"/>
  <c r="AA46" i="2" s="1"/>
  <c r="AB46" i="2" s="1"/>
  <c r="AC46" i="2" s="1"/>
  <c r="AD46" i="2" s="1"/>
  <c r="AE46" i="2" s="1"/>
  <c r="AF46" i="2" s="1"/>
  <c r="AG46" i="2" s="1"/>
  <c r="AH46" i="2" s="1"/>
  <c r="AI46" i="2" s="1"/>
  <c r="AJ46" i="2" s="1"/>
  <c r="AK46" i="2" s="1"/>
  <c r="AL46" i="2" s="1"/>
  <c r="AM46" i="2" s="1"/>
  <c r="AN46" i="2" s="1"/>
  <c r="AO46" i="2" s="1"/>
  <c r="J48" i="2"/>
  <c r="K43" i="2" s="1"/>
  <c r="K30" i="2" s="1"/>
  <c r="J34" i="2"/>
  <c r="DI3" i="5"/>
  <c r="K4" i="5"/>
  <c r="L28" i="3"/>
  <c r="AD23" i="3"/>
  <c r="AC1" i="5"/>
  <c r="AC19" i="5" s="1"/>
  <c r="J33" i="2"/>
  <c r="J35" i="2"/>
  <c r="AC14" i="5"/>
  <c r="X62" i="3" l="1"/>
  <c r="X25" i="3"/>
  <c r="Y66" i="3"/>
  <c r="Z60" i="3" s="1"/>
  <c r="U26" i="3"/>
  <c r="V38" i="3"/>
  <c r="Z49" i="3"/>
  <c r="Z53" i="3" s="1"/>
  <c r="Z54" i="3"/>
  <c r="AA48" i="3" s="1"/>
  <c r="Y49" i="3"/>
  <c r="Y53" i="3" s="1"/>
  <c r="Y24" i="3"/>
  <c r="X41" i="3"/>
  <c r="Y42" i="3"/>
  <c r="Z36" i="3" s="1"/>
  <c r="K34" i="2"/>
  <c r="K42" i="2"/>
  <c r="K29" i="2" s="1"/>
  <c r="DJ3" i="5"/>
  <c r="K22" i="5"/>
  <c r="K5" i="5" s="1"/>
  <c r="K7" i="5" s="1"/>
  <c r="L4" i="5"/>
  <c r="M28" i="3"/>
  <c r="K29" i="3"/>
  <c r="L30" i="3"/>
  <c r="AD1" i="5"/>
  <c r="AD19" i="5" s="1"/>
  <c r="AE23" i="3"/>
  <c r="AD14" i="5"/>
  <c r="Y61" i="3" l="1"/>
  <c r="Z61" i="3"/>
  <c r="Z65" i="3" s="1"/>
  <c r="Z66" i="3"/>
  <c r="AA60" i="3" s="1"/>
  <c r="Z24" i="3"/>
  <c r="V26" i="3"/>
  <c r="W38" i="3"/>
  <c r="AA49" i="3"/>
  <c r="AA53" i="3" s="1"/>
  <c r="AA54" i="3"/>
  <c r="AB48" i="3" s="1"/>
  <c r="Y50" i="3"/>
  <c r="Z50" i="3" s="1"/>
  <c r="Y37" i="3"/>
  <c r="K48" i="2"/>
  <c r="L43" i="2" s="1"/>
  <c r="L30" i="2" s="1"/>
  <c r="Z37" i="3"/>
  <c r="Z25" i="3" s="1"/>
  <c r="Z42" i="3"/>
  <c r="AA36" i="3" s="1"/>
  <c r="J47" i="2"/>
  <c r="J44" i="2"/>
  <c r="DK3" i="5"/>
  <c r="K6" i="5"/>
  <c r="M30" i="3"/>
  <c r="L29" i="3"/>
  <c r="N28" i="3"/>
  <c r="N4" i="5" s="1"/>
  <c r="M4" i="5"/>
  <c r="K9" i="5"/>
  <c r="L22" i="5"/>
  <c r="L5" i="5" s="1"/>
  <c r="AF23" i="3"/>
  <c r="AE1" i="5"/>
  <c r="AE19" i="5" s="1"/>
  <c r="AE14" i="5"/>
  <c r="AA24" i="3" l="1"/>
  <c r="Y25" i="3"/>
  <c r="AA61" i="3"/>
  <c r="AA65" i="3" s="1"/>
  <c r="AA66" i="3"/>
  <c r="AB60" i="3" s="1"/>
  <c r="Y65" i="3"/>
  <c r="Y62" i="3"/>
  <c r="Z62" i="3" s="1"/>
  <c r="W26" i="3"/>
  <c r="X38" i="3"/>
  <c r="X26" i="3" s="1"/>
  <c r="L7" i="5"/>
  <c r="M21" i="5"/>
  <c r="M22" i="5" s="1"/>
  <c r="M5" i="5" s="1"/>
  <c r="M7" i="5" s="1"/>
  <c r="Y41" i="3"/>
  <c r="AA50" i="3"/>
  <c r="AB54" i="3"/>
  <c r="AC48" i="3" s="1"/>
  <c r="L42" i="2"/>
  <c r="L29" i="2" s="1"/>
  <c r="Z41" i="3"/>
  <c r="AA37" i="3"/>
  <c r="AA42" i="3"/>
  <c r="AB36" i="3" s="1"/>
  <c r="L48" i="2"/>
  <c r="M43" i="2" s="1"/>
  <c r="M30" i="2" s="1"/>
  <c r="DL3" i="5"/>
  <c r="M29" i="3"/>
  <c r="L6" i="5"/>
  <c r="N30" i="3"/>
  <c r="N29" i="3"/>
  <c r="AF1" i="5"/>
  <c r="AF19" i="5" s="1"/>
  <c r="AG23" i="3"/>
  <c r="K33" i="2"/>
  <c r="K35" i="2"/>
  <c r="AF14" i="5"/>
  <c r="Y38" i="3" l="1"/>
  <c r="Y26" i="3" s="1"/>
  <c r="AB24" i="3"/>
  <c r="AA62" i="3"/>
  <c r="AA25" i="3"/>
  <c r="AB66" i="3"/>
  <c r="AC60" i="3" s="1"/>
  <c r="AC49" i="3"/>
  <c r="AC53" i="3" s="1"/>
  <c r="AC54" i="3"/>
  <c r="AD48" i="3" s="1"/>
  <c r="AB49" i="3"/>
  <c r="AB53" i="3" s="1"/>
  <c r="AA41" i="3"/>
  <c r="M42" i="2"/>
  <c r="M29" i="2" s="1"/>
  <c r="AB42" i="3"/>
  <c r="AC36" i="3" s="1"/>
  <c r="DM3" i="5"/>
  <c r="M9" i="5"/>
  <c r="L9" i="5"/>
  <c r="N22" i="5"/>
  <c r="N5" i="5" s="1"/>
  <c r="M6" i="5"/>
  <c r="L34" i="2"/>
  <c r="AG1" i="5"/>
  <c r="AG19" i="5" s="1"/>
  <c r="AH23" i="3"/>
  <c r="AG14" i="5"/>
  <c r="Z38" i="3" l="1"/>
  <c r="AC24" i="3"/>
  <c r="AB61" i="3"/>
  <c r="AB65" i="3" s="1"/>
  <c r="AC61" i="3"/>
  <c r="AC65" i="3" s="1"/>
  <c r="AC66" i="3"/>
  <c r="AD60" i="3" s="1"/>
  <c r="AB50" i="3"/>
  <c r="AC50" i="3" s="1"/>
  <c r="AD49" i="3"/>
  <c r="AD53" i="3" s="1"/>
  <c r="AD54" i="3"/>
  <c r="AE48" i="3" s="1"/>
  <c r="M48" i="2"/>
  <c r="N43" i="2" s="1"/>
  <c r="N30" i="2" s="1"/>
  <c r="AB37" i="3"/>
  <c r="AC37" i="3"/>
  <c r="AC42" i="3"/>
  <c r="AD36" i="3" s="1"/>
  <c r="AD24" i="3" s="1"/>
  <c r="K44" i="2"/>
  <c r="K47" i="2"/>
  <c r="DN3" i="5"/>
  <c r="DO3" i="5" s="1"/>
  <c r="DP3" i="5" s="1"/>
  <c r="DQ3" i="5" s="1"/>
  <c r="N9" i="5"/>
  <c r="N7" i="5"/>
  <c r="N6" i="5"/>
  <c r="AH1" i="5"/>
  <c r="AH19" i="5" s="1"/>
  <c r="AI23" i="3"/>
  <c r="AH14" i="5"/>
  <c r="Z26" i="3" l="1"/>
  <c r="AA38" i="3"/>
  <c r="AA26" i="3" s="1"/>
  <c r="AB62" i="3"/>
  <c r="AC25" i="3"/>
  <c r="AB25" i="3"/>
  <c r="AC62" i="3"/>
  <c r="AD61" i="3"/>
  <c r="AD65" i="3" s="1"/>
  <c r="AD66" i="3"/>
  <c r="AE60" i="3" s="1"/>
  <c r="N42" i="2"/>
  <c r="N29" i="2" s="1"/>
  <c r="AE54" i="3"/>
  <c r="AF48" i="3" s="1"/>
  <c r="AD50" i="3"/>
  <c r="AB38" i="3"/>
  <c r="AB41" i="3"/>
  <c r="AC41" i="3"/>
  <c r="AD37" i="3"/>
  <c r="AD25" i="3" s="1"/>
  <c r="AD42" i="3"/>
  <c r="AE36" i="3" s="1"/>
  <c r="N48" i="2"/>
  <c r="AJ23" i="3"/>
  <c r="AI1" i="5"/>
  <c r="AI19" i="5" s="1"/>
  <c r="L33" i="2"/>
  <c r="L35" i="2"/>
  <c r="AI14" i="5"/>
  <c r="AD62" i="3" l="1"/>
  <c r="AE66" i="3"/>
  <c r="AF60" i="3" s="1"/>
  <c r="AE61" i="3"/>
  <c r="AE65" i="3" s="1"/>
  <c r="AE24" i="3"/>
  <c r="AE49" i="3"/>
  <c r="AE53" i="3" s="1"/>
  <c r="AC38" i="3"/>
  <c r="AC26" i="3" s="1"/>
  <c r="AB26" i="3"/>
  <c r="AF49" i="3"/>
  <c r="AF53" i="3" s="1"/>
  <c r="AF54" i="3"/>
  <c r="AG48" i="3" s="1"/>
  <c r="AD41" i="3"/>
  <c r="O43" i="2"/>
  <c r="O30" i="2" s="1"/>
  <c r="O42" i="2"/>
  <c r="O29" i="2" s="1"/>
  <c r="AE42" i="3"/>
  <c r="AF36" i="3" s="1"/>
  <c r="AF24" i="3" s="1"/>
  <c r="AJ1" i="5"/>
  <c r="AJ19" i="5" s="1"/>
  <c r="AK23" i="3"/>
  <c r="AJ14" i="5"/>
  <c r="AD38" i="3" l="1"/>
  <c r="AD26" i="3" s="1"/>
  <c r="AE62" i="3"/>
  <c r="AF61" i="3"/>
  <c r="AF65" i="3" s="1"/>
  <c r="AF66" i="3"/>
  <c r="AG60" i="3" s="1"/>
  <c r="AG49" i="3"/>
  <c r="AG53" i="3" s="1"/>
  <c r="AG54" i="3"/>
  <c r="AH48" i="3" s="1"/>
  <c r="AE50" i="3"/>
  <c r="AF50" i="3" s="1"/>
  <c r="AF37" i="3"/>
  <c r="AF25" i="3" s="1"/>
  <c r="AF42" i="3"/>
  <c r="AG36" i="3" s="1"/>
  <c r="O48" i="2"/>
  <c r="AE37" i="3"/>
  <c r="AE25" i="3" s="1"/>
  <c r="L47" i="2"/>
  <c r="L44" i="2"/>
  <c r="M34" i="2"/>
  <c r="AL23" i="3"/>
  <c r="AK1" i="5"/>
  <c r="AK19" i="5" s="1"/>
  <c r="AK14" i="5"/>
  <c r="AF62" i="3" l="1"/>
  <c r="AG61" i="3"/>
  <c r="AG65" i="3" s="1"/>
  <c r="AG66" i="3"/>
  <c r="AH60" i="3" s="1"/>
  <c r="AG24" i="3"/>
  <c r="AG50" i="3"/>
  <c r="AH54" i="3"/>
  <c r="AI48" i="3" s="1"/>
  <c r="AF41" i="3"/>
  <c r="P43" i="2"/>
  <c r="P30" i="2" s="1"/>
  <c r="P42" i="2"/>
  <c r="P29" i="2" s="1"/>
  <c r="AG37" i="3"/>
  <c r="AG42" i="3"/>
  <c r="AH36" i="3" s="1"/>
  <c r="AE41" i="3"/>
  <c r="AE38" i="3"/>
  <c r="AL1" i="5"/>
  <c r="AL19" i="5" s="1"/>
  <c r="AM23" i="3"/>
  <c r="M33" i="2"/>
  <c r="M35" i="2"/>
  <c r="AL14" i="5"/>
  <c r="AG25" i="3" l="1"/>
  <c r="AG62" i="3"/>
  <c r="AH66" i="3"/>
  <c r="AI60" i="3" s="1"/>
  <c r="AH61" i="3"/>
  <c r="AH65" i="3" s="1"/>
  <c r="AH24" i="3"/>
  <c r="AF38" i="3"/>
  <c r="AF26" i="3" s="1"/>
  <c r="AE26" i="3"/>
  <c r="AI49" i="3"/>
  <c r="AI53" i="3" s="1"/>
  <c r="AI54" i="3"/>
  <c r="AJ48" i="3" s="1"/>
  <c r="AH49" i="3"/>
  <c r="AG41" i="3"/>
  <c r="AH42" i="3"/>
  <c r="AI36" i="3" s="1"/>
  <c r="AI24" i="3" s="1"/>
  <c r="P48" i="2"/>
  <c r="AN23" i="3"/>
  <c r="AM1" i="5"/>
  <c r="AM19" i="5" s="1"/>
  <c r="AM14" i="5"/>
  <c r="AH62" i="3" l="1"/>
  <c r="AI61" i="3"/>
  <c r="AI65" i="3" s="1"/>
  <c r="AI66" i="3"/>
  <c r="AJ60" i="3" s="1"/>
  <c r="AG38" i="3"/>
  <c r="AG26" i="3" s="1"/>
  <c r="AH53" i="3"/>
  <c r="AH50" i="3"/>
  <c r="AI50" i="3" s="1"/>
  <c r="AJ49" i="3"/>
  <c r="AJ53" i="3" s="1"/>
  <c r="AJ54" i="3"/>
  <c r="AK48" i="3" s="1"/>
  <c r="Q43" i="2"/>
  <c r="Q30" i="2" s="1"/>
  <c r="Q42" i="2"/>
  <c r="Q29" i="2" s="1"/>
  <c r="AI37" i="3"/>
  <c r="AI42" i="3"/>
  <c r="AJ36" i="3" s="1"/>
  <c r="AH37" i="3"/>
  <c r="AH25" i="3" s="1"/>
  <c r="M47" i="2"/>
  <c r="M44" i="2"/>
  <c r="O28" i="3"/>
  <c r="O30" i="3"/>
  <c r="N34" i="2"/>
  <c r="AO23" i="3"/>
  <c r="AN1" i="5"/>
  <c r="AN19" i="5" s="1"/>
  <c r="AN14" i="5"/>
  <c r="AJ61" i="3" l="1"/>
  <c r="AJ65" i="3" s="1"/>
  <c r="AJ66" i="3"/>
  <c r="AK60" i="3" s="1"/>
  <c r="AJ24" i="3"/>
  <c r="AI25" i="3"/>
  <c r="AI62" i="3"/>
  <c r="AJ62" i="3" s="1"/>
  <c r="AJ50" i="3"/>
  <c r="AK54" i="3"/>
  <c r="AL48" i="3" s="1"/>
  <c r="AI41" i="3"/>
  <c r="Q48" i="2"/>
  <c r="AH41" i="3"/>
  <c r="AH38" i="3"/>
  <c r="AJ37" i="3"/>
  <c r="AJ25" i="3" s="1"/>
  <c r="AJ42" i="3"/>
  <c r="AK36" i="3" s="1"/>
  <c r="P28" i="3"/>
  <c r="O4" i="5"/>
  <c r="AP23" i="3"/>
  <c r="AO1" i="5"/>
  <c r="AO19" i="5" s="1"/>
  <c r="N33" i="2"/>
  <c r="N35" i="2"/>
  <c r="AO14" i="5"/>
  <c r="AK24" i="3" l="1"/>
  <c r="AK66" i="3"/>
  <c r="AL60" i="3" s="1"/>
  <c r="AI38" i="3"/>
  <c r="AI26" i="3" s="1"/>
  <c r="AH26" i="3"/>
  <c r="AL49" i="3"/>
  <c r="AL53" i="3" s="1"/>
  <c r="AL54" i="3"/>
  <c r="AM48" i="3" s="1"/>
  <c r="AK49" i="3"/>
  <c r="AK53" i="3" s="1"/>
  <c r="AJ41" i="3"/>
  <c r="AK42" i="3"/>
  <c r="AL36" i="3" s="1"/>
  <c r="R43" i="2"/>
  <c r="R30" i="2" s="1"/>
  <c r="R42" i="2"/>
  <c r="R29" i="2" s="1"/>
  <c r="AJ38" i="3"/>
  <c r="AJ26" i="3" s="1"/>
  <c r="O34" i="2"/>
  <c r="P4" i="5"/>
  <c r="Q28" i="3"/>
  <c r="O29" i="3"/>
  <c r="P30" i="3"/>
  <c r="O22" i="5"/>
  <c r="O5" i="5" s="1"/>
  <c r="AQ23" i="3"/>
  <c r="AP1" i="5"/>
  <c r="AP19" i="5" s="1"/>
  <c r="AP14" i="5"/>
  <c r="AL24" i="3" l="1"/>
  <c r="AK61" i="3"/>
  <c r="AL61" i="3"/>
  <c r="AL65" i="3" s="1"/>
  <c r="AL66" i="3"/>
  <c r="AM60" i="3" s="1"/>
  <c r="O7" i="5"/>
  <c r="P21" i="5"/>
  <c r="P22" i="5" s="1"/>
  <c r="P5" i="5" s="1"/>
  <c r="P7" i="5" s="1"/>
  <c r="AK50" i="3"/>
  <c r="AL50" i="3" s="1"/>
  <c r="AM49" i="3"/>
  <c r="AM53" i="3" s="1"/>
  <c r="AM54" i="3"/>
  <c r="AN48" i="3" s="1"/>
  <c r="AK37" i="3"/>
  <c r="AK25" i="3" s="1"/>
  <c r="AL37" i="3"/>
  <c r="AL25" i="3" s="1"/>
  <c r="AL42" i="3"/>
  <c r="AM36" i="3" s="1"/>
  <c r="R48" i="2"/>
  <c r="N47" i="2"/>
  <c r="N44" i="2"/>
  <c r="P29" i="3"/>
  <c r="O6" i="5"/>
  <c r="Q30" i="3"/>
  <c r="Q4" i="5"/>
  <c r="R28" i="3"/>
  <c r="O9" i="5"/>
  <c r="AR23" i="3"/>
  <c r="AQ1" i="5"/>
  <c r="AQ19" i="5" s="1"/>
  <c r="AQ14" i="5"/>
  <c r="AM61" i="3" l="1"/>
  <c r="AM65" i="3" s="1"/>
  <c r="AM66" i="3"/>
  <c r="AN60" i="3" s="1"/>
  <c r="AM24" i="3"/>
  <c r="AK65" i="3"/>
  <c r="AK62" i="3"/>
  <c r="AL62" i="3" s="1"/>
  <c r="AM62" i="3" s="1"/>
  <c r="AN54" i="3"/>
  <c r="AO48" i="3" s="1"/>
  <c r="AM50" i="3"/>
  <c r="AL41" i="3"/>
  <c r="AK41" i="3"/>
  <c r="AK38" i="3"/>
  <c r="S43" i="2"/>
  <c r="S42" i="2"/>
  <c r="S29" i="2" s="1"/>
  <c r="AM37" i="3"/>
  <c r="AM25" i="3" s="1"/>
  <c r="AM42" i="3"/>
  <c r="AN36" i="3" s="1"/>
  <c r="AN24" i="3" s="1"/>
  <c r="Q29" i="3"/>
  <c r="P6" i="5"/>
  <c r="Q22" i="5"/>
  <c r="Q5" i="5" s="1"/>
  <c r="Q7" i="5" s="1"/>
  <c r="R30" i="3"/>
  <c r="S28" i="3"/>
  <c r="R4" i="5"/>
  <c r="AS23" i="3"/>
  <c r="AR1" i="5"/>
  <c r="AR19" i="5" s="1"/>
  <c r="O33" i="2"/>
  <c r="O35" i="2"/>
  <c r="AR14" i="5"/>
  <c r="AN66" i="3" l="1"/>
  <c r="AO60" i="3" s="1"/>
  <c r="AL38" i="3"/>
  <c r="AL26" i="3" s="1"/>
  <c r="AK26" i="3"/>
  <c r="AO49" i="3"/>
  <c r="AO53" i="3" s="1"/>
  <c r="AO54" i="3"/>
  <c r="AP48" i="3" s="1"/>
  <c r="AN49" i="3"/>
  <c r="AN53" i="3" s="1"/>
  <c r="AM41" i="3"/>
  <c r="S48" i="2"/>
  <c r="AN42" i="3"/>
  <c r="AO36" i="3" s="1"/>
  <c r="AM38" i="3"/>
  <c r="AM26" i="3" s="1"/>
  <c r="P34" i="2"/>
  <c r="R29" i="3"/>
  <c r="Q6" i="5"/>
  <c r="T28" i="3"/>
  <c r="S4" i="5"/>
  <c r="S30" i="3"/>
  <c r="P9" i="5"/>
  <c r="R22" i="5"/>
  <c r="R5" i="5" s="1"/>
  <c r="AT23" i="3"/>
  <c r="AS1" i="5"/>
  <c r="AS19" i="5" s="1"/>
  <c r="AS14" i="5"/>
  <c r="AO24" i="3" l="1"/>
  <c r="AN61" i="3"/>
  <c r="AO61" i="3"/>
  <c r="AO65" i="3" s="1"/>
  <c r="AO66" i="3"/>
  <c r="AP60" i="3" s="1"/>
  <c r="R7" i="5"/>
  <c r="S21" i="5"/>
  <c r="S22" i="5" s="1"/>
  <c r="S5" i="5" s="1"/>
  <c r="S7" i="5" s="1"/>
  <c r="AP49" i="3"/>
  <c r="AP53" i="3" s="1"/>
  <c r="AP54" i="3"/>
  <c r="AQ48" i="3" s="1"/>
  <c r="AN50" i="3"/>
  <c r="AO50" i="3" s="1"/>
  <c r="AN37" i="3"/>
  <c r="AN25" i="3" s="1"/>
  <c r="T43" i="2"/>
  <c r="T30" i="2" s="1"/>
  <c r="T42" i="2"/>
  <c r="T29" i="2" s="1"/>
  <c r="AO37" i="3"/>
  <c r="AO42" i="3"/>
  <c r="AP36" i="3" s="1"/>
  <c r="O44" i="2"/>
  <c r="O47" i="2"/>
  <c r="S29" i="3"/>
  <c r="R6" i="5"/>
  <c r="T30" i="3"/>
  <c r="Q9" i="5"/>
  <c r="T4" i="5"/>
  <c r="U28" i="3"/>
  <c r="AT1" i="5"/>
  <c r="AT19" i="5" s="1"/>
  <c r="AU23" i="3"/>
  <c r="AT14" i="5"/>
  <c r="AN65" i="3" l="1"/>
  <c r="AN62" i="3"/>
  <c r="AP24" i="3"/>
  <c r="AO25" i="3"/>
  <c r="AP50" i="3"/>
  <c r="AP61" i="3"/>
  <c r="AP65" i="3" s="1"/>
  <c r="AP66" i="3"/>
  <c r="AQ60" i="3" s="1"/>
  <c r="AO62" i="3"/>
  <c r="AP62" i="3" s="1"/>
  <c r="AQ54" i="3"/>
  <c r="AR48" i="3" s="1"/>
  <c r="AO41" i="3"/>
  <c r="AN41" i="3"/>
  <c r="AN38" i="3"/>
  <c r="AP37" i="3"/>
  <c r="AP42" i="3"/>
  <c r="AQ36" i="3" s="1"/>
  <c r="T48" i="2"/>
  <c r="T29" i="3"/>
  <c r="T22" i="5"/>
  <c r="T5" i="5" s="1"/>
  <c r="T7" i="5" s="1"/>
  <c r="R9" i="5"/>
  <c r="U30" i="3"/>
  <c r="U4" i="5"/>
  <c r="V28" i="3"/>
  <c r="S6" i="5"/>
  <c r="AV23" i="3"/>
  <c r="AU1" i="5"/>
  <c r="AU19" i="5" s="1"/>
  <c r="P33" i="2"/>
  <c r="P35" i="2"/>
  <c r="AU14" i="5"/>
  <c r="AP25" i="3" l="1"/>
  <c r="AQ24" i="3"/>
  <c r="AQ66" i="3"/>
  <c r="AR60" i="3" s="1"/>
  <c r="AQ61" i="3"/>
  <c r="AQ65" i="3" s="1"/>
  <c r="AO38" i="3"/>
  <c r="AO26" i="3" s="1"/>
  <c r="AN26" i="3"/>
  <c r="AR49" i="3"/>
  <c r="AR53" i="3" s="1"/>
  <c r="AR54" i="3"/>
  <c r="AS48" i="3" s="1"/>
  <c r="AQ49" i="3"/>
  <c r="AP41" i="3"/>
  <c r="AQ42" i="3"/>
  <c r="AR36" i="3" s="1"/>
  <c r="AR24" i="3" s="1"/>
  <c r="U43" i="2"/>
  <c r="U30" i="2" s="1"/>
  <c r="U42" i="2"/>
  <c r="U29" i="2" s="1"/>
  <c r="AP38" i="3"/>
  <c r="AP26" i="3" s="1"/>
  <c r="Q34" i="2"/>
  <c r="U29" i="3"/>
  <c r="T6" i="5"/>
  <c r="U22" i="5"/>
  <c r="U5" i="5" s="1"/>
  <c r="V30" i="3"/>
  <c r="V4" i="5"/>
  <c r="W28" i="3"/>
  <c r="S9" i="5"/>
  <c r="AV1" i="5"/>
  <c r="AV19" i="5" s="1"/>
  <c r="AW23" i="3"/>
  <c r="AV14" i="5"/>
  <c r="AQ62" i="3" l="1"/>
  <c r="AR61" i="3"/>
  <c r="AR65" i="3" s="1"/>
  <c r="AR66" i="3"/>
  <c r="AS60" i="3" s="1"/>
  <c r="U7" i="5"/>
  <c r="V21" i="5"/>
  <c r="AQ53" i="3"/>
  <c r="AQ50" i="3"/>
  <c r="AR50" i="3" s="1"/>
  <c r="AS49" i="3"/>
  <c r="AS53" i="3" s="1"/>
  <c r="AS54" i="3"/>
  <c r="AT48" i="3" s="1"/>
  <c r="AQ37" i="3"/>
  <c r="AQ25" i="3" s="1"/>
  <c r="U48" i="2"/>
  <c r="AR37" i="3"/>
  <c r="AR25" i="3" s="1"/>
  <c r="AR42" i="3"/>
  <c r="AS36" i="3" s="1"/>
  <c r="P44" i="2"/>
  <c r="P47" i="2"/>
  <c r="V29" i="3"/>
  <c r="U6" i="5"/>
  <c r="T9" i="5"/>
  <c r="X28" i="3"/>
  <c r="W4" i="5"/>
  <c r="V22" i="5"/>
  <c r="V5" i="5" s="1"/>
  <c r="V7" i="5" s="1"/>
  <c r="W30" i="3"/>
  <c r="AX23" i="3"/>
  <c r="AW1" i="5"/>
  <c r="AW19" i="5" s="1"/>
  <c r="AW14" i="5"/>
  <c r="AS24" i="3" l="1"/>
  <c r="AS61" i="3"/>
  <c r="AS65" i="3" s="1"/>
  <c r="AS66" i="3"/>
  <c r="AT60" i="3" s="1"/>
  <c r="AR62" i="3"/>
  <c r="AS62" i="3" s="1"/>
  <c r="AT54" i="3"/>
  <c r="AU48" i="3" s="1"/>
  <c r="AS50" i="3"/>
  <c r="W22" i="5"/>
  <c r="W5" i="5" s="1"/>
  <c r="AQ41" i="3"/>
  <c r="AR41" i="3"/>
  <c r="AQ38" i="3"/>
  <c r="V43" i="2"/>
  <c r="V30" i="2" s="1"/>
  <c r="V42" i="2"/>
  <c r="V29" i="2" s="1"/>
  <c r="AS37" i="3"/>
  <c r="AS42" i="3"/>
  <c r="AT36" i="3" s="1"/>
  <c r="W29" i="3"/>
  <c r="U9" i="5"/>
  <c r="X30" i="3"/>
  <c r="Y28" i="3"/>
  <c r="X4" i="5"/>
  <c r="V6" i="5"/>
  <c r="AX1" i="5"/>
  <c r="AX19" i="5" s="1"/>
  <c r="AY23" i="3"/>
  <c r="Q33" i="2"/>
  <c r="Q35" i="2"/>
  <c r="AX14" i="5"/>
  <c r="AS25" i="3" l="1"/>
  <c r="AT24" i="3"/>
  <c r="AT66" i="3"/>
  <c r="AU60" i="3" s="1"/>
  <c r="AT61" i="3"/>
  <c r="AT65" i="3" s="1"/>
  <c r="AR38" i="3"/>
  <c r="AR26" i="3" s="1"/>
  <c r="AQ26" i="3"/>
  <c r="AU49" i="3"/>
  <c r="AU53" i="3" s="1"/>
  <c r="AU54" i="3"/>
  <c r="AV48" i="3" s="1"/>
  <c r="AT49" i="3"/>
  <c r="AT53" i="3" s="1"/>
  <c r="W7" i="5"/>
  <c r="X22" i="5"/>
  <c r="X5" i="5" s="1"/>
  <c r="AS41" i="3"/>
  <c r="AS38" i="3"/>
  <c r="AS26" i="3" s="1"/>
  <c r="AT42" i="3"/>
  <c r="AU36" i="3" s="1"/>
  <c r="V48" i="2"/>
  <c r="R34" i="2"/>
  <c r="X29" i="3"/>
  <c r="Z28" i="3"/>
  <c r="Y4" i="5"/>
  <c r="Y30" i="3"/>
  <c r="V9" i="5"/>
  <c r="W6" i="5"/>
  <c r="AY1" i="5"/>
  <c r="AY19" i="5" s="1"/>
  <c r="AZ23" i="3"/>
  <c r="AY14" i="5"/>
  <c r="AU24" i="3" l="1"/>
  <c r="Y21" i="5"/>
  <c r="Y22" i="5" s="1"/>
  <c r="Y5" i="5" s="1"/>
  <c r="AU61" i="3"/>
  <c r="AU65" i="3" s="1"/>
  <c r="AU66" i="3"/>
  <c r="AV60" i="3" s="1"/>
  <c r="AT62" i="3"/>
  <c r="AV49" i="3"/>
  <c r="AV53" i="3" s="1"/>
  <c r="AV54" i="3"/>
  <c r="AW48" i="3" s="1"/>
  <c r="AT50" i="3"/>
  <c r="AU50" i="3" s="1"/>
  <c r="X7" i="5"/>
  <c r="AT37" i="3"/>
  <c r="AT25" i="3" s="1"/>
  <c r="W43" i="2"/>
  <c r="W30" i="2" s="1"/>
  <c r="W42" i="2"/>
  <c r="W29" i="2" s="1"/>
  <c r="AU37" i="3"/>
  <c r="AU42" i="3"/>
  <c r="AV36" i="3" s="1"/>
  <c r="Q47" i="2"/>
  <c r="Q44" i="2"/>
  <c r="Y29" i="3"/>
  <c r="X6" i="5"/>
  <c r="Z30" i="3"/>
  <c r="W9" i="5"/>
  <c r="Z4" i="5"/>
  <c r="AA28" i="3"/>
  <c r="AZ1" i="5"/>
  <c r="AZ19" i="5" s="1"/>
  <c r="BA23" i="3"/>
  <c r="AZ14" i="5"/>
  <c r="AV24" i="3" l="1"/>
  <c r="AU25" i="3"/>
  <c r="AU62" i="3"/>
  <c r="AV50" i="3"/>
  <c r="AV61" i="3"/>
  <c r="AV65" i="3" s="1"/>
  <c r="AV66" i="3"/>
  <c r="AW60" i="3" s="1"/>
  <c r="AV62" i="3"/>
  <c r="AW54" i="3"/>
  <c r="AX48" i="3" s="1"/>
  <c r="Y7" i="5"/>
  <c r="AU41" i="3"/>
  <c r="AT41" i="3"/>
  <c r="AT38" i="3"/>
  <c r="W48" i="2"/>
  <c r="AV37" i="3"/>
  <c r="AV25" i="3" s="1"/>
  <c r="AV42" i="3"/>
  <c r="AW36" i="3" s="1"/>
  <c r="AW24" i="3" s="1"/>
  <c r="Z29" i="3"/>
  <c r="Y6" i="5"/>
  <c r="AA4" i="5"/>
  <c r="AB28" i="3"/>
  <c r="Z22" i="5"/>
  <c r="Z5" i="5" s="1"/>
  <c r="AA30" i="3"/>
  <c r="X9" i="5"/>
  <c r="BB23" i="3"/>
  <c r="BA1" i="5"/>
  <c r="BA19" i="5" s="1"/>
  <c r="R33" i="2"/>
  <c r="R35" i="2"/>
  <c r="BA14" i="5"/>
  <c r="AW66" i="3" l="1"/>
  <c r="AX60" i="3" s="1"/>
  <c r="AU38" i="3"/>
  <c r="AU26" i="3" s="1"/>
  <c r="AT26" i="3"/>
  <c r="AX49" i="3"/>
  <c r="AX53" i="3" s="1"/>
  <c r="AX54" i="3"/>
  <c r="AY48" i="3" s="1"/>
  <c r="AW49" i="3"/>
  <c r="Z7" i="5"/>
  <c r="AA22" i="5"/>
  <c r="AA5" i="5" s="1"/>
  <c r="AB21" i="5" s="1"/>
  <c r="AV41" i="3"/>
  <c r="X43" i="2"/>
  <c r="X30" i="2" s="1"/>
  <c r="X42" i="2"/>
  <c r="X29" i="2" s="1"/>
  <c r="AW42" i="3"/>
  <c r="AX36" i="3" s="1"/>
  <c r="AX24" i="3" s="1"/>
  <c r="AA29" i="3"/>
  <c r="Z6" i="5"/>
  <c r="Y9" i="5"/>
  <c r="AC28" i="3"/>
  <c r="AB4" i="5"/>
  <c r="AB30" i="3"/>
  <c r="BB1" i="5"/>
  <c r="BB19" i="5" s="1"/>
  <c r="BC23" i="3"/>
  <c r="BB14" i="5"/>
  <c r="AW61" i="3" l="1"/>
  <c r="AW65" i="3" s="1"/>
  <c r="AX61" i="3"/>
  <c r="AX65" i="3" s="1"/>
  <c r="AX66" i="3"/>
  <c r="AY60" i="3" s="1"/>
  <c r="AW62" i="3"/>
  <c r="AX62" i="3" s="1"/>
  <c r="AV38" i="3"/>
  <c r="AV26" i="3" s="1"/>
  <c r="AW53" i="3"/>
  <c r="AW50" i="3"/>
  <c r="AX50" i="3" s="1"/>
  <c r="AY49" i="3"/>
  <c r="AY53" i="3" s="1"/>
  <c r="AY54" i="3"/>
  <c r="AZ48" i="3" s="1"/>
  <c r="AA7" i="5"/>
  <c r="AB22" i="5"/>
  <c r="AB5" i="5" s="1"/>
  <c r="X48" i="2"/>
  <c r="AX37" i="3"/>
  <c r="AX25" i="3" s="1"/>
  <c r="AX42" i="3"/>
  <c r="AY36" i="3" s="1"/>
  <c r="AW37" i="3"/>
  <c r="AW25" i="3" s="1"/>
  <c r="R47" i="2"/>
  <c r="R44" i="2"/>
  <c r="AA6" i="5"/>
  <c r="AD28" i="3"/>
  <c r="AC4" i="5"/>
  <c r="Z9" i="5"/>
  <c r="BD23" i="3"/>
  <c r="BC1" i="5"/>
  <c r="BC19" i="5" s="1"/>
  <c r="BC14" i="5"/>
  <c r="AY24" i="3" l="1"/>
  <c r="AY61" i="3"/>
  <c r="AY65" i="3" s="1"/>
  <c r="AY66" i="3"/>
  <c r="AZ60" i="3" s="1"/>
  <c r="AY50" i="3"/>
  <c r="AZ54" i="3"/>
  <c r="BA48" i="3" s="1"/>
  <c r="AB7" i="5"/>
  <c r="AC22" i="5"/>
  <c r="AC5" i="5" s="1"/>
  <c r="AX41" i="3"/>
  <c r="Y43" i="2"/>
  <c r="Y30" i="2" s="1"/>
  <c r="Y42" i="2"/>
  <c r="Y29" i="2" s="1"/>
  <c r="AY37" i="3"/>
  <c r="AY25" i="3" s="1"/>
  <c r="AY42" i="3"/>
  <c r="AZ36" i="3" s="1"/>
  <c r="AZ24" i="3" s="1"/>
  <c r="AW41" i="3"/>
  <c r="AW38" i="3"/>
  <c r="AC30" i="3"/>
  <c r="AB29" i="3"/>
  <c r="AC29" i="3"/>
  <c r="AB6" i="5"/>
  <c r="AD4" i="5"/>
  <c r="AE28" i="3"/>
  <c r="AA9" i="5"/>
  <c r="BE23" i="3"/>
  <c r="BD1" i="5"/>
  <c r="BD19" i="5" s="1"/>
  <c r="S33" i="2"/>
  <c r="S35" i="2"/>
  <c r="BD14" i="5"/>
  <c r="AZ66" i="3" l="1"/>
  <c r="BA60" i="3" s="1"/>
  <c r="AY62" i="3"/>
  <c r="AX38" i="3"/>
  <c r="AX26" i="3" s="1"/>
  <c r="AW26" i="3"/>
  <c r="BA49" i="3"/>
  <c r="BA53" i="3" s="1"/>
  <c r="BA54" i="3"/>
  <c r="BB48" i="3" s="1"/>
  <c r="AZ49" i="3"/>
  <c r="AZ53" i="3" s="1"/>
  <c r="S60" i="2"/>
  <c r="S30" i="2"/>
  <c r="AC7" i="5"/>
  <c r="AD22" i="5"/>
  <c r="AD5" i="5" s="1"/>
  <c r="AY41" i="3"/>
  <c r="AZ42" i="3"/>
  <c r="BA36" i="3" s="1"/>
  <c r="BA24" i="3" s="1"/>
  <c r="Y48" i="2"/>
  <c r="AD30" i="3"/>
  <c r="AE30" i="3" s="1"/>
  <c r="T34" i="2"/>
  <c r="AD29" i="3"/>
  <c r="AC6" i="5"/>
  <c r="AB9" i="5"/>
  <c r="AF28" i="3"/>
  <c r="AE4" i="5"/>
  <c r="BF23" i="3"/>
  <c r="BE1" i="5"/>
  <c r="BE19" i="5" s="1"/>
  <c r="BE14" i="5"/>
  <c r="AZ61" i="3" l="1"/>
  <c r="AZ65" i="3" s="1"/>
  <c r="BA61" i="3"/>
  <c r="BA65" i="3" s="1"/>
  <c r="BA66" i="3"/>
  <c r="BB60" i="3" s="1"/>
  <c r="AY38" i="3"/>
  <c r="AY26" i="3" s="1"/>
  <c r="AE21" i="5"/>
  <c r="AE22" i="5" s="1"/>
  <c r="AE5" i="5" s="1"/>
  <c r="AZ50" i="3"/>
  <c r="BA50" i="3" s="1"/>
  <c r="BB49" i="3"/>
  <c r="BB53" i="3" s="1"/>
  <c r="BB54" i="3"/>
  <c r="BC48" i="3" s="1"/>
  <c r="S34" i="2"/>
  <c r="AD7" i="5"/>
  <c r="AZ37" i="3"/>
  <c r="Z43" i="2"/>
  <c r="Z30" i="2" s="1"/>
  <c r="Z42" i="2"/>
  <c r="Z29" i="2" s="1"/>
  <c r="BA37" i="3"/>
  <c r="BA42" i="3"/>
  <c r="BB36" i="3" s="1"/>
  <c r="BB24" i="3" s="1"/>
  <c r="S44" i="2"/>
  <c r="S47" i="2"/>
  <c r="AE29" i="3"/>
  <c r="AF30" i="3"/>
  <c r="AG28" i="3"/>
  <c r="AF4" i="5"/>
  <c r="AC9" i="5"/>
  <c r="AD6" i="5"/>
  <c r="BG23" i="3"/>
  <c r="BF1" i="5"/>
  <c r="BF19" i="5" s="1"/>
  <c r="BF14" i="5"/>
  <c r="AZ25" i="3" l="1"/>
  <c r="AZ62" i="3"/>
  <c r="BA25" i="3"/>
  <c r="BB61" i="3"/>
  <c r="BB65" i="3" s="1"/>
  <c r="BB66" i="3"/>
  <c r="BC60" i="3" s="1"/>
  <c r="BA62" i="3"/>
  <c r="BB50" i="3"/>
  <c r="BC54" i="3"/>
  <c r="BD48" i="3" s="1"/>
  <c r="AE7" i="5"/>
  <c r="AF22" i="5"/>
  <c r="AF5" i="5" s="1"/>
  <c r="BA41" i="3"/>
  <c r="AZ41" i="3"/>
  <c r="AZ38" i="3"/>
  <c r="BB37" i="3"/>
  <c r="BB42" i="3"/>
  <c r="BC36" i="3" s="1"/>
  <c r="Z48" i="2"/>
  <c r="AF29" i="3"/>
  <c r="AE6" i="5"/>
  <c r="AD9" i="5"/>
  <c r="AG30" i="3"/>
  <c r="AG4" i="5"/>
  <c r="AH28" i="3"/>
  <c r="BH23" i="3"/>
  <c r="BG1" i="5"/>
  <c r="BG19" i="5" s="1"/>
  <c r="T33" i="2"/>
  <c r="T35" i="2"/>
  <c r="BG14" i="5"/>
  <c r="BC24" i="3" l="1"/>
  <c r="BB25" i="3"/>
  <c r="BB62" i="3"/>
  <c r="BC66" i="3"/>
  <c r="BD60" i="3" s="1"/>
  <c r="BA38" i="3"/>
  <c r="BA26" i="3" s="1"/>
  <c r="AZ26" i="3"/>
  <c r="BD49" i="3"/>
  <c r="BD53" i="3" s="1"/>
  <c r="BD54" i="3"/>
  <c r="BE48" i="3" s="1"/>
  <c r="BC49" i="3"/>
  <c r="AF7" i="5"/>
  <c r="AG22" i="5"/>
  <c r="AG5" i="5" s="1"/>
  <c r="BB41" i="3"/>
  <c r="AA43" i="2"/>
  <c r="AA30" i="2" s="1"/>
  <c r="AA42" i="2"/>
  <c r="AA29" i="2" s="1"/>
  <c r="BC42" i="3"/>
  <c r="BD36" i="3" s="1"/>
  <c r="AG29" i="3"/>
  <c r="AF6" i="5"/>
  <c r="AI28" i="3"/>
  <c r="AH4" i="5"/>
  <c r="AH30" i="3"/>
  <c r="AE9" i="5"/>
  <c r="BI23" i="3"/>
  <c r="BH1" i="5"/>
  <c r="BH19" i="5" s="1"/>
  <c r="U34" i="2"/>
  <c r="BH14" i="5"/>
  <c r="BB38" i="3" l="1"/>
  <c r="BB26" i="3" s="1"/>
  <c r="BD24" i="3"/>
  <c r="BC61" i="3"/>
  <c r="BC65" i="3" s="1"/>
  <c r="BD61" i="3"/>
  <c r="BD65" i="3" s="1"/>
  <c r="BD66" i="3"/>
  <c r="BE60" i="3" s="1"/>
  <c r="AH21" i="5"/>
  <c r="AH22" i="5" s="1"/>
  <c r="AH5" i="5" s="1"/>
  <c r="BC53" i="3"/>
  <c r="BC50" i="3"/>
  <c r="BD50" i="3" s="1"/>
  <c r="BE49" i="3"/>
  <c r="BE53" i="3" s="1"/>
  <c r="BE54" i="3"/>
  <c r="BF48" i="3" s="1"/>
  <c r="AG7" i="5"/>
  <c r="BC37" i="3"/>
  <c r="BC25" i="3" s="1"/>
  <c r="BD37" i="3"/>
  <c r="BD42" i="3"/>
  <c r="BE36" i="3" s="1"/>
  <c r="AA48" i="2"/>
  <c r="T47" i="2"/>
  <c r="T44" i="2"/>
  <c r="AH29" i="3"/>
  <c r="AG6" i="5"/>
  <c r="AI30" i="3"/>
  <c r="AF9" i="5"/>
  <c r="AJ28" i="3"/>
  <c r="AI4" i="5"/>
  <c r="BJ23" i="3"/>
  <c r="BI1" i="5"/>
  <c r="BI19" i="5" s="1"/>
  <c r="BI14" i="5"/>
  <c r="BC62" i="3" l="1"/>
  <c r="BD62" i="3" s="1"/>
  <c r="BE24" i="3"/>
  <c r="BD25" i="3"/>
  <c r="BE61" i="3"/>
  <c r="BE65" i="3" s="1"/>
  <c r="BE66" i="3"/>
  <c r="BF60" i="3" s="1"/>
  <c r="BF54" i="3"/>
  <c r="BG48" i="3" s="1"/>
  <c r="BE50" i="3"/>
  <c r="AH7" i="5"/>
  <c r="AI22" i="5"/>
  <c r="AI5" i="5" s="1"/>
  <c r="BC41" i="3"/>
  <c r="BD41" i="3"/>
  <c r="AB43" i="2"/>
  <c r="AB30" i="2" s="1"/>
  <c r="AB42" i="2"/>
  <c r="AB29" i="2" s="1"/>
  <c r="BE37" i="3"/>
  <c r="BE42" i="3"/>
  <c r="BF36" i="3" s="1"/>
  <c r="BC38" i="3"/>
  <c r="AI29" i="3"/>
  <c r="AH6" i="5"/>
  <c r="AJ4" i="5"/>
  <c r="AK28" i="3"/>
  <c r="AG9" i="5"/>
  <c r="AJ30" i="3"/>
  <c r="BJ1" i="5"/>
  <c r="BJ19" i="5" s="1"/>
  <c r="BK23" i="3"/>
  <c r="U33" i="2"/>
  <c r="U35" i="2"/>
  <c r="BJ14" i="5"/>
  <c r="BE25" i="3" l="1"/>
  <c r="BF66" i="3"/>
  <c r="BG60" i="3" s="1"/>
  <c r="BF61" i="3"/>
  <c r="BF65" i="3" s="1"/>
  <c r="BF24" i="3"/>
  <c r="BE62" i="3"/>
  <c r="BD38" i="3"/>
  <c r="BD26" i="3" s="1"/>
  <c r="BC26" i="3"/>
  <c r="BG49" i="3"/>
  <c r="BG53" i="3" s="1"/>
  <c r="BG54" i="3"/>
  <c r="BH48" i="3" s="1"/>
  <c r="BF49" i="3"/>
  <c r="BF53" i="3" s="1"/>
  <c r="AI7" i="5"/>
  <c r="AJ22" i="5"/>
  <c r="AJ5" i="5" s="1"/>
  <c r="BE41" i="3"/>
  <c r="BF42" i="3"/>
  <c r="BG36" i="3" s="1"/>
  <c r="BG24" i="3" s="1"/>
  <c r="AB48" i="2"/>
  <c r="V34" i="2"/>
  <c r="AJ29" i="3"/>
  <c r="AI6" i="5"/>
  <c r="AK4" i="5"/>
  <c r="AL28" i="3"/>
  <c r="AK30" i="3"/>
  <c r="AH9" i="5"/>
  <c r="BL23" i="3"/>
  <c r="BK1" i="5"/>
  <c r="BK19" i="5" s="1"/>
  <c r="BK14" i="5"/>
  <c r="BE38" i="3" l="1"/>
  <c r="BF62" i="3"/>
  <c r="BE26" i="3"/>
  <c r="BG61" i="3"/>
  <c r="BG65" i="3" s="1"/>
  <c r="BG66" i="3"/>
  <c r="BH60" i="3" s="1"/>
  <c r="AK21" i="5"/>
  <c r="AK22" i="5" s="1"/>
  <c r="AK5" i="5" s="1"/>
  <c r="BH49" i="3"/>
  <c r="BH53" i="3" s="1"/>
  <c r="BH54" i="3"/>
  <c r="BI48" i="3" s="1"/>
  <c r="BF50" i="3"/>
  <c r="BG50" i="3" s="1"/>
  <c r="AJ7" i="5"/>
  <c r="BF37" i="3"/>
  <c r="BF25" i="3" s="1"/>
  <c r="AC43" i="2"/>
  <c r="AC30" i="2" s="1"/>
  <c r="AC42" i="2"/>
  <c r="AC29" i="2" s="1"/>
  <c r="BG37" i="3"/>
  <c r="BG42" i="3"/>
  <c r="BH36" i="3" s="1"/>
  <c r="U47" i="2"/>
  <c r="U44" i="2"/>
  <c r="AK29" i="3"/>
  <c r="AJ6" i="5"/>
  <c r="AI9" i="5"/>
  <c r="AL30" i="3"/>
  <c r="AM28" i="3"/>
  <c r="AL4" i="5"/>
  <c r="BL1" i="5"/>
  <c r="BL19" i="5" s="1"/>
  <c r="BM23" i="3"/>
  <c r="BL14" i="5"/>
  <c r="BG25" i="3" l="1"/>
  <c r="BH50" i="3"/>
  <c r="BH66" i="3"/>
  <c r="BI60" i="3" s="1"/>
  <c r="BH61" i="3"/>
  <c r="BH65" i="3" s="1"/>
  <c r="BH24" i="3"/>
  <c r="BG62" i="3"/>
  <c r="BI54" i="3"/>
  <c r="BJ48" i="3" s="1"/>
  <c r="AK7" i="5"/>
  <c r="AL22" i="5"/>
  <c r="AL5" i="5" s="1"/>
  <c r="BG41" i="3"/>
  <c r="BF41" i="3"/>
  <c r="BF38" i="3"/>
  <c r="BH37" i="3"/>
  <c r="BH42" i="3"/>
  <c r="BI36" i="3" s="1"/>
  <c r="AC48" i="2"/>
  <c r="AL29" i="3"/>
  <c r="AK6" i="5"/>
  <c r="AM4" i="5"/>
  <c r="AN28" i="3"/>
  <c r="AJ9" i="5"/>
  <c r="BN23" i="3"/>
  <c r="BM1" i="5"/>
  <c r="BM19" i="5" s="1"/>
  <c r="V33" i="2"/>
  <c r="V35" i="2"/>
  <c r="BM14" i="5"/>
  <c r="BI24" i="3" l="1"/>
  <c r="BH25" i="3"/>
  <c r="BH62" i="3"/>
  <c r="BI66" i="3"/>
  <c r="BJ60" i="3" s="1"/>
  <c r="BG38" i="3"/>
  <c r="BG26" i="3" s="1"/>
  <c r="BF26" i="3"/>
  <c r="BI49" i="3"/>
  <c r="BJ49" i="3"/>
  <c r="BJ53" i="3" s="1"/>
  <c r="BJ54" i="3"/>
  <c r="BK48" i="3" s="1"/>
  <c r="AL7" i="5"/>
  <c r="AM22" i="5"/>
  <c r="AM5" i="5" s="1"/>
  <c r="BH41" i="3"/>
  <c r="BH38" i="3"/>
  <c r="AD43" i="2"/>
  <c r="AD30" i="2" s="1"/>
  <c r="AD42" i="2"/>
  <c r="AD29" i="2" s="1"/>
  <c r="BI42" i="3"/>
  <c r="BJ36" i="3" s="1"/>
  <c r="AM30" i="3"/>
  <c r="AN30" i="3" s="1"/>
  <c r="AM29" i="3"/>
  <c r="AL6" i="5"/>
  <c r="AK9" i="5"/>
  <c r="AO28" i="3"/>
  <c r="AN4" i="5"/>
  <c r="BN1" i="5"/>
  <c r="BN19" i="5" s="1"/>
  <c r="BO23" i="3"/>
  <c r="W34" i="2"/>
  <c r="BN14" i="5"/>
  <c r="BH26" i="3" l="1"/>
  <c r="BJ24" i="3"/>
  <c r="BI61" i="3"/>
  <c r="BI65" i="3" s="1"/>
  <c r="BJ61" i="3"/>
  <c r="BJ65" i="3" s="1"/>
  <c r="BJ66" i="3"/>
  <c r="BK60" i="3" s="1"/>
  <c r="AN21" i="5"/>
  <c r="AN22" i="5" s="1"/>
  <c r="AN5" i="5" s="1"/>
  <c r="BK49" i="3"/>
  <c r="BK53" i="3" s="1"/>
  <c r="BK54" i="3"/>
  <c r="BL48" i="3" s="1"/>
  <c r="BI53" i="3"/>
  <c r="BI50" i="3"/>
  <c r="BJ50" i="3" s="1"/>
  <c r="AM7" i="5"/>
  <c r="BI37" i="3"/>
  <c r="BJ37" i="3"/>
  <c r="BJ42" i="3"/>
  <c r="BK36" i="3" s="1"/>
  <c r="BK24" i="3" s="1"/>
  <c r="AD48" i="2"/>
  <c r="V47" i="2"/>
  <c r="V44" i="2"/>
  <c r="AN29" i="3"/>
  <c r="AM6" i="5"/>
  <c r="AO30" i="3"/>
  <c r="AP28" i="3"/>
  <c r="AO4" i="5"/>
  <c r="AL9" i="5"/>
  <c r="BO1" i="5"/>
  <c r="BO19" i="5" s="1"/>
  <c r="BP23" i="3"/>
  <c r="BO14" i="5"/>
  <c r="BK50" i="3" l="1"/>
  <c r="BJ25" i="3"/>
  <c r="BI62" i="3"/>
  <c r="BJ62" i="3" s="1"/>
  <c r="BI25" i="3"/>
  <c r="BK61" i="3"/>
  <c r="BK65" i="3" s="1"/>
  <c r="BK66" i="3"/>
  <c r="BL60" i="3" s="1"/>
  <c r="BL54" i="3"/>
  <c r="BM48" i="3" s="1"/>
  <c r="AN7" i="5"/>
  <c r="AO22" i="5"/>
  <c r="AO5" i="5" s="1"/>
  <c r="BJ41" i="3"/>
  <c r="BI41" i="3"/>
  <c r="BI38" i="3"/>
  <c r="AE43" i="2"/>
  <c r="AE30" i="2" s="1"/>
  <c r="AE42" i="2"/>
  <c r="AE29" i="2" s="1"/>
  <c r="BK37" i="3"/>
  <c r="BK42" i="3"/>
  <c r="BL36" i="3" s="1"/>
  <c r="AO29" i="3"/>
  <c r="AN6" i="5"/>
  <c r="AM9" i="5"/>
  <c r="AP30" i="3"/>
  <c r="AQ28" i="3"/>
  <c r="AP4" i="5"/>
  <c r="BP1" i="5"/>
  <c r="BP19" i="5" s="1"/>
  <c r="BQ23" i="3"/>
  <c r="W33" i="2"/>
  <c r="W35" i="2"/>
  <c r="BP14" i="5"/>
  <c r="BK25" i="3" l="1"/>
  <c r="BL66" i="3"/>
  <c r="BM60" i="3" s="1"/>
  <c r="BL24" i="3"/>
  <c r="BK62" i="3"/>
  <c r="BJ38" i="3"/>
  <c r="BJ26" i="3" s="1"/>
  <c r="BI26" i="3"/>
  <c r="BM49" i="3"/>
  <c r="BM53" i="3" s="1"/>
  <c r="BM54" i="3"/>
  <c r="BN48" i="3" s="1"/>
  <c r="BL49" i="3"/>
  <c r="AO7" i="5"/>
  <c r="AP22" i="5"/>
  <c r="AP5" i="5" s="1"/>
  <c r="AQ21" i="5" s="1"/>
  <c r="BK41" i="3"/>
  <c r="AE48" i="2"/>
  <c r="BL42" i="3"/>
  <c r="BM36" i="3" s="1"/>
  <c r="AQ30" i="3"/>
  <c r="AP29" i="3"/>
  <c r="AO6" i="5"/>
  <c r="AQ4" i="5"/>
  <c r="AR28" i="3"/>
  <c r="AN9" i="5"/>
  <c r="BR23" i="3"/>
  <c r="BQ1" i="5"/>
  <c r="BQ19" i="5" s="1"/>
  <c r="X34" i="2"/>
  <c r="BQ14" i="5"/>
  <c r="BM24" i="3" l="1"/>
  <c r="BL61" i="3"/>
  <c r="BL65" i="3" s="1"/>
  <c r="BM61" i="3"/>
  <c r="BM65" i="3" s="1"/>
  <c r="BM66" i="3"/>
  <c r="BN60" i="3" s="1"/>
  <c r="BK38" i="3"/>
  <c r="BK26" i="3" s="1"/>
  <c r="BL53" i="3"/>
  <c r="BL50" i="3"/>
  <c r="BM50" i="3" s="1"/>
  <c r="BN49" i="3"/>
  <c r="BN53" i="3" s="1"/>
  <c r="BN54" i="3"/>
  <c r="BO48" i="3" s="1"/>
  <c r="AQ22" i="5"/>
  <c r="AQ5" i="5" s="1"/>
  <c r="AP7" i="5"/>
  <c r="BM37" i="3"/>
  <c r="BM42" i="3"/>
  <c r="BN36" i="3" s="1"/>
  <c r="BL37" i="3"/>
  <c r="BL25" i="3" s="1"/>
  <c r="AF43" i="2"/>
  <c r="AF30" i="2" s="1"/>
  <c r="AF42" i="2"/>
  <c r="AF29" i="2" s="1"/>
  <c r="W44" i="2"/>
  <c r="W47" i="2"/>
  <c r="AQ29" i="3"/>
  <c r="AS28" i="3"/>
  <c r="AR4" i="5"/>
  <c r="AP6" i="5"/>
  <c r="AO9" i="5"/>
  <c r="AR30" i="3"/>
  <c r="BR1" i="5"/>
  <c r="BR19" i="5" s="1"/>
  <c r="BS23" i="3"/>
  <c r="BR14" i="5"/>
  <c r="BN24" i="3" l="1"/>
  <c r="BM25" i="3"/>
  <c r="BL62" i="3"/>
  <c r="BM62" i="3" s="1"/>
  <c r="BN61" i="3"/>
  <c r="BN65" i="3" s="1"/>
  <c r="BN66" i="3"/>
  <c r="BO60" i="3" s="1"/>
  <c r="BO54" i="3"/>
  <c r="BP48" i="3" s="1"/>
  <c r="BN50" i="3"/>
  <c r="AQ7" i="5"/>
  <c r="AR22" i="5"/>
  <c r="AR5" i="5" s="1"/>
  <c r="BL41" i="3"/>
  <c r="BM41" i="3"/>
  <c r="BL38" i="3"/>
  <c r="AF48" i="2"/>
  <c r="BN37" i="3"/>
  <c r="BN42" i="3"/>
  <c r="BO36" i="3" s="1"/>
  <c r="AR29" i="3"/>
  <c r="AQ6" i="5"/>
  <c r="AP9" i="5"/>
  <c r="AS30" i="3"/>
  <c r="AT28" i="3"/>
  <c r="AS4" i="5"/>
  <c r="BT23" i="3"/>
  <c r="BS1" i="5"/>
  <c r="BS19" i="5" s="1"/>
  <c r="X33" i="2"/>
  <c r="X35" i="2"/>
  <c r="BS14" i="5"/>
  <c r="BN62" i="3" l="1"/>
  <c r="BN25" i="3"/>
  <c r="BO66" i="3"/>
  <c r="BP60" i="3" s="1"/>
  <c r="BO61" i="3"/>
  <c r="BO65" i="3" s="1"/>
  <c r="BO24" i="3"/>
  <c r="BM38" i="3"/>
  <c r="BM26" i="3" s="1"/>
  <c r="BL26" i="3"/>
  <c r="BP49" i="3"/>
  <c r="BP53" i="3" s="1"/>
  <c r="BP54" i="3"/>
  <c r="BQ48" i="3" s="1"/>
  <c r="BO49" i="3"/>
  <c r="BO53" i="3" s="1"/>
  <c r="AR7" i="5"/>
  <c r="AS22" i="5"/>
  <c r="AS5" i="5" s="1"/>
  <c r="BN41" i="3"/>
  <c r="BN38" i="3"/>
  <c r="BO42" i="3"/>
  <c r="BP36" i="3" s="1"/>
  <c r="BP24" i="3" s="1"/>
  <c r="AG43" i="2"/>
  <c r="AG30" i="2" s="1"/>
  <c r="AG42" i="2"/>
  <c r="AG29" i="2" s="1"/>
  <c r="Y34" i="2"/>
  <c r="AR6" i="5"/>
  <c r="AS29" i="3"/>
  <c r="AQ9" i="5"/>
  <c r="AU28" i="3"/>
  <c r="AT4" i="5"/>
  <c r="AT30" i="3"/>
  <c r="BU23" i="3"/>
  <c r="BT1" i="5"/>
  <c r="BT19" i="5" s="1"/>
  <c r="BT14" i="5"/>
  <c r="BN26" i="3" l="1"/>
  <c r="BP61" i="3"/>
  <c r="BP65" i="3" s="1"/>
  <c r="BP66" i="3"/>
  <c r="BQ60" i="3" s="1"/>
  <c r="BO62" i="3"/>
  <c r="BP62" i="3" s="1"/>
  <c r="AT21" i="5"/>
  <c r="AT22" i="5" s="1"/>
  <c r="AT5" i="5" s="1"/>
  <c r="BQ49" i="3"/>
  <c r="BQ53" i="3" s="1"/>
  <c r="BQ54" i="3"/>
  <c r="BR48" i="3" s="1"/>
  <c r="BO50" i="3"/>
  <c r="BP50" i="3" s="1"/>
  <c r="BQ50" i="3" s="1"/>
  <c r="AS7" i="5"/>
  <c r="AG48" i="2"/>
  <c r="BO37" i="3"/>
  <c r="BO25" i="3" s="1"/>
  <c r="BP37" i="3"/>
  <c r="BP25" i="3" s="1"/>
  <c r="BP42" i="3"/>
  <c r="BQ36" i="3" s="1"/>
  <c r="X44" i="2"/>
  <c r="X47" i="2"/>
  <c r="AT29" i="3"/>
  <c r="AU30" i="3"/>
  <c r="AS6" i="5"/>
  <c r="AR9" i="5"/>
  <c r="AV28" i="3"/>
  <c r="AU4" i="5"/>
  <c r="BV23" i="3"/>
  <c r="BU1" i="5"/>
  <c r="BU19" i="5" s="1"/>
  <c r="BU14" i="5"/>
  <c r="BQ61" i="3" l="1"/>
  <c r="BQ65" i="3" s="1"/>
  <c r="BQ66" i="3"/>
  <c r="BR60" i="3" s="1"/>
  <c r="BQ24" i="3"/>
  <c r="BR54" i="3"/>
  <c r="BS48" i="3" s="1"/>
  <c r="AT7" i="5"/>
  <c r="AU22" i="5"/>
  <c r="AU5" i="5" s="1"/>
  <c r="BP41" i="3"/>
  <c r="AH43" i="2"/>
  <c r="AH30" i="2" s="1"/>
  <c r="AH42" i="2"/>
  <c r="AH29" i="2" s="1"/>
  <c r="BQ37" i="3"/>
  <c r="BQ42" i="3"/>
  <c r="BR36" i="3" s="1"/>
  <c r="BR24" i="3" s="1"/>
  <c r="BO41" i="3"/>
  <c r="BO38" i="3"/>
  <c r="AU29" i="3"/>
  <c r="AT6" i="5"/>
  <c r="AV30" i="3"/>
  <c r="AW28" i="3"/>
  <c r="AV4" i="5"/>
  <c r="AS9" i="5"/>
  <c r="BW23" i="3"/>
  <c r="BV1" i="5"/>
  <c r="BV19" i="5" s="1"/>
  <c r="Y33" i="2"/>
  <c r="Y35" i="2"/>
  <c r="BV14" i="5"/>
  <c r="BQ25" i="3" l="1"/>
  <c r="BR66" i="3"/>
  <c r="BS60" i="3" s="1"/>
  <c r="BR61" i="3"/>
  <c r="BR65" i="3" s="1"/>
  <c r="BQ62" i="3"/>
  <c r="BR62" i="3" s="1"/>
  <c r="BP38" i="3"/>
  <c r="BP26" i="3" s="1"/>
  <c r="BO26" i="3"/>
  <c r="BS49" i="3"/>
  <c r="BS53" i="3" s="1"/>
  <c r="BS54" i="3"/>
  <c r="BT48" i="3" s="1"/>
  <c r="BR49" i="3"/>
  <c r="AU7" i="5"/>
  <c r="AV22" i="5"/>
  <c r="AV5" i="5" s="1"/>
  <c r="BQ41" i="3"/>
  <c r="BQ38" i="3"/>
  <c r="BR42" i="3"/>
  <c r="BS36" i="3" s="1"/>
  <c r="BS24" i="3" s="1"/>
  <c r="AH48" i="2"/>
  <c r="AV29" i="3"/>
  <c r="AU6" i="5"/>
  <c r="AX28" i="3"/>
  <c r="AW4" i="5"/>
  <c r="AW30" i="3"/>
  <c r="AT9" i="5"/>
  <c r="BX23" i="3"/>
  <c r="BW1" i="5"/>
  <c r="BW19" i="5" s="1"/>
  <c r="Z34" i="2"/>
  <c r="BW14" i="5"/>
  <c r="BQ26" i="3" l="1"/>
  <c r="BS61" i="3"/>
  <c r="BS65" i="3" s="1"/>
  <c r="BS66" i="3"/>
  <c r="BT60" i="3" s="1"/>
  <c r="AW21" i="5"/>
  <c r="AW22" i="5" s="1"/>
  <c r="AW5" i="5" s="1"/>
  <c r="BT49" i="3"/>
  <c r="BT53" i="3" s="1"/>
  <c r="BT54" i="3"/>
  <c r="BU48" i="3" s="1"/>
  <c r="BR53" i="3"/>
  <c r="BR50" i="3"/>
  <c r="BS50" i="3" s="1"/>
  <c r="BT50" i="3" s="1"/>
  <c r="AV7" i="5"/>
  <c r="BS37" i="3"/>
  <c r="BS25" i="3" s="1"/>
  <c r="BS42" i="3"/>
  <c r="BT36" i="3" s="1"/>
  <c r="BR37" i="3"/>
  <c r="BR25" i="3" s="1"/>
  <c r="AI43" i="2"/>
  <c r="AI30" i="2" s="1"/>
  <c r="AI42" i="2"/>
  <c r="AI29" i="2" s="1"/>
  <c r="Y47" i="2"/>
  <c r="Y44" i="2"/>
  <c r="AW29" i="3"/>
  <c r="AV6" i="5"/>
  <c r="AX30" i="3"/>
  <c r="AU9" i="5"/>
  <c r="AX4" i="5"/>
  <c r="AY28" i="3"/>
  <c r="BY23" i="3"/>
  <c r="BX1" i="5"/>
  <c r="BX19" i="5" s="1"/>
  <c r="BX14" i="5"/>
  <c r="BT24" i="3" l="1"/>
  <c r="BT61" i="3"/>
  <c r="BT65" i="3" s="1"/>
  <c r="BT66" i="3"/>
  <c r="BU60" i="3" s="1"/>
  <c r="BS62" i="3"/>
  <c r="BT62" i="3" s="1"/>
  <c r="BU54" i="3"/>
  <c r="BV48" i="3" s="1"/>
  <c r="AW7" i="5"/>
  <c r="AX22" i="5"/>
  <c r="AX5" i="5" s="1"/>
  <c r="BS41" i="3"/>
  <c r="BT37" i="3"/>
  <c r="BT42" i="3"/>
  <c r="BU36" i="3" s="1"/>
  <c r="AI48" i="2"/>
  <c r="BR41" i="3"/>
  <c r="BR38" i="3"/>
  <c r="AX29" i="3"/>
  <c r="AW6" i="5"/>
  <c r="AZ28" i="3"/>
  <c r="AY4" i="5"/>
  <c r="AV9" i="5"/>
  <c r="AY30" i="3"/>
  <c r="BZ23" i="3"/>
  <c r="BY1" i="5"/>
  <c r="BY19" i="5" s="1"/>
  <c r="Z33" i="2"/>
  <c r="Z35" i="2"/>
  <c r="BY14" i="5"/>
  <c r="BT25" i="3" l="1"/>
  <c r="BU66" i="3"/>
  <c r="BV60" i="3" s="1"/>
  <c r="BU24" i="3"/>
  <c r="BS38" i="3"/>
  <c r="BS26" i="3" s="1"/>
  <c r="BR26" i="3"/>
  <c r="BV49" i="3"/>
  <c r="BV53" i="3" s="1"/>
  <c r="BV54" i="3"/>
  <c r="BW48" i="3" s="1"/>
  <c r="BU49" i="3"/>
  <c r="AY22" i="5"/>
  <c r="AY5" i="5" s="1"/>
  <c r="BT41" i="3"/>
  <c r="AJ43" i="2"/>
  <c r="AJ30" i="2" s="1"/>
  <c r="AJ42" i="2"/>
  <c r="AJ29" i="2" s="1"/>
  <c r="BU42" i="3"/>
  <c r="BV36" i="3" s="1"/>
  <c r="BV24" i="3" s="1"/>
  <c r="AA34" i="2"/>
  <c r="AY29" i="3"/>
  <c r="AX7" i="5"/>
  <c r="AX6" i="5"/>
  <c r="AW9" i="5"/>
  <c r="AZ30" i="3"/>
  <c r="AZ4" i="5"/>
  <c r="BA28" i="3"/>
  <c r="BZ1" i="5"/>
  <c r="BZ19" i="5" s="1"/>
  <c r="CA23" i="3"/>
  <c r="BZ14" i="5"/>
  <c r="BU61" i="3" l="1"/>
  <c r="BU65" i="3" s="1"/>
  <c r="BV61" i="3"/>
  <c r="BV65" i="3" s="1"/>
  <c r="BV66" i="3"/>
  <c r="BW60" i="3" s="1"/>
  <c r="BU62" i="3"/>
  <c r="BV62" i="3" s="1"/>
  <c r="BT38" i="3"/>
  <c r="BT26" i="3" s="1"/>
  <c r="AZ21" i="5"/>
  <c r="AZ22" i="5" s="1"/>
  <c r="AZ5" i="5" s="1"/>
  <c r="BU53" i="3"/>
  <c r="BU50" i="3"/>
  <c r="BV50" i="3" s="1"/>
  <c r="BW49" i="3"/>
  <c r="BW53" i="3" s="1"/>
  <c r="BW54" i="3"/>
  <c r="BX48" i="3" s="1"/>
  <c r="AY7" i="5"/>
  <c r="AJ48" i="2"/>
  <c r="BV37" i="3"/>
  <c r="BV25" i="3" s="1"/>
  <c r="BV42" i="3"/>
  <c r="BW36" i="3" s="1"/>
  <c r="BU37" i="3"/>
  <c r="Z47" i="2"/>
  <c r="Z44" i="2"/>
  <c r="AZ29" i="3"/>
  <c r="AY6" i="5"/>
  <c r="BA4" i="5"/>
  <c r="BB28" i="3"/>
  <c r="AX9" i="5"/>
  <c r="BA30" i="3"/>
  <c r="CA1" i="5"/>
  <c r="CA19" i="5" s="1"/>
  <c r="CB23" i="3"/>
  <c r="CA14" i="5"/>
  <c r="BU25" i="3" l="1"/>
  <c r="BW61" i="3"/>
  <c r="BW65" i="3" s="1"/>
  <c r="BW66" i="3"/>
  <c r="BX60" i="3" s="1"/>
  <c r="BW24" i="3"/>
  <c r="BX54" i="3"/>
  <c r="BY48" i="3" s="1"/>
  <c r="BW50" i="3"/>
  <c r="AZ7" i="5"/>
  <c r="BA22" i="5"/>
  <c r="BA5" i="5" s="1"/>
  <c r="BV41" i="3"/>
  <c r="BU41" i="3"/>
  <c r="BW37" i="3"/>
  <c r="BW25" i="3" s="1"/>
  <c r="BW42" i="3"/>
  <c r="BX36" i="3" s="1"/>
  <c r="AK43" i="2"/>
  <c r="AK30" i="2" s="1"/>
  <c r="AK42" i="2"/>
  <c r="AK29" i="2" s="1"/>
  <c r="BU38" i="3"/>
  <c r="BA29" i="3"/>
  <c r="AZ6" i="5"/>
  <c r="AY9" i="5"/>
  <c r="BB4" i="5"/>
  <c r="BC28" i="3"/>
  <c r="BB30" i="3"/>
  <c r="CB1" i="5"/>
  <c r="CB19" i="5" s="1"/>
  <c r="CC23" i="3"/>
  <c r="AA33" i="2"/>
  <c r="AA35" i="2"/>
  <c r="CB14" i="5"/>
  <c r="BX24" i="3" l="1"/>
  <c r="BX66" i="3"/>
  <c r="BY60" i="3" s="1"/>
  <c r="BX61" i="3"/>
  <c r="BX65" i="3" s="1"/>
  <c r="BW62" i="3"/>
  <c r="BX62" i="3" s="1"/>
  <c r="BV38" i="3"/>
  <c r="BV26" i="3" s="1"/>
  <c r="BU26" i="3"/>
  <c r="BY49" i="3"/>
  <c r="BY53" i="3" s="1"/>
  <c r="BY54" i="3"/>
  <c r="BZ48" i="3" s="1"/>
  <c r="BX49" i="3"/>
  <c r="BX53" i="3" s="1"/>
  <c r="BA7" i="5"/>
  <c r="BB22" i="5"/>
  <c r="BB5" i="5" s="1"/>
  <c r="BW41" i="3"/>
  <c r="BW38" i="3"/>
  <c r="AK48" i="2"/>
  <c r="BX42" i="3"/>
  <c r="BY36" i="3" s="1"/>
  <c r="BY24" i="3" s="1"/>
  <c r="AB34" i="2"/>
  <c r="BB29" i="3"/>
  <c r="BA6" i="5"/>
  <c r="AZ9" i="5"/>
  <c r="BD28" i="3"/>
  <c r="BC4" i="5"/>
  <c r="BC30" i="3"/>
  <c r="CD23" i="3"/>
  <c r="CC1" i="5"/>
  <c r="CC19" i="5" s="1"/>
  <c r="CC14" i="5"/>
  <c r="BW26" i="3" l="1"/>
  <c r="BY61" i="3"/>
  <c r="BY65" i="3" s="1"/>
  <c r="BY66" i="3"/>
  <c r="BZ60" i="3" s="1"/>
  <c r="BC21" i="5"/>
  <c r="BC22" i="5" s="1"/>
  <c r="BC5" i="5" s="1"/>
  <c r="BX50" i="3"/>
  <c r="BY50" i="3" s="1"/>
  <c r="BZ49" i="3"/>
  <c r="BZ53" i="3" s="1"/>
  <c r="BZ54" i="3"/>
  <c r="CA48" i="3" s="1"/>
  <c r="BX37" i="3"/>
  <c r="BX25" i="3" s="1"/>
  <c r="AL43" i="2"/>
  <c r="AL30" i="2" s="1"/>
  <c r="AL42" i="2"/>
  <c r="AL29" i="2" s="1"/>
  <c r="BY37" i="3"/>
  <c r="BY25" i="3" s="1"/>
  <c r="BY42" i="3"/>
  <c r="BZ36" i="3" s="1"/>
  <c r="AA44" i="2"/>
  <c r="AA47" i="2"/>
  <c r="BC29" i="3"/>
  <c r="BD4" i="5"/>
  <c r="BE28" i="3"/>
  <c r="BD30" i="3"/>
  <c r="BA9" i="5"/>
  <c r="BB6" i="5"/>
  <c r="BB7" i="5"/>
  <c r="CD1" i="5"/>
  <c r="CD19" i="5" s="1"/>
  <c r="CE23" i="3"/>
  <c r="CD14" i="5"/>
  <c r="BZ61" i="3" l="1"/>
  <c r="BZ65" i="3" s="1"/>
  <c r="BZ66" i="3"/>
  <c r="CA60" i="3" s="1"/>
  <c r="BZ24" i="3"/>
  <c r="BY62" i="3"/>
  <c r="BZ62" i="3" s="1"/>
  <c r="CA54" i="3"/>
  <c r="CB48" i="3" s="1"/>
  <c r="BZ50" i="3"/>
  <c r="BD22" i="5"/>
  <c r="BD5" i="5" s="1"/>
  <c r="BY41" i="3"/>
  <c r="BZ37" i="3"/>
  <c r="BZ25" i="3" s="1"/>
  <c r="BZ42" i="3"/>
  <c r="CA36" i="3" s="1"/>
  <c r="CA24" i="3" s="1"/>
  <c r="AL48" i="2"/>
  <c r="BX41" i="3"/>
  <c r="BX38" i="3"/>
  <c r="BD29" i="3"/>
  <c r="BE30" i="3"/>
  <c r="BE4" i="5"/>
  <c r="BF28" i="3"/>
  <c r="BB9" i="5"/>
  <c r="BC7" i="5"/>
  <c r="BC6" i="5"/>
  <c r="CE1" i="5"/>
  <c r="CE19" i="5" s="1"/>
  <c r="CF23" i="3"/>
  <c r="AB33" i="2"/>
  <c r="AB35" i="2"/>
  <c r="CE14" i="5"/>
  <c r="CA66" i="3" l="1"/>
  <c r="CB60" i="3" s="1"/>
  <c r="CA61" i="3"/>
  <c r="CA65" i="3" s="1"/>
  <c r="BY38" i="3"/>
  <c r="BY26" i="3" s="1"/>
  <c r="BX26" i="3"/>
  <c r="CA49" i="3"/>
  <c r="CA53" i="3" s="1"/>
  <c r="CB49" i="3"/>
  <c r="CB53" i="3" s="1"/>
  <c r="CB54" i="3"/>
  <c r="CC48" i="3" s="1"/>
  <c r="BZ41" i="3"/>
  <c r="CA42" i="3"/>
  <c r="CB36" i="3" s="1"/>
  <c r="CB24" i="3" s="1"/>
  <c r="AM43" i="2"/>
  <c r="AM30" i="2" s="1"/>
  <c r="AM42" i="2"/>
  <c r="AM29" i="2" s="1"/>
  <c r="AC34" i="2"/>
  <c r="BE29" i="3"/>
  <c r="BF4" i="5"/>
  <c r="BG28" i="3"/>
  <c r="BC9" i="5"/>
  <c r="BF30" i="3"/>
  <c r="BE22" i="5"/>
  <c r="BD7" i="5"/>
  <c r="BD6" i="5"/>
  <c r="CF1" i="5"/>
  <c r="CF19" i="5" s="1"/>
  <c r="CG23" i="3"/>
  <c r="AC35" i="2"/>
  <c r="CF14" i="5"/>
  <c r="CB61" i="3" l="1"/>
  <c r="CB65" i="3" s="1"/>
  <c r="CB66" i="3"/>
  <c r="CC60" i="3" s="1"/>
  <c r="CA62" i="3"/>
  <c r="CB62" i="3" s="1"/>
  <c r="BZ38" i="3"/>
  <c r="BZ26" i="3" s="1"/>
  <c r="CA50" i="3"/>
  <c r="CB50" i="3" s="1"/>
  <c r="CC49" i="3"/>
  <c r="CC53" i="3" s="1"/>
  <c r="CC54" i="3"/>
  <c r="CD48" i="3" s="1"/>
  <c r="CA37" i="3"/>
  <c r="CA25" i="3" s="1"/>
  <c r="AM48" i="2"/>
  <c r="CB37" i="3"/>
  <c r="CB25" i="3" s="1"/>
  <c r="CB42" i="3"/>
  <c r="CC36" i="3" s="1"/>
  <c r="CC24" i="3" s="1"/>
  <c r="AB47" i="2"/>
  <c r="AB44" i="2"/>
  <c r="BF29" i="3"/>
  <c r="AD35" i="2"/>
  <c r="BD9" i="5"/>
  <c r="BG30" i="3"/>
  <c r="BH28" i="3"/>
  <c r="BG4" i="5"/>
  <c r="CG1" i="5"/>
  <c r="CG19" i="5" s="1"/>
  <c r="CH23" i="3"/>
  <c r="CG14" i="5"/>
  <c r="BE5" i="5"/>
  <c r="BF21" i="5" s="1"/>
  <c r="AC33" i="2"/>
  <c r="AD33" i="2" s="1"/>
  <c r="AE33" i="2" s="1"/>
  <c r="AF33" i="2" s="1"/>
  <c r="AG33" i="2" s="1"/>
  <c r="AH33" i="2" s="1"/>
  <c r="AI33" i="2" s="1"/>
  <c r="AJ33" i="2" s="1"/>
  <c r="AK33" i="2" s="1"/>
  <c r="AL33" i="2" s="1"/>
  <c r="AM33" i="2" s="1"/>
  <c r="AN33" i="2" s="1"/>
  <c r="AO33" i="2" s="1"/>
  <c r="CC61" i="3" l="1"/>
  <c r="CC65" i="3" s="1"/>
  <c r="CC66" i="3"/>
  <c r="CD60" i="3" s="1"/>
  <c r="CC50" i="3"/>
  <c r="CD54" i="3"/>
  <c r="CE48" i="3" s="1"/>
  <c r="CB41" i="3"/>
  <c r="CA41" i="3"/>
  <c r="CA38" i="3"/>
  <c r="CC37" i="3"/>
  <c r="CC42" i="3"/>
  <c r="CD36" i="3" s="1"/>
  <c r="AN43" i="2"/>
  <c r="AN30" i="2" s="1"/>
  <c r="AN42" i="2"/>
  <c r="AN29" i="2" s="1"/>
  <c r="AC47" i="2"/>
  <c r="AC44" i="2"/>
  <c r="AE35" i="2"/>
  <c r="BG29" i="3"/>
  <c r="CH1" i="5"/>
  <c r="CH19" i="5" s="1"/>
  <c r="CI23" i="3"/>
  <c r="BH30" i="3"/>
  <c r="BE9" i="5"/>
  <c r="BI28" i="3"/>
  <c r="BH4" i="5"/>
  <c r="CH14" i="5"/>
  <c r="AD34" i="2"/>
  <c r="BF22" i="5"/>
  <c r="BF5" i="5" s="1"/>
  <c r="BE6" i="5"/>
  <c r="BE7" i="5"/>
  <c r="CD66" i="3" l="1"/>
  <c r="CE60" i="3" s="1"/>
  <c r="CD24" i="3"/>
  <c r="CC25" i="3"/>
  <c r="CC62" i="3"/>
  <c r="CB38" i="3"/>
  <c r="CB26" i="3" s="1"/>
  <c r="CA26" i="3"/>
  <c r="CE49" i="3"/>
  <c r="CE53" i="3" s="1"/>
  <c r="CE54" i="3"/>
  <c r="CF48" i="3" s="1"/>
  <c r="CD49" i="3"/>
  <c r="CC41" i="3"/>
  <c r="AN48" i="2"/>
  <c r="CD42" i="3"/>
  <c r="CE36" i="3" s="1"/>
  <c r="CE24" i="3" s="1"/>
  <c r="AD47" i="2"/>
  <c r="AD44" i="2"/>
  <c r="AF35" i="2"/>
  <c r="BH29" i="3"/>
  <c r="CI1" i="5"/>
  <c r="CI19" i="5" s="1"/>
  <c r="CJ23" i="3"/>
  <c r="BF9" i="5"/>
  <c r="BI4" i="5"/>
  <c r="BJ28" i="3"/>
  <c r="BI30" i="3"/>
  <c r="CI14" i="5"/>
  <c r="AE34" i="2"/>
  <c r="BG22" i="5"/>
  <c r="BG5" i="5" s="1"/>
  <c r="BF6" i="5"/>
  <c r="BF7" i="5"/>
  <c r="CD61" i="3" l="1"/>
  <c r="CD65" i="3" s="1"/>
  <c r="CE61" i="3"/>
  <c r="CE65" i="3" s="1"/>
  <c r="CE66" i="3"/>
  <c r="CF60" i="3" s="1"/>
  <c r="CC38" i="3"/>
  <c r="CC26" i="3" s="1"/>
  <c r="AO42" i="2"/>
  <c r="AO43" i="2"/>
  <c r="CD53" i="3"/>
  <c r="CD50" i="3"/>
  <c r="CE50" i="3" s="1"/>
  <c r="CF49" i="3"/>
  <c r="CF53" i="3" s="1"/>
  <c r="CF54" i="3"/>
  <c r="CG48" i="3" s="1"/>
  <c r="CE37" i="3"/>
  <c r="CE25" i="3" s="1"/>
  <c r="CE42" i="3"/>
  <c r="CF36" i="3" s="1"/>
  <c r="CD37" i="3"/>
  <c r="CD25" i="3" s="1"/>
  <c r="AE44" i="2"/>
  <c r="AE47" i="2"/>
  <c r="BI29" i="3"/>
  <c r="AG35" i="2"/>
  <c r="CK23" i="3"/>
  <c r="CJ1" i="5"/>
  <c r="CJ19" i="5" s="1"/>
  <c r="BJ30" i="3"/>
  <c r="BJ4" i="5"/>
  <c r="BK28" i="3"/>
  <c r="BG9" i="5"/>
  <c r="CJ14" i="5"/>
  <c r="AF34" i="2"/>
  <c r="BH22" i="5"/>
  <c r="BG7" i="5"/>
  <c r="BG6" i="5"/>
  <c r="CD62" i="3" l="1"/>
  <c r="CE62" i="3" s="1"/>
  <c r="CF24" i="3"/>
  <c r="CF61" i="3"/>
  <c r="CF65" i="3" s="1"/>
  <c r="CF66" i="3"/>
  <c r="CG60" i="3" s="1"/>
  <c r="AO47" i="2"/>
  <c r="AO30" i="2"/>
  <c r="AO29" i="2"/>
  <c r="AO35" i="2" s="1"/>
  <c r="AO48" i="2"/>
  <c r="CG54" i="3"/>
  <c r="CH48" i="3" s="1"/>
  <c r="CF50" i="3"/>
  <c r="CE41" i="3"/>
  <c r="CF37" i="3"/>
  <c r="CF42" i="3"/>
  <c r="CG36" i="3" s="1"/>
  <c r="CD41" i="3"/>
  <c r="CD38" i="3"/>
  <c r="AF47" i="2"/>
  <c r="AF44" i="2"/>
  <c r="AH35" i="2"/>
  <c r="BJ29" i="3"/>
  <c r="CL23" i="3"/>
  <c r="CK1" i="5"/>
  <c r="CK19" i="5" s="1"/>
  <c r="BK30" i="3"/>
  <c r="BH9" i="5"/>
  <c r="BK4" i="5"/>
  <c r="BL28" i="3"/>
  <c r="CK14" i="5"/>
  <c r="AG34" i="2"/>
  <c r="BH5" i="5"/>
  <c r="BI21" i="5" s="1"/>
  <c r="CF25" i="3" l="1"/>
  <c r="CF62" i="3"/>
  <c r="CG24" i="3"/>
  <c r="CG66" i="3"/>
  <c r="CH60" i="3" s="1"/>
  <c r="AO34" i="2"/>
  <c r="CE38" i="3"/>
  <c r="CE26" i="3" s="1"/>
  <c r="CD26" i="3"/>
  <c r="CH49" i="3"/>
  <c r="CH53" i="3" s="1"/>
  <c r="CH54" i="3"/>
  <c r="CI48" i="3" s="1"/>
  <c r="CG49" i="3"/>
  <c r="CG53" i="3" s="1"/>
  <c r="CF41" i="3"/>
  <c r="CG42" i="3"/>
  <c r="CH36" i="3" s="1"/>
  <c r="AG47" i="2"/>
  <c r="AG44" i="2"/>
  <c r="AI35" i="2"/>
  <c r="BK29" i="3"/>
  <c r="CM23" i="3"/>
  <c r="CL1" i="5"/>
  <c r="CL19" i="5" s="1"/>
  <c r="BL4" i="5"/>
  <c r="BM28" i="3"/>
  <c r="BL30" i="3"/>
  <c r="BI9" i="5"/>
  <c r="CL14" i="5"/>
  <c r="AH34" i="2"/>
  <c r="BI22" i="5"/>
  <c r="BI5" i="5" s="1"/>
  <c r="BH7" i="5"/>
  <c r="BH6" i="5"/>
  <c r="CH24" i="3" l="1"/>
  <c r="CG61" i="3"/>
  <c r="CG65" i="3" s="1"/>
  <c r="CH61" i="3"/>
  <c r="CH65" i="3" s="1"/>
  <c r="CH66" i="3"/>
  <c r="CI60" i="3" s="1"/>
  <c r="CF38" i="3"/>
  <c r="CF26" i="3" s="1"/>
  <c r="CG50" i="3"/>
  <c r="CH50" i="3" s="1"/>
  <c r="CI49" i="3"/>
  <c r="CI53" i="3" s="1"/>
  <c r="CI54" i="3"/>
  <c r="CJ48" i="3" s="1"/>
  <c r="CH37" i="3"/>
  <c r="CH42" i="3"/>
  <c r="CI36" i="3" s="1"/>
  <c r="CG37" i="3"/>
  <c r="CG25" i="3" s="1"/>
  <c r="AH47" i="2"/>
  <c r="AH44" i="2"/>
  <c r="BL29" i="3"/>
  <c r="AJ35" i="2"/>
  <c r="CN23" i="3"/>
  <c r="CM1" i="5"/>
  <c r="CM19" i="5" s="1"/>
  <c r="BN28" i="3"/>
  <c r="BM4" i="5"/>
  <c r="BJ9" i="5"/>
  <c r="BM30" i="3"/>
  <c r="CM14" i="5"/>
  <c r="AI34" i="2"/>
  <c r="BJ22" i="5"/>
  <c r="BJ5" i="5" s="1"/>
  <c r="BI6" i="5"/>
  <c r="BI7" i="5"/>
  <c r="CG62" i="3" l="1"/>
  <c r="CH25" i="3"/>
  <c r="CH62" i="3"/>
  <c r="CI61" i="3"/>
  <c r="CI65" i="3" s="1"/>
  <c r="CI66" i="3"/>
  <c r="CJ60" i="3" s="1"/>
  <c r="CI24" i="3"/>
  <c r="CJ54" i="3"/>
  <c r="CK48" i="3" s="1"/>
  <c r="CI50" i="3"/>
  <c r="CH41" i="3"/>
  <c r="CG41" i="3"/>
  <c r="CG38" i="3"/>
  <c r="CI37" i="3"/>
  <c r="CI42" i="3"/>
  <c r="CJ36" i="3" s="1"/>
  <c r="CJ24" i="3" s="1"/>
  <c r="AI44" i="2"/>
  <c r="AI47" i="2"/>
  <c r="AK35" i="2"/>
  <c r="BM29" i="3"/>
  <c r="CO23" i="3"/>
  <c r="CN1" i="5"/>
  <c r="CN19" i="5" s="1"/>
  <c r="BN30" i="3"/>
  <c r="BK9" i="5"/>
  <c r="BO28" i="3"/>
  <c r="BN4" i="5"/>
  <c r="CN14" i="5"/>
  <c r="AJ34" i="2"/>
  <c r="BK22" i="5"/>
  <c r="BJ7" i="5"/>
  <c r="BJ6" i="5"/>
  <c r="CI25" i="3" l="1"/>
  <c r="CJ66" i="3"/>
  <c r="CK60" i="3" s="1"/>
  <c r="CJ61" i="3"/>
  <c r="CJ65" i="3" s="1"/>
  <c r="CI62" i="3"/>
  <c r="CJ62" i="3" s="1"/>
  <c r="CH38" i="3"/>
  <c r="CH26" i="3" s="1"/>
  <c r="CG26" i="3"/>
  <c r="CK49" i="3"/>
  <c r="CK53" i="3" s="1"/>
  <c r="CK54" i="3"/>
  <c r="CL48" i="3" s="1"/>
  <c r="CJ49" i="3"/>
  <c r="CJ53" i="3" s="1"/>
  <c r="CI41" i="3"/>
  <c r="CJ42" i="3"/>
  <c r="CK36" i="3" s="1"/>
  <c r="CK24" i="3" s="1"/>
  <c r="AJ44" i="2"/>
  <c r="AJ47" i="2"/>
  <c r="AL35" i="2"/>
  <c r="BN29" i="3"/>
  <c r="CP23" i="3"/>
  <c r="CO1" i="5"/>
  <c r="CO19" i="5" s="1"/>
  <c r="BP28" i="3"/>
  <c r="BO4" i="5"/>
  <c r="BL9" i="5"/>
  <c r="BO30" i="3"/>
  <c r="CO14" i="5"/>
  <c r="AK34" i="2"/>
  <c r="BK5" i="5"/>
  <c r="BL21" i="5" s="1"/>
  <c r="CK61" i="3" l="1"/>
  <c r="CK65" i="3" s="1"/>
  <c r="CK66" i="3"/>
  <c r="CL60" i="3" s="1"/>
  <c r="CI38" i="3"/>
  <c r="CI26" i="3" s="1"/>
  <c r="CJ50" i="3"/>
  <c r="CK50" i="3" s="1"/>
  <c r="CL49" i="3"/>
  <c r="CL53" i="3" s="1"/>
  <c r="CL54" i="3"/>
  <c r="CM48" i="3" s="1"/>
  <c r="CK37" i="3"/>
  <c r="CK42" i="3"/>
  <c r="CL36" i="3" s="1"/>
  <c r="CJ37" i="3"/>
  <c r="CJ25" i="3" s="1"/>
  <c r="AK47" i="2"/>
  <c r="AK44" i="2"/>
  <c r="BO29" i="3"/>
  <c r="AM35" i="2"/>
  <c r="CQ23" i="3"/>
  <c r="CP1" i="5"/>
  <c r="CP19" i="5" s="1"/>
  <c r="BM9" i="5"/>
  <c r="BP4" i="5"/>
  <c r="BQ28" i="3"/>
  <c r="BP30" i="3"/>
  <c r="CP14" i="5"/>
  <c r="AL34" i="2"/>
  <c r="BL22" i="5"/>
  <c r="BL5" i="5" s="1"/>
  <c r="BK7" i="5"/>
  <c r="BK6" i="5"/>
  <c r="CK25" i="3" l="1"/>
  <c r="CL61" i="3"/>
  <c r="CL65" i="3" s="1"/>
  <c r="CL66" i="3"/>
  <c r="CM60" i="3" s="1"/>
  <c r="CL24" i="3"/>
  <c r="CK62" i="3"/>
  <c r="CM54" i="3"/>
  <c r="CN48" i="3" s="1"/>
  <c r="CL50" i="3"/>
  <c r="CK41" i="3"/>
  <c r="CJ41" i="3"/>
  <c r="CJ38" i="3"/>
  <c r="CL37" i="3"/>
  <c r="CL25" i="3" s="1"/>
  <c r="CL42" i="3"/>
  <c r="CM36" i="3" s="1"/>
  <c r="CM24" i="3" s="1"/>
  <c r="AL47" i="2"/>
  <c r="AL44" i="2"/>
  <c r="AN35" i="2"/>
  <c r="BP29" i="3"/>
  <c r="CR23" i="3"/>
  <c r="CQ1" i="5"/>
  <c r="CQ19" i="5" s="1"/>
  <c r="BQ4" i="5"/>
  <c r="BR28" i="3"/>
  <c r="BQ30" i="3"/>
  <c r="BN9" i="5"/>
  <c r="CQ14" i="5"/>
  <c r="AM34" i="2"/>
  <c r="BM22" i="5"/>
  <c r="BM5" i="5" s="1"/>
  <c r="BL7" i="5"/>
  <c r="BL6" i="5"/>
  <c r="CL62" i="3" l="1"/>
  <c r="CM66" i="3"/>
  <c r="CN60" i="3" s="1"/>
  <c r="CM61" i="3"/>
  <c r="CM65" i="3" s="1"/>
  <c r="CK38" i="3"/>
  <c r="CK26" i="3" s="1"/>
  <c r="CJ26" i="3"/>
  <c r="CN49" i="3"/>
  <c r="CN53" i="3" s="1"/>
  <c r="CN54" i="3"/>
  <c r="CO48" i="3" s="1"/>
  <c r="CM49" i="3"/>
  <c r="CM53" i="3" s="1"/>
  <c r="CL41" i="3"/>
  <c r="CM42" i="3"/>
  <c r="CN36" i="3" s="1"/>
  <c r="CN24" i="3" s="1"/>
  <c r="AM44" i="2"/>
  <c r="AM47" i="2"/>
  <c r="BQ29" i="3"/>
  <c r="CS23" i="3"/>
  <c r="CR1" i="5"/>
  <c r="CR19" i="5" s="1"/>
  <c r="BR30" i="3"/>
  <c r="BO9" i="5"/>
  <c r="BS28" i="3"/>
  <c r="BR4" i="5"/>
  <c r="CR14" i="5"/>
  <c r="AN34" i="2"/>
  <c r="BN22" i="5"/>
  <c r="BM7" i="5"/>
  <c r="BM6" i="5"/>
  <c r="CL38" i="3" l="1"/>
  <c r="CL26" i="3" s="1"/>
  <c r="CN61" i="3"/>
  <c r="CN65" i="3" s="1"/>
  <c r="CN66" i="3"/>
  <c r="CO60" i="3" s="1"/>
  <c r="CM62" i="3"/>
  <c r="CO49" i="3"/>
  <c r="CO53" i="3" s="1"/>
  <c r="CO54" i="3"/>
  <c r="CP48" i="3" s="1"/>
  <c r="CM50" i="3"/>
  <c r="CN50" i="3" s="1"/>
  <c r="CN37" i="3"/>
  <c r="CN42" i="3"/>
  <c r="CO36" i="3" s="1"/>
  <c r="CO24" i="3" s="1"/>
  <c r="CM37" i="3"/>
  <c r="CM25" i="3" s="1"/>
  <c r="AN47" i="2"/>
  <c r="AN44" i="2"/>
  <c r="AO44" i="2" s="1"/>
  <c r="BR29" i="3"/>
  <c r="CT23" i="3"/>
  <c r="CU23" i="3" s="1"/>
  <c r="CS1" i="5"/>
  <c r="CS19" i="5" s="1"/>
  <c r="BS4" i="5"/>
  <c r="BT28" i="3"/>
  <c r="BP9" i="5"/>
  <c r="BS30" i="3"/>
  <c r="CS14" i="5"/>
  <c r="BN5" i="5"/>
  <c r="BO21" i="5" s="1"/>
  <c r="CN62" i="3" l="1"/>
  <c r="CN25" i="3"/>
  <c r="CO50" i="3"/>
  <c r="CO61" i="3"/>
  <c r="CO65" i="3" s="1"/>
  <c r="CO66" i="3"/>
  <c r="CP60" i="3" s="1"/>
  <c r="CP54" i="3"/>
  <c r="CQ48" i="3" s="1"/>
  <c r="CV23" i="3"/>
  <c r="CU1" i="5"/>
  <c r="CU19" i="5" s="1"/>
  <c r="CN41" i="3"/>
  <c r="CM41" i="3"/>
  <c r="CM38" i="3"/>
  <c r="CO37" i="3"/>
  <c r="CO42" i="3"/>
  <c r="CP36" i="3" s="1"/>
  <c r="CP24" i="3" s="1"/>
  <c r="BS29" i="3"/>
  <c r="CT1" i="5"/>
  <c r="CT19" i="5" s="1"/>
  <c r="BT30" i="3"/>
  <c r="BU28" i="3"/>
  <c r="BT4" i="5"/>
  <c r="BQ9" i="5"/>
  <c r="CT14" i="5"/>
  <c r="BO22" i="5"/>
  <c r="BN6" i="5"/>
  <c r="BN7" i="5"/>
  <c r="CO25" i="3" l="1"/>
  <c r="CP66" i="3"/>
  <c r="CQ60" i="3" s="1"/>
  <c r="CP61" i="3"/>
  <c r="CP65" i="3" s="1"/>
  <c r="CO62" i="3"/>
  <c r="CP62" i="3" s="1"/>
  <c r="CN38" i="3"/>
  <c r="CN26" i="3" s="1"/>
  <c r="CM26" i="3"/>
  <c r="CP49" i="3"/>
  <c r="CQ49" i="3"/>
  <c r="CQ53" i="3" s="1"/>
  <c r="CQ54" i="3"/>
  <c r="CR48" i="3" s="1"/>
  <c r="CW23" i="3"/>
  <c r="CV1" i="5"/>
  <c r="CV19" i="5" s="1"/>
  <c r="CO41" i="3"/>
  <c r="CP42" i="3"/>
  <c r="CQ36" i="3" s="1"/>
  <c r="BT29" i="3"/>
  <c r="BR9" i="5"/>
  <c r="BU30" i="3"/>
  <c r="BV28" i="3"/>
  <c r="BU4" i="5"/>
  <c r="BO5" i="5"/>
  <c r="CQ24" i="3" l="1"/>
  <c r="CQ61" i="3"/>
  <c r="CQ65" i="3" s="1"/>
  <c r="CQ66" i="3"/>
  <c r="CR60" i="3" s="1"/>
  <c r="CO38" i="3"/>
  <c r="CO26" i="3" s="1"/>
  <c r="CR49" i="3"/>
  <c r="CR53" i="3" s="1"/>
  <c r="CR54" i="3"/>
  <c r="CS48" i="3" s="1"/>
  <c r="CP53" i="3"/>
  <c r="CP50" i="3"/>
  <c r="CQ50" i="3" s="1"/>
  <c r="CX23" i="3"/>
  <c r="CW1" i="5"/>
  <c r="CW19" i="5" s="1"/>
  <c r="CQ37" i="3"/>
  <c r="CQ25" i="3" s="1"/>
  <c r="CQ42" i="3"/>
  <c r="CR36" i="3" s="1"/>
  <c r="CR24" i="3" s="1"/>
  <c r="CP37" i="3"/>
  <c r="CP25" i="3" s="1"/>
  <c r="BU29" i="3"/>
  <c r="BV30" i="3"/>
  <c r="BS9" i="5"/>
  <c r="BW28" i="3"/>
  <c r="BV4" i="5"/>
  <c r="BP22" i="5"/>
  <c r="BP5" i="5" s="1"/>
  <c r="BO7" i="5"/>
  <c r="BO6" i="5"/>
  <c r="CR61" i="3" l="1"/>
  <c r="CR65" i="3" s="1"/>
  <c r="CR66" i="3"/>
  <c r="CS60" i="3" s="1"/>
  <c r="CQ62" i="3"/>
  <c r="CR62" i="3" s="1"/>
  <c r="CR50" i="3"/>
  <c r="CS54" i="3"/>
  <c r="CT48" i="3" s="1"/>
  <c r="CY23" i="3"/>
  <c r="CX1" i="5"/>
  <c r="CX19" i="5" s="1"/>
  <c r="CP41" i="3"/>
  <c r="CQ41" i="3"/>
  <c r="CR37" i="3"/>
  <c r="CR42" i="3"/>
  <c r="CS36" i="3" s="1"/>
  <c r="CS24" i="3" s="1"/>
  <c r="CP38" i="3"/>
  <c r="BV29" i="3"/>
  <c r="BT9" i="5"/>
  <c r="BW4" i="5"/>
  <c r="BX28" i="3"/>
  <c r="BW30" i="3"/>
  <c r="BQ22" i="5"/>
  <c r="BP7" i="5"/>
  <c r="BP6" i="5"/>
  <c r="CR25" i="3" l="1"/>
  <c r="CS66" i="3"/>
  <c r="CT60" i="3" s="1"/>
  <c r="CQ38" i="3"/>
  <c r="CQ26" i="3" s="1"/>
  <c r="CP26" i="3"/>
  <c r="CT49" i="3"/>
  <c r="CT53" i="3" s="1"/>
  <c r="CT54" i="3"/>
  <c r="CU48" i="3" s="1"/>
  <c r="CS49" i="3"/>
  <c r="CZ23" i="3"/>
  <c r="CY1" i="5"/>
  <c r="CY19" i="5" s="1"/>
  <c r="CR41" i="3"/>
  <c r="CR38" i="3"/>
  <c r="CR26" i="3" s="1"/>
  <c r="CS42" i="3"/>
  <c r="CT36" i="3" s="1"/>
  <c r="BW29" i="3"/>
  <c r="BX30" i="3"/>
  <c r="BX4" i="5"/>
  <c r="BY28" i="3"/>
  <c r="BU9" i="5"/>
  <c r="BQ5" i="5"/>
  <c r="BR21" i="5" s="1"/>
  <c r="CS61" i="3" l="1"/>
  <c r="CS65" i="3" s="1"/>
  <c r="CT61" i="3"/>
  <c r="CT65" i="3" s="1"/>
  <c r="CT66" i="3"/>
  <c r="CU60" i="3" s="1"/>
  <c r="CT24" i="3"/>
  <c r="CS62" i="3"/>
  <c r="CU49" i="3"/>
  <c r="CU53" i="3" s="1"/>
  <c r="CU54" i="3"/>
  <c r="CV48" i="3" s="1"/>
  <c r="CS53" i="3"/>
  <c r="CS50" i="3"/>
  <c r="CT50" i="3" s="1"/>
  <c r="DA23" i="3"/>
  <c r="CZ1" i="5"/>
  <c r="CZ19" i="5" s="1"/>
  <c r="CT37" i="3"/>
  <c r="CT25" i="3" s="1"/>
  <c r="CT42" i="3"/>
  <c r="CU36" i="3" s="1"/>
  <c r="CS37" i="3"/>
  <c r="CS25" i="3" s="1"/>
  <c r="BX29" i="3"/>
  <c r="BV9" i="5"/>
  <c r="BY30" i="3"/>
  <c r="BZ28" i="3"/>
  <c r="BY4" i="5"/>
  <c r="BR22" i="5"/>
  <c r="BR5" i="5" s="1"/>
  <c r="BQ7" i="5"/>
  <c r="BQ6" i="5"/>
  <c r="CU50" i="3" l="1"/>
  <c r="CU24" i="3"/>
  <c r="CT62" i="3"/>
  <c r="CU61" i="3"/>
  <c r="CU65" i="3" s="1"/>
  <c r="CU66" i="3"/>
  <c r="CV60" i="3" s="1"/>
  <c r="CV54" i="3"/>
  <c r="CW48" i="3" s="1"/>
  <c r="DB23" i="3"/>
  <c r="DA1" i="5"/>
  <c r="DA19" i="5" s="1"/>
  <c r="CT41" i="3"/>
  <c r="CS41" i="3"/>
  <c r="CS38" i="3"/>
  <c r="CU37" i="3"/>
  <c r="CU42" i="3"/>
  <c r="CV36" i="3" s="1"/>
  <c r="BY29" i="3"/>
  <c r="CA28" i="3"/>
  <c r="BZ4" i="5"/>
  <c r="BW9" i="5"/>
  <c r="BZ30" i="3"/>
  <c r="BS22" i="5"/>
  <c r="BR7" i="5"/>
  <c r="BR6" i="5"/>
  <c r="CV24" i="3" l="1"/>
  <c r="CU25" i="3"/>
  <c r="CV66" i="3"/>
  <c r="CW60" i="3" s="1"/>
  <c r="CV61" i="3"/>
  <c r="CV65" i="3" s="1"/>
  <c r="CU62" i="3"/>
  <c r="CT38" i="3"/>
  <c r="CT26" i="3" s="1"/>
  <c r="CS26" i="3"/>
  <c r="CV49" i="3"/>
  <c r="CW49" i="3"/>
  <c r="CW53" i="3" s="1"/>
  <c r="CW54" i="3"/>
  <c r="CX48" i="3" s="1"/>
  <c r="DC23" i="3"/>
  <c r="DB1" i="5"/>
  <c r="DB19" i="5" s="1"/>
  <c r="CU41" i="3"/>
  <c r="CV42" i="3"/>
  <c r="CW36" i="3" s="1"/>
  <c r="BZ29" i="3"/>
  <c r="BX9" i="5"/>
  <c r="CA30" i="3"/>
  <c r="CB28" i="3"/>
  <c r="CA4" i="5"/>
  <c r="BS5" i="5"/>
  <c r="CV62" i="3" l="1"/>
  <c r="CW24" i="3"/>
  <c r="CW61" i="3"/>
  <c r="CW65" i="3" s="1"/>
  <c r="CW66" i="3"/>
  <c r="CX60" i="3" s="1"/>
  <c r="CU38" i="3"/>
  <c r="CU26" i="3" s="1"/>
  <c r="CX49" i="3"/>
  <c r="CX53" i="3" s="1"/>
  <c r="CX54" i="3"/>
  <c r="CY48" i="3" s="1"/>
  <c r="CV53" i="3"/>
  <c r="CV50" i="3"/>
  <c r="CW50" i="3" s="1"/>
  <c r="CX50" i="3" s="1"/>
  <c r="DD23" i="3"/>
  <c r="DC1" i="5"/>
  <c r="DC19" i="5" s="1"/>
  <c r="CW37" i="3"/>
  <c r="CW25" i="3" s="1"/>
  <c r="CW42" i="3"/>
  <c r="CX36" i="3" s="1"/>
  <c r="CV37" i="3"/>
  <c r="CV25" i="3" s="1"/>
  <c r="CA29" i="3"/>
  <c r="CB4" i="5"/>
  <c r="CC28" i="3"/>
  <c r="BY9" i="5"/>
  <c r="CB30" i="3"/>
  <c r="BT22" i="5"/>
  <c r="BS7" i="5"/>
  <c r="BS6" i="5"/>
  <c r="CX24" i="3" l="1"/>
  <c r="CX61" i="3"/>
  <c r="CX65" i="3" s="1"/>
  <c r="CX66" i="3"/>
  <c r="CY60" i="3" s="1"/>
  <c r="CW62" i="3"/>
  <c r="CX62" i="3" s="1"/>
  <c r="CY54" i="3"/>
  <c r="CZ48" i="3" s="1"/>
  <c r="DE23" i="3"/>
  <c r="DD1" i="5"/>
  <c r="DD19" i="5" s="1"/>
  <c r="CV41" i="3"/>
  <c r="CW41" i="3"/>
  <c r="CX37" i="3"/>
  <c r="CX25" i="3" s="1"/>
  <c r="CX42" i="3"/>
  <c r="CY36" i="3" s="1"/>
  <c r="CY24" i="3" s="1"/>
  <c r="CV38" i="3"/>
  <c r="CB29" i="3"/>
  <c r="CC30" i="3"/>
  <c r="BZ9" i="5"/>
  <c r="CD28" i="3"/>
  <c r="CC4" i="5"/>
  <c r="BT5" i="5"/>
  <c r="BU21" i="5" s="1"/>
  <c r="CY66" i="3" l="1"/>
  <c r="CZ60" i="3" s="1"/>
  <c r="CY61" i="3"/>
  <c r="CY65" i="3" s="1"/>
  <c r="CW38" i="3"/>
  <c r="CW26" i="3" s="1"/>
  <c r="CV26" i="3"/>
  <c r="CZ49" i="3"/>
  <c r="CZ53" i="3" s="1"/>
  <c r="CZ54" i="3"/>
  <c r="DA48" i="3" s="1"/>
  <c r="CY49" i="3"/>
  <c r="DF23" i="3"/>
  <c r="DE1" i="5"/>
  <c r="DE19" i="5" s="1"/>
  <c r="CX41" i="3"/>
  <c r="CX38" i="3"/>
  <c r="CX26" i="3" s="1"/>
  <c r="CY42" i="3"/>
  <c r="CZ36" i="3" s="1"/>
  <c r="CC29" i="3"/>
  <c r="CD4" i="5"/>
  <c r="CE28" i="3"/>
  <c r="CD30" i="3"/>
  <c r="CA9" i="5"/>
  <c r="BU22" i="5"/>
  <c r="BU5" i="5" s="1"/>
  <c r="BT7" i="5"/>
  <c r="BT6" i="5"/>
  <c r="CZ61" i="3" l="1"/>
  <c r="CZ65" i="3" s="1"/>
  <c r="CZ66" i="3"/>
  <c r="DA60" i="3" s="1"/>
  <c r="CZ24" i="3"/>
  <c r="CY62" i="3"/>
  <c r="CZ62" i="3" s="1"/>
  <c r="CY53" i="3"/>
  <c r="CY50" i="3"/>
  <c r="CZ50" i="3" s="1"/>
  <c r="DA49" i="3"/>
  <c r="DA53" i="3" s="1"/>
  <c r="DA54" i="3"/>
  <c r="DB48" i="3" s="1"/>
  <c r="DF1" i="5"/>
  <c r="DF19" i="5" s="1"/>
  <c r="DG23" i="3"/>
  <c r="CZ37" i="3"/>
  <c r="CZ25" i="3" s="1"/>
  <c r="CZ42" i="3"/>
  <c r="DA36" i="3" s="1"/>
  <c r="DA24" i="3" s="1"/>
  <c r="CY37" i="3"/>
  <c r="CY25" i="3" s="1"/>
  <c r="CD29" i="3"/>
  <c r="CE30" i="3"/>
  <c r="CB9" i="5"/>
  <c r="CE4" i="5"/>
  <c r="CF28" i="3"/>
  <c r="BV22" i="5"/>
  <c r="BV5" i="5" s="1"/>
  <c r="BU7" i="5"/>
  <c r="BU6" i="5"/>
  <c r="DA61" i="3" l="1"/>
  <c r="DA65" i="3" s="1"/>
  <c r="DA66" i="3"/>
  <c r="DB60" i="3" s="1"/>
  <c r="DA50" i="3"/>
  <c r="DB54" i="3"/>
  <c r="DC48" i="3" s="1"/>
  <c r="DH23" i="3"/>
  <c r="DG1" i="5"/>
  <c r="DG19" i="5" s="1"/>
  <c r="CZ41" i="3"/>
  <c r="DA37" i="3"/>
  <c r="DA42" i="3"/>
  <c r="DB36" i="3" s="1"/>
  <c r="CY41" i="3"/>
  <c r="CY38" i="3"/>
  <c r="CE29" i="3"/>
  <c r="CC9" i="5"/>
  <c r="CG28" i="3"/>
  <c r="CF4" i="5"/>
  <c r="CF30" i="3"/>
  <c r="BW22" i="5"/>
  <c r="BV7" i="5"/>
  <c r="BV6" i="5"/>
  <c r="DB66" i="3" l="1"/>
  <c r="DC60" i="3" s="1"/>
  <c r="DB61" i="3"/>
  <c r="DB65" i="3" s="1"/>
  <c r="DB24" i="3"/>
  <c r="DA25" i="3"/>
  <c r="DA62" i="3"/>
  <c r="CZ38" i="3"/>
  <c r="CZ26" i="3" s="1"/>
  <c r="CY26" i="3"/>
  <c r="DC49" i="3"/>
  <c r="DC53" i="3" s="1"/>
  <c r="DC54" i="3"/>
  <c r="DD48" i="3" s="1"/>
  <c r="DB49" i="3"/>
  <c r="DB53" i="3" s="1"/>
  <c r="DI23" i="3"/>
  <c r="DH1" i="5"/>
  <c r="DH19" i="5" s="1"/>
  <c r="DA41" i="3"/>
  <c r="DA38" i="3"/>
  <c r="DA26" i="3" s="1"/>
  <c r="DB42" i="3"/>
  <c r="DC36" i="3" s="1"/>
  <c r="DC24" i="3" s="1"/>
  <c r="CF29" i="3"/>
  <c r="CD9" i="5"/>
  <c r="CG30" i="3"/>
  <c r="CG4" i="5"/>
  <c r="CH28" i="3"/>
  <c r="BW5" i="5"/>
  <c r="BX21" i="5" s="1"/>
  <c r="DB62" i="3" l="1"/>
  <c r="DC61" i="3"/>
  <c r="DC65" i="3" s="1"/>
  <c r="DC66" i="3"/>
  <c r="DD60" i="3" s="1"/>
  <c r="DB50" i="3"/>
  <c r="DC50" i="3" s="1"/>
  <c r="DD49" i="3"/>
  <c r="DD53" i="3" s="1"/>
  <c r="DD54" i="3"/>
  <c r="DE48" i="3" s="1"/>
  <c r="DJ23" i="3"/>
  <c r="DI1" i="5"/>
  <c r="DI19" i="5" s="1"/>
  <c r="DB37" i="3"/>
  <c r="DB25" i="3" s="1"/>
  <c r="DC37" i="3"/>
  <c r="DC25" i="3" s="1"/>
  <c r="DC42" i="3"/>
  <c r="DD36" i="3" s="1"/>
  <c r="DD24" i="3" s="1"/>
  <c r="CG29" i="3"/>
  <c r="CE9" i="5"/>
  <c r="CH4" i="5"/>
  <c r="CI28" i="3"/>
  <c r="CJ28" i="3" s="1"/>
  <c r="CH30" i="3"/>
  <c r="BX22" i="5"/>
  <c r="BX5" i="5" s="1"/>
  <c r="BW6" i="5"/>
  <c r="BW7" i="5"/>
  <c r="DD61" i="3" l="1"/>
  <c r="DD65" i="3" s="1"/>
  <c r="DD66" i="3"/>
  <c r="DE60" i="3" s="1"/>
  <c r="DC62" i="3"/>
  <c r="DE54" i="3"/>
  <c r="DF48" i="3" s="1"/>
  <c r="DD50" i="3"/>
  <c r="DK23" i="3"/>
  <c r="DJ1" i="5"/>
  <c r="DJ19" i="5" s="1"/>
  <c r="DC41" i="3"/>
  <c r="DB41" i="3"/>
  <c r="DB38" i="3"/>
  <c r="DD37" i="3"/>
  <c r="DD25" i="3" s="1"/>
  <c r="DD42" i="3"/>
  <c r="DE36" i="3" s="1"/>
  <c r="DE24" i="3" s="1"/>
  <c r="CH29" i="3"/>
  <c r="CI30" i="3"/>
  <c r="CI4" i="5"/>
  <c r="CF9" i="5"/>
  <c r="BY22" i="5"/>
  <c r="BY5" i="5" s="1"/>
  <c r="BX7" i="5"/>
  <c r="BX6" i="5"/>
  <c r="DD62" i="3" l="1"/>
  <c r="DE66" i="3"/>
  <c r="DF60" i="3" s="1"/>
  <c r="DC38" i="3"/>
  <c r="DC26" i="3" s="1"/>
  <c r="DB26" i="3"/>
  <c r="DF49" i="3"/>
  <c r="DF53" i="3" s="1"/>
  <c r="DF54" i="3"/>
  <c r="DG48" i="3" s="1"/>
  <c r="DE49" i="3"/>
  <c r="DE53" i="3" s="1"/>
  <c r="DL23" i="3"/>
  <c r="DK1" i="5"/>
  <c r="DK19" i="5" s="1"/>
  <c r="DD41" i="3"/>
  <c r="DD38" i="3"/>
  <c r="DD26" i="3" s="1"/>
  <c r="DE42" i="3"/>
  <c r="DF36" i="3" s="1"/>
  <c r="CI29" i="3"/>
  <c r="CG9" i="5"/>
  <c r="CJ4" i="5"/>
  <c r="CK28" i="3"/>
  <c r="CJ30" i="3"/>
  <c r="BZ22" i="5"/>
  <c r="BY7" i="5"/>
  <c r="BY6" i="5"/>
  <c r="DE61" i="3" l="1"/>
  <c r="DE65" i="3" s="1"/>
  <c r="DF61" i="3"/>
  <c r="DF65" i="3" s="1"/>
  <c r="DF66" i="3"/>
  <c r="DG60" i="3" s="1"/>
  <c r="DF24" i="3"/>
  <c r="DE62" i="3"/>
  <c r="DF62" i="3" s="1"/>
  <c r="DG49" i="3"/>
  <c r="DG53" i="3" s="1"/>
  <c r="DG54" i="3"/>
  <c r="DH48" i="3" s="1"/>
  <c r="DE50" i="3"/>
  <c r="DF50" i="3" s="1"/>
  <c r="DM23" i="3"/>
  <c r="DL1" i="5"/>
  <c r="DL19" i="5" s="1"/>
  <c r="DE37" i="3"/>
  <c r="DE25" i="3" s="1"/>
  <c r="DF37" i="3"/>
  <c r="DF42" i="3"/>
  <c r="DG36" i="3" s="1"/>
  <c r="CJ29" i="3"/>
  <c r="CH9" i="5"/>
  <c r="CL28" i="3"/>
  <c r="CK4" i="5"/>
  <c r="CK30" i="3"/>
  <c r="BZ5" i="5"/>
  <c r="CA21" i="5" s="1"/>
  <c r="DG24" i="3" l="1"/>
  <c r="DF25" i="3"/>
  <c r="DG61" i="3"/>
  <c r="DG65" i="3" s="1"/>
  <c r="DG66" i="3"/>
  <c r="DH60" i="3" s="1"/>
  <c r="DG50" i="3"/>
  <c r="DH54" i="3"/>
  <c r="DI48" i="3" s="1"/>
  <c r="DN23" i="3"/>
  <c r="DM1" i="5"/>
  <c r="DM19" i="5" s="1"/>
  <c r="DF41" i="3"/>
  <c r="DE41" i="3"/>
  <c r="DE38" i="3"/>
  <c r="DG37" i="3"/>
  <c r="DG25" i="3" s="1"/>
  <c r="DG42" i="3"/>
  <c r="DH36" i="3" s="1"/>
  <c r="CK29" i="3"/>
  <c r="CI9" i="5"/>
  <c r="CL4" i="5"/>
  <c r="CM28" i="3"/>
  <c r="CL30" i="3"/>
  <c r="CA22" i="5"/>
  <c r="CA5" i="5" s="1"/>
  <c r="BZ7" i="5"/>
  <c r="BZ6" i="5"/>
  <c r="DH24" i="3" l="1"/>
  <c r="DH66" i="3"/>
  <c r="DI60" i="3" s="1"/>
  <c r="DH61" i="3"/>
  <c r="DH65" i="3" s="1"/>
  <c r="DG62" i="3"/>
  <c r="DF38" i="3"/>
  <c r="DF26" i="3" s="1"/>
  <c r="DE26" i="3"/>
  <c r="DI49" i="3"/>
  <c r="DI53" i="3" s="1"/>
  <c r="DI54" i="3"/>
  <c r="DJ48" i="3" s="1"/>
  <c r="DH49" i="3"/>
  <c r="DN1" i="5"/>
  <c r="DN19" i="5" s="1"/>
  <c r="DG41" i="3"/>
  <c r="DH42" i="3"/>
  <c r="DI36" i="3" s="1"/>
  <c r="DI24" i="3" s="1"/>
  <c r="CL29" i="3"/>
  <c r="CJ9" i="5"/>
  <c r="CM4" i="5"/>
  <c r="CN28" i="3"/>
  <c r="CM30" i="3"/>
  <c r="CB22" i="5"/>
  <c r="CA7" i="5"/>
  <c r="CA6" i="5"/>
  <c r="DH62" i="3" l="1"/>
  <c r="DI61" i="3"/>
  <c r="DI65" i="3" s="1"/>
  <c r="DI66" i="3"/>
  <c r="DJ60" i="3" s="1"/>
  <c r="DG38" i="3"/>
  <c r="DG26" i="3" s="1"/>
  <c r="DH53" i="3"/>
  <c r="DH50" i="3"/>
  <c r="DI50" i="3" s="1"/>
  <c r="DJ49" i="3"/>
  <c r="DJ53" i="3" s="1"/>
  <c r="DJ54" i="3"/>
  <c r="DK48" i="3" s="1"/>
  <c r="DH37" i="3"/>
  <c r="DH25" i="3" s="1"/>
  <c r="DI37" i="3"/>
  <c r="DI25" i="3" s="1"/>
  <c r="DI42" i="3"/>
  <c r="DJ36" i="3" s="1"/>
  <c r="DJ24" i="3" s="1"/>
  <c r="CM29" i="3"/>
  <c r="CO28" i="3"/>
  <c r="CN4" i="5"/>
  <c r="CN30" i="3"/>
  <c r="CK9" i="5"/>
  <c r="CB5" i="5"/>
  <c r="DJ61" i="3" l="1"/>
  <c r="DJ65" i="3" s="1"/>
  <c r="DJ66" i="3"/>
  <c r="DK60" i="3" s="1"/>
  <c r="DI62" i="3"/>
  <c r="DJ62" i="3" s="1"/>
  <c r="DK54" i="3"/>
  <c r="DL48" i="3" s="1"/>
  <c r="DJ50" i="3"/>
  <c r="DI41" i="3"/>
  <c r="DH41" i="3"/>
  <c r="DH38" i="3"/>
  <c r="DJ37" i="3"/>
  <c r="DJ25" i="3" s="1"/>
  <c r="DJ42" i="3"/>
  <c r="DK36" i="3" s="1"/>
  <c r="DK24" i="3" s="1"/>
  <c r="CN29" i="3"/>
  <c r="CO30" i="3"/>
  <c r="CL9" i="5"/>
  <c r="CP28" i="3"/>
  <c r="CQ28" i="3" s="1"/>
  <c r="CR28" i="3" s="1"/>
  <c r="CS28" i="3" s="1"/>
  <c r="CT28" i="3" s="1"/>
  <c r="CU28" i="3" s="1"/>
  <c r="CO4" i="5"/>
  <c r="CC22" i="5"/>
  <c r="CB7" i="5"/>
  <c r="CB6" i="5"/>
  <c r="DK66" i="3" l="1"/>
  <c r="DL60" i="3" s="1"/>
  <c r="DK61" i="3"/>
  <c r="DK65" i="3" s="1"/>
  <c r="DI38" i="3"/>
  <c r="DI26" i="3" s="1"/>
  <c r="DH26" i="3"/>
  <c r="DL49" i="3"/>
  <c r="DL53" i="3" s="1"/>
  <c r="DL54" i="3"/>
  <c r="DM48" i="3" s="1"/>
  <c r="DK49" i="3"/>
  <c r="DK53" i="3" s="1"/>
  <c r="DJ41" i="3"/>
  <c r="DK42" i="3"/>
  <c r="DL36" i="3" s="1"/>
  <c r="DL24" i="3" s="1"/>
  <c r="CV28" i="3"/>
  <c r="CU4" i="5"/>
  <c r="CO29" i="3"/>
  <c r="CM9" i="5"/>
  <c r="CP4" i="5"/>
  <c r="CP30" i="3"/>
  <c r="CC5" i="5"/>
  <c r="CD21" i="5" s="1"/>
  <c r="DJ38" i="3" l="1"/>
  <c r="DJ26" i="3" s="1"/>
  <c r="DL61" i="3"/>
  <c r="DL65" i="3" s="1"/>
  <c r="DL66" i="3"/>
  <c r="DM60" i="3" s="1"/>
  <c r="DK62" i="3"/>
  <c r="DM49" i="3"/>
  <c r="DM53" i="3" s="1"/>
  <c r="DM54" i="3"/>
  <c r="DN48" i="3" s="1"/>
  <c r="DK50" i="3"/>
  <c r="DL50" i="3" s="1"/>
  <c r="DL37" i="3"/>
  <c r="DL42" i="3"/>
  <c r="DM36" i="3" s="1"/>
  <c r="DM24" i="3" s="1"/>
  <c r="DK37" i="3"/>
  <c r="DK25" i="3" s="1"/>
  <c r="CW28" i="3"/>
  <c r="CV4" i="5"/>
  <c r="CP29" i="3"/>
  <c r="CQ29" i="3"/>
  <c r="CQ30" i="3"/>
  <c r="CQ4" i="5"/>
  <c r="CN9" i="5"/>
  <c r="CD22" i="5"/>
  <c r="CD5" i="5" s="1"/>
  <c r="CC7" i="5"/>
  <c r="CC6" i="5"/>
  <c r="DL25" i="3" l="1"/>
  <c r="DL62" i="3"/>
  <c r="DM50" i="3"/>
  <c r="DM61" i="3"/>
  <c r="DM65" i="3" s="1"/>
  <c r="DM66" i="3"/>
  <c r="DN60" i="3" s="1"/>
  <c r="DN54" i="3"/>
  <c r="DK41" i="3"/>
  <c r="DL41" i="3"/>
  <c r="DM37" i="3"/>
  <c r="DM42" i="3"/>
  <c r="DN36" i="3" s="1"/>
  <c r="DK38" i="3"/>
  <c r="CX28" i="3"/>
  <c r="CW4" i="5"/>
  <c r="CR29" i="3"/>
  <c r="CR30" i="3"/>
  <c r="CO9" i="5"/>
  <c r="CR4" i="5"/>
  <c r="CE22" i="5"/>
  <c r="CE5" i="5" s="1"/>
  <c r="CD6" i="5"/>
  <c r="CD7" i="5"/>
  <c r="DM25" i="3" l="1"/>
  <c r="DN66" i="3"/>
  <c r="DO60" i="3" s="1"/>
  <c r="DN61" i="3"/>
  <c r="DN65" i="3" s="1"/>
  <c r="DN24" i="3"/>
  <c r="DN49" i="3"/>
  <c r="DN53" i="3" s="1"/>
  <c r="DO48" i="3"/>
  <c r="DM62" i="3"/>
  <c r="DL38" i="3"/>
  <c r="DL26" i="3" s="1"/>
  <c r="DK26" i="3"/>
  <c r="DM41" i="3"/>
  <c r="DN42" i="3"/>
  <c r="CY28" i="3"/>
  <c r="CX4" i="5"/>
  <c r="CS30" i="3"/>
  <c r="CS29" i="3" s="1"/>
  <c r="CP9" i="5"/>
  <c r="CS4" i="5"/>
  <c r="CF22" i="5"/>
  <c r="CE7" i="5"/>
  <c r="CE6" i="5"/>
  <c r="DN62" i="3" l="1"/>
  <c r="DN50" i="3"/>
  <c r="DO54" i="3"/>
  <c r="DP48" i="3" s="1"/>
  <c r="DO49" i="3"/>
  <c r="DO24" i="3"/>
  <c r="DO30" i="3" s="1"/>
  <c r="DO61" i="3"/>
  <c r="DO65" i="3" s="1"/>
  <c r="DO66" i="3"/>
  <c r="DP60" i="3" s="1"/>
  <c r="DM38" i="3"/>
  <c r="DM26" i="3" s="1"/>
  <c r="DN37" i="3"/>
  <c r="DN25" i="3" s="1"/>
  <c r="CT30" i="3"/>
  <c r="CZ28" i="3"/>
  <c r="CY4" i="5"/>
  <c r="CT4" i="5"/>
  <c r="CQ9" i="5"/>
  <c r="CF5" i="5"/>
  <c r="CG21" i="5" s="1"/>
  <c r="DO53" i="3" l="1"/>
  <c r="DO25" i="3"/>
  <c r="DO29" i="3" s="1"/>
  <c r="DP61" i="3"/>
  <c r="DP65" i="3" s="1"/>
  <c r="DP66" i="3"/>
  <c r="DQ60" i="3" s="1"/>
  <c r="DP49" i="3"/>
  <c r="DP54" i="3"/>
  <c r="DQ48" i="3" s="1"/>
  <c r="DP24" i="3"/>
  <c r="DP30" i="3" s="1"/>
  <c r="DO62" i="3"/>
  <c r="DP62" i="3" s="1"/>
  <c r="DO50" i="3"/>
  <c r="DP50" i="3" s="1"/>
  <c r="DN41" i="3"/>
  <c r="DN38" i="3"/>
  <c r="CT29" i="3"/>
  <c r="DA28" i="3"/>
  <c r="CZ4" i="5"/>
  <c r="CU29" i="3"/>
  <c r="CU30" i="3"/>
  <c r="CR9" i="5"/>
  <c r="CG22" i="5"/>
  <c r="CF6" i="5"/>
  <c r="CF7" i="5"/>
  <c r="DQ66" i="3" l="1"/>
  <c r="DQ61" i="3" s="1"/>
  <c r="DQ54" i="3"/>
  <c r="DQ49" i="3" s="1"/>
  <c r="DQ24" i="3"/>
  <c r="DQ30" i="3" s="1"/>
  <c r="DP53" i="3"/>
  <c r="DP25" i="3"/>
  <c r="DP29" i="3" s="1"/>
  <c r="DN26" i="3"/>
  <c r="DO38" i="3"/>
  <c r="DB28" i="3"/>
  <c r="DA4" i="5"/>
  <c r="CV30" i="3"/>
  <c r="CS9" i="5"/>
  <c r="CG5" i="5"/>
  <c r="DQ65" i="3" l="1"/>
  <c r="DQ62" i="3"/>
  <c r="DQ67" i="3" s="1"/>
  <c r="DQ25" i="3"/>
  <c r="DQ29" i="3" s="1"/>
  <c r="DQ50" i="3"/>
  <c r="DQ53" i="3"/>
  <c r="DP38" i="3"/>
  <c r="DO26" i="3"/>
  <c r="DO9" i="5" s="1"/>
  <c r="CV29" i="3"/>
  <c r="CU9" i="5"/>
  <c r="DC28" i="3"/>
  <c r="DB4" i="5"/>
  <c r="CW30" i="3"/>
  <c r="CW29" i="3"/>
  <c r="CT9" i="5"/>
  <c r="CH22" i="5"/>
  <c r="CG7" i="5"/>
  <c r="CG6" i="5"/>
  <c r="DQ38" i="3" l="1"/>
  <c r="DP26" i="3"/>
  <c r="DP9" i="5" s="1"/>
  <c r="CV9" i="5"/>
  <c r="DD28" i="3"/>
  <c r="DC4" i="5"/>
  <c r="CX30" i="3"/>
  <c r="CX29" i="3"/>
  <c r="CH5" i="5"/>
  <c r="DQ26" i="3" l="1"/>
  <c r="DQ9" i="5" s="1"/>
  <c r="DQ43" i="3"/>
  <c r="CI22" i="5"/>
  <c r="CW9" i="5"/>
  <c r="DE28" i="3"/>
  <c r="DD4" i="5"/>
  <c r="CY30" i="3"/>
  <c r="CH7" i="5"/>
  <c r="CH6" i="5"/>
  <c r="CI5" i="5" l="1"/>
  <c r="CJ21" i="5" s="1"/>
  <c r="CX9" i="5"/>
  <c r="DF28" i="3"/>
  <c r="DE4" i="5"/>
  <c r="CY29" i="3"/>
  <c r="CZ30" i="3"/>
  <c r="CZ29" i="3"/>
  <c r="CJ22" i="5" l="1"/>
  <c r="CI7" i="5"/>
  <c r="CI6" i="5"/>
  <c r="CY9" i="5"/>
  <c r="DG28" i="3"/>
  <c r="DF4" i="5"/>
  <c r="DA29" i="3"/>
  <c r="DA30" i="3"/>
  <c r="CJ5" i="5" l="1"/>
  <c r="DA9" i="5"/>
  <c r="DH28" i="3"/>
  <c r="DG4" i="5"/>
  <c r="DB30" i="3"/>
  <c r="CK22" i="5" l="1"/>
  <c r="CJ7" i="5"/>
  <c r="CJ6" i="5"/>
  <c r="CZ9" i="5"/>
  <c r="DI28" i="3"/>
  <c r="DH4" i="5"/>
  <c r="DC29" i="3"/>
  <c r="DC30" i="3"/>
  <c r="CK5" i="5" l="1"/>
  <c r="DB29" i="3"/>
  <c r="DJ28" i="3"/>
  <c r="DI4" i="5"/>
  <c r="DD29" i="3"/>
  <c r="DD30" i="3"/>
  <c r="CL22" i="5" l="1"/>
  <c r="CK6" i="5"/>
  <c r="CK7" i="5"/>
  <c r="DK28" i="3"/>
  <c r="DJ4" i="5"/>
  <c r="DB9" i="5"/>
  <c r="DE30" i="3"/>
  <c r="CL5" i="5" l="1"/>
  <c r="CM21" i="5" s="1"/>
  <c r="DE29" i="3"/>
  <c r="DL28" i="3"/>
  <c r="DK4" i="5"/>
  <c r="DC9" i="5"/>
  <c r="DD9" i="5"/>
  <c r="DF29" i="3"/>
  <c r="DF30" i="3"/>
  <c r="CM22" i="5" l="1"/>
  <c r="CL6" i="5"/>
  <c r="CL7" i="5"/>
  <c r="DM28" i="3"/>
  <c r="DL4" i="5"/>
  <c r="DG29" i="3"/>
  <c r="DG30" i="3"/>
  <c r="CM5" i="5" l="1"/>
  <c r="DE9" i="5"/>
  <c r="DN28" i="3"/>
  <c r="DO28" i="3" s="1"/>
  <c r="DM4" i="5"/>
  <c r="DH30" i="3"/>
  <c r="DP28" i="3" l="1"/>
  <c r="DO4" i="5"/>
  <c r="CN22" i="5"/>
  <c r="CM6" i="5"/>
  <c r="CM7" i="5"/>
  <c r="DN4" i="5"/>
  <c r="DH29" i="3"/>
  <c r="DF9" i="5"/>
  <c r="DI29" i="3"/>
  <c r="DI30" i="3"/>
  <c r="DQ28" i="3" l="1"/>
  <c r="DQ4" i="5" s="1"/>
  <c r="DP4" i="5"/>
  <c r="CN5" i="5"/>
  <c r="DG9" i="5"/>
  <c r="DJ29" i="3"/>
  <c r="DJ30" i="3"/>
  <c r="CO22" i="5" l="1"/>
  <c r="CN7" i="5"/>
  <c r="CN6" i="5"/>
  <c r="DH9" i="5"/>
  <c r="DK30" i="3"/>
  <c r="CO5" i="5" l="1"/>
  <c r="CP21" i="5" s="1"/>
  <c r="DK29" i="3"/>
  <c r="DI9" i="5"/>
  <c r="DL30" i="3"/>
  <c r="DL29" i="3"/>
  <c r="CP22" i="5" l="1"/>
  <c r="CO6" i="5"/>
  <c r="CO7" i="5"/>
  <c r="DJ9" i="5"/>
  <c r="DK9" i="5"/>
  <c r="DM29" i="3"/>
  <c r="DM30" i="3"/>
  <c r="CP5" i="5" l="1"/>
  <c r="DN30" i="3"/>
  <c r="CQ22" i="5" l="1"/>
  <c r="CP7" i="5"/>
  <c r="CP6" i="5"/>
  <c r="DN29" i="3"/>
  <c r="DM9" i="5"/>
  <c r="DL9" i="5"/>
  <c r="CQ5" i="5" l="1"/>
  <c r="CR22" i="5" l="1"/>
  <c r="CQ6" i="5"/>
  <c r="CQ7" i="5"/>
  <c r="DN9" i="5"/>
  <c r="CR5" i="5" l="1"/>
  <c r="CS21" i="5" s="1"/>
  <c r="CS22" i="5" l="1"/>
  <c r="CR7" i="5"/>
  <c r="CR6" i="5"/>
  <c r="CS5" i="5" l="1"/>
  <c r="CT22" i="5" l="1"/>
  <c r="CT5" i="5" s="1"/>
  <c r="CS7" i="5"/>
  <c r="CS6" i="5"/>
  <c r="CU22" i="5" l="1"/>
  <c r="CT7" i="5"/>
  <c r="CT6" i="5"/>
  <c r="CU5" i="5" l="1"/>
  <c r="CV21" i="5" s="1"/>
  <c r="CV22" i="5" l="1"/>
  <c r="CU7" i="5"/>
  <c r="CU6" i="5"/>
  <c r="CV5" i="5" l="1"/>
  <c r="CW22" i="5" l="1"/>
  <c r="CV7" i="5"/>
  <c r="CV6" i="5"/>
  <c r="CW5" i="5" l="1"/>
  <c r="CX22" i="5" l="1"/>
  <c r="CW6" i="5"/>
  <c r="CW7" i="5"/>
  <c r="CX5" i="5" l="1"/>
  <c r="CY21" i="5" s="1"/>
  <c r="CY22" i="5" l="1"/>
  <c r="CX6" i="5"/>
  <c r="CX7" i="5"/>
  <c r="CY5" i="5" l="1"/>
  <c r="CZ22" i="5" l="1"/>
  <c r="CY6" i="5"/>
  <c r="CY7" i="5"/>
  <c r="CZ5" i="5" l="1"/>
  <c r="DA22" i="5" l="1"/>
  <c r="CZ7" i="5"/>
  <c r="CZ6" i="5"/>
  <c r="DA5" i="5" l="1"/>
  <c r="DB21" i="5" s="1"/>
  <c r="DB22" i="5" l="1"/>
  <c r="DA6" i="5"/>
  <c r="DA7" i="5"/>
  <c r="DB5" i="5" l="1"/>
  <c r="DC22" i="5" l="1"/>
  <c r="DB6" i="5"/>
  <c r="DB7" i="5"/>
  <c r="DC5" i="5" l="1"/>
  <c r="DD22" i="5" l="1"/>
  <c r="DC7" i="5"/>
  <c r="DC6" i="5"/>
  <c r="DD5" i="5" l="1"/>
  <c r="DE21" i="5" s="1"/>
  <c r="DE22" i="5" l="1"/>
  <c r="DD6" i="5"/>
  <c r="DD7" i="5"/>
  <c r="DE5" i="5" l="1"/>
  <c r="DF22" i="5" l="1"/>
  <c r="DE7" i="5"/>
  <c r="DE6" i="5"/>
  <c r="DF5" i="5" l="1"/>
  <c r="DG22" i="5" l="1"/>
  <c r="DF6" i="5"/>
  <c r="DF7" i="5"/>
  <c r="DG5" i="5" l="1"/>
  <c r="DH21" i="5" s="1"/>
  <c r="DH22" i="5" l="1"/>
  <c r="DG7" i="5"/>
  <c r="DG6" i="5"/>
  <c r="DH5" i="5" l="1"/>
  <c r="DI22" i="5" l="1"/>
  <c r="DH7" i="5"/>
  <c r="DH6" i="5"/>
  <c r="DI5" i="5" l="1"/>
  <c r="DJ22" i="5" l="1"/>
  <c r="DI6" i="5"/>
  <c r="DI7" i="5"/>
  <c r="DJ5" i="5" l="1"/>
  <c r="DK21" i="5" s="1"/>
  <c r="DK22" i="5" l="1"/>
  <c r="DJ7" i="5"/>
  <c r="DJ6" i="5"/>
  <c r="DK5" i="5" l="1"/>
  <c r="DL22" i="5" l="1"/>
  <c r="DK6" i="5"/>
  <c r="DK7" i="5"/>
  <c r="DL5" i="5" l="1"/>
  <c r="DM22" i="5" l="1"/>
  <c r="DL7" i="5"/>
  <c r="DL6" i="5"/>
  <c r="DM5" i="5" l="1"/>
  <c r="DN21" i="5" s="1"/>
  <c r="DN22" i="5" l="1"/>
  <c r="DN5" i="5" s="1"/>
  <c r="DO22" i="5" s="1"/>
  <c r="DO5" i="5" s="1"/>
  <c r="DM6" i="5"/>
  <c r="DM7" i="5"/>
  <c r="DO7" i="5" l="1"/>
  <c r="DP22" i="5"/>
  <c r="DP5" i="5" s="1"/>
  <c r="DQ21" i="5" s="1"/>
  <c r="DO6" i="5"/>
  <c r="DN7" i="5"/>
  <c r="DN6" i="5"/>
  <c r="DQ22" i="5" l="1"/>
  <c r="DQ5" i="5" s="1"/>
  <c r="DP7" i="5"/>
  <c r="DP6" i="5"/>
  <c r="C57" i="2"/>
  <c r="D57" i="2" s="1"/>
  <c r="E57" i="2" s="1"/>
  <c r="F57" i="2" s="1"/>
  <c r="G57" i="2" s="1"/>
  <c r="H57" i="2" s="1"/>
  <c r="I57" i="2" s="1"/>
  <c r="J57" i="2" s="1"/>
  <c r="K57" i="2" s="1"/>
  <c r="L57" i="2" s="1"/>
  <c r="M57" i="2" s="1"/>
  <c r="N57" i="2" s="1"/>
  <c r="O57" i="2" s="1"/>
  <c r="P57" i="2" s="1"/>
  <c r="Q57" i="2" s="1"/>
  <c r="R57" i="2" s="1"/>
  <c r="S57" i="2" s="1"/>
  <c r="T57" i="2" s="1"/>
  <c r="U57" i="2" s="1"/>
  <c r="V57" i="2" s="1"/>
  <c r="W57" i="2" s="1"/>
  <c r="X57" i="2" s="1"/>
  <c r="Y57" i="2" s="1"/>
  <c r="Z57" i="2" s="1"/>
  <c r="AA57" i="2" s="1"/>
  <c r="AB57" i="2" s="1"/>
  <c r="AC57" i="2" s="1"/>
  <c r="AD57" i="2" s="1"/>
  <c r="AE57" i="2" s="1"/>
  <c r="AF57" i="2" s="1"/>
  <c r="AG57" i="2" s="1"/>
  <c r="AH57" i="2" s="1"/>
  <c r="AI57" i="2" s="1"/>
  <c r="AJ57" i="2" s="1"/>
  <c r="AK57" i="2" s="1"/>
  <c r="AL57" i="2" s="1"/>
  <c r="AM57" i="2" s="1"/>
  <c r="AN57" i="2" s="1"/>
  <c r="DQ6" i="5" l="1"/>
  <c r="DQ7" i="5"/>
  <c r="AO57" i="2"/>
  <c r="C31" i="2"/>
  <c r="D10" i="5"/>
  <c r="AO83" i="2"/>
  <c r="DQ55" i="3" l="1"/>
  <c r="AI83" i="2"/>
  <c r="S83" i="2"/>
  <c r="C83" i="2"/>
  <c r="Z83" i="2"/>
  <c r="J83" i="2"/>
  <c r="AC83" i="2"/>
  <c r="AF83" i="2"/>
  <c r="AB83" i="2"/>
  <c r="AG83" i="2"/>
  <c r="AE83" i="2"/>
  <c r="O83" i="2"/>
  <c r="AL83" i="2"/>
  <c r="V83" i="2"/>
  <c r="F83" i="2"/>
  <c r="U83" i="2"/>
  <c r="Y83" i="2"/>
  <c r="P83" i="2"/>
  <c r="T83" i="2"/>
  <c r="Q83" i="2"/>
  <c r="AA83" i="2"/>
  <c r="K83" i="2"/>
  <c r="AH83" i="2"/>
  <c r="R83" i="2"/>
  <c r="B83" i="2"/>
  <c r="M83" i="2"/>
  <c r="I83" i="2"/>
  <c r="H83" i="2"/>
  <c r="L83" i="2"/>
  <c r="X83" i="2"/>
  <c r="G83" i="2"/>
  <c r="E83" i="2"/>
  <c r="AD83" i="2"/>
  <c r="AN83" i="2"/>
  <c r="N83" i="2"/>
  <c r="D83" i="2"/>
  <c r="AK83" i="2"/>
  <c r="AM83" i="2"/>
  <c r="AJ83" i="2"/>
  <c r="W83" i="2"/>
  <c r="E10" i="5"/>
  <c r="D26" i="5"/>
  <c r="G10" i="5"/>
  <c r="D31" i="2"/>
  <c r="H10" i="5" l="1"/>
  <c r="D11" i="5"/>
  <c r="E26" i="5"/>
  <c r="E31" i="2"/>
  <c r="J10" i="5"/>
  <c r="F10" i="5"/>
  <c r="K10" i="5" l="1"/>
  <c r="D13" i="5"/>
  <c r="D12" i="5"/>
  <c r="M10" i="5"/>
  <c r="F31" i="2"/>
  <c r="I10" i="5"/>
  <c r="E11" i="5"/>
  <c r="F26" i="5"/>
  <c r="E13" i="5" l="1"/>
  <c r="E12" i="5"/>
  <c r="G31" i="2"/>
  <c r="P10" i="5"/>
  <c r="N10" i="5"/>
  <c r="L10" i="5"/>
  <c r="F11" i="5"/>
  <c r="H31" i="2" l="1"/>
  <c r="S10" i="5"/>
  <c r="O10" i="5"/>
  <c r="F13" i="5"/>
  <c r="G26" i="5"/>
  <c r="F12" i="5"/>
  <c r="Q10" i="5"/>
  <c r="R10" i="5" l="1"/>
  <c r="G11" i="5"/>
  <c r="H26" i="5"/>
  <c r="T10" i="5"/>
  <c r="V10" i="5"/>
  <c r="I31" i="2"/>
  <c r="J31" i="2" l="1"/>
  <c r="Y10" i="5"/>
  <c r="U10" i="5"/>
  <c r="G13" i="5"/>
  <c r="G12" i="5"/>
  <c r="W10" i="5"/>
  <c r="H11" i="5"/>
  <c r="I26" i="5"/>
  <c r="H13" i="5" l="1"/>
  <c r="H12" i="5"/>
  <c r="Z10" i="5"/>
  <c r="I11" i="5"/>
  <c r="X10" i="5"/>
  <c r="AB10" i="5"/>
  <c r="K31" i="2"/>
  <c r="L31" i="2" l="1"/>
  <c r="AE10" i="5"/>
  <c r="AC10" i="5"/>
  <c r="I13" i="5"/>
  <c r="J26" i="5"/>
  <c r="I12" i="5"/>
  <c r="AA10" i="5"/>
  <c r="J11" i="5" l="1"/>
  <c r="K26" i="5"/>
  <c r="AF10" i="5"/>
  <c r="AD10" i="5"/>
  <c r="AH10" i="5"/>
  <c r="M31" i="2"/>
  <c r="N31" i="2" l="1"/>
  <c r="AK10" i="5"/>
  <c r="K11" i="5"/>
  <c r="L26" i="5"/>
  <c r="AG10" i="5"/>
  <c r="AI10" i="5"/>
  <c r="J13" i="5"/>
  <c r="J12" i="5"/>
  <c r="AJ10" i="5" l="1"/>
  <c r="L11" i="5"/>
  <c r="AL10" i="5"/>
  <c r="K13" i="5"/>
  <c r="K12" i="5"/>
  <c r="AN10" i="5"/>
  <c r="O31" i="2"/>
  <c r="AO10" i="5" l="1"/>
  <c r="L13" i="5"/>
  <c r="M26" i="5"/>
  <c r="L12" i="5"/>
  <c r="AM10" i="5"/>
  <c r="P31" i="2"/>
  <c r="AQ10" i="5"/>
  <c r="AR10" i="5" l="1"/>
  <c r="AT10" i="5"/>
  <c r="Q31" i="2"/>
  <c r="AP10" i="5"/>
  <c r="M11" i="5"/>
  <c r="N26" i="5"/>
  <c r="N11" i="5" l="1"/>
  <c r="O26" i="5"/>
  <c r="AW10" i="5"/>
  <c r="R31" i="2"/>
  <c r="AS10" i="5"/>
  <c r="M13" i="5"/>
  <c r="M12" i="5"/>
  <c r="AU10" i="5"/>
  <c r="AV10" i="5" l="1"/>
  <c r="AX10" i="5"/>
  <c r="O11" i="5"/>
  <c r="AZ10" i="5"/>
  <c r="S31" i="2"/>
  <c r="N13" i="5"/>
  <c r="N12" i="5"/>
  <c r="T31" i="2" l="1"/>
  <c r="BC10" i="5"/>
  <c r="O13" i="5"/>
  <c r="P26" i="5"/>
  <c r="O12" i="5"/>
  <c r="AY10" i="5"/>
  <c r="BA10" i="5"/>
  <c r="BB10" i="5" l="1"/>
  <c r="BD10" i="5"/>
  <c r="Q26" i="5"/>
  <c r="P11" i="5"/>
  <c r="U31" i="2"/>
  <c r="BF10" i="5"/>
  <c r="P13" i="5" l="1"/>
  <c r="P12" i="5"/>
  <c r="BG10" i="5"/>
  <c r="Q11" i="5"/>
  <c r="R26" i="5"/>
  <c r="BI10" i="5"/>
  <c r="V31" i="2"/>
  <c r="BE10" i="5"/>
  <c r="R11" i="5" l="1"/>
  <c r="S25" i="5" s="1"/>
  <c r="W31" i="2"/>
  <c r="BL10" i="5"/>
  <c r="Q13" i="5"/>
  <c r="Q12" i="5"/>
  <c r="BJ10" i="5"/>
  <c r="BH10" i="5"/>
  <c r="BO10" i="5" l="1"/>
  <c r="X31" i="2"/>
  <c r="BK10" i="5"/>
  <c r="BM10" i="5"/>
  <c r="R13" i="5"/>
  <c r="S26" i="5"/>
  <c r="R12" i="5"/>
  <c r="S11" i="5" l="1"/>
  <c r="T26" i="5"/>
  <c r="BR10" i="5"/>
  <c r="Y31" i="2"/>
  <c r="BP10" i="5"/>
  <c r="BN10" i="5"/>
  <c r="BQ10" i="5" l="1"/>
  <c r="BS10" i="5"/>
  <c r="T11" i="5"/>
  <c r="U26" i="5"/>
  <c r="BU10" i="5"/>
  <c r="Z31" i="2"/>
  <c r="S13" i="5"/>
  <c r="S12" i="5"/>
  <c r="U11" i="5" l="1"/>
  <c r="V25" i="5" s="1"/>
  <c r="BX10" i="5"/>
  <c r="AA31" i="2"/>
  <c r="T13" i="5"/>
  <c r="T12" i="5"/>
  <c r="BV10" i="5"/>
  <c r="BT10" i="5"/>
  <c r="BY10" i="5" l="1"/>
  <c r="BW10" i="5"/>
  <c r="AB31" i="2"/>
  <c r="CA10" i="5"/>
  <c r="U13" i="5"/>
  <c r="V26" i="5"/>
  <c r="U12" i="5"/>
  <c r="AC31" i="2" l="1"/>
  <c r="CD10" i="5"/>
  <c r="BZ10" i="5"/>
  <c r="V11" i="5"/>
  <c r="W26" i="5"/>
  <c r="CB10" i="5"/>
  <c r="CC10" i="5" l="1"/>
  <c r="W11" i="5"/>
  <c r="X26" i="5"/>
  <c r="CE10" i="5"/>
  <c r="V13" i="5"/>
  <c r="V12" i="5"/>
  <c r="AD31" i="2"/>
  <c r="CG10" i="5"/>
  <c r="CJ10" i="5" l="1"/>
  <c r="AE31" i="2"/>
  <c r="CF10" i="5"/>
  <c r="W13" i="5"/>
  <c r="W12" i="5"/>
  <c r="CH10" i="5"/>
  <c r="X11" i="5"/>
  <c r="Y25" i="5" s="1"/>
  <c r="X13" i="5" l="1"/>
  <c r="Y26" i="5"/>
  <c r="X12" i="5"/>
  <c r="CI10" i="5"/>
  <c r="AF31" i="2"/>
  <c r="CM10" i="5"/>
  <c r="CK10" i="5"/>
  <c r="CL10" i="5" l="1"/>
  <c r="CP10" i="5"/>
  <c r="AG31" i="2"/>
  <c r="Y11" i="5"/>
  <c r="Z26" i="5"/>
  <c r="CN10" i="5"/>
  <c r="Z11" i="5" l="1"/>
  <c r="AA26" i="5"/>
  <c r="CQ10" i="5"/>
  <c r="CO10" i="5"/>
  <c r="Y13" i="5"/>
  <c r="Y12" i="5"/>
  <c r="CS10" i="5"/>
  <c r="AH31" i="2"/>
  <c r="CV10" i="5" l="1"/>
  <c r="AI31" i="2"/>
  <c r="CT10" i="5"/>
  <c r="AA11" i="5"/>
  <c r="AB25" i="5" s="1"/>
  <c r="CR10" i="5"/>
  <c r="Z13" i="5"/>
  <c r="Z12" i="5"/>
  <c r="AA13" i="5" l="1"/>
  <c r="AB26" i="5"/>
  <c r="AA12" i="5"/>
  <c r="CY10" i="5"/>
  <c r="AJ31" i="2"/>
  <c r="CW10" i="5"/>
  <c r="CU10" i="5"/>
  <c r="DB10" i="5" l="1"/>
  <c r="AK31" i="2"/>
  <c r="AC26" i="5"/>
  <c r="AB11" i="5"/>
  <c r="CX10" i="5"/>
  <c r="CZ10" i="5"/>
  <c r="AB13" i="5" l="1"/>
  <c r="AB12" i="5"/>
  <c r="DE10" i="5"/>
  <c r="AL31" i="2"/>
  <c r="DC10" i="5"/>
  <c r="DA10" i="5"/>
  <c r="AC11" i="5"/>
  <c r="AD26" i="5"/>
  <c r="DH10" i="5" l="1"/>
  <c r="AM31" i="2"/>
  <c r="AD11" i="5"/>
  <c r="AE25" i="5" s="1"/>
  <c r="AC13" i="5"/>
  <c r="AC12" i="5"/>
  <c r="DD10" i="5"/>
  <c r="DF10" i="5"/>
  <c r="AD13" i="5" l="1"/>
  <c r="AE26" i="5"/>
  <c r="AD12" i="5"/>
  <c r="DK10" i="5"/>
  <c r="AN31" i="2"/>
  <c r="AO31" i="2" s="1"/>
  <c r="DG10" i="5"/>
  <c r="DI10" i="5"/>
  <c r="DQ10" i="5" l="1"/>
  <c r="DQ31" i="3"/>
  <c r="A16" i="7" a="1"/>
  <c r="H45" i="7" s="1"/>
  <c r="DJ10" i="5"/>
  <c r="DN10" i="5"/>
  <c r="DO10" i="5" s="1"/>
  <c r="DP10" i="5" s="1"/>
  <c r="AE11" i="5"/>
  <c r="AF26" i="5"/>
  <c r="DL10" i="5"/>
  <c r="D40" i="7" l="1"/>
  <c r="D24" i="7"/>
  <c r="C50" i="7"/>
  <c r="L50" i="7" s="1"/>
  <c r="B44" i="7"/>
  <c r="F17" i="7"/>
  <c r="E43" i="7"/>
  <c r="N43" i="7" s="1"/>
  <c r="A49" i="7"/>
  <c r="A27" i="7"/>
  <c r="F53" i="7"/>
  <c r="C35" i="7"/>
  <c r="L35" i="7" s="1"/>
  <c r="B45" i="7"/>
  <c r="F29" i="7"/>
  <c r="B22" i="7"/>
  <c r="G42" i="7"/>
  <c r="F35" i="7"/>
  <c r="B55" i="7"/>
  <c r="F50" i="7"/>
  <c r="C47" i="7"/>
  <c r="L47" i="7" s="1"/>
  <c r="B16" i="7"/>
  <c r="C30" i="7"/>
  <c r="L30" i="7" s="1"/>
  <c r="D54" i="7"/>
  <c r="D49" i="7"/>
  <c r="D44" i="7"/>
  <c r="D38" i="7"/>
  <c r="D33" i="7"/>
  <c r="D28" i="7"/>
  <c r="D22" i="7"/>
  <c r="D18" i="7"/>
  <c r="H47" i="7"/>
  <c r="H18" i="7"/>
  <c r="B42" i="7"/>
  <c r="F32" i="7"/>
  <c r="G25" i="7"/>
  <c r="A39" i="7"/>
  <c r="A28" i="7"/>
  <c r="B48" i="7"/>
  <c r="E41" i="7"/>
  <c r="N41" i="7" s="1"/>
  <c r="A32" i="7"/>
  <c r="H27" i="7"/>
  <c r="B17" i="7"/>
  <c r="E31" i="7"/>
  <c r="N31" i="7" s="1"/>
  <c r="A41" i="7"/>
  <c r="F51" i="7"/>
  <c r="C25" i="7"/>
  <c r="L25" i="7" s="1"/>
  <c r="G55" i="7"/>
  <c r="E24" i="7"/>
  <c r="N24" i="7" s="1"/>
  <c r="C22" i="7"/>
  <c r="L22" i="7" s="1"/>
  <c r="E26" i="7"/>
  <c r="N26" i="7" s="1"/>
  <c r="F27" i="7"/>
  <c r="C37" i="7"/>
  <c r="L37" i="7" s="1"/>
  <c r="G41" i="7"/>
  <c r="F42" i="7"/>
  <c r="C16" i="7"/>
  <c r="H34" i="7"/>
  <c r="C31" i="7"/>
  <c r="L31" i="7" s="1"/>
  <c r="B35" i="7"/>
  <c r="B27" i="7"/>
  <c r="E23" i="7"/>
  <c r="N23" i="7" s="1"/>
  <c r="E28" i="7"/>
  <c r="N28" i="7" s="1"/>
  <c r="B18" i="7"/>
  <c r="H53" i="7"/>
  <c r="A48" i="7"/>
  <c r="F37" i="7"/>
  <c r="H39" i="7"/>
  <c r="C28" i="7"/>
  <c r="L28" i="7" s="1"/>
  <c r="B33" i="7"/>
  <c r="B30" i="7"/>
  <c r="C56" i="7"/>
  <c r="L56" i="7" s="1"/>
  <c r="A25" i="7"/>
  <c r="A33" i="7"/>
  <c r="E42" i="7"/>
  <c r="N42" i="7" s="1"/>
  <c r="A22" i="7"/>
  <c r="A19" i="7"/>
  <c r="G53" i="7"/>
  <c r="C45" i="7"/>
  <c r="L45" i="7" s="1"/>
  <c r="E38" i="7"/>
  <c r="N38" i="7" s="1"/>
  <c r="E35" i="7"/>
  <c r="N35" i="7" s="1"/>
  <c r="H41" i="7"/>
  <c r="A34" i="7"/>
  <c r="F55" i="7"/>
  <c r="C55" i="7"/>
  <c r="L55" i="7" s="1"/>
  <c r="D45" i="7"/>
  <c r="D29" i="7"/>
  <c r="H38" i="7"/>
  <c r="C21" i="7"/>
  <c r="L21" i="7" s="1"/>
  <c r="H23" i="7"/>
  <c r="F19" i="7"/>
  <c r="F34" i="7"/>
  <c r="B56" i="7"/>
  <c r="E56" i="7"/>
  <c r="N56" i="7" s="1"/>
  <c r="A42" i="7"/>
  <c r="A52" i="7"/>
  <c r="G32" i="7"/>
  <c r="C51" i="7"/>
  <c r="L51" i="7" s="1"/>
  <c r="H31" i="7"/>
  <c r="F38" i="7"/>
  <c r="H16" i="7"/>
  <c r="C44" i="7"/>
  <c r="L44" i="7" s="1"/>
  <c r="G47" i="7"/>
  <c r="F28" i="7"/>
  <c r="B29" i="7"/>
  <c r="G48" i="7"/>
  <c r="F45" i="7"/>
  <c r="B41" i="7"/>
  <c r="D55" i="7"/>
  <c r="D53" i="7"/>
  <c r="D48" i="7"/>
  <c r="D42" i="7"/>
  <c r="D37" i="7"/>
  <c r="D32" i="7"/>
  <c r="D26" i="7"/>
  <c r="D21" i="7"/>
  <c r="C17" i="7"/>
  <c r="L17" i="7" s="1"/>
  <c r="H49" i="7"/>
  <c r="F30" i="7"/>
  <c r="G46" i="7"/>
  <c r="A37" i="7"/>
  <c r="C48" i="7"/>
  <c r="L48" i="7" s="1"/>
  <c r="B46" i="7"/>
  <c r="G49" i="7"/>
  <c r="A30" i="7"/>
  <c r="H42" i="7"/>
  <c r="B39" i="7"/>
  <c r="G36" i="7"/>
  <c r="F31" i="7"/>
  <c r="F25" i="7"/>
  <c r="G44" i="7"/>
  <c r="B34" i="7"/>
  <c r="E46" i="7"/>
  <c r="N46" i="7" s="1"/>
  <c r="H32" i="7"/>
  <c r="B49" i="7"/>
  <c r="E50" i="7"/>
  <c r="N50" i="7" s="1"/>
  <c r="G18" i="7"/>
  <c r="E49" i="7"/>
  <c r="N49" i="7" s="1"/>
  <c r="E22" i="7"/>
  <c r="N22" i="7" s="1"/>
  <c r="H19" i="7"/>
  <c r="B25" i="7"/>
  <c r="F39" i="7"/>
  <c r="H43" i="7"/>
  <c r="A20" i="7"/>
  <c r="B43" i="7"/>
  <c r="F20" i="7"/>
  <c r="G51" i="7"/>
  <c r="B53" i="7"/>
  <c r="B50" i="7"/>
  <c r="H24" i="7"/>
  <c r="E30" i="7"/>
  <c r="N30" i="7" s="1"/>
  <c r="E27" i="7"/>
  <c r="N27" i="7" s="1"/>
  <c r="H48" i="7"/>
  <c r="A26" i="7"/>
  <c r="A23" i="7"/>
  <c r="A56" i="7"/>
  <c r="C43" i="7"/>
  <c r="L43" i="7" s="1"/>
  <c r="A17" i="7"/>
  <c r="B40" i="7"/>
  <c r="A44" i="7"/>
  <c r="A54" i="7"/>
  <c r="A51" i="7"/>
  <c r="H29" i="7"/>
  <c r="C29" i="7"/>
  <c r="L29" i="7" s="1"/>
  <c r="B31" i="7"/>
  <c r="H56" i="7"/>
  <c r="H55" i="7"/>
  <c r="F26" i="7"/>
  <c r="E45" i="7"/>
  <c r="N45" i="7" s="1"/>
  <c r="C39" i="7"/>
  <c r="L39" i="7" s="1"/>
  <c r="D50" i="7"/>
  <c r="D34" i="7"/>
  <c r="G17" i="7"/>
  <c r="E17" i="7"/>
  <c r="N17" i="7" s="1"/>
  <c r="E32" i="7"/>
  <c r="N32" i="7" s="1"/>
  <c r="C41" i="7"/>
  <c r="L41" i="7" s="1"/>
  <c r="A18" i="7"/>
  <c r="H28" i="7"/>
  <c r="B19" i="7"/>
  <c r="H44" i="7"/>
  <c r="G30" i="7"/>
  <c r="E37" i="7"/>
  <c r="N37" i="7" s="1"/>
  <c r="F41" i="7"/>
  <c r="B26" i="7"/>
  <c r="F48" i="7"/>
  <c r="G34" i="7"/>
  <c r="H25" i="7"/>
  <c r="D52" i="7"/>
  <c r="D46" i="7"/>
  <c r="D41" i="7"/>
  <c r="D36" i="7"/>
  <c r="D30" i="7"/>
  <c r="D25" i="7"/>
  <c r="D20" i="7"/>
  <c r="B24" i="7"/>
  <c r="C38" i="7"/>
  <c r="L38" i="7" s="1"/>
  <c r="E52" i="7"/>
  <c r="N52" i="7" s="1"/>
  <c r="C53" i="7"/>
  <c r="L53" i="7" s="1"/>
  <c r="E19" i="7"/>
  <c r="N19" i="7" s="1"/>
  <c r="A16" i="7"/>
  <c r="C19" i="7"/>
  <c r="L19" i="7" s="1"/>
  <c r="C18" i="7"/>
  <c r="L18" i="7" s="1"/>
  <c r="F54" i="7"/>
  <c r="H37" i="7"/>
  <c r="F21" i="7"/>
  <c r="C36" i="7"/>
  <c r="L36" i="7" s="1"/>
  <c r="G40" i="7"/>
  <c r="G35" i="7"/>
  <c r="F22" i="7"/>
  <c r="G27" i="7"/>
  <c r="A29" i="7"/>
  <c r="C52" i="7"/>
  <c r="L52" i="7" s="1"/>
  <c r="H17" i="7"/>
  <c r="G26" i="7"/>
  <c r="A38" i="7"/>
  <c r="E55" i="7"/>
  <c r="N55" i="7" s="1"/>
  <c r="B47" i="7"/>
  <c r="H30" i="7"/>
  <c r="G54" i="7"/>
  <c r="E29" i="7"/>
  <c r="N29" i="7" s="1"/>
  <c r="H52" i="7"/>
  <c r="F44" i="7"/>
  <c r="E47" i="7"/>
  <c r="N47" i="7" s="1"/>
  <c r="H54" i="7"/>
  <c r="A46" i="7"/>
  <c r="A43" i="7"/>
  <c r="G24" i="7"/>
  <c r="C33" i="7"/>
  <c r="L33" i="7" s="1"/>
  <c r="B23" i="7"/>
  <c r="B20" i="7"/>
  <c r="H22" i="7"/>
  <c r="F18" i="7"/>
  <c r="A55" i="7"/>
  <c r="G38" i="7"/>
  <c r="C27" i="7"/>
  <c r="L27" i="7" s="1"/>
  <c r="C54" i="7"/>
  <c r="L54" i="7" s="1"/>
  <c r="C46" i="7"/>
  <c r="L46" i="7" s="1"/>
  <c r="B51" i="7"/>
  <c r="F46" i="7"/>
  <c r="E33" i="7"/>
  <c r="N33" i="7" s="1"/>
  <c r="G39" i="7"/>
  <c r="A24" i="7"/>
  <c r="A53" i="7"/>
  <c r="G22" i="7"/>
  <c r="C40" i="7"/>
  <c r="L40" i="7" s="1"/>
  <c r="E48" i="7"/>
  <c r="N48" i="7" s="1"/>
  <c r="G20" i="7"/>
  <c r="A31" i="7"/>
  <c r="B38" i="7"/>
  <c r="H36" i="7"/>
  <c r="C23" i="7"/>
  <c r="L23" i="7" s="1"/>
  <c r="D51" i="7"/>
  <c r="D47" i="7"/>
  <c r="D43" i="7"/>
  <c r="D39" i="7"/>
  <c r="D35" i="7"/>
  <c r="D31" i="7"/>
  <c r="D27" i="7"/>
  <c r="D23" i="7"/>
  <c r="D19" i="7"/>
  <c r="D17" i="7"/>
  <c r="G16" i="7"/>
  <c r="F33" i="7"/>
  <c r="A35" i="7"/>
  <c r="G19" i="7"/>
  <c r="E54" i="7"/>
  <c r="N54" i="7" s="1"/>
  <c r="G50" i="7"/>
  <c r="A50" i="7"/>
  <c r="G31" i="7"/>
  <c r="E18" i="7"/>
  <c r="N18" i="7" s="1"/>
  <c r="F36" i="7"/>
  <c r="B37" i="7"/>
  <c r="H21" i="7"/>
  <c r="F56" i="7"/>
  <c r="H46" i="7"/>
  <c r="C26" i="7"/>
  <c r="L26" i="7" s="1"/>
  <c r="G45" i="7"/>
  <c r="B32" i="7"/>
  <c r="H40" i="7"/>
  <c r="E44" i="7"/>
  <c r="N44" i="7" s="1"/>
  <c r="H51" i="7"/>
  <c r="F24" i="7"/>
  <c r="B36" i="7"/>
  <c r="C20" i="7"/>
  <c r="L20" i="7" s="1"/>
  <c r="E53" i="7"/>
  <c r="N53" i="7" s="1"/>
  <c r="F52" i="7"/>
  <c r="E39" i="7"/>
  <c r="N39" i="7" s="1"/>
  <c r="E20" i="7"/>
  <c r="N20" i="7" s="1"/>
  <c r="G37" i="7"/>
  <c r="A40" i="7"/>
  <c r="E51" i="7"/>
  <c r="N51" i="7" s="1"/>
  <c r="C32" i="7"/>
  <c r="L32" i="7" s="1"/>
  <c r="E21" i="7"/>
  <c r="N21" i="7" s="1"/>
  <c r="A47" i="7"/>
  <c r="B54" i="7"/>
  <c r="G23" i="7"/>
  <c r="G21" i="7"/>
  <c r="H33" i="7"/>
  <c r="H26" i="7"/>
  <c r="A36" i="7"/>
  <c r="C42" i="7"/>
  <c r="L42" i="7" s="1"/>
  <c r="B21" i="7"/>
  <c r="E25" i="7"/>
  <c r="N25" i="7" s="1"/>
  <c r="H35" i="7"/>
  <c r="C49" i="7"/>
  <c r="L49" i="7" s="1"/>
  <c r="F40" i="7"/>
  <c r="A45" i="7"/>
  <c r="B52" i="7"/>
  <c r="G52" i="7"/>
  <c r="C34" i="7"/>
  <c r="L34" i="7" s="1"/>
  <c r="E40" i="7"/>
  <c r="N40" i="7" s="1"/>
  <c r="F47" i="7"/>
  <c r="G28" i="7"/>
  <c r="H20" i="7"/>
  <c r="E34" i="7"/>
  <c r="N34" i="7" s="1"/>
  <c r="F49" i="7"/>
  <c r="D56" i="7"/>
  <c r="G33" i="7"/>
  <c r="G29" i="7"/>
  <c r="E36" i="7"/>
  <c r="N36" i="7" s="1"/>
  <c r="F43" i="7"/>
  <c r="G56" i="7"/>
  <c r="D16" i="7"/>
  <c r="F16" i="7"/>
  <c r="A21" i="7"/>
  <c r="B28" i="7"/>
  <c r="G43" i="7"/>
  <c r="C24" i="7"/>
  <c r="L24" i="7" s="1"/>
  <c r="E16" i="7"/>
  <c r="F23" i="7"/>
  <c r="H50" i="7"/>
  <c r="DM10" i="5"/>
  <c r="AG26" i="5"/>
  <c r="AF11" i="5"/>
  <c r="AE13" i="5"/>
  <c r="AE12" i="5"/>
  <c r="AF13" i="5" l="1"/>
  <c r="AF12" i="5"/>
  <c r="AG11" i="5"/>
  <c r="AH25" i="5" s="1"/>
  <c r="AG13" i="5" l="1"/>
  <c r="AH26" i="5"/>
  <c r="AG12" i="5"/>
  <c r="AI26" i="5" l="1"/>
  <c r="AH11" i="5"/>
  <c r="AH13" i="5" l="1"/>
  <c r="AH12" i="5"/>
  <c r="AI11" i="5"/>
  <c r="AJ26" i="5"/>
  <c r="AJ11" i="5" l="1"/>
  <c r="AK25" i="5" s="1"/>
  <c r="AI13" i="5"/>
  <c r="AI12" i="5"/>
  <c r="AJ13" i="5" l="1"/>
  <c r="AK26" i="5"/>
  <c r="AJ12" i="5"/>
  <c r="AK11" i="5" l="1"/>
  <c r="AL26" i="5"/>
  <c r="AL11" i="5" l="1"/>
  <c r="AM26" i="5"/>
  <c r="AK13" i="5"/>
  <c r="AK12" i="5"/>
  <c r="AM11" i="5" l="1"/>
  <c r="AN25" i="5" s="1"/>
  <c r="AL13" i="5"/>
  <c r="AL12" i="5"/>
  <c r="AM13" i="5" l="1"/>
  <c r="AN26" i="5"/>
  <c r="AM12" i="5"/>
  <c r="AN11" i="5" l="1"/>
  <c r="AO26" i="5"/>
  <c r="AO11" i="5" l="1"/>
  <c r="AP26" i="5"/>
  <c r="AN13" i="5"/>
  <c r="AN12" i="5"/>
  <c r="AP11" i="5" l="1"/>
  <c r="AQ25" i="5" s="1"/>
  <c r="AO13" i="5"/>
  <c r="AO12" i="5"/>
  <c r="AP13" i="5" l="1"/>
  <c r="AQ26" i="5"/>
  <c r="AP12" i="5"/>
  <c r="AQ11" i="5" l="1"/>
  <c r="AR26" i="5"/>
  <c r="AS26" i="5" l="1"/>
  <c r="AR11" i="5"/>
  <c r="AQ13" i="5"/>
  <c r="AQ12" i="5"/>
  <c r="AR13" i="5" l="1"/>
  <c r="AR12" i="5"/>
  <c r="AS11" i="5"/>
  <c r="AT25" i="5" s="1"/>
  <c r="AS13" i="5" l="1"/>
  <c r="AT26" i="5"/>
  <c r="AS12" i="5"/>
  <c r="AT11" i="5" l="1"/>
  <c r="AU26" i="5"/>
  <c r="AU11" i="5" l="1"/>
  <c r="AV26" i="5"/>
  <c r="AT13" i="5"/>
  <c r="AT12" i="5"/>
  <c r="AV11" i="5" l="1"/>
  <c r="AW25" i="5" s="1"/>
  <c r="AU13" i="5"/>
  <c r="AU12" i="5"/>
  <c r="AV13" i="5" l="1"/>
  <c r="AW26" i="5"/>
  <c r="AV12" i="5"/>
  <c r="AW11" i="5" l="1"/>
  <c r="AX26" i="5"/>
  <c r="AX11" i="5" l="1"/>
  <c r="AY26" i="5"/>
  <c r="AW13" i="5"/>
  <c r="AW12" i="5"/>
  <c r="AY11" i="5" l="1"/>
  <c r="AZ25" i="5" s="1"/>
  <c r="AX13" i="5"/>
  <c r="AX12" i="5"/>
  <c r="AY13" i="5" l="1"/>
  <c r="AZ26" i="5"/>
  <c r="AY12" i="5"/>
  <c r="AZ11" i="5" l="1"/>
  <c r="BA26" i="5"/>
  <c r="BA11" i="5" l="1"/>
  <c r="BB26" i="5"/>
  <c r="AZ13" i="5"/>
  <c r="AZ12" i="5"/>
  <c r="BB11" i="5" l="1"/>
  <c r="BC25" i="5" s="1"/>
  <c r="BA13" i="5"/>
  <c r="BA12" i="5"/>
  <c r="BB13" i="5" l="1"/>
  <c r="BC26" i="5"/>
  <c r="BB12" i="5"/>
  <c r="BC11" i="5" l="1"/>
  <c r="BD26" i="5"/>
  <c r="BD11" i="5" l="1"/>
  <c r="BE26" i="5"/>
  <c r="BC13" i="5"/>
  <c r="BC12" i="5"/>
  <c r="BE11" i="5" l="1"/>
  <c r="BF25" i="5" s="1"/>
  <c r="BD13" i="5"/>
  <c r="BD12" i="5"/>
  <c r="BE13" i="5" l="1"/>
  <c r="BF26" i="5"/>
  <c r="BE12" i="5"/>
  <c r="BF11" i="5" l="1"/>
  <c r="BG26" i="5"/>
  <c r="BG11" i="5" l="1"/>
  <c r="BH26" i="5"/>
  <c r="BF13" i="5"/>
  <c r="BF12" i="5"/>
  <c r="BH11" i="5" l="1"/>
  <c r="BI25" i="5" s="1"/>
  <c r="BG13" i="5"/>
  <c r="BG12" i="5"/>
  <c r="BH13" i="5" l="1"/>
  <c r="BI26" i="5"/>
  <c r="BH12" i="5"/>
  <c r="BI11" i="5" l="1"/>
  <c r="BJ26" i="5"/>
  <c r="BJ11" i="5" l="1"/>
  <c r="BK26" i="5"/>
  <c r="BI13" i="5"/>
  <c r="BI12" i="5"/>
  <c r="BK11" i="5" l="1"/>
  <c r="BL25" i="5" s="1"/>
  <c r="BJ13" i="5"/>
  <c r="BJ12" i="5"/>
  <c r="BK13" i="5" l="1"/>
  <c r="BL26" i="5"/>
  <c r="BK12" i="5"/>
  <c r="BL11" i="5" l="1"/>
  <c r="BM26" i="5"/>
  <c r="BM11" i="5" l="1"/>
  <c r="BN26" i="5"/>
  <c r="BL13" i="5"/>
  <c r="BL12" i="5"/>
  <c r="BN11" i="5" l="1"/>
  <c r="BO25" i="5" s="1"/>
  <c r="BM13" i="5"/>
  <c r="BM12" i="5"/>
  <c r="BN13" i="5" l="1"/>
  <c r="BO26" i="5"/>
  <c r="BN12" i="5"/>
  <c r="BO11" i="5" l="1"/>
  <c r="BP26" i="5"/>
  <c r="BQ26" i="5" l="1"/>
  <c r="BP11" i="5"/>
  <c r="BO13" i="5"/>
  <c r="BO12" i="5"/>
  <c r="BP13" i="5" l="1"/>
  <c r="BP12" i="5"/>
  <c r="BQ11" i="5"/>
  <c r="BR25" i="5" s="1"/>
  <c r="BQ13" i="5" l="1"/>
  <c r="BR26" i="5"/>
  <c r="BQ12" i="5"/>
  <c r="BR11" i="5" l="1"/>
  <c r="BS26" i="5"/>
  <c r="BS11" i="5" l="1"/>
  <c r="BT26" i="5"/>
  <c r="BR13" i="5"/>
  <c r="BR12" i="5"/>
  <c r="BT11" i="5" l="1"/>
  <c r="BU25" i="5" s="1"/>
  <c r="BS13" i="5"/>
  <c r="BS12" i="5"/>
  <c r="BT13" i="5" l="1"/>
  <c r="BU26" i="5"/>
  <c r="BT12" i="5"/>
  <c r="BU11" i="5" l="1"/>
  <c r="BV26" i="5"/>
  <c r="BV11" i="5" l="1"/>
  <c r="BW26" i="5"/>
  <c r="BU13" i="5"/>
  <c r="BU12" i="5"/>
  <c r="BW11" i="5" l="1"/>
  <c r="BX25" i="5" s="1"/>
  <c r="BV13" i="5"/>
  <c r="BV12" i="5"/>
  <c r="BW13" i="5" l="1"/>
  <c r="BX26" i="5"/>
  <c r="BW12" i="5"/>
  <c r="BX11" i="5" l="1"/>
  <c r="BY26" i="5"/>
  <c r="BY11" i="5" l="1"/>
  <c r="BZ26" i="5"/>
  <c r="BX13" i="5"/>
  <c r="BX12" i="5"/>
  <c r="BZ11" i="5" l="1"/>
  <c r="CA25" i="5" s="1"/>
  <c r="BY13" i="5"/>
  <c r="BY12" i="5"/>
  <c r="BZ13" i="5" l="1"/>
  <c r="CA26" i="5"/>
  <c r="BZ12" i="5"/>
  <c r="CA11" i="5" l="1"/>
  <c r="CB26" i="5"/>
  <c r="CB11" i="5" l="1"/>
  <c r="CC26" i="5"/>
  <c r="CA13" i="5"/>
  <c r="CA12" i="5"/>
  <c r="CC11" i="5" l="1"/>
  <c r="CD25" i="5" s="1"/>
  <c r="CB13" i="5"/>
  <c r="CB12" i="5"/>
  <c r="CC13" i="5" l="1"/>
  <c r="CD26" i="5"/>
  <c r="CC12" i="5"/>
  <c r="CD11" i="5" l="1"/>
  <c r="CE26" i="5"/>
  <c r="CF26" i="5" l="1"/>
  <c r="CE11" i="5"/>
  <c r="CD13" i="5"/>
  <c r="CD12" i="5"/>
  <c r="CE13" i="5" l="1"/>
  <c r="CE12" i="5"/>
  <c r="CF11" i="5"/>
  <c r="CG25" i="5" s="1"/>
  <c r="CF13" i="5" l="1"/>
  <c r="CG26" i="5"/>
  <c r="CF12" i="5"/>
  <c r="CG11" i="5" l="1"/>
  <c r="CH26" i="5"/>
  <c r="CH11" i="5" l="1"/>
  <c r="CI26" i="5"/>
  <c r="CG13" i="5"/>
  <c r="CG12" i="5"/>
  <c r="CI11" i="5" l="1"/>
  <c r="CJ25" i="5" s="1"/>
  <c r="CH13" i="5"/>
  <c r="CH12" i="5"/>
  <c r="CI13" i="5" l="1"/>
  <c r="CJ26" i="5"/>
  <c r="CI12" i="5"/>
  <c r="CJ11" i="5" l="1"/>
  <c r="CK26" i="5"/>
  <c r="CL26" i="5" l="1"/>
  <c r="CK11" i="5"/>
  <c r="CJ13" i="5"/>
  <c r="CJ12" i="5"/>
  <c r="CK13" i="5" l="1"/>
  <c r="CK12" i="5"/>
  <c r="CL11" i="5"/>
  <c r="CM25" i="5" s="1"/>
  <c r="CL13" i="5" l="1"/>
  <c r="CM26" i="5"/>
  <c r="CL12" i="5"/>
  <c r="CM11" i="5" l="1"/>
  <c r="CN26" i="5"/>
  <c r="CN11" i="5" l="1"/>
  <c r="CO26" i="5"/>
  <c r="CM13" i="5"/>
  <c r="CM12" i="5"/>
  <c r="CO11" i="5" l="1"/>
  <c r="CP25" i="5" s="1"/>
  <c r="CN13" i="5"/>
  <c r="CN12" i="5"/>
  <c r="CO13" i="5" l="1"/>
  <c r="CP26" i="5"/>
  <c r="CO12" i="5"/>
  <c r="CQ26" i="5" l="1"/>
  <c r="CP11" i="5"/>
  <c r="CP13" i="5" l="1"/>
  <c r="CP12" i="5"/>
  <c r="CR26" i="5"/>
  <c r="CQ11" i="5"/>
  <c r="CQ13" i="5" l="1"/>
  <c r="CQ12" i="5"/>
  <c r="CR11" i="5"/>
  <c r="CS25" i="5" s="1"/>
  <c r="CR13" i="5" l="1"/>
  <c r="CS26" i="5"/>
  <c r="CR12" i="5"/>
  <c r="CT26" i="5" l="1"/>
  <c r="CS11" i="5"/>
  <c r="CS13" i="5" l="1"/>
  <c r="CS12" i="5"/>
  <c r="CT11" i="5"/>
  <c r="CU26" i="5"/>
  <c r="CT13" i="5" l="1"/>
  <c r="CT12" i="5"/>
  <c r="CU11" i="5"/>
  <c r="CV25" i="5" s="1"/>
  <c r="CU13" i="5" l="1"/>
  <c r="CV26" i="5"/>
  <c r="CU12" i="5"/>
  <c r="CW26" i="5" l="1"/>
  <c r="CV11" i="5"/>
  <c r="CV13" i="5" l="1"/>
  <c r="CV12" i="5"/>
  <c r="CW11" i="5"/>
  <c r="CX26" i="5"/>
  <c r="CX11" i="5" l="1"/>
  <c r="CY25" i="5" s="1"/>
  <c r="CW13" i="5"/>
  <c r="CW12" i="5"/>
  <c r="CX13" i="5" l="1"/>
  <c r="CY26" i="5"/>
  <c r="CX12" i="5"/>
  <c r="CY11" i="5" l="1"/>
  <c r="CZ26" i="5"/>
  <c r="DA26" i="5" l="1"/>
  <c r="CZ11" i="5"/>
  <c r="CY13" i="5"/>
  <c r="CY12" i="5"/>
  <c r="CZ13" i="5" l="1"/>
  <c r="CZ12" i="5"/>
  <c r="DA11" i="5"/>
  <c r="DB25" i="5" s="1"/>
  <c r="DA13" i="5" l="1"/>
  <c r="DB26" i="5"/>
  <c r="DA12" i="5"/>
  <c r="DC26" i="5" l="1"/>
  <c r="DB11" i="5"/>
  <c r="DB13" i="5" l="1"/>
  <c r="DB12" i="5"/>
  <c r="DC11" i="5"/>
  <c r="DD26" i="5"/>
  <c r="DC13" i="5" l="1"/>
  <c r="DC12" i="5"/>
  <c r="DD11" i="5"/>
  <c r="DE25" i="5" s="1"/>
  <c r="DD13" i="5" l="1"/>
  <c r="DE26" i="5"/>
  <c r="DD12" i="5"/>
  <c r="DE11" i="5" l="1"/>
  <c r="DF26" i="5"/>
  <c r="DG26" i="5" l="1"/>
  <c r="DF11" i="5"/>
  <c r="DE13" i="5"/>
  <c r="DE12" i="5"/>
  <c r="DF13" i="5" l="1"/>
  <c r="DF12" i="5"/>
  <c r="DG11" i="5"/>
  <c r="DH25" i="5" s="1"/>
  <c r="DG13" i="5" l="1"/>
  <c r="DH26" i="5"/>
  <c r="DG12" i="5"/>
  <c r="DI26" i="5" l="1"/>
  <c r="DH11" i="5"/>
  <c r="DH13" i="5" l="1"/>
  <c r="DH12" i="5"/>
  <c r="DI11" i="5"/>
  <c r="DJ26" i="5"/>
  <c r="DJ11" i="5" l="1"/>
  <c r="DK25" i="5" s="1"/>
  <c r="DI13" i="5"/>
  <c r="DI12" i="5"/>
  <c r="DJ13" i="5" l="1"/>
  <c r="DK26" i="5"/>
  <c r="DJ12" i="5"/>
  <c r="DK11" i="5" l="1"/>
  <c r="DL26" i="5"/>
  <c r="DM26" i="5" l="1"/>
  <c r="DL11" i="5"/>
  <c r="DK13" i="5"/>
  <c r="DK12" i="5"/>
  <c r="DL13" i="5" l="1"/>
  <c r="DL12" i="5"/>
  <c r="DM11" i="5"/>
  <c r="DN25" i="5" s="1"/>
  <c r="DM13" i="5" l="1"/>
  <c r="DN26" i="5"/>
  <c r="DM12" i="5"/>
  <c r="DN11" i="5" l="1"/>
  <c r="DN13" i="5" s="1"/>
  <c r="DO26" i="5"/>
  <c r="DN12" i="5" l="1"/>
  <c r="DO11" i="5"/>
  <c r="DP26" i="5"/>
  <c r="DP11" i="5" s="1"/>
  <c r="DQ25" i="5" s="1"/>
  <c r="DP13" i="5" l="1"/>
  <c r="DP12" i="5"/>
  <c r="DQ26" i="5"/>
  <c r="DQ11" i="5" s="1"/>
  <c r="DO12" i="5"/>
  <c r="DO13" i="5"/>
  <c r="DQ13" i="5" l="1"/>
  <c r="DQ12" i="5"/>
</calcChain>
</file>

<file path=xl/sharedStrings.xml><?xml version="1.0" encoding="utf-8"?>
<sst xmlns="http://schemas.openxmlformats.org/spreadsheetml/2006/main" count="174" uniqueCount="87">
  <si>
    <t>Project name:</t>
  </si>
  <si>
    <t>Assumptions:</t>
  </si>
  <si>
    <t>Loan Amount</t>
  </si>
  <si>
    <t>Interest Rate</t>
  </si>
  <si>
    <t>Financial Close</t>
  </si>
  <si>
    <t>Opening Balance</t>
  </si>
  <si>
    <t>Interest Payment</t>
  </si>
  <si>
    <t>Principal Payment</t>
  </si>
  <si>
    <t>Total Debt Service</t>
  </si>
  <si>
    <t>Closing Balance</t>
  </si>
  <si>
    <t>Repayment Period</t>
  </si>
  <si>
    <t>Repayment Date</t>
  </si>
  <si>
    <t>Cumulative interest</t>
  </si>
  <si>
    <t>Cumulative repayment</t>
  </si>
  <si>
    <t>Months</t>
  </si>
  <si>
    <t>Borrower:</t>
  </si>
  <si>
    <t>Currency:</t>
  </si>
  <si>
    <t xml:space="preserve">Type </t>
  </si>
  <si>
    <t>Disbursement Number</t>
  </si>
  <si>
    <t>Disbursement Date</t>
  </si>
  <si>
    <t>Disbursement</t>
  </si>
  <si>
    <t>Cumulative Disbursement</t>
  </si>
  <si>
    <t>Principal</t>
  </si>
  <si>
    <t>Opening balance</t>
  </si>
  <si>
    <t>Repayment due</t>
  </si>
  <si>
    <t xml:space="preserve">Loan Repayment </t>
  </si>
  <si>
    <t>Repayment overdue</t>
  </si>
  <si>
    <t>Loan outstanding</t>
  </si>
  <si>
    <t>Interest</t>
  </si>
  <si>
    <t>Interest accrued</t>
  </si>
  <si>
    <t>Interest due</t>
  </si>
  <si>
    <t>interest received</t>
  </si>
  <si>
    <t>Interest overdue</t>
  </si>
  <si>
    <t>Interest receivable</t>
  </si>
  <si>
    <t>LD and others</t>
  </si>
  <si>
    <t>Repayment receipts:</t>
  </si>
  <si>
    <t>Repayment received</t>
  </si>
  <si>
    <t>Repayment received (cumulative)</t>
  </si>
  <si>
    <t>LD/others</t>
  </si>
  <si>
    <t>LD/others (cumulative)</t>
  </si>
  <si>
    <t>Interest receipts:</t>
  </si>
  <si>
    <t>Interest received</t>
  </si>
  <si>
    <t>Interest received (cumulative)</t>
  </si>
  <si>
    <t>BDT</t>
  </si>
  <si>
    <t>Tenor</t>
  </si>
  <si>
    <t>Interest calculation</t>
  </si>
  <si>
    <t>days basis</t>
  </si>
  <si>
    <t>Number of installments</t>
  </si>
  <si>
    <t>Drawdown</t>
  </si>
  <si>
    <t xml:space="preserve"> days basis</t>
  </si>
  <si>
    <t>Actual Payment date</t>
  </si>
  <si>
    <t>Actual Payment amount:</t>
  </si>
  <si>
    <t>LPC</t>
  </si>
  <si>
    <t>Total</t>
  </si>
  <si>
    <t>Maturity date</t>
  </si>
  <si>
    <t>months</t>
  </si>
  <si>
    <t>Payment frequency</t>
  </si>
  <si>
    <t>Period</t>
  </si>
  <si>
    <t>Expected Interest Rate</t>
  </si>
  <si>
    <t>Agreement signing date</t>
  </si>
  <si>
    <t>Average Installment Size</t>
  </si>
  <si>
    <t>Drawdown (IDCOL)</t>
  </si>
  <si>
    <t>Moratorium period (Principal)</t>
  </si>
  <si>
    <t>Source</t>
  </si>
  <si>
    <t>Annual Monitoring Fee</t>
  </si>
  <si>
    <t>Date</t>
  </si>
  <si>
    <t>Amount (BDT)</t>
  </si>
  <si>
    <t>*If payment date is not a business day, then payment date shall be immediately the preceeding business day.</t>
  </si>
  <si>
    <t>IDCOL Loan</t>
  </si>
  <si>
    <t>Source :</t>
  </si>
  <si>
    <t>Quarterly</t>
  </si>
  <si>
    <t>10 years</t>
  </si>
  <si>
    <t>Quarterly Interest Rate</t>
  </si>
  <si>
    <t>Cumulative</t>
  </si>
  <si>
    <t>Disbursement-2</t>
  </si>
  <si>
    <t>Cumulative Accrual</t>
  </si>
  <si>
    <t>Disbursement-3</t>
  </si>
  <si>
    <t>As per Schedule V of TLA</t>
  </si>
  <si>
    <t>IDCOL Current Account</t>
  </si>
  <si>
    <t xml:space="preserve">Repayment </t>
  </si>
  <si>
    <t xml:space="preserve">Seven Circle (Bangladesh) Ltd. </t>
  </si>
  <si>
    <t>1 (part-1)</t>
  </si>
  <si>
    <t>Disbursement-1 (part-1)</t>
  </si>
  <si>
    <t>Disbursement-1 (part-2)</t>
  </si>
  <si>
    <t>Disbursement-1 (a)</t>
  </si>
  <si>
    <t>Disbursement-1 (b)</t>
  </si>
  <si>
    <t>1 (part-2)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</si>
</sst>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0.00000%"/>
    <numFmt numFmtId="167" formatCode="[$-409]dd\-mmm\-yy;@"/>
    <numFmt numFmtId="168" formatCode="0.0%"/>
  </numFmts>
  <fonts count="19" x14ac:knownFonts="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b/>
      <sz val="10"/>
      <color indexed="12"/>
      <name val="Book Antiqua"/>
      <family val="1"/>
    </font>
    <font>
      <b/>
      <sz val="11"/>
      <name val="Book Antiqua"/>
      <family val="1"/>
    </font>
    <font>
      <sz val="11"/>
      <name val="Book Antiqua"/>
      <family val="1"/>
    </font>
    <font>
      <b/>
      <sz val="14"/>
      <color indexed="10"/>
      <name val="Book Antiqua"/>
      <family val="1"/>
    </font>
    <font>
      <sz val="14"/>
      <color indexed="10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sz val="10"/>
      <color indexed="10"/>
      <name val="Book Antiqua"/>
      <family val="1"/>
    </font>
    <font>
      <sz val="10"/>
      <color indexed="8"/>
      <name val="Book Antiqua"/>
      <family val="1"/>
    </font>
    <font>
      <sz val="10"/>
      <color rgb="FFFF0000"/>
      <name val="Book Antiqua"/>
      <family val="1"/>
    </font>
    <font>
      <i/>
      <sz val="10"/>
      <name val="Times New Roman"/>
      <family val="1"/>
    </font>
    <font>
      <b/>
      <sz val="14"/>
      <color rgb="FF0070C0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9">
    <xf numFmtId="0" fontId="0" fillId="0" borderId="0" xfId="0"/>
    <xf numFmtId="3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Protection="1">
      <protection locked="0"/>
    </xf>
    <xf numFmtId="3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0" xfId="0" applyFont="1" applyFill="1" applyBorder="1" applyAlignment="1" applyProtection="1">
      <alignment horizontal="right"/>
      <protection locked="0"/>
    </xf>
    <xf numFmtId="0" fontId="2" fillId="0" borderId="1" xfId="0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165" fontId="2" fillId="0" borderId="0" xfId="1" applyNumberFormat="1" applyFont="1" applyFill="1" applyBorder="1" applyProtection="1">
      <protection locked="0"/>
    </xf>
    <xf numFmtId="3" fontId="2" fillId="0" borderId="0" xfId="0" applyNumberFormat="1" applyFont="1" applyFill="1" applyBorder="1" applyProtection="1">
      <protection locked="0"/>
    </xf>
    <xf numFmtId="0" fontId="3" fillId="0" borderId="0" xfId="0" applyFont="1" applyFill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5" fillId="0" borderId="0" xfId="0" applyFont="1" applyFill="1" applyBorder="1" applyProtection="1">
      <protection locked="0"/>
    </xf>
    <xf numFmtId="164" fontId="5" fillId="0" borderId="0" xfId="0" applyNumberFormat="1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Protection="1">
      <protection locked="0"/>
    </xf>
    <xf numFmtId="0" fontId="2" fillId="2" borderId="2" xfId="0" applyFont="1" applyFill="1" applyBorder="1" applyAlignment="1" applyProtection="1">
      <alignment horizontal="right"/>
      <protection locked="0"/>
    </xf>
    <xf numFmtId="3" fontId="2" fillId="0" borderId="0" xfId="0" applyNumberFormat="1" applyFont="1" applyFill="1" applyBorder="1" applyAlignment="1" applyProtection="1">
      <protection locked="0"/>
    </xf>
    <xf numFmtId="3" fontId="2" fillId="0" borderId="1" xfId="0" applyNumberFormat="1" applyFont="1" applyFill="1" applyBorder="1" applyAlignment="1" applyProtection="1">
      <protection locked="0"/>
    </xf>
    <xf numFmtId="0" fontId="7" fillId="0" borderId="0" xfId="0" applyFont="1" applyFill="1" applyBorder="1" applyProtection="1">
      <protection locked="0"/>
    </xf>
    <xf numFmtId="0" fontId="8" fillId="0" borderId="0" xfId="0" applyFont="1" applyFill="1" applyBorder="1" applyProtection="1">
      <protection locked="0"/>
    </xf>
    <xf numFmtId="0" fontId="9" fillId="0" borderId="0" xfId="0" applyFont="1" applyFill="1" applyBorder="1" applyProtection="1">
      <protection locked="0"/>
    </xf>
    <xf numFmtId="0" fontId="10" fillId="0" borderId="0" xfId="0" applyFont="1" applyFill="1" applyBorder="1" applyProtection="1">
      <protection locked="0"/>
    </xf>
    <xf numFmtId="0" fontId="11" fillId="0" borderId="0" xfId="0" applyFont="1" applyFill="1" applyBorder="1" applyProtection="1">
      <protection locked="0"/>
    </xf>
    <xf numFmtId="0" fontId="12" fillId="0" borderId="0" xfId="0" applyFont="1" applyFill="1" applyBorder="1" applyProtection="1">
      <protection locked="0"/>
    </xf>
    <xf numFmtId="0" fontId="12" fillId="0" borderId="0" xfId="0" applyFont="1"/>
    <xf numFmtId="10" fontId="11" fillId="0" borderId="0" xfId="0" applyNumberFormat="1" applyFont="1" applyFill="1" applyBorder="1" applyAlignment="1" applyProtection="1">
      <alignment horizontal="center"/>
      <protection locked="0"/>
    </xf>
    <xf numFmtId="3" fontId="12" fillId="0" borderId="0" xfId="0" applyNumberFormat="1" applyFont="1" applyFill="1" applyBorder="1" applyAlignment="1" applyProtection="1">
      <alignment horizontal="right"/>
      <protection locked="0"/>
    </xf>
    <xf numFmtId="3" fontId="12" fillId="0" borderId="0" xfId="0" applyNumberFormat="1" applyFont="1" applyFill="1" applyBorder="1" applyAlignment="1" applyProtection="1">
      <alignment horizontal="center"/>
      <protection locked="0"/>
    </xf>
    <xf numFmtId="0" fontId="6" fillId="2" borderId="2" xfId="0" applyFont="1" applyFill="1" applyBorder="1" applyProtection="1">
      <protection locked="0"/>
    </xf>
    <xf numFmtId="164" fontId="6" fillId="2" borderId="2" xfId="0" applyNumberFormat="1" applyFont="1" applyFill="1" applyBorder="1" applyAlignment="1" applyProtection="1">
      <alignment horizontal="right"/>
      <protection locked="0"/>
    </xf>
    <xf numFmtId="3" fontId="12" fillId="0" borderId="0" xfId="0" applyNumberFormat="1" applyFont="1" applyFill="1" applyBorder="1" applyProtection="1">
      <protection locked="0"/>
    </xf>
    <xf numFmtId="43" fontId="12" fillId="0" borderId="0" xfId="1" applyFont="1"/>
    <xf numFmtId="3" fontId="12" fillId="0" borderId="0" xfId="0" applyNumberFormat="1" applyFont="1" applyFill="1" applyBorder="1" applyAlignment="1" applyProtection="1">
      <protection locked="0"/>
    </xf>
    <xf numFmtId="0" fontId="12" fillId="0" borderId="1" xfId="0" applyFont="1" applyFill="1" applyBorder="1" applyProtection="1">
      <protection locked="0"/>
    </xf>
    <xf numFmtId="3" fontId="12" fillId="0" borderId="1" xfId="0" applyNumberFormat="1" applyFont="1" applyFill="1" applyBorder="1" applyAlignment="1" applyProtection="1">
      <protection locked="0"/>
    </xf>
    <xf numFmtId="0" fontId="12" fillId="0" borderId="0" xfId="0" applyFont="1" applyFill="1" applyBorder="1" applyAlignment="1" applyProtection="1">
      <alignment horizontal="right"/>
      <protection locked="0"/>
    </xf>
    <xf numFmtId="4" fontId="12" fillId="0" borderId="0" xfId="0" applyNumberFormat="1" applyFont="1" applyFill="1" applyBorder="1" applyProtection="1">
      <protection locked="0"/>
    </xf>
    <xf numFmtId="0" fontId="12" fillId="0" borderId="0" xfId="0" applyFont="1" applyAlignment="1">
      <alignment horizontal="left"/>
    </xf>
    <xf numFmtId="0" fontId="11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1" fillId="0" borderId="0" xfId="0" applyFont="1" applyAlignment="1">
      <alignment horizontal="left"/>
    </xf>
    <xf numFmtId="43" fontId="13" fillId="0" borderId="0" xfId="1" applyFont="1"/>
    <xf numFmtId="0" fontId="12" fillId="0" borderId="0" xfId="0" applyFont="1" applyAlignment="1">
      <alignment horizontal="right"/>
    </xf>
    <xf numFmtId="15" fontId="12" fillId="0" borderId="0" xfId="0" applyNumberFormat="1" applyFont="1"/>
    <xf numFmtId="4" fontId="12" fillId="0" borderId="0" xfId="0" applyNumberFormat="1" applyFont="1"/>
    <xf numFmtId="0" fontId="14" fillId="0" borderId="0" xfId="0" applyFont="1" applyFill="1" applyBorder="1" applyProtection="1">
      <protection locked="0"/>
    </xf>
    <xf numFmtId="3" fontId="14" fillId="0" borderId="0" xfId="0" applyNumberFormat="1" applyFont="1" applyFill="1" applyBorder="1" applyAlignment="1" applyProtection="1">
      <alignment horizontal="right"/>
      <protection locked="0"/>
    </xf>
    <xf numFmtId="1" fontId="12" fillId="0" borderId="0" xfId="0" applyNumberFormat="1" applyFont="1" applyFill="1" applyBorder="1" applyProtection="1">
      <protection locked="0"/>
    </xf>
    <xf numFmtId="1" fontId="12" fillId="0" borderId="0" xfId="0" applyNumberFormat="1" applyFont="1" applyFill="1" applyBorder="1" applyAlignment="1" applyProtection="1">
      <alignment horizontal="right"/>
      <protection locked="0"/>
    </xf>
    <xf numFmtId="1" fontId="12" fillId="0" borderId="0" xfId="0" applyNumberFormat="1" applyFont="1"/>
    <xf numFmtId="1" fontId="2" fillId="0" borderId="0" xfId="0" applyNumberFormat="1" applyFont="1" applyFill="1" applyBorder="1" applyAlignment="1" applyProtection="1">
      <alignment horizontal="right"/>
      <protection locked="0"/>
    </xf>
    <xf numFmtId="164" fontId="2" fillId="0" borderId="0" xfId="0" applyNumberFormat="1" applyFont="1" applyFill="1" applyBorder="1" applyAlignment="1" applyProtection="1">
      <alignment horizontal="right"/>
      <protection locked="0"/>
    </xf>
    <xf numFmtId="0" fontId="12" fillId="0" borderId="0" xfId="0" applyFont="1" applyFill="1"/>
    <xf numFmtId="0" fontId="14" fillId="0" borderId="0" xfId="0" applyFont="1" applyFill="1"/>
    <xf numFmtId="1" fontId="12" fillId="0" borderId="0" xfId="0" applyNumberFormat="1" applyFont="1" applyFill="1"/>
    <xf numFmtId="166" fontId="12" fillId="0" borderId="0" xfId="0" applyNumberFormat="1" applyFont="1" applyFill="1" applyBorder="1" applyAlignment="1" applyProtection="1">
      <alignment horizontal="right"/>
      <protection locked="0"/>
    </xf>
    <xf numFmtId="164" fontId="5" fillId="0" borderId="0" xfId="0" applyNumberFormat="1" applyFont="1" applyFill="1" applyBorder="1" applyAlignment="1" applyProtection="1">
      <alignment horizontal="right"/>
      <protection locked="0"/>
    </xf>
    <xf numFmtId="3" fontId="2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right"/>
      <protection locked="0"/>
    </xf>
    <xf numFmtId="3" fontId="5" fillId="0" borderId="0" xfId="0" applyNumberFormat="1" applyFont="1" applyFill="1" applyBorder="1" applyAlignment="1"/>
    <xf numFmtId="3" fontId="5" fillId="2" borderId="2" xfId="0" applyNumberFormat="1" applyFont="1" applyFill="1" applyBorder="1" applyAlignment="1"/>
    <xf numFmtId="164" fontId="5" fillId="2" borderId="2" xfId="0" applyNumberFormat="1" applyFont="1" applyFill="1" applyBorder="1" applyAlignment="1" applyProtection="1">
      <alignment horizontal="right"/>
      <protection locked="0"/>
    </xf>
    <xf numFmtId="3" fontId="5" fillId="0" borderId="5" xfId="0" applyNumberFormat="1" applyFont="1" applyFill="1" applyBorder="1" applyAlignment="1"/>
    <xf numFmtId="164" fontId="5" fillId="0" borderId="5" xfId="0" applyNumberFormat="1" applyFont="1" applyFill="1" applyBorder="1" applyAlignment="1" applyProtection="1">
      <alignment horizontal="right"/>
      <protection locked="0"/>
    </xf>
    <xf numFmtId="3" fontId="5" fillId="0" borderId="6" xfId="0" applyNumberFormat="1" applyFont="1" applyFill="1" applyBorder="1" applyAlignment="1"/>
    <xf numFmtId="164" fontId="5" fillId="0" borderId="6" xfId="0" applyNumberFormat="1" applyFont="1" applyFill="1" applyBorder="1" applyAlignment="1" applyProtection="1">
      <alignment horizontal="right"/>
      <protection locked="0"/>
    </xf>
    <xf numFmtId="3" fontId="2" fillId="0" borderId="5" xfId="0" applyNumberFormat="1" applyFont="1" applyFill="1" applyBorder="1" applyAlignment="1" applyProtection="1">
      <alignment horizontal="right"/>
      <protection locked="0"/>
    </xf>
    <xf numFmtId="3" fontId="2" fillId="0" borderId="5" xfId="0" applyNumberFormat="1" applyFont="1" applyFill="1" applyBorder="1" applyProtection="1">
      <protection locked="0"/>
    </xf>
    <xf numFmtId="3" fontId="2" fillId="0" borderId="6" xfId="0" applyNumberFormat="1" applyFont="1" applyFill="1" applyBorder="1" applyAlignment="1" applyProtection="1">
      <alignment horizontal="right"/>
      <protection locked="0"/>
    </xf>
    <xf numFmtId="3" fontId="2" fillId="0" borderId="6" xfId="0" applyNumberFormat="1" applyFont="1" applyFill="1" applyBorder="1" applyProtection="1">
      <protection locked="0"/>
    </xf>
    <xf numFmtId="164" fontId="2" fillId="0" borderId="4" xfId="0" applyNumberFormat="1" applyFont="1" applyFill="1" applyBorder="1" applyAlignment="1" applyProtection="1">
      <alignment horizontal="right"/>
      <protection locked="0"/>
    </xf>
    <xf numFmtId="3" fontId="2" fillId="0" borderId="4" xfId="0" applyNumberFormat="1" applyFont="1" applyFill="1" applyBorder="1" applyAlignment="1" applyProtection="1">
      <alignment horizontal="right"/>
      <protection locked="0"/>
    </xf>
    <xf numFmtId="0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4" xfId="0" applyNumberFormat="1" applyFont="1" applyFill="1" applyBorder="1" applyAlignment="1" applyProtection="1">
      <alignment horizontal="right"/>
      <protection locked="0"/>
    </xf>
    <xf numFmtId="41" fontId="2" fillId="0" borderId="4" xfId="1" applyNumberFormat="1" applyFont="1" applyFill="1" applyBorder="1" applyAlignment="1" applyProtection="1">
      <alignment horizontal="right"/>
      <protection locked="0"/>
    </xf>
    <xf numFmtId="0" fontId="12" fillId="0" borderId="0" xfId="0" applyFont="1" applyAlignment="1">
      <alignment horizontal="center"/>
    </xf>
    <xf numFmtId="43" fontId="12" fillId="0" borderId="0" xfId="1" applyFont="1" applyAlignment="1">
      <alignment horizontal="center"/>
    </xf>
    <xf numFmtId="4" fontId="12" fillId="0" borderId="0" xfId="0" applyNumberFormat="1" applyFont="1" applyAlignment="1">
      <alignment horizontal="center"/>
    </xf>
    <xf numFmtId="164" fontId="2" fillId="2" borderId="6" xfId="0" applyNumberFormat="1" applyFont="1" applyFill="1" applyBorder="1" applyAlignment="1" applyProtection="1">
      <alignment horizontal="right"/>
      <protection locked="0"/>
    </xf>
    <xf numFmtId="0" fontId="2" fillId="2" borderId="6" xfId="0" applyFont="1" applyFill="1" applyBorder="1" applyProtection="1">
      <protection locked="0"/>
    </xf>
    <xf numFmtId="43" fontId="15" fillId="0" borderId="0" xfId="1" applyFont="1"/>
    <xf numFmtId="0" fontId="15" fillId="0" borderId="0" xfId="0" applyFont="1"/>
    <xf numFmtId="0" fontId="11" fillId="3" borderId="7" xfId="0" applyFont="1" applyFill="1" applyBorder="1"/>
    <xf numFmtId="0" fontId="11" fillId="3" borderId="8" xfId="0" applyFont="1" applyFill="1" applyBorder="1" applyAlignment="1">
      <alignment horizontal="center"/>
    </xf>
    <xf numFmtId="164" fontId="12" fillId="0" borderId="2" xfId="1" applyNumberFormat="1" applyFont="1" applyBorder="1"/>
    <xf numFmtId="164" fontId="12" fillId="0" borderId="4" xfId="0" applyNumberFormat="1" applyFont="1" applyFill="1" applyBorder="1" applyAlignment="1" applyProtection="1">
      <alignment horizontal="right"/>
      <protection locked="0"/>
    </xf>
    <xf numFmtId="3" fontId="12" fillId="0" borderId="4" xfId="0" applyNumberFormat="1" applyFont="1" applyFill="1" applyBorder="1" applyAlignment="1" applyProtection="1">
      <alignment horizontal="right"/>
      <protection locked="0"/>
    </xf>
    <xf numFmtId="164" fontId="12" fillId="0" borderId="0" xfId="0" applyNumberFormat="1" applyFont="1" applyFill="1" applyBorder="1" applyAlignment="1" applyProtection="1">
      <alignment horizontal="right"/>
      <protection locked="0"/>
    </xf>
    <xf numFmtId="9" fontId="12" fillId="0" borderId="4" xfId="2" applyFont="1" applyFill="1" applyBorder="1" applyAlignment="1" applyProtection="1">
      <alignment horizontal="right"/>
      <protection locked="0"/>
    </xf>
    <xf numFmtId="3" fontId="11" fillId="0" borderId="0" xfId="0" applyNumberFormat="1" applyFont="1" applyFill="1" applyBorder="1" applyAlignment="1"/>
    <xf numFmtId="0" fontId="12" fillId="0" borderId="0" xfId="0" applyNumberFormat="1" applyFont="1" applyFill="1" applyBorder="1" applyAlignment="1" applyProtection="1">
      <alignment horizontal="right"/>
      <protection locked="0"/>
    </xf>
    <xf numFmtId="0" fontId="12" fillId="0" borderId="4" xfId="0" applyNumberFormat="1" applyFont="1" applyFill="1" applyBorder="1" applyAlignment="1" applyProtection="1">
      <alignment horizontal="right"/>
      <protection locked="0"/>
    </xf>
    <xf numFmtId="164" fontId="11" fillId="0" borderId="0" xfId="0" applyNumberFormat="1" applyFont="1" applyFill="1" applyBorder="1" applyAlignment="1" applyProtection="1">
      <alignment horizontal="right"/>
      <protection locked="0"/>
    </xf>
    <xf numFmtId="0" fontId="11" fillId="0" borderId="0" xfId="0" applyNumberFormat="1" applyFont="1" applyFill="1" applyBorder="1" applyAlignment="1" applyProtection="1">
      <alignment horizontal="right"/>
      <protection locked="0"/>
    </xf>
    <xf numFmtId="3" fontId="11" fillId="0" borderId="2" xfId="0" applyNumberFormat="1" applyFont="1" applyFill="1" applyBorder="1" applyAlignment="1"/>
    <xf numFmtId="164" fontId="11" fillId="0" borderId="2" xfId="0" applyNumberFormat="1" applyFont="1" applyFill="1" applyBorder="1" applyAlignment="1" applyProtection="1">
      <alignment horizontal="right"/>
      <protection locked="0"/>
    </xf>
    <xf numFmtId="3" fontId="11" fillId="0" borderId="5" xfId="0" applyNumberFormat="1" applyFont="1" applyFill="1" applyBorder="1" applyAlignment="1"/>
    <xf numFmtId="164" fontId="11" fillId="0" borderId="5" xfId="0" applyNumberFormat="1" applyFont="1" applyFill="1" applyBorder="1" applyAlignment="1" applyProtection="1">
      <alignment horizontal="right"/>
      <protection locked="0"/>
    </xf>
    <xf numFmtId="3" fontId="12" fillId="0" borderId="5" xfId="0" applyNumberFormat="1" applyFont="1" applyFill="1" applyBorder="1" applyAlignment="1" applyProtection="1">
      <alignment horizontal="right"/>
      <protection locked="0"/>
    </xf>
    <xf numFmtId="3" fontId="11" fillId="0" borderId="6" xfId="0" applyNumberFormat="1" applyFont="1" applyFill="1" applyBorder="1" applyAlignment="1"/>
    <xf numFmtId="164" fontId="11" fillId="0" borderId="6" xfId="0" applyNumberFormat="1" applyFont="1" applyFill="1" applyBorder="1" applyAlignment="1" applyProtection="1">
      <alignment horizontal="right"/>
      <protection locked="0"/>
    </xf>
    <xf numFmtId="3" fontId="12" fillId="0" borderId="6" xfId="0" applyNumberFormat="1" applyFont="1" applyFill="1" applyBorder="1" applyAlignment="1" applyProtection="1">
      <alignment horizontal="right"/>
      <protection locked="0"/>
    </xf>
    <xf numFmtId="164" fontId="12" fillId="0" borderId="0" xfId="0" applyNumberFormat="1" applyFont="1" applyFill="1"/>
    <xf numFmtId="165" fontId="12" fillId="0" borderId="4" xfId="1" applyNumberFormat="1" applyFont="1" applyFill="1" applyBorder="1"/>
    <xf numFmtId="0" fontId="12" fillId="0" borderId="0" xfId="0" applyFont="1" applyFill="1" applyBorder="1"/>
    <xf numFmtId="43" fontId="12" fillId="0" borderId="0" xfId="1" applyFont="1" applyBorder="1"/>
    <xf numFmtId="164" fontId="2" fillId="2" borderId="2" xfId="0" applyNumberFormat="1" applyFont="1" applyFill="1" applyBorder="1" applyAlignment="1" applyProtection="1">
      <alignment horizontal="right"/>
      <protection locked="0"/>
    </xf>
    <xf numFmtId="0" fontId="5" fillId="0" borderId="1" xfId="0" applyFont="1" applyFill="1" applyBorder="1" applyProtection="1">
      <protection locked="0"/>
    </xf>
    <xf numFmtId="10" fontId="2" fillId="0" borderId="1" xfId="0" applyNumberFormat="1" applyFont="1" applyFill="1" applyBorder="1" applyAlignment="1" applyProtection="1">
      <alignment horizontal="right"/>
      <protection locked="0"/>
    </xf>
    <xf numFmtId="164" fontId="12" fillId="0" borderId="4" xfId="0" applyNumberFormat="1" applyFont="1" applyFill="1" applyBorder="1" applyAlignment="1">
      <alignment horizontal="center" vertical="center"/>
    </xf>
    <xf numFmtId="0" fontId="11" fillId="0" borderId="10" xfId="0" applyFont="1" applyBorder="1" applyAlignment="1">
      <alignment horizontal="left"/>
    </xf>
    <xf numFmtId="164" fontId="2" fillId="0" borderId="0" xfId="0" applyNumberFormat="1" applyFont="1" applyFill="1" applyBorder="1" applyProtection="1">
      <protection locked="0"/>
    </xf>
    <xf numFmtId="164" fontId="2" fillId="2" borderId="2" xfId="0" applyNumberFormat="1" applyFont="1" applyFill="1" applyBorder="1" applyProtection="1">
      <protection locked="0"/>
    </xf>
    <xf numFmtId="10" fontId="2" fillId="0" borderId="0" xfId="0" applyNumberFormat="1" applyFont="1" applyFill="1" applyBorder="1" applyAlignment="1" applyProtection="1">
      <alignment horizontal="right"/>
      <protection locked="0"/>
    </xf>
    <xf numFmtId="0" fontId="2" fillId="0" borderId="11" xfId="0" applyNumberFormat="1" applyFont="1" applyFill="1" applyBorder="1" applyAlignment="1" applyProtection="1">
      <alignment horizontal="right"/>
      <protection locked="0"/>
    </xf>
    <xf numFmtId="15" fontId="12" fillId="0" borderId="0" xfId="0" applyNumberFormat="1" applyFont="1" applyFill="1" applyAlignment="1">
      <alignment horizontal="center"/>
    </xf>
    <xf numFmtId="164" fontId="2" fillId="0" borderId="4" xfId="0" applyNumberFormat="1" applyFont="1" applyFill="1" applyBorder="1" applyAlignment="1" applyProtection="1">
      <alignment horizontal="right" vertical="center"/>
      <protection locked="0"/>
    </xf>
    <xf numFmtId="164" fontId="2" fillId="0" borderId="4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Fill="1" applyBorder="1" applyAlignment="1">
      <alignment horizontal="center" vertical="center"/>
    </xf>
    <xf numFmtId="165" fontId="12" fillId="0" borderId="0" xfId="1" applyNumberFormat="1" applyFont="1" applyFill="1" applyBorder="1"/>
    <xf numFmtId="43" fontId="12" fillId="0" borderId="0" xfId="1" applyNumberFormat="1" applyFont="1"/>
    <xf numFmtId="165" fontId="2" fillId="0" borderId="0" xfId="1" applyNumberFormat="1" applyFont="1" applyFill="1" applyBorder="1" applyAlignment="1" applyProtection="1">
      <alignment horizontal="right"/>
      <protection locked="0"/>
    </xf>
    <xf numFmtId="164" fontId="5" fillId="0" borderId="0" xfId="0" applyNumberFormat="1" applyFont="1" applyFill="1" applyBorder="1" applyProtection="1">
      <protection locked="0"/>
    </xf>
    <xf numFmtId="0" fontId="16" fillId="0" borderId="0" xfId="0" applyFont="1" applyFill="1" applyBorder="1" applyProtection="1">
      <protection locked="0"/>
    </xf>
    <xf numFmtId="0" fontId="12" fillId="0" borderId="10" xfId="0" applyFont="1" applyBorder="1" applyAlignment="1">
      <alignment horizontal="right"/>
    </xf>
    <xf numFmtId="0" fontId="12" fillId="0" borderId="0" xfId="0" applyFont="1" applyFill="1" applyAlignment="1">
      <alignment horizontal="center"/>
    </xf>
    <xf numFmtId="43" fontId="12" fillId="0" borderId="0" xfId="1" applyFont="1" applyFill="1" applyAlignment="1">
      <alignment horizontal="center"/>
    </xf>
    <xf numFmtId="4" fontId="12" fillId="0" borderId="0" xfId="0" applyNumberFormat="1" applyFont="1" applyFill="1" applyAlignment="1">
      <alignment horizontal="center"/>
    </xf>
    <xf numFmtId="0" fontId="12" fillId="0" borderId="0" xfId="0" applyFont="1" applyFill="1" applyAlignment="1">
      <alignment horizontal="center" vertical="center"/>
    </xf>
    <xf numFmtId="15" fontId="12" fillId="0" borderId="0" xfId="0" applyNumberFormat="1" applyFont="1" applyFill="1"/>
    <xf numFmtId="0" fontId="11" fillId="0" borderId="0" xfId="0" applyFont="1" applyFill="1" applyBorder="1"/>
    <xf numFmtId="0" fontId="11" fillId="0" borderId="0" xfId="0" applyFont="1" applyFill="1" applyBorder="1" applyAlignment="1">
      <alignment horizontal="center"/>
    </xf>
    <xf numFmtId="3" fontId="12" fillId="0" borderId="0" xfId="0" applyNumberFormat="1" applyFont="1" applyFill="1"/>
    <xf numFmtId="164" fontId="11" fillId="4" borderId="4" xfId="0" applyNumberFormat="1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2" fillId="2" borderId="2" xfId="0" applyFont="1" applyFill="1" applyBorder="1" applyProtection="1">
      <protection locked="0"/>
    </xf>
    <xf numFmtId="0" fontId="17" fillId="0" borderId="0" xfId="0" applyFont="1" applyFill="1" applyBorder="1" applyProtection="1">
      <protection locked="0"/>
    </xf>
    <xf numFmtId="0" fontId="5" fillId="0" borderId="0" xfId="0" applyNumberFormat="1" applyFont="1" applyFill="1" applyBorder="1" applyAlignment="1" applyProtection="1">
      <alignment horizontal="center"/>
      <protection locked="0"/>
    </xf>
    <xf numFmtId="0" fontId="3" fillId="0" borderId="1" xfId="0" applyFont="1" applyFill="1" applyBorder="1" applyProtection="1">
      <protection locked="0"/>
    </xf>
    <xf numFmtId="10" fontId="4" fillId="0" borderId="1" xfId="0" applyNumberFormat="1" applyFont="1" applyFill="1" applyBorder="1" applyAlignment="1" applyProtection="1">
      <alignment horizontal="right"/>
      <protection locked="0"/>
    </xf>
    <xf numFmtId="0" fontId="12" fillId="0" borderId="0" xfId="0" applyFont="1" applyAlignment="1">
      <alignment horizontal="left" vertical="center"/>
    </xf>
    <xf numFmtId="0" fontId="11" fillId="3" borderId="8" xfId="0" applyFont="1" applyFill="1" applyBorder="1"/>
    <xf numFmtId="0" fontId="2" fillId="2" borderId="2" xfId="0" applyFont="1" applyFill="1" applyBorder="1" applyProtection="1">
      <protection locked="0"/>
    </xf>
    <xf numFmtId="167" fontId="2" fillId="2" borderId="2" xfId="0" applyNumberFormat="1" applyFont="1" applyFill="1" applyBorder="1" applyAlignment="1" applyProtection="1">
      <alignment horizontal="right"/>
      <protection locked="0"/>
    </xf>
    <xf numFmtId="4" fontId="1" fillId="0" borderId="0" xfId="0" applyNumberFormat="1" applyFont="1" applyAlignment="1">
      <alignment vertical="center" wrapText="1"/>
    </xf>
    <xf numFmtId="43" fontId="12" fillId="0" borderId="0" xfId="0" applyNumberFormat="1" applyFont="1" applyFill="1"/>
    <xf numFmtId="0" fontId="2" fillId="2" borderId="2" xfId="0" applyFont="1" applyFill="1" applyBorder="1" applyProtection="1">
      <protection locked="0"/>
    </xf>
    <xf numFmtId="168" fontId="2" fillId="0" borderId="4" xfId="2" applyNumberFormat="1" applyFont="1" applyFill="1" applyBorder="1" applyAlignment="1" applyProtection="1">
      <alignment horizontal="right"/>
      <protection locked="0"/>
    </xf>
    <xf numFmtId="3" fontId="12" fillId="5" borderId="0" xfId="0" applyNumberFormat="1" applyFont="1" applyFill="1"/>
    <xf numFmtId="168" fontId="2" fillId="0" borderId="4" xfId="0" applyNumberFormat="1" applyFont="1" applyFill="1" applyBorder="1" applyAlignment="1" applyProtection="1">
      <alignment horizontal="right"/>
      <protection locked="0"/>
    </xf>
    <xf numFmtId="0" fontId="12" fillId="0" borderId="0" xfId="0" applyFont="1" applyBorder="1"/>
    <xf numFmtId="164" fontId="12" fillId="0" borderId="2" xfId="1" applyNumberFormat="1" applyFont="1" applyFill="1" applyBorder="1"/>
    <xf numFmtId="164" fontId="12" fillId="0" borderId="2" xfId="0" applyNumberFormat="1" applyFont="1" applyBorder="1"/>
    <xf numFmtId="0" fontId="18" fillId="0" borderId="0" xfId="0" applyFont="1"/>
    <xf numFmtId="43" fontId="12" fillId="0" borderId="0" xfId="0" applyNumberFormat="1" applyFont="1"/>
    <xf numFmtId="43" fontId="12" fillId="0" borderId="13" xfId="1" applyFont="1" applyBorder="1"/>
    <xf numFmtId="43" fontId="12" fillId="0" borderId="12" xfId="1" applyFont="1" applyBorder="1"/>
    <xf numFmtId="43" fontId="12" fillId="0" borderId="14" xfId="1" applyFont="1" applyBorder="1"/>
    <xf numFmtId="164" fontId="12" fillId="0" borderId="3" xfId="1" applyNumberFormat="1" applyFont="1" applyBorder="1"/>
    <xf numFmtId="164" fontId="12" fillId="0" borderId="3" xfId="1" applyNumberFormat="1" applyFont="1" applyFill="1" applyBorder="1"/>
    <xf numFmtId="43" fontId="12" fillId="0" borderId="15" xfId="1" applyFont="1" applyBorder="1"/>
    <xf numFmtId="43" fontId="12" fillId="0" borderId="16" xfId="1" applyFont="1" applyBorder="1"/>
    <xf numFmtId="164" fontId="12" fillId="0" borderId="4" xfId="1" applyNumberFormat="1" applyFont="1" applyFill="1" applyBorder="1"/>
    <xf numFmtId="165" fontId="1" fillId="0" borderId="0" xfId="1" applyNumberFormat="1" applyFont="1" applyAlignment="1">
      <alignment vertical="center" wrapText="1"/>
    </xf>
    <xf numFmtId="165" fontId="12" fillId="0" borderId="0" xfId="0" applyNumberFormat="1" applyFont="1" applyFill="1"/>
    <xf numFmtId="0" fontId="2" fillId="2" borderId="2" xfId="0" applyFont="1" applyFill="1" applyBorder="1" applyProtection="1"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showGridLines="0" workbookViewId="0">
      <selection activeCell="G31" sqref="G31"/>
    </sheetView>
  </sheetViews>
  <sheetFormatPr defaultColWidth="9.140625" defaultRowHeight="13.5" x14ac:dyDescent="0.25"/>
  <cols>
    <col min="1" max="1" width="21.5703125" style="23" customWidth="1"/>
    <col min="2" max="2" width="21.42578125" style="23" customWidth="1"/>
    <col min="3" max="3" width="17.42578125" style="23" customWidth="1"/>
    <col min="4" max="4" width="24.5703125" style="23" bestFit="1" customWidth="1"/>
    <col min="5" max="5" width="33.42578125" style="23" customWidth="1"/>
    <col min="6" max="6" width="9.28515625" style="23" bestFit="1" customWidth="1"/>
    <col min="7" max="7" width="17.5703125" style="23" customWidth="1"/>
    <col min="8" max="8" width="18.85546875" style="23" customWidth="1"/>
    <col min="9" max="9" width="15" style="23" customWidth="1"/>
    <col min="10" max="10" width="19.28515625" style="23" customWidth="1"/>
    <col min="11" max="11" width="22" style="23" customWidth="1"/>
    <col min="12" max="16384" width="9.140625" style="23"/>
  </cols>
  <sheetData>
    <row r="1" spans="1:11" x14ac:dyDescent="0.25">
      <c r="A1" s="43" t="s">
        <v>15</v>
      </c>
      <c r="B1" s="23" t="s">
        <v>80</v>
      </c>
    </row>
    <row r="2" spans="1:11" x14ac:dyDescent="0.25">
      <c r="A2" s="43" t="s">
        <v>16</v>
      </c>
      <c r="B2" s="23" t="s">
        <v>43</v>
      </c>
    </row>
    <row r="3" spans="1:11" x14ac:dyDescent="0.25">
      <c r="A3" s="43" t="s">
        <v>17</v>
      </c>
      <c r="B3" s="23" t="s">
        <v>68</v>
      </c>
    </row>
    <row r="4" spans="1:11" x14ac:dyDescent="0.25">
      <c r="A4" s="43" t="s">
        <v>69</v>
      </c>
      <c r="B4" s="143"/>
    </row>
    <row r="6" spans="1:11" ht="14.25" thickBot="1" x14ac:dyDescent="0.3">
      <c r="G6" s="53"/>
      <c r="H6" s="53"/>
      <c r="I6" s="53"/>
      <c r="J6" s="53"/>
      <c r="K6" s="53"/>
    </row>
    <row r="7" spans="1:11" ht="15.75" thickBot="1" x14ac:dyDescent="0.35">
      <c r="A7" s="83" t="s">
        <v>18</v>
      </c>
      <c r="B7" s="84" t="s">
        <v>19</v>
      </c>
      <c r="C7" s="84" t="s">
        <v>20</v>
      </c>
      <c r="D7" s="144" t="s">
        <v>21</v>
      </c>
      <c r="E7" s="119" t="s">
        <v>63</v>
      </c>
      <c r="G7" s="133"/>
      <c r="H7" s="134"/>
      <c r="I7" s="134"/>
      <c r="J7" s="133"/>
      <c r="K7" s="134"/>
    </row>
    <row r="8" spans="1:11" x14ac:dyDescent="0.25">
      <c r="A8" s="76" t="s">
        <v>81</v>
      </c>
      <c r="B8" s="116">
        <v>43648</v>
      </c>
      <c r="C8" s="77">
        <v>580000000</v>
      </c>
      <c r="D8" s="78">
        <f>C8</f>
        <v>580000000</v>
      </c>
      <c r="E8" s="120" t="s">
        <v>78</v>
      </c>
      <c r="F8" s="44"/>
      <c r="G8" s="128"/>
      <c r="H8" s="116"/>
      <c r="I8" s="129"/>
      <c r="J8" s="130"/>
      <c r="K8" s="131"/>
    </row>
    <row r="9" spans="1:11" x14ac:dyDescent="0.25">
      <c r="A9" s="76" t="s">
        <v>86</v>
      </c>
      <c r="B9" s="116">
        <v>43648</v>
      </c>
      <c r="C9" s="77">
        <v>120000000</v>
      </c>
      <c r="D9" s="78">
        <f>D8+C9</f>
        <v>700000000</v>
      </c>
      <c r="E9" s="120" t="s">
        <v>78</v>
      </c>
      <c r="F9" s="44"/>
      <c r="G9" s="128"/>
      <c r="H9" s="116"/>
      <c r="I9" s="129"/>
      <c r="J9" s="130"/>
      <c r="K9" s="131"/>
    </row>
    <row r="10" spans="1:11" x14ac:dyDescent="0.25">
      <c r="A10" s="76">
        <v>2</v>
      </c>
      <c r="B10" s="116">
        <v>43662</v>
      </c>
      <c r="C10" s="77">
        <v>1000000000</v>
      </c>
      <c r="D10" s="78">
        <f>D9+C10</f>
        <v>1700000000</v>
      </c>
      <c r="E10" s="120" t="s">
        <v>78</v>
      </c>
      <c r="G10" s="128"/>
      <c r="H10" s="116"/>
      <c r="I10" s="129"/>
      <c r="J10" s="130"/>
      <c r="K10" s="131"/>
    </row>
    <row r="11" spans="1:11" x14ac:dyDescent="0.25">
      <c r="A11" s="76"/>
      <c r="B11" s="116"/>
      <c r="C11" s="77"/>
      <c r="D11" s="78"/>
      <c r="E11" s="120"/>
      <c r="G11" s="128"/>
      <c r="H11" s="116"/>
      <c r="I11" s="129"/>
      <c r="J11" s="130"/>
      <c r="K11" s="131"/>
    </row>
    <row r="12" spans="1:11" x14ac:dyDescent="0.25">
      <c r="B12" s="44"/>
      <c r="C12" s="30"/>
      <c r="D12" s="45"/>
      <c r="G12" s="132"/>
      <c r="H12" s="53"/>
      <c r="I12" s="53"/>
      <c r="J12" s="53"/>
      <c r="K12" s="53"/>
    </row>
    <row r="13" spans="1:11" x14ac:dyDescent="0.25">
      <c r="B13" s="44"/>
      <c r="C13" s="30"/>
      <c r="D13" s="45"/>
      <c r="G13" s="44"/>
    </row>
    <row r="14" spans="1:11" x14ac:dyDescent="0.25">
      <c r="B14" s="44"/>
      <c r="C14" s="30"/>
      <c r="D14" s="45"/>
      <c r="G14" s="44"/>
    </row>
    <row r="15" spans="1:11" x14ac:dyDescent="0.25">
      <c r="B15" s="44"/>
      <c r="C15" s="30"/>
      <c r="D15" s="45"/>
      <c r="G15" s="44"/>
    </row>
    <row r="16" spans="1:11" x14ac:dyDescent="0.25">
      <c r="B16" s="44"/>
      <c r="C16" s="30"/>
      <c r="D16" s="45"/>
      <c r="G16" s="44"/>
    </row>
    <row r="17" spans="7:9" x14ac:dyDescent="0.25">
      <c r="G17" s="44"/>
    </row>
    <row r="18" spans="7:9" ht="15.75" x14ac:dyDescent="0.25">
      <c r="G18" s="44"/>
      <c r="I18" s="156"/>
    </row>
    <row r="19" spans="7:9" x14ac:dyDescent="0.25">
      <c r="G19" s="44"/>
    </row>
    <row r="20" spans="7:9" x14ac:dyDescent="0.25">
      <c r="G20" s="44"/>
    </row>
    <row r="21" spans="7:9" x14ac:dyDescent="0.25">
      <c r="G21" s="157"/>
    </row>
    <row r="22" spans="7:9" x14ac:dyDescent="0.25">
      <c r="G22" s="4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35"/>
  <sheetViews>
    <sheetView showGridLines="0" tabSelected="1" zoomScaleNormal="100" workbookViewId="0">
      <pane xSplit="1" ySplit="1" topLeftCell="D2" activePane="bottomRight" state="frozen"/>
      <selection activeCell="B31" sqref="B31"/>
      <selection pane="topRight" activeCell="B31" sqref="B31"/>
      <selection pane="bottomLeft" activeCell="B31" sqref="B31"/>
      <selection pane="bottomRight" activeCell="P29" sqref="P29"/>
    </sheetView>
  </sheetViews>
  <sheetFormatPr defaultColWidth="9.140625" defaultRowHeight="13.5" x14ac:dyDescent="0.25"/>
  <cols>
    <col min="1" max="1" width="30.140625" style="36" bestFit="1" customWidth="1"/>
    <col min="2" max="2" width="14.5703125" style="23" bestFit="1" customWidth="1"/>
    <col min="3" max="4" width="16" style="23" bestFit="1" customWidth="1"/>
    <col min="5" max="6" width="15.5703125" style="23" bestFit="1" customWidth="1"/>
    <col min="7" max="7" width="16.28515625" style="23" bestFit="1" customWidth="1"/>
    <col min="8" max="8" width="15.5703125" style="23" bestFit="1" customWidth="1"/>
    <col min="9" max="69" width="16.28515625" style="23" bestFit="1" customWidth="1"/>
    <col min="70" max="85" width="17.28515625" style="23" bestFit="1" customWidth="1"/>
    <col min="86" max="88" width="17.28515625" style="23" customWidth="1"/>
    <col min="89" max="90" width="17.28515625" style="23" bestFit="1" customWidth="1"/>
    <col min="91" max="92" width="17.28515625" style="23" customWidth="1"/>
    <col min="93" max="93" width="17.28515625" style="23" bestFit="1" customWidth="1"/>
    <col min="94" max="98" width="17.28515625" style="23" customWidth="1"/>
    <col min="99" max="121" width="16.28515625" style="23" bestFit="1" customWidth="1"/>
    <col min="122" max="16384" width="9.140625" style="23"/>
  </cols>
  <sheetData>
    <row r="1" spans="1:121" ht="15" x14ac:dyDescent="0.3">
      <c r="B1" s="28">
        <f>'Accrual_SCBL '!B23</f>
        <v>43678</v>
      </c>
      <c r="C1" s="28">
        <f>'Accrual_SCBL '!C23</f>
        <v>43709</v>
      </c>
      <c r="D1" s="28">
        <f>'Accrual_SCBL '!D23</f>
        <v>43739</v>
      </c>
      <c r="E1" s="28">
        <f>'Accrual_SCBL '!E23</f>
        <v>43770</v>
      </c>
      <c r="F1" s="28">
        <f>'Accrual_SCBL '!F23</f>
        <v>43800</v>
      </c>
      <c r="G1" s="28">
        <f>'Accrual_SCBL '!G23</f>
        <v>43831</v>
      </c>
      <c r="H1" s="28">
        <f>'Accrual_SCBL '!H23</f>
        <v>43862</v>
      </c>
      <c r="I1" s="28">
        <f>'Accrual_SCBL '!I23</f>
        <v>43891</v>
      </c>
      <c r="J1" s="28">
        <f>'Accrual_SCBL '!J23</f>
        <v>43922</v>
      </c>
      <c r="K1" s="28">
        <f>'Accrual_SCBL '!K23</f>
        <v>43952</v>
      </c>
      <c r="L1" s="28">
        <f>'Accrual_SCBL '!L23</f>
        <v>43983</v>
      </c>
      <c r="M1" s="28">
        <f>'Accrual_SCBL '!M23</f>
        <v>44013</v>
      </c>
      <c r="N1" s="28">
        <f>'Accrual_SCBL '!N23</f>
        <v>44044</v>
      </c>
      <c r="O1" s="28">
        <f>'Accrual_SCBL '!O23</f>
        <v>44075</v>
      </c>
      <c r="P1" s="28">
        <f>'Accrual_SCBL '!P23</f>
        <v>44105</v>
      </c>
      <c r="Q1" s="28">
        <f>'Accrual_SCBL '!Q23</f>
        <v>44136</v>
      </c>
      <c r="R1" s="28">
        <f>'Accrual_SCBL '!R23</f>
        <v>44166</v>
      </c>
      <c r="S1" s="28">
        <f>'Accrual_SCBL '!S23</f>
        <v>44197</v>
      </c>
      <c r="T1" s="28">
        <f>'Accrual_SCBL '!T23</f>
        <v>44228</v>
      </c>
      <c r="U1" s="28">
        <f>'Accrual_SCBL '!U23</f>
        <v>44256</v>
      </c>
      <c r="V1" s="28">
        <f>'Accrual_SCBL '!V23</f>
        <v>44287</v>
      </c>
      <c r="W1" s="28">
        <f>'Accrual_SCBL '!W23</f>
        <v>44317</v>
      </c>
      <c r="X1" s="28">
        <f>'Accrual_SCBL '!X23</f>
        <v>44348</v>
      </c>
      <c r="Y1" s="28">
        <f>'Accrual_SCBL '!Y23</f>
        <v>44378</v>
      </c>
      <c r="Z1" s="28">
        <f>'Accrual_SCBL '!Z23</f>
        <v>44409</v>
      </c>
      <c r="AA1" s="28">
        <f>'Accrual_SCBL '!AA23</f>
        <v>44440</v>
      </c>
      <c r="AB1" s="28">
        <f>'Accrual_SCBL '!AB23</f>
        <v>44470</v>
      </c>
      <c r="AC1" s="28">
        <f>'Accrual_SCBL '!AC23</f>
        <v>44501</v>
      </c>
      <c r="AD1" s="28">
        <f>'Accrual_SCBL '!AD23</f>
        <v>44531</v>
      </c>
      <c r="AE1" s="28">
        <f>'Accrual_SCBL '!AE23</f>
        <v>44562</v>
      </c>
      <c r="AF1" s="28">
        <f>'Accrual_SCBL '!AF23</f>
        <v>44593</v>
      </c>
      <c r="AG1" s="28">
        <f>'Accrual_SCBL '!AG23</f>
        <v>44621</v>
      </c>
      <c r="AH1" s="28">
        <f>'Accrual_SCBL '!AH23</f>
        <v>44652</v>
      </c>
      <c r="AI1" s="28">
        <f>'Accrual_SCBL '!AI23</f>
        <v>44682</v>
      </c>
      <c r="AJ1" s="28">
        <f>'Accrual_SCBL '!AJ23</f>
        <v>44713</v>
      </c>
      <c r="AK1" s="28">
        <f>'Accrual_SCBL '!AK23</f>
        <v>44743</v>
      </c>
      <c r="AL1" s="28">
        <f>'Accrual_SCBL '!AL23</f>
        <v>44774</v>
      </c>
      <c r="AM1" s="28">
        <f>'Accrual_SCBL '!AM23</f>
        <v>44805</v>
      </c>
      <c r="AN1" s="28">
        <f>'Accrual_SCBL '!AN23</f>
        <v>44835</v>
      </c>
      <c r="AO1" s="28">
        <f>'Accrual_SCBL '!AO23</f>
        <v>44866</v>
      </c>
      <c r="AP1" s="28">
        <f>'Accrual_SCBL '!AP23</f>
        <v>44896</v>
      </c>
      <c r="AQ1" s="28">
        <f>'Accrual_SCBL '!AQ23</f>
        <v>44927</v>
      </c>
      <c r="AR1" s="28">
        <f>'Accrual_SCBL '!AR23</f>
        <v>44958</v>
      </c>
      <c r="AS1" s="28">
        <f>'Accrual_SCBL '!AS23</f>
        <v>44986</v>
      </c>
      <c r="AT1" s="28">
        <f>'Accrual_SCBL '!AT23</f>
        <v>45017</v>
      </c>
      <c r="AU1" s="28">
        <f>'Accrual_SCBL '!AU23</f>
        <v>45047</v>
      </c>
      <c r="AV1" s="28">
        <f>'Accrual_SCBL '!AV23</f>
        <v>45078</v>
      </c>
      <c r="AW1" s="28">
        <f>'Accrual_SCBL '!AW23</f>
        <v>45108</v>
      </c>
      <c r="AX1" s="28">
        <f>'Accrual_SCBL '!AX23</f>
        <v>45139</v>
      </c>
      <c r="AY1" s="28">
        <f>'Accrual_SCBL '!AY23</f>
        <v>45170</v>
      </c>
      <c r="AZ1" s="28">
        <f>'Accrual_SCBL '!AZ23</f>
        <v>45200</v>
      </c>
      <c r="BA1" s="28">
        <f>'Accrual_SCBL '!BA23</f>
        <v>45231</v>
      </c>
      <c r="BB1" s="28">
        <f>'Accrual_SCBL '!BB23</f>
        <v>45261</v>
      </c>
      <c r="BC1" s="28">
        <f>'Accrual_SCBL '!BC23</f>
        <v>45292</v>
      </c>
      <c r="BD1" s="28">
        <f>'Accrual_SCBL '!BD23</f>
        <v>45323</v>
      </c>
      <c r="BE1" s="28">
        <f>'Accrual_SCBL '!BE23</f>
        <v>45352</v>
      </c>
      <c r="BF1" s="28">
        <f>'Accrual_SCBL '!BF23</f>
        <v>45383</v>
      </c>
      <c r="BG1" s="28">
        <f>'Accrual_SCBL '!BG23</f>
        <v>45413</v>
      </c>
      <c r="BH1" s="28">
        <f>'Accrual_SCBL '!BH23</f>
        <v>45444</v>
      </c>
      <c r="BI1" s="28">
        <f>'Accrual_SCBL '!BI23</f>
        <v>45474</v>
      </c>
      <c r="BJ1" s="28">
        <f>'Accrual_SCBL '!BJ23</f>
        <v>45505</v>
      </c>
      <c r="BK1" s="28">
        <f>'Accrual_SCBL '!BK23</f>
        <v>45536</v>
      </c>
      <c r="BL1" s="28">
        <f>'Accrual_SCBL '!BL23</f>
        <v>45566</v>
      </c>
      <c r="BM1" s="28">
        <f>'Accrual_SCBL '!BM23</f>
        <v>45597</v>
      </c>
      <c r="BN1" s="28">
        <f>'Accrual_SCBL '!BN23</f>
        <v>45627</v>
      </c>
      <c r="BO1" s="28">
        <f>'Accrual_SCBL '!BO23</f>
        <v>45658</v>
      </c>
      <c r="BP1" s="28">
        <f>'Accrual_SCBL '!BP23</f>
        <v>45689</v>
      </c>
      <c r="BQ1" s="28">
        <f>'Accrual_SCBL '!BQ23</f>
        <v>45717</v>
      </c>
      <c r="BR1" s="28">
        <f>'Accrual_SCBL '!BR23</f>
        <v>45748</v>
      </c>
      <c r="BS1" s="28">
        <f>'Accrual_SCBL '!BS23</f>
        <v>45778</v>
      </c>
      <c r="BT1" s="28">
        <f>'Accrual_SCBL '!BT23</f>
        <v>45809</v>
      </c>
      <c r="BU1" s="28">
        <f>'Accrual_SCBL '!BU23</f>
        <v>45839</v>
      </c>
      <c r="BV1" s="28">
        <f>'Accrual_SCBL '!BV23</f>
        <v>45870</v>
      </c>
      <c r="BW1" s="28">
        <f>'Accrual_SCBL '!BW23</f>
        <v>45901</v>
      </c>
      <c r="BX1" s="28">
        <f>'Accrual_SCBL '!BX23</f>
        <v>45931</v>
      </c>
      <c r="BY1" s="28">
        <f>'Accrual_SCBL '!BY23</f>
        <v>45962</v>
      </c>
      <c r="BZ1" s="28">
        <f>'Accrual_SCBL '!BZ23</f>
        <v>45992</v>
      </c>
      <c r="CA1" s="28">
        <f>'Accrual_SCBL '!CA23</f>
        <v>46023</v>
      </c>
      <c r="CB1" s="28">
        <f>'Accrual_SCBL '!CB23</f>
        <v>46054</v>
      </c>
      <c r="CC1" s="28">
        <f>'Accrual_SCBL '!CC23</f>
        <v>46082</v>
      </c>
      <c r="CD1" s="28">
        <f>'Accrual_SCBL '!CD23</f>
        <v>46113</v>
      </c>
      <c r="CE1" s="28">
        <f>'Accrual_SCBL '!CE23</f>
        <v>46143</v>
      </c>
      <c r="CF1" s="28">
        <f>'Accrual_SCBL '!CF23</f>
        <v>46174</v>
      </c>
      <c r="CG1" s="28">
        <f>'Accrual_SCBL '!CG23</f>
        <v>46204</v>
      </c>
      <c r="CH1" s="28">
        <f>'Accrual_SCBL '!CH23</f>
        <v>46235</v>
      </c>
      <c r="CI1" s="28">
        <f>'Accrual_SCBL '!CI23</f>
        <v>46266</v>
      </c>
      <c r="CJ1" s="28">
        <f>'Accrual_SCBL '!CJ23</f>
        <v>46296</v>
      </c>
      <c r="CK1" s="28">
        <f>'Accrual_SCBL '!CK23</f>
        <v>46327</v>
      </c>
      <c r="CL1" s="28">
        <f>'Accrual_SCBL '!CL23</f>
        <v>46357</v>
      </c>
      <c r="CM1" s="28">
        <f>'Accrual_SCBL '!CM23</f>
        <v>46388</v>
      </c>
      <c r="CN1" s="28">
        <f>'Accrual_SCBL '!CN23</f>
        <v>46419</v>
      </c>
      <c r="CO1" s="28">
        <f>'Accrual_SCBL '!CO23</f>
        <v>46447</v>
      </c>
      <c r="CP1" s="28">
        <f>'Accrual_SCBL '!CP23</f>
        <v>46478</v>
      </c>
      <c r="CQ1" s="28">
        <f>'Accrual_SCBL '!CQ23</f>
        <v>46508</v>
      </c>
      <c r="CR1" s="28">
        <f>'Accrual_SCBL '!CR23</f>
        <v>46539</v>
      </c>
      <c r="CS1" s="28">
        <f>'Accrual_SCBL '!CS23</f>
        <v>46569</v>
      </c>
      <c r="CT1" s="28">
        <f>'Accrual_SCBL '!CT23</f>
        <v>46600</v>
      </c>
      <c r="CU1" s="28">
        <f>'Accrual_SCBL '!CU23</f>
        <v>46631</v>
      </c>
      <c r="CV1" s="28">
        <f>'Accrual_SCBL '!CV23</f>
        <v>46661</v>
      </c>
      <c r="CW1" s="28">
        <f>'Accrual_SCBL '!CW23</f>
        <v>46692</v>
      </c>
      <c r="CX1" s="28">
        <f>'Accrual_SCBL '!CX23</f>
        <v>46722</v>
      </c>
      <c r="CY1" s="28">
        <f>'Accrual_SCBL '!CY23</f>
        <v>46753</v>
      </c>
      <c r="CZ1" s="28">
        <f>'Accrual_SCBL '!CZ23</f>
        <v>46784</v>
      </c>
      <c r="DA1" s="28">
        <f>'Accrual_SCBL '!DA23</f>
        <v>46813</v>
      </c>
      <c r="DB1" s="28">
        <f>'Accrual_SCBL '!DB23</f>
        <v>46844</v>
      </c>
      <c r="DC1" s="28">
        <f>'Accrual_SCBL '!DC23</f>
        <v>46874</v>
      </c>
      <c r="DD1" s="28">
        <f>'Accrual_SCBL '!DD23</f>
        <v>46905</v>
      </c>
      <c r="DE1" s="28">
        <f>'Accrual_SCBL '!DE23</f>
        <v>46935</v>
      </c>
      <c r="DF1" s="28">
        <f>'Accrual_SCBL '!DF23</f>
        <v>46966</v>
      </c>
      <c r="DG1" s="28">
        <f>'Accrual_SCBL '!DG23</f>
        <v>46997</v>
      </c>
      <c r="DH1" s="28">
        <f>'Accrual_SCBL '!DH23</f>
        <v>47027</v>
      </c>
      <c r="DI1" s="28">
        <f>'Accrual_SCBL '!DI23</f>
        <v>47058</v>
      </c>
      <c r="DJ1" s="28">
        <f>'Accrual_SCBL '!DJ23</f>
        <v>47088</v>
      </c>
      <c r="DK1" s="28">
        <f>'Accrual_SCBL '!DK23</f>
        <v>47119</v>
      </c>
      <c r="DL1" s="28">
        <f>'Accrual_SCBL '!DL23</f>
        <v>47150</v>
      </c>
      <c r="DM1" s="28">
        <f>'Accrual_SCBL '!DM23</f>
        <v>47178</v>
      </c>
      <c r="DN1" s="28">
        <f>'Accrual_SCBL '!DN23</f>
        <v>47209</v>
      </c>
      <c r="DO1" s="28">
        <f>'Accrual_SCBL '!DO23</f>
        <v>47239</v>
      </c>
      <c r="DP1" s="28">
        <f>'Accrual_SCBL '!DP23</f>
        <v>47270</v>
      </c>
      <c r="DQ1" s="28">
        <f>'Accrual_SCBL '!DQ23</f>
        <v>47300</v>
      </c>
    </row>
    <row r="2" spans="1:121" ht="15" x14ac:dyDescent="0.3">
      <c r="A2" s="37" t="s">
        <v>22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</row>
    <row r="3" spans="1:121" x14ac:dyDescent="0.25">
      <c r="A3" s="38" t="s">
        <v>23</v>
      </c>
      <c r="B3" s="30">
        <f>'Accrual_SCBL '!B24</f>
        <v>1700000000</v>
      </c>
      <c r="C3" s="30">
        <f>'Accrual_SCBL '!C24</f>
        <v>1700000000</v>
      </c>
      <c r="D3" s="30">
        <f>'Accrual_SCBL '!D24</f>
        <v>1700000000</v>
      </c>
      <c r="E3" s="30">
        <f>'Accrual_SCBL '!E24</f>
        <v>1700000000</v>
      </c>
      <c r="F3" s="30">
        <f>'Accrual_SCBL '!F24</f>
        <v>1700000000</v>
      </c>
      <c r="G3" s="30">
        <f>'Accrual_SCBL '!G24</f>
        <v>1700000000</v>
      </c>
      <c r="H3" s="30">
        <f>'Accrual_SCBL '!H24</f>
        <v>1700000000</v>
      </c>
      <c r="I3" s="30">
        <f>'Accrual_SCBL '!I24</f>
        <v>1700000000</v>
      </c>
      <c r="J3" s="30">
        <f>'Accrual_SCBL '!J24</f>
        <v>1700000000</v>
      </c>
      <c r="K3" s="30">
        <f>'Accrual_SCBL '!K24</f>
        <v>1700000000</v>
      </c>
      <c r="L3" s="30">
        <f>'Accrual_SCBL '!L24</f>
        <v>1700000000</v>
      </c>
      <c r="M3" s="30">
        <f>'Accrual_SCBL '!M24</f>
        <v>1700000000</v>
      </c>
      <c r="N3" s="30">
        <f>'Accrual_SCBL '!N24</f>
        <v>1700000000</v>
      </c>
      <c r="O3" s="30">
        <f>'Accrual_SCBL '!O24</f>
        <v>1700000000</v>
      </c>
      <c r="P3" s="30">
        <f>'Accrual_SCBL '!P24</f>
        <v>1700000000</v>
      </c>
      <c r="Q3" s="30">
        <f>'Accrual_SCBL '!Q24</f>
        <v>1700000000</v>
      </c>
      <c r="R3" s="30">
        <f t="shared" ref="R3:BU3" si="0">Q3</f>
        <v>1700000000</v>
      </c>
      <c r="S3" s="30">
        <f t="shared" si="0"/>
        <v>1700000000</v>
      </c>
      <c r="T3" s="30">
        <f t="shared" si="0"/>
        <v>1700000000</v>
      </c>
      <c r="U3" s="30">
        <f t="shared" si="0"/>
        <v>1700000000</v>
      </c>
      <c r="V3" s="30">
        <f t="shared" si="0"/>
        <v>1700000000</v>
      </c>
      <c r="W3" s="30">
        <f t="shared" si="0"/>
        <v>1700000000</v>
      </c>
      <c r="X3" s="30">
        <f t="shared" si="0"/>
        <v>1700000000</v>
      </c>
      <c r="Y3" s="30">
        <f t="shared" si="0"/>
        <v>1700000000</v>
      </c>
      <c r="Z3" s="30">
        <f t="shared" si="0"/>
        <v>1700000000</v>
      </c>
      <c r="AA3" s="30">
        <f t="shared" si="0"/>
        <v>1700000000</v>
      </c>
      <c r="AB3" s="30">
        <f t="shared" si="0"/>
        <v>1700000000</v>
      </c>
      <c r="AC3" s="30">
        <f t="shared" si="0"/>
        <v>1700000000</v>
      </c>
      <c r="AD3" s="30">
        <f t="shared" si="0"/>
        <v>1700000000</v>
      </c>
      <c r="AE3" s="30">
        <f t="shared" si="0"/>
        <v>1700000000</v>
      </c>
      <c r="AF3" s="30">
        <f t="shared" si="0"/>
        <v>1700000000</v>
      </c>
      <c r="AG3" s="30">
        <f t="shared" si="0"/>
        <v>1700000000</v>
      </c>
      <c r="AH3" s="30">
        <f t="shared" si="0"/>
        <v>1700000000</v>
      </c>
      <c r="AI3" s="30">
        <f t="shared" si="0"/>
        <v>1700000000</v>
      </c>
      <c r="AJ3" s="30">
        <f t="shared" si="0"/>
        <v>1700000000</v>
      </c>
      <c r="AK3" s="30">
        <f t="shared" si="0"/>
        <v>1700000000</v>
      </c>
      <c r="AL3" s="30">
        <f t="shared" si="0"/>
        <v>1700000000</v>
      </c>
      <c r="AM3" s="30">
        <f t="shared" si="0"/>
        <v>1700000000</v>
      </c>
      <c r="AN3" s="30">
        <f t="shared" si="0"/>
        <v>1700000000</v>
      </c>
      <c r="AO3" s="30">
        <f t="shared" si="0"/>
        <v>1700000000</v>
      </c>
      <c r="AP3" s="30">
        <f t="shared" si="0"/>
        <v>1700000000</v>
      </c>
      <c r="AQ3" s="30">
        <f t="shared" si="0"/>
        <v>1700000000</v>
      </c>
      <c r="AR3" s="30">
        <f t="shared" si="0"/>
        <v>1700000000</v>
      </c>
      <c r="AS3" s="30">
        <f t="shared" si="0"/>
        <v>1700000000</v>
      </c>
      <c r="AT3" s="30">
        <f t="shared" si="0"/>
        <v>1700000000</v>
      </c>
      <c r="AU3" s="30">
        <f t="shared" si="0"/>
        <v>1700000000</v>
      </c>
      <c r="AV3" s="30">
        <f t="shared" si="0"/>
        <v>1700000000</v>
      </c>
      <c r="AW3" s="30">
        <f t="shared" si="0"/>
        <v>1700000000</v>
      </c>
      <c r="AX3" s="30">
        <f t="shared" si="0"/>
        <v>1700000000</v>
      </c>
      <c r="AY3" s="30">
        <f t="shared" si="0"/>
        <v>1700000000</v>
      </c>
      <c r="AZ3" s="30">
        <f t="shared" si="0"/>
        <v>1700000000</v>
      </c>
      <c r="BA3" s="30">
        <f t="shared" si="0"/>
        <v>1700000000</v>
      </c>
      <c r="BB3" s="30">
        <f t="shared" si="0"/>
        <v>1700000000</v>
      </c>
      <c r="BC3" s="30">
        <f t="shared" si="0"/>
        <v>1700000000</v>
      </c>
      <c r="BD3" s="30">
        <f t="shared" si="0"/>
        <v>1700000000</v>
      </c>
      <c r="BE3" s="30">
        <f t="shared" si="0"/>
        <v>1700000000</v>
      </c>
      <c r="BF3" s="30">
        <f t="shared" si="0"/>
        <v>1700000000</v>
      </c>
      <c r="BG3" s="30">
        <f t="shared" si="0"/>
        <v>1700000000</v>
      </c>
      <c r="BH3" s="30">
        <f t="shared" si="0"/>
        <v>1700000000</v>
      </c>
      <c r="BI3" s="30">
        <f t="shared" si="0"/>
        <v>1700000000</v>
      </c>
      <c r="BJ3" s="30">
        <f t="shared" si="0"/>
        <v>1700000000</v>
      </c>
      <c r="BK3" s="30">
        <f t="shared" si="0"/>
        <v>1700000000</v>
      </c>
      <c r="BL3" s="30">
        <f t="shared" si="0"/>
        <v>1700000000</v>
      </c>
      <c r="BM3" s="30">
        <f t="shared" si="0"/>
        <v>1700000000</v>
      </c>
      <c r="BN3" s="30">
        <f t="shared" si="0"/>
        <v>1700000000</v>
      </c>
      <c r="BO3" s="30">
        <f t="shared" si="0"/>
        <v>1700000000</v>
      </c>
      <c r="BP3" s="30">
        <f t="shared" si="0"/>
        <v>1700000000</v>
      </c>
      <c r="BQ3" s="30">
        <f t="shared" si="0"/>
        <v>1700000000</v>
      </c>
      <c r="BR3" s="30">
        <f t="shared" si="0"/>
        <v>1700000000</v>
      </c>
      <c r="BS3" s="30">
        <f t="shared" si="0"/>
        <v>1700000000</v>
      </c>
      <c r="BT3" s="30">
        <f t="shared" si="0"/>
        <v>1700000000</v>
      </c>
      <c r="BU3" s="30">
        <f t="shared" si="0"/>
        <v>1700000000</v>
      </c>
      <c r="BV3" s="30">
        <f t="shared" ref="BV3:CS3" si="1">BU3</f>
        <v>1700000000</v>
      </c>
      <c r="BW3" s="30">
        <f t="shared" si="1"/>
        <v>1700000000</v>
      </c>
      <c r="BX3" s="30">
        <f t="shared" si="1"/>
        <v>1700000000</v>
      </c>
      <c r="BY3" s="30">
        <f t="shared" si="1"/>
        <v>1700000000</v>
      </c>
      <c r="BZ3" s="30">
        <f t="shared" si="1"/>
        <v>1700000000</v>
      </c>
      <c r="CA3" s="30">
        <f t="shared" si="1"/>
        <v>1700000000</v>
      </c>
      <c r="CB3" s="30">
        <f t="shared" si="1"/>
        <v>1700000000</v>
      </c>
      <c r="CC3" s="30">
        <f t="shared" si="1"/>
        <v>1700000000</v>
      </c>
      <c r="CD3" s="30">
        <f t="shared" si="1"/>
        <v>1700000000</v>
      </c>
      <c r="CE3" s="30">
        <f t="shared" si="1"/>
        <v>1700000000</v>
      </c>
      <c r="CF3" s="30">
        <f t="shared" si="1"/>
        <v>1700000000</v>
      </c>
      <c r="CG3" s="30">
        <f t="shared" si="1"/>
        <v>1700000000</v>
      </c>
      <c r="CH3" s="30">
        <f t="shared" si="1"/>
        <v>1700000000</v>
      </c>
      <c r="CI3" s="30">
        <f t="shared" si="1"/>
        <v>1700000000</v>
      </c>
      <c r="CJ3" s="30">
        <f t="shared" si="1"/>
        <v>1700000000</v>
      </c>
      <c r="CK3" s="30">
        <f t="shared" si="1"/>
        <v>1700000000</v>
      </c>
      <c r="CL3" s="30">
        <f t="shared" si="1"/>
        <v>1700000000</v>
      </c>
      <c r="CM3" s="30">
        <f t="shared" si="1"/>
        <v>1700000000</v>
      </c>
      <c r="CN3" s="30">
        <f t="shared" si="1"/>
        <v>1700000000</v>
      </c>
      <c r="CO3" s="30">
        <f t="shared" si="1"/>
        <v>1700000000</v>
      </c>
      <c r="CP3" s="30">
        <f t="shared" si="1"/>
        <v>1700000000</v>
      </c>
      <c r="CQ3" s="30">
        <f t="shared" si="1"/>
        <v>1700000000</v>
      </c>
      <c r="CR3" s="30">
        <f>CQ3</f>
        <v>1700000000</v>
      </c>
      <c r="CS3" s="30">
        <f t="shared" si="1"/>
        <v>1700000000</v>
      </c>
      <c r="CT3" s="123">
        <f>CS3</f>
        <v>1700000000</v>
      </c>
      <c r="CU3" s="123">
        <f t="shared" ref="CU3:DN3" si="2">CT3</f>
        <v>1700000000</v>
      </c>
      <c r="CV3" s="123">
        <f t="shared" si="2"/>
        <v>1700000000</v>
      </c>
      <c r="CW3" s="123">
        <f t="shared" si="2"/>
        <v>1700000000</v>
      </c>
      <c r="CX3" s="123">
        <f t="shared" si="2"/>
        <v>1700000000</v>
      </c>
      <c r="CY3" s="123">
        <f t="shared" si="2"/>
        <v>1700000000</v>
      </c>
      <c r="CZ3" s="123">
        <f t="shared" si="2"/>
        <v>1700000000</v>
      </c>
      <c r="DA3" s="123">
        <f t="shared" si="2"/>
        <v>1700000000</v>
      </c>
      <c r="DB3" s="123">
        <f t="shared" si="2"/>
        <v>1700000000</v>
      </c>
      <c r="DC3" s="123">
        <f t="shared" si="2"/>
        <v>1700000000</v>
      </c>
      <c r="DD3" s="123">
        <f t="shared" si="2"/>
        <v>1700000000</v>
      </c>
      <c r="DE3" s="123">
        <f t="shared" si="2"/>
        <v>1700000000</v>
      </c>
      <c r="DF3" s="123">
        <f t="shared" si="2"/>
        <v>1700000000</v>
      </c>
      <c r="DG3" s="123">
        <f t="shared" si="2"/>
        <v>1700000000</v>
      </c>
      <c r="DH3" s="123">
        <f t="shared" si="2"/>
        <v>1700000000</v>
      </c>
      <c r="DI3" s="123">
        <f t="shared" si="2"/>
        <v>1700000000</v>
      </c>
      <c r="DJ3" s="123">
        <f t="shared" si="2"/>
        <v>1700000000</v>
      </c>
      <c r="DK3" s="123">
        <f t="shared" si="2"/>
        <v>1700000000</v>
      </c>
      <c r="DL3" s="123">
        <f t="shared" si="2"/>
        <v>1700000000</v>
      </c>
      <c r="DM3" s="123">
        <f t="shared" si="2"/>
        <v>1700000000</v>
      </c>
      <c r="DN3" s="123">
        <f t="shared" si="2"/>
        <v>1700000000</v>
      </c>
      <c r="DO3" s="123">
        <f t="shared" ref="DO3" si="3">DN3</f>
        <v>1700000000</v>
      </c>
      <c r="DP3" s="123">
        <f t="shared" ref="DP3" si="4">DO3</f>
        <v>1700000000</v>
      </c>
      <c r="DQ3" s="123">
        <f t="shared" ref="DQ3" si="5">DP3</f>
        <v>1700000000</v>
      </c>
    </row>
    <row r="4" spans="1:121" x14ac:dyDescent="0.25">
      <c r="A4" s="38" t="s">
        <v>24</v>
      </c>
      <c r="B4" s="30">
        <f>'Accrual_SCBL '!B28</f>
        <v>0</v>
      </c>
      <c r="C4" s="30">
        <f>'Accrual_SCBL '!C28</f>
        <v>0</v>
      </c>
      <c r="D4" s="30">
        <f>'Accrual_SCBL '!D28</f>
        <v>0</v>
      </c>
      <c r="E4" s="30">
        <f>'Accrual_SCBL '!E28</f>
        <v>0</v>
      </c>
      <c r="F4" s="30">
        <f>'Accrual_SCBL '!F28</f>
        <v>0</v>
      </c>
      <c r="G4" s="30">
        <f>'Accrual_SCBL '!G28</f>
        <v>0</v>
      </c>
      <c r="H4" s="30">
        <f>'Accrual_SCBL '!H28</f>
        <v>0</v>
      </c>
      <c r="I4" s="30">
        <f>'Accrual_SCBL '!I28</f>
        <v>0</v>
      </c>
      <c r="J4" s="30">
        <f>'Accrual_SCBL '!J28</f>
        <v>0</v>
      </c>
      <c r="K4" s="30">
        <f>'Accrual_SCBL '!K28</f>
        <v>0</v>
      </c>
      <c r="L4" s="30">
        <f>'Accrual_SCBL '!L28</f>
        <v>0</v>
      </c>
      <c r="M4" s="30">
        <f>'Accrual_SCBL '!M28</f>
        <v>0</v>
      </c>
      <c r="N4" s="30">
        <f>'Accrual_SCBL '!N28</f>
        <v>0</v>
      </c>
      <c r="O4" s="30">
        <f>'Accrual_SCBL '!O28</f>
        <v>0</v>
      </c>
      <c r="P4" s="30">
        <f>'Accrual_SCBL '!P28</f>
        <v>0</v>
      </c>
      <c r="Q4" s="30">
        <f>'Accrual_SCBL '!Q28</f>
        <v>0</v>
      </c>
      <c r="R4" s="30">
        <f>'Accrual_SCBL '!R28</f>
        <v>0</v>
      </c>
      <c r="S4" s="30">
        <f>'Accrual_SCBL '!S28</f>
        <v>0</v>
      </c>
      <c r="T4" s="30">
        <f>'Accrual_SCBL '!T28</f>
        <v>0</v>
      </c>
      <c r="U4" s="30">
        <f>'Accrual_SCBL '!U28</f>
        <v>0</v>
      </c>
      <c r="V4" s="30">
        <f>'Accrual_SCBL '!V28</f>
        <v>50320000</v>
      </c>
      <c r="W4" s="30">
        <f>'Accrual_SCBL '!W28</f>
        <v>50320000</v>
      </c>
      <c r="X4" s="30">
        <f>'Accrual_SCBL '!X28</f>
        <v>50320000</v>
      </c>
      <c r="Y4" s="30">
        <f>'Accrual_SCBL '!Y28</f>
        <v>100640000</v>
      </c>
      <c r="Z4" s="30">
        <f>'Accrual_SCBL '!Z28</f>
        <v>100640000</v>
      </c>
      <c r="AA4" s="30">
        <f>'Accrual_SCBL '!AA28</f>
        <v>100640000</v>
      </c>
      <c r="AB4" s="30">
        <f>'Accrual_SCBL '!AB28</f>
        <v>150620000</v>
      </c>
      <c r="AC4" s="30">
        <f>'Accrual_SCBL '!AC28</f>
        <v>150620000</v>
      </c>
      <c r="AD4" s="30">
        <f>'Accrual_SCBL '!AD28</f>
        <v>150620000</v>
      </c>
      <c r="AE4" s="30">
        <f>'Accrual_SCBL '!AE28</f>
        <v>200600000</v>
      </c>
      <c r="AF4" s="30">
        <f>'Accrual_SCBL '!AF28</f>
        <v>200600000</v>
      </c>
      <c r="AG4" s="30">
        <f>'Accrual_SCBL '!AG28</f>
        <v>200600000</v>
      </c>
      <c r="AH4" s="30">
        <f>'Accrual_SCBL '!AH28</f>
        <v>250580000</v>
      </c>
      <c r="AI4" s="30">
        <f>'Accrual_SCBL '!AI28</f>
        <v>250580000</v>
      </c>
      <c r="AJ4" s="30">
        <f>'Accrual_SCBL '!AJ28</f>
        <v>250580000</v>
      </c>
      <c r="AK4" s="30">
        <f>'Accrual_SCBL '!AK28</f>
        <v>300560000</v>
      </c>
      <c r="AL4" s="30">
        <f>'Accrual_SCBL '!AL28</f>
        <v>300560000</v>
      </c>
      <c r="AM4" s="30">
        <f>'Accrual_SCBL '!AM28</f>
        <v>300560000</v>
      </c>
      <c r="AN4" s="30">
        <f>'Accrual_SCBL '!AN28</f>
        <v>350540000</v>
      </c>
      <c r="AO4" s="30">
        <f>'Accrual_SCBL '!AO28</f>
        <v>350540000</v>
      </c>
      <c r="AP4" s="30">
        <f>'Accrual_SCBL '!AP28</f>
        <v>350540000</v>
      </c>
      <c r="AQ4" s="30">
        <f>'Accrual_SCBL '!AQ28</f>
        <v>400520000</v>
      </c>
      <c r="AR4" s="30">
        <f>'Accrual_SCBL '!AR28</f>
        <v>400520000</v>
      </c>
      <c r="AS4" s="30">
        <f>'Accrual_SCBL '!AS28</f>
        <v>400520000</v>
      </c>
      <c r="AT4" s="30">
        <f>'Accrual_SCBL '!AT28</f>
        <v>450500000</v>
      </c>
      <c r="AU4" s="30">
        <f>'Accrual_SCBL '!AU28</f>
        <v>450500000</v>
      </c>
      <c r="AV4" s="30">
        <f>'Accrual_SCBL '!AV28</f>
        <v>450500000</v>
      </c>
      <c r="AW4" s="30">
        <f>'Accrual_SCBL '!AW28</f>
        <v>500480000</v>
      </c>
      <c r="AX4" s="30">
        <f>'Accrual_SCBL '!AX28</f>
        <v>500480000</v>
      </c>
      <c r="AY4" s="30">
        <f>'Accrual_SCBL '!AY28</f>
        <v>500480000</v>
      </c>
      <c r="AZ4" s="30">
        <f>'Accrual_SCBL '!AZ28</f>
        <v>550460000</v>
      </c>
      <c r="BA4" s="30">
        <f>'Accrual_SCBL '!BA28</f>
        <v>550460000</v>
      </c>
      <c r="BB4" s="30">
        <f>'Accrual_SCBL '!BB28</f>
        <v>550460000</v>
      </c>
      <c r="BC4" s="30">
        <f>'Accrual_SCBL '!BC28</f>
        <v>600440000</v>
      </c>
      <c r="BD4" s="30">
        <f>'Accrual_SCBL '!BD28</f>
        <v>600440000</v>
      </c>
      <c r="BE4" s="30">
        <f>'Accrual_SCBL '!BE28</f>
        <v>600440000</v>
      </c>
      <c r="BF4" s="30">
        <f>'Accrual_SCBL '!BF28</f>
        <v>650420000</v>
      </c>
      <c r="BG4" s="30">
        <f>'Accrual_SCBL '!BG28</f>
        <v>650420000</v>
      </c>
      <c r="BH4" s="30">
        <f>'Accrual_SCBL '!BH28</f>
        <v>650420000</v>
      </c>
      <c r="BI4" s="30">
        <f>'Accrual_SCBL '!BI28</f>
        <v>700400000</v>
      </c>
      <c r="BJ4" s="30">
        <f>'Accrual_SCBL '!BJ28</f>
        <v>700400000</v>
      </c>
      <c r="BK4" s="30">
        <f>'Accrual_SCBL '!BK28</f>
        <v>700400000</v>
      </c>
      <c r="BL4" s="30">
        <f>'Accrual_SCBL '!BL28</f>
        <v>750380000</v>
      </c>
      <c r="BM4" s="30">
        <f>'Accrual_SCBL '!BM28</f>
        <v>750380000</v>
      </c>
      <c r="BN4" s="30">
        <f>'Accrual_SCBL '!BN28</f>
        <v>750380000</v>
      </c>
      <c r="BO4" s="30">
        <f>'Accrual_SCBL '!BO28</f>
        <v>800360000</v>
      </c>
      <c r="BP4" s="30">
        <f>'Accrual_SCBL '!BP28</f>
        <v>800360000</v>
      </c>
      <c r="BQ4" s="30">
        <f>'Accrual_SCBL '!BQ28</f>
        <v>800360000</v>
      </c>
      <c r="BR4" s="30">
        <f>'Accrual_SCBL '!BR28</f>
        <v>850340000</v>
      </c>
      <c r="BS4" s="30">
        <f>'Accrual_SCBL '!BS28</f>
        <v>850340000</v>
      </c>
      <c r="BT4" s="30">
        <f>'Accrual_SCBL '!BT28</f>
        <v>850340000</v>
      </c>
      <c r="BU4" s="30">
        <f>'Accrual_SCBL '!BU28</f>
        <v>900320000</v>
      </c>
      <c r="BV4" s="30">
        <f>'Accrual_SCBL '!BV28</f>
        <v>900320000</v>
      </c>
      <c r="BW4" s="30">
        <f>'Accrual_SCBL '!BW28</f>
        <v>900320000</v>
      </c>
      <c r="BX4" s="30">
        <f>'Accrual_SCBL '!BX28</f>
        <v>950300000</v>
      </c>
      <c r="BY4" s="30">
        <f>'Accrual_SCBL '!BY28</f>
        <v>950300000</v>
      </c>
      <c r="BZ4" s="30">
        <f>'Accrual_SCBL '!BZ28</f>
        <v>950300000</v>
      </c>
      <c r="CA4" s="30">
        <f>'Accrual_SCBL '!CA28</f>
        <v>1000280000</v>
      </c>
      <c r="CB4" s="30">
        <f>'Accrual_SCBL '!CB28</f>
        <v>1000280000</v>
      </c>
      <c r="CC4" s="30">
        <f>'Accrual_SCBL '!CC28</f>
        <v>1000280000</v>
      </c>
      <c r="CD4" s="30">
        <f>'Accrual_SCBL '!CD28</f>
        <v>1050260000</v>
      </c>
      <c r="CE4" s="30">
        <f>'Accrual_SCBL '!CE28</f>
        <v>1050260000</v>
      </c>
      <c r="CF4" s="30">
        <f>'Accrual_SCBL '!CF28</f>
        <v>1050260000</v>
      </c>
      <c r="CG4" s="30">
        <f>'Accrual_SCBL '!CG28</f>
        <v>1100240000</v>
      </c>
      <c r="CH4" s="30">
        <f>'Accrual_SCBL '!CH28</f>
        <v>1100240000</v>
      </c>
      <c r="CI4" s="30">
        <f>'Accrual_SCBL '!CI28</f>
        <v>1100240000</v>
      </c>
      <c r="CJ4" s="30">
        <f>'Accrual_SCBL '!CJ28</f>
        <v>1150220000</v>
      </c>
      <c r="CK4" s="30">
        <f>'Accrual_SCBL '!CK28</f>
        <v>1150220000</v>
      </c>
      <c r="CL4" s="30">
        <f>'Accrual_SCBL '!CL28</f>
        <v>1150220000</v>
      </c>
      <c r="CM4" s="30">
        <f>'Accrual_SCBL '!CM28</f>
        <v>1200200000</v>
      </c>
      <c r="CN4" s="30">
        <f>'Accrual_SCBL '!CN28</f>
        <v>1200200000</v>
      </c>
      <c r="CO4" s="30">
        <f>'Accrual_SCBL '!CO28</f>
        <v>1200200000</v>
      </c>
      <c r="CP4" s="30">
        <f>'Accrual_SCBL '!CP28</f>
        <v>1250180000</v>
      </c>
      <c r="CQ4" s="30">
        <f>'Accrual_SCBL '!CQ28</f>
        <v>1250180000</v>
      </c>
      <c r="CR4" s="30">
        <f>'Accrual_SCBL '!CR28</f>
        <v>1250180000</v>
      </c>
      <c r="CS4" s="30">
        <f>'Accrual_SCBL '!CS28</f>
        <v>1300160000</v>
      </c>
      <c r="CT4" s="123">
        <f>'Accrual_SCBL '!CT28</f>
        <v>1300160000</v>
      </c>
      <c r="CU4" s="123">
        <f>'Accrual_SCBL '!CU28</f>
        <v>1300160000</v>
      </c>
      <c r="CV4" s="123">
        <f>'Accrual_SCBL '!CV28</f>
        <v>1350140000</v>
      </c>
      <c r="CW4" s="123">
        <f>'Accrual_SCBL '!CW28</f>
        <v>1350140000</v>
      </c>
      <c r="CX4" s="123">
        <f>'Accrual_SCBL '!CX28</f>
        <v>1350140000</v>
      </c>
      <c r="CY4" s="123">
        <f>'Accrual_SCBL '!CY28</f>
        <v>1400120000</v>
      </c>
      <c r="CZ4" s="123">
        <f>'Accrual_SCBL '!CZ28</f>
        <v>1400120000</v>
      </c>
      <c r="DA4" s="123">
        <f>'Accrual_SCBL '!DA28</f>
        <v>1400120000</v>
      </c>
      <c r="DB4" s="123">
        <f>'Accrual_SCBL '!DB28</f>
        <v>1450100000</v>
      </c>
      <c r="DC4" s="123">
        <f>'Accrual_SCBL '!DC28</f>
        <v>1450100000</v>
      </c>
      <c r="DD4" s="123">
        <f>'Accrual_SCBL '!DD28</f>
        <v>1450100000</v>
      </c>
      <c r="DE4" s="123">
        <f>'Accrual_SCBL '!DE28</f>
        <v>1500080000</v>
      </c>
      <c r="DF4" s="123">
        <f>'Accrual_SCBL '!DF28</f>
        <v>1500080000</v>
      </c>
      <c r="DG4" s="123">
        <f>'Accrual_SCBL '!DG28</f>
        <v>1500080000</v>
      </c>
      <c r="DH4" s="123">
        <f>'Accrual_SCBL '!DH28</f>
        <v>1550060000</v>
      </c>
      <c r="DI4" s="123">
        <f>'Accrual_SCBL '!DI28</f>
        <v>1550060000</v>
      </c>
      <c r="DJ4" s="123">
        <f>'Accrual_SCBL '!DJ28</f>
        <v>1550060000</v>
      </c>
      <c r="DK4" s="123">
        <f>'Accrual_SCBL '!DK28</f>
        <v>1600040000</v>
      </c>
      <c r="DL4" s="123">
        <f>'Accrual_SCBL '!DL28</f>
        <v>1600040000</v>
      </c>
      <c r="DM4" s="123">
        <f>'Accrual_SCBL '!DM28</f>
        <v>1600040000</v>
      </c>
      <c r="DN4" s="123">
        <f>'Accrual_SCBL '!DN28</f>
        <v>1650020000</v>
      </c>
      <c r="DO4" s="123">
        <f>'Accrual_SCBL '!DO28</f>
        <v>1650020000</v>
      </c>
      <c r="DP4" s="123">
        <f>'Accrual_SCBL '!DP28</f>
        <v>1650020000</v>
      </c>
      <c r="DQ4" s="123">
        <f>'Accrual_SCBL '!DQ28</f>
        <v>1700000000</v>
      </c>
    </row>
    <row r="5" spans="1:121" x14ac:dyDescent="0.25">
      <c r="A5" s="38" t="s">
        <v>25</v>
      </c>
      <c r="B5" s="30">
        <f t="shared" ref="B5:BD5" si="6">B22</f>
        <v>0</v>
      </c>
      <c r="C5" s="30">
        <f t="shared" si="6"/>
        <v>0</v>
      </c>
      <c r="D5" s="30">
        <f t="shared" si="6"/>
        <v>0</v>
      </c>
      <c r="E5" s="30">
        <f t="shared" si="6"/>
        <v>0</v>
      </c>
      <c r="F5" s="30">
        <f t="shared" si="6"/>
        <v>0</v>
      </c>
      <c r="G5" s="30">
        <f t="shared" si="6"/>
        <v>0</v>
      </c>
      <c r="H5" s="30">
        <f t="shared" si="6"/>
        <v>0</v>
      </c>
      <c r="I5" s="30">
        <f t="shared" si="6"/>
        <v>0</v>
      </c>
      <c r="J5" s="30">
        <f t="shared" si="6"/>
        <v>0</v>
      </c>
      <c r="K5" s="30">
        <f t="shared" si="6"/>
        <v>0</v>
      </c>
      <c r="L5" s="30">
        <f t="shared" si="6"/>
        <v>0</v>
      </c>
      <c r="M5" s="30">
        <f t="shared" si="6"/>
        <v>0</v>
      </c>
      <c r="N5" s="30">
        <f t="shared" si="6"/>
        <v>0</v>
      </c>
      <c r="O5" s="30">
        <f t="shared" si="6"/>
        <v>0</v>
      </c>
      <c r="P5" s="30">
        <f t="shared" si="6"/>
        <v>0</v>
      </c>
      <c r="Q5" s="30">
        <f t="shared" si="6"/>
        <v>0</v>
      </c>
      <c r="R5" s="30">
        <f t="shared" si="6"/>
        <v>0</v>
      </c>
      <c r="S5" s="30">
        <f t="shared" si="6"/>
        <v>0</v>
      </c>
      <c r="T5" s="30">
        <f t="shared" si="6"/>
        <v>0</v>
      </c>
      <c r="U5" s="30">
        <f t="shared" si="6"/>
        <v>0</v>
      </c>
      <c r="V5" s="30">
        <f t="shared" si="6"/>
        <v>50320000</v>
      </c>
      <c r="W5" s="30">
        <f t="shared" si="6"/>
        <v>50320000</v>
      </c>
      <c r="X5" s="30">
        <f t="shared" si="6"/>
        <v>50320000</v>
      </c>
      <c r="Y5" s="30">
        <f t="shared" si="6"/>
        <v>100640000</v>
      </c>
      <c r="Z5" s="30">
        <f t="shared" si="6"/>
        <v>100640000</v>
      </c>
      <c r="AA5" s="30">
        <f t="shared" si="6"/>
        <v>100640000</v>
      </c>
      <c r="AB5" s="30">
        <f t="shared" si="6"/>
        <v>150620000</v>
      </c>
      <c r="AC5" s="30">
        <f t="shared" si="6"/>
        <v>150620000</v>
      </c>
      <c r="AD5" s="30">
        <f t="shared" si="6"/>
        <v>150620000</v>
      </c>
      <c r="AE5" s="30">
        <f t="shared" si="6"/>
        <v>200600000</v>
      </c>
      <c r="AF5" s="30">
        <f t="shared" si="6"/>
        <v>200600000</v>
      </c>
      <c r="AG5" s="30">
        <f t="shared" si="6"/>
        <v>200600000</v>
      </c>
      <c r="AH5" s="30">
        <f t="shared" si="6"/>
        <v>250580000</v>
      </c>
      <c r="AI5" s="30">
        <f t="shared" si="6"/>
        <v>250580000</v>
      </c>
      <c r="AJ5" s="30">
        <f t="shared" si="6"/>
        <v>250580000</v>
      </c>
      <c r="AK5" s="30">
        <f t="shared" si="6"/>
        <v>300560000</v>
      </c>
      <c r="AL5" s="30">
        <f t="shared" si="6"/>
        <v>300560000</v>
      </c>
      <c r="AM5" s="30">
        <f t="shared" si="6"/>
        <v>300560000</v>
      </c>
      <c r="AN5" s="30">
        <f t="shared" si="6"/>
        <v>350540000</v>
      </c>
      <c r="AO5" s="30">
        <f t="shared" si="6"/>
        <v>350540000</v>
      </c>
      <c r="AP5" s="30">
        <f t="shared" si="6"/>
        <v>350540000</v>
      </c>
      <c r="AQ5" s="30">
        <f t="shared" si="6"/>
        <v>400520000</v>
      </c>
      <c r="AR5" s="30">
        <f t="shared" si="6"/>
        <v>400520000</v>
      </c>
      <c r="AS5" s="30">
        <f t="shared" si="6"/>
        <v>400520000</v>
      </c>
      <c r="AT5" s="30">
        <f t="shared" si="6"/>
        <v>450500000</v>
      </c>
      <c r="AU5" s="30">
        <f t="shared" si="6"/>
        <v>450500000</v>
      </c>
      <c r="AV5" s="30">
        <f t="shared" si="6"/>
        <v>450500000</v>
      </c>
      <c r="AW5" s="30">
        <f t="shared" si="6"/>
        <v>500480000</v>
      </c>
      <c r="AX5" s="30">
        <f t="shared" si="6"/>
        <v>500480000</v>
      </c>
      <c r="AY5" s="30">
        <f t="shared" si="6"/>
        <v>500480000</v>
      </c>
      <c r="AZ5" s="30">
        <f t="shared" si="6"/>
        <v>550460000</v>
      </c>
      <c r="BA5" s="30">
        <f t="shared" si="6"/>
        <v>550460000</v>
      </c>
      <c r="BB5" s="30">
        <f t="shared" si="6"/>
        <v>550460000</v>
      </c>
      <c r="BC5" s="30">
        <f t="shared" si="6"/>
        <v>600440000</v>
      </c>
      <c r="BD5" s="30">
        <f t="shared" si="6"/>
        <v>600440000</v>
      </c>
      <c r="BE5" s="30">
        <f t="shared" ref="BE5:BS5" si="7">BE22</f>
        <v>600440000</v>
      </c>
      <c r="BF5" s="30">
        <f t="shared" si="7"/>
        <v>650420000</v>
      </c>
      <c r="BG5" s="30">
        <f t="shared" si="7"/>
        <v>650420000</v>
      </c>
      <c r="BH5" s="30">
        <f t="shared" si="7"/>
        <v>650420000</v>
      </c>
      <c r="BI5" s="30">
        <f t="shared" si="7"/>
        <v>700400000</v>
      </c>
      <c r="BJ5" s="30">
        <f t="shared" si="7"/>
        <v>700400000</v>
      </c>
      <c r="BK5" s="30">
        <f t="shared" si="7"/>
        <v>700400000</v>
      </c>
      <c r="BL5" s="30">
        <f t="shared" si="7"/>
        <v>750380000</v>
      </c>
      <c r="BM5" s="30">
        <f t="shared" si="7"/>
        <v>750380000</v>
      </c>
      <c r="BN5" s="30">
        <f t="shared" si="7"/>
        <v>750380000</v>
      </c>
      <c r="BO5" s="30">
        <f t="shared" si="7"/>
        <v>800360000</v>
      </c>
      <c r="BP5" s="30">
        <f t="shared" si="7"/>
        <v>800360000</v>
      </c>
      <c r="BQ5" s="30">
        <f t="shared" si="7"/>
        <v>800360000</v>
      </c>
      <c r="BR5" s="30">
        <f t="shared" si="7"/>
        <v>850340000</v>
      </c>
      <c r="BS5" s="30">
        <f t="shared" si="7"/>
        <v>850340000</v>
      </c>
      <c r="BT5" s="30">
        <f t="shared" ref="BT5:CF5" si="8">BT22</f>
        <v>850340000</v>
      </c>
      <c r="BU5" s="30">
        <f t="shared" si="8"/>
        <v>900320000</v>
      </c>
      <c r="BV5" s="30">
        <f t="shared" si="8"/>
        <v>900320000</v>
      </c>
      <c r="BW5" s="30">
        <f t="shared" si="8"/>
        <v>900320000</v>
      </c>
      <c r="BX5" s="30">
        <f t="shared" si="8"/>
        <v>950300000</v>
      </c>
      <c r="BY5" s="30">
        <f t="shared" si="8"/>
        <v>950300000</v>
      </c>
      <c r="BZ5" s="30">
        <f t="shared" si="8"/>
        <v>950300000</v>
      </c>
      <c r="CA5" s="30">
        <f t="shared" si="8"/>
        <v>1000280000</v>
      </c>
      <c r="CB5" s="30">
        <f t="shared" si="8"/>
        <v>1000280000</v>
      </c>
      <c r="CC5" s="30">
        <f t="shared" si="8"/>
        <v>1000280000</v>
      </c>
      <c r="CD5" s="30">
        <f t="shared" si="8"/>
        <v>1050260000</v>
      </c>
      <c r="CE5" s="30">
        <f t="shared" si="8"/>
        <v>1050260000</v>
      </c>
      <c r="CF5" s="30">
        <f t="shared" si="8"/>
        <v>1050260000</v>
      </c>
      <c r="CG5" s="30">
        <f>CG22</f>
        <v>1100240000</v>
      </c>
      <c r="CH5" s="30">
        <f>CH22</f>
        <v>1100240000</v>
      </c>
      <c r="CI5" s="30">
        <f t="shared" ref="CI5:CT5" si="9">CI22</f>
        <v>1100240000</v>
      </c>
      <c r="CJ5" s="30">
        <f t="shared" si="9"/>
        <v>1150220000</v>
      </c>
      <c r="CK5" s="30">
        <f t="shared" si="9"/>
        <v>1150220000</v>
      </c>
      <c r="CL5" s="30">
        <f t="shared" si="9"/>
        <v>1150220000</v>
      </c>
      <c r="CM5" s="30">
        <f t="shared" si="9"/>
        <v>1200200000</v>
      </c>
      <c r="CN5" s="30">
        <f t="shared" si="9"/>
        <v>1200200000</v>
      </c>
      <c r="CO5" s="30">
        <f t="shared" si="9"/>
        <v>1200200000</v>
      </c>
      <c r="CP5" s="30">
        <f t="shared" si="9"/>
        <v>1250180000</v>
      </c>
      <c r="CQ5" s="30">
        <f t="shared" si="9"/>
        <v>1250180000</v>
      </c>
      <c r="CR5" s="30">
        <f t="shared" si="9"/>
        <v>1250180000</v>
      </c>
      <c r="CS5" s="30">
        <f t="shared" si="9"/>
        <v>1300160000</v>
      </c>
      <c r="CT5" s="123">
        <f t="shared" si="9"/>
        <v>1300160000</v>
      </c>
      <c r="CU5" s="123">
        <f t="shared" ref="CU5:DN5" si="10">CU22</f>
        <v>1300160000</v>
      </c>
      <c r="CV5" s="123">
        <f t="shared" si="10"/>
        <v>1350140000</v>
      </c>
      <c r="CW5" s="123">
        <f t="shared" si="10"/>
        <v>1350140000</v>
      </c>
      <c r="CX5" s="123">
        <f t="shared" si="10"/>
        <v>1350140000</v>
      </c>
      <c r="CY5" s="123">
        <f t="shared" si="10"/>
        <v>1400120000</v>
      </c>
      <c r="CZ5" s="123">
        <f t="shared" si="10"/>
        <v>1400120000</v>
      </c>
      <c r="DA5" s="123">
        <f t="shared" si="10"/>
        <v>1400120000</v>
      </c>
      <c r="DB5" s="123">
        <f t="shared" si="10"/>
        <v>1450100000</v>
      </c>
      <c r="DC5" s="123">
        <f t="shared" si="10"/>
        <v>1450100000</v>
      </c>
      <c r="DD5" s="123">
        <f t="shared" si="10"/>
        <v>1450100000</v>
      </c>
      <c r="DE5" s="123">
        <f t="shared" si="10"/>
        <v>1500080000</v>
      </c>
      <c r="DF5" s="123">
        <f t="shared" si="10"/>
        <v>1500080000</v>
      </c>
      <c r="DG5" s="123">
        <f t="shared" si="10"/>
        <v>1500080000</v>
      </c>
      <c r="DH5" s="123">
        <f t="shared" si="10"/>
        <v>1550060000</v>
      </c>
      <c r="DI5" s="123">
        <f t="shared" si="10"/>
        <v>1550060000</v>
      </c>
      <c r="DJ5" s="123">
        <f t="shared" si="10"/>
        <v>1550060000</v>
      </c>
      <c r="DK5" s="123">
        <f t="shared" si="10"/>
        <v>1600040000</v>
      </c>
      <c r="DL5" s="123">
        <f t="shared" si="10"/>
        <v>1600040000</v>
      </c>
      <c r="DM5" s="123">
        <f t="shared" si="10"/>
        <v>1600040000</v>
      </c>
      <c r="DN5" s="123">
        <f t="shared" si="10"/>
        <v>1650020000</v>
      </c>
      <c r="DO5" s="123">
        <f t="shared" ref="DO5:DQ5" si="11">DO22</f>
        <v>1650020000</v>
      </c>
      <c r="DP5" s="123">
        <f t="shared" si="11"/>
        <v>1650020000</v>
      </c>
      <c r="DQ5" s="123">
        <f t="shared" si="11"/>
        <v>1700000000</v>
      </c>
    </row>
    <row r="6" spans="1:121" x14ac:dyDescent="0.25">
      <c r="A6" s="38" t="s">
        <v>26</v>
      </c>
      <c r="B6" s="30">
        <f t="shared" ref="B6:BD6" si="12">IF((B4-B5)&gt;0,(B4-B5),0)</f>
        <v>0</v>
      </c>
      <c r="C6" s="30">
        <f t="shared" si="12"/>
        <v>0</v>
      </c>
      <c r="D6" s="30">
        <f t="shared" si="12"/>
        <v>0</v>
      </c>
      <c r="E6" s="30">
        <f t="shared" si="12"/>
        <v>0</v>
      </c>
      <c r="F6" s="30">
        <f t="shared" si="12"/>
        <v>0</v>
      </c>
      <c r="G6" s="30">
        <f t="shared" si="12"/>
        <v>0</v>
      </c>
      <c r="H6" s="30">
        <f t="shared" si="12"/>
        <v>0</v>
      </c>
      <c r="I6" s="30">
        <f t="shared" si="12"/>
        <v>0</v>
      </c>
      <c r="J6" s="30">
        <f t="shared" si="12"/>
        <v>0</v>
      </c>
      <c r="K6" s="30">
        <f t="shared" si="12"/>
        <v>0</v>
      </c>
      <c r="L6" s="30">
        <f t="shared" si="12"/>
        <v>0</v>
      </c>
      <c r="M6" s="30">
        <f t="shared" si="12"/>
        <v>0</v>
      </c>
      <c r="N6" s="30">
        <f t="shared" si="12"/>
        <v>0</v>
      </c>
      <c r="O6" s="30">
        <f t="shared" si="12"/>
        <v>0</v>
      </c>
      <c r="P6" s="30">
        <f t="shared" si="12"/>
        <v>0</v>
      </c>
      <c r="Q6" s="30">
        <f t="shared" si="12"/>
        <v>0</v>
      </c>
      <c r="R6" s="30">
        <f t="shared" si="12"/>
        <v>0</v>
      </c>
      <c r="S6" s="30">
        <f t="shared" si="12"/>
        <v>0</v>
      </c>
      <c r="T6" s="30">
        <f t="shared" si="12"/>
        <v>0</v>
      </c>
      <c r="U6" s="30">
        <f t="shared" si="12"/>
        <v>0</v>
      </c>
      <c r="V6" s="30">
        <f t="shared" si="12"/>
        <v>0</v>
      </c>
      <c r="W6" s="30">
        <f t="shared" si="12"/>
        <v>0</v>
      </c>
      <c r="X6" s="30">
        <f t="shared" si="12"/>
        <v>0</v>
      </c>
      <c r="Y6" s="30">
        <f t="shared" si="12"/>
        <v>0</v>
      </c>
      <c r="Z6" s="30">
        <f t="shared" si="12"/>
        <v>0</v>
      </c>
      <c r="AA6" s="30">
        <f t="shared" si="12"/>
        <v>0</v>
      </c>
      <c r="AB6" s="30">
        <f t="shared" si="12"/>
        <v>0</v>
      </c>
      <c r="AC6" s="30">
        <f t="shared" si="12"/>
        <v>0</v>
      </c>
      <c r="AD6" s="30">
        <f t="shared" si="12"/>
        <v>0</v>
      </c>
      <c r="AE6" s="30">
        <f t="shared" si="12"/>
        <v>0</v>
      </c>
      <c r="AF6" s="30">
        <f t="shared" si="12"/>
        <v>0</v>
      </c>
      <c r="AG6" s="30">
        <f t="shared" si="12"/>
        <v>0</v>
      </c>
      <c r="AH6" s="30">
        <f t="shared" si="12"/>
        <v>0</v>
      </c>
      <c r="AI6" s="30">
        <f t="shared" si="12"/>
        <v>0</v>
      </c>
      <c r="AJ6" s="30">
        <f t="shared" si="12"/>
        <v>0</v>
      </c>
      <c r="AK6" s="30">
        <f t="shared" si="12"/>
        <v>0</v>
      </c>
      <c r="AL6" s="30">
        <f t="shared" si="12"/>
        <v>0</v>
      </c>
      <c r="AM6" s="30">
        <f t="shared" si="12"/>
        <v>0</v>
      </c>
      <c r="AN6" s="30">
        <f t="shared" si="12"/>
        <v>0</v>
      </c>
      <c r="AO6" s="30">
        <f t="shared" si="12"/>
        <v>0</v>
      </c>
      <c r="AP6" s="30">
        <f t="shared" si="12"/>
        <v>0</v>
      </c>
      <c r="AQ6" s="30">
        <f t="shared" si="12"/>
        <v>0</v>
      </c>
      <c r="AR6" s="30">
        <f t="shared" si="12"/>
        <v>0</v>
      </c>
      <c r="AS6" s="30">
        <f t="shared" si="12"/>
        <v>0</v>
      </c>
      <c r="AT6" s="30">
        <f t="shared" si="12"/>
        <v>0</v>
      </c>
      <c r="AU6" s="30">
        <f t="shared" si="12"/>
        <v>0</v>
      </c>
      <c r="AV6" s="30">
        <f t="shared" si="12"/>
        <v>0</v>
      </c>
      <c r="AW6" s="30">
        <f t="shared" si="12"/>
        <v>0</v>
      </c>
      <c r="AX6" s="30">
        <f t="shared" si="12"/>
        <v>0</v>
      </c>
      <c r="AY6" s="30">
        <f t="shared" si="12"/>
        <v>0</v>
      </c>
      <c r="AZ6" s="30">
        <f t="shared" si="12"/>
        <v>0</v>
      </c>
      <c r="BA6" s="30">
        <f t="shared" si="12"/>
        <v>0</v>
      </c>
      <c r="BB6" s="30">
        <f t="shared" si="12"/>
        <v>0</v>
      </c>
      <c r="BC6" s="30">
        <f t="shared" si="12"/>
        <v>0</v>
      </c>
      <c r="BD6" s="30">
        <f t="shared" si="12"/>
        <v>0</v>
      </c>
      <c r="BE6" s="30">
        <f t="shared" ref="BE6:BT6" si="13">IF((BE4-BE5)&gt;0,(BE4-BE5),0)</f>
        <v>0</v>
      </c>
      <c r="BF6" s="30">
        <f t="shared" si="13"/>
        <v>0</v>
      </c>
      <c r="BG6" s="30">
        <f t="shared" si="13"/>
        <v>0</v>
      </c>
      <c r="BH6" s="30">
        <f t="shared" si="13"/>
        <v>0</v>
      </c>
      <c r="BI6" s="30">
        <f t="shared" si="13"/>
        <v>0</v>
      </c>
      <c r="BJ6" s="30">
        <f t="shared" si="13"/>
        <v>0</v>
      </c>
      <c r="BK6" s="30">
        <f t="shared" si="13"/>
        <v>0</v>
      </c>
      <c r="BL6" s="30">
        <f t="shared" si="13"/>
        <v>0</v>
      </c>
      <c r="BM6" s="30">
        <f t="shared" si="13"/>
        <v>0</v>
      </c>
      <c r="BN6" s="30">
        <f t="shared" si="13"/>
        <v>0</v>
      </c>
      <c r="BO6" s="30">
        <f t="shared" si="13"/>
        <v>0</v>
      </c>
      <c r="BP6" s="30">
        <f t="shared" si="13"/>
        <v>0</v>
      </c>
      <c r="BQ6" s="30">
        <f t="shared" si="13"/>
        <v>0</v>
      </c>
      <c r="BR6" s="30">
        <f t="shared" si="13"/>
        <v>0</v>
      </c>
      <c r="BS6" s="30">
        <f t="shared" si="13"/>
        <v>0</v>
      </c>
      <c r="BT6" s="30">
        <f t="shared" si="13"/>
        <v>0</v>
      </c>
      <c r="BU6" s="30">
        <f t="shared" ref="BU6:CF6" si="14">IF((BU4-BU5)&gt;0,(BU4-BU5),0)</f>
        <v>0</v>
      </c>
      <c r="BV6" s="30">
        <f t="shared" si="14"/>
        <v>0</v>
      </c>
      <c r="BW6" s="30">
        <f t="shared" si="14"/>
        <v>0</v>
      </c>
      <c r="BX6" s="30">
        <f t="shared" si="14"/>
        <v>0</v>
      </c>
      <c r="BY6" s="30">
        <f t="shared" si="14"/>
        <v>0</v>
      </c>
      <c r="BZ6" s="30">
        <f t="shared" si="14"/>
        <v>0</v>
      </c>
      <c r="CA6" s="30">
        <f t="shared" si="14"/>
        <v>0</v>
      </c>
      <c r="CB6" s="30">
        <f t="shared" si="14"/>
        <v>0</v>
      </c>
      <c r="CC6" s="30">
        <f t="shared" si="14"/>
        <v>0</v>
      </c>
      <c r="CD6" s="30">
        <f t="shared" si="14"/>
        <v>0</v>
      </c>
      <c r="CE6" s="30">
        <f t="shared" si="14"/>
        <v>0</v>
      </c>
      <c r="CF6" s="30">
        <f t="shared" si="14"/>
        <v>0</v>
      </c>
      <c r="CG6" s="30">
        <f>IF((CG4-CG5)&gt;0,(CG4-CG5),0)</f>
        <v>0</v>
      </c>
      <c r="CH6" s="30">
        <f>IF((CH4-CH5)&gt;0,(CH4-CH5),0)</f>
        <v>0</v>
      </c>
      <c r="CI6" s="30">
        <f t="shared" ref="CI6:CT6" si="15">IF((CI4-CI5)&gt;0,(CI4-CI5),0)</f>
        <v>0</v>
      </c>
      <c r="CJ6" s="30">
        <f t="shared" si="15"/>
        <v>0</v>
      </c>
      <c r="CK6" s="30">
        <f t="shared" si="15"/>
        <v>0</v>
      </c>
      <c r="CL6" s="30">
        <f t="shared" si="15"/>
        <v>0</v>
      </c>
      <c r="CM6" s="30">
        <f t="shared" si="15"/>
        <v>0</v>
      </c>
      <c r="CN6" s="30">
        <f t="shared" si="15"/>
        <v>0</v>
      </c>
      <c r="CO6" s="30">
        <f t="shared" si="15"/>
        <v>0</v>
      </c>
      <c r="CP6" s="30">
        <f t="shared" si="15"/>
        <v>0</v>
      </c>
      <c r="CQ6" s="30">
        <f t="shared" si="15"/>
        <v>0</v>
      </c>
      <c r="CR6" s="30">
        <f t="shared" si="15"/>
        <v>0</v>
      </c>
      <c r="CS6" s="30">
        <f t="shared" si="15"/>
        <v>0</v>
      </c>
      <c r="CT6" s="30">
        <f t="shared" si="15"/>
        <v>0</v>
      </c>
      <c r="CU6" s="30">
        <f t="shared" ref="CU6:DN6" si="16">IF((CU4-CU5)&gt;0,(CU4-CU5),0)</f>
        <v>0</v>
      </c>
      <c r="CV6" s="30">
        <f t="shared" si="16"/>
        <v>0</v>
      </c>
      <c r="CW6" s="30">
        <f t="shared" si="16"/>
        <v>0</v>
      </c>
      <c r="CX6" s="30">
        <f t="shared" si="16"/>
        <v>0</v>
      </c>
      <c r="CY6" s="30">
        <f t="shared" si="16"/>
        <v>0</v>
      </c>
      <c r="CZ6" s="30">
        <f t="shared" si="16"/>
        <v>0</v>
      </c>
      <c r="DA6" s="30">
        <f t="shared" si="16"/>
        <v>0</v>
      </c>
      <c r="DB6" s="30">
        <f t="shared" si="16"/>
        <v>0</v>
      </c>
      <c r="DC6" s="30">
        <f t="shared" si="16"/>
        <v>0</v>
      </c>
      <c r="DD6" s="30">
        <f t="shared" si="16"/>
        <v>0</v>
      </c>
      <c r="DE6" s="30">
        <f t="shared" si="16"/>
        <v>0</v>
      </c>
      <c r="DF6" s="30">
        <f t="shared" si="16"/>
        <v>0</v>
      </c>
      <c r="DG6" s="30">
        <f t="shared" si="16"/>
        <v>0</v>
      </c>
      <c r="DH6" s="30">
        <f t="shared" si="16"/>
        <v>0</v>
      </c>
      <c r="DI6" s="30">
        <f t="shared" si="16"/>
        <v>0</v>
      </c>
      <c r="DJ6" s="30">
        <f t="shared" si="16"/>
        <v>0</v>
      </c>
      <c r="DK6" s="30">
        <f t="shared" si="16"/>
        <v>0</v>
      </c>
      <c r="DL6" s="30">
        <f t="shared" si="16"/>
        <v>0</v>
      </c>
      <c r="DM6" s="30">
        <f t="shared" si="16"/>
        <v>0</v>
      </c>
      <c r="DN6" s="30">
        <f t="shared" si="16"/>
        <v>0</v>
      </c>
      <c r="DO6" s="30">
        <f t="shared" ref="DO6:DQ6" si="17">IF((DO4-DO5)&gt;0,(DO4-DO5),0)</f>
        <v>0</v>
      </c>
      <c r="DP6" s="30">
        <f t="shared" si="17"/>
        <v>0</v>
      </c>
      <c r="DQ6" s="30">
        <f t="shared" si="17"/>
        <v>0</v>
      </c>
    </row>
    <row r="7" spans="1:121" x14ac:dyDescent="0.25">
      <c r="A7" s="38" t="s">
        <v>27</v>
      </c>
      <c r="B7" s="30">
        <f t="shared" ref="B7:BD7" si="18">B3-B5</f>
        <v>1700000000</v>
      </c>
      <c r="C7" s="30">
        <f t="shared" si="18"/>
        <v>1700000000</v>
      </c>
      <c r="D7" s="30">
        <f t="shared" si="18"/>
        <v>1700000000</v>
      </c>
      <c r="E7" s="30">
        <f t="shared" si="18"/>
        <v>1700000000</v>
      </c>
      <c r="F7" s="30">
        <f t="shared" si="18"/>
        <v>1700000000</v>
      </c>
      <c r="G7" s="30">
        <f t="shared" si="18"/>
        <v>1700000000</v>
      </c>
      <c r="H7" s="30">
        <f t="shared" si="18"/>
        <v>1700000000</v>
      </c>
      <c r="I7" s="30">
        <f t="shared" si="18"/>
        <v>1700000000</v>
      </c>
      <c r="J7" s="30">
        <f t="shared" si="18"/>
        <v>1700000000</v>
      </c>
      <c r="K7" s="30">
        <f t="shared" si="18"/>
        <v>1700000000</v>
      </c>
      <c r="L7" s="30">
        <f t="shared" si="18"/>
        <v>1700000000</v>
      </c>
      <c r="M7" s="30">
        <f t="shared" si="18"/>
        <v>1700000000</v>
      </c>
      <c r="N7" s="30">
        <f t="shared" si="18"/>
        <v>1700000000</v>
      </c>
      <c r="O7" s="30">
        <f t="shared" si="18"/>
        <v>1700000000</v>
      </c>
      <c r="P7" s="30">
        <f t="shared" si="18"/>
        <v>1700000000</v>
      </c>
      <c r="Q7" s="30">
        <f t="shared" si="18"/>
        <v>1700000000</v>
      </c>
      <c r="R7" s="30">
        <f t="shared" si="18"/>
        <v>1700000000</v>
      </c>
      <c r="S7" s="30">
        <f t="shared" si="18"/>
        <v>1700000000</v>
      </c>
      <c r="T7" s="30">
        <f t="shared" si="18"/>
        <v>1700000000</v>
      </c>
      <c r="U7" s="30">
        <f t="shared" si="18"/>
        <v>1700000000</v>
      </c>
      <c r="V7" s="30">
        <f t="shared" si="18"/>
        <v>1649680000</v>
      </c>
      <c r="W7" s="30">
        <f t="shared" si="18"/>
        <v>1649680000</v>
      </c>
      <c r="X7" s="30">
        <f t="shared" si="18"/>
        <v>1649680000</v>
      </c>
      <c r="Y7" s="30">
        <f t="shared" si="18"/>
        <v>1599360000</v>
      </c>
      <c r="Z7" s="30">
        <f t="shared" si="18"/>
        <v>1599360000</v>
      </c>
      <c r="AA7" s="30">
        <f t="shared" si="18"/>
        <v>1599360000</v>
      </c>
      <c r="AB7" s="30">
        <f t="shared" si="18"/>
        <v>1549380000</v>
      </c>
      <c r="AC7" s="30">
        <f t="shared" si="18"/>
        <v>1549380000</v>
      </c>
      <c r="AD7" s="30">
        <f t="shared" si="18"/>
        <v>1549380000</v>
      </c>
      <c r="AE7" s="30">
        <f t="shared" si="18"/>
        <v>1499400000</v>
      </c>
      <c r="AF7" s="30">
        <f t="shared" si="18"/>
        <v>1499400000</v>
      </c>
      <c r="AG7" s="30">
        <f t="shared" si="18"/>
        <v>1499400000</v>
      </c>
      <c r="AH7" s="30">
        <f t="shared" si="18"/>
        <v>1449420000</v>
      </c>
      <c r="AI7" s="30">
        <f t="shared" si="18"/>
        <v>1449420000</v>
      </c>
      <c r="AJ7" s="30">
        <f t="shared" si="18"/>
        <v>1449420000</v>
      </c>
      <c r="AK7" s="30">
        <f t="shared" si="18"/>
        <v>1399440000</v>
      </c>
      <c r="AL7" s="30">
        <f t="shared" si="18"/>
        <v>1399440000</v>
      </c>
      <c r="AM7" s="30">
        <f t="shared" si="18"/>
        <v>1399440000</v>
      </c>
      <c r="AN7" s="30">
        <f t="shared" si="18"/>
        <v>1349460000</v>
      </c>
      <c r="AO7" s="30">
        <f t="shared" si="18"/>
        <v>1349460000</v>
      </c>
      <c r="AP7" s="30">
        <f t="shared" si="18"/>
        <v>1349460000</v>
      </c>
      <c r="AQ7" s="30">
        <f t="shared" si="18"/>
        <v>1299480000</v>
      </c>
      <c r="AR7" s="30">
        <f t="shared" si="18"/>
        <v>1299480000</v>
      </c>
      <c r="AS7" s="30">
        <f t="shared" si="18"/>
        <v>1299480000</v>
      </c>
      <c r="AT7" s="30">
        <f t="shared" si="18"/>
        <v>1249500000</v>
      </c>
      <c r="AU7" s="30">
        <f t="shared" si="18"/>
        <v>1249500000</v>
      </c>
      <c r="AV7" s="30">
        <f t="shared" si="18"/>
        <v>1249500000</v>
      </c>
      <c r="AW7" s="30">
        <f t="shared" si="18"/>
        <v>1199520000</v>
      </c>
      <c r="AX7" s="30">
        <f t="shared" si="18"/>
        <v>1199520000</v>
      </c>
      <c r="AY7" s="30">
        <f t="shared" si="18"/>
        <v>1199520000</v>
      </c>
      <c r="AZ7" s="30">
        <f t="shared" si="18"/>
        <v>1149540000</v>
      </c>
      <c r="BA7" s="30">
        <f t="shared" si="18"/>
        <v>1149540000</v>
      </c>
      <c r="BB7" s="30">
        <f t="shared" si="18"/>
        <v>1149540000</v>
      </c>
      <c r="BC7" s="30">
        <f t="shared" si="18"/>
        <v>1099560000</v>
      </c>
      <c r="BD7" s="30">
        <f t="shared" si="18"/>
        <v>1099560000</v>
      </c>
      <c r="BE7" s="30">
        <f t="shared" ref="BE7:BS7" si="19">BE3-BE5</f>
        <v>1099560000</v>
      </c>
      <c r="BF7" s="30">
        <f t="shared" si="19"/>
        <v>1049580000</v>
      </c>
      <c r="BG7" s="30">
        <f t="shared" si="19"/>
        <v>1049580000</v>
      </c>
      <c r="BH7" s="30">
        <f t="shared" si="19"/>
        <v>1049580000</v>
      </c>
      <c r="BI7" s="30">
        <f t="shared" si="19"/>
        <v>999600000</v>
      </c>
      <c r="BJ7" s="30">
        <f t="shared" si="19"/>
        <v>999600000</v>
      </c>
      <c r="BK7" s="30">
        <f t="shared" si="19"/>
        <v>999600000</v>
      </c>
      <c r="BL7" s="30">
        <f t="shared" si="19"/>
        <v>949620000</v>
      </c>
      <c r="BM7" s="30">
        <f t="shared" si="19"/>
        <v>949620000</v>
      </c>
      <c r="BN7" s="30">
        <f t="shared" si="19"/>
        <v>949620000</v>
      </c>
      <c r="BO7" s="30">
        <f t="shared" si="19"/>
        <v>899640000</v>
      </c>
      <c r="BP7" s="30">
        <f t="shared" si="19"/>
        <v>899640000</v>
      </c>
      <c r="BQ7" s="30">
        <f t="shared" si="19"/>
        <v>899640000</v>
      </c>
      <c r="BR7" s="30">
        <f t="shared" si="19"/>
        <v>849660000</v>
      </c>
      <c r="BS7" s="30">
        <f t="shared" si="19"/>
        <v>849660000</v>
      </c>
      <c r="BT7" s="30">
        <f t="shared" ref="BT7:CF7" si="20">BT3-BT5</f>
        <v>849660000</v>
      </c>
      <c r="BU7" s="30">
        <f t="shared" si="20"/>
        <v>799680000</v>
      </c>
      <c r="BV7" s="30">
        <f t="shared" si="20"/>
        <v>799680000</v>
      </c>
      <c r="BW7" s="30">
        <f t="shared" si="20"/>
        <v>799680000</v>
      </c>
      <c r="BX7" s="30">
        <f t="shared" si="20"/>
        <v>749700000</v>
      </c>
      <c r="BY7" s="30">
        <f t="shared" si="20"/>
        <v>749700000</v>
      </c>
      <c r="BZ7" s="30">
        <f t="shared" si="20"/>
        <v>749700000</v>
      </c>
      <c r="CA7" s="30">
        <f t="shared" si="20"/>
        <v>699720000</v>
      </c>
      <c r="CB7" s="30">
        <f t="shared" si="20"/>
        <v>699720000</v>
      </c>
      <c r="CC7" s="30">
        <f t="shared" si="20"/>
        <v>699720000</v>
      </c>
      <c r="CD7" s="30">
        <f t="shared" si="20"/>
        <v>649740000</v>
      </c>
      <c r="CE7" s="30">
        <f t="shared" si="20"/>
        <v>649740000</v>
      </c>
      <c r="CF7" s="30">
        <f t="shared" si="20"/>
        <v>649740000</v>
      </c>
      <c r="CG7" s="30">
        <f>CG3-CG5</f>
        <v>599760000</v>
      </c>
      <c r="CH7" s="30">
        <f>CH3-CH5</f>
        <v>599760000</v>
      </c>
      <c r="CI7" s="30">
        <f t="shared" ref="CI7:CT7" si="21">CI3-CI5</f>
        <v>599760000</v>
      </c>
      <c r="CJ7" s="30">
        <f t="shared" si="21"/>
        <v>549780000</v>
      </c>
      <c r="CK7" s="30">
        <f t="shared" si="21"/>
        <v>549780000</v>
      </c>
      <c r="CL7" s="30">
        <f t="shared" si="21"/>
        <v>549780000</v>
      </c>
      <c r="CM7" s="30">
        <f t="shared" si="21"/>
        <v>499800000</v>
      </c>
      <c r="CN7" s="30">
        <f t="shared" si="21"/>
        <v>499800000</v>
      </c>
      <c r="CO7" s="30">
        <f t="shared" si="21"/>
        <v>499800000</v>
      </c>
      <c r="CP7" s="30">
        <f t="shared" si="21"/>
        <v>449820000</v>
      </c>
      <c r="CQ7" s="30">
        <f t="shared" si="21"/>
        <v>449820000</v>
      </c>
      <c r="CR7" s="30">
        <f t="shared" si="21"/>
        <v>449820000</v>
      </c>
      <c r="CS7" s="30">
        <f t="shared" si="21"/>
        <v>399840000</v>
      </c>
      <c r="CT7" s="30">
        <f t="shared" si="21"/>
        <v>399840000</v>
      </c>
      <c r="CU7" s="30">
        <f t="shared" ref="CU7:DN7" si="22">CU3-CU5</f>
        <v>399840000</v>
      </c>
      <c r="CV7" s="30">
        <f t="shared" si="22"/>
        <v>349860000</v>
      </c>
      <c r="CW7" s="30">
        <f t="shared" si="22"/>
        <v>349860000</v>
      </c>
      <c r="CX7" s="30">
        <f t="shared" si="22"/>
        <v>349860000</v>
      </c>
      <c r="CY7" s="30">
        <f t="shared" si="22"/>
        <v>299880000</v>
      </c>
      <c r="CZ7" s="30">
        <f t="shared" si="22"/>
        <v>299880000</v>
      </c>
      <c r="DA7" s="30">
        <f t="shared" si="22"/>
        <v>299880000</v>
      </c>
      <c r="DB7" s="30">
        <f t="shared" si="22"/>
        <v>249900000</v>
      </c>
      <c r="DC7" s="30">
        <f t="shared" si="22"/>
        <v>249900000</v>
      </c>
      <c r="DD7" s="30">
        <f t="shared" si="22"/>
        <v>249900000</v>
      </c>
      <c r="DE7" s="30">
        <f t="shared" si="22"/>
        <v>199920000</v>
      </c>
      <c r="DF7" s="30">
        <f t="shared" si="22"/>
        <v>199920000</v>
      </c>
      <c r="DG7" s="30">
        <f t="shared" si="22"/>
        <v>199920000</v>
      </c>
      <c r="DH7" s="30">
        <f t="shared" si="22"/>
        <v>149940000</v>
      </c>
      <c r="DI7" s="30">
        <f t="shared" si="22"/>
        <v>149940000</v>
      </c>
      <c r="DJ7" s="30">
        <f t="shared" si="22"/>
        <v>149940000</v>
      </c>
      <c r="DK7" s="30">
        <f t="shared" si="22"/>
        <v>99960000</v>
      </c>
      <c r="DL7" s="30">
        <f t="shared" si="22"/>
        <v>99960000</v>
      </c>
      <c r="DM7" s="30">
        <f t="shared" si="22"/>
        <v>99960000</v>
      </c>
      <c r="DN7" s="30">
        <f t="shared" si="22"/>
        <v>49980000</v>
      </c>
      <c r="DO7" s="30">
        <f t="shared" ref="DO7:DQ7" si="23">DO3-DO5</f>
        <v>49980000</v>
      </c>
      <c r="DP7" s="30">
        <f t="shared" si="23"/>
        <v>49980000</v>
      </c>
      <c r="DQ7" s="30">
        <f t="shared" si="23"/>
        <v>0</v>
      </c>
    </row>
    <row r="8" spans="1:121" ht="15" x14ac:dyDescent="0.3">
      <c r="A8" s="37" t="s">
        <v>28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</row>
    <row r="9" spans="1:121" x14ac:dyDescent="0.25">
      <c r="A9" s="39" t="s">
        <v>29</v>
      </c>
      <c r="B9" s="30">
        <f>'Accrual_SCBL '!B26</f>
        <v>9763888.8888888881</v>
      </c>
      <c r="C9" s="30">
        <f>'Accrual_SCBL '!C26</f>
        <v>23670833.333333332</v>
      </c>
      <c r="D9" s="30">
        <f>'Accrual_SCBL '!D26</f>
        <v>37129166.666666672</v>
      </c>
      <c r="E9" s="30">
        <f>'Accrual_SCBL '!E26</f>
        <v>51036111.111111104</v>
      </c>
      <c r="F9" s="30">
        <f>'Accrual_SCBL '!F26</f>
        <v>64494444.44444444</v>
      </c>
      <c r="G9" s="30">
        <f>'Accrual_SCBL '!G26</f>
        <v>78401388.888888896</v>
      </c>
      <c r="H9" s="30">
        <f>'Accrual_SCBL '!H26</f>
        <v>92308333.333333328</v>
      </c>
      <c r="I9" s="30">
        <f>'Accrual_SCBL '!I26</f>
        <v>105318055.55555555</v>
      </c>
      <c r="J9" s="30">
        <f>'Accrual_SCBL '!J26</f>
        <v>119225000</v>
      </c>
      <c r="K9" s="30">
        <f>'Accrual_SCBL '!K26</f>
        <v>132683333.33333333</v>
      </c>
      <c r="L9" s="30">
        <f>'Accrual_SCBL '!L26</f>
        <v>146590277.77777779</v>
      </c>
      <c r="M9" s="30">
        <f>'Accrual_SCBL '!M26</f>
        <v>160048611.1111111</v>
      </c>
      <c r="N9" s="30">
        <f>'Accrual_SCBL '!N26</f>
        <v>173955555.55555555</v>
      </c>
      <c r="O9" s="30">
        <f>'Accrual_SCBL '!O26</f>
        <v>187413888.8888889</v>
      </c>
      <c r="P9" s="30">
        <f>'Accrual_SCBL '!P26</f>
        <v>200163888.8888889</v>
      </c>
      <c r="Q9" s="30">
        <f>'Accrual_SCBL '!Q26</f>
        <v>213338888.8888889</v>
      </c>
      <c r="R9" s="30">
        <f>'Accrual_SCBL '!R26</f>
        <v>226088888.8888889</v>
      </c>
      <c r="S9" s="30">
        <f>'Accrual_SCBL '!S26</f>
        <v>239263888.88888887</v>
      </c>
      <c r="T9" s="30">
        <f>'Accrual_SCBL '!T26</f>
        <v>252438888.88888887</v>
      </c>
      <c r="U9" s="30">
        <f>'Accrual_SCBL '!U26</f>
        <v>264338888.88888887</v>
      </c>
      <c r="V9" s="30">
        <f>'Accrual_SCBL '!V26</f>
        <v>277300028.88888884</v>
      </c>
      <c r="W9" s="30">
        <f>'Accrual_SCBL '!W26</f>
        <v>289672628.88888884</v>
      </c>
      <c r="X9" s="30">
        <f>'Accrual_SCBL '!X26</f>
        <v>302457648.88888884</v>
      </c>
      <c r="Y9" s="30">
        <f>'Accrual_SCBL '!Y26</f>
        <v>314628968.88888884</v>
      </c>
      <c r="Z9" s="30">
        <f>'Accrual_SCBL '!Z26</f>
        <v>327024008.88888884</v>
      </c>
      <c r="AA9" s="30">
        <f>'Accrual_SCBL '!AA26</f>
        <v>339419048.88888884</v>
      </c>
      <c r="AB9" s="30">
        <f>'Accrual_SCBL '!AB26</f>
        <v>351214328.88888884</v>
      </c>
      <c r="AC9" s="30">
        <f>'Accrual_SCBL '!AC26</f>
        <v>363222023.88888884</v>
      </c>
      <c r="AD9" s="30">
        <f>'Accrual_SCBL '!AD26</f>
        <v>374842373.88888884</v>
      </c>
      <c r="AE9" s="30">
        <f>'Accrual_SCBL '!AE26</f>
        <v>386637653.88888884</v>
      </c>
      <c r="AF9" s="30">
        <f>'Accrual_SCBL '!AF26</f>
        <v>398258003.88888884</v>
      </c>
      <c r="AG9" s="30">
        <f>'Accrual_SCBL '!AG26</f>
        <v>408753803.88888884</v>
      </c>
      <c r="AH9" s="30">
        <f>'Accrual_SCBL '!AH26</f>
        <v>420161738.88888884</v>
      </c>
      <c r="AI9" s="30">
        <f>'Accrual_SCBL '!AI26</f>
        <v>431032388.88888884</v>
      </c>
      <c r="AJ9" s="30">
        <f>'Accrual_SCBL '!AJ26</f>
        <v>442265393.88888884</v>
      </c>
      <c r="AK9" s="30">
        <f>'Accrual_SCBL '!AK26</f>
        <v>452936123.88888884</v>
      </c>
      <c r="AL9" s="30">
        <f>'Accrual_SCBL '!AL26</f>
        <v>463781783.88888884</v>
      </c>
      <c r="AM9" s="30">
        <f>'Accrual_SCBL '!AM26</f>
        <v>474627443.88888884</v>
      </c>
      <c r="AN9" s="30">
        <f>'Accrual_SCBL '!AN26</f>
        <v>484923323.88888884</v>
      </c>
      <c r="AO9" s="30">
        <f>'Accrual_SCBL '!AO26</f>
        <v>495381638.88888884</v>
      </c>
      <c r="AP9" s="30">
        <f>'Accrual_SCBL '!AP26</f>
        <v>505502588.88888884</v>
      </c>
      <c r="AQ9" s="30">
        <f>'Accrual_SCBL '!AQ26</f>
        <v>515748488.88888884</v>
      </c>
      <c r="AR9" s="30">
        <f>'Accrual_SCBL '!AR26</f>
        <v>525819458.88888884</v>
      </c>
      <c r="AS9" s="30">
        <f>'Accrual_SCBL '!AS26</f>
        <v>534915818.88888884</v>
      </c>
      <c r="AT9" s="30">
        <f>'Accrual_SCBL '!AT26</f>
        <v>544774373.88888884</v>
      </c>
      <c r="AU9" s="30">
        <f>'Accrual_SCBL '!AU26</f>
        <v>554145623.88888884</v>
      </c>
      <c r="AV9" s="30">
        <f>'Accrual_SCBL '!AV26</f>
        <v>563829248.88888884</v>
      </c>
      <c r="AW9" s="30">
        <f>'Accrual_SCBL '!AW26</f>
        <v>573000578.88888884</v>
      </c>
      <c r="AX9" s="30">
        <f>'Accrual_SCBL '!AX26</f>
        <v>582296858.88888884</v>
      </c>
      <c r="AY9" s="30">
        <f>'Accrual_SCBL '!AY26</f>
        <v>591593138.88888884</v>
      </c>
      <c r="AZ9" s="30">
        <f>'Accrual_SCBL '!AZ26</f>
        <v>600377123.88888884</v>
      </c>
      <c r="BA9" s="30">
        <f>'Accrual_SCBL '!BA26</f>
        <v>609286058.88888884</v>
      </c>
      <c r="BB9" s="30">
        <f>'Accrual_SCBL '!BB26</f>
        <v>617907608.88888884</v>
      </c>
      <c r="BC9" s="30">
        <f>'Accrual_SCBL '!BC26</f>
        <v>626591633.88888884</v>
      </c>
      <c r="BD9" s="30">
        <f>'Accrual_SCBL '!BD26</f>
        <v>635113223.88888884</v>
      </c>
      <c r="BE9" s="30">
        <f>'Accrual_SCBL '!BE26</f>
        <v>643085033.88888884</v>
      </c>
      <c r="BF9" s="30">
        <f>'Accrual_SCBL '!BF26</f>
        <v>651381713.88888884</v>
      </c>
      <c r="BG9" s="30">
        <f>'Accrual_SCBL '!BG26</f>
        <v>659253563.88888884</v>
      </c>
      <c r="BH9" s="30">
        <f>'Accrual_SCBL '!BH26</f>
        <v>667387808.88888884</v>
      </c>
      <c r="BI9" s="30">
        <f>'Accrual_SCBL '!BI26</f>
        <v>675034748.88888884</v>
      </c>
      <c r="BJ9" s="30">
        <f>'Accrual_SCBL '!BJ26</f>
        <v>682781648.88888884</v>
      </c>
      <c r="BK9" s="30">
        <f>'Accrual_SCBL '!BK26</f>
        <v>690528548.88888884</v>
      </c>
      <c r="BL9" s="30">
        <f>'Accrual_SCBL '!BL26</f>
        <v>697825628.88888884</v>
      </c>
      <c r="BM9" s="30">
        <f>'Accrual_SCBL '!BM26</f>
        <v>705185183.88888884</v>
      </c>
      <c r="BN9" s="30">
        <f>'Accrual_SCBL '!BN26</f>
        <v>712307333.88888884</v>
      </c>
      <c r="BO9" s="30">
        <f>'Accrual_SCBL '!BO26</f>
        <v>719454473.88888884</v>
      </c>
      <c r="BP9" s="30">
        <f>'Accrual_SCBL '!BP26</f>
        <v>726426683.88888884</v>
      </c>
      <c r="BQ9" s="30">
        <f>'Accrual_SCBL '!BQ26</f>
        <v>732724163.88888884</v>
      </c>
      <c r="BR9" s="30">
        <f>'Accrual_SCBL '!BR26</f>
        <v>739458968.88888884</v>
      </c>
      <c r="BS9" s="30">
        <f>'Accrual_SCBL '!BS26</f>
        <v>745831418.88888884</v>
      </c>
      <c r="BT9" s="30">
        <f>'Accrual_SCBL '!BT26</f>
        <v>752416283.88888884</v>
      </c>
      <c r="BU9" s="30">
        <f>'Accrual_SCBL '!BU26</f>
        <v>758588813.88888884</v>
      </c>
      <c r="BV9" s="30">
        <f>'Accrual_SCBL '!BV26</f>
        <v>764786333.88888884</v>
      </c>
      <c r="BW9" s="30">
        <f>'Accrual_SCBL '!BW26</f>
        <v>770983853.88888884</v>
      </c>
      <c r="BX9" s="30">
        <f>'Accrual_SCBL '!BX26</f>
        <v>776781533.88888884</v>
      </c>
      <c r="BY9" s="30">
        <f>'Accrual_SCBL '!BY26</f>
        <v>782591708.88888884</v>
      </c>
      <c r="BZ9" s="30">
        <f>'Accrual_SCBL '!BZ26</f>
        <v>788214458.88888884</v>
      </c>
      <c r="CA9" s="30">
        <f>'Accrual_SCBL '!CA26</f>
        <v>793812218.88888884</v>
      </c>
      <c r="CB9" s="30">
        <f>'Accrual_SCBL '!CB26</f>
        <v>799235048.88888884</v>
      </c>
      <c r="CC9" s="30">
        <f>'Accrual_SCBL '!CC26</f>
        <v>804133088.88888884</v>
      </c>
      <c r="CD9" s="30">
        <f>'Accrual_SCBL '!CD26</f>
        <v>809343503.88888884</v>
      </c>
      <c r="CE9" s="30">
        <f>'Accrual_SCBL '!CE26</f>
        <v>814216553.88888884</v>
      </c>
      <c r="CF9" s="30">
        <f>'Accrual_SCBL '!CF26</f>
        <v>819252038.88888884</v>
      </c>
      <c r="CG9" s="30">
        <f>'Accrual_SCBL '!CG26</f>
        <v>823925168.88888884</v>
      </c>
      <c r="CH9" s="30">
        <f>'Accrual_SCBL '!CH26</f>
        <v>828573308.88888884</v>
      </c>
      <c r="CI9" s="30">
        <f>'Accrual_SCBL '!CI26</f>
        <v>833221448.88888884</v>
      </c>
      <c r="CJ9" s="30">
        <f>'Accrual_SCBL '!CJ26</f>
        <v>837519728.88888884</v>
      </c>
      <c r="CK9" s="30">
        <f>'Accrual_SCBL '!CK26</f>
        <v>841780523.88888884</v>
      </c>
      <c r="CL9" s="30">
        <f>'Accrual_SCBL '!CL26</f>
        <v>845903873.88888884</v>
      </c>
      <c r="CM9" s="30">
        <f>'Accrual_SCBL '!CM26</f>
        <v>849952253.88888884</v>
      </c>
      <c r="CN9" s="30">
        <f>'Accrual_SCBL '!CN26</f>
        <v>853825703.88888884</v>
      </c>
      <c r="CO9" s="30">
        <f>'Accrual_SCBL '!CO26</f>
        <v>857324303.88888884</v>
      </c>
      <c r="CP9" s="30">
        <f>'Accrual_SCBL '!CP26</f>
        <v>860985338.88888884</v>
      </c>
      <c r="CQ9" s="30">
        <f>'Accrual_SCBL '!CQ26</f>
        <v>864358988.88888884</v>
      </c>
      <c r="CR9" s="30">
        <f>'Accrual_SCBL '!CR26</f>
        <v>867845093.88888884</v>
      </c>
      <c r="CS9" s="30">
        <f>'Accrual_SCBL '!CS26</f>
        <v>871018823.88888884</v>
      </c>
      <c r="CT9" s="30">
        <f>'Accrual_SCBL '!CT26</f>
        <v>874117583.88888884</v>
      </c>
      <c r="CU9" s="30">
        <f>'Accrual_SCBL '!CU26</f>
        <v>877216343.88888884</v>
      </c>
      <c r="CV9" s="30">
        <f>'Accrual_SCBL '!CV26</f>
        <v>880015223.88888884</v>
      </c>
      <c r="CW9" s="30">
        <f>'Accrual_SCBL '!CW26</f>
        <v>882726638.88888884</v>
      </c>
      <c r="CX9" s="30">
        <f>'Accrual_SCBL '!CX26</f>
        <v>885350588.88888884</v>
      </c>
      <c r="CY9" s="30">
        <f>'Accrual_SCBL '!CY26</f>
        <v>887849588.88888884</v>
      </c>
      <c r="CZ9" s="30">
        <f>'Accrual_SCBL '!CZ26</f>
        <v>890173658.88888884</v>
      </c>
      <c r="DA9" s="30">
        <f>'Accrual_SCBL '!DA26</f>
        <v>892347788.88888884</v>
      </c>
      <c r="DB9" s="30">
        <f>'Accrual_SCBL '!DB26</f>
        <v>894459443.88888884</v>
      </c>
      <c r="DC9" s="30">
        <f>'Accrual_SCBL '!DC26</f>
        <v>896333693.88888884</v>
      </c>
      <c r="DD9" s="30">
        <f>'Accrual_SCBL '!DD26</f>
        <v>898270418.88888884</v>
      </c>
      <c r="DE9" s="30">
        <f>'Accrual_SCBL '!DE26</f>
        <v>899944748.88888884</v>
      </c>
      <c r="DF9" s="30">
        <f>'Accrual_SCBL '!DF26</f>
        <v>901494128.88888884</v>
      </c>
      <c r="DG9" s="30">
        <f>'Accrual_SCBL '!DG26</f>
        <v>903043508.88888884</v>
      </c>
      <c r="DH9" s="30">
        <f>'Accrual_SCBL '!DH26</f>
        <v>904330493.88888884</v>
      </c>
      <c r="DI9" s="30">
        <f>'Accrual_SCBL '!DI26</f>
        <v>905492528.88888884</v>
      </c>
      <c r="DJ9" s="30">
        <f>'Accrual_SCBL '!DJ26</f>
        <v>906617078.88888884</v>
      </c>
      <c r="DK9" s="30">
        <f>'Accrual_SCBL '!DK26</f>
        <v>907554203.88888884</v>
      </c>
      <c r="DL9" s="30">
        <f>'Accrual_SCBL '!DL26</f>
        <v>908328893.88888884</v>
      </c>
      <c r="DM9" s="30">
        <f>'Accrual_SCBL '!DM26</f>
        <v>909028613.88888884</v>
      </c>
      <c r="DN9" s="30">
        <f>'Accrual_SCBL '!DN26</f>
        <v>909590888.88888884</v>
      </c>
      <c r="DO9" s="30">
        <f>'Accrual_SCBL '!DO26</f>
        <v>909965738.88888884</v>
      </c>
      <c r="DP9" s="30">
        <f>'Accrual_SCBL '!DP26</f>
        <v>910353083.88888884</v>
      </c>
      <c r="DQ9" s="30">
        <f>'Accrual_SCBL '!DQ26</f>
        <v>910515518.88888884</v>
      </c>
    </row>
    <row r="10" spans="1:121" x14ac:dyDescent="0.25">
      <c r="A10" s="38" t="s">
        <v>30</v>
      </c>
      <c r="B10" s="30">
        <v>0</v>
      </c>
      <c r="C10" s="30">
        <f>B10</f>
        <v>0</v>
      </c>
      <c r="D10" s="30">
        <f>SCBL_Loan!$B$31</f>
        <v>29951388.888888888</v>
      </c>
      <c r="E10" s="30">
        <f>D10</f>
        <v>29951388.888888888</v>
      </c>
      <c r="F10" s="30">
        <f>E10</f>
        <v>29951388.888888888</v>
      </c>
      <c r="G10" s="30">
        <f>SCBL_Loan!$C$31</f>
        <v>70775000</v>
      </c>
      <c r="H10" s="30">
        <f t="shared" ref="H10:BQ10" si="24">G10</f>
        <v>70775000</v>
      </c>
      <c r="I10" s="30">
        <f t="shared" si="24"/>
        <v>70775000</v>
      </c>
      <c r="J10" s="30">
        <f>SCBL_Loan!$D$31</f>
        <v>111598611.1111111</v>
      </c>
      <c r="K10" s="30">
        <f t="shared" si="24"/>
        <v>111598611.1111111</v>
      </c>
      <c r="L10" s="30">
        <f t="shared" si="24"/>
        <v>111598611.1111111</v>
      </c>
      <c r="M10" s="30">
        <f>SCBL_Loan!$E$31</f>
        <v>152870833.33333331</v>
      </c>
      <c r="N10" s="30">
        <f t="shared" si="24"/>
        <v>152870833.33333331</v>
      </c>
      <c r="O10" s="30">
        <f t="shared" si="24"/>
        <v>152870833.33333331</v>
      </c>
      <c r="P10" s="30">
        <f>SCBL_Loan!$F$31</f>
        <v>193363888.88888887</v>
      </c>
      <c r="Q10" s="30">
        <f t="shared" si="24"/>
        <v>193363888.88888887</v>
      </c>
      <c r="R10" s="30">
        <f t="shared" si="24"/>
        <v>193363888.88888887</v>
      </c>
      <c r="S10" s="30">
        <f>SCBL_Loan!$G$31</f>
        <v>232038888.88888887</v>
      </c>
      <c r="T10" s="30">
        <f t="shared" si="24"/>
        <v>232038888.88888887</v>
      </c>
      <c r="U10" s="30">
        <f t="shared" si="24"/>
        <v>232038888.88888887</v>
      </c>
      <c r="V10" s="30">
        <f>SCBL_Loan!$H$31</f>
        <v>270288888.88888884</v>
      </c>
      <c r="W10" s="30">
        <f t="shared" si="24"/>
        <v>270288888.88888884</v>
      </c>
      <c r="X10" s="30">
        <f t="shared" si="24"/>
        <v>270288888.88888884</v>
      </c>
      <c r="Y10" s="30">
        <f>SCBL_Loan!$I$31</f>
        <v>308231528.88888884</v>
      </c>
      <c r="Z10" s="30">
        <f t="shared" si="24"/>
        <v>308231528.88888884</v>
      </c>
      <c r="AA10" s="30">
        <f t="shared" si="24"/>
        <v>308231528.88888884</v>
      </c>
      <c r="AB10" s="30">
        <f>SCBL_Loan!$J$31</f>
        <v>345016808.88888884</v>
      </c>
      <c r="AC10" s="30">
        <f t="shared" si="24"/>
        <v>345016808.88888884</v>
      </c>
      <c r="AD10" s="30">
        <f t="shared" si="24"/>
        <v>345016808.88888884</v>
      </c>
      <c r="AE10" s="30">
        <f>SCBL_Loan!$K$31</f>
        <v>380265203.88888884</v>
      </c>
      <c r="AF10" s="30">
        <f t="shared" si="24"/>
        <v>380265203.88888884</v>
      </c>
      <c r="AG10" s="30">
        <f t="shared" si="24"/>
        <v>380265203.88888884</v>
      </c>
      <c r="AH10" s="30">
        <f>SCBL_Loan!$L$31</f>
        <v>414001703.88888884</v>
      </c>
      <c r="AI10" s="30">
        <f t="shared" si="24"/>
        <v>414001703.88888884</v>
      </c>
      <c r="AJ10" s="30">
        <f t="shared" si="24"/>
        <v>414001703.88888884</v>
      </c>
      <c r="AK10" s="30">
        <f>SCBL_Loan!$M$31</f>
        <v>447338363.88888884</v>
      </c>
      <c r="AL10" s="30">
        <f t="shared" si="24"/>
        <v>447338363.88888884</v>
      </c>
      <c r="AM10" s="30">
        <f t="shared" si="24"/>
        <v>447338363.88888884</v>
      </c>
      <c r="AN10" s="30">
        <f>SCBL_Loan!$N$31</f>
        <v>479525483.88888884</v>
      </c>
      <c r="AO10" s="30">
        <f t="shared" si="24"/>
        <v>479525483.88888884</v>
      </c>
      <c r="AP10" s="30">
        <f t="shared" si="24"/>
        <v>479525483.88888884</v>
      </c>
      <c r="AQ10" s="30">
        <f>SCBL_Loan!$O$31</f>
        <v>510225698.88888884</v>
      </c>
      <c r="AR10" s="30">
        <f t="shared" si="24"/>
        <v>510225698.88888884</v>
      </c>
      <c r="AS10" s="30">
        <f t="shared" si="24"/>
        <v>510225698.88888884</v>
      </c>
      <c r="AT10" s="30">
        <f>SCBL_Loan!$P$31</f>
        <v>539463998.88888884</v>
      </c>
      <c r="AU10" s="30">
        <f t="shared" si="24"/>
        <v>539463998.88888884</v>
      </c>
      <c r="AV10" s="30">
        <f t="shared" si="24"/>
        <v>539463998.88888884</v>
      </c>
      <c r="AW10" s="30">
        <f>SCBL_Loan!$Q$31</f>
        <v>568202498.88888884</v>
      </c>
      <c r="AX10" s="30">
        <f t="shared" si="24"/>
        <v>568202498.88888884</v>
      </c>
      <c r="AY10" s="30">
        <f t="shared" si="24"/>
        <v>568202498.88888884</v>
      </c>
      <c r="AZ10" s="30">
        <f>SCBL_Loan!$R$31</f>
        <v>595491578.88888884</v>
      </c>
      <c r="BA10" s="30">
        <f t="shared" si="24"/>
        <v>595491578.88888884</v>
      </c>
      <c r="BB10" s="30">
        <f t="shared" si="24"/>
        <v>595491578.88888884</v>
      </c>
      <c r="BC10" s="30">
        <f>SCBL_Loan!$S$31</f>
        <v>621643613.88888884</v>
      </c>
      <c r="BD10" s="30">
        <f t="shared" si="24"/>
        <v>621643613.88888884</v>
      </c>
      <c r="BE10" s="30">
        <f t="shared" si="24"/>
        <v>621643613.88888884</v>
      </c>
      <c r="BF10" s="30">
        <f>SCBL_Loan!$T$31</f>
        <v>646658603.88888884</v>
      </c>
      <c r="BG10" s="30">
        <f t="shared" si="24"/>
        <v>646658603.88888884</v>
      </c>
      <c r="BH10" s="30">
        <f t="shared" si="24"/>
        <v>646658603.88888884</v>
      </c>
      <c r="BI10" s="30">
        <f>SCBL_Loan!$U$31</f>
        <v>670536548.88888884</v>
      </c>
      <c r="BJ10" s="30">
        <f t="shared" si="24"/>
        <v>670536548.88888884</v>
      </c>
      <c r="BK10" s="30">
        <f t="shared" si="24"/>
        <v>670536548.88888884</v>
      </c>
      <c r="BL10" s="30">
        <f>SCBL_Loan!$V$31</f>
        <v>694027148.88888884</v>
      </c>
      <c r="BM10" s="30">
        <f t="shared" si="24"/>
        <v>694027148.88888884</v>
      </c>
      <c r="BN10" s="30">
        <f t="shared" si="24"/>
        <v>694027148.88888884</v>
      </c>
      <c r="BO10" s="30">
        <f>SCBL_Loan!$W$31</f>
        <v>715631003.88888884</v>
      </c>
      <c r="BP10" s="30">
        <f t="shared" si="24"/>
        <v>715631003.88888884</v>
      </c>
      <c r="BQ10" s="30">
        <f t="shared" si="24"/>
        <v>715631003.88888884</v>
      </c>
      <c r="BR10" s="30">
        <f>SCBL_Loan!$X$31</f>
        <v>735423083.88888884</v>
      </c>
      <c r="BS10" s="30">
        <f t="shared" ref="BS10:CT10" si="25">BR10</f>
        <v>735423083.88888884</v>
      </c>
      <c r="BT10" s="30">
        <f t="shared" si="25"/>
        <v>735423083.88888884</v>
      </c>
      <c r="BU10" s="30">
        <f>SCBL_Loan!$Y$31</f>
        <v>755390093.88888884</v>
      </c>
      <c r="BV10" s="30">
        <f t="shared" si="25"/>
        <v>755390093.88888884</v>
      </c>
      <c r="BW10" s="30">
        <f t="shared" si="25"/>
        <v>755390093.88888884</v>
      </c>
      <c r="BX10" s="30">
        <f>SCBL_Loan!$Z$31</f>
        <v>773782733.88888884</v>
      </c>
      <c r="BY10" s="30">
        <f t="shared" si="25"/>
        <v>773782733.88888884</v>
      </c>
      <c r="BZ10" s="30">
        <f t="shared" si="25"/>
        <v>773782733.88888884</v>
      </c>
      <c r="CA10" s="30">
        <f>SCBL_Loan!$AA$31</f>
        <v>790838408.88888884</v>
      </c>
      <c r="CB10" s="30">
        <f t="shared" si="25"/>
        <v>790838408.88888884</v>
      </c>
      <c r="CC10" s="30">
        <f t="shared" si="25"/>
        <v>790838408.88888884</v>
      </c>
      <c r="CD10" s="30">
        <f>SCBL_Loan!$AB$31</f>
        <v>806582108.88888884</v>
      </c>
      <c r="CE10" s="30">
        <f t="shared" si="25"/>
        <v>806582108.88888884</v>
      </c>
      <c r="CF10" s="30">
        <f t="shared" si="25"/>
        <v>806582108.88888884</v>
      </c>
      <c r="CG10" s="30">
        <f>SCBL_Loan!$AC$31</f>
        <v>821526128.88888884</v>
      </c>
      <c r="CH10" s="30">
        <f t="shared" si="25"/>
        <v>821526128.88888884</v>
      </c>
      <c r="CI10" s="30">
        <f t="shared" si="25"/>
        <v>821526128.88888884</v>
      </c>
      <c r="CJ10" s="30">
        <f>SCBL_Loan!$AD$31</f>
        <v>835320608.88888884</v>
      </c>
      <c r="CK10" s="30">
        <f t="shared" si="25"/>
        <v>835320608.88888884</v>
      </c>
      <c r="CL10" s="30">
        <f t="shared" si="25"/>
        <v>835320608.88888884</v>
      </c>
      <c r="CM10" s="30">
        <f>SCBL_Loan!$AE$31</f>
        <v>847828103.88888884</v>
      </c>
      <c r="CN10" s="30">
        <f t="shared" si="25"/>
        <v>847828103.88888884</v>
      </c>
      <c r="CO10" s="30">
        <f t="shared" si="25"/>
        <v>847828103.88888884</v>
      </c>
      <c r="CP10" s="30">
        <f>SCBL_Loan!$AF$31</f>
        <v>859073603.88888884</v>
      </c>
      <c r="CQ10" s="30">
        <f t="shared" si="25"/>
        <v>859073603.88888884</v>
      </c>
      <c r="CR10" s="30">
        <f t="shared" si="25"/>
        <v>859073603.88888884</v>
      </c>
      <c r="CS10" s="30">
        <f>SCBL_Loan!$AG$31</f>
        <v>869419463.88888884</v>
      </c>
      <c r="CT10" s="30">
        <f t="shared" si="25"/>
        <v>869419463.88888884</v>
      </c>
      <c r="CU10" s="30">
        <f t="shared" ref="CU10:DM10" si="26">CT10</f>
        <v>869419463.88888884</v>
      </c>
      <c r="CV10" s="30">
        <f>SCBL_Loan!$AH$31</f>
        <v>878615783.88888884</v>
      </c>
      <c r="CW10" s="30">
        <f t="shared" si="26"/>
        <v>878615783.88888884</v>
      </c>
      <c r="CX10" s="30">
        <f t="shared" si="26"/>
        <v>878615783.88888884</v>
      </c>
      <c r="CY10" s="30">
        <f>SCBL_Loan!$AI$31</f>
        <v>886575098.88888884</v>
      </c>
      <c r="CZ10" s="30">
        <f t="shared" si="26"/>
        <v>886575098.88888884</v>
      </c>
      <c r="DA10" s="30">
        <f t="shared" si="26"/>
        <v>886575098.88888884</v>
      </c>
      <c r="DB10" s="30">
        <f>SCBL_Loan!$AJ$31</f>
        <v>893397368.88888884</v>
      </c>
      <c r="DC10" s="30">
        <f t="shared" si="26"/>
        <v>893397368.88888884</v>
      </c>
      <c r="DD10" s="30">
        <f t="shared" si="26"/>
        <v>893397368.88888884</v>
      </c>
      <c r="DE10" s="30">
        <f>SCBL_Loan!$AK$31</f>
        <v>899145068.88888884</v>
      </c>
      <c r="DF10" s="30">
        <f t="shared" si="26"/>
        <v>899145068.88888884</v>
      </c>
      <c r="DG10" s="30">
        <f t="shared" si="26"/>
        <v>899145068.88888884</v>
      </c>
      <c r="DH10" s="30">
        <f>SCBL_Loan!$AL$31</f>
        <v>903693248.88888884</v>
      </c>
      <c r="DI10" s="30">
        <f t="shared" si="26"/>
        <v>903693248.88888884</v>
      </c>
      <c r="DJ10" s="30">
        <f t="shared" si="26"/>
        <v>903693248.88888884</v>
      </c>
      <c r="DK10" s="30">
        <f>SCBL_Loan!$AM$31</f>
        <v>907104383.88888884</v>
      </c>
      <c r="DL10" s="30">
        <f t="shared" si="26"/>
        <v>907104383.88888884</v>
      </c>
      <c r="DM10" s="30">
        <f t="shared" si="26"/>
        <v>907104383.88888884</v>
      </c>
      <c r="DN10" s="30">
        <f>SCBL_Loan!$AN$31</f>
        <v>909378473.88888884</v>
      </c>
      <c r="DO10" s="30">
        <f t="shared" ref="DO10" si="27">DN10</f>
        <v>909378473.88888884</v>
      </c>
      <c r="DP10" s="30">
        <f t="shared" ref="DP10" si="28">DO10</f>
        <v>909378473.88888884</v>
      </c>
      <c r="DQ10" s="30">
        <f>SCBL_Loan!$AO$31</f>
        <v>910515518.88888884</v>
      </c>
    </row>
    <row r="11" spans="1:121" x14ac:dyDescent="0.25">
      <c r="A11" s="38" t="s">
        <v>31</v>
      </c>
      <c r="B11" s="30">
        <f>B26</f>
        <v>0</v>
      </c>
      <c r="C11" s="30">
        <f>C26</f>
        <v>0</v>
      </c>
      <c r="D11" s="30">
        <f>D26</f>
        <v>29951389</v>
      </c>
      <c r="E11" s="30">
        <f>E26</f>
        <v>29951389</v>
      </c>
      <c r="F11" s="30">
        <f>F26</f>
        <v>29951389</v>
      </c>
      <c r="G11" s="30">
        <f t="shared" ref="G11:M11" si="29">G26</f>
        <v>70775000</v>
      </c>
      <c r="H11" s="30">
        <f t="shared" si="29"/>
        <v>70775000</v>
      </c>
      <c r="I11" s="30">
        <f t="shared" si="29"/>
        <v>70775000</v>
      </c>
      <c r="J11" s="30">
        <f t="shared" si="29"/>
        <v>111598611</v>
      </c>
      <c r="K11" s="30">
        <f t="shared" si="29"/>
        <v>111598611</v>
      </c>
      <c r="L11" s="30">
        <f t="shared" si="29"/>
        <v>111598611</v>
      </c>
      <c r="M11" s="30">
        <f t="shared" si="29"/>
        <v>152870833</v>
      </c>
      <c r="N11" s="30">
        <f t="shared" ref="N11:AR11" si="30">N26</f>
        <v>152870833</v>
      </c>
      <c r="O11" s="30">
        <f t="shared" si="30"/>
        <v>152870833</v>
      </c>
      <c r="P11" s="30">
        <f t="shared" si="30"/>
        <v>193363888</v>
      </c>
      <c r="Q11" s="30">
        <f t="shared" si="30"/>
        <v>193363888</v>
      </c>
      <c r="R11" s="30">
        <f t="shared" si="30"/>
        <v>193363888</v>
      </c>
      <c r="S11" s="30">
        <f t="shared" si="30"/>
        <v>232038888.88888887</v>
      </c>
      <c r="T11" s="30">
        <f t="shared" si="30"/>
        <v>232038888.88888887</v>
      </c>
      <c r="U11" s="30">
        <f t="shared" si="30"/>
        <v>232038888.88888887</v>
      </c>
      <c r="V11" s="30">
        <f t="shared" si="30"/>
        <v>270288888.88888884</v>
      </c>
      <c r="W11" s="30">
        <f t="shared" si="30"/>
        <v>270288888.88888884</v>
      </c>
      <c r="X11" s="30">
        <f t="shared" si="30"/>
        <v>270288888.88888884</v>
      </c>
      <c r="Y11" s="30">
        <f t="shared" si="30"/>
        <v>308231528.88888884</v>
      </c>
      <c r="Z11" s="30">
        <f t="shared" si="30"/>
        <v>308231528.88888884</v>
      </c>
      <c r="AA11" s="30">
        <f t="shared" si="30"/>
        <v>308231528.88888884</v>
      </c>
      <c r="AB11" s="30">
        <f t="shared" si="30"/>
        <v>345016808.88888884</v>
      </c>
      <c r="AC11" s="30">
        <f t="shared" si="30"/>
        <v>345016808.88888884</v>
      </c>
      <c r="AD11" s="30">
        <f t="shared" si="30"/>
        <v>345016808.88888884</v>
      </c>
      <c r="AE11" s="30">
        <f t="shared" si="30"/>
        <v>380265203.88888884</v>
      </c>
      <c r="AF11" s="30">
        <f t="shared" si="30"/>
        <v>380265203.88888884</v>
      </c>
      <c r="AG11" s="30">
        <f t="shared" si="30"/>
        <v>380265203.88888884</v>
      </c>
      <c r="AH11" s="30">
        <f t="shared" si="30"/>
        <v>414001703.88888884</v>
      </c>
      <c r="AI11" s="30">
        <f t="shared" si="30"/>
        <v>414001703.88888884</v>
      </c>
      <c r="AJ11" s="30">
        <f t="shared" si="30"/>
        <v>414001703.88888884</v>
      </c>
      <c r="AK11" s="30">
        <f t="shared" si="30"/>
        <v>447338363.88888884</v>
      </c>
      <c r="AL11" s="30">
        <f t="shared" si="30"/>
        <v>447338363.88888884</v>
      </c>
      <c r="AM11" s="30">
        <f t="shared" si="30"/>
        <v>447338363.88888884</v>
      </c>
      <c r="AN11" s="30">
        <f t="shared" si="30"/>
        <v>479525483.88888884</v>
      </c>
      <c r="AO11" s="30">
        <f t="shared" si="30"/>
        <v>479525483.88888884</v>
      </c>
      <c r="AP11" s="30">
        <f t="shared" si="30"/>
        <v>479525483.88888884</v>
      </c>
      <c r="AQ11" s="30">
        <f t="shared" si="30"/>
        <v>510225698.88888884</v>
      </c>
      <c r="AR11" s="30">
        <f t="shared" si="30"/>
        <v>510225698.88888884</v>
      </c>
      <c r="AS11" s="30">
        <f t="shared" ref="AS11:BX11" si="31">AS26</f>
        <v>510225698.88888884</v>
      </c>
      <c r="AT11" s="30">
        <f t="shared" si="31"/>
        <v>539463998.88888884</v>
      </c>
      <c r="AU11" s="30">
        <f t="shared" si="31"/>
        <v>539463998.88888884</v>
      </c>
      <c r="AV11" s="30">
        <f t="shared" si="31"/>
        <v>539463998.88888884</v>
      </c>
      <c r="AW11" s="30">
        <f t="shared" si="31"/>
        <v>568202498.88888884</v>
      </c>
      <c r="AX11" s="30">
        <f t="shared" si="31"/>
        <v>568202498.88888884</v>
      </c>
      <c r="AY11" s="30">
        <f t="shared" si="31"/>
        <v>568202498.88888884</v>
      </c>
      <c r="AZ11" s="30">
        <f t="shared" si="31"/>
        <v>595491578.88888884</v>
      </c>
      <c r="BA11" s="30">
        <f t="shared" si="31"/>
        <v>595491578.88888884</v>
      </c>
      <c r="BB11" s="30">
        <f t="shared" si="31"/>
        <v>595491578.88888884</v>
      </c>
      <c r="BC11" s="30">
        <f t="shared" si="31"/>
        <v>621643613.88888884</v>
      </c>
      <c r="BD11" s="30">
        <f t="shared" si="31"/>
        <v>621643613.88888884</v>
      </c>
      <c r="BE11" s="30">
        <f t="shared" si="31"/>
        <v>621643613.88888884</v>
      </c>
      <c r="BF11" s="30">
        <f t="shared" si="31"/>
        <v>646658603.88888884</v>
      </c>
      <c r="BG11" s="30">
        <f t="shared" si="31"/>
        <v>646658603.88888884</v>
      </c>
      <c r="BH11" s="30">
        <f t="shared" si="31"/>
        <v>646658603.88888884</v>
      </c>
      <c r="BI11" s="30">
        <f t="shared" si="31"/>
        <v>670536548.88888884</v>
      </c>
      <c r="BJ11" s="30">
        <f t="shared" si="31"/>
        <v>670536548.88888884</v>
      </c>
      <c r="BK11" s="30">
        <f t="shared" si="31"/>
        <v>670536548.88888884</v>
      </c>
      <c r="BL11" s="30">
        <f t="shared" si="31"/>
        <v>694027148.88888884</v>
      </c>
      <c r="BM11" s="30">
        <f t="shared" si="31"/>
        <v>694027148.88888884</v>
      </c>
      <c r="BN11" s="30">
        <f t="shared" si="31"/>
        <v>694027148.88888884</v>
      </c>
      <c r="BO11" s="30">
        <f t="shared" si="31"/>
        <v>715631003.88888884</v>
      </c>
      <c r="BP11" s="30">
        <f t="shared" si="31"/>
        <v>715631003.88888884</v>
      </c>
      <c r="BQ11" s="30">
        <f t="shared" si="31"/>
        <v>715631003.88888884</v>
      </c>
      <c r="BR11" s="30">
        <f t="shared" si="31"/>
        <v>735423083.88888884</v>
      </c>
      <c r="BS11" s="30">
        <f t="shared" si="31"/>
        <v>735423083.88888884</v>
      </c>
      <c r="BT11" s="30">
        <f t="shared" si="31"/>
        <v>735423083.88888884</v>
      </c>
      <c r="BU11" s="30">
        <f t="shared" si="31"/>
        <v>755390093.88888884</v>
      </c>
      <c r="BV11" s="30">
        <f t="shared" si="31"/>
        <v>755390093.88888884</v>
      </c>
      <c r="BW11" s="30">
        <f t="shared" si="31"/>
        <v>755390093.88888884</v>
      </c>
      <c r="BX11" s="30">
        <f t="shared" si="31"/>
        <v>773782733.88888884</v>
      </c>
      <c r="BY11" s="30">
        <f t="shared" ref="BY11:CF11" si="32">BY26</f>
        <v>773782733.88888884</v>
      </c>
      <c r="BZ11" s="30">
        <f t="shared" si="32"/>
        <v>773782733.88888884</v>
      </c>
      <c r="CA11" s="30">
        <f t="shared" si="32"/>
        <v>790838408.88888884</v>
      </c>
      <c r="CB11" s="30">
        <f t="shared" si="32"/>
        <v>790838408.88888884</v>
      </c>
      <c r="CC11" s="30">
        <f t="shared" si="32"/>
        <v>790838408.88888884</v>
      </c>
      <c r="CD11" s="30">
        <f t="shared" si="32"/>
        <v>806582108.88888884</v>
      </c>
      <c r="CE11" s="30">
        <f t="shared" si="32"/>
        <v>806582108.88888884</v>
      </c>
      <c r="CF11" s="30">
        <f t="shared" si="32"/>
        <v>806582108.88888884</v>
      </c>
      <c r="CG11" s="30">
        <f>CG26</f>
        <v>821526128.88888884</v>
      </c>
      <c r="CH11" s="30">
        <f>CH26</f>
        <v>821526128.88888884</v>
      </c>
      <c r="CI11" s="30">
        <f t="shared" ref="CI11:CT11" si="33">CI26</f>
        <v>821526128.88888884</v>
      </c>
      <c r="CJ11" s="30">
        <f t="shared" si="33"/>
        <v>835320608.88888884</v>
      </c>
      <c r="CK11" s="30">
        <f t="shared" si="33"/>
        <v>835320608.88888884</v>
      </c>
      <c r="CL11" s="30">
        <f t="shared" si="33"/>
        <v>835320608.88888884</v>
      </c>
      <c r="CM11" s="30">
        <f t="shared" si="33"/>
        <v>847828103.88888884</v>
      </c>
      <c r="CN11" s="30">
        <f t="shared" si="33"/>
        <v>847828103.88888884</v>
      </c>
      <c r="CO11" s="30">
        <f t="shared" si="33"/>
        <v>847828103.88888884</v>
      </c>
      <c r="CP11" s="30">
        <f t="shared" si="33"/>
        <v>859073603.88888884</v>
      </c>
      <c r="CQ11" s="30">
        <f t="shared" si="33"/>
        <v>859073603.88888884</v>
      </c>
      <c r="CR11" s="30">
        <f t="shared" si="33"/>
        <v>859073603.88888884</v>
      </c>
      <c r="CS11" s="30">
        <f t="shared" si="33"/>
        <v>869419463.88888884</v>
      </c>
      <c r="CT11" s="30">
        <f t="shared" si="33"/>
        <v>869419463.88888884</v>
      </c>
      <c r="CU11" s="30">
        <f t="shared" ref="CU11:DN11" si="34">CU26</f>
        <v>869419463.88888884</v>
      </c>
      <c r="CV11" s="30">
        <f t="shared" si="34"/>
        <v>878615783.88888884</v>
      </c>
      <c r="CW11" s="30">
        <f t="shared" si="34"/>
        <v>878615783.88888884</v>
      </c>
      <c r="CX11" s="30">
        <f t="shared" si="34"/>
        <v>878615783.88888884</v>
      </c>
      <c r="CY11" s="30">
        <f t="shared" si="34"/>
        <v>886575098.88888884</v>
      </c>
      <c r="CZ11" s="30">
        <f t="shared" si="34"/>
        <v>886575098.88888884</v>
      </c>
      <c r="DA11" s="30">
        <f t="shared" si="34"/>
        <v>886575098.88888884</v>
      </c>
      <c r="DB11" s="30">
        <f t="shared" si="34"/>
        <v>893397368.88888884</v>
      </c>
      <c r="DC11" s="30">
        <f t="shared" si="34"/>
        <v>893397368.88888884</v>
      </c>
      <c r="DD11" s="30">
        <f t="shared" si="34"/>
        <v>893397368.88888884</v>
      </c>
      <c r="DE11" s="30">
        <f t="shared" si="34"/>
        <v>899145068.88888884</v>
      </c>
      <c r="DF11" s="30">
        <f t="shared" si="34"/>
        <v>899145068.88888884</v>
      </c>
      <c r="DG11" s="30">
        <f t="shared" si="34"/>
        <v>899145068.88888884</v>
      </c>
      <c r="DH11" s="30">
        <f t="shared" si="34"/>
        <v>903693248.88888884</v>
      </c>
      <c r="DI11" s="30">
        <f t="shared" si="34"/>
        <v>903693248.88888884</v>
      </c>
      <c r="DJ11" s="30">
        <f t="shared" si="34"/>
        <v>903693248.88888884</v>
      </c>
      <c r="DK11" s="30">
        <f t="shared" si="34"/>
        <v>907104383.88888884</v>
      </c>
      <c r="DL11" s="30">
        <f t="shared" si="34"/>
        <v>907104383.88888884</v>
      </c>
      <c r="DM11" s="30">
        <f t="shared" si="34"/>
        <v>907104383.88888884</v>
      </c>
      <c r="DN11" s="30">
        <f t="shared" si="34"/>
        <v>909378473.88888884</v>
      </c>
      <c r="DO11" s="30">
        <f t="shared" ref="DO11:DQ11" si="35">DO26</f>
        <v>909378473.88888884</v>
      </c>
      <c r="DP11" s="30">
        <f t="shared" si="35"/>
        <v>909378473.88888884</v>
      </c>
      <c r="DQ11" s="30">
        <f t="shared" si="35"/>
        <v>910515518.88888884</v>
      </c>
    </row>
    <row r="12" spans="1:121" x14ac:dyDescent="0.25">
      <c r="A12" s="38" t="s">
        <v>32</v>
      </c>
      <c r="B12" s="30">
        <f>IF((B10-B11)&gt;0,(B10-B11),0)</f>
        <v>0</v>
      </c>
      <c r="C12" s="30">
        <f>IF((C10-C11)&gt;0,(C10-C11),0)</f>
        <v>0</v>
      </c>
      <c r="D12" s="30">
        <f t="shared" ref="D12:BO12" si="36">IF((D10-D11)&gt;0,(D10-D11),0)</f>
        <v>0</v>
      </c>
      <c r="E12" s="30">
        <f t="shared" si="36"/>
        <v>0</v>
      </c>
      <c r="F12" s="30">
        <f t="shared" si="36"/>
        <v>0</v>
      </c>
      <c r="G12" s="30">
        <f t="shared" si="36"/>
        <v>0</v>
      </c>
      <c r="H12" s="30">
        <f t="shared" si="36"/>
        <v>0</v>
      </c>
      <c r="I12" s="30">
        <f t="shared" si="36"/>
        <v>0</v>
      </c>
      <c r="J12" s="30">
        <f t="shared" si="36"/>
        <v>0.1111111044883728</v>
      </c>
      <c r="K12" s="30">
        <f t="shared" si="36"/>
        <v>0.1111111044883728</v>
      </c>
      <c r="L12" s="30">
        <f t="shared" si="36"/>
        <v>0.1111111044883728</v>
      </c>
      <c r="M12" s="30">
        <f t="shared" si="36"/>
        <v>0.33333331346511841</v>
      </c>
      <c r="N12" s="30">
        <f t="shared" si="36"/>
        <v>0.33333331346511841</v>
      </c>
      <c r="O12" s="30">
        <f t="shared" si="36"/>
        <v>0.33333331346511841</v>
      </c>
      <c r="P12" s="30">
        <f t="shared" si="36"/>
        <v>0.88888886570930481</v>
      </c>
      <c r="Q12" s="30">
        <f t="shared" si="36"/>
        <v>0.88888886570930481</v>
      </c>
      <c r="R12" s="30">
        <f t="shared" si="36"/>
        <v>0.88888886570930481</v>
      </c>
      <c r="S12" s="30">
        <f t="shared" si="36"/>
        <v>0</v>
      </c>
      <c r="T12" s="30">
        <f t="shared" si="36"/>
        <v>0</v>
      </c>
      <c r="U12" s="30">
        <f t="shared" si="36"/>
        <v>0</v>
      </c>
      <c r="V12" s="30">
        <f t="shared" si="36"/>
        <v>0</v>
      </c>
      <c r="W12" s="30">
        <f t="shared" si="36"/>
        <v>0</v>
      </c>
      <c r="X12" s="30">
        <f t="shared" si="36"/>
        <v>0</v>
      </c>
      <c r="Y12" s="30">
        <f t="shared" si="36"/>
        <v>0</v>
      </c>
      <c r="Z12" s="30">
        <f t="shared" si="36"/>
        <v>0</v>
      </c>
      <c r="AA12" s="30">
        <f t="shared" si="36"/>
        <v>0</v>
      </c>
      <c r="AB12" s="30">
        <f t="shared" si="36"/>
        <v>0</v>
      </c>
      <c r="AC12" s="30">
        <f t="shared" si="36"/>
        <v>0</v>
      </c>
      <c r="AD12" s="30">
        <f t="shared" si="36"/>
        <v>0</v>
      </c>
      <c r="AE12" s="30">
        <f t="shared" si="36"/>
        <v>0</v>
      </c>
      <c r="AF12" s="30">
        <f t="shared" si="36"/>
        <v>0</v>
      </c>
      <c r="AG12" s="30">
        <f t="shared" si="36"/>
        <v>0</v>
      </c>
      <c r="AH12" s="30">
        <f t="shared" si="36"/>
        <v>0</v>
      </c>
      <c r="AI12" s="30">
        <f t="shared" si="36"/>
        <v>0</v>
      </c>
      <c r="AJ12" s="30">
        <f t="shared" si="36"/>
        <v>0</v>
      </c>
      <c r="AK12" s="30">
        <f t="shared" si="36"/>
        <v>0</v>
      </c>
      <c r="AL12" s="30">
        <f t="shared" si="36"/>
        <v>0</v>
      </c>
      <c r="AM12" s="30">
        <f t="shared" si="36"/>
        <v>0</v>
      </c>
      <c r="AN12" s="30">
        <f t="shared" si="36"/>
        <v>0</v>
      </c>
      <c r="AO12" s="30">
        <f t="shared" si="36"/>
        <v>0</v>
      </c>
      <c r="AP12" s="30">
        <f t="shared" si="36"/>
        <v>0</v>
      </c>
      <c r="AQ12" s="30">
        <f t="shared" si="36"/>
        <v>0</v>
      </c>
      <c r="AR12" s="30">
        <f t="shared" si="36"/>
        <v>0</v>
      </c>
      <c r="AS12" s="30">
        <f t="shared" si="36"/>
        <v>0</v>
      </c>
      <c r="AT12" s="30">
        <f t="shared" si="36"/>
        <v>0</v>
      </c>
      <c r="AU12" s="30">
        <f t="shared" si="36"/>
        <v>0</v>
      </c>
      <c r="AV12" s="30">
        <f t="shared" si="36"/>
        <v>0</v>
      </c>
      <c r="AW12" s="30">
        <f t="shared" si="36"/>
        <v>0</v>
      </c>
      <c r="AX12" s="30">
        <f t="shared" si="36"/>
        <v>0</v>
      </c>
      <c r="AY12" s="30">
        <f t="shared" si="36"/>
        <v>0</v>
      </c>
      <c r="AZ12" s="30">
        <f t="shared" si="36"/>
        <v>0</v>
      </c>
      <c r="BA12" s="30">
        <f t="shared" si="36"/>
        <v>0</v>
      </c>
      <c r="BB12" s="30">
        <f t="shared" si="36"/>
        <v>0</v>
      </c>
      <c r="BC12" s="30">
        <f t="shared" si="36"/>
        <v>0</v>
      </c>
      <c r="BD12" s="30">
        <f t="shared" si="36"/>
        <v>0</v>
      </c>
      <c r="BE12" s="30">
        <f t="shared" si="36"/>
        <v>0</v>
      </c>
      <c r="BF12" s="30">
        <f t="shared" si="36"/>
        <v>0</v>
      </c>
      <c r="BG12" s="30">
        <f t="shared" si="36"/>
        <v>0</v>
      </c>
      <c r="BH12" s="30">
        <f t="shared" si="36"/>
        <v>0</v>
      </c>
      <c r="BI12" s="30">
        <f t="shared" si="36"/>
        <v>0</v>
      </c>
      <c r="BJ12" s="30">
        <f t="shared" si="36"/>
        <v>0</v>
      </c>
      <c r="BK12" s="30">
        <f t="shared" si="36"/>
        <v>0</v>
      </c>
      <c r="BL12" s="30">
        <f t="shared" si="36"/>
        <v>0</v>
      </c>
      <c r="BM12" s="30">
        <f t="shared" si="36"/>
        <v>0</v>
      </c>
      <c r="BN12" s="30">
        <f t="shared" si="36"/>
        <v>0</v>
      </c>
      <c r="BO12" s="30">
        <f t="shared" si="36"/>
        <v>0</v>
      </c>
      <c r="BP12" s="30">
        <f t="shared" ref="BP12:CF12" si="37">IF((BP10-BP11)&gt;0,(BP10-BP11),0)</f>
        <v>0</v>
      </c>
      <c r="BQ12" s="30">
        <f t="shared" si="37"/>
        <v>0</v>
      </c>
      <c r="BR12" s="30">
        <f t="shared" si="37"/>
        <v>0</v>
      </c>
      <c r="BS12" s="30">
        <f t="shared" si="37"/>
        <v>0</v>
      </c>
      <c r="BT12" s="30">
        <f t="shared" si="37"/>
        <v>0</v>
      </c>
      <c r="BU12" s="30">
        <f t="shared" si="37"/>
        <v>0</v>
      </c>
      <c r="BV12" s="30">
        <f t="shared" si="37"/>
        <v>0</v>
      </c>
      <c r="BW12" s="30">
        <f t="shared" si="37"/>
        <v>0</v>
      </c>
      <c r="BX12" s="30">
        <f t="shared" si="37"/>
        <v>0</v>
      </c>
      <c r="BY12" s="30">
        <f t="shared" si="37"/>
        <v>0</v>
      </c>
      <c r="BZ12" s="30">
        <f t="shared" si="37"/>
        <v>0</v>
      </c>
      <c r="CA12" s="30">
        <f t="shared" si="37"/>
        <v>0</v>
      </c>
      <c r="CB12" s="30">
        <f t="shared" si="37"/>
        <v>0</v>
      </c>
      <c r="CC12" s="30">
        <f t="shared" si="37"/>
        <v>0</v>
      </c>
      <c r="CD12" s="30">
        <f t="shared" si="37"/>
        <v>0</v>
      </c>
      <c r="CE12" s="30">
        <f t="shared" si="37"/>
        <v>0</v>
      </c>
      <c r="CF12" s="30">
        <f t="shared" si="37"/>
        <v>0</v>
      </c>
      <c r="CG12" s="30">
        <f>IF((CG10-CG11)&gt;0,(CG10-CG11),0)</f>
        <v>0</v>
      </c>
      <c r="CH12" s="30">
        <f>IF((CH10-CH11)&gt;0,(CH10-CH11),0)</f>
        <v>0</v>
      </c>
      <c r="CI12" s="30">
        <f t="shared" ref="CI12:CT12" si="38">IF((CI10-CI11)&gt;0,(CI10-CI11),0)</f>
        <v>0</v>
      </c>
      <c r="CJ12" s="30">
        <f t="shared" si="38"/>
        <v>0</v>
      </c>
      <c r="CK12" s="30">
        <f t="shared" si="38"/>
        <v>0</v>
      </c>
      <c r="CL12" s="30">
        <f t="shared" si="38"/>
        <v>0</v>
      </c>
      <c r="CM12" s="30">
        <f t="shared" si="38"/>
        <v>0</v>
      </c>
      <c r="CN12" s="30">
        <f t="shared" si="38"/>
        <v>0</v>
      </c>
      <c r="CO12" s="30">
        <f t="shared" si="38"/>
        <v>0</v>
      </c>
      <c r="CP12" s="30">
        <f t="shared" si="38"/>
        <v>0</v>
      </c>
      <c r="CQ12" s="30">
        <f t="shared" si="38"/>
        <v>0</v>
      </c>
      <c r="CR12" s="30">
        <f t="shared" si="38"/>
        <v>0</v>
      </c>
      <c r="CS12" s="30">
        <f t="shared" si="38"/>
        <v>0</v>
      </c>
      <c r="CT12" s="30">
        <f t="shared" si="38"/>
        <v>0</v>
      </c>
      <c r="CU12" s="30">
        <f t="shared" ref="CU12:DN12" si="39">IF((CU10-CU11)&gt;0,(CU10-CU11),0)</f>
        <v>0</v>
      </c>
      <c r="CV12" s="30">
        <f t="shared" si="39"/>
        <v>0</v>
      </c>
      <c r="CW12" s="30">
        <f t="shared" si="39"/>
        <v>0</v>
      </c>
      <c r="CX12" s="30">
        <f t="shared" si="39"/>
        <v>0</v>
      </c>
      <c r="CY12" s="30">
        <f t="shared" si="39"/>
        <v>0</v>
      </c>
      <c r="CZ12" s="30">
        <f t="shared" si="39"/>
        <v>0</v>
      </c>
      <c r="DA12" s="30">
        <f t="shared" si="39"/>
        <v>0</v>
      </c>
      <c r="DB12" s="30">
        <f t="shared" si="39"/>
        <v>0</v>
      </c>
      <c r="DC12" s="30">
        <f t="shared" si="39"/>
        <v>0</v>
      </c>
      <c r="DD12" s="30">
        <f t="shared" si="39"/>
        <v>0</v>
      </c>
      <c r="DE12" s="30">
        <f t="shared" si="39"/>
        <v>0</v>
      </c>
      <c r="DF12" s="30">
        <f t="shared" si="39"/>
        <v>0</v>
      </c>
      <c r="DG12" s="30">
        <f t="shared" si="39"/>
        <v>0</v>
      </c>
      <c r="DH12" s="30">
        <f t="shared" si="39"/>
        <v>0</v>
      </c>
      <c r="DI12" s="30">
        <f t="shared" si="39"/>
        <v>0</v>
      </c>
      <c r="DJ12" s="30">
        <f t="shared" si="39"/>
        <v>0</v>
      </c>
      <c r="DK12" s="30">
        <f t="shared" si="39"/>
        <v>0</v>
      </c>
      <c r="DL12" s="30">
        <f t="shared" si="39"/>
        <v>0</v>
      </c>
      <c r="DM12" s="30">
        <f t="shared" si="39"/>
        <v>0</v>
      </c>
      <c r="DN12" s="30">
        <f t="shared" si="39"/>
        <v>0</v>
      </c>
      <c r="DO12" s="30">
        <f t="shared" ref="DO12:DQ12" si="40">IF((DO10-DO11)&gt;0,(DO10-DO11),0)</f>
        <v>0</v>
      </c>
      <c r="DP12" s="30">
        <f t="shared" si="40"/>
        <v>0</v>
      </c>
      <c r="DQ12" s="30">
        <f t="shared" si="40"/>
        <v>0</v>
      </c>
    </row>
    <row r="13" spans="1:121" x14ac:dyDescent="0.25">
      <c r="A13" s="38" t="s">
        <v>33</v>
      </c>
      <c r="B13" s="30">
        <f>B9-B11</f>
        <v>9763888.8888888881</v>
      </c>
      <c r="C13" s="30">
        <f t="shared" ref="C13:BN13" si="41">C9-C11</f>
        <v>23670833.333333332</v>
      </c>
      <c r="D13" s="30">
        <f t="shared" si="41"/>
        <v>7177777.6666666716</v>
      </c>
      <c r="E13" s="30">
        <f t="shared" si="41"/>
        <v>21084722.111111104</v>
      </c>
      <c r="F13" s="30">
        <f t="shared" si="41"/>
        <v>34543055.44444444</v>
      </c>
      <c r="G13" s="30">
        <f t="shared" si="41"/>
        <v>7626388.8888888955</v>
      </c>
      <c r="H13" s="30">
        <f t="shared" si="41"/>
        <v>21533333.333333328</v>
      </c>
      <c r="I13" s="30">
        <f t="shared" si="41"/>
        <v>34543055.555555552</v>
      </c>
      <c r="J13" s="30">
        <f t="shared" si="41"/>
        <v>7626389</v>
      </c>
      <c r="K13" s="30">
        <f t="shared" si="41"/>
        <v>21084722.333333328</v>
      </c>
      <c r="L13" s="30">
        <f t="shared" si="41"/>
        <v>34991666.777777791</v>
      </c>
      <c r="M13" s="30">
        <f t="shared" si="41"/>
        <v>7177778.1111111045</v>
      </c>
      <c r="N13" s="30">
        <f t="shared" si="41"/>
        <v>21084722.555555552</v>
      </c>
      <c r="O13" s="30">
        <f t="shared" si="41"/>
        <v>34543055.888888896</v>
      </c>
      <c r="P13" s="30">
        <f t="shared" si="41"/>
        <v>6800000.8888888955</v>
      </c>
      <c r="Q13" s="30">
        <f t="shared" si="41"/>
        <v>19975000.888888896</v>
      </c>
      <c r="R13" s="30">
        <f t="shared" si="41"/>
        <v>32725000.888888896</v>
      </c>
      <c r="S13" s="30">
        <f t="shared" si="41"/>
        <v>7225000</v>
      </c>
      <c r="T13" s="30">
        <f t="shared" si="41"/>
        <v>20400000</v>
      </c>
      <c r="U13" s="30">
        <f t="shared" si="41"/>
        <v>32300000</v>
      </c>
      <c r="V13" s="30">
        <f t="shared" si="41"/>
        <v>7011140</v>
      </c>
      <c r="W13" s="30">
        <f t="shared" si="41"/>
        <v>19383740</v>
      </c>
      <c r="X13" s="30">
        <f t="shared" si="41"/>
        <v>32168760</v>
      </c>
      <c r="Y13" s="30">
        <f t="shared" si="41"/>
        <v>6397440</v>
      </c>
      <c r="Z13" s="30">
        <f t="shared" si="41"/>
        <v>18792480</v>
      </c>
      <c r="AA13" s="30">
        <f t="shared" si="41"/>
        <v>31187520</v>
      </c>
      <c r="AB13" s="30">
        <f t="shared" si="41"/>
        <v>6197520</v>
      </c>
      <c r="AC13" s="30">
        <f t="shared" si="41"/>
        <v>18205215</v>
      </c>
      <c r="AD13" s="30">
        <f t="shared" si="41"/>
        <v>29825565</v>
      </c>
      <c r="AE13" s="30">
        <f t="shared" si="41"/>
        <v>6372450</v>
      </c>
      <c r="AF13" s="30">
        <f t="shared" si="41"/>
        <v>17992800</v>
      </c>
      <c r="AG13" s="30">
        <f t="shared" si="41"/>
        <v>28488600</v>
      </c>
      <c r="AH13" s="30">
        <f t="shared" si="41"/>
        <v>6160035</v>
      </c>
      <c r="AI13" s="30">
        <f t="shared" si="41"/>
        <v>17030685</v>
      </c>
      <c r="AJ13" s="30">
        <f t="shared" si="41"/>
        <v>28263690</v>
      </c>
      <c r="AK13" s="30">
        <f t="shared" si="41"/>
        <v>5597760</v>
      </c>
      <c r="AL13" s="30">
        <f t="shared" si="41"/>
        <v>16443420</v>
      </c>
      <c r="AM13" s="30">
        <f t="shared" si="41"/>
        <v>27289080</v>
      </c>
      <c r="AN13" s="30">
        <f t="shared" si="41"/>
        <v>5397840</v>
      </c>
      <c r="AO13" s="30">
        <f t="shared" si="41"/>
        <v>15856155</v>
      </c>
      <c r="AP13" s="30">
        <f t="shared" si="41"/>
        <v>25977105</v>
      </c>
      <c r="AQ13" s="30">
        <f t="shared" si="41"/>
        <v>5522790</v>
      </c>
      <c r="AR13" s="30">
        <f t="shared" si="41"/>
        <v>15593760</v>
      </c>
      <c r="AS13" s="30">
        <f t="shared" si="41"/>
        <v>24690120</v>
      </c>
      <c r="AT13" s="30">
        <f t="shared" si="41"/>
        <v>5310375</v>
      </c>
      <c r="AU13" s="30">
        <f t="shared" si="41"/>
        <v>14681625</v>
      </c>
      <c r="AV13" s="30">
        <f t="shared" si="41"/>
        <v>24365250</v>
      </c>
      <c r="AW13" s="30">
        <f t="shared" si="41"/>
        <v>4798080</v>
      </c>
      <c r="AX13" s="30">
        <f t="shared" si="41"/>
        <v>14094360</v>
      </c>
      <c r="AY13" s="30">
        <f t="shared" si="41"/>
        <v>23390640</v>
      </c>
      <c r="AZ13" s="30">
        <f t="shared" si="41"/>
        <v>4885545</v>
      </c>
      <c r="BA13" s="30">
        <f t="shared" si="41"/>
        <v>13794480</v>
      </c>
      <c r="BB13" s="30">
        <f t="shared" si="41"/>
        <v>22416030</v>
      </c>
      <c r="BC13" s="30">
        <f t="shared" si="41"/>
        <v>4948020</v>
      </c>
      <c r="BD13" s="30">
        <f t="shared" si="41"/>
        <v>13469610</v>
      </c>
      <c r="BE13" s="30">
        <f t="shared" si="41"/>
        <v>21441420</v>
      </c>
      <c r="BF13" s="30">
        <f t="shared" si="41"/>
        <v>4723110</v>
      </c>
      <c r="BG13" s="30">
        <f t="shared" si="41"/>
        <v>12594960</v>
      </c>
      <c r="BH13" s="30">
        <f t="shared" si="41"/>
        <v>20729205</v>
      </c>
      <c r="BI13" s="30">
        <f t="shared" si="41"/>
        <v>4498200</v>
      </c>
      <c r="BJ13" s="30">
        <f t="shared" si="41"/>
        <v>12245100</v>
      </c>
      <c r="BK13" s="30">
        <f t="shared" si="41"/>
        <v>19992000</v>
      </c>
      <c r="BL13" s="30">
        <f t="shared" si="41"/>
        <v>3798480</v>
      </c>
      <c r="BM13" s="30">
        <f t="shared" si="41"/>
        <v>11158035</v>
      </c>
      <c r="BN13" s="30">
        <f t="shared" si="41"/>
        <v>18280185</v>
      </c>
      <c r="BO13" s="30">
        <f t="shared" ref="BO13:CF13" si="42">BO9-BO11</f>
        <v>3823470</v>
      </c>
      <c r="BP13" s="30">
        <f t="shared" si="42"/>
        <v>10795680</v>
      </c>
      <c r="BQ13" s="30">
        <f t="shared" si="42"/>
        <v>17093160</v>
      </c>
      <c r="BR13" s="30">
        <f t="shared" si="42"/>
        <v>4035885</v>
      </c>
      <c r="BS13" s="30">
        <f t="shared" si="42"/>
        <v>10408335</v>
      </c>
      <c r="BT13" s="30">
        <f t="shared" si="42"/>
        <v>16993200</v>
      </c>
      <c r="BU13" s="30">
        <f t="shared" si="42"/>
        <v>3198720</v>
      </c>
      <c r="BV13" s="30">
        <f t="shared" si="42"/>
        <v>9396240</v>
      </c>
      <c r="BW13" s="30">
        <f t="shared" si="42"/>
        <v>15593760</v>
      </c>
      <c r="BX13" s="30">
        <f t="shared" si="42"/>
        <v>2998800</v>
      </c>
      <c r="BY13" s="30">
        <f t="shared" si="42"/>
        <v>8808975</v>
      </c>
      <c r="BZ13" s="30">
        <f t="shared" si="42"/>
        <v>14431725</v>
      </c>
      <c r="CA13" s="30">
        <f t="shared" si="42"/>
        <v>2973810</v>
      </c>
      <c r="CB13" s="30">
        <f t="shared" si="42"/>
        <v>8396640</v>
      </c>
      <c r="CC13" s="30">
        <f t="shared" si="42"/>
        <v>13294680</v>
      </c>
      <c r="CD13" s="30">
        <f t="shared" si="42"/>
        <v>2761395</v>
      </c>
      <c r="CE13" s="30">
        <f t="shared" si="42"/>
        <v>7634445</v>
      </c>
      <c r="CF13" s="30">
        <f t="shared" si="42"/>
        <v>12669930</v>
      </c>
      <c r="CG13" s="30">
        <f>CG9-CG11</f>
        <v>2399040</v>
      </c>
      <c r="CH13" s="30">
        <f>CH9-CH11</f>
        <v>7047180</v>
      </c>
      <c r="CI13" s="30">
        <f t="shared" ref="CI13:CT13" si="43">CI9-CI11</f>
        <v>11695320</v>
      </c>
      <c r="CJ13" s="30">
        <f t="shared" si="43"/>
        <v>2199120</v>
      </c>
      <c r="CK13" s="30">
        <f t="shared" si="43"/>
        <v>6459915</v>
      </c>
      <c r="CL13" s="30">
        <f t="shared" si="43"/>
        <v>10583265</v>
      </c>
      <c r="CM13" s="30">
        <f t="shared" si="43"/>
        <v>2124150</v>
      </c>
      <c r="CN13" s="30">
        <f t="shared" si="43"/>
        <v>5997600</v>
      </c>
      <c r="CO13" s="30">
        <f t="shared" si="43"/>
        <v>9496200</v>
      </c>
      <c r="CP13" s="30">
        <f t="shared" si="43"/>
        <v>1911735</v>
      </c>
      <c r="CQ13" s="30">
        <f t="shared" si="43"/>
        <v>5285385</v>
      </c>
      <c r="CR13" s="30">
        <f t="shared" si="43"/>
        <v>8771490</v>
      </c>
      <c r="CS13" s="30">
        <f t="shared" si="43"/>
        <v>1599360</v>
      </c>
      <c r="CT13" s="30">
        <f t="shared" si="43"/>
        <v>4698120</v>
      </c>
      <c r="CU13" s="30">
        <f t="shared" ref="CU13:DN13" si="44">CU9-CU11</f>
        <v>7796880</v>
      </c>
      <c r="CV13" s="30">
        <f t="shared" si="44"/>
        <v>1399440</v>
      </c>
      <c r="CW13" s="30">
        <f t="shared" si="44"/>
        <v>4110855</v>
      </c>
      <c r="CX13" s="30">
        <f t="shared" si="44"/>
        <v>6734805</v>
      </c>
      <c r="CY13" s="30">
        <f t="shared" si="44"/>
        <v>1274490</v>
      </c>
      <c r="CZ13" s="30">
        <f t="shared" si="44"/>
        <v>3598560</v>
      </c>
      <c r="DA13" s="30">
        <f t="shared" si="44"/>
        <v>5772690</v>
      </c>
      <c r="DB13" s="30">
        <f t="shared" si="44"/>
        <v>1062075</v>
      </c>
      <c r="DC13" s="30">
        <f t="shared" si="44"/>
        <v>2936325</v>
      </c>
      <c r="DD13" s="30">
        <f t="shared" si="44"/>
        <v>4873050</v>
      </c>
      <c r="DE13" s="30">
        <f t="shared" si="44"/>
        <v>799680</v>
      </c>
      <c r="DF13" s="30">
        <f t="shared" si="44"/>
        <v>2349060</v>
      </c>
      <c r="DG13" s="30">
        <f t="shared" si="44"/>
        <v>3898440</v>
      </c>
      <c r="DH13" s="30">
        <f t="shared" si="44"/>
        <v>637245</v>
      </c>
      <c r="DI13" s="30">
        <f t="shared" si="44"/>
        <v>1799280</v>
      </c>
      <c r="DJ13" s="30">
        <f t="shared" si="44"/>
        <v>2923830</v>
      </c>
      <c r="DK13" s="30">
        <f t="shared" si="44"/>
        <v>449820</v>
      </c>
      <c r="DL13" s="30">
        <f t="shared" si="44"/>
        <v>1224510</v>
      </c>
      <c r="DM13" s="30">
        <f t="shared" si="44"/>
        <v>1924230</v>
      </c>
      <c r="DN13" s="30">
        <f t="shared" si="44"/>
        <v>212415</v>
      </c>
      <c r="DO13" s="30">
        <f t="shared" ref="DO13:DQ13" si="45">DO9-DO11</f>
        <v>587265</v>
      </c>
      <c r="DP13" s="30">
        <f t="shared" si="45"/>
        <v>974610</v>
      </c>
      <c r="DQ13" s="30">
        <f t="shared" si="45"/>
        <v>0</v>
      </c>
    </row>
    <row r="14" spans="1:121" x14ac:dyDescent="0.25">
      <c r="A14" s="38" t="s">
        <v>34</v>
      </c>
      <c r="B14" s="30">
        <f t="shared" ref="B14:BD14" si="46">B28</f>
        <v>0</v>
      </c>
      <c r="C14" s="30">
        <f t="shared" si="46"/>
        <v>0</v>
      </c>
      <c r="D14" s="30">
        <f t="shared" si="46"/>
        <v>0</v>
      </c>
      <c r="E14" s="30">
        <f t="shared" si="46"/>
        <v>0</v>
      </c>
      <c r="F14" s="30">
        <f t="shared" si="46"/>
        <v>0</v>
      </c>
      <c r="G14" s="30">
        <f t="shared" si="46"/>
        <v>0</v>
      </c>
      <c r="H14" s="30">
        <f t="shared" si="46"/>
        <v>0</v>
      </c>
      <c r="I14" s="30">
        <f t="shared" si="46"/>
        <v>0</v>
      </c>
      <c r="J14" s="30">
        <f t="shared" si="46"/>
        <v>0</v>
      </c>
      <c r="K14" s="30">
        <f t="shared" si="46"/>
        <v>0</v>
      </c>
      <c r="L14" s="30">
        <f t="shared" si="46"/>
        <v>0</v>
      </c>
      <c r="M14" s="30">
        <f t="shared" si="46"/>
        <v>0</v>
      </c>
      <c r="N14" s="30">
        <f t="shared" si="46"/>
        <v>0</v>
      </c>
      <c r="O14" s="30">
        <f t="shared" si="46"/>
        <v>0</v>
      </c>
      <c r="P14" s="30">
        <f t="shared" si="46"/>
        <v>0</v>
      </c>
      <c r="Q14" s="30">
        <f t="shared" si="46"/>
        <v>0</v>
      </c>
      <c r="R14" s="30">
        <f t="shared" si="46"/>
        <v>0</v>
      </c>
      <c r="S14" s="30">
        <f t="shared" si="46"/>
        <v>0</v>
      </c>
      <c r="T14" s="30">
        <f t="shared" si="46"/>
        <v>0</v>
      </c>
      <c r="U14" s="30">
        <f t="shared" si="46"/>
        <v>0</v>
      </c>
      <c r="V14" s="30">
        <f t="shared" si="46"/>
        <v>0</v>
      </c>
      <c r="W14" s="30">
        <f t="shared" si="46"/>
        <v>0</v>
      </c>
      <c r="X14" s="30">
        <f t="shared" si="46"/>
        <v>0</v>
      </c>
      <c r="Y14" s="30">
        <f t="shared" si="46"/>
        <v>0</v>
      </c>
      <c r="Z14" s="30">
        <f t="shared" si="46"/>
        <v>0</v>
      </c>
      <c r="AA14" s="30">
        <f t="shared" si="46"/>
        <v>0</v>
      </c>
      <c r="AB14" s="30">
        <f t="shared" si="46"/>
        <v>0</v>
      </c>
      <c r="AC14" s="30">
        <f t="shared" si="46"/>
        <v>0</v>
      </c>
      <c r="AD14" s="30">
        <f t="shared" si="46"/>
        <v>0</v>
      </c>
      <c r="AE14" s="30">
        <f t="shared" si="46"/>
        <v>0</v>
      </c>
      <c r="AF14" s="30">
        <f t="shared" si="46"/>
        <v>0</v>
      </c>
      <c r="AG14" s="30">
        <f t="shared" si="46"/>
        <v>0</v>
      </c>
      <c r="AH14" s="30">
        <f t="shared" si="46"/>
        <v>0</v>
      </c>
      <c r="AI14" s="30">
        <f t="shared" si="46"/>
        <v>0</v>
      </c>
      <c r="AJ14" s="30">
        <f t="shared" si="46"/>
        <v>0</v>
      </c>
      <c r="AK14" s="30">
        <f t="shared" si="46"/>
        <v>0</v>
      </c>
      <c r="AL14" s="30">
        <f t="shared" si="46"/>
        <v>0</v>
      </c>
      <c r="AM14" s="30">
        <f t="shared" si="46"/>
        <v>0</v>
      </c>
      <c r="AN14" s="30">
        <f t="shared" si="46"/>
        <v>0</v>
      </c>
      <c r="AO14" s="30">
        <f t="shared" si="46"/>
        <v>0</v>
      </c>
      <c r="AP14" s="30">
        <f t="shared" si="46"/>
        <v>0</v>
      </c>
      <c r="AQ14" s="30">
        <f t="shared" si="46"/>
        <v>0</v>
      </c>
      <c r="AR14" s="30">
        <f t="shared" si="46"/>
        <v>0</v>
      </c>
      <c r="AS14" s="30">
        <f t="shared" si="46"/>
        <v>0</v>
      </c>
      <c r="AT14" s="30">
        <f t="shared" si="46"/>
        <v>0</v>
      </c>
      <c r="AU14" s="30">
        <f t="shared" si="46"/>
        <v>0</v>
      </c>
      <c r="AV14" s="30">
        <f t="shared" si="46"/>
        <v>0</v>
      </c>
      <c r="AW14" s="30">
        <f t="shared" si="46"/>
        <v>0</v>
      </c>
      <c r="AX14" s="30">
        <f t="shared" si="46"/>
        <v>0</v>
      </c>
      <c r="AY14" s="30">
        <f t="shared" si="46"/>
        <v>0</v>
      </c>
      <c r="AZ14" s="30">
        <f t="shared" si="46"/>
        <v>0</v>
      </c>
      <c r="BA14" s="30">
        <f t="shared" si="46"/>
        <v>0</v>
      </c>
      <c r="BB14" s="30">
        <f t="shared" si="46"/>
        <v>0</v>
      </c>
      <c r="BC14" s="30">
        <f t="shared" si="46"/>
        <v>0</v>
      </c>
      <c r="BD14" s="30">
        <f t="shared" si="46"/>
        <v>0</v>
      </c>
      <c r="BE14" s="30">
        <f t="shared" ref="BE14:BS14" si="47">BE28</f>
        <v>0</v>
      </c>
      <c r="BF14" s="30">
        <f t="shared" si="47"/>
        <v>0</v>
      </c>
      <c r="BG14" s="30">
        <f t="shared" si="47"/>
        <v>0</v>
      </c>
      <c r="BH14" s="30">
        <f t="shared" si="47"/>
        <v>0</v>
      </c>
      <c r="BI14" s="30">
        <f t="shared" si="47"/>
        <v>0</v>
      </c>
      <c r="BJ14" s="30">
        <f t="shared" si="47"/>
        <v>0</v>
      </c>
      <c r="BK14" s="30">
        <f t="shared" si="47"/>
        <v>0</v>
      </c>
      <c r="BL14" s="30">
        <f t="shared" si="47"/>
        <v>0</v>
      </c>
      <c r="BM14" s="30">
        <f t="shared" si="47"/>
        <v>0</v>
      </c>
      <c r="BN14" s="30">
        <f t="shared" si="47"/>
        <v>0</v>
      </c>
      <c r="BO14" s="30">
        <f t="shared" si="47"/>
        <v>0</v>
      </c>
      <c r="BP14" s="30">
        <f t="shared" si="47"/>
        <v>0</v>
      </c>
      <c r="BQ14" s="30">
        <f t="shared" si="47"/>
        <v>0</v>
      </c>
      <c r="BR14" s="30">
        <f t="shared" si="47"/>
        <v>0</v>
      </c>
      <c r="BS14" s="30">
        <f t="shared" si="47"/>
        <v>0</v>
      </c>
      <c r="BT14" s="30">
        <f t="shared" ref="BT14:CF14" si="48">BT28</f>
        <v>0</v>
      </c>
      <c r="BU14" s="30">
        <f t="shared" si="48"/>
        <v>0</v>
      </c>
      <c r="BV14" s="30">
        <f t="shared" si="48"/>
        <v>0</v>
      </c>
      <c r="BW14" s="30">
        <f t="shared" si="48"/>
        <v>0</v>
      </c>
      <c r="BX14" s="30">
        <f t="shared" si="48"/>
        <v>0</v>
      </c>
      <c r="BY14" s="30">
        <f t="shared" si="48"/>
        <v>0</v>
      </c>
      <c r="BZ14" s="30">
        <f t="shared" si="48"/>
        <v>0</v>
      </c>
      <c r="CA14" s="30">
        <f t="shared" si="48"/>
        <v>0</v>
      </c>
      <c r="CB14" s="30">
        <f t="shared" si="48"/>
        <v>0</v>
      </c>
      <c r="CC14" s="30">
        <f t="shared" si="48"/>
        <v>0</v>
      </c>
      <c r="CD14" s="30">
        <f t="shared" si="48"/>
        <v>0</v>
      </c>
      <c r="CE14" s="30">
        <f t="shared" si="48"/>
        <v>0</v>
      </c>
      <c r="CF14" s="30">
        <f t="shared" si="48"/>
        <v>0</v>
      </c>
      <c r="CG14" s="30">
        <f>CG28</f>
        <v>0</v>
      </c>
      <c r="CH14" s="30">
        <f>CH28</f>
        <v>0</v>
      </c>
      <c r="CI14" s="30">
        <f t="shared" ref="CI14:CT14" si="49">CI28</f>
        <v>0</v>
      </c>
      <c r="CJ14" s="30">
        <f t="shared" si="49"/>
        <v>0</v>
      </c>
      <c r="CK14" s="30">
        <f t="shared" si="49"/>
        <v>0</v>
      </c>
      <c r="CL14" s="30">
        <f t="shared" si="49"/>
        <v>0</v>
      </c>
      <c r="CM14" s="30">
        <f t="shared" si="49"/>
        <v>0</v>
      </c>
      <c r="CN14" s="30">
        <f t="shared" si="49"/>
        <v>0</v>
      </c>
      <c r="CO14" s="30">
        <f t="shared" si="49"/>
        <v>0</v>
      </c>
      <c r="CP14" s="30">
        <f t="shared" si="49"/>
        <v>0</v>
      </c>
      <c r="CQ14" s="30">
        <f t="shared" si="49"/>
        <v>0</v>
      </c>
      <c r="CR14" s="30">
        <f t="shared" si="49"/>
        <v>0</v>
      </c>
      <c r="CS14" s="30">
        <f t="shared" si="49"/>
        <v>0</v>
      </c>
      <c r="CT14" s="30">
        <f t="shared" si="49"/>
        <v>0</v>
      </c>
      <c r="CU14" s="30">
        <f t="shared" ref="CU14:DN14" si="50">CU28</f>
        <v>0</v>
      </c>
      <c r="CV14" s="30">
        <f t="shared" si="50"/>
        <v>0</v>
      </c>
      <c r="CW14" s="30">
        <f t="shared" si="50"/>
        <v>0</v>
      </c>
      <c r="CX14" s="30">
        <f t="shared" si="50"/>
        <v>0</v>
      </c>
      <c r="CY14" s="30">
        <f t="shared" si="50"/>
        <v>0</v>
      </c>
      <c r="CZ14" s="30">
        <f t="shared" si="50"/>
        <v>0</v>
      </c>
      <c r="DA14" s="30">
        <f t="shared" si="50"/>
        <v>0</v>
      </c>
      <c r="DB14" s="30">
        <f t="shared" si="50"/>
        <v>0</v>
      </c>
      <c r="DC14" s="30">
        <f t="shared" si="50"/>
        <v>0</v>
      </c>
      <c r="DD14" s="30">
        <f t="shared" si="50"/>
        <v>0</v>
      </c>
      <c r="DE14" s="30">
        <f t="shared" si="50"/>
        <v>0</v>
      </c>
      <c r="DF14" s="30">
        <f t="shared" si="50"/>
        <v>0</v>
      </c>
      <c r="DG14" s="30">
        <f t="shared" si="50"/>
        <v>0</v>
      </c>
      <c r="DH14" s="30">
        <f t="shared" si="50"/>
        <v>0</v>
      </c>
      <c r="DI14" s="30">
        <f t="shared" si="50"/>
        <v>0</v>
      </c>
      <c r="DJ14" s="30">
        <f t="shared" si="50"/>
        <v>0</v>
      </c>
      <c r="DK14" s="30">
        <f t="shared" si="50"/>
        <v>0</v>
      </c>
      <c r="DL14" s="30">
        <f t="shared" si="50"/>
        <v>0</v>
      </c>
      <c r="DM14" s="30">
        <f t="shared" si="50"/>
        <v>0</v>
      </c>
      <c r="DN14" s="30">
        <f t="shared" si="50"/>
        <v>0</v>
      </c>
      <c r="DO14" s="30">
        <f t="shared" ref="DO14:DQ14" si="51">DO28</f>
        <v>0</v>
      </c>
      <c r="DP14" s="30">
        <f t="shared" si="51"/>
        <v>0</v>
      </c>
      <c r="DQ14" s="30">
        <f t="shared" si="51"/>
        <v>0</v>
      </c>
    </row>
    <row r="15" spans="1:121" x14ac:dyDescent="0.25">
      <c r="A15" s="4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</row>
    <row r="16" spans="1:121" x14ac:dyDescent="0.25">
      <c r="A16" s="4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</row>
    <row r="17" spans="1:121" x14ac:dyDescent="0.25"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</row>
    <row r="18" spans="1:121" x14ac:dyDescent="0.25"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</row>
    <row r="19" spans="1:121" ht="15" x14ac:dyDescent="0.3">
      <c r="B19" s="28">
        <f>B1</f>
        <v>43678</v>
      </c>
      <c r="C19" s="28">
        <f t="shared" ref="C19:BN19" si="52">C1</f>
        <v>43709</v>
      </c>
      <c r="D19" s="28">
        <f t="shared" si="52"/>
        <v>43739</v>
      </c>
      <c r="E19" s="28">
        <f t="shared" si="52"/>
        <v>43770</v>
      </c>
      <c r="F19" s="28">
        <f t="shared" si="52"/>
        <v>43800</v>
      </c>
      <c r="G19" s="28">
        <f t="shared" si="52"/>
        <v>43831</v>
      </c>
      <c r="H19" s="28">
        <f t="shared" si="52"/>
        <v>43862</v>
      </c>
      <c r="I19" s="28">
        <f t="shared" si="52"/>
        <v>43891</v>
      </c>
      <c r="J19" s="28">
        <f t="shared" si="52"/>
        <v>43922</v>
      </c>
      <c r="K19" s="28">
        <f t="shared" si="52"/>
        <v>43952</v>
      </c>
      <c r="L19" s="28">
        <f t="shared" si="52"/>
        <v>43983</v>
      </c>
      <c r="M19" s="28">
        <f t="shared" si="52"/>
        <v>44013</v>
      </c>
      <c r="N19" s="28">
        <f t="shared" si="52"/>
        <v>44044</v>
      </c>
      <c r="O19" s="28">
        <f t="shared" si="52"/>
        <v>44075</v>
      </c>
      <c r="P19" s="28">
        <f t="shared" si="52"/>
        <v>44105</v>
      </c>
      <c r="Q19" s="28">
        <f t="shared" si="52"/>
        <v>44136</v>
      </c>
      <c r="R19" s="28">
        <f t="shared" si="52"/>
        <v>44166</v>
      </c>
      <c r="S19" s="28">
        <f t="shared" si="52"/>
        <v>44197</v>
      </c>
      <c r="T19" s="28">
        <f t="shared" si="52"/>
        <v>44228</v>
      </c>
      <c r="U19" s="28">
        <f t="shared" si="52"/>
        <v>44256</v>
      </c>
      <c r="V19" s="28">
        <f t="shared" si="52"/>
        <v>44287</v>
      </c>
      <c r="W19" s="28">
        <f t="shared" si="52"/>
        <v>44317</v>
      </c>
      <c r="X19" s="28">
        <f t="shared" si="52"/>
        <v>44348</v>
      </c>
      <c r="Y19" s="28">
        <f t="shared" si="52"/>
        <v>44378</v>
      </c>
      <c r="Z19" s="28">
        <f t="shared" si="52"/>
        <v>44409</v>
      </c>
      <c r="AA19" s="28">
        <f t="shared" si="52"/>
        <v>44440</v>
      </c>
      <c r="AB19" s="28">
        <f t="shared" si="52"/>
        <v>44470</v>
      </c>
      <c r="AC19" s="28">
        <f t="shared" si="52"/>
        <v>44501</v>
      </c>
      <c r="AD19" s="28">
        <f t="shared" si="52"/>
        <v>44531</v>
      </c>
      <c r="AE19" s="28">
        <f t="shared" si="52"/>
        <v>44562</v>
      </c>
      <c r="AF19" s="28">
        <f t="shared" si="52"/>
        <v>44593</v>
      </c>
      <c r="AG19" s="28">
        <f t="shared" si="52"/>
        <v>44621</v>
      </c>
      <c r="AH19" s="28">
        <f t="shared" si="52"/>
        <v>44652</v>
      </c>
      <c r="AI19" s="28">
        <f t="shared" si="52"/>
        <v>44682</v>
      </c>
      <c r="AJ19" s="28">
        <f t="shared" si="52"/>
        <v>44713</v>
      </c>
      <c r="AK19" s="28">
        <f t="shared" si="52"/>
        <v>44743</v>
      </c>
      <c r="AL19" s="28">
        <f t="shared" si="52"/>
        <v>44774</v>
      </c>
      <c r="AM19" s="28">
        <f t="shared" si="52"/>
        <v>44805</v>
      </c>
      <c r="AN19" s="28">
        <f t="shared" si="52"/>
        <v>44835</v>
      </c>
      <c r="AO19" s="28">
        <f t="shared" si="52"/>
        <v>44866</v>
      </c>
      <c r="AP19" s="28">
        <f t="shared" si="52"/>
        <v>44896</v>
      </c>
      <c r="AQ19" s="28">
        <f t="shared" si="52"/>
        <v>44927</v>
      </c>
      <c r="AR19" s="28">
        <f t="shared" si="52"/>
        <v>44958</v>
      </c>
      <c r="AS19" s="28">
        <f t="shared" si="52"/>
        <v>44986</v>
      </c>
      <c r="AT19" s="28">
        <f t="shared" si="52"/>
        <v>45017</v>
      </c>
      <c r="AU19" s="28">
        <f t="shared" si="52"/>
        <v>45047</v>
      </c>
      <c r="AV19" s="28">
        <f t="shared" si="52"/>
        <v>45078</v>
      </c>
      <c r="AW19" s="28">
        <f t="shared" si="52"/>
        <v>45108</v>
      </c>
      <c r="AX19" s="28">
        <f t="shared" si="52"/>
        <v>45139</v>
      </c>
      <c r="AY19" s="28">
        <f t="shared" si="52"/>
        <v>45170</v>
      </c>
      <c r="AZ19" s="28">
        <f t="shared" si="52"/>
        <v>45200</v>
      </c>
      <c r="BA19" s="28">
        <f t="shared" si="52"/>
        <v>45231</v>
      </c>
      <c r="BB19" s="28">
        <f t="shared" si="52"/>
        <v>45261</v>
      </c>
      <c r="BC19" s="28">
        <f t="shared" si="52"/>
        <v>45292</v>
      </c>
      <c r="BD19" s="28">
        <f t="shared" si="52"/>
        <v>45323</v>
      </c>
      <c r="BE19" s="28">
        <f t="shared" si="52"/>
        <v>45352</v>
      </c>
      <c r="BF19" s="28">
        <f t="shared" si="52"/>
        <v>45383</v>
      </c>
      <c r="BG19" s="28">
        <f t="shared" si="52"/>
        <v>45413</v>
      </c>
      <c r="BH19" s="28">
        <f t="shared" si="52"/>
        <v>45444</v>
      </c>
      <c r="BI19" s="28">
        <f t="shared" si="52"/>
        <v>45474</v>
      </c>
      <c r="BJ19" s="28">
        <f t="shared" si="52"/>
        <v>45505</v>
      </c>
      <c r="BK19" s="28">
        <f t="shared" si="52"/>
        <v>45536</v>
      </c>
      <c r="BL19" s="28">
        <f t="shared" si="52"/>
        <v>45566</v>
      </c>
      <c r="BM19" s="28">
        <f t="shared" si="52"/>
        <v>45597</v>
      </c>
      <c r="BN19" s="28">
        <f t="shared" si="52"/>
        <v>45627</v>
      </c>
      <c r="BO19" s="28">
        <f t="shared" ref="BO19:CT19" si="53">BO1</f>
        <v>45658</v>
      </c>
      <c r="BP19" s="28">
        <f t="shared" si="53"/>
        <v>45689</v>
      </c>
      <c r="BQ19" s="28">
        <f t="shared" si="53"/>
        <v>45717</v>
      </c>
      <c r="BR19" s="28">
        <f t="shared" si="53"/>
        <v>45748</v>
      </c>
      <c r="BS19" s="28">
        <f t="shared" si="53"/>
        <v>45778</v>
      </c>
      <c r="BT19" s="28">
        <f t="shared" si="53"/>
        <v>45809</v>
      </c>
      <c r="BU19" s="28">
        <f t="shared" si="53"/>
        <v>45839</v>
      </c>
      <c r="BV19" s="28">
        <f t="shared" si="53"/>
        <v>45870</v>
      </c>
      <c r="BW19" s="28">
        <f t="shared" si="53"/>
        <v>45901</v>
      </c>
      <c r="BX19" s="28">
        <f t="shared" si="53"/>
        <v>45931</v>
      </c>
      <c r="BY19" s="28">
        <f t="shared" si="53"/>
        <v>45962</v>
      </c>
      <c r="BZ19" s="28">
        <f t="shared" si="53"/>
        <v>45992</v>
      </c>
      <c r="CA19" s="28">
        <f t="shared" si="53"/>
        <v>46023</v>
      </c>
      <c r="CB19" s="28">
        <f t="shared" si="53"/>
        <v>46054</v>
      </c>
      <c r="CC19" s="28">
        <f t="shared" si="53"/>
        <v>46082</v>
      </c>
      <c r="CD19" s="28">
        <f t="shared" si="53"/>
        <v>46113</v>
      </c>
      <c r="CE19" s="28">
        <f t="shared" si="53"/>
        <v>46143</v>
      </c>
      <c r="CF19" s="28">
        <f t="shared" si="53"/>
        <v>46174</v>
      </c>
      <c r="CG19" s="28">
        <f t="shared" si="53"/>
        <v>46204</v>
      </c>
      <c r="CH19" s="28">
        <f t="shared" si="53"/>
        <v>46235</v>
      </c>
      <c r="CI19" s="28">
        <f t="shared" si="53"/>
        <v>46266</v>
      </c>
      <c r="CJ19" s="28">
        <f t="shared" si="53"/>
        <v>46296</v>
      </c>
      <c r="CK19" s="28">
        <f t="shared" si="53"/>
        <v>46327</v>
      </c>
      <c r="CL19" s="28">
        <f t="shared" si="53"/>
        <v>46357</v>
      </c>
      <c r="CM19" s="28">
        <f t="shared" si="53"/>
        <v>46388</v>
      </c>
      <c r="CN19" s="28">
        <f t="shared" si="53"/>
        <v>46419</v>
      </c>
      <c r="CO19" s="28">
        <f t="shared" si="53"/>
        <v>46447</v>
      </c>
      <c r="CP19" s="28">
        <f t="shared" si="53"/>
        <v>46478</v>
      </c>
      <c r="CQ19" s="28">
        <f t="shared" si="53"/>
        <v>46508</v>
      </c>
      <c r="CR19" s="28">
        <f t="shared" si="53"/>
        <v>46539</v>
      </c>
      <c r="CS19" s="28">
        <f t="shared" si="53"/>
        <v>46569</v>
      </c>
      <c r="CT19" s="28">
        <f t="shared" si="53"/>
        <v>46600</v>
      </c>
      <c r="CU19" s="28">
        <f t="shared" ref="CU19:DN19" si="54">CU1</f>
        <v>46631</v>
      </c>
      <c r="CV19" s="28">
        <f t="shared" si="54"/>
        <v>46661</v>
      </c>
      <c r="CW19" s="28">
        <f t="shared" si="54"/>
        <v>46692</v>
      </c>
      <c r="CX19" s="28">
        <f t="shared" si="54"/>
        <v>46722</v>
      </c>
      <c r="CY19" s="28">
        <f t="shared" si="54"/>
        <v>46753</v>
      </c>
      <c r="CZ19" s="28">
        <f t="shared" si="54"/>
        <v>46784</v>
      </c>
      <c r="DA19" s="28">
        <f t="shared" si="54"/>
        <v>46813</v>
      </c>
      <c r="DB19" s="28">
        <f t="shared" si="54"/>
        <v>46844</v>
      </c>
      <c r="DC19" s="28">
        <f t="shared" si="54"/>
        <v>46874</v>
      </c>
      <c r="DD19" s="28">
        <f t="shared" si="54"/>
        <v>46905</v>
      </c>
      <c r="DE19" s="28">
        <f t="shared" si="54"/>
        <v>46935</v>
      </c>
      <c r="DF19" s="28">
        <f t="shared" si="54"/>
        <v>46966</v>
      </c>
      <c r="DG19" s="28">
        <f t="shared" si="54"/>
        <v>46997</v>
      </c>
      <c r="DH19" s="28">
        <f t="shared" si="54"/>
        <v>47027</v>
      </c>
      <c r="DI19" s="28">
        <f t="shared" si="54"/>
        <v>47058</v>
      </c>
      <c r="DJ19" s="28">
        <f t="shared" si="54"/>
        <v>47088</v>
      </c>
      <c r="DK19" s="28">
        <f t="shared" si="54"/>
        <v>47119</v>
      </c>
      <c r="DL19" s="28">
        <f t="shared" si="54"/>
        <v>47150</v>
      </c>
      <c r="DM19" s="28">
        <f t="shared" si="54"/>
        <v>47178</v>
      </c>
      <c r="DN19" s="28">
        <f t="shared" si="54"/>
        <v>47209</v>
      </c>
      <c r="DO19" s="28">
        <f t="shared" ref="DO19:DQ19" si="55">DO1</f>
        <v>47239</v>
      </c>
      <c r="DP19" s="28">
        <f t="shared" si="55"/>
        <v>47270</v>
      </c>
      <c r="DQ19" s="28">
        <f t="shared" si="55"/>
        <v>47300</v>
      </c>
    </row>
    <row r="20" spans="1:121" ht="15" x14ac:dyDescent="0.3">
      <c r="A20" s="41" t="s">
        <v>35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</row>
    <row r="21" spans="1:121" x14ac:dyDescent="0.25">
      <c r="A21" s="38" t="s">
        <v>36</v>
      </c>
      <c r="B21" s="42">
        <v>0</v>
      </c>
      <c r="C21" s="42">
        <f t="shared" ref="C21:G21" si="56">C4-B5</f>
        <v>0</v>
      </c>
      <c r="D21" s="42">
        <f t="shared" si="56"/>
        <v>0</v>
      </c>
      <c r="E21" s="42"/>
      <c r="F21" s="42"/>
      <c r="G21" s="42">
        <f t="shared" si="56"/>
        <v>0</v>
      </c>
      <c r="H21" s="42"/>
      <c r="I21" s="42"/>
      <c r="J21" s="42">
        <f t="shared" ref="J21" si="57">J4-I5</f>
        <v>0</v>
      </c>
      <c r="K21" s="42"/>
      <c r="L21" s="42"/>
      <c r="M21" s="42">
        <f t="shared" ref="M21" si="58">M4-L5</f>
        <v>0</v>
      </c>
      <c r="N21" s="42"/>
      <c r="O21" s="42"/>
      <c r="P21" s="42">
        <f t="shared" ref="P21" si="59">P4-O5</f>
        <v>0</v>
      </c>
      <c r="Q21" s="42"/>
      <c r="R21" s="42"/>
      <c r="S21" s="42">
        <f t="shared" ref="S21" si="60">S4-R5</f>
        <v>0</v>
      </c>
      <c r="T21" s="42"/>
      <c r="U21" s="42"/>
      <c r="V21" s="42">
        <f t="shared" ref="V21" si="61">V4-U5</f>
        <v>50320000</v>
      </c>
      <c r="W21" s="42"/>
      <c r="X21" s="42"/>
      <c r="Y21" s="42">
        <f t="shared" ref="Y21" si="62">Y4-X5</f>
        <v>50320000</v>
      </c>
      <c r="Z21" s="42"/>
      <c r="AA21" s="42"/>
      <c r="AB21" s="42">
        <f t="shared" ref="AB21" si="63">AB4-AA5</f>
        <v>49980000</v>
      </c>
      <c r="AC21" s="42"/>
      <c r="AD21" s="42"/>
      <c r="AE21" s="42">
        <f t="shared" ref="AE21" si="64">AE4-AD5</f>
        <v>49980000</v>
      </c>
      <c r="AF21" s="42"/>
      <c r="AG21" s="42"/>
      <c r="AH21" s="42">
        <f t="shared" ref="AH21" si="65">AH4-AG5</f>
        <v>49980000</v>
      </c>
      <c r="AI21" s="42"/>
      <c r="AJ21" s="42"/>
      <c r="AK21" s="42">
        <f t="shared" ref="AK21" si="66">AK4-AJ5</f>
        <v>49980000</v>
      </c>
      <c r="AL21" s="42"/>
      <c r="AM21" s="42"/>
      <c r="AN21" s="42">
        <f t="shared" ref="AN21" si="67">AN4-AM5</f>
        <v>49980000</v>
      </c>
      <c r="AO21" s="42"/>
      <c r="AP21" s="42"/>
      <c r="AQ21" s="42">
        <f t="shared" ref="AQ21" si="68">AQ4-AP5</f>
        <v>49980000</v>
      </c>
      <c r="AR21" s="42"/>
      <c r="AS21" s="42"/>
      <c r="AT21" s="42">
        <f t="shared" ref="AT21" si="69">AT4-AS5</f>
        <v>49980000</v>
      </c>
      <c r="AU21" s="42"/>
      <c r="AV21" s="42"/>
      <c r="AW21" s="42">
        <f t="shared" ref="AW21" si="70">AW4-AV5</f>
        <v>49980000</v>
      </c>
      <c r="AX21" s="42"/>
      <c r="AY21" s="42"/>
      <c r="AZ21" s="42">
        <f t="shared" ref="AZ21" si="71">AZ4-AY5</f>
        <v>49980000</v>
      </c>
      <c r="BA21" s="42"/>
      <c r="BB21" s="42"/>
      <c r="BC21" s="42">
        <f t="shared" ref="BC21" si="72">BC4-BB5</f>
        <v>49980000</v>
      </c>
      <c r="BD21" s="42"/>
      <c r="BE21" s="42"/>
      <c r="BF21" s="42">
        <f t="shared" ref="BF21" si="73">BF4-BE5</f>
        <v>49980000</v>
      </c>
      <c r="BG21" s="42"/>
      <c r="BH21" s="42"/>
      <c r="BI21" s="42">
        <f t="shared" ref="BI21" si="74">BI4-BH5</f>
        <v>49980000</v>
      </c>
      <c r="BJ21" s="42"/>
      <c r="BK21" s="42"/>
      <c r="BL21" s="42">
        <f t="shared" ref="BL21" si="75">BL4-BK5</f>
        <v>49980000</v>
      </c>
      <c r="BM21" s="42"/>
      <c r="BN21" s="42"/>
      <c r="BO21" s="42">
        <f t="shared" ref="BO21" si="76">BO4-BN5</f>
        <v>49980000</v>
      </c>
      <c r="BP21" s="42"/>
      <c r="BQ21" s="42"/>
      <c r="BR21" s="42">
        <f t="shared" ref="BR21" si="77">BR4-BQ5</f>
        <v>49980000</v>
      </c>
      <c r="BS21" s="42"/>
      <c r="BT21" s="42"/>
      <c r="BU21" s="42">
        <f t="shared" ref="BU21" si="78">BU4-BT5</f>
        <v>49980000</v>
      </c>
      <c r="BV21" s="42"/>
      <c r="BW21" s="42"/>
      <c r="BX21" s="42">
        <f t="shared" ref="BX21" si="79">BX4-BW5</f>
        <v>49980000</v>
      </c>
      <c r="BY21" s="42"/>
      <c r="BZ21" s="42"/>
      <c r="CA21" s="42">
        <f t="shared" ref="CA21" si="80">CA4-BZ5</f>
        <v>49980000</v>
      </c>
      <c r="CB21" s="42"/>
      <c r="CC21" s="42"/>
      <c r="CD21" s="42">
        <f t="shared" ref="CD21" si="81">CD4-CC5</f>
        <v>49980000</v>
      </c>
      <c r="CE21" s="42"/>
      <c r="CF21" s="42"/>
      <c r="CG21" s="42">
        <f t="shared" ref="CG21" si="82">CG4-CF5</f>
        <v>49980000</v>
      </c>
      <c r="CH21" s="42"/>
      <c r="CI21" s="42"/>
      <c r="CJ21" s="42">
        <f t="shared" ref="CJ21" si="83">CJ4-CI5</f>
        <v>49980000</v>
      </c>
      <c r="CK21" s="42"/>
      <c r="CL21" s="42"/>
      <c r="CM21" s="42">
        <f t="shared" ref="CM21" si="84">CM4-CL5</f>
        <v>49980000</v>
      </c>
      <c r="CN21" s="42"/>
      <c r="CO21" s="42"/>
      <c r="CP21" s="42">
        <f t="shared" ref="CP21" si="85">CP4-CO5</f>
        <v>49980000</v>
      </c>
      <c r="CQ21" s="42"/>
      <c r="CR21" s="42"/>
      <c r="CS21" s="42">
        <f t="shared" ref="CS21" si="86">CS4-CR5</f>
        <v>49980000</v>
      </c>
      <c r="CT21" s="42"/>
      <c r="CU21" s="42"/>
      <c r="CV21" s="42">
        <f t="shared" ref="CV21" si="87">CV4-CU5</f>
        <v>49980000</v>
      </c>
      <c r="CW21" s="42"/>
      <c r="CX21" s="42"/>
      <c r="CY21" s="42">
        <f t="shared" ref="CY21" si="88">CY4-CX5</f>
        <v>49980000</v>
      </c>
      <c r="CZ21" s="42"/>
      <c r="DA21" s="42"/>
      <c r="DB21" s="42">
        <f t="shared" ref="DB21" si="89">DB4-DA5</f>
        <v>49980000</v>
      </c>
      <c r="DC21" s="42"/>
      <c r="DD21" s="42"/>
      <c r="DE21" s="42">
        <f t="shared" ref="DE21" si="90">DE4-DD5</f>
        <v>49980000</v>
      </c>
      <c r="DF21" s="42"/>
      <c r="DG21" s="42"/>
      <c r="DH21" s="42">
        <f t="shared" ref="DH21" si="91">DH4-DG5</f>
        <v>49980000</v>
      </c>
      <c r="DI21" s="42"/>
      <c r="DJ21" s="42"/>
      <c r="DK21" s="42">
        <f t="shared" ref="DK21" si="92">DK4-DJ5</f>
        <v>49980000</v>
      </c>
      <c r="DL21" s="42"/>
      <c r="DM21" s="42"/>
      <c r="DN21" s="42">
        <f t="shared" ref="DN21" si="93">DN4-DM5</f>
        <v>49980000</v>
      </c>
      <c r="DO21" s="42"/>
      <c r="DP21" s="42"/>
      <c r="DQ21" s="42">
        <f t="shared" ref="DQ21" si="94">DQ4-DP5</f>
        <v>49980000</v>
      </c>
    </row>
    <row r="22" spans="1:121" x14ac:dyDescent="0.25">
      <c r="A22" s="38" t="s">
        <v>37</v>
      </c>
      <c r="B22" s="30">
        <f>B21</f>
        <v>0</v>
      </c>
      <c r="C22" s="30">
        <f t="shared" ref="C22:BD22" si="95">B22+C21</f>
        <v>0</v>
      </c>
      <c r="D22" s="30">
        <f t="shared" si="95"/>
        <v>0</v>
      </c>
      <c r="E22" s="30">
        <f t="shared" si="95"/>
        <v>0</v>
      </c>
      <c r="F22" s="30">
        <f t="shared" si="95"/>
        <v>0</v>
      </c>
      <c r="G22" s="30">
        <f t="shared" si="95"/>
        <v>0</v>
      </c>
      <c r="H22" s="30">
        <f t="shared" si="95"/>
        <v>0</v>
      </c>
      <c r="I22" s="30">
        <f t="shared" si="95"/>
        <v>0</v>
      </c>
      <c r="J22" s="30">
        <f t="shared" si="95"/>
        <v>0</v>
      </c>
      <c r="K22" s="30">
        <f t="shared" si="95"/>
        <v>0</v>
      </c>
      <c r="L22" s="30">
        <f t="shared" si="95"/>
        <v>0</v>
      </c>
      <c r="M22" s="30">
        <f t="shared" si="95"/>
        <v>0</v>
      </c>
      <c r="N22" s="30">
        <f t="shared" si="95"/>
        <v>0</v>
      </c>
      <c r="O22" s="30">
        <f t="shared" si="95"/>
        <v>0</v>
      </c>
      <c r="P22" s="30">
        <f t="shared" si="95"/>
        <v>0</v>
      </c>
      <c r="Q22" s="30">
        <f t="shared" si="95"/>
        <v>0</v>
      </c>
      <c r="R22" s="30">
        <f t="shared" si="95"/>
        <v>0</v>
      </c>
      <c r="S22" s="30">
        <f t="shared" si="95"/>
        <v>0</v>
      </c>
      <c r="T22" s="30">
        <f t="shared" si="95"/>
        <v>0</v>
      </c>
      <c r="U22" s="30">
        <f t="shared" si="95"/>
        <v>0</v>
      </c>
      <c r="V22" s="30">
        <f t="shared" si="95"/>
        <v>50320000</v>
      </c>
      <c r="W22" s="30">
        <f t="shared" si="95"/>
        <v>50320000</v>
      </c>
      <c r="X22" s="30">
        <f t="shared" si="95"/>
        <v>50320000</v>
      </c>
      <c r="Y22" s="30">
        <f t="shared" si="95"/>
        <v>100640000</v>
      </c>
      <c r="Z22" s="30">
        <f t="shared" si="95"/>
        <v>100640000</v>
      </c>
      <c r="AA22" s="30">
        <f t="shared" si="95"/>
        <v>100640000</v>
      </c>
      <c r="AB22" s="30">
        <f t="shared" si="95"/>
        <v>150620000</v>
      </c>
      <c r="AC22" s="30">
        <f t="shared" si="95"/>
        <v>150620000</v>
      </c>
      <c r="AD22" s="30">
        <f t="shared" si="95"/>
        <v>150620000</v>
      </c>
      <c r="AE22" s="30">
        <f t="shared" si="95"/>
        <v>200600000</v>
      </c>
      <c r="AF22" s="30">
        <f t="shared" si="95"/>
        <v>200600000</v>
      </c>
      <c r="AG22" s="30">
        <f t="shared" si="95"/>
        <v>200600000</v>
      </c>
      <c r="AH22" s="30">
        <f t="shared" si="95"/>
        <v>250580000</v>
      </c>
      <c r="AI22" s="30">
        <f t="shared" si="95"/>
        <v>250580000</v>
      </c>
      <c r="AJ22" s="30">
        <f t="shared" si="95"/>
        <v>250580000</v>
      </c>
      <c r="AK22" s="30">
        <f t="shared" si="95"/>
        <v>300560000</v>
      </c>
      <c r="AL22" s="30">
        <f t="shared" si="95"/>
        <v>300560000</v>
      </c>
      <c r="AM22" s="30">
        <f t="shared" si="95"/>
        <v>300560000</v>
      </c>
      <c r="AN22" s="30">
        <f t="shared" si="95"/>
        <v>350540000</v>
      </c>
      <c r="AO22" s="30">
        <f t="shared" si="95"/>
        <v>350540000</v>
      </c>
      <c r="AP22" s="30">
        <f t="shared" si="95"/>
        <v>350540000</v>
      </c>
      <c r="AQ22" s="30">
        <f t="shared" si="95"/>
        <v>400520000</v>
      </c>
      <c r="AR22" s="30">
        <f t="shared" si="95"/>
        <v>400520000</v>
      </c>
      <c r="AS22" s="30">
        <f t="shared" si="95"/>
        <v>400520000</v>
      </c>
      <c r="AT22" s="30">
        <f t="shared" si="95"/>
        <v>450500000</v>
      </c>
      <c r="AU22" s="30">
        <f t="shared" si="95"/>
        <v>450500000</v>
      </c>
      <c r="AV22" s="30">
        <f t="shared" si="95"/>
        <v>450500000</v>
      </c>
      <c r="AW22" s="30">
        <f t="shared" si="95"/>
        <v>500480000</v>
      </c>
      <c r="AX22" s="30">
        <f t="shared" si="95"/>
        <v>500480000</v>
      </c>
      <c r="AY22" s="30">
        <f t="shared" si="95"/>
        <v>500480000</v>
      </c>
      <c r="AZ22" s="30">
        <f t="shared" si="95"/>
        <v>550460000</v>
      </c>
      <c r="BA22" s="30">
        <f t="shared" si="95"/>
        <v>550460000</v>
      </c>
      <c r="BB22" s="30">
        <f t="shared" si="95"/>
        <v>550460000</v>
      </c>
      <c r="BC22" s="30">
        <f t="shared" si="95"/>
        <v>600440000</v>
      </c>
      <c r="BD22" s="30">
        <f t="shared" si="95"/>
        <v>600440000</v>
      </c>
      <c r="BE22" s="30">
        <f t="shared" ref="BE22:BT22" si="96">BD22+BE21</f>
        <v>600440000</v>
      </c>
      <c r="BF22" s="30">
        <f t="shared" si="96"/>
        <v>650420000</v>
      </c>
      <c r="BG22" s="30">
        <f t="shared" si="96"/>
        <v>650420000</v>
      </c>
      <c r="BH22" s="30">
        <f t="shared" si="96"/>
        <v>650420000</v>
      </c>
      <c r="BI22" s="30">
        <f t="shared" si="96"/>
        <v>700400000</v>
      </c>
      <c r="BJ22" s="30">
        <f t="shared" si="96"/>
        <v>700400000</v>
      </c>
      <c r="BK22" s="30">
        <f t="shared" si="96"/>
        <v>700400000</v>
      </c>
      <c r="BL22" s="30">
        <f t="shared" si="96"/>
        <v>750380000</v>
      </c>
      <c r="BM22" s="30">
        <f t="shared" si="96"/>
        <v>750380000</v>
      </c>
      <c r="BN22" s="30">
        <f t="shared" si="96"/>
        <v>750380000</v>
      </c>
      <c r="BO22" s="30">
        <f t="shared" si="96"/>
        <v>800360000</v>
      </c>
      <c r="BP22" s="30">
        <f t="shared" si="96"/>
        <v>800360000</v>
      </c>
      <c r="BQ22" s="30">
        <f t="shared" si="96"/>
        <v>800360000</v>
      </c>
      <c r="BR22" s="30">
        <f t="shared" si="96"/>
        <v>850340000</v>
      </c>
      <c r="BS22" s="30">
        <f t="shared" si="96"/>
        <v>850340000</v>
      </c>
      <c r="BT22" s="30">
        <f t="shared" si="96"/>
        <v>850340000</v>
      </c>
      <c r="BU22" s="30">
        <f t="shared" ref="BU22:CF22" si="97">BT22+BU21</f>
        <v>900320000</v>
      </c>
      <c r="BV22" s="30">
        <f t="shared" si="97"/>
        <v>900320000</v>
      </c>
      <c r="BW22" s="30">
        <f t="shared" si="97"/>
        <v>900320000</v>
      </c>
      <c r="BX22" s="30">
        <f t="shared" si="97"/>
        <v>950300000</v>
      </c>
      <c r="BY22" s="30">
        <f t="shared" si="97"/>
        <v>950300000</v>
      </c>
      <c r="BZ22" s="30">
        <f t="shared" si="97"/>
        <v>950300000</v>
      </c>
      <c r="CA22" s="30">
        <f t="shared" si="97"/>
        <v>1000280000</v>
      </c>
      <c r="CB22" s="30">
        <f t="shared" si="97"/>
        <v>1000280000</v>
      </c>
      <c r="CC22" s="30">
        <f t="shared" si="97"/>
        <v>1000280000</v>
      </c>
      <c r="CD22" s="30">
        <f t="shared" si="97"/>
        <v>1050260000</v>
      </c>
      <c r="CE22" s="30">
        <f t="shared" si="97"/>
        <v>1050260000</v>
      </c>
      <c r="CF22" s="30">
        <f t="shared" si="97"/>
        <v>1050260000</v>
      </c>
      <c r="CG22" s="30">
        <f>CF22+CG21</f>
        <v>1100240000</v>
      </c>
      <c r="CH22" s="30">
        <f>CG22+CH21</f>
        <v>1100240000</v>
      </c>
      <c r="CI22" s="30">
        <f t="shared" ref="CI22:CT22" si="98">CH22+CI21</f>
        <v>1100240000</v>
      </c>
      <c r="CJ22" s="30">
        <f t="shared" si="98"/>
        <v>1150220000</v>
      </c>
      <c r="CK22" s="30">
        <f t="shared" si="98"/>
        <v>1150220000</v>
      </c>
      <c r="CL22" s="30">
        <f t="shared" si="98"/>
        <v>1150220000</v>
      </c>
      <c r="CM22" s="30">
        <f t="shared" si="98"/>
        <v>1200200000</v>
      </c>
      <c r="CN22" s="30">
        <f t="shared" si="98"/>
        <v>1200200000</v>
      </c>
      <c r="CO22" s="30">
        <f t="shared" si="98"/>
        <v>1200200000</v>
      </c>
      <c r="CP22" s="30">
        <f t="shared" si="98"/>
        <v>1250180000</v>
      </c>
      <c r="CQ22" s="30">
        <f t="shared" si="98"/>
        <v>1250180000</v>
      </c>
      <c r="CR22" s="30">
        <f t="shared" si="98"/>
        <v>1250180000</v>
      </c>
      <c r="CS22" s="30">
        <f t="shared" si="98"/>
        <v>1300160000</v>
      </c>
      <c r="CT22" s="30">
        <f t="shared" si="98"/>
        <v>1300160000</v>
      </c>
      <c r="CU22" s="30">
        <f t="shared" ref="CU22" si="99">CT22+CU21</f>
        <v>1300160000</v>
      </c>
      <c r="CV22" s="30">
        <f t="shared" ref="CV22" si="100">CU22+CV21</f>
        <v>1350140000</v>
      </c>
      <c r="CW22" s="30">
        <f t="shared" ref="CW22" si="101">CV22+CW21</f>
        <v>1350140000</v>
      </c>
      <c r="CX22" s="30">
        <f t="shared" ref="CX22" si="102">CW22+CX21</f>
        <v>1350140000</v>
      </c>
      <c r="CY22" s="30">
        <f t="shared" ref="CY22" si="103">CX22+CY21</f>
        <v>1400120000</v>
      </c>
      <c r="CZ22" s="30">
        <f t="shared" ref="CZ22" si="104">CY22+CZ21</f>
        <v>1400120000</v>
      </c>
      <c r="DA22" s="30">
        <f t="shared" ref="DA22" si="105">CZ22+DA21</f>
        <v>1400120000</v>
      </c>
      <c r="DB22" s="30">
        <f t="shared" ref="DB22" si="106">DA22+DB21</f>
        <v>1450100000</v>
      </c>
      <c r="DC22" s="30">
        <f t="shared" ref="DC22" si="107">DB22+DC21</f>
        <v>1450100000</v>
      </c>
      <c r="DD22" s="30">
        <f t="shared" ref="DD22" si="108">DC22+DD21</f>
        <v>1450100000</v>
      </c>
      <c r="DE22" s="30">
        <f t="shared" ref="DE22" si="109">DD22+DE21</f>
        <v>1500080000</v>
      </c>
      <c r="DF22" s="30">
        <f t="shared" ref="DF22" si="110">DE22+DF21</f>
        <v>1500080000</v>
      </c>
      <c r="DG22" s="30">
        <f t="shared" ref="DG22" si="111">DF22+DG21</f>
        <v>1500080000</v>
      </c>
      <c r="DH22" s="30">
        <f t="shared" ref="DH22" si="112">DG22+DH21</f>
        <v>1550060000</v>
      </c>
      <c r="DI22" s="30">
        <f t="shared" ref="DI22" si="113">DH22+DI21</f>
        <v>1550060000</v>
      </c>
      <c r="DJ22" s="30">
        <f t="shared" ref="DJ22" si="114">DI22+DJ21</f>
        <v>1550060000</v>
      </c>
      <c r="DK22" s="30">
        <f t="shared" ref="DK22" si="115">DJ22+DK21</f>
        <v>1600040000</v>
      </c>
      <c r="DL22" s="30">
        <f t="shared" ref="DL22" si="116">DK22+DL21</f>
        <v>1600040000</v>
      </c>
      <c r="DM22" s="30">
        <f t="shared" ref="DM22" si="117">DL22+DM21</f>
        <v>1600040000</v>
      </c>
      <c r="DN22" s="30">
        <f t="shared" ref="DN22" si="118">DM22+DN21</f>
        <v>1650020000</v>
      </c>
      <c r="DO22" s="30">
        <f t="shared" ref="DO22" si="119">DN22+DO21</f>
        <v>1650020000</v>
      </c>
      <c r="DP22" s="30">
        <f t="shared" ref="DP22" si="120">DO22+DP21</f>
        <v>1650020000</v>
      </c>
      <c r="DQ22" s="30">
        <f t="shared" ref="DQ22" si="121">DP22+DQ21</f>
        <v>1700000000</v>
      </c>
    </row>
    <row r="23" spans="1:121" x14ac:dyDescent="0.25"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</row>
    <row r="24" spans="1:121" ht="15" x14ac:dyDescent="0.3">
      <c r="A24" s="41" t="s">
        <v>40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</row>
    <row r="25" spans="1:121" s="82" customFormat="1" x14ac:dyDescent="0.25">
      <c r="A25" s="38" t="s">
        <v>41</v>
      </c>
      <c r="B25" s="81">
        <v>0</v>
      </c>
      <c r="C25" s="81">
        <f t="shared" ref="C25" si="122">C10-B11</f>
        <v>0</v>
      </c>
      <c r="D25" s="106">
        <v>29951389</v>
      </c>
      <c r="E25" s="81"/>
      <c r="F25" s="81"/>
      <c r="G25" s="106">
        <v>40823611</v>
      </c>
      <c r="H25" s="81"/>
      <c r="I25" s="81"/>
      <c r="J25" s="106">
        <v>40823611</v>
      </c>
      <c r="K25" s="81"/>
      <c r="L25" s="81"/>
      <c r="M25" s="106">
        <v>41272222</v>
      </c>
      <c r="N25" s="81"/>
      <c r="O25" s="81"/>
      <c r="P25" s="106">
        <v>40493055</v>
      </c>
      <c r="Q25" s="81"/>
      <c r="R25" s="81"/>
      <c r="S25" s="81">
        <f t="shared" ref="S25" si="123">S10-R11</f>
        <v>38675000.888888866</v>
      </c>
      <c r="T25" s="81"/>
      <c r="U25" s="81"/>
      <c r="V25" s="81">
        <f t="shared" ref="V25" si="124">V10-U11</f>
        <v>38249999.99999997</v>
      </c>
      <c r="W25" s="81"/>
      <c r="X25" s="81"/>
      <c r="Y25" s="81">
        <f t="shared" ref="Y25" si="125">Y10-X11</f>
        <v>37942640</v>
      </c>
      <c r="Z25" s="81"/>
      <c r="AA25" s="81"/>
      <c r="AB25" s="81">
        <f t="shared" ref="AB25" si="126">AB10-AA11</f>
        <v>36785280</v>
      </c>
      <c r="AC25" s="81"/>
      <c r="AD25" s="81"/>
      <c r="AE25" s="81">
        <f t="shared" ref="AE25" si="127">AE10-AD11</f>
        <v>35248395</v>
      </c>
      <c r="AF25" s="81"/>
      <c r="AG25" s="81"/>
      <c r="AH25" s="81">
        <f t="shared" ref="AH25" si="128">AH10-AG11</f>
        <v>33736500</v>
      </c>
      <c r="AI25" s="81"/>
      <c r="AJ25" s="81"/>
      <c r="AK25" s="81">
        <f t="shared" ref="AK25" si="129">AK10-AJ11</f>
        <v>33336660</v>
      </c>
      <c r="AL25" s="81"/>
      <c r="AM25" s="81"/>
      <c r="AN25" s="81">
        <f t="shared" ref="AN25" si="130">AN10-AM11</f>
        <v>32187120</v>
      </c>
      <c r="AO25" s="81"/>
      <c r="AP25" s="81"/>
      <c r="AQ25" s="81">
        <f t="shared" ref="AQ25" si="131">AQ10-AP11</f>
        <v>30700215</v>
      </c>
      <c r="AR25" s="81"/>
      <c r="AS25" s="81"/>
      <c r="AT25" s="81">
        <f t="shared" ref="AT25" si="132">AT10-AS11</f>
        <v>29238300</v>
      </c>
      <c r="AU25" s="81"/>
      <c r="AV25" s="81"/>
      <c r="AW25" s="81">
        <f t="shared" ref="AW25" si="133">AW10-AV11</f>
        <v>28738500</v>
      </c>
      <c r="AX25" s="81"/>
      <c r="AY25" s="81"/>
      <c r="AZ25" s="81">
        <f t="shared" ref="AZ25" si="134">AZ10-AY11</f>
        <v>27289080</v>
      </c>
      <c r="BA25" s="81"/>
      <c r="BB25" s="81"/>
      <c r="BC25" s="81">
        <f t="shared" ref="BC25" si="135">BC10-BB11</f>
        <v>26152035</v>
      </c>
      <c r="BD25" s="81"/>
      <c r="BE25" s="81"/>
      <c r="BF25" s="81">
        <f t="shared" ref="BF25" si="136">BF10-BE11</f>
        <v>25014990</v>
      </c>
      <c r="BG25" s="81"/>
      <c r="BH25" s="81"/>
      <c r="BI25" s="81">
        <f t="shared" ref="BI25" si="137">BI10-BH11</f>
        <v>23877945</v>
      </c>
      <c r="BJ25" s="81"/>
      <c r="BK25" s="81"/>
      <c r="BL25" s="81">
        <f t="shared" ref="BL25" si="138">BL10-BK11</f>
        <v>23490600</v>
      </c>
      <c r="BM25" s="81"/>
      <c r="BN25" s="81"/>
      <c r="BO25" s="81">
        <f t="shared" ref="BO25" si="139">BO10-BN11</f>
        <v>21603855</v>
      </c>
      <c r="BP25" s="81"/>
      <c r="BQ25" s="81"/>
      <c r="BR25" s="81">
        <f t="shared" ref="BR25" si="140">BR10-BQ11</f>
        <v>19792080</v>
      </c>
      <c r="BS25" s="81"/>
      <c r="BT25" s="81"/>
      <c r="BU25" s="81">
        <f t="shared" ref="BU25" si="141">BU10-BT11</f>
        <v>19967010</v>
      </c>
      <c r="BV25" s="81"/>
      <c r="BW25" s="81"/>
      <c r="BX25" s="81">
        <f t="shared" ref="BX25" si="142">BX10-BW11</f>
        <v>18392640</v>
      </c>
      <c r="BY25" s="81"/>
      <c r="BZ25" s="81"/>
      <c r="CA25" s="81">
        <f t="shared" ref="CA25" si="143">CA10-BZ11</f>
        <v>17055675</v>
      </c>
      <c r="CB25" s="81"/>
      <c r="CC25" s="81"/>
      <c r="CD25" s="81">
        <f t="shared" ref="CD25" si="144">CD10-CC11</f>
        <v>15743700</v>
      </c>
      <c r="CE25" s="81"/>
      <c r="CF25" s="81"/>
      <c r="CG25" s="81">
        <f t="shared" ref="CG25" si="145">CG10-CF11</f>
        <v>14944020</v>
      </c>
      <c r="CH25" s="81"/>
      <c r="CI25" s="81"/>
      <c r="CJ25" s="81">
        <f t="shared" ref="CJ25" si="146">CJ10-CI11</f>
        <v>13794480</v>
      </c>
      <c r="CK25" s="81"/>
      <c r="CL25" s="81"/>
      <c r="CM25" s="81">
        <f t="shared" ref="CM25" si="147">CM10-CL11</f>
        <v>12507495</v>
      </c>
      <c r="CN25" s="81"/>
      <c r="CO25" s="81"/>
      <c r="CP25" s="81">
        <f t="shared" ref="CP25" si="148">CP10-CO11</f>
        <v>11245500</v>
      </c>
      <c r="CQ25" s="81"/>
      <c r="CR25" s="81"/>
      <c r="CS25" s="81">
        <f t="shared" ref="CS25" si="149">CS10-CR11</f>
        <v>10345860</v>
      </c>
      <c r="CT25" s="81"/>
      <c r="CU25" s="81"/>
      <c r="CV25" s="81">
        <f t="shared" ref="CV25" si="150">CV10-CU11</f>
        <v>9196320</v>
      </c>
      <c r="CW25" s="81"/>
      <c r="CX25" s="81"/>
      <c r="CY25" s="81">
        <f t="shared" ref="CY25" si="151">CY10-CX11</f>
        <v>7959315</v>
      </c>
      <c r="CZ25" s="81"/>
      <c r="DA25" s="81"/>
      <c r="DB25" s="81">
        <f t="shared" ref="DB25" si="152">DB10-DA11</f>
        <v>6822270</v>
      </c>
      <c r="DC25" s="81"/>
      <c r="DD25" s="81"/>
      <c r="DE25" s="81">
        <f t="shared" ref="DE25" si="153">DE10-DD11</f>
        <v>5747700</v>
      </c>
      <c r="DF25" s="81"/>
      <c r="DG25" s="81"/>
      <c r="DH25" s="81">
        <f t="shared" ref="DH25" si="154">DH10-DG11</f>
        <v>4548180</v>
      </c>
      <c r="DI25" s="81"/>
      <c r="DJ25" s="81"/>
      <c r="DK25" s="81">
        <f t="shared" ref="DK25" si="155">DK10-DJ11</f>
        <v>3411135</v>
      </c>
      <c r="DL25" s="81"/>
      <c r="DM25" s="81"/>
      <c r="DN25" s="81">
        <f t="shared" ref="DN25" si="156">DN10-DM11</f>
        <v>2274090</v>
      </c>
      <c r="DO25" s="81"/>
      <c r="DP25" s="81"/>
      <c r="DQ25" s="81">
        <f t="shared" ref="DQ25" si="157">DQ10-DP11</f>
        <v>1137045</v>
      </c>
    </row>
    <row r="26" spans="1:121" x14ac:dyDescent="0.25">
      <c r="A26" s="38" t="s">
        <v>42</v>
      </c>
      <c r="B26" s="30">
        <f>B25</f>
        <v>0</v>
      </c>
      <c r="C26" s="30">
        <f>B26+C25</f>
        <v>0</v>
      </c>
      <c r="D26" s="30">
        <f>C26+D25</f>
        <v>29951389</v>
      </c>
      <c r="E26" s="30">
        <f t="shared" ref="E26:BP26" si="158">D26+E25</f>
        <v>29951389</v>
      </c>
      <c r="F26" s="30">
        <f t="shared" si="158"/>
        <v>29951389</v>
      </c>
      <c r="G26" s="30">
        <f t="shared" si="158"/>
        <v>70775000</v>
      </c>
      <c r="H26" s="30">
        <f t="shared" si="158"/>
        <v>70775000</v>
      </c>
      <c r="I26" s="30">
        <f t="shared" si="158"/>
        <v>70775000</v>
      </c>
      <c r="J26" s="30">
        <f t="shared" si="158"/>
        <v>111598611</v>
      </c>
      <c r="K26" s="30">
        <f t="shared" si="158"/>
        <v>111598611</v>
      </c>
      <c r="L26" s="30">
        <f t="shared" si="158"/>
        <v>111598611</v>
      </c>
      <c r="M26" s="30">
        <f t="shared" si="158"/>
        <v>152870833</v>
      </c>
      <c r="N26" s="30">
        <f t="shared" si="158"/>
        <v>152870833</v>
      </c>
      <c r="O26" s="30">
        <f t="shared" si="158"/>
        <v>152870833</v>
      </c>
      <c r="P26" s="30">
        <f t="shared" si="158"/>
        <v>193363888</v>
      </c>
      <c r="Q26" s="30">
        <f t="shared" si="158"/>
        <v>193363888</v>
      </c>
      <c r="R26" s="30">
        <f t="shared" si="158"/>
        <v>193363888</v>
      </c>
      <c r="S26" s="30">
        <f t="shared" si="158"/>
        <v>232038888.88888887</v>
      </c>
      <c r="T26" s="30">
        <f t="shared" si="158"/>
        <v>232038888.88888887</v>
      </c>
      <c r="U26" s="30">
        <f t="shared" si="158"/>
        <v>232038888.88888887</v>
      </c>
      <c r="V26" s="30">
        <f t="shared" si="158"/>
        <v>270288888.88888884</v>
      </c>
      <c r="W26" s="30">
        <f t="shared" si="158"/>
        <v>270288888.88888884</v>
      </c>
      <c r="X26" s="30">
        <f t="shared" si="158"/>
        <v>270288888.88888884</v>
      </c>
      <c r="Y26" s="30">
        <f t="shared" si="158"/>
        <v>308231528.88888884</v>
      </c>
      <c r="Z26" s="30">
        <f t="shared" si="158"/>
        <v>308231528.88888884</v>
      </c>
      <c r="AA26" s="30">
        <f t="shared" si="158"/>
        <v>308231528.88888884</v>
      </c>
      <c r="AB26" s="30">
        <f t="shared" si="158"/>
        <v>345016808.88888884</v>
      </c>
      <c r="AC26" s="30">
        <f t="shared" si="158"/>
        <v>345016808.88888884</v>
      </c>
      <c r="AD26" s="30">
        <f t="shared" si="158"/>
        <v>345016808.88888884</v>
      </c>
      <c r="AE26" s="30">
        <f t="shared" si="158"/>
        <v>380265203.88888884</v>
      </c>
      <c r="AF26" s="30">
        <f t="shared" si="158"/>
        <v>380265203.88888884</v>
      </c>
      <c r="AG26" s="30">
        <f t="shared" si="158"/>
        <v>380265203.88888884</v>
      </c>
      <c r="AH26" s="30">
        <f t="shared" si="158"/>
        <v>414001703.88888884</v>
      </c>
      <c r="AI26" s="30">
        <f t="shared" si="158"/>
        <v>414001703.88888884</v>
      </c>
      <c r="AJ26" s="30">
        <f t="shared" si="158"/>
        <v>414001703.88888884</v>
      </c>
      <c r="AK26" s="30">
        <f t="shared" si="158"/>
        <v>447338363.88888884</v>
      </c>
      <c r="AL26" s="30">
        <f t="shared" si="158"/>
        <v>447338363.88888884</v>
      </c>
      <c r="AM26" s="30">
        <f t="shared" si="158"/>
        <v>447338363.88888884</v>
      </c>
      <c r="AN26" s="30">
        <f t="shared" si="158"/>
        <v>479525483.88888884</v>
      </c>
      <c r="AO26" s="30">
        <f t="shared" si="158"/>
        <v>479525483.88888884</v>
      </c>
      <c r="AP26" s="30">
        <f t="shared" si="158"/>
        <v>479525483.88888884</v>
      </c>
      <c r="AQ26" s="30">
        <f t="shared" si="158"/>
        <v>510225698.88888884</v>
      </c>
      <c r="AR26" s="30">
        <f t="shared" si="158"/>
        <v>510225698.88888884</v>
      </c>
      <c r="AS26" s="30">
        <f t="shared" si="158"/>
        <v>510225698.88888884</v>
      </c>
      <c r="AT26" s="30">
        <f t="shared" si="158"/>
        <v>539463998.88888884</v>
      </c>
      <c r="AU26" s="30">
        <f t="shared" si="158"/>
        <v>539463998.88888884</v>
      </c>
      <c r="AV26" s="30">
        <f t="shared" si="158"/>
        <v>539463998.88888884</v>
      </c>
      <c r="AW26" s="30">
        <f t="shared" si="158"/>
        <v>568202498.88888884</v>
      </c>
      <c r="AX26" s="30">
        <f t="shared" si="158"/>
        <v>568202498.88888884</v>
      </c>
      <c r="AY26" s="30">
        <f t="shared" si="158"/>
        <v>568202498.88888884</v>
      </c>
      <c r="AZ26" s="30">
        <f t="shared" si="158"/>
        <v>595491578.88888884</v>
      </c>
      <c r="BA26" s="30">
        <f t="shared" si="158"/>
        <v>595491578.88888884</v>
      </c>
      <c r="BB26" s="30">
        <f t="shared" si="158"/>
        <v>595491578.88888884</v>
      </c>
      <c r="BC26" s="30">
        <f t="shared" si="158"/>
        <v>621643613.88888884</v>
      </c>
      <c r="BD26" s="30">
        <f t="shared" si="158"/>
        <v>621643613.88888884</v>
      </c>
      <c r="BE26" s="30">
        <f t="shared" si="158"/>
        <v>621643613.88888884</v>
      </c>
      <c r="BF26" s="30">
        <f t="shared" si="158"/>
        <v>646658603.88888884</v>
      </c>
      <c r="BG26" s="30">
        <f t="shared" si="158"/>
        <v>646658603.88888884</v>
      </c>
      <c r="BH26" s="30">
        <f t="shared" si="158"/>
        <v>646658603.88888884</v>
      </c>
      <c r="BI26" s="30">
        <f t="shared" si="158"/>
        <v>670536548.88888884</v>
      </c>
      <c r="BJ26" s="30">
        <f t="shared" si="158"/>
        <v>670536548.88888884</v>
      </c>
      <c r="BK26" s="30">
        <f t="shared" si="158"/>
        <v>670536548.88888884</v>
      </c>
      <c r="BL26" s="30">
        <f t="shared" si="158"/>
        <v>694027148.88888884</v>
      </c>
      <c r="BM26" s="30">
        <f t="shared" si="158"/>
        <v>694027148.88888884</v>
      </c>
      <c r="BN26" s="30">
        <f t="shared" si="158"/>
        <v>694027148.88888884</v>
      </c>
      <c r="BO26" s="30">
        <f t="shared" si="158"/>
        <v>715631003.88888884</v>
      </c>
      <c r="BP26" s="30">
        <f t="shared" si="158"/>
        <v>715631003.88888884</v>
      </c>
      <c r="BQ26" s="30">
        <f t="shared" ref="BQ26:DN26" si="159">BP26+BQ25</f>
        <v>715631003.88888884</v>
      </c>
      <c r="BR26" s="30">
        <f t="shared" si="159"/>
        <v>735423083.88888884</v>
      </c>
      <c r="BS26" s="30">
        <f t="shared" si="159"/>
        <v>735423083.88888884</v>
      </c>
      <c r="BT26" s="30">
        <f t="shared" si="159"/>
        <v>735423083.88888884</v>
      </c>
      <c r="BU26" s="30">
        <f t="shared" si="159"/>
        <v>755390093.88888884</v>
      </c>
      <c r="BV26" s="30">
        <f t="shared" si="159"/>
        <v>755390093.88888884</v>
      </c>
      <c r="BW26" s="30">
        <f t="shared" si="159"/>
        <v>755390093.88888884</v>
      </c>
      <c r="BX26" s="30">
        <f t="shared" si="159"/>
        <v>773782733.88888884</v>
      </c>
      <c r="BY26" s="30">
        <f t="shared" si="159"/>
        <v>773782733.88888884</v>
      </c>
      <c r="BZ26" s="30">
        <f t="shared" si="159"/>
        <v>773782733.88888884</v>
      </c>
      <c r="CA26" s="30">
        <f t="shared" si="159"/>
        <v>790838408.88888884</v>
      </c>
      <c r="CB26" s="30">
        <f t="shared" si="159"/>
        <v>790838408.88888884</v>
      </c>
      <c r="CC26" s="30">
        <f t="shared" si="159"/>
        <v>790838408.88888884</v>
      </c>
      <c r="CD26" s="30">
        <f t="shared" si="159"/>
        <v>806582108.88888884</v>
      </c>
      <c r="CE26" s="30">
        <f t="shared" si="159"/>
        <v>806582108.88888884</v>
      </c>
      <c r="CF26" s="30">
        <f t="shared" si="159"/>
        <v>806582108.88888884</v>
      </c>
      <c r="CG26" s="30">
        <f t="shared" si="159"/>
        <v>821526128.88888884</v>
      </c>
      <c r="CH26" s="30">
        <f t="shared" si="159"/>
        <v>821526128.88888884</v>
      </c>
      <c r="CI26" s="30">
        <f t="shared" si="159"/>
        <v>821526128.88888884</v>
      </c>
      <c r="CJ26" s="30">
        <f t="shared" si="159"/>
        <v>835320608.88888884</v>
      </c>
      <c r="CK26" s="30">
        <f t="shared" si="159"/>
        <v>835320608.88888884</v>
      </c>
      <c r="CL26" s="30">
        <f t="shared" si="159"/>
        <v>835320608.88888884</v>
      </c>
      <c r="CM26" s="30">
        <f t="shared" si="159"/>
        <v>847828103.88888884</v>
      </c>
      <c r="CN26" s="30">
        <f t="shared" si="159"/>
        <v>847828103.88888884</v>
      </c>
      <c r="CO26" s="30">
        <f t="shared" si="159"/>
        <v>847828103.88888884</v>
      </c>
      <c r="CP26" s="30">
        <f t="shared" si="159"/>
        <v>859073603.88888884</v>
      </c>
      <c r="CQ26" s="30">
        <f t="shared" si="159"/>
        <v>859073603.88888884</v>
      </c>
      <c r="CR26" s="30">
        <f t="shared" si="159"/>
        <v>859073603.88888884</v>
      </c>
      <c r="CS26" s="30">
        <f t="shared" si="159"/>
        <v>869419463.88888884</v>
      </c>
      <c r="CT26" s="30">
        <f t="shared" si="159"/>
        <v>869419463.88888884</v>
      </c>
      <c r="CU26" s="30">
        <f t="shared" si="159"/>
        <v>869419463.88888884</v>
      </c>
      <c r="CV26" s="30">
        <f t="shared" si="159"/>
        <v>878615783.88888884</v>
      </c>
      <c r="CW26" s="30">
        <f t="shared" si="159"/>
        <v>878615783.88888884</v>
      </c>
      <c r="CX26" s="30">
        <f t="shared" si="159"/>
        <v>878615783.88888884</v>
      </c>
      <c r="CY26" s="30">
        <f t="shared" si="159"/>
        <v>886575098.88888884</v>
      </c>
      <c r="CZ26" s="30">
        <f t="shared" si="159"/>
        <v>886575098.88888884</v>
      </c>
      <c r="DA26" s="30">
        <f t="shared" si="159"/>
        <v>886575098.88888884</v>
      </c>
      <c r="DB26" s="30">
        <f t="shared" si="159"/>
        <v>893397368.88888884</v>
      </c>
      <c r="DC26" s="30">
        <f t="shared" si="159"/>
        <v>893397368.88888884</v>
      </c>
      <c r="DD26" s="30">
        <f t="shared" si="159"/>
        <v>893397368.88888884</v>
      </c>
      <c r="DE26" s="30">
        <f t="shared" si="159"/>
        <v>899145068.88888884</v>
      </c>
      <c r="DF26" s="30">
        <f t="shared" si="159"/>
        <v>899145068.88888884</v>
      </c>
      <c r="DG26" s="30">
        <f t="shared" si="159"/>
        <v>899145068.88888884</v>
      </c>
      <c r="DH26" s="30">
        <f t="shared" si="159"/>
        <v>903693248.88888884</v>
      </c>
      <c r="DI26" s="30">
        <f t="shared" si="159"/>
        <v>903693248.88888884</v>
      </c>
      <c r="DJ26" s="30">
        <f t="shared" si="159"/>
        <v>903693248.88888884</v>
      </c>
      <c r="DK26" s="30">
        <f t="shared" si="159"/>
        <v>907104383.88888884</v>
      </c>
      <c r="DL26" s="30">
        <f t="shared" si="159"/>
        <v>907104383.88888884</v>
      </c>
      <c r="DM26" s="30">
        <f t="shared" si="159"/>
        <v>907104383.88888884</v>
      </c>
      <c r="DN26" s="30">
        <f t="shared" si="159"/>
        <v>909378473.88888884</v>
      </c>
      <c r="DO26" s="30">
        <f t="shared" ref="DO26" si="160">DN26+DO25</f>
        <v>909378473.88888884</v>
      </c>
      <c r="DP26" s="30">
        <f t="shared" ref="DP26" si="161">DO26+DP25</f>
        <v>909378473.88888884</v>
      </c>
      <c r="DQ26" s="30">
        <f t="shared" ref="DQ26" si="162">DP26+DQ25</f>
        <v>910515518.88888884</v>
      </c>
    </row>
    <row r="27" spans="1:121" x14ac:dyDescent="0.25">
      <c r="A27" s="38" t="s">
        <v>38</v>
      </c>
      <c r="B27" s="30">
        <v>0</v>
      </c>
      <c r="C27" s="30">
        <v>0</v>
      </c>
      <c r="D27" s="30">
        <v>0</v>
      </c>
      <c r="E27" s="30">
        <v>0</v>
      </c>
      <c r="F27" s="30">
        <v>0</v>
      </c>
      <c r="G27" s="30">
        <v>0</v>
      </c>
      <c r="H27" s="30">
        <v>0</v>
      </c>
      <c r="I27" s="30">
        <v>0</v>
      </c>
      <c r="J27" s="30"/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0">
        <v>0</v>
      </c>
      <c r="V27" s="30"/>
      <c r="W27" s="30">
        <v>0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30">
        <v>0</v>
      </c>
      <c r="AF27" s="30">
        <v>0</v>
      </c>
      <c r="AG27" s="30">
        <v>0</v>
      </c>
      <c r="AH27" s="30">
        <v>0</v>
      </c>
      <c r="AI27" s="30">
        <v>0</v>
      </c>
      <c r="AJ27" s="30">
        <v>0</v>
      </c>
      <c r="AK27" s="30">
        <v>0</v>
      </c>
      <c r="AL27" s="30">
        <v>0</v>
      </c>
      <c r="AM27" s="30">
        <v>0</v>
      </c>
      <c r="AN27" s="30">
        <v>0</v>
      </c>
      <c r="AO27" s="30">
        <v>0</v>
      </c>
      <c r="AP27" s="30">
        <v>0</v>
      </c>
      <c r="AQ27" s="30">
        <v>0</v>
      </c>
      <c r="AR27" s="30">
        <v>0</v>
      </c>
      <c r="AS27" s="30">
        <v>0</v>
      </c>
      <c r="AT27" s="30">
        <v>0</v>
      </c>
      <c r="AU27" s="30">
        <v>0</v>
      </c>
      <c r="AV27" s="30">
        <v>0</v>
      </c>
      <c r="AW27" s="30">
        <v>0</v>
      </c>
      <c r="AX27" s="30">
        <v>0</v>
      </c>
      <c r="AY27" s="30">
        <v>0</v>
      </c>
      <c r="AZ27" s="30">
        <v>0</v>
      </c>
      <c r="BA27" s="30">
        <v>0</v>
      </c>
      <c r="BB27" s="30">
        <v>0</v>
      </c>
      <c r="BC27" s="30">
        <v>0</v>
      </c>
      <c r="BD27" s="30">
        <v>0</v>
      </c>
      <c r="BE27" s="30">
        <v>0</v>
      </c>
      <c r="BF27" s="30">
        <v>0</v>
      </c>
      <c r="BG27" s="30">
        <v>0</v>
      </c>
      <c r="BH27" s="30">
        <v>0</v>
      </c>
      <c r="BI27" s="30">
        <v>0</v>
      </c>
      <c r="BJ27" s="30">
        <v>0</v>
      </c>
      <c r="BK27" s="30">
        <v>0</v>
      </c>
      <c r="BL27" s="30">
        <v>0</v>
      </c>
      <c r="BM27" s="30">
        <v>0</v>
      </c>
      <c r="BN27" s="30">
        <v>0</v>
      </c>
      <c r="BO27" s="30">
        <v>0</v>
      </c>
      <c r="BP27" s="30">
        <v>0</v>
      </c>
      <c r="BQ27" s="30">
        <v>0</v>
      </c>
      <c r="BR27" s="30">
        <v>0</v>
      </c>
      <c r="BS27" s="30">
        <v>0</v>
      </c>
      <c r="BT27" s="30">
        <v>0</v>
      </c>
      <c r="BU27" s="30">
        <v>0</v>
      </c>
      <c r="BV27" s="30">
        <v>0</v>
      </c>
      <c r="BW27" s="30">
        <v>0</v>
      </c>
      <c r="BX27" s="30">
        <v>0</v>
      </c>
      <c r="BY27" s="30">
        <v>0</v>
      </c>
      <c r="BZ27" s="30">
        <v>0</v>
      </c>
      <c r="CA27" s="30">
        <v>0</v>
      </c>
      <c r="CB27" s="30">
        <v>0</v>
      </c>
      <c r="CC27" s="30">
        <v>0</v>
      </c>
      <c r="CD27" s="30">
        <v>0</v>
      </c>
      <c r="CE27" s="30">
        <v>0</v>
      </c>
      <c r="CF27" s="30">
        <v>0</v>
      </c>
      <c r="CG27" s="30">
        <v>0</v>
      </c>
      <c r="CH27" s="30">
        <v>0</v>
      </c>
      <c r="CI27" s="30">
        <v>0</v>
      </c>
      <c r="CJ27" s="30">
        <v>0</v>
      </c>
      <c r="CK27" s="30">
        <v>0</v>
      </c>
      <c r="CL27" s="30">
        <v>0</v>
      </c>
      <c r="CM27" s="30">
        <v>0</v>
      </c>
      <c r="CN27" s="30">
        <v>0</v>
      </c>
      <c r="CO27" s="30">
        <v>0</v>
      </c>
      <c r="CP27" s="30">
        <v>0</v>
      </c>
      <c r="CQ27" s="30">
        <v>0</v>
      </c>
      <c r="CR27" s="30">
        <v>0</v>
      </c>
      <c r="CS27" s="30">
        <v>0</v>
      </c>
      <c r="CT27" s="30">
        <v>0</v>
      </c>
      <c r="CU27" s="30">
        <v>0</v>
      </c>
      <c r="CV27" s="30">
        <v>0</v>
      </c>
      <c r="CW27" s="30">
        <v>0</v>
      </c>
      <c r="CX27" s="30">
        <v>0</v>
      </c>
      <c r="CY27" s="30">
        <v>0</v>
      </c>
      <c r="CZ27" s="30">
        <v>0</v>
      </c>
      <c r="DA27" s="30">
        <v>0</v>
      </c>
      <c r="DB27" s="30">
        <v>0</v>
      </c>
      <c r="DC27" s="30">
        <v>0</v>
      </c>
      <c r="DD27" s="30">
        <v>0</v>
      </c>
      <c r="DE27" s="30">
        <v>0</v>
      </c>
      <c r="DF27" s="30">
        <v>0</v>
      </c>
      <c r="DG27" s="30">
        <v>0</v>
      </c>
      <c r="DH27" s="30">
        <v>0</v>
      </c>
      <c r="DI27" s="30">
        <v>0</v>
      </c>
      <c r="DJ27" s="30">
        <v>0</v>
      </c>
      <c r="DK27" s="30">
        <v>0</v>
      </c>
      <c r="DL27" s="30">
        <v>0</v>
      </c>
      <c r="DM27" s="30">
        <v>0</v>
      </c>
      <c r="DN27" s="30">
        <v>0</v>
      </c>
      <c r="DO27" s="30">
        <v>0</v>
      </c>
      <c r="DP27" s="30">
        <v>0</v>
      </c>
      <c r="DQ27" s="30">
        <v>0</v>
      </c>
    </row>
    <row r="28" spans="1:121" x14ac:dyDescent="0.25">
      <c r="A28" s="36" t="s">
        <v>39</v>
      </c>
      <c r="B28" s="30">
        <f>B27</f>
        <v>0</v>
      </c>
      <c r="C28" s="30">
        <f t="shared" ref="C28:D28" si="163">B28+C27</f>
        <v>0</v>
      </c>
      <c r="D28" s="30">
        <f t="shared" si="163"/>
        <v>0</v>
      </c>
      <c r="E28" s="30">
        <f t="shared" ref="E28" si="164">D28+E27</f>
        <v>0</v>
      </c>
      <c r="F28" s="30">
        <f t="shared" ref="F28" si="165">E28+F27</f>
        <v>0</v>
      </c>
      <c r="G28" s="30">
        <f t="shared" ref="G28" si="166">F28+G27</f>
        <v>0</v>
      </c>
      <c r="H28" s="30">
        <f t="shared" ref="H28" si="167">G28+H27</f>
        <v>0</v>
      </c>
      <c r="I28" s="30">
        <f t="shared" ref="I28" si="168">H28+I27</f>
        <v>0</v>
      </c>
      <c r="J28" s="30">
        <f t="shared" ref="J28" si="169">I28+J27</f>
        <v>0</v>
      </c>
      <c r="K28" s="30">
        <f t="shared" ref="K28" si="170">J28+K27</f>
        <v>0</v>
      </c>
      <c r="L28" s="30">
        <f t="shared" ref="L28" si="171">K28+L27</f>
        <v>0</v>
      </c>
      <c r="M28" s="30">
        <f t="shared" ref="M28" si="172">L28+M27</f>
        <v>0</v>
      </c>
      <c r="N28" s="30">
        <f t="shared" ref="N28" si="173">M28+N27</f>
        <v>0</v>
      </c>
      <c r="O28" s="30">
        <f t="shared" ref="O28" si="174">N28+O27</f>
        <v>0</v>
      </c>
      <c r="P28" s="30">
        <f t="shared" ref="P28" si="175">O28+P27</f>
        <v>0</v>
      </c>
      <c r="Q28" s="30">
        <f t="shared" ref="Q28" si="176">P28+Q27</f>
        <v>0</v>
      </c>
      <c r="R28" s="30">
        <f t="shared" ref="R28" si="177">Q28+R27</f>
        <v>0</v>
      </c>
      <c r="S28" s="30">
        <f t="shared" ref="S28" si="178">R28+S27</f>
        <v>0</v>
      </c>
      <c r="T28" s="30">
        <f t="shared" ref="T28" si="179">S28+T27</f>
        <v>0</v>
      </c>
      <c r="U28" s="30">
        <f t="shared" ref="U28" si="180">T28+U27</f>
        <v>0</v>
      </c>
      <c r="V28" s="30">
        <f t="shared" ref="V28" si="181">U28+V27</f>
        <v>0</v>
      </c>
      <c r="W28" s="30">
        <f t="shared" ref="W28" si="182">V28+W27</f>
        <v>0</v>
      </c>
      <c r="X28" s="30">
        <f t="shared" ref="X28" si="183">W28+X27</f>
        <v>0</v>
      </c>
      <c r="Y28" s="30">
        <f t="shared" ref="Y28" si="184">X28+Y27</f>
        <v>0</v>
      </c>
      <c r="Z28" s="30">
        <f t="shared" ref="Z28" si="185">Y28+Z27</f>
        <v>0</v>
      </c>
      <c r="AA28" s="30">
        <f t="shared" ref="AA28" si="186">Z28+AA27</f>
        <v>0</v>
      </c>
      <c r="AB28" s="30">
        <f t="shared" ref="AB28" si="187">AA28+AB27</f>
        <v>0</v>
      </c>
      <c r="AC28" s="30">
        <f t="shared" ref="AC28" si="188">AB28+AC27</f>
        <v>0</v>
      </c>
      <c r="AD28" s="30">
        <f t="shared" ref="AD28" si="189">AC28+AD27</f>
        <v>0</v>
      </c>
      <c r="AE28" s="30">
        <f t="shared" ref="AE28" si="190">AD28+AE27</f>
        <v>0</v>
      </c>
      <c r="AF28" s="30">
        <f t="shared" ref="AF28" si="191">AE28+AF27</f>
        <v>0</v>
      </c>
      <c r="AG28" s="30">
        <f t="shared" ref="AG28" si="192">AF28+AG27</f>
        <v>0</v>
      </c>
      <c r="AH28" s="30">
        <f t="shared" ref="AH28" si="193">AG28+AH27</f>
        <v>0</v>
      </c>
      <c r="AI28" s="30">
        <f t="shared" ref="AI28" si="194">AH28+AI27</f>
        <v>0</v>
      </c>
      <c r="AJ28" s="30">
        <f t="shared" ref="AJ28" si="195">AI28+AJ27</f>
        <v>0</v>
      </c>
      <c r="AK28" s="30">
        <f t="shared" ref="AK28" si="196">AJ28+AK27</f>
        <v>0</v>
      </c>
      <c r="AL28" s="30">
        <f t="shared" ref="AL28" si="197">AK28+AL27</f>
        <v>0</v>
      </c>
      <c r="AM28" s="30">
        <f t="shared" ref="AM28" si="198">AL28+AM27</f>
        <v>0</v>
      </c>
      <c r="AN28" s="30">
        <f t="shared" ref="AN28" si="199">AM28+AN27</f>
        <v>0</v>
      </c>
      <c r="AO28" s="30">
        <f t="shared" ref="AO28" si="200">AN28+AO27</f>
        <v>0</v>
      </c>
      <c r="AP28" s="30">
        <f t="shared" ref="AP28" si="201">AO28+AP27</f>
        <v>0</v>
      </c>
      <c r="AQ28" s="30">
        <f t="shared" ref="AQ28" si="202">AP28+AQ27</f>
        <v>0</v>
      </c>
      <c r="AR28" s="30">
        <f t="shared" ref="AR28" si="203">AQ28+AR27</f>
        <v>0</v>
      </c>
      <c r="AS28" s="30">
        <f t="shared" ref="AS28" si="204">AR28+AS27</f>
        <v>0</v>
      </c>
      <c r="AT28" s="30">
        <f t="shared" ref="AT28" si="205">AS28+AT27</f>
        <v>0</v>
      </c>
      <c r="AU28" s="30">
        <f t="shared" ref="AU28" si="206">AT28+AU27</f>
        <v>0</v>
      </c>
      <c r="AV28" s="30">
        <f t="shared" ref="AV28" si="207">AU28+AV27</f>
        <v>0</v>
      </c>
      <c r="AW28" s="30">
        <f t="shared" ref="AW28" si="208">AV28+AW27</f>
        <v>0</v>
      </c>
      <c r="AX28" s="30">
        <f t="shared" ref="AX28" si="209">AW28+AX27</f>
        <v>0</v>
      </c>
      <c r="AY28" s="30">
        <f t="shared" ref="AY28" si="210">AX28+AY27</f>
        <v>0</v>
      </c>
      <c r="AZ28" s="30">
        <f t="shared" ref="AZ28" si="211">AY28+AZ27</f>
        <v>0</v>
      </c>
      <c r="BA28" s="30">
        <f t="shared" ref="BA28" si="212">AZ28+BA27</f>
        <v>0</v>
      </c>
      <c r="BB28" s="30">
        <f t="shared" ref="BB28" si="213">BA28+BB27</f>
        <v>0</v>
      </c>
      <c r="BC28" s="30">
        <f t="shared" ref="BC28" si="214">BB28+BC27</f>
        <v>0</v>
      </c>
      <c r="BD28" s="30">
        <f t="shared" ref="BD28" si="215">BC28+BD27</f>
        <v>0</v>
      </c>
      <c r="BE28" s="30">
        <f t="shared" ref="BE28" si="216">BD28+BE27</f>
        <v>0</v>
      </c>
      <c r="BF28" s="30">
        <f t="shared" ref="BF28" si="217">BE28+BF27</f>
        <v>0</v>
      </c>
      <c r="BG28" s="30">
        <f t="shared" ref="BG28" si="218">BF28+BG27</f>
        <v>0</v>
      </c>
      <c r="BH28" s="30">
        <f t="shared" ref="BH28" si="219">BG28+BH27</f>
        <v>0</v>
      </c>
      <c r="BI28" s="30">
        <f t="shared" ref="BI28" si="220">BH28+BI27</f>
        <v>0</v>
      </c>
      <c r="BJ28" s="30">
        <f t="shared" ref="BJ28" si="221">BI28+BJ27</f>
        <v>0</v>
      </c>
      <c r="BK28" s="30">
        <f t="shared" ref="BK28" si="222">BJ28+BK27</f>
        <v>0</v>
      </c>
      <c r="BL28" s="30">
        <f t="shared" ref="BL28" si="223">BK28+BL27</f>
        <v>0</v>
      </c>
      <c r="BM28" s="30">
        <f t="shared" ref="BM28" si="224">BL28+BM27</f>
        <v>0</v>
      </c>
      <c r="BN28" s="30">
        <f t="shared" ref="BN28" si="225">BM28+BN27</f>
        <v>0</v>
      </c>
      <c r="BO28" s="30">
        <f t="shared" ref="BO28" si="226">BN28+BO27</f>
        <v>0</v>
      </c>
      <c r="BP28" s="30">
        <f t="shared" ref="BP28" si="227">BO28+BP27</f>
        <v>0</v>
      </c>
      <c r="BQ28" s="30">
        <f t="shared" ref="BQ28" si="228">BP28+BQ27</f>
        <v>0</v>
      </c>
      <c r="BR28" s="30">
        <f t="shared" ref="BR28" si="229">BQ28+BR27</f>
        <v>0</v>
      </c>
      <c r="BS28" s="30">
        <f t="shared" ref="BS28" si="230">BR28+BS27</f>
        <v>0</v>
      </c>
      <c r="BT28" s="30">
        <f t="shared" ref="BT28" si="231">BS28+BT27</f>
        <v>0</v>
      </c>
      <c r="BU28" s="30">
        <f t="shared" ref="BU28" si="232">BT28+BU27</f>
        <v>0</v>
      </c>
      <c r="BV28" s="30">
        <f t="shared" ref="BV28" si="233">BU28+BV27</f>
        <v>0</v>
      </c>
      <c r="BW28" s="30">
        <f t="shared" ref="BW28" si="234">BV28+BW27</f>
        <v>0</v>
      </c>
      <c r="BX28" s="30">
        <f t="shared" ref="BX28" si="235">BW28+BX27</f>
        <v>0</v>
      </c>
      <c r="BY28" s="30">
        <f t="shared" ref="BY28" si="236">BX28+BY27</f>
        <v>0</v>
      </c>
      <c r="BZ28" s="30">
        <f t="shared" ref="BZ28" si="237">BY28+BZ27</f>
        <v>0</v>
      </c>
      <c r="CA28" s="30">
        <f t="shared" ref="CA28" si="238">BZ28+CA27</f>
        <v>0</v>
      </c>
      <c r="CB28" s="30">
        <f t="shared" ref="CB28" si="239">CA28+CB27</f>
        <v>0</v>
      </c>
      <c r="CC28" s="30">
        <f t="shared" ref="CC28" si="240">CB28+CC27</f>
        <v>0</v>
      </c>
      <c r="CD28" s="30">
        <f t="shared" ref="CD28" si="241">CC28+CD27</f>
        <v>0</v>
      </c>
      <c r="CE28" s="30">
        <f t="shared" ref="CE28" si="242">CD28+CE27</f>
        <v>0</v>
      </c>
      <c r="CF28" s="30">
        <f t="shared" ref="CF28" si="243">CE28+CF27</f>
        <v>0</v>
      </c>
      <c r="CG28" s="30">
        <f t="shared" ref="CG28" si="244">CF28+CG27</f>
        <v>0</v>
      </c>
      <c r="CH28" s="30">
        <f t="shared" ref="CH28" si="245">CG28+CH27</f>
        <v>0</v>
      </c>
      <c r="CI28" s="30">
        <f t="shared" ref="CI28" si="246">CH28+CI27</f>
        <v>0</v>
      </c>
      <c r="CJ28" s="30">
        <f t="shared" ref="CJ28" si="247">CI28+CJ27</f>
        <v>0</v>
      </c>
      <c r="CK28" s="30">
        <f t="shared" ref="CK28" si="248">CJ28+CK27</f>
        <v>0</v>
      </c>
      <c r="CL28" s="30">
        <f t="shared" ref="CL28" si="249">CK28+CL27</f>
        <v>0</v>
      </c>
      <c r="CM28" s="30">
        <f t="shared" ref="CM28" si="250">CL28+CM27</f>
        <v>0</v>
      </c>
      <c r="CN28" s="30">
        <f t="shared" ref="CN28" si="251">CM28+CN27</f>
        <v>0</v>
      </c>
      <c r="CO28" s="30">
        <f t="shared" ref="CO28" si="252">CN28+CO27</f>
        <v>0</v>
      </c>
      <c r="CP28" s="30">
        <f t="shared" ref="CP28" si="253">CO28+CP27</f>
        <v>0</v>
      </c>
      <c r="CQ28" s="30">
        <f t="shared" ref="CQ28" si="254">CP28+CQ27</f>
        <v>0</v>
      </c>
      <c r="CR28" s="30">
        <f t="shared" ref="CR28" si="255">CQ28+CR27</f>
        <v>0</v>
      </c>
      <c r="CS28" s="30">
        <f t="shared" ref="CS28" si="256">CR28+CS27</f>
        <v>0</v>
      </c>
      <c r="CT28" s="30">
        <f t="shared" ref="CT28" si="257">CS28+CT27</f>
        <v>0</v>
      </c>
      <c r="CU28" s="30">
        <f t="shared" ref="CU28" si="258">CT28+CU27</f>
        <v>0</v>
      </c>
      <c r="CV28" s="30">
        <f t="shared" ref="CV28" si="259">CU28+CV27</f>
        <v>0</v>
      </c>
      <c r="CW28" s="30">
        <f t="shared" ref="CW28" si="260">CV28+CW27</f>
        <v>0</v>
      </c>
      <c r="CX28" s="30">
        <f t="shared" ref="CX28" si="261">CW28+CX27</f>
        <v>0</v>
      </c>
      <c r="CY28" s="30">
        <f t="shared" ref="CY28" si="262">CX28+CY27</f>
        <v>0</v>
      </c>
      <c r="CZ28" s="30">
        <f t="shared" ref="CZ28" si="263">CY28+CZ27</f>
        <v>0</v>
      </c>
      <c r="DA28" s="30">
        <f t="shared" ref="DA28" si="264">CZ28+DA27</f>
        <v>0</v>
      </c>
      <c r="DB28" s="30">
        <f t="shared" ref="DB28" si="265">DA28+DB27</f>
        <v>0</v>
      </c>
      <c r="DC28" s="30">
        <f t="shared" ref="DC28" si="266">DB28+DC27</f>
        <v>0</v>
      </c>
      <c r="DD28" s="30">
        <f t="shared" ref="DD28" si="267">DC28+DD27</f>
        <v>0</v>
      </c>
      <c r="DE28" s="30">
        <f t="shared" ref="DE28" si="268">DD28+DE27</f>
        <v>0</v>
      </c>
      <c r="DF28" s="30">
        <f t="shared" ref="DF28" si="269">DE28+DF27</f>
        <v>0</v>
      </c>
      <c r="DG28" s="30">
        <f t="shared" ref="DG28" si="270">DF28+DG27</f>
        <v>0</v>
      </c>
      <c r="DH28" s="30">
        <f t="shared" ref="DH28" si="271">DG28+DH27</f>
        <v>0</v>
      </c>
      <c r="DI28" s="30">
        <f t="shared" ref="DI28" si="272">DH28+DI27</f>
        <v>0</v>
      </c>
      <c r="DJ28" s="30">
        <f t="shared" ref="DJ28" si="273">DI28+DJ27</f>
        <v>0</v>
      </c>
      <c r="DK28" s="30">
        <f t="shared" ref="DK28" si="274">DJ28+DK27</f>
        <v>0</v>
      </c>
      <c r="DL28" s="30">
        <f t="shared" ref="DL28" si="275">DK28+DL27</f>
        <v>0</v>
      </c>
      <c r="DM28" s="30">
        <f t="shared" ref="DM28" si="276">DL28+DM27</f>
        <v>0</v>
      </c>
      <c r="DN28" s="30">
        <f t="shared" ref="DN28" si="277">DM28+DN27</f>
        <v>0</v>
      </c>
      <c r="DO28" s="30">
        <f t="shared" ref="DO28" si="278">DN28+DO27</f>
        <v>0</v>
      </c>
      <c r="DP28" s="30">
        <f t="shared" ref="DP28" si="279">DO28+DP27</f>
        <v>0</v>
      </c>
      <c r="DQ28" s="30">
        <f t="shared" ref="DQ28" si="280">DP28+DQ27</f>
        <v>0</v>
      </c>
    </row>
    <row r="29" spans="1:121" x14ac:dyDescent="0.25"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</row>
    <row r="30" spans="1:121" s="155" customFormat="1" ht="15" x14ac:dyDescent="0.3">
      <c r="A30" s="111" t="s">
        <v>50</v>
      </c>
      <c r="B30" s="85"/>
      <c r="C30" s="161"/>
      <c r="D30" s="162">
        <v>43720</v>
      </c>
      <c r="E30" s="85"/>
      <c r="F30" s="85"/>
      <c r="G30" s="165">
        <v>43816</v>
      </c>
      <c r="H30" s="85"/>
      <c r="I30" s="85"/>
      <c r="J30" s="165">
        <v>43905</v>
      </c>
      <c r="K30" s="85"/>
      <c r="L30" s="85"/>
      <c r="M30" s="165">
        <v>43997</v>
      </c>
      <c r="N30" s="85"/>
      <c r="O30" s="85"/>
      <c r="P30" s="165">
        <v>44088</v>
      </c>
      <c r="Q30" s="85"/>
      <c r="R30" s="85"/>
      <c r="S30" s="85"/>
      <c r="T30" s="85"/>
      <c r="U30" s="85"/>
      <c r="V30" s="154"/>
      <c r="W30" s="85"/>
      <c r="X30" s="85"/>
      <c r="Y30" s="154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85"/>
      <c r="CK30" s="85"/>
      <c r="CL30" s="85"/>
      <c r="CM30" s="85"/>
      <c r="CN30" s="85"/>
      <c r="CO30" s="85"/>
      <c r="CP30" s="85"/>
      <c r="CQ30" s="85"/>
      <c r="CR30" s="85"/>
      <c r="CS30" s="85"/>
      <c r="CT30" s="85"/>
      <c r="CU30" s="85"/>
      <c r="CV30" s="85"/>
      <c r="CW30" s="85"/>
      <c r="CX30" s="85"/>
      <c r="CY30" s="85"/>
      <c r="CZ30" s="85"/>
      <c r="DA30" s="85"/>
      <c r="DB30" s="85"/>
      <c r="DC30" s="85"/>
      <c r="DD30" s="85"/>
      <c r="DE30" s="85"/>
      <c r="DF30" s="85"/>
      <c r="DG30" s="85"/>
      <c r="DH30" s="85"/>
      <c r="DI30" s="85"/>
      <c r="DJ30" s="85"/>
      <c r="DK30" s="85"/>
      <c r="DL30" s="85"/>
      <c r="DM30" s="85"/>
      <c r="DN30" s="85"/>
      <c r="DO30" s="85"/>
      <c r="DP30" s="85"/>
      <c r="DQ30" s="85"/>
    </row>
    <row r="31" spans="1:121" s="153" customFormat="1" ht="15" x14ac:dyDescent="0.3">
      <c r="A31" s="111" t="s">
        <v>51</v>
      </c>
      <c r="B31" s="106"/>
      <c r="C31" s="159"/>
      <c r="D31" s="158"/>
      <c r="E31" s="106"/>
      <c r="F31" s="106"/>
      <c r="G31" s="163"/>
      <c r="H31" s="106"/>
      <c r="I31" s="106"/>
      <c r="J31" s="163"/>
      <c r="K31" s="106"/>
      <c r="L31" s="106"/>
      <c r="M31" s="163"/>
      <c r="N31" s="106"/>
      <c r="O31" s="106"/>
      <c r="P31" s="163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06"/>
      <c r="BD31" s="106"/>
      <c r="BE31" s="106"/>
      <c r="BF31" s="106"/>
      <c r="BG31" s="106"/>
      <c r="BH31" s="106"/>
      <c r="BI31" s="106"/>
      <c r="BJ31" s="106"/>
      <c r="BK31" s="106"/>
      <c r="BL31" s="106"/>
      <c r="BM31" s="106"/>
      <c r="BN31" s="106"/>
      <c r="BO31" s="106"/>
      <c r="BP31" s="106"/>
      <c r="BQ31" s="106"/>
      <c r="BR31" s="106"/>
      <c r="BS31" s="106"/>
      <c r="BT31" s="106"/>
    </row>
    <row r="32" spans="1:121" s="153" customFormat="1" x14ac:dyDescent="0.25">
      <c r="A32" s="127" t="s">
        <v>28</v>
      </c>
      <c r="B32" s="106"/>
      <c r="C32" s="158"/>
      <c r="D32" s="158">
        <v>29951389</v>
      </c>
      <c r="E32" s="106"/>
      <c r="F32" s="106"/>
      <c r="G32" s="163">
        <v>40823611</v>
      </c>
      <c r="H32" s="106"/>
      <c r="I32" s="106"/>
      <c r="J32" s="163">
        <v>40823611</v>
      </c>
      <c r="K32" s="106"/>
      <c r="L32" s="106"/>
      <c r="M32" s="163">
        <v>41272222</v>
      </c>
      <c r="N32" s="106"/>
      <c r="O32" s="106"/>
      <c r="P32" s="163">
        <v>40493055</v>
      </c>
      <c r="Q32" s="106"/>
      <c r="R32" s="106"/>
      <c r="S32" s="106"/>
      <c r="T32" s="106"/>
      <c r="U32" s="106"/>
      <c r="V32" s="106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106"/>
      <c r="AL32" s="106"/>
      <c r="AM32" s="106"/>
      <c r="AN32" s="106"/>
      <c r="AO32" s="106"/>
      <c r="AP32" s="106"/>
      <c r="AQ32" s="106"/>
      <c r="AR32" s="106"/>
      <c r="AS32" s="106"/>
      <c r="AT32" s="106"/>
      <c r="AU32" s="106"/>
      <c r="AV32" s="106"/>
      <c r="AW32" s="106"/>
      <c r="AX32" s="106"/>
      <c r="AY32" s="106"/>
      <c r="AZ32" s="106"/>
      <c r="BA32" s="106"/>
      <c r="BB32" s="106"/>
      <c r="BC32" s="106"/>
      <c r="BD32" s="106"/>
      <c r="BE32" s="106"/>
      <c r="BF32" s="106"/>
      <c r="BG32" s="106"/>
      <c r="BH32" s="106"/>
      <c r="BI32" s="106"/>
      <c r="BJ32" s="106"/>
      <c r="BK32" s="106"/>
      <c r="BL32" s="106"/>
      <c r="BM32" s="106"/>
      <c r="BN32" s="106"/>
      <c r="BO32" s="106"/>
      <c r="BP32" s="106"/>
      <c r="BQ32" s="106"/>
      <c r="BR32" s="106"/>
      <c r="BS32" s="106"/>
      <c r="BT32" s="106"/>
      <c r="BU32" s="106"/>
      <c r="BV32" s="106"/>
      <c r="BW32" s="106"/>
      <c r="BX32" s="106"/>
      <c r="BY32" s="106"/>
      <c r="BZ32" s="106"/>
      <c r="CA32" s="106"/>
      <c r="CB32" s="106"/>
      <c r="CC32" s="106"/>
      <c r="CD32" s="106"/>
      <c r="CE32" s="106"/>
      <c r="CF32" s="106"/>
      <c r="CG32" s="106"/>
    </row>
    <row r="33" spans="1:121" s="153" customFormat="1" x14ac:dyDescent="0.25">
      <c r="A33" s="127" t="s">
        <v>22</v>
      </c>
      <c r="B33" s="106"/>
      <c r="C33" s="158"/>
      <c r="D33" s="158"/>
      <c r="E33" s="106"/>
      <c r="F33" s="106"/>
      <c r="G33" s="163"/>
      <c r="H33" s="106"/>
      <c r="I33" s="106"/>
      <c r="J33" s="163"/>
      <c r="K33" s="106"/>
      <c r="L33" s="106"/>
      <c r="M33" s="163"/>
      <c r="N33" s="106"/>
      <c r="O33" s="106"/>
      <c r="P33" s="163"/>
      <c r="Q33" s="106"/>
      <c r="R33" s="106"/>
      <c r="S33" s="106"/>
      <c r="T33" s="106"/>
      <c r="U33" s="106"/>
      <c r="V33" s="106"/>
      <c r="W33" s="106"/>
      <c r="X33" s="106"/>
      <c r="Y33" s="106"/>
      <c r="Z33" s="106"/>
      <c r="AA33" s="106"/>
      <c r="AB33" s="106"/>
      <c r="AC33" s="106"/>
      <c r="AD33" s="106"/>
      <c r="AE33" s="106"/>
      <c r="AF33" s="106"/>
      <c r="AG33" s="106"/>
      <c r="AH33" s="106"/>
      <c r="AI33" s="106"/>
      <c r="AJ33" s="106"/>
      <c r="AK33" s="106"/>
      <c r="AL33" s="106"/>
      <c r="AM33" s="106"/>
      <c r="AN33" s="106"/>
      <c r="AO33" s="106"/>
      <c r="AP33" s="106"/>
      <c r="AQ33" s="106"/>
      <c r="AR33" s="106"/>
      <c r="AS33" s="106"/>
      <c r="AT33" s="106"/>
      <c r="AU33" s="106"/>
      <c r="AV33" s="106"/>
      <c r="AW33" s="106"/>
      <c r="AX33" s="106"/>
      <c r="AY33" s="106"/>
      <c r="AZ33" s="106"/>
      <c r="BA33" s="106"/>
      <c r="BB33" s="106"/>
      <c r="BC33" s="106"/>
      <c r="BD33" s="106"/>
      <c r="BE33" s="106"/>
      <c r="BF33" s="106"/>
      <c r="BG33" s="106"/>
      <c r="BH33" s="106"/>
      <c r="BI33" s="106"/>
      <c r="BJ33" s="106"/>
      <c r="BK33" s="106"/>
      <c r="BL33" s="106"/>
      <c r="BM33" s="106"/>
      <c r="BN33" s="106"/>
      <c r="BO33" s="106"/>
      <c r="BP33" s="106"/>
      <c r="BQ33" s="106"/>
      <c r="BR33" s="106"/>
      <c r="BS33" s="106"/>
      <c r="BT33" s="106"/>
      <c r="BU33" s="106"/>
      <c r="BV33" s="106"/>
      <c r="BW33" s="106"/>
      <c r="BX33" s="106"/>
      <c r="BY33" s="106"/>
      <c r="BZ33" s="106"/>
      <c r="CA33" s="106"/>
      <c r="CB33" s="106"/>
      <c r="CC33" s="106"/>
      <c r="CD33" s="106"/>
      <c r="CE33" s="106"/>
      <c r="CF33" s="106"/>
      <c r="CG33" s="106"/>
    </row>
    <row r="34" spans="1:121" s="153" customFormat="1" x14ac:dyDescent="0.25">
      <c r="A34" s="127" t="s">
        <v>52</v>
      </c>
      <c r="B34" s="106"/>
      <c r="C34" s="158"/>
      <c r="D34" s="158"/>
      <c r="E34" s="106"/>
      <c r="F34" s="106"/>
      <c r="G34" s="163"/>
      <c r="H34" s="106"/>
      <c r="I34" s="106"/>
      <c r="J34" s="163"/>
      <c r="K34" s="106"/>
      <c r="L34" s="106"/>
      <c r="M34" s="163"/>
      <c r="N34" s="106"/>
      <c r="O34" s="106"/>
      <c r="P34" s="163"/>
      <c r="Q34" s="106"/>
      <c r="R34" s="106"/>
      <c r="S34" s="106"/>
      <c r="T34" s="106"/>
      <c r="U34" s="106"/>
      <c r="V34" s="106"/>
      <c r="W34" s="106"/>
      <c r="X34" s="106"/>
      <c r="Y34" s="106"/>
      <c r="Z34" s="106"/>
      <c r="AA34" s="106"/>
      <c r="AB34" s="106"/>
      <c r="AC34" s="106"/>
      <c r="AD34" s="106"/>
      <c r="AE34" s="106"/>
      <c r="AF34" s="106"/>
      <c r="AG34" s="106"/>
      <c r="AH34" s="106"/>
      <c r="AI34" s="106"/>
      <c r="AJ34" s="106"/>
      <c r="AK34" s="106"/>
      <c r="AL34" s="106"/>
      <c r="AM34" s="106"/>
      <c r="AN34" s="106"/>
      <c r="AO34" s="106"/>
      <c r="AP34" s="106"/>
      <c r="AQ34" s="106"/>
      <c r="AR34" s="106"/>
      <c r="AS34" s="106"/>
      <c r="AT34" s="106"/>
      <c r="AU34" s="106"/>
      <c r="AV34" s="106"/>
      <c r="AW34" s="106"/>
      <c r="AX34" s="106"/>
      <c r="AY34" s="106"/>
      <c r="AZ34" s="106"/>
      <c r="BA34" s="106"/>
      <c r="BB34" s="106"/>
      <c r="BC34" s="106"/>
      <c r="BD34" s="106"/>
      <c r="BE34" s="106"/>
      <c r="BF34" s="106"/>
      <c r="BG34" s="106"/>
      <c r="BH34" s="106"/>
      <c r="BI34" s="106"/>
      <c r="BJ34" s="106"/>
      <c r="BK34" s="106"/>
      <c r="BL34" s="106"/>
      <c r="BM34" s="106"/>
      <c r="BN34" s="106"/>
      <c r="BO34" s="106"/>
      <c r="BP34" s="106"/>
      <c r="BQ34" s="106"/>
      <c r="BR34" s="106"/>
      <c r="BS34" s="106"/>
      <c r="BT34" s="106"/>
      <c r="BU34" s="106"/>
      <c r="BV34" s="106"/>
      <c r="BW34" s="106"/>
      <c r="BX34" s="106"/>
      <c r="BY34" s="106"/>
      <c r="BZ34" s="106"/>
      <c r="CA34" s="106"/>
      <c r="CB34" s="106"/>
      <c r="CC34" s="106"/>
      <c r="CD34" s="106"/>
      <c r="CE34" s="106"/>
      <c r="CF34" s="106"/>
      <c r="CG34" s="106"/>
    </row>
    <row r="35" spans="1:121" s="153" customFormat="1" ht="15" x14ac:dyDescent="0.3">
      <c r="A35" s="41" t="s">
        <v>53</v>
      </c>
      <c r="B35" s="106"/>
      <c r="C35" s="158"/>
      <c r="D35" s="160">
        <f>D32+D33+D34</f>
        <v>29951389</v>
      </c>
      <c r="E35" s="106">
        <f t="shared" ref="E35:BP35" si="281">E32+E33+E34</f>
        <v>0</v>
      </c>
      <c r="F35" s="106">
        <f t="shared" si="281"/>
        <v>0</v>
      </c>
      <c r="G35" s="164">
        <f t="shared" si="281"/>
        <v>40823611</v>
      </c>
      <c r="H35" s="106">
        <f t="shared" si="281"/>
        <v>0</v>
      </c>
      <c r="I35" s="106">
        <f t="shared" si="281"/>
        <v>0</v>
      </c>
      <c r="J35" s="164">
        <f t="shared" ref="J35" si="282">J32+J33+J34</f>
        <v>40823611</v>
      </c>
      <c r="K35" s="106">
        <f t="shared" si="281"/>
        <v>0</v>
      </c>
      <c r="L35" s="106">
        <f t="shared" si="281"/>
        <v>0</v>
      </c>
      <c r="M35" s="164">
        <f t="shared" si="281"/>
        <v>41272222</v>
      </c>
      <c r="N35" s="106">
        <f t="shared" si="281"/>
        <v>0</v>
      </c>
      <c r="O35" s="106">
        <f t="shared" si="281"/>
        <v>0</v>
      </c>
      <c r="P35" s="164">
        <f t="shared" si="281"/>
        <v>40493055</v>
      </c>
      <c r="Q35" s="106">
        <f t="shared" si="281"/>
        <v>0</v>
      </c>
      <c r="R35" s="106">
        <f t="shared" si="281"/>
        <v>0</v>
      </c>
      <c r="S35" s="106">
        <f t="shared" si="281"/>
        <v>0</v>
      </c>
      <c r="T35" s="106">
        <f t="shared" si="281"/>
        <v>0</v>
      </c>
      <c r="U35" s="106">
        <f t="shared" si="281"/>
        <v>0</v>
      </c>
      <c r="V35" s="106">
        <f t="shared" si="281"/>
        <v>0</v>
      </c>
      <c r="W35" s="106">
        <f t="shared" si="281"/>
        <v>0</v>
      </c>
      <c r="X35" s="106">
        <f t="shared" si="281"/>
        <v>0</v>
      </c>
      <c r="Y35" s="106">
        <f t="shared" si="281"/>
        <v>0</v>
      </c>
      <c r="Z35" s="106">
        <f t="shared" si="281"/>
        <v>0</v>
      </c>
      <c r="AA35" s="106">
        <f t="shared" si="281"/>
        <v>0</v>
      </c>
      <c r="AB35" s="106">
        <f t="shared" si="281"/>
        <v>0</v>
      </c>
      <c r="AC35" s="106">
        <f t="shared" si="281"/>
        <v>0</v>
      </c>
      <c r="AD35" s="106">
        <f t="shared" si="281"/>
        <v>0</v>
      </c>
      <c r="AE35" s="106">
        <f t="shared" si="281"/>
        <v>0</v>
      </c>
      <c r="AF35" s="106">
        <f t="shared" si="281"/>
        <v>0</v>
      </c>
      <c r="AG35" s="106">
        <f t="shared" si="281"/>
        <v>0</v>
      </c>
      <c r="AH35" s="106">
        <f t="shared" si="281"/>
        <v>0</v>
      </c>
      <c r="AI35" s="106">
        <f t="shared" si="281"/>
        <v>0</v>
      </c>
      <c r="AJ35" s="106">
        <f t="shared" si="281"/>
        <v>0</v>
      </c>
      <c r="AK35" s="106">
        <f t="shared" si="281"/>
        <v>0</v>
      </c>
      <c r="AL35" s="106">
        <f t="shared" si="281"/>
        <v>0</v>
      </c>
      <c r="AM35" s="106">
        <f t="shared" si="281"/>
        <v>0</v>
      </c>
      <c r="AN35" s="106">
        <f t="shared" si="281"/>
        <v>0</v>
      </c>
      <c r="AO35" s="106">
        <f t="shared" si="281"/>
        <v>0</v>
      </c>
      <c r="AP35" s="106">
        <f t="shared" si="281"/>
        <v>0</v>
      </c>
      <c r="AQ35" s="106">
        <f t="shared" si="281"/>
        <v>0</v>
      </c>
      <c r="AR35" s="106">
        <f t="shared" si="281"/>
        <v>0</v>
      </c>
      <c r="AS35" s="106">
        <f t="shared" si="281"/>
        <v>0</v>
      </c>
      <c r="AT35" s="106">
        <f t="shared" si="281"/>
        <v>0</v>
      </c>
      <c r="AU35" s="106">
        <f t="shared" si="281"/>
        <v>0</v>
      </c>
      <c r="AV35" s="106">
        <f t="shared" si="281"/>
        <v>0</v>
      </c>
      <c r="AW35" s="106">
        <f t="shared" si="281"/>
        <v>0</v>
      </c>
      <c r="AX35" s="106">
        <f t="shared" si="281"/>
        <v>0</v>
      </c>
      <c r="AY35" s="106">
        <f t="shared" si="281"/>
        <v>0</v>
      </c>
      <c r="AZ35" s="106">
        <f t="shared" si="281"/>
        <v>0</v>
      </c>
      <c r="BA35" s="106">
        <f t="shared" si="281"/>
        <v>0</v>
      </c>
      <c r="BB35" s="106">
        <f t="shared" si="281"/>
        <v>0</v>
      </c>
      <c r="BC35" s="106">
        <f t="shared" si="281"/>
        <v>0</v>
      </c>
      <c r="BD35" s="106">
        <f t="shared" si="281"/>
        <v>0</v>
      </c>
      <c r="BE35" s="106">
        <f t="shared" si="281"/>
        <v>0</v>
      </c>
      <c r="BF35" s="106">
        <f t="shared" si="281"/>
        <v>0</v>
      </c>
      <c r="BG35" s="106">
        <f t="shared" si="281"/>
        <v>0</v>
      </c>
      <c r="BH35" s="106">
        <f t="shared" si="281"/>
        <v>0</v>
      </c>
      <c r="BI35" s="106">
        <f t="shared" si="281"/>
        <v>0</v>
      </c>
      <c r="BJ35" s="106">
        <f t="shared" si="281"/>
        <v>0</v>
      </c>
      <c r="BK35" s="106">
        <f t="shared" si="281"/>
        <v>0</v>
      </c>
      <c r="BL35" s="106">
        <f t="shared" si="281"/>
        <v>0</v>
      </c>
      <c r="BM35" s="106">
        <f t="shared" si="281"/>
        <v>0</v>
      </c>
      <c r="BN35" s="106">
        <f t="shared" si="281"/>
        <v>0</v>
      </c>
      <c r="BO35" s="106">
        <f t="shared" si="281"/>
        <v>0</v>
      </c>
      <c r="BP35" s="106">
        <f t="shared" si="281"/>
        <v>0</v>
      </c>
      <c r="BQ35" s="106">
        <f t="shared" ref="BQ35:DQ35" si="283">BQ32+BQ33+BQ34</f>
        <v>0</v>
      </c>
      <c r="BR35" s="106">
        <f t="shared" si="283"/>
        <v>0</v>
      </c>
      <c r="BS35" s="106">
        <f t="shared" si="283"/>
        <v>0</v>
      </c>
      <c r="BT35" s="106">
        <f t="shared" si="283"/>
        <v>0</v>
      </c>
      <c r="BU35" s="106">
        <f t="shared" si="283"/>
        <v>0</v>
      </c>
      <c r="BV35" s="106">
        <f t="shared" si="283"/>
        <v>0</v>
      </c>
      <c r="BW35" s="106">
        <f t="shared" si="283"/>
        <v>0</v>
      </c>
      <c r="BX35" s="106">
        <f t="shared" si="283"/>
        <v>0</v>
      </c>
      <c r="BY35" s="106">
        <f t="shared" si="283"/>
        <v>0</v>
      </c>
      <c r="BZ35" s="106">
        <f t="shared" si="283"/>
        <v>0</v>
      </c>
      <c r="CA35" s="106">
        <f t="shared" si="283"/>
        <v>0</v>
      </c>
      <c r="CB35" s="106">
        <f t="shared" si="283"/>
        <v>0</v>
      </c>
      <c r="CC35" s="106">
        <f t="shared" si="283"/>
        <v>0</v>
      </c>
      <c r="CD35" s="106">
        <f t="shared" si="283"/>
        <v>0</v>
      </c>
      <c r="CE35" s="106">
        <f t="shared" si="283"/>
        <v>0</v>
      </c>
      <c r="CF35" s="106">
        <f t="shared" si="283"/>
        <v>0</v>
      </c>
      <c r="CG35" s="106">
        <f t="shared" si="283"/>
        <v>0</v>
      </c>
      <c r="CH35" s="106">
        <f t="shared" si="283"/>
        <v>0</v>
      </c>
      <c r="CI35" s="106">
        <f t="shared" si="283"/>
        <v>0</v>
      </c>
      <c r="CJ35" s="106">
        <f t="shared" si="283"/>
        <v>0</v>
      </c>
      <c r="CK35" s="106">
        <f t="shared" si="283"/>
        <v>0</v>
      </c>
      <c r="CL35" s="106">
        <f t="shared" si="283"/>
        <v>0</v>
      </c>
      <c r="CM35" s="106">
        <f t="shared" si="283"/>
        <v>0</v>
      </c>
      <c r="CN35" s="106">
        <f t="shared" si="283"/>
        <v>0</v>
      </c>
      <c r="CO35" s="106">
        <f t="shared" si="283"/>
        <v>0</v>
      </c>
      <c r="CP35" s="106">
        <f t="shared" si="283"/>
        <v>0</v>
      </c>
      <c r="CQ35" s="106">
        <f t="shared" si="283"/>
        <v>0</v>
      </c>
      <c r="CR35" s="106">
        <f t="shared" si="283"/>
        <v>0</v>
      </c>
      <c r="CS35" s="106">
        <f t="shared" si="283"/>
        <v>0</v>
      </c>
      <c r="CT35" s="106">
        <f t="shared" si="283"/>
        <v>0</v>
      </c>
      <c r="CU35" s="106">
        <f t="shared" si="283"/>
        <v>0</v>
      </c>
      <c r="CV35" s="106">
        <f t="shared" si="283"/>
        <v>0</v>
      </c>
      <c r="CW35" s="106">
        <f t="shared" si="283"/>
        <v>0</v>
      </c>
      <c r="CX35" s="106">
        <f t="shared" si="283"/>
        <v>0</v>
      </c>
      <c r="CY35" s="106">
        <f t="shared" si="283"/>
        <v>0</v>
      </c>
      <c r="CZ35" s="106">
        <f t="shared" si="283"/>
        <v>0</v>
      </c>
      <c r="DA35" s="106">
        <f t="shared" si="283"/>
        <v>0</v>
      </c>
      <c r="DB35" s="106">
        <f t="shared" si="283"/>
        <v>0</v>
      </c>
      <c r="DC35" s="106">
        <f t="shared" si="283"/>
        <v>0</v>
      </c>
      <c r="DD35" s="106">
        <f t="shared" si="283"/>
        <v>0</v>
      </c>
      <c r="DE35" s="106">
        <f t="shared" si="283"/>
        <v>0</v>
      </c>
      <c r="DF35" s="106">
        <f t="shared" si="283"/>
        <v>0</v>
      </c>
      <c r="DG35" s="106">
        <f t="shared" si="283"/>
        <v>0</v>
      </c>
      <c r="DH35" s="106">
        <f t="shared" si="283"/>
        <v>0</v>
      </c>
      <c r="DI35" s="106">
        <f t="shared" si="283"/>
        <v>0</v>
      </c>
      <c r="DJ35" s="106">
        <f t="shared" si="283"/>
        <v>0</v>
      </c>
      <c r="DK35" s="106">
        <f t="shared" si="283"/>
        <v>0</v>
      </c>
      <c r="DL35" s="106">
        <f t="shared" si="283"/>
        <v>0</v>
      </c>
      <c r="DM35" s="106">
        <f t="shared" si="283"/>
        <v>0</v>
      </c>
      <c r="DN35" s="106">
        <f t="shared" si="283"/>
        <v>0</v>
      </c>
      <c r="DO35" s="106">
        <f t="shared" si="283"/>
        <v>0</v>
      </c>
      <c r="DP35" s="106">
        <f t="shared" si="283"/>
        <v>0</v>
      </c>
      <c r="DQ35" s="106">
        <f t="shared" si="283"/>
        <v>0</v>
      </c>
    </row>
  </sheetData>
  <phoneticPr fontId="0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88"/>
  <sheetViews>
    <sheetView showGridLines="0" workbookViewId="0">
      <selection activeCell="AN62" sqref="AN62:AO62"/>
    </sheetView>
  </sheetViews>
  <sheetFormatPr defaultColWidth="8" defaultRowHeight="12.75" x14ac:dyDescent="0.2"/>
  <cols>
    <col min="1" max="1" width="29" style="2" bestFit="1" customWidth="1"/>
    <col min="2" max="2" width="12.28515625" style="2" bestFit="1" customWidth="1"/>
    <col min="3" max="3" width="21" style="2" customWidth="1"/>
    <col min="4" max="4" width="14.140625" style="2" bestFit="1" customWidth="1"/>
    <col min="5" max="6" width="12.28515625" style="2" bestFit="1" customWidth="1"/>
    <col min="7" max="7" width="18.85546875" style="2" customWidth="1"/>
    <col min="8" max="8" width="13.7109375" style="2" bestFit="1" customWidth="1"/>
    <col min="9" max="21" width="12.28515625" style="2" bestFit="1" customWidth="1"/>
    <col min="22" max="38" width="10.85546875" style="2" bestFit="1" customWidth="1"/>
    <col min="39" max="39" width="13" style="2" customWidth="1"/>
    <col min="40" max="40" width="13.7109375" style="2" customWidth="1"/>
    <col min="41" max="41" width="12.5703125" style="2" customWidth="1"/>
    <col min="42" max="16384" width="8" style="2"/>
  </cols>
  <sheetData>
    <row r="1" spans="1:7" s="10" customFormat="1" ht="15" x14ac:dyDescent="0.25">
      <c r="A1" s="9" t="s">
        <v>0</v>
      </c>
      <c r="C1" s="9" t="str">
        <f>Disbursement!B1</f>
        <v xml:space="preserve">Seven Circle (Bangladesh) Ltd. </v>
      </c>
    </row>
    <row r="2" spans="1:7" s="10" customFormat="1" ht="15" x14ac:dyDescent="0.25">
      <c r="A2" s="9"/>
    </row>
    <row r="3" spans="1:7" s="11" customFormat="1" x14ac:dyDescent="0.2">
      <c r="A3" s="11" t="s">
        <v>59</v>
      </c>
      <c r="B3" s="2"/>
      <c r="C3" s="71">
        <v>43626</v>
      </c>
      <c r="E3" s="125"/>
    </row>
    <row r="5" spans="1:7" x14ac:dyDescent="0.2">
      <c r="A5" s="11" t="s">
        <v>2</v>
      </c>
      <c r="C5" s="72">
        <v>1700000000</v>
      </c>
      <c r="D5" s="11"/>
      <c r="G5" s="126" t="s">
        <v>67</v>
      </c>
    </row>
    <row r="6" spans="1:7" x14ac:dyDescent="0.2">
      <c r="A6" s="11"/>
    </row>
    <row r="7" spans="1:7" x14ac:dyDescent="0.2">
      <c r="A7" s="11" t="s">
        <v>56</v>
      </c>
      <c r="C7" s="71" t="s">
        <v>70</v>
      </c>
    </row>
    <row r="8" spans="1:7" x14ac:dyDescent="0.2">
      <c r="A8" s="11" t="s">
        <v>3</v>
      </c>
      <c r="C8" s="150">
        <v>9.5000000000000001E-2</v>
      </c>
    </row>
    <row r="9" spans="1:7" x14ac:dyDescent="0.2">
      <c r="A9" s="11" t="s">
        <v>54</v>
      </c>
      <c r="C9" s="115">
        <v>120</v>
      </c>
      <c r="D9" s="2" t="s">
        <v>55</v>
      </c>
      <c r="E9" s="112">
        <f>EDATE(C16,C9)</f>
        <v>47301</v>
      </c>
    </row>
    <row r="10" spans="1:7" x14ac:dyDescent="0.2">
      <c r="A10" s="11" t="s">
        <v>62</v>
      </c>
      <c r="C10" s="115">
        <v>18</v>
      </c>
      <c r="D10" s="2" t="s">
        <v>55</v>
      </c>
      <c r="E10" s="112">
        <f>EDATE(C16,C10)</f>
        <v>44198</v>
      </c>
    </row>
    <row r="11" spans="1:7" x14ac:dyDescent="0.2">
      <c r="A11" s="11" t="s">
        <v>22</v>
      </c>
      <c r="C11" s="117" t="s">
        <v>77</v>
      </c>
    </row>
    <row r="12" spans="1:7" x14ac:dyDescent="0.2">
      <c r="A12" s="60" t="s">
        <v>45</v>
      </c>
      <c r="C12" s="73">
        <v>360</v>
      </c>
      <c r="D12" s="52" t="s">
        <v>46</v>
      </c>
    </row>
    <row r="13" spans="1:7" x14ac:dyDescent="0.2">
      <c r="A13" s="60" t="s">
        <v>47</v>
      </c>
      <c r="B13" s="52"/>
      <c r="C13" s="74">
        <v>34</v>
      </c>
    </row>
    <row r="14" spans="1:7" x14ac:dyDescent="0.2">
      <c r="A14" s="60"/>
      <c r="B14" s="57"/>
      <c r="C14" s="59"/>
    </row>
    <row r="15" spans="1:7" x14ac:dyDescent="0.2">
      <c r="A15" s="60" t="s">
        <v>48</v>
      </c>
      <c r="B15" s="57"/>
      <c r="C15" s="140"/>
      <c r="D15" s="140"/>
      <c r="F15" s="112"/>
    </row>
    <row r="16" spans="1:7" x14ac:dyDescent="0.2">
      <c r="A16" s="61"/>
      <c r="B16" s="62"/>
      <c r="C16" s="62">
        <f>Disbursement!B8</f>
        <v>43648</v>
      </c>
      <c r="D16" s="62">
        <f>Disbursement!B9</f>
        <v>43648</v>
      </c>
      <c r="E16" s="62">
        <f>Disbursement!B10</f>
        <v>43662</v>
      </c>
      <c r="F16" s="62"/>
      <c r="G16" s="112"/>
    </row>
    <row r="17" spans="1:143" x14ac:dyDescent="0.2">
      <c r="A17" s="63"/>
      <c r="B17" s="64"/>
      <c r="C17" s="67">
        <f>Disbursement!C8</f>
        <v>580000000</v>
      </c>
      <c r="D17" s="67">
        <f>Disbursement!C9</f>
        <v>120000000</v>
      </c>
      <c r="E17" s="67">
        <f>Disbursement!C10</f>
        <v>1000000000</v>
      </c>
      <c r="F17" s="67"/>
    </row>
    <row r="18" spans="1:143" x14ac:dyDescent="0.2">
      <c r="A18" s="65"/>
      <c r="B18" s="66"/>
      <c r="C18" s="69">
        <f>C17</f>
        <v>580000000</v>
      </c>
      <c r="D18" s="69">
        <f>D17+C18</f>
        <v>700000000</v>
      </c>
      <c r="E18" s="69">
        <f>E17+D18</f>
        <v>1700000000</v>
      </c>
      <c r="F18" s="69"/>
    </row>
    <row r="19" spans="1:143" x14ac:dyDescent="0.2">
      <c r="A19" s="58"/>
      <c r="B19" s="57"/>
      <c r="C19" s="59"/>
    </row>
    <row r="20" spans="1:143" x14ac:dyDescent="0.2">
      <c r="A20" s="11"/>
    </row>
    <row r="21" spans="1:143" x14ac:dyDescent="0.2">
      <c r="A21" s="13" t="s">
        <v>57</v>
      </c>
      <c r="B21" s="107">
        <f>B28</f>
        <v>43723</v>
      </c>
      <c r="C21" s="107">
        <f t="shared" ref="C21:AN21" si="0">C28</f>
        <v>43814</v>
      </c>
      <c r="D21" s="107">
        <f t="shared" si="0"/>
        <v>43905</v>
      </c>
      <c r="E21" s="107">
        <f t="shared" si="0"/>
        <v>43997</v>
      </c>
      <c r="F21" s="107">
        <f t="shared" si="0"/>
        <v>44089</v>
      </c>
      <c r="G21" s="107">
        <f t="shared" si="0"/>
        <v>44180</v>
      </c>
      <c r="H21" s="107">
        <f t="shared" si="0"/>
        <v>44270</v>
      </c>
      <c r="I21" s="107">
        <f t="shared" si="0"/>
        <v>44362</v>
      </c>
      <c r="J21" s="107">
        <f t="shared" si="0"/>
        <v>44454</v>
      </c>
      <c r="K21" s="107">
        <f t="shared" si="0"/>
        <v>44545</v>
      </c>
      <c r="L21" s="107">
        <f t="shared" si="0"/>
        <v>44635</v>
      </c>
      <c r="M21" s="107">
        <f t="shared" si="0"/>
        <v>44727</v>
      </c>
      <c r="N21" s="107">
        <f t="shared" si="0"/>
        <v>44819</v>
      </c>
      <c r="O21" s="107">
        <f t="shared" si="0"/>
        <v>44910</v>
      </c>
      <c r="P21" s="107">
        <f t="shared" si="0"/>
        <v>45000</v>
      </c>
      <c r="Q21" s="107">
        <f t="shared" si="0"/>
        <v>45092</v>
      </c>
      <c r="R21" s="107">
        <f t="shared" si="0"/>
        <v>45183</v>
      </c>
      <c r="S21" s="107">
        <f t="shared" si="0"/>
        <v>45274</v>
      </c>
      <c r="T21" s="107">
        <f t="shared" si="0"/>
        <v>45365</v>
      </c>
      <c r="U21" s="107">
        <f t="shared" si="0"/>
        <v>45456</v>
      </c>
      <c r="V21" s="107">
        <f t="shared" si="0"/>
        <v>45550</v>
      </c>
      <c r="W21" s="107">
        <f t="shared" si="0"/>
        <v>45641</v>
      </c>
      <c r="X21" s="107">
        <f t="shared" si="0"/>
        <v>45729</v>
      </c>
      <c r="Y21" s="107">
        <f t="shared" si="0"/>
        <v>45823</v>
      </c>
      <c r="Z21" s="107">
        <f t="shared" si="0"/>
        <v>45915</v>
      </c>
      <c r="AA21" s="107">
        <f t="shared" si="0"/>
        <v>46006</v>
      </c>
      <c r="AB21" s="107">
        <f t="shared" si="0"/>
        <v>46096</v>
      </c>
      <c r="AC21" s="107">
        <f t="shared" si="0"/>
        <v>46188</v>
      </c>
      <c r="AD21" s="107">
        <f t="shared" si="0"/>
        <v>46280</v>
      </c>
      <c r="AE21" s="107">
        <f t="shared" si="0"/>
        <v>46371</v>
      </c>
      <c r="AF21" s="107">
        <f t="shared" si="0"/>
        <v>46461</v>
      </c>
      <c r="AG21" s="107">
        <f t="shared" si="0"/>
        <v>46553</v>
      </c>
      <c r="AH21" s="107">
        <f t="shared" si="0"/>
        <v>46645</v>
      </c>
      <c r="AI21" s="107">
        <f t="shared" si="0"/>
        <v>46736</v>
      </c>
      <c r="AJ21" s="107">
        <f t="shared" si="0"/>
        <v>46827</v>
      </c>
      <c r="AK21" s="107">
        <f t="shared" si="0"/>
        <v>46919</v>
      </c>
      <c r="AL21" s="107">
        <f t="shared" si="0"/>
        <v>47010</v>
      </c>
      <c r="AM21" s="107">
        <f t="shared" si="0"/>
        <v>47101</v>
      </c>
      <c r="AN21" s="107">
        <f t="shared" si="0"/>
        <v>47192</v>
      </c>
      <c r="AO21" s="107">
        <f t="shared" ref="AO21" si="1">AO28</f>
        <v>47283</v>
      </c>
    </row>
    <row r="22" spans="1:143" ht="13.5" customHeight="1" thickBot="1" x14ac:dyDescent="0.3">
      <c r="A22" s="141" t="s">
        <v>72</v>
      </c>
      <c r="B22" s="142">
        <f>C8</f>
        <v>9.5000000000000001E-2</v>
      </c>
      <c r="C22" s="142">
        <v>9.5000000000000001E-2</v>
      </c>
      <c r="D22" s="142">
        <v>9.5000000000000001E-2</v>
      </c>
      <c r="E22" s="142">
        <v>9.5000000000000001E-2</v>
      </c>
      <c r="F22" s="142">
        <v>0.09</v>
      </c>
      <c r="G22" s="142">
        <v>0.09</v>
      </c>
      <c r="H22" s="142">
        <v>0.09</v>
      </c>
      <c r="I22" s="142">
        <v>0.09</v>
      </c>
      <c r="J22" s="142">
        <v>0.09</v>
      </c>
      <c r="K22" s="142">
        <v>0.09</v>
      </c>
      <c r="L22" s="142">
        <v>0.09</v>
      </c>
      <c r="M22" s="142">
        <v>0.09</v>
      </c>
      <c r="N22" s="142">
        <v>0.09</v>
      </c>
      <c r="O22" s="142">
        <v>0.09</v>
      </c>
      <c r="P22" s="142">
        <v>0.09</v>
      </c>
      <c r="Q22" s="142">
        <v>0.09</v>
      </c>
      <c r="R22" s="142">
        <v>0.09</v>
      </c>
      <c r="S22" s="142">
        <v>0.09</v>
      </c>
      <c r="T22" s="142">
        <v>0.09</v>
      </c>
      <c r="U22" s="142">
        <v>0.09</v>
      </c>
      <c r="V22" s="142">
        <v>0.09</v>
      </c>
      <c r="W22" s="142">
        <v>0.09</v>
      </c>
      <c r="X22" s="142">
        <v>0.09</v>
      </c>
      <c r="Y22" s="142">
        <v>0.09</v>
      </c>
      <c r="Z22" s="142">
        <v>0.09</v>
      </c>
      <c r="AA22" s="142">
        <v>0.09</v>
      </c>
      <c r="AB22" s="142">
        <v>0.09</v>
      </c>
      <c r="AC22" s="142">
        <v>0.09</v>
      </c>
      <c r="AD22" s="142">
        <v>0.09</v>
      </c>
      <c r="AE22" s="142">
        <v>0.09</v>
      </c>
      <c r="AF22" s="142">
        <v>0.09</v>
      </c>
      <c r="AG22" s="142">
        <v>0.09</v>
      </c>
      <c r="AH22" s="142">
        <v>0.09</v>
      </c>
      <c r="AI22" s="142">
        <v>0.09</v>
      </c>
      <c r="AJ22" s="142">
        <v>0.09</v>
      </c>
      <c r="AK22" s="142">
        <v>0.09</v>
      </c>
      <c r="AL22" s="142">
        <v>0.09</v>
      </c>
      <c r="AM22" s="142">
        <v>0.09</v>
      </c>
      <c r="AN22" s="142">
        <v>0.09</v>
      </c>
      <c r="AO22" s="142">
        <v>0.09</v>
      </c>
    </row>
    <row r="23" spans="1:143" ht="13.5" customHeight="1" thickBot="1" x14ac:dyDescent="0.3">
      <c r="A23" s="11"/>
      <c r="B23" s="114"/>
      <c r="C23" s="114"/>
      <c r="D23" s="7"/>
      <c r="E23" s="114"/>
      <c r="F23" s="114"/>
      <c r="G23" s="142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  <c r="V23" s="114"/>
      <c r="W23" s="114"/>
      <c r="X23" s="114"/>
      <c r="Y23" s="114"/>
      <c r="Z23" s="114"/>
      <c r="AA23" s="114"/>
      <c r="AB23" s="114"/>
      <c r="AC23" s="114"/>
    </row>
    <row r="24" spans="1:143" x14ac:dyDescent="0.2">
      <c r="A24" s="149" t="s">
        <v>79</v>
      </c>
      <c r="B24" s="107"/>
      <c r="C24" s="107"/>
      <c r="D24" s="107"/>
      <c r="E24" s="107"/>
      <c r="F24" s="107"/>
      <c r="G24" s="107">
        <f>G28</f>
        <v>44180</v>
      </c>
      <c r="H24" s="107">
        <f t="shared" ref="H24:AN24" si="2">H28</f>
        <v>44270</v>
      </c>
      <c r="I24" s="107">
        <f t="shared" si="2"/>
        <v>44362</v>
      </c>
      <c r="J24" s="107">
        <f t="shared" si="2"/>
        <v>44454</v>
      </c>
      <c r="K24" s="107">
        <f t="shared" si="2"/>
        <v>44545</v>
      </c>
      <c r="L24" s="107">
        <f t="shared" si="2"/>
        <v>44635</v>
      </c>
      <c r="M24" s="107">
        <f t="shared" si="2"/>
        <v>44727</v>
      </c>
      <c r="N24" s="107">
        <f t="shared" si="2"/>
        <v>44819</v>
      </c>
      <c r="O24" s="107">
        <f t="shared" si="2"/>
        <v>44910</v>
      </c>
      <c r="P24" s="107">
        <f t="shared" si="2"/>
        <v>45000</v>
      </c>
      <c r="Q24" s="107">
        <f t="shared" si="2"/>
        <v>45092</v>
      </c>
      <c r="R24" s="107">
        <f t="shared" si="2"/>
        <v>45183</v>
      </c>
      <c r="S24" s="107">
        <f t="shared" si="2"/>
        <v>45274</v>
      </c>
      <c r="T24" s="107">
        <f t="shared" si="2"/>
        <v>45365</v>
      </c>
      <c r="U24" s="107">
        <f t="shared" si="2"/>
        <v>45456</v>
      </c>
      <c r="V24" s="107">
        <f t="shared" si="2"/>
        <v>45550</v>
      </c>
      <c r="W24" s="107">
        <f t="shared" si="2"/>
        <v>45641</v>
      </c>
      <c r="X24" s="107">
        <f t="shared" si="2"/>
        <v>45729</v>
      </c>
      <c r="Y24" s="107">
        <f t="shared" si="2"/>
        <v>45823</v>
      </c>
      <c r="Z24" s="107">
        <f t="shared" si="2"/>
        <v>45915</v>
      </c>
      <c r="AA24" s="107">
        <f t="shared" si="2"/>
        <v>46006</v>
      </c>
      <c r="AB24" s="107">
        <f t="shared" si="2"/>
        <v>46096</v>
      </c>
      <c r="AC24" s="107">
        <f t="shared" si="2"/>
        <v>46188</v>
      </c>
      <c r="AD24" s="107">
        <f t="shared" si="2"/>
        <v>46280</v>
      </c>
      <c r="AE24" s="107">
        <f t="shared" si="2"/>
        <v>46371</v>
      </c>
      <c r="AF24" s="107">
        <f t="shared" si="2"/>
        <v>46461</v>
      </c>
      <c r="AG24" s="107">
        <f t="shared" si="2"/>
        <v>46553</v>
      </c>
      <c r="AH24" s="107">
        <f t="shared" si="2"/>
        <v>46645</v>
      </c>
      <c r="AI24" s="107">
        <f t="shared" si="2"/>
        <v>46736</v>
      </c>
      <c r="AJ24" s="107">
        <f t="shared" si="2"/>
        <v>46827</v>
      </c>
      <c r="AK24" s="107">
        <f t="shared" si="2"/>
        <v>46919</v>
      </c>
      <c r="AL24" s="107">
        <f t="shared" si="2"/>
        <v>47010</v>
      </c>
      <c r="AM24" s="107">
        <f t="shared" si="2"/>
        <v>47101</v>
      </c>
      <c r="AN24" s="107">
        <f t="shared" si="2"/>
        <v>47192</v>
      </c>
      <c r="AO24" s="107">
        <f t="shared" ref="AO24" si="3">AO28</f>
        <v>47283</v>
      </c>
    </row>
    <row r="25" spans="1:143" ht="13.5" customHeight="1" thickBot="1" x14ac:dyDescent="0.3">
      <c r="A25" s="141"/>
      <c r="B25" s="142"/>
      <c r="C25" s="142"/>
      <c r="D25" s="142"/>
      <c r="E25" s="142"/>
      <c r="F25" s="142"/>
      <c r="G25" s="142"/>
      <c r="H25" s="142">
        <v>2.9600000000000001E-2</v>
      </c>
      <c r="I25" s="142">
        <v>2.9600000000000001E-2</v>
      </c>
      <c r="J25" s="142">
        <v>2.9399999999999999E-2</v>
      </c>
      <c r="K25" s="142">
        <v>2.9399999999999999E-2</v>
      </c>
      <c r="L25" s="142">
        <v>2.9399999999999999E-2</v>
      </c>
      <c r="M25" s="142">
        <v>2.9399999999999999E-2</v>
      </c>
      <c r="N25" s="142">
        <v>2.9399999999999999E-2</v>
      </c>
      <c r="O25" s="142">
        <v>2.9399999999999999E-2</v>
      </c>
      <c r="P25" s="142">
        <v>2.9399999999999999E-2</v>
      </c>
      <c r="Q25" s="142">
        <v>2.9399999999999999E-2</v>
      </c>
      <c r="R25" s="142">
        <v>2.9399999999999999E-2</v>
      </c>
      <c r="S25" s="142">
        <v>2.9399999999999999E-2</v>
      </c>
      <c r="T25" s="142">
        <v>2.9399999999999999E-2</v>
      </c>
      <c r="U25" s="142">
        <v>2.9399999999999999E-2</v>
      </c>
      <c r="V25" s="142">
        <v>2.9399999999999999E-2</v>
      </c>
      <c r="W25" s="142">
        <v>2.9399999999999999E-2</v>
      </c>
      <c r="X25" s="142">
        <v>2.9399999999999999E-2</v>
      </c>
      <c r="Y25" s="142">
        <v>2.9399999999999999E-2</v>
      </c>
      <c r="Z25" s="142">
        <v>2.9399999999999999E-2</v>
      </c>
      <c r="AA25" s="142">
        <v>2.9399999999999999E-2</v>
      </c>
      <c r="AB25" s="142">
        <v>2.9399999999999999E-2</v>
      </c>
      <c r="AC25" s="142">
        <v>2.9399999999999999E-2</v>
      </c>
      <c r="AD25" s="142">
        <v>2.9399999999999999E-2</v>
      </c>
      <c r="AE25" s="142">
        <v>2.9399999999999999E-2</v>
      </c>
      <c r="AF25" s="142">
        <v>2.9399999999999999E-2</v>
      </c>
      <c r="AG25" s="142">
        <v>2.9399999999999999E-2</v>
      </c>
      <c r="AH25" s="142">
        <v>2.9399999999999999E-2</v>
      </c>
      <c r="AI25" s="142">
        <v>2.9399999999999999E-2</v>
      </c>
      <c r="AJ25" s="142">
        <v>2.9399999999999999E-2</v>
      </c>
      <c r="AK25" s="142">
        <v>2.9399999999999999E-2</v>
      </c>
      <c r="AL25" s="142">
        <v>2.9399999999999999E-2</v>
      </c>
      <c r="AM25" s="142">
        <v>2.9399999999999999E-2</v>
      </c>
      <c r="AN25" s="142">
        <v>2.9399999999999999E-2</v>
      </c>
      <c r="AO25" s="142">
        <v>2.9399999999999999E-2</v>
      </c>
      <c r="AP25" s="142"/>
    </row>
    <row r="26" spans="1:143" x14ac:dyDescent="0.2">
      <c r="A26" s="11" t="s">
        <v>73</v>
      </c>
      <c r="B26" s="1"/>
      <c r="C26" s="1"/>
      <c r="D26" s="1"/>
      <c r="E26" s="1"/>
      <c r="F26" s="107">
        <v>44056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143" x14ac:dyDescent="0.2">
      <c r="A27" s="13" t="s">
        <v>10</v>
      </c>
      <c r="B27" s="14"/>
      <c r="C27" s="14"/>
      <c r="D27" s="14"/>
      <c r="E27" s="14"/>
      <c r="F27" s="14"/>
      <c r="G27" s="14"/>
      <c r="H27" s="14">
        <f>G27+1</f>
        <v>1</v>
      </c>
      <c r="I27" s="14">
        <f t="shared" ref="I27:AO27" si="4">H27+1</f>
        <v>2</v>
      </c>
      <c r="J27" s="14">
        <f t="shared" si="4"/>
        <v>3</v>
      </c>
      <c r="K27" s="14">
        <f t="shared" si="4"/>
        <v>4</v>
      </c>
      <c r="L27" s="14">
        <f t="shared" si="4"/>
        <v>5</v>
      </c>
      <c r="M27" s="14">
        <f t="shared" si="4"/>
        <v>6</v>
      </c>
      <c r="N27" s="14">
        <f t="shared" si="4"/>
        <v>7</v>
      </c>
      <c r="O27" s="14">
        <f t="shared" si="4"/>
        <v>8</v>
      </c>
      <c r="P27" s="14">
        <f t="shared" si="4"/>
        <v>9</v>
      </c>
      <c r="Q27" s="14">
        <f t="shared" si="4"/>
        <v>10</v>
      </c>
      <c r="R27" s="14">
        <f t="shared" si="4"/>
        <v>11</v>
      </c>
      <c r="S27" s="14">
        <f t="shared" si="4"/>
        <v>12</v>
      </c>
      <c r="T27" s="14">
        <f t="shared" si="4"/>
        <v>13</v>
      </c>
      <c r="U27" s="14">
        <f t="shared" si="4"/>
        <v>14</v>
      </c>
      <c r="V27" s="14">
        <f t="shared" si="4"/>
        <v>15</v>
      </c>
      <c r="W27" s="14">
        <f t="shared" si="4"/>
        <v>16</v>
      </c>
      <c r="X27" s="14">
        <f t="shared" si="4"/>
        <v>17</v>
      </c>
      <c r="Y27" s="14">
        <f t="shared" si="4"/>
        <v>18</v>
      </c>
      <c r="Z27" s="14">
        <f t="shared" si="4"/>
        <v>19</v>
      </c>
      <c r="AA27" s="14">
        <f t="shared" si="4"/>
        <v>20</v>
      </c>
      <c r="AB27" s="14">
        <f t="shared" si="4"/>
        <v>21</v>
      </c>
      <c r="AC27" s="14">
        <f t="shared" si="4"/>
        <v>22</v>
      </c>
      <c r="AD27" s="14">
        <f t="shared" si="4"/>
        <v>23</v>
      </c>
      <c r="AE27" s="14">
        <f t="shared" si="4"/>
        <v>24</v>
      </c>
      <c r="AF27" s="14">
        <f t="shared" si="4"/>
        <v>25</v>
      </c>
      <c r="AG27" s="14">
        <f t="shared" si="4"/>
        <v>26</v>
      </c>
      <c r="AH27" s="14">
        <f t="shared" si="4"/>
        <v>27</v>
      </c>
      <c r="AI27" s="14">
        <f t="shared" si="4"/>
        <v>28</v>
      </c>
      <c r="AJ27" s="14">
        <f t="shared" si="4"/>
        <v>29</v>
      </c>
      <c r="AK27" s="14">
        <f t="shared" si="4"/>
        <v>30</v>
      </c>
      <c r="AL27" s="14">
        <f t="shared" si="4"/>
        <v>31</v>
      </c>
      <c r="AM27" s="14">
        <f t="shared" si="4"/>
        <v>32</v>
      </c>
      <c r="AN27" s="14">
        <f t="shared" si="4"/>
        <v>33</v>
      </c>
      <c r="AO27" s="14">
        <f t="shared" si="4"/>
        <v>34</v>
      </c>
    </row>
    <row r="28" spans="1:143" x14ac:dyDescent="0.2">
      <c r="A28" s="80" t="s">
        <v>11</v>
      </c>
      <c r="B28" s="107">
        <v>43723</v>
      </c>
      <c r="C28" s="107">
        <v>43814</v>
      </c>
      <c r="D28" s="107">
        <v>43905</v>
      </c>
      <c r="E28" s="107">
        <v>43997</v>
      </c>
      <c r="F28" s="107">
        <v>44089</v>
      </c>
      <c r="G28" s="107">
        <v>44180</v>
      </c>
      <c r="H28" s="107">
        <v>44270</v>
      </c>
      <c r="I28" s="107">
        <v>44362</v>
      </c>
      <c r="J28" s="107">
        <v>44454</v>
      </c>
      <c r="K28" s="107">
        <v>44545</v>
      </c>
      <c r="L28" s="107">
        <v>44635</v>
      </c>
      <c r="M28" s="107">
        <v>44727</v>
      </c>
      <c r="N28" s="107">
        <v>44819</v>
      </c>
      <c r="O28" s="107">
        <v>44910</v>
      </c>
      <c r="P28" s="107">
        <v>45000</v>
      </c>
      <c r="Q28" s="107">
        <v>45092</v>
      </c>
      <c r="R28" s="107">
        <v>45183</v>
      </c>
      <c r="S28" s="107">
        <v>45274</v>
      </c>
      <c r="T28" s="107">
        <v>45365</v>
      </c>
      <c r="U28" s="107">
        <v>45456</v>
      </c>
      <c r="V28" s="107">
        <v>45550</v>
      </c>
      <c r="W28" s="107">
        <v>45641</v>
      </c>
      <c r="X28" s="107">
        <v>45729</v>
      </c>
      <c r="Y28" s="107">
        <v>45823</v>
      </c>
      <c r="Z28" s="107">
        <v>45915</v>
      </c>
      <c r="AA28" s="107">
        <v>46006</v>
      </c>
      <c r="AB28" s="107">
        <v>46096</v>
      </c>
      <c r="AC28" s="107">
        <v>46188</v>
      </c>
      <c r="AD28" s="107">
        <v>46280</v>
      </c>
      <c r="AE28" s="107">
        <v>46371</v>
      </c>
      <c r="AF28" s="107">
        <v>46461</v>
      </c>
      <c r="AG28" s="107">
        <v>46553</v>
      </c>
      <c r="AH28" s="107">
        <v>46645</v>
      </c>
      <c r="AI28" s="107">
        <v>46736</v>
      </c>
      <c r="AJ28" s="107">
        <v>46827</v>
      </c>
      <c r="AK28" s="107">
        <v>46919</v>
      </c>
      <c r="AL28" s="107">
        <v>47010</v>
      </c>
      <c r="AM28" s="107">
        <v>47101</v>
      </c>
      <c r="AN28" s="107">
        <v>47192</v>
      </c>
      <c r="AO28" s="107">
        <v>47283</v>
      </c>
    </row>
    <row r="29" spans="1:143" x14ac:dyDescent="0.2">
      <c r="A29" s="2" t="s">
        <v>5</v>
      </c>
      <c r="B29" s="8">
        <f>B42+B55+B68</f>
        <v>1700000000</v>
      </c>
      <c r="C29" s="8">
        <f t="shared" ref="C29:AN29" si="5">C42+C55+C68</f>
        <v>1700000000</v>
      </c>
      <c r="D29" s="8">
        <f t="shared" si="5"/>
        <v>1700000000</v>
      </c>
      <c r="E29" s="8">
        <f t="shared" si="5"/>
        <v>1700000000</v>
      </c>
      <c r="F29" s="8">
        <f t="shared" si="5"/>
        <v>1700000000</v>
      </c>
      <c r="G29" s="8">
        <f t="shared" si="5"/>
        <v>1700000000</v>
      </c>
      <c r="H29" s="8">
        <f t="shared" si="5"/>
        <v>1700000000</v>
      </c>
      <c r="I29" s="8">
        <f t="shared" si="5"/>
        <v>1649680000</v>
      </c>
      <c r="J29" s="8">
        <f t="shared" si="5"/>
        <v>1599360000</v>
      </c>
      <c r="K29" s="8">
        <f t="shared" si="5"/>
        <v>1549380000</v>
      </c>
      <c r="L29" s="8">
        <f t="shared" si="5"/>
        <v>1499400000</v>
      </c>
      <c r="M29" s="8">
        <f t="shared" si="5"/>
        <v>1449420000</v>
      </c>
      <c r="N29" s="8">
        <f t="shared" si="5"/>
        <v>1399440000</v>
      </c>
      <c r="O29" s="8">
        <f t="shared" si="5"/>
        <v>1349460000</v>
      </c>
      <c r="P29" s="8">
        <f t="shared" si="5"/>
        <v>1299480000</v>
      </c>
      <c r="Q29" s="8">
        <f t="shared" si="5"/>
        <v>1249500000</v>
      </c>
      <c r="R29" s="8">
        <f t="shared" si="5"/>
        <v>1199520000</v>
      </c>
      <c r="S29" s="8">
        <f t="shared" si="5"/>
        <v>1149540000</v>
      </c>
      <c r="T29" s="8">
        <f t="shared" si="5"/>
        <v>1099560000</v>
      </c>
      <c r="U29" s="8">
        <f t="shared" si="5"/>
        <v>1049580000</v>
      </c>
      <c r="V29" s="8">
        <f t="shared" si="5"/>
        <v>999600000</v>
      </c>
      <c r="W29" s="8">
        <f t="shared" si="5"/>
        <v>949620000</v>
      </c>
      <c r="X29" s="8">
        <f t="shared" si="5"/>
        <v>899640000</v>
      </c>
      <c r="Y29" s="8">
        <f t="shared" si="5"/>
        <v>849660000</v>
      </c>
      <c r="Z29" s="8">
        <f t="shared" si="5"/>
        <v>799680000</v>
      </c>
      <c r="AA29" s="8">
        <f t="shared" si="5"/>
        <v>749700000</v>
      </c>
      <c r="AB29" s="8">
        <f t="shared" si="5"/>
        <v>699720000</v>
      </c>
      <c r="AC29" s="8">
        <f t="shared" si="5"/>
        <v>649740000</v>
      </c>
      <c r="AD29" s="8">
        <f t="shared" si="5"/>
        <v>599760000</v>
      </c>
      <c r="AE29" s="8">
        <f t="shared" si="5"/>
        <v>549780000</v>
      </c>
      <c r="AF29" s="8">
        <f t="shared" si="5"/>
        <v>499800000</v>
      </c>
      <c r="AG29" s="8">
        <f t="shared" si="5"/>
        <v>449820000</v>
      </c>
      <c r="AH29" s="8">
        <f t="shared" si="5"/>
        <v>399840000</v>
      </c>
      <c r="AI29" s="8">
        <f t="shared" si="5"/>
        <v>349860000</v>
      </c>
      <c r="AJ29" s="8">
        <f t="shared" si="5"/>
        <v>299880000</v>
      </c>
      <c r="AK29" s="8">
        <f t="shared" si="5"/>
        <v>249900000</v>
      </c>
      <c r="AL29" s="8">
        <f t="shared" si="5"/>
        <v>199920000</v>
      </c>
      <c r="AM29" s="8">
        <f t="shared" si="5"/>
        <v>149940000</v>
      </c>
      <c r="AN29" s="8">
        <f t="shared" si="5"/>
        <v>99960000</v>
      </c>
      <c r="AO29" s="8">
        <f t="shared" ref="AO29" si="6">AO42+AO55+AO68</f>
        <v>49980000</v>
      </c>
    </row>
    <row r="30" spans="1:143" s="7" customFormat="1" x14ac:dyDescent="0.2">
      <c r="A30" s="7" t="s">
        <v>6</v>
      </c>
      <c r="B30" s="7">
        <f>B43+B56+B69</f>
        <v>29951388.888888888</v>
      </c>
      <c r="C30" s="7">
        <f t="shared" ref="C30:AN30" si="7">C43+C56+C69</f>
        <v>40823611.111111112</v>
      </c>
      <c r="D30" s="7">
        <f t="shared" si="7"/>
        <v>40823611.111111112</v>
      </c>
      <c r="E30" s="7">
        <f t="shared" si="7"/>
        <v>41272222.222222224</v>
      </c>
      <c r="F30" s="7">
        <f t="shared" si="7"/>
        <v>40493055.555555552</v>
      </c>
      <c r="G30" s="7">
        <f t="shared" si="7"/>
        <v>38675000</v>
      </c>
      <c r="H30" s="7">
        <f t="shared" si="7"/>
        <v>38250000</v>
      </c>
      <c r="I30" s="7">
        <f t="shared" si="7"/>
        <v>37942640</v>
      </c>
      <c r="J30" s="7">
        <f t="shared" si="7"/>
        <v>36785280</v>
      </c>
      <c r="K30" s="7">
        <f t="shared" si="7"/>
        <v>35248395</v>
      </c>
      <c r="L30" s="7">
        <f t="shared" si="7"/>
        <v>33736500</v>
      </c>
      <c r="M30" s="7">
        <f t="shared" si="7"/>
        <v>33336660</v>
      </c>
      <c r="N30" s="7">
        <f t="shared" si="7"/>
        <v>32187120</v>
      </c>
      <c r="O30" s="7">
        <f t="shared" si="7"/>
        <v>30700215</v>
      </c>
      <c r="P30" s="7">
        <f t="shared" si="7"/>
        <v>29238300</v>
      </c>
      <c r="Q30" s="7">
        <f t="shared" si="7"/>
        <v>28738500</v>
      </c>
      <c r="R30" s="7">
        <f t="shared" si="7"/>
        <v>27289080</v>
      </c>
      <c r="S30" s="7">
        <f t="shared" si="7"/>
        <v>26152035</v>
      </c>
      <c r="T30" s="7">
        <f t="shared" si="7"/>
        <v>25014990</v>
      </c>
      <c r="U30" s="7">
        <f t="shared" si="7"/>
        <v>23877945</v>
      </c>
      <c r="V30" s="7">
        <f t="shared" si="7"/>
        <v>23490600</v>
      </c>
      <c r="W30" s="7">
        <f t="shared" si="7"/>
        <v>21603855</v>
      </c>
      <c r="X30" s="7">
        <f t="shared" si="7"/>
        <v>19792080</v>
      </c>
      <c r="Y30" s="7">
        <f t="shared" si="7"/>
        <v>19967010</v>
      </c>
      <c r="Z30" s="7">
        <f t="shared" si="7"/>
        <v>18392640</v>
      </c>
      <c r="AA30" s="7">
        <f t="shared" si="7"/>
        <v>17055675</v>
      </c>
      <c r="AB30" s="7">
        <f t="shared" si="7"/>
        <v>15743700</v>
      </c>
      <c r="AC30" s="7">
        <f t="shared" si="7"/>
        <v>14944020</v>
      </c>
      <c r="AD30" s="7">
        <f t="shared" si="7"/>
        <v>13794480</v>
      </c>
      <c r="AE30" s="7">
        <f t="shared" si="7"/>
        <v>12507495</v>
      </c>
      <c r="AF30" s="7">
        <f t="shared" si="7"/>
        <v>11245500</v>
      </c>
      <c r="AG30" s="7">
        <f t="shared" si="7"/>
        <v>10345860</v>
      </c>
      <c r="AH30" s="7">
        <f t="shared" si="7"/>
        <v>9196320</v>
      </c>
      <c r="AI30" s="7">
        <f t="shared" si="7"/>
        <v>7959315</v>
      </c>
      <c r="AJ30" s="7">
        <f t="shared" si="7"/>
        <v>6822270</v>
      </c>
      <c r="AK30" s="7">
        <f t="shared" si="7"/>
        <v>5747700</v>
      </c>
      <c r="AL30" s="7">
        <f t="shared" si="7"/>
        <v>4548180</v>
      </c>
      <c r="AM30" s="7">
        <f t="shared" si="7"/>
        <v>3411135</v>
      </c>
      <c r="AN30" s="7">
        <f t="shared" si="7"/>
        <v>2274090</v>
      </c>
      <c r="AO30" s="7">
        <f t="shared" ref="AO30" si="8">AO43+AO56+AO69</f>
        <v>1137045</v>
      </c>
    </row>
    <row r="31" spans="1:143" x14ac:dyDescent="0.2">
      <c r="A31" s="2" t="s">
        <v>12</v>
      </c>
      <c r="B31" s="3">
        <f>B30</f>
        <v>29951388.888888888</v>
      </c>
      <c r="C31" s="3">
        <f>B31+C30</f>
        <v>70775000</v>
      </c>
      <c r="D31" s="3">
        <f>C31+D30</f>
        <v>111598611.1111111</v>
      </c>
      <c r="E31" s="3">
        <f>D31+E30</f>
        <v>152870833.33333331</v>
      </c>
      <c r="F31" s="3">
        <f t="shared" ref="F31" si="9">E31+F30</f>
        <v>193363888.88888887</v>
      </c>
      <c r="G31" s="3">
        <f t="shared" ref="G31:AC31" si="10">G30+F31</f>
        <v>232038888.88888887</v>
      </c>
      <c r="H31" s="3">
        <f t="shared" si="10"/>
        <v>270288888.88888884</v>
      </c>
      <c r="I31" s="3">
        <f t="shared" si="10"/>
        <v>308231528.88888884</v>
      </c>
      <c r="J31" s="3">
        <f t="shared" si="10"/>
        <v>345016808.88888884</v>
      </c>
      <c r="K31" s="3">
        <f t="shared" si="10"/>
        <v>380265203.88888884</v>
      </c>
      <c r="L31" s="3">
        <f t="shared" si="10"/>
        <v>414001703.88888884</v>
      </c>
      <c r="M31" s="3">
        <f t="shared" si="10"/>
        <v>447338363.88888884</v>
      </c>
      <c r="N31" s="3">
        <f t="shared" si="10"/>
        <v>479525483.88888884</v>
      </c>
      <c r="O31" s="3">
        <f t="shared" si="10"/>
        <v>510225698.88888884</v>
      </c>
      <c r="P31" s="3">
        <f t="shared" si="10"/>
        <v>539463998.88888884</v>
      </c>
      <c r="Q31" s="3">
        <f t="shared" si="10"/>
        <v>568202498.88888884</v>
      </c>
      <c r="R31" s="3">
        <f t="shared" si="10"/>
        <v>595491578.88888884</v>
      </c>
      <c r="S31" s="3">
        <f t="shared" si="10"/>
        <v>621643613.88888884</v>
      </c>
      <c r="T31" s="3">
        <f t="shared" si="10"/>
        <v>646658603.88888884</v>
      </c>
      <c r="U31" s="3">
        <f t="shared" si="10"/>
        <v>670536548.88888884</v>
      </c>
      <c r="V31" s="3">
        <f t="shared" si="10"/>
        <v>694027148.88888884</v>
      </c>
      <c r="W31" s="3">
        <f t="shared" si="10"/>
        <v>715631003.88888884</v>
      </c>
      <c r="X31" s="3">
        <f t="shared" si="10"/>
        <v>735423083.88888884</v>
      </c>
      <c r="Y31" s="3">
        <f t="shared" si="10"/>
        <v>755390093.88888884</v>
      </c>
      <c r="Z31" s="3">
        <f t="shared" si="10"/>
        <v>773782733.88888884</v>
      </c>
      <c r="AA31" s="3">
        <f t="shared" si="10"/>
        <v>790838408.88888884</v>
      </c>
      <c r="AB31" s="3">
        <f t="shared" si="10"/>
        <v>806582108.88888884</v>
      </c>
      <c r="AC31" s="3">
        <f t="shared" si="10"/>
        <v>821526128.88888884</v>
      </c>
      <c r="AD31" s="3">
        <f t="shared" ref="AD31" si="11">AD30+AC31</f>
        <v>835320608.88888884</v>
      </c>
      <c r="AE31" s="3">
        <f t="shared" ref="AE31" si="12">AE30+AD31</f>
        <v>847828103.88888884</v>
      </c>
      <c r="AF31" s="3">
        <f t="shared" ref="AF31" si="13">AF30+AE31</f>
        <v>859073603.88888884</v>
      </c>
      <c r="AG31" s="3">
        <f t="shared" ref="AG31" si="14">AG30+AF31</f>
        <v>869419463.88888884</v>
      </c>
      <c r="AH31" s="3">
        <f t="shared" ref="AH31" si="15">AH30+AG31</f>
        <v>878615783.88888884</v>
      </c>
      <c r="AI31" s="3">
        <f t="shared" ref="AI31" si="16">AI30+AH31</f>
        <v>886575098.88888884</v>
      </c>
      <c r="AJ31" s="3">
        <f t="shared" ref="AJ31" si="17">AJ30+AI31</f>
        <v>893397368.88888884</v>
      </c>
      <c r="AK31" s="3">
        <f t="shared" ref="AK31" si="18">AK30+AJ31</f>
        <v>899145068.88888884</v>
      </c>
      <c r="AL31" s="3">
        <f t="shared" ref="AL31" si="19">AL30+AK31</f>
        <v>903693248.88888884</v>
      </c>
      <c r="AM31" s="3">
        <f t="shared" ref="AM31" si="20">AM30+AL31</f>
        <v>907104383.88888884</v>
      </c>
      <c r="AN31" s="3">
        <f t="shared" ref="AN31:AO31" si="21">AN30+AM31</f>
        <v>909378473.88888884</v>
      </c>
      <c r="AO31" s="3">
        <f t="shared" si="21"/>
        <v>910515518.88888884</v>
      </c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</row>
    <row r="32" spans="1:143" x14ac:dyDescent="0.2">
      <c r="A32" s="2" t="s">
        <v>7</v>
      </c>
      <c r="B32" s="3">
        <f>B45+B58+B71</f>
        <v>0</v>
      </c>
      <c r="C32" s="3">
        <f t="shared" ref="C32:AN32" si="22">C45+C58+C71</f>
        <v>0</v>
      </c>
      <c r="D32" s="3">
        <f t="shared" si="22"/>
        <v>0</v>
      </c>
      <c r="E32" s="3">
        <f t="shared" si="22"/>
        <v>0</v>
      </c>
      <c r="F32" s="3">
        <f t="shared" si="22"/>
        <v>0</v>
      </c>
      <c r="G32" s="3">
        <f t="shared" si="22"/>
        <v>0</v>
      </c>
      <c r="H32" s="3">
        <f t="shared" si="22"/>
        <v>50320000</v>
      </c>
      <c r="I32" s="3">
        <f t="shared" si="22"/>
        <v>50320000</v>
      </c>
      <c r="J32" s="3">
        <f t="shared" si="22"/>
        <v>49980000</v>
      </c>
      <c r="K32" s="3">
        <f t="shared" si="22"/>
        <v>49980000</v>
      </c>
      <c r="L32" s="3">
        <f t="shared" si="22"/>
        <v>49980000</v>
      </c>
      <c r="M32" s="3">
        <f t="shared" si="22"/>
        <v>49980000</v>
      </c>
      <c r="N32" s="3">
        <f t="shared" si="22"/>
        <v>49980000</v>
      </c>
      <c r="O32" s="3">
        <f t="shared" si="22"/>
        <v>49980000</v>
      </c>
      <c r="P32" s="3">
        <f t="shared" si="22"/>
        <v>49980000</v>
      </c>
      <c r="Q32" s="3">
        <f t="shared" si="22"/>
        <v>49980000</v>
      </c>
      <c r="R32" s="3">
        <f t="shared" si="22"/>
        <v>49980000</v>
      </c>
      <c r="S32" s="3">
        <f t="shared" si="22"/>
        <v>49980000</v>
      </c>
      <c r="T32" s="3">
        <f t="shared" si="22"/>
        <v>49980000</v>
      </c>
      <c r="U32" s="3">
        <f t="shared" si="22"/>
        <v>49980000</v>
      </c>
      <c r="V32" s="3">
        <f t="shared" si="22"/>
        <v>49980000</v>
      </c>
      <c r="W32" s="3">
        <f t="shared" si="22"/>
        <v>49980000</v>
      </c>
      <c r="X32" s="3">
        <f t="shared" si="22"/>
        <v>49980000</v>
      </c>
      <c r="Y32" s="3">
        <f t="shared" si="22"/>
        <v>49980000</v>
      </c>
      <c r="Z32" s="3">
        <f t="shared" si="22"/>
        <v>49980000</v>
      </c>
      <c r="AA32" s="3">
        <f t="shared" si="22"/>
        <v>49980000</v>
      </c>
      <c r="AB32" s="3">
        <f t="shared" si="22"/>
        <v>49980000</v>
      </c>
      <c r="AC32" s="3">
        <f t="shared" si="22"/>
        <v>49980000</v>
      </c>
      <c r="AD32" s="3">
        <f t="shared" si="22"/>
        <v>49980000</v>
      </c>
      <c r="AE32" s="3">
        <f t="shared" si="22"/>
        <v>49980000</v>
      </c>
      <c r="AF32" s="3">
        <f t="shared" si="22"/>
        <v>49980000</v>
      </c>
      <c r="AG32" s="3">
        <f t="shared" si="22"/>
        <v>49980000</v>
      </c>
      <c r="AH32" s="3">
        <f t="shared" si="22"/>
        <v>49980000</v>
      </c>
      <c r="AI32" s="3">
        <f t="shared" si="22"/>
        <v>49980000</v>
      </c>
      <c r="AJ32" s="3">
        <f t="shared" si="22"/>
        <v>49980000</v>
      </c>
      <c r="AK32" s="3">
        <f t="shared" si="22"/>
        <v>49980000</v>
      </c>
      <c r="AL32" s="3">
        <f t="shared" si="22"/>
        <v>49980000</v>
      </c>
      <c r="AM32" s="3">
        <f t="shared" si="22"/>
        <v>49980000</v>
      </c>
      <c r="AN32" s="3">
        <f t="shared" si="22"/>
        <v>49980000</v>
      </c>
      <c r="AO32" s="3">
        <f t="shared" ref="AO32" si="23">AO45+AO58+AO71</f>
        <v>49980000</v>
      </c>
    </row>
    <row r="33" spans="1:41" x14ac:dyDescent="0.2">
      <c r="A33" s="2" t="s">
        <v>13</v>
      </c>
      <c r="B33" s="3">
        <v>0</v>
      </c>
      <c r="C33" s="3">
        <f t="shared" ref="C33:AC33" si="24">C32+B33</f>
        <v>0</v>
      </c>
      <c r="D33" s="3">
        <f t="shared" si="24"/>
        <v>0</v>
      </c>
      <c r="E33" s="3">
        <f t="shared" si="24"/>
        <v>0</v>
      </c>
      <c r="F33" s="3">
        <f t="shared" si="24"/>
        <v>0</v>
      </c>
      <c r="G33" s="3">
        <f t="shared" si="24"/>
        <v>0</v>
      </c>
      <c r="H33" s="3">
        <f t="shared" si="24"/>
        <v>50320000</v>
      </c>
      <c r="I33" s="3">
        <f t="shared" si="24"/>
        <v>100640000</v>
      </c>
      <c r="J33" s="3">
        <f t="shared" si="24"/>
        <v>150620000</v>
      </c>
      <c r="K33" s="3">
        <f t="shared" si="24"/>
        <v>200600000</v>
      </c>
      <c r="L33" s="3">
        <f t="shared" si="24"/>
        <v>250580000</v>
      </c>
      <c r="M33" s="3">
        <f t="shared" si="24"/>
        <v>300560000</v>
      </c>
      <c r="N33" s="3">
        <f t="shared" si="24"/>
        <v>350540000</v>
      </c>
      <c r="O33" s="3">
        <f t="shared" si="24"/>
        <v>400520000</v>
      </c>
      <c r="P33" s="3">
        <f t="shared" si="24"/>
        <v>450500000</v>
      </c>
      <c r="Q33" s="3">
        <f t="shared" si="24"/>
        <v>500480000</v>
      </c>
      <c r="R33" s="3">
        <f t="shared" si="24"/>
        <v>550460000</v>
      </c>
      <c r="S33" s="3">
        <f t="shared" si="24"/>
        <v>600440000</v>
      </c>
      <c r="T33" s="3">
        <f t="shared" si="24"/>
        <v>650420000</v>
      </c>
      <c r="U33" s="3">
        <f t="shared" si="24"/>
        <v>700400000</v>
      </c>
      <c r="V33" s="3">
        <f t="shared" si="24"/>
        <v>750380000</v>
      </c>
      <c r="W33" s="3">
        <f t="shared" si="24"/>
        <v>800360000</v>
      </c>
      <c r="X33" s="3">
        <f t="shared" si="24"/>
        <v>850340000</v>
      </c>
      <c r="Y33" s="3">
        <f t="shared" si="24"/>
        <v>900320000</v>
      </c>
      <c r="Z33" s="3">
        <f t="shared" si="24"/>
        <v>950300000</v>
      </c>
      <c r="AA33" s="3">
        <f t="shared" si="24"/>
        <v>1000280000</v>
      </c>
      <c r="AB33" s="3">
        <f t="shared" si="24"/>
        <v>1050260000</v>
      </c>
      <c r="AC33" s="3">
        <f t="shared" si="24"/>
        <v>1100240000</v>
      </c>
      <c r="AD33" s="3">
        <f t="shared" ref="AD33" si="25">AD32+AC33</f>
        <v>1150220000</v>
      </c>
      <c r="AE33" s="3">
        <f t="shared" ref="AE33" si="26">AE32+AD33</f>
        <v>1200200000</v>
      </c>
      <c r="AF33" s="3">
        <f t="shared" ref="AF33" si="27">AF32+AE33</f>
        <v>1250180000</v>
      </c>
      <c r="AG33" s="3">
        <f t="shared" ref="AG33" si="28">AG32+AF33</f>
        <v>1300160000</v>
      </c>
      <c r="AH33" s="3">
        <f t="shared" ref="AH33" si="29">AH32+AG33</f>
        <v>1350140000</v>
      </c>
      <c r="AI33" s="3">
        <f t="shared" ref="AI33" si="30">AI32+AH33</f>
        <v>1400120000</v>
      </c>
      <c r="AJ33" s="3">
        <f t="shared" ref="AJ33" si="31">AJ32+AI33</f>
        <v>1450100000</v>
      </c>
      <c r="AK33" s="3">
        <f t="shared" ref="AK33" si="32">AK32+AJ33</f>
        <v>1500080000</v>
      </c>
      <c r="AL33" s="3">
        <f t="shared" ref="AL33" si="33">AL32+AK33</f>
        <v>1550060000</v>
      </c>
      <c r="AM33" s="3">
        <f t="shared" ref="AM33" si="34">AM32+AL33</f>
        <v>1600040000</v>
      </c>
      <c r="AN33" s="3">
        <f t="shared" ref="AN33:AO33" si="35">AN32+AM33</f>
        <v>1650020000</v>
      </c>
      <c r="AO33" s="3">
        <f t="shared" si="35"/>
        <v>1700000000</v>
      </c>
    </row>
    <row r="34" spans="1:41" x14ac:dyDescent="0.2">
      <c r="A34" s="2" t="s">
        <v>8</v>
      </c>
      <c r="B34" s="15">
        <f>B30+B32</f>
        <v>29951388.888888888</v>
      </c>
      <c r="C34" s="15">
        <f t="shared" ref="C34:E34" si="36">C30+C32</f>
        <v>40823611.111111112</v>
      </c>
      <c r="D34" s="15">
        <f t="shared" si="36"/>
        <v>40823611.111111112</v>
      </c>
      <c r="E34" s="15">
        <f t="shared" si="36"/>
        <v>41272222.222222224</v>
      </c>
      <c r="F34" s="15">
        <f>F30+F32</f>
        <v>40493055.555555552</v>
      </c>
      <c r="G34" s="15">
        <f t="shared" ref="G34:AC34" si="37">G30+G32</f>
        <v>38675000</v>
      </c>
      <c r="H34" s="15">
        <f t="shared" si="37"/>
        <v>88570000</v>
      </c>
      <c r="I34" s="15">
        <f t="shared" si="37"/>
        <v>88262640</v>
      </c>
      <c r="J34" s="15">
        <f t="shared" si="37"/>
        <v>86765280</v>
      </c>
      <c r="K34" s="15">
        <f t="shared" si="37"/>
        <v>85228395</v>
      </c>
      <c r="L34" s="15">
        <f t="shared" si="37"/>
        <v>83716500</v>
      </c>
      <c r="M34" s="15">
        <f>M30+M32</f>
        <v>83316660</v>
      </c>
      <c r="N34" s="15">
        <f>N30+N32</f>
        <v>82167120</v>
      </c>
      <c r="O34" s="15">
        <f t="shared" si="37"/>
        <v>80680215</v>
      </c>
      <c r="P34" s="15">
        <f t="shared" si="37"/>
        <v>79218300</v>
      </c>
      <c r="Q34" s="15">
        <f t="shared" si="37"/>
        <v>78718500</v>
      </c>
      <c r="R34" s="15">
        <f t="shared" si="37"/>
        <v>77269080</v>
      </c>
      <c r="S34" s="15">
        <f t="shared" si="37"/>
        <v>76132035</v>
      </c>
      <c r="T34" s="15">
        <f t="shared" si="37"/>
        <v>74994990</v>
      </c>
      <c r="U34" s="15">
        <f t="shared" si="37"/>
        <v>73857945</v>
      </c>
      <c r="V34" s="15">
        <f t="shared" si="37"/>
        <v>73470600</v>
      </c>
      <c r="W34" s="15">
        <f t="shared" si="37"/>
        <v>71583855</v>
      </c>
      <c r="X34" s="15">
        <f t="shared" si="37"/>
        <v>69772080</v>
      </c>
      <c r="Y34" s="15">
        <f t="shared" si="37"/>
        <v>69947010</v>
      </c>
      <c r="Z34" s="15">
        <f t="shared" si="37"/>
        <v>68372640</v>
      </c>
      <c r="AA34" s="15">
        <f t="shared" si="37"/>
        <v>67035675</v>
      </c>
      <c r="AB34" s="15">
        <f t="shared" si="37"/>
        <v>65723700</v>
      </c>
      <c r="AC34" s="15">
        <f t="shared" si="37"/>
        <v>64924020</v>
      </c>
      <c r="AD34" s="15">
        <f t="shared" ref="AD34:AN34" si="38">AD30+AD32</f>
        <v>63774480</v>
      </c>
      <c r="AE34" s="15">
        <f t="shared" si="38"/>
        <v>62487495</v>
      </c>
      <c r="AF34" s="15">
        <f t="shared" si="38"/>
        <v>61225500</v>
      </c>
      <c r="AG34" s="15">
        <f t="shared" si="38"/>
        <v>60325860</v>
      </c>
      <c r="AH34" s="15">
        <f t="shared" si="38"/>
        <v>59176320</v>
      </c>
      <c r="AI34" s="15">
        <f t="shared" si="38"/>
        <v>57939315</v>
      </c>
      <c r="AJ34" s="15">
        <f t="shared" si="38"/>
        <v>56802270</v>
      </c>
      <c r="AK34" s="15">
        <f t="shared" si="38"/>
        <v>55727700</v>
      </c>
      <c r="AL34" s="15">
        <f t="shared" si="38"/>
        <v>54528180</v>
      </c>
      <c r="AM34" s="15">
        <f t="shared" si="38"/>
        <v>53391135</v>
      </c>
      <c r="AN34" s="15">
        <f t="shared" si="38"/>
        <v>52254090</v>
      </c>
      <c r="AO34" s="15">
        <f t="shared" ref="AO34" si="39">AO30+AO32</f>
        <v>51117045</v>
      </c>
    </row>
    <row r="35" spans="1:41" ht="13.5" thickBot="1" x14ac:dyDescent="0.25">
      <c r="A35" s="5" t="s">
        <v>9</v>
      </c>
      <c r="B35" s="16">
        <f t="shared" ref="B35:E35" si="40">B29-B32</f>
        <v>1700000000</v>
      </c>
      <c r="C35" s="16">
        <f t="shared" si="40"/>
        <v>1700000000</v>
      </c>
      <c r="D35" s="16">
        <f t="shared" si="40"/>
        <v>1700000000</v>
      </c>
      <c r="E35" s="16">
        <f t="shared" si="40"/>
        <v>1700000000</v>
      </c>
      <c r="F35" s="16">
        <f t="shared" ref="F35:R35" si="41">F29-F32</f>
        <v>1700000000</v>
      </c>
      <c r="G35" s="16">
        <f t="shared" si="41"/>
        <v>1700000000</v>
      </c>
      <c r="H35" s="16">
        <f t="shared" si="41"/>
        <v>1649680000</v>
      </c>
      <c r="I35" s="16">
        <f t="shared" si="41"/>
        <v>1599360000</v>
      </c>
      <c r="J35" s="16">
        <f t="shared" si="41"/>
        <v>1549380000</v>
      </c>
      <c r="K35" s="16">
        <f t="shared" si="41"/>
        <v>1499400000</v>
      </c>
      <c r="L35" s="16">
        <f t="shared" si="41"/>
        <v>1449420000</v>
      </c>
      <c r="M35" s="16">
        <f t="shared" si="41"/>
        <v>1399440000</v>
      </c>
      <c r="N35" s="16">
        <f t="shared" si="41"/>
        <v>1349460000</v>
      </c>
      <c r="O35" s="16">
        <f t="shared" si="41"/>
        <v>1299480000</v>
      </c>
      <c r="P35" s="16">
        <f t="shared" si="41"/>
        <v>1249500000</v>
      </c>
      <c r="Q35" s="16">
        <f t="shared" si="41"/>
        <v>1199520000</v>
      </c>
      <c r="R35" s="16">
        <f t="shared" si="41"/>
        <v>1149540000</v>
      </c>
      <c r="S35" s="16">
        <f>S29-S32</f>
        <v>1099560000</v>
      </c>
      <c r="T35" s="16">
        <f t="shared" ref="T35:AC35" si="42">T29-T32</f>
        <v>1049580000</v>
      </c>
      <c r="U35" s="16">
        <f t="shared" si="42"/>
        <v>999600000</v>
      </c>
      <c r="V35" s="16">
        <f t="shared" si="42"/>
        <v>949620000</v>
      </c>
      <c r="W35" s="16">
        <f t="shared" si="42"/>
        <v>899640000</v>
      </c>
      <c r="X35" s="16">
        <f t="shared" si="42"/>
        <v>849660000</v>
      </c>
      <c r="Y35" s="16">
        <f t="shared" si="42"/>
        <v>799680000</v>
      </c>
      <c r="Z35" s="16">
        <f t="shared" si="42"/>
        <v>749700000</v>
      </c>
      <c r="AA35" s="16">
        <f t="shared" si="42"/>
        <v>699720000</v>
      </c>
      <c r="AB35" s="16">
        <f t="shared" si="42"/>
        <v>649740000</v>
      </c>
      <c r="AC35" s="16">
        <f t="shared" si="42"/>
        <v>599760000</v>
      </c>
      <c r="AD35" s="16">
        <f t="shared" ref="AD35:AN35" si="43">AD29-AD32</f>
        <v>549780000</v>
      </c>
      <c r="AE35" s="16">
        <f t="shared" si="43"/>
        <v>499800000</v>
      </c>
      <c r="AF35" s="16">
        <f t="shared" si="43"/>
        <v>449820000</v>
      </c>
      <c r="AG35" s="16">
        <f t="shared" si="43"/>
        <v>399840000</v>
      </c>
      <c r="AH35" s="16">
        <f t="shared" si="43"/>
        <v>349860000</v>
      </c>
      <c r="AI35" s="16">
        <f t="shared" si="43"/>
        <v>299880000</v>
      </c>
      <c r="AJ35" s="16">
        <f t="shared" si="43"/>
        <v>249900000</v>
      </c>
      <c r="AK35" s="16">
        <f t="shared" si="43"/>
        <v>199920000</v>
      </c>
      <c r="AL35" s="16">
        <f t="shared" si="43"/>
        <v>149940000</v>
      </c>
      <c r="AM35" s="16">
        <f t="shared" si="43"/>
        <v>99960000</v>
      </c>
      <c r="AN35" s="16">
        <f t="shared" si="43"/>
        <v>49980000</v>
      </c>
      <c r="AO35" s="16">
        <f t="shared" ref="AO35" si="44">AO29-AO32</f>
        <v>0</v>
      </c>
    </row>
    <row r="36" spans="1:41" x14ac:dyDescent="0.2"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</row>
    <row r="37" spans="1:41" ht="18.75" x14ac:dyDescent="0.3">
      <c r="A37" s="139" t="s">
        <v>82</v>
      </c>
      <c r="C37" s="4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spans="1:41" x14ac:dyDescent="0.2">
      <c r="A38" s="138" t="s">
        <v>57</v>
      </c>
      <c r="B38" s="107">
        <f>B21</f>
        <v>43723</v>
      </c>
      <c r="C38" s="107">
        <f t="shared" ref="C38:AN38" si="45">C21</f>
        <v>43814</v>
      </c>
      <c r="D38" s="107">
        <f t="shared" si="45"/>
        <v>43905</v>
      </c>
      <c r="E38" s="107">
        <f t="shared" si="45"/>
        <v>43997</v>
      </c>
      <c r="F38" s="107">
        <f t="shared" si="45"/>
        <v>44089</v>
      </c>
      <c r="G38" s="107">
        <f t="shared" si="45"/>
        <v>44180</v>
      </c>
      <c r="H38" s="107">
        <f t="shared" si="45"/>
        <v>44270</v>
      </c>
      <c r="I38" s="107">
        <f t="shared" si="45"/>
        <v>44362</v>
      </c>
      <c r="J38" s="107">
        <f t="shared" si="45"/>
        <v>44454</v>
      </c>
      <c r="K38" s="107">
        <f t="shared" si="45"/>
        <v>44545</v>
      </c>
      <c r="L38" s="107">
        <f t="shared" si="45"/>
        <v>44635</v>
      </c>
      <c r="M38" s="107">
        <f t="shared" si="45"/>
        <v>44727</v>
      </c>
      <c r="N38" s="107">
        <f t="shared" si="45"/>
        <v>44819</v>
      </c>
      <c r="O38" s="107">
        <f t="shared" si="45"/>
        <v>44910</v>
      </c>
      <c r="P38" s="107">
        <f t="shared" si="45"/>
        <v>45000</v>
      </c>
      <c r="Q38" s="107">
        <f t="shared" si="45"/>
        <v>45092</v>
      </c>
      <c r="R38" s="107">
        <f t="shared" si="45"/>
        <v>45183</v>
      </c>
      <c r="S38" s="107">
        <f t="shared" si="45"/>
        <v>45274</v>
      </c>
      <c r="T38" s="107">
        <f t="shared" si="45"/>
        <v>45365</v>
      </c>
      <c r="U38" s="107">
        <f t="shared" si="45"/>
        <v>45456</v>
      </c>
      <c r="V38" s="107">
        <f t="shared" si="45"/>
        <v>45550</v>
      </c>
      <c r="W38" s="107">
        <f t="shared" si="45"/>
        <v>45641</v>
      </c>
      <c r="X38" s="107">
        <f t="shared" si="45"/>
        <v>45729</v>
      </c>
      <c r="Y38" s="107">
        <f t="shared" si="45"/>
        <v>45823</v>
      </c>
      <c r="Z38" s="107">
        <f t="shared" si="45"/>
        <v>45915</v>
      </c>
      <c r="AA38" s="107">
        <f t="shared" si="45"/>
        <v>46006</v>
      </c>
      <c r="AB38" s="107">
        <f t="shared" si="45"/>
        <v>46096</v>
      </c>
      <c r="AC38" s="107">
        <f t="shared" si="45"/>
        <v>46188</v>
      </c>
      <c r="AD38" s="107">
        <f t="shared" si="45"/>
        <v>46280</v>
      </c>
      <c r="AE38" s="107">
        <f t="shared" si="45"/>
        <v>46371</v>
      </c>
      <c r="AF38" s="107">
        <f t="shared" si="45"/>
        <v>46461</v>
      </c>
      <c r="AG38" s="107">
        <f t="shared" si="45"/>
        <v>46553</v>
      </c>
      <c r="AH38" s="107">
        <f t="shared" si="45"/>
        <v>46645</v>
      </c>
      <c r="AI38" s="107">
        <f t="shared" si="45"/>
        <v>46736</v>
      </c>
      <c r="AJ38" s="107">
        <f t="shared" si="45"/>
        <v>46827</v>
      </c>
      <c r="AK38" s="107">
        <f t="shared" si="45"/>
        <v>46919</v>
      </c>
      <c r="AL38" s="107">
        <f t="shared" si="45"/>
        <v>47010</v>
      </c>
      <c r="AM38" s="107">
        <f t="shared" si="45"/>
        <v>47101</v>
      </c>
      <c r="AN38" s="107">
        <f t="shared" si="45"/>
        <v>47192</v>
      </c>
      <c r="AO38" s="107">
        <f t="shared" ref="AO38" si="46">AO21</f>
        <v>47283</v>
      </c>
    </row>
    <row r="39" spans="1:41" ht="13.5" thickBot="1" x14ac:dyDescent="0.25">
      <c r="A39" s="108" t="s">
        <v>58</v>
      </c>
      <c r="B39" s="109">
        <f>B22</f>
        <v>9.5000000000000001E-2</v>
      </c>
      <c r="C39" s="109">
        <f t="shared" ref="C39:AO39" si="47">C22</f>
        <v>9.5000000000000001E-2</v>
      </c>
      <c r="D39" s="109">
        <f t="shared" si="47"/>
        <v>9.5000000000000001E-2</v>
      </c>
      <c r="E39" s="109">
        <f t="shared" si="47"/>
        <v>9.5000000000000001E-2</v>
      </c>
      <c r="F39" s="109">
        <f t="shared" si="47"/>
        <v>0.09</v>
      </c>
      <c r="G39" s="109">
        <f t="shared" si="47"/>
        <v>0.09</v>
      </c>
      <c r="H39" s="109">
        <f t="shared" si="47"/>
        <v>0.09</v>
      </c>
      <c r="I39" s="109">
        <f t="shared" si="47"/>
        <v>0.09</v>
      </c>
      <c r="J39" s="109">
        <f t="shared" si="47"/>
        <v>0.09</v>
      </c>
      <c r="K39" s="109">
        <f t="shared" si="47"/>
        <v>0.09</v>
      </c>
      <c r="L39" s="109">
        <f t="shared" si="47"/>
        <v>0.09</v>
      </c>
      <c r="M39" s="109">
        <f t="shared" si="47"/>
        <v>0.09</v>
      </c>
      <c r="N39" s="109">
        <f t="shared" si="47"/>
        <v>0.09</v>
      </c>
      <c r="O39" s="109">
        <f t="shared" si="47"/>
        <v>0.09</v>
      </c>
      <c r="P39" s="109">
        <f t="shared" si="47"/>
        <v>0.09</v>
      </c>
      <c r="Q39" s="109">
        <f t="shared" si="47"/>
        <v>0.09</v>
      </c>
      <c r="R39" s="109">
        <f t="shared" si="47"/>
        <v>0.09</v>
      </c>
      <c r="S39" s="109">
        <f t="shared" si="47"/>
        <v>0.09</v>
      </c>
      <c r="T39" s="109">
        <f t="shared" si="47"/>
        <v>0.09</v>
      </c>
      <c r="U39" s="109">
        <f t="shared" si="47"/>
        <v>0.09</v>
      </c>
      <c r="V39" s="109">
        <f t="shared" si="47"/>
        <v>0.09</v>
      </c>
      <c r="W39" s="109">
        <f t="shared" si="47"/>
        <v>0.09</v>
      </c>
      <c r="X39" s="109">
        <f t="shared" si="47"/>
        <v>0.09</v>
      </c>
      <c r="Y39" s="109">
        <f t="shared" si="47"/>
        <v>0.09</v>
      </c>
      <c r="Z39" s="109">
        <f t="shared" si="47"/>
        <v>0.09</v>
      </c>
      <c r="AA39" s="109">
        <f t="shared" si="47"/>
        <v>0.09</v>
      </c>
      <c r="AB39" s="109">
        <f t="shared" si="47"/>
        <v>0.09</v>
      </c>
      <c r="AC39" s="109">
        <f t="shared" si="47"/>
        <v>0.09</v>
      </c>
      <c r="AD39" s="109">
        <f t="shared" si="47"/>
        <v>0.09</v>
      </c>
      <c r="AE39" s="109">
        <f t="shared" si="47"/>
        <v>0.09</v>
      </c>
      <c r="AF39" s="109">
        <f t="shared" si="47"/>
        <v>0.09</v>
      </c>
      <c r="AG39" s="109">
        <f t="shared" si="47"/>
        <v>0.09</v>
      </c>
      <c r="AH39" s="109">
        <f t="shared" si="47"/>
        <v>0.09</v>
      </c>
      <c r="AI39" s="109">
        <f t="shared" si="47"/>
        <v>0.09</v>
      </c>
      <c r="AJ39" s="109">
        <f t="shared" si="47"/>
        <v>0.09</v>
      </c>
      <c r="AK39" s="109">
        <f t="shared" si="47"/>
        <v>0.09</v>
      </c>
      <c r="AL39" s="109">
        <f t="shared" si="47"/>
        <v>0.09</v>
      </c>
      <c r="AM39" s="109">
        <f t="shared" si="47"/>
        <v>0.09</v>
      </c>
      <c r="AN39" s="109">
        <f t="shared" si="47"/>
        <v>0.09</v>
      </c>
      <c r="AO39" s="109">
        <f t="shared" si="47"/>
        <v>0.09</v>
      </c>
    </row>
    <row r="40" spans="1:41" x14ac:dyDescent="0.2">
      <c r="A40" s="138" t="s">
        <v>10</v>
      </c>
      <c r="B40" s="14"/>
      <c r="C40" s="14"/>
      <c r="D40" s="14"/>
      <c r="E40" s="14"/>
      <c r="F40" s="14"/>
      <c r="G40" s="14">
        <f>G27</f>
        <v>0</v>
      </c>
      <c r="H40" s="14">
        <f t="shared" ref="H40:AN40" si="48">H27</f>
        <v>1</v>
      </c>
      <c r="I40" s="14">
        <f t="shared" si="48"/>
        <v>2</v>
      </c>
      <c r="J40" s="14">
        <f t="shared" si="48"/>
        <v>3</v>
      </c>
      <c r="K40" s="14">
        <f t="shared" si="48"/>
        <v>4</v>
      </c>
      <c r="L40" s="14">
        <f t="shared" si="48"/>
        <v>5</v>
      </c>
      <c r="M40" s="14">
        <f t="shared" si="48"/>
        <v>6</v>
      </c>
      <c r="N40" s="14">
        <f t="shared" si="48"/>
        <v>7</v>
      </c>
      <c r="O40" s="14">
        <f t="shared" si="48"/>
        <v>8</v>
      </c>
      <c r="P40" s="14">
        <f t="shared" si="48"/>
        <v>9</v>
      </c>
      <c r="Q40" s="14">
        <f t="shared" si="48"/>
        <v>10</v>
      </c>
      <c r="R40" s="14">
        <f t="shared" si="48"/>
        <v>11</v>
      </c>
      <c r="S40" s="14">
        <f t="shared" si="48"/>
        <v>12</v>
      </c>
      <c r="T40" s="14">
        <f t="shared" si="48"/>
        <v>13</v>
      </c>
      <c r="U40" s="14">
        <f t="shared" si="48"/>
        <v>14</v>
      </c>
      <c r="V40" s="14">
        <f t="shared" si="48"/>
        <v>15</v>
      </c>
      <c r="W40" s="14">
        <f t="shared" si="48"/>
        <v>16</v>
      </c>
      <c r="X40" s="14">
        <f t="shared" si="48"/>
        <v>17</v>
      </c>
      <c r="Y40" s="14">
        <f t="shared" si="48"/>
        <v>18</v>
      </c>
      <c r="Z40" s="14">
        <f t="shared" si="48"/>
        <v>19</v>
      </c>
      <c r="AA40" s="14">
        <f t="shared" si="48"/>
        <v>20</v>
      </c>
      <c r="AB40" s="14">
        <f t="shared" si="48"/>
        <v>21</v>
      </c>
      <c r="AC40" s="14">
        <f t="shared" si="48"/>
        <v>22</v>
      </c>
      <c r="AD40" s="14">
        <f t="shared" si="48"/>
        <v>23</v>
      </c>
      <c r="AE40" s="14">
        <f t="shared" si="48"/>
        <v>24</v>
      </c>
      <c r="AF40" s="14">
        <f t="shared" si="48"/>
        <v>25</v>
      </c>
      <c r="AG40" s="14">
        <f t="shared" si="48"/>
        <v>26</v>
      </c>
      <c r="AH40" s="14">
        <f t="shared" si="48"/>
        <v>27</v>
      </c>
      <c r="AI40" s="14">
        <f t="shared" si="48"/>
        <v>28</v>
      </c>
      <c r="AJ40" s="14">
        <f t="shared" si="48"/>
        <v>29</v>
      </c>
      <c r="AK40" s="14">
        <f t="shared" si="48"/>
        <v>30</v>
      </c>
      <c r="AL40" s="14">
        <f t="shared" si="48"/>
        <v>31</v>
      </c>
      <c r="AM40" s="14">
        <f t="shared" si="48"/>
        <v>32</v>
      </c>
      <c r="AN40" s="14">
        <f t="shared" si="48"/>
        <v>33</v>
      </c>
      <c r="AO40" s="14">
        <f t="shared" ref="AO40" si="49">AO27</f>
        <v>34</v>
      </c>
    </row>
    <row r="41" spans="1:41" x14ac:dyDescent="0.2">
      <c r="A41" s="80" t="s">
        <v>11</v>
      </c>
      <c r="B41" s="79">
        <f>B28</f>
        <v>43723</v>
      </c>
      <c r="C41" s="79">
        <f t="shared" ref="C41:AN41" si="50">C28</f>
        <v>43814</v>
      </c>
      <c r="D41" s="79">
        <f t="shared" si="50"/>
        <v>43905</v>
      </c>
      <c r="E41" s="79">
        <f t="shared" si="50"/>
        <v>43997</v>
      </c>
      <c r="F41" s="79">
        <f>F28</f>
        <v>44089</v>
      </c>
      <c r="G41" s="79">
        <f t="shared" si="50"/>
        <v>44180</v>
      </c>
      <c r="H41" s="79">
        <f t="shared" si="50"/>
        <v>44270</v>
      </c>
      <c r="I41" s="79">
        <f t="shared" si="50"/>
        <v>44362</v>
      </c>
      <c r="J41" s="79">
        <f t="shared" si="50"/>
        <v>44454</v>
      </c>
      <c r="K41" s="79">
        <f t="shared" si="50"/>
        <v>44545</v>
      </c>
      <c r="L41" s="79">
        <f t="shared" si="50"/>
        <v>44635</v>
      </c>
      <c r="M41" s="79">
        <f t="shared" si="50"/>
        <v>44727</v>
      </c>
      <c r="N41" s="79">
        <f t="shared" si="50"/>
        <v>44819</v>
      </c>
      <c r="O41" s="79">
        <f t="shared" si="50"/>
        <v>44910</v>
      </c>
      <c r="P41" s="79">
        <f t="shared" si="50"/>
        <v>45000</v>
      </c>
      <c r="Q41" s="79">
        <f t="shared" si="50"/>
        <v>45092</v>
      </c>
      <c r="R41" s="79">
        <f t="shared" si="50"/>
        <v>45183</v>
      </c>
      <c r="S41" s="79">
        <f t="shared" si="50"/>
        <v>45274</v>
      </c>
      <c r="T41" s="79">
        <f t="shared" si="50"/>
        <v>45365</v>
      </c>
      <c r="U41" s="79">
        <f t="shared" si="50"/>
        <v>45456</v>
      </c>
      <c r="V41" s="79">
        <f t="shared" si="50"/>
        <v>45550</v>
      </c>
      <c r="W41" s="79">
        <f t="shared" si="50"/>
        <v>45641</v>
      </c>
      <c r="X41" s="79">
        <f t="shared" si="50"/>
        <v>45729</v>
      </c>
      <c r="Y41" s="79">
        <f t="shared" si="50"/>
        <v>45823</v>
      </c>
      <c r="Z41" s="79">
        <f t="shared" si="50"/>
        <v>45915</v>
      </c>
      <c r="AA41" s="79">
        <f t="shared" si="50"/>
        <v>46006</v>
      </c>
      <c r="AB41" s="79">
        <f t="shared" si="50"/>
        <v>46096</v>
      </c>
      <c r="AC41" s="79">
        <f t="shared" si="50"/>
        <v>46188</v>
      </c>
      <c r="AD41" s="79">
        <f t="shared" si="50"/>
        <v>46280</v>
      </c>
      <c r="AE41" s="79">
        <f t="shared" si="50"/>
        <v>46371</v>
      </c>
      <c r="AF41" s="79">
        <f t="shared" si="50"/>
        <v>46461</v>
      </c>
      <c r="AG41" s="79">
        <f t="shared" si="50"/>
        <v>46553</v>
      </c>
      <c r="AH41" s="79">
        <f t="shared" si="50"/>
        <v>46645</v>
      </c>
      <c r="AI41" s="79">
        <f t="shared" si="50"/>
        <v>46736</v>
      </c>
      <c r="AJ41" s="79">
        <f t="shared" si="50"/>
        <v>46827</v>
      </c>
      <c r="AK41" s="79">
        <f t="shared" si="50"/>
        <v>46919</v>
      </c>
      <c r="AL41" s="79">
        <f t="shared" si="50"/>
        <v>47010</v>
      </c>
      <c r="AM41" s="79">
        <f t="shared" si="50"/>
        <v>47101</v>
      </c>
      <c r="AN41" s="79">
        <f t="shared" si="50"/>
        <v>47192</v>
      </c>
      <c r="AO41" s="79">
        <f t="shared" ref="AO41" si="51">AO28</f>
        <v>47283</v>
      </c>
    </row>
    <row r="42" spans="1:41" x14ac:dyDescent="0.2">
      <c r="A42" s="2" t="s">
        <v>5</v>
      </c>
      <c r="B42" s="8">
        <f>C17</f>
        <v>580000000</v>
      </c>
      <c r="C42" s="3">
        <f t="shared" ref="C42" si="52">B48</f>
        <v>580000000</v>
      </c>
      <c r="D42" s="3">
        <f t="shared" ref="D42" si="53">C48</f>
        <v>580000000</v>
      </c>
      <c r="E42" s="3">
        <f t="shared" ref="E42" si="54">D48</f>
        <v>580000000</v>
      </c>
      <c r="F42" s="3">
        <f t="shared" ref="F42" si="55">E48</f>
        <v>580000000</v>
      </c>
      <c r="G42" s="3">
        <f t="shared" ref="G42" si="56">F48</f>
        <v>580000000</v>
      </c>
      <c r="H42" s="3">
        <f t="shared" ref="H42" si="57">G48</f>
        <v>580000000</v>
      </c>
      <c r="I42" s="3">
        <f t="shared" ref="I42" si="58">H48</f>
        <v>562832000</v>
      </c>
      <c r="J42" s="3">
        <f t="shared" ref="J42" si="59">I48</f>
        <v>545664000</v>
      </c>
      <c r="K42" s="3">
        <f t="shared" ref="K42" si="60">J48</f>
        <v>528612000</v>
      </c>
      <c r="L42" s="3">
        <f t="shared" ref="L42" si="61">K48</f>
        <v>511560000</v>
      </c>
      <c r="M42" s="3">
        <f t="shared" ref="M42" si="62">L48</f>
        <v>494508000</v>
      </c>
      <c r="N42" s="3">
        <f t="shared" ref="N42" si="63">M48</f>
        <v>477456000</v>
      </c>
      <c r="O42" s="3">
        <f t="shared" ref="O42" si="64">N48</f>
        <v>460404000</v>
      </c>
      <c r="P42" s="3">
        <f t="shared" ref="P42" si="65">O48</f>
        <v>443352000</v>
      </c>
      <c r="Q42" s="3">
        <f t="shared" ref="Q42" si="66">P48</f>
        <v>426300000</v>
      </c>
      <c r="R42" s="3">
        <f t="shared" ref="R42" si="67">Q48</f>
        <v>409248000</v>
      </c>
      <c r="S42" s="3">
        <f t="shared" ref="S42" si="68">R48</f>
        <v>392196000</v>
      </c>
      <c r="T42" s="3">
        <f t="shared" ref="T42" si="69">S48</f>
        <v>375144000</v>
      </c>
      <c r="U42" s="3">
        <f t="shared" ref="U42" si="70">T48</f>
        <v>358092000</v>
      </c>
      <c r="V42" s="3">
        <f t="shared" ref="V42" si="71">U48</f>
        <v>341040000</v>
      </c>
      <c r="W42" s="3">
        <f t="shared" ref="W42" si="72">V48</f>
        <v>323988000</v>
      </c>
      <c r="X42" s="3">
        <f t="shared" ref="X42" si="73">W48</f>
        <v>306936000</v>
      </c>
      <c r="Y42" s="3">
        <f t="shared" ref="Y42" si="74">X48</f>
        <v>289884000</v>
      </c>
      <c r="Z42" s="3">
        <f t="shared" ref="Z42" si="75">Y48</f>
        <v>272832000</v>
      </c>
      <c r="AA42" s="3">
        <f t="shared" ref="AA42" si="76">Z48</f>
        <v>255780000</v>
      </c>
      <c r="AB42" s="3">
        <f t="shared" ref="AB42" si="77">AA48</f>
        <v>238728000</v>
      </c>
      <c r="AC42" s="3">
        <f t="shared" ref="AC42" si="78">AB48</f>
        <v>221676000</v>
      </c>
      <c r="AD42" s="3">
        <f t="shared" ref="AD42" si="79">AC48</f>
        <v>204624000</v>
      </c>
      <c r="AE42" s="3">
        <f t="shared" ref="AE42" si="80">AD48</f>
        <v>187572000</v>
      </c>
      <c r="AF42" s="3">
        <f t="shared" ref="AF42" si="81">AE48</f>
        <v>170520000</v>
      </c>
      <c r="AG42" s="3">
        <f t="shared" ref="AG42" si="82">AF48</f>
        <v>153468000</v>
      </c>
      <c r="AH42" s="3">
        <f t="shared" ref="AH42" si="83">AG48</f>
        <v>136416000</v>
      </c>
      <c r="AI42" s="3">
        <f t="shared" ref="AI42" si="84">AH48</f>
        <v>119364000</v>
      </c>
      <c r="AJ42" s="3">
        <f t="shared" ref="AJ42" si="85">AI48</f>
        <v>102312000</v>
      </c>
      <c r="AK42" s="3">
        <f t="shared" ref="AK42" si="86">AJ48</f>
        <v>85260000</v>
      </c>
      <c r="AL42" s="3">
        <f t="shared" ref="AL42" si="87">AK48</f>
        <v>68208000</v>
      </c>
      <c r="AM42" s="3">
        <f t="shared" ref="AM42" si="88">AL48</f>
        <v>51156000</v>
      </c>
      <c r="AN42" s="3">
        <f t="shared" ref="AN42:AO42" si="89">AM48</f>
        <v>34104000</v>
      </c>
      <c r="AO42" s="3">
        <f t="shared" si="89"/>
        <v>17052000</v>
      </c>
    </row>
    <row r="43" spans="1:41" x14ac:dyDescent="0.2">
      <c r="A43" s="7" t="s">
        <v>6</v>
      </c>
      <c r="B43" s="7">
        <f>C18*(B41-C16)*$B$39/360</f>
        <v>11479166.666666666</v>
      </c>
      <c r="C43" s="7">
        <f>B48*(C41-B41)*C39/360</f>
        <v>13928055.555555556</v>
      </c>
      <c r="D43" s="7">
        <f t="shared" ref="D43:AO43" si="90">C48*(D41-C41)*D39/360</f>
        <v>13928055.555555556</v>
      </c>
      <c r="E43" s="7">
        <f t="shared" si="90"/>
        <v>14081111.111111112</v>
      </c>
      <c r="F43" s="7">
        <f>E48*($F$26-E41)*E39/360+E48*(F41-$F$26)*F39/360</f>
        <v>13815277.777777778</v>
      </c>
      <c r="G43" s="7">
        <f t="shared" si="90"/>
        <v>13195000</v>
      </c>
      <c r="H43" s="7">
        <f t="shared" si="90"/>
        <v>13050000</v>
      </c>
      <c r="I43" s="7">
        <f t="shared" si="90"/>
        <v>12945136</v>
      </c>
      <c r="J43" s="7">
        <f>I48*(J41-I41)*J39/360</f>
        <v>12550272</v>
      </c>
      <c r="K43" s="7">
        <f t="shared" si="90"/>
        <v>12025923</v>
      </c>
      <c r="L43" s="7">
        <f t="shared" si="90"/>
        <v>11510100</v>
      </c>
      <c r="M43" s="7">
        <f t="shared" si="90"/>
        <v>11373684</v>
      </c>
      <c r="N43" s="7">
        <f t="shared" si="90"/>
        <v>10981488</v>
      </c>
      <c r="O43" s="7">
        <f t="shared" si="90"/>
        <v>10474191</v>
      </c>
      <c r="P43" s="7">
        <f t="shared" si="90"/>
        <v>9975420</v>
      </c>
      <c r="Q43" s="7">
        <f t="shared" si="90"/>
        <v>9804900</v>
      </c>
      <c r="R43" s="7">
        <f t="shared" si="90"/>
        <v>9310392</v>
      </c>
      <c r="S43" s="7">
        <f t="shared" si="90"/>
        <v>8922459</v>
      </c>
      <c r="T43" s="7">
        <f t="shared" si="90"/>
        <v>8534526</v>
      </c>
      <c r="U43" s="7">
        <f t="shared" si="90"/>
        <v>8146593</v>
      </c>
      <c r="V43" s="7">
        <f t="shared" si="90"/>
        <v>8014440</v>
      </c>
      <c r="W43" s="7">
        <f t="shared" si="90"/>
        <v>7370727</v>
      </c>
      <c r="X43" s="7">
        <f t="shared" si="90"/>
        <v>6752592</v>
      </c>
      <c r="Y43" s="7">
        <f t="shared" si="90"/>
        <v>6812274</v>
      </c>
      <c r="Z43" s="7">
        <f t="shared" si="90"/>
        <v>6275136</v>
      </c>
      <c r="AA43" s="7">
        <f t="shared" si="90"/>
        <v>5818995</v>
      </c>
      <c r="AB43" s="7">
        <f t="shared" si="90"/>
        <v>5371380</v>
      </c>
      <c r="AC43" s="7">
        <f t="shared" si="90"/>
        <v>5098548</v>
      </c>
      <c r="AD43" s="7">
        <f t="shared" si="90"/>
        <v>4706352</v>
      </c>
      <c r="AE43" s="7">
        <f t="shared" si="90"/>
        <v>4267263</v>
      </c>
      <c r="AF43" s="7">
        <f t="shared" si="90"/>
        <v>3836700</v>
      </c>
      <c r="AG43" s="7">
        <f t="shared" si="90"/>
        <v>3529764</v>
      </c>
      <c r="AH43" s="7">
        <f t="shared" si="90"/>
        <v>3137568</v>
      </c>
      <c r="AI43" s="7">
        <f t="shared" si="90"/>
        <v>2715531</v>
      </c>
      <c r="AJ43" s="7">
        <f t="shared" si="90"/>
        <v>2327598</v>
      </c>
      <c r="AK43" s="7">
        <f t="shared" si="90"/>
        <v>1960980</v>
      </c>
      <c r="AL43" s="7">
        <f t="shared" si="90"/>
        <v>1551732</v>
      </c>
      <c r="AM43" s="7">
        <f t="shared" si="90"/>
        <v>1163799</v>
      </c>
      <c r="AN43" s="7">
        <f t="shared" si="90"/>
        <v>775866</v>
      </c>
      <c r="AO43" s="7">
        <f t="shared" si="90"/>
        <v>387933</v>
      </c>
    </row>
    <row r="44" spans="1:41" x14ac:dyDescent="0.2">
      <c r="A44" s="2" t="s">
        <v>12</v>
      </c>
      <c r="B44" s="3">
        <f>B43</f>
        <v>11479166.666666666</v>
      </c>
      <c r="C44" s="3">
        <f>B44+C43</f>
        <v>25407222.222222224</v>
      </c>
      <c r="D44" s="3">
        <f>C44+D43</f>
        <v>39335277.777777776</v>
      </c>
      <c r="E44" s="3">
        <f>D44+E43</f>
        <v>53416388.888888888</v>
      </c>
      <c r="F44" s="3">
        <f t="shared" ref="F44" si="91">E44+F43</f>
        <v>67231666.666666672</v>
      </c>
      <c r="G44" s="3">
        <f t="shared" ref="G44" si="92">G43+F44</f>
        <v>80426666.666666672</v>
      </c>
      <c r="H44" s="3">
        <f t="shared" ref="H44" si="93">H43+G44</f>
        <v>93476666.666666672</v>
      </c>
      <c r="I44" s="3">
        <f t="shared" ref="I44" si="94">I43+H44</f>
        <v>106421802.66666667</v>
      </c>
      <c r="J44" s="3">
        <f t="shared" ref="J44" si="95">J43+I44</f>
        <v>118972074.66666667</v>
      </c>
      <c r="K44" s="3">
        <f t="shared" ref="K44" si="96">K43+J44</f>
        <v>130997997.66666667</v>
      </c>
      <c r="L44" s="3">
        <f t="shared" ref="L44" si="97">L43+K44</f>
        <v>142508097.66666669</v>
      </c>
      <c r="M44" s="3">
        <f t="shared" ref="M44" si="98">M43+L44</f>
        <v>153881781.66666669</v>
      </c>
      <c r="N44" s="3">
        <f t="shared" ref="N44" si="99">N43+M44</f>
        <v>164863269.66666669</v>
      </c>
      <c r="O44" s="3">
        <f t="shared" ref="O44" si="100">O43+N44</f>
        <v>175337460.66666669</v>
      </c>
      <c r="P44" s="3">
        <f t="shared" ref="P44" si="101">P43+O44</f>
        <v>185312880.66666669</v>
      </c>
      <c r="Q44" s="3">
        <f t="shared" ref="Q44" si="102">Q43+P44</f>
        <v>195117780.66666669</v>
      </c>
      <c r="R44" s="3">
        <f t="shared" ref="R44" si="103">R43+Q44</f>
        <v>204428172.66666669</v>
      </c>
      <c r="S44" s="3">
        <f t="shared" ref="S44" si="104">S43+R44</f>
        <v>213350631.66666669</v>
      </c>
      <c r="T44" s="3">
        <f t="shared" ref="T44" si="105">T43+S44</f>
        <v>221885157.66666669</v>
      </c>
      <c r="U44" s="3">
        <f t="shared" ref="U44" si="106">U43+T44</f>
        <v>230031750.66666669</v>
      </c>
      <c r="V44" s="3">
        <f t="shared" ref="V44" si="107">V43+U44</f>
        <v>238046190.66666669</v>
      </c>
      <c r="W44" s="3">
        <f t="shared" ref="W44" si="108">W43+V44</f>
        <v>245416917.66666669</v>
      </c>
      <c r="X44" s="3">
        <f t="shared" ref="X44" si="109">X43+W44</f>
        <v>252169509.66666669</v>
      </c>
      <c r="Y44" s="3">
        <f t="shared" ref="Y44" si="110">Y43+X44</f>
        <v>258981783.66666669</v>
      </c>
      <c r="Z44" s="3">
        <f t="shared" ref="Z44" si="111">Z43+Y44</f>
        <v>265256919.66666669</v>
      </c>
      <c r="AA44" s="3">
        <f t="shared" ref="AA44" si="112">AA43+Z44</f>
        <v>271075914.66666669</v>
      </c>
      <c r="AB44" s="3">
        <f t="shared" ref="AB44" si="113">AB43+AA44</f>
        <v>276447294.66666669</v>
      </c>
      <c r="AC44" s="3">
        <f t="shared" ref="AC44" si="114">AC43+AB44</f>
        <v>281545842.66666669</v>
      </c>
      <c r="AD44" s="3">
        <f t="shared" ref="AD44" si="115">AD43+AC44</f>
        <v>286252194.66666669</v>
      </c>
      <c r="AE44" s="3">
        <f t="shared" ref="AE44" si="116">AE43+AD44</f>
        <v>290519457.66666669</v>
      </c>
      <c r="AF44" s="3">
        <f t="shared" ref="AF44" si="117">AF43+AE44</f>
        <v>294356157.66666669</v>
      </c>
      <c r="AG44" s="3">
        <f t="shared" ref="AG44" si="118">AG43+AF44</f>
        <v>297885921.66666669</v>
      </c>
      <c r="AH44" s="3">
        <f t="shared" ref="AH44" si="119">AH43+AG44</f>
        <v>301023489.66666669</v>
      </c>
      <c r="AI44" s="3">
        <f t="shared" ref="AI44" si="120">AI43+AH44</f>
        <v>303739020.66666669</v>
      </c>
      <c r="AJ44" s="3">
        <f t="shared" ref="AJ44" si="121">AJ43+AI44</f>
        <v>306066618.66666669</v>
      </c>
      <c r="AK44" s="3">
        <f t="shared" ref="AK44" si="122">AK43+AJ44</f>
        <v>308027598.66666669</v>
      </c>
      <c r="AL44" s="3">
        <f t="shared" ref="AL44" si="123">AL43+AK44</f>
        <v>309579330.66666669</v>
      </c>
      <c r="AM44" s="3">
        <f t="shared" ref="AM44" si="124">AM43+AL44</f>
        <v>310743129.66666669</v>
      </c>
      <c r="AN44" s="3">
        <f t="shared" ref="AN44:AO44" si="125">AN43+AM44</f>
        <v>311518995.66666669</v>
      </c>
      <c r="AO44" s="3">
        <f t="shared" si="125"/>
        <v>311906928.66666669</v>
      </c>
    </row>
    <row r="45" spans="1:41" x14ac:dyDescent="0.2">
      <c r="A45" s="2" t="s">
        <v>7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f t="shared" ref="H45:AN45" si="126">$C$18*H25</f>
        <v>17168000</v>
      </c>
      <c r="I45" s="3">
        <f t="shared" si="126"/>
        <v>17168000</v>
      </c>
      <c r="J45" s="3">
        <f t="shared" si="126"/>
        <v>17052000</v>
      </c>
      <c r="K45" s="3">
        <f t="shared" si="126"/>
        <v>17052000</v>
      </c>
      <c r="L45" s="3">
        <f t="shared" si="126"/>
        <v>17052000</v>
      </c>
      <c r="M45" s="3">
        <f t="shared" si="126"/>
        <v>17052000</v>
      </c>
      <c r="N45" s="3">
        <f t="shared" si="126"/>
        <v>17052000</v>
      </c>
      <c r="O45" s="3">
        <f t="shared" si="126"/>
        <v>17052000</v>
      </c>
      <c r="P45" s="3">
        <f t="shared" si="126"/>
        <v>17052000</v>
      </c>
      <c r="Q45" s="3">
        <f t="shared" si="126"/>
        <v>17052000</v>
      </c>
      <c r="R45" s="3">
        <f t="shared" si="126"/>
        <v>17052000</v>
      </c>
      <c r="S45" s="3">
        <f t="shared" si="126"/>
        <v>17052000</v>
      </c>
      <c r="T45" s="3">
        <f t="shared" si="126"/>
        <v>17052000</v>
      </c>
      <c r="U45" s="3">
        <f t="shared" si="126"/>
        <v>17052000</v>
      </c>
      <c r="V45" s="3">
        <f t="shared" si="126"/>
        <v>17052000</v>
      </c>
      <c r="W45" s="3">
        <f t="shared" si="126"/>
        <v>17052000</v>
      </c>
      <c r="X45" s="3">
        <f t="shared" si="126"/>
        <v>17052000</v>
      </c>
      <c r="Y45" s="3">
        <f t="shared" si="126"/>
        <v>17052000</v>
      </c>
      <c r="Z45" s="3">
        <f t="shared" si="126"/>
        <v>17052000</v>
      </c>
      <c r="AA45" s="3">
        <f t="shared" si="126"/>
        <v>17052000</v>
      </c>
      <c r="AB45" s="3">
        <f t="shared" si="126"/>
        <v>17052000</v>
      </c>
      <c r="AC45" s="3">
        <f t="shared" si="126"/>
        <v>17052000</v>
      </c>
      <c r="AD45" s="3">
        <f t="shared" si="126"/>
        <v>17052000</v>
      </c>
      <c r="AE45" s="3">
        <f t="shared" si="126"/>
        <v>17052000</v>
      </c>
      <c r="AF45" s="3">
        <f t="shared" si="126"/>
        <v>17052000</v>
      </c>
      <c r="AG45" s="3">
        <f t="shared" si="126"/>
        <v>17052000</v>
      </c>
      <c r="AH45" s="3">
        <f t="shared" si="126"/>
        <v>17052000</v>
      </c>
      <c r="AI45" s="3">
        <f t="shared" si="126"/>
        <v>17052000</v>
      </c>
      <c r="AJ45" s="3">
        <f t="shared" si="126"/>
        <v>17052000</v>
      </c>
      <c r="AK45" s="3">
        <f t="shared" si="126"/>
        <v>17052000</v>
      </c>
      <c r="AL45" s="3">
        <f t="shared" si="126"/>
        <v>17052000</v>
      </c>
      <c r="AM45" s="3">
        <f t="shared" si="126"/>
        <v>17052000</v>
      </c>
      <c r="AN45" s="3">
        <f t="shared" si="126"/>
        <v>17052000</v>
      </c>
      <c r="AO45" s="3">
        <f t="shared" ref="AO45" si="127">$C$18*AO25</f>
        <v>17052000</v>
      </c>
    </row>
    <row r="46" spans="1:41" x14ac:dyDescent="0.2">
      <c r="A46" s="2" t="s">
        <v>13</v>
      </c>
      <c r="B46" s="3">
        <v>0</v>
      </c>
      <c r="C46" s="3">
        <f t="shared" ref="C46" si="128">C45+B46</f>
        <v>0</v>
      </c>
      <c r="D46" s="3">
        <f t="shared" ref="D46" si="129">D45+C46</f>
        <v>0</v>
      </c>
      <c r="E46" s="3">
        <f t="shared" ref="E46" si="130">E45+D46</f>
        <v>0</v>
      </c>
      <c r="F46" s="3">
        <f t="shared" ref="F46" si="131">F45+E46</f>
        <v>0</v>
      </c>
      <c r="G46" s="3">
        <f t="shared" ref="G46" si="132">G45+F46</f>
        <v>0</v>
      </c>
      <c r="H46" s="3">
        <f t="shared" ref="H46" si="133">H45+G46</f>
        <v>17168000</v>
      </c>
      <c r="I46" s="3">
        <f t="shared" ref="I46" si="134">I45+H46</f>
        <v>34336000</v>
      </c>
      <c r="J46" s="3">
        <f t="shared" ref="J46" si="135">J45+I46</f>
        <v>51388000</v>
      </c>
      <c r="K46" s="3">
        <f t="shared" ref="K46" si="136">K45+J46</f>
        <v>68440000</v>
      </c>
      <c r="L46" s="3">
        <f t="shared" ref="L46" si="137">L45+K46</f>
        <v>85492000</v>
      </c>
      <c r="M46" s="3">
        <f t="shared" ref="M46" si="138">M45+L46</f>
        <v>102544000</v>
      </c>
      <c r="N46" s="3">
        <f t="shared" ref="N46" si="139">N45+M46</f>
        <v>119596000</v>
      </c>
      <c r="O46" s="3">
        <f t="shared" ref="O46" si="140">O45+N46</f>
        <v>136648000</v>
      </c>
      <c r="P46" s="3">
        <f t="shared" ref="P46" si="141">P45+O46</f>
        <v>153700000</v>
      </c>
      <c r="Q46" s="3">
        <f t="shared" ref="Q46" si="142">Q45+P46</f>
        <v>170752000</v>
      </c>
      <c r="R46" s="3">
        <f t="shared" ref="R46" si="143">R45+Q46</f>
        <v>187804000</v>
      </c>
      <c r="S46" s="3">
        <f t="shared" ref="S46" si="144">S45+R46</f>
        <v>204856000</v>
      </c>
      <c r="T46" s="3">
        <f t="shared" ref="T46" si="145">T45+S46</f>
        <v>221908000</v>
      </c>
      <c r="U46" s="3">
        <f t="shared" ref="U46" si="146">U45+T46</f>
        <v>238960000</v>
      </c>
      <c r="V46" s="3">
        <f t="shared" ref="V46" si="147">V45+U46</f>
        <v>256012000</v>
      </c>
      <c r="W46" s="3">
        <f t="shared" ref="W46" si="148">W45+V46</f>
        <v>273064000</v>
      </c>
      <c r="X46" s="3">
        <f t="shared" ref="X46" si="149">X45+W46</f>
        <v>290116000</v>
      </c>
      <c r="Y46" s="3">
        <f t="shared" ref="Y46" si="150">Y45+X46</f>
        <v>307168000</v>
      </c>
      <c r="Z46" s="3">
        <f t="shared" ref="Z46" si="151">Z45+Y46</f>
        <v>324220000</v>
      </c>
      <c r="AA46" s="3">
        <f t="shared" ref="AA46" si="152">AA45+Z46</f>
        <v>341272000</v>
      </c>
      <c r="AB46" s="3">
        <f t="shared" ref="AB46" si="153">AB45+AA46</f>
        <v>358324000</v>
      </c>
      <c r="AC46" s="3">
        <f t="shared" ref="AC46" si="154">AC45+AB46</f>
        <v>375376000</v>
      </c>
      <c r="AD46" s="3">
        <f t="shared" ref="AD46" si="155">AD45+AC46</f>
        <v>392428000</v>
      </c>
      <c r="AE46" s="3">
        <f t="shared" ref="AE46" si="156">AE45+AD46</f>
        <v>409480000</v>
      </c>
      <c r="AF46" s="3">
        <f t="shared" ref="AF46" si="157">AF45+AE46</f>
        <v>426532000</v>
      </c>
      <c r="AG46" s="3">
        <f t="shared" ref="AG46" si="158">AG45+AF46</f>
        <v>443584000</v>
      </c>
      <c r="AH46" s="3">
        <f t="shared" ref="AH46" si="159">AH45+AG46</f>
        <v>460636000</v>
      </c>
      <c r="AI46" s="3">
        <f t="shared" ref="AI46" si="160">AI45+AH46</f>
        <v>477688000</v>
      </c>
      <c r="AJ46" s="3">
        <f t="shared" ref="AJ46" si="161">AJ45+AI46</f>
        <v>494740000</v>
      </c>
      <c r="AK46" s="3">
        <f t="shared" ref="AK46" si="162">AK45+AJ46</f>
        <v>511792000</v>
      </c>
      <c r="AL46" s="3">
        <f t="shared" ref="AL46" si="163">AL45+AK46</f>
        <v>528844000</v>
      </c>
      <c r="AM46" s="3">
        <f t="shared" ref="AM46" si="164">AM45+AL46</f>
        <v>545896000</v>
      </c>
      <c r="AN46" s="3">
        <f t="shared" ref="AN46:AO46" si="165">AN45+AM46</f>
        <v>562948000</v>
      </c>
      <c r="AO46" s="3">
        <f t="shared" si="165"/>
        <v>580000000</v>
      </c>
    </row>
    <row r="47" spans="1:41" x14ac:dyDescent="0.2">
      <c r="A47" s="2" t="s">
        <v>8</v>
      </c>
      <c r="B47" s="15">
        <f>B43+B45</f>
        <v>11479166.666666666</v>
      </c>
      <c r="C47" s="15">
        <f t="shared" ref="C47:E47" si="166">C43+C45</f>
        <v>13928055.555555556</v>
      </c>
      <c r="D47" s="15">
        <f t="shared" si="166"/>
        <v>13928055.555555556</v>
      </c>
      <c r="E47" s="15">
        <f t="shared" si="166"/>
        <v>14081111.111111112</v>
      </c>
      <c r="F47" s="15">
        <f>F43+F45</f>
        <v>13815277.777777778</v>
      </c>
      <c r="G47" s="15">
        <f t="shared" ref="G47:L47" si="167">G43+G45</f>
        <v>13195000</v>
      </c>
      <c r="H47" s="15">
        <f t="shared" si="167"/>
        <v>30218000</v>
      </c>
      <c r="I47" s="15">
        <f t="shared" si="167"/>
        <v>30113136</v>
      </c>
      <c r="J47" s="15">
        <f t="shared" si="167"/>
        <v>29602272</v>
      </c>
      <c r="K47" s="15">
        <f t="shared" si="167"/>
        <v>29077923</v>
      </c>
      <c r="L47" s="15">
        <f t="shared" si="167"/>
        <v>28562100</v>
      </c>
      <c r="M47" s="15">
        <f>M43+M45</f>
        <v>28425684</v>
      </c>
      <c r="N47" s="15">
        <f>N43+N45</f>
        <v>28033488</v>
      </c>
      <c r="O47" s="15">
        <f t="shared" ref="O47:AN47" si="168">O43+O45</f>
        <v>27526191</v>
      </c>
      <c r="P47" s="15">
        <f t="shared" si="168"/>
        <v>27027420</v>
      </c>
      <c r="Q47" s="15">
        <f t="shared" si="168"/>
        <v>26856900</v>
      </c>
      <c r="R47" s="15">
        <f t="shared" si="168"/>
        <v>26362392</v>
      </c>
      <c r="S47" s="15">
        <f t="shared" si="168"/>
        <v>25974459</v>
      </c>
      <c r="T47" s="15">
        <f t="shared" si="168"/>
        <v>25586526</v>
      </c>
      <c r="U47" s="15">
        <f t="shared" si="168"/>
        <v>25198593</v>
      </c>
      <c r="V47" s="15">
        <f t="shared" si="168"/>
        <v>25066440</v>
      </c>
      <c r="W47" s="15">
        <f t="shared" si="168"/>
        <v>24422727</v>
      </c>
      <c r="X47" s="15">
        <f t="shared" si="168"/>
        <v>23804592</v>
      </c>
      <c r="Y47" s="15">
        <f t="shared" si="168"/>
        <v>23864274</v>
      </c>
      <c r="Z47" s="15">
        <f t="shared" si="168"/>
        <v>23327136</v>
      </c>
      <c r="AA47" s="15">
        <f t="shared" si="168"/>
        <v>22870995</v>
      </c>
      <c r="AB47" s="15">
        <f t="shared" si="168"/>
        <v>22423380</v>
      </c>
      <c r="AC47" s="15">
        <f t="shared" si="168"/>
        <v>22150548</v>
      </c>
      <c r="AD47" s="15">
        <f t="shared" si="168"/>
        <v>21758352</v>
      </c>
      <c r="AE47" s="15">
        <f t="shared" si="168"/>
        <v>21319263</v>
      </c>
      <c r="AF47" s="15">
        <f t="shared" si="168"/>
        <v>20888700</v>
      </c>
      <c r="AG47" s="15">
        <f t="shared" si="168"/>
        <v>20581764</v>
      </c>
      <c r="AH47" s="15">
        <f t="shared" si="168"/>
        <v>20189568</v>
      </c>
      <c r="AI47" s="15">
        <f t="shared" si="168"/>
        <v>19767531</v>
      </c>
      <c r="AJ47" s="15">
        <f t="shared" si="168"/>
        <v>19379598</v>
      </c>
      <c r="AK47" s="15">
        <f t="shared" si="168"/>
        <v>19012980</v>
      </c>
      <c r="AL47" s="15">
        <f t="shared" si="168"/>
        <v>18603732</v>
      </c>
      <c r="AM47" s="15">
        <f t="shared" si="168"/>
        <v>18215799</v>
      </c>
      <c r="AN47" s="15">
        <f t="shared" si="168"/>
        <v>17827866</v>
      </c>
      <c r="AO47" s="15">
        <f t="shared" ref="AO47" si="169">AO43+AO45</f>
        <v>17439933</v>
      </c>
    </row>
    <row r="48" spans="1:41" ht="13.5" thickBot="1" x14ac:dyDescent="0.25">
      <c r="A48" s="5" t="s">
        <v>9</v>
      </c>
      <c r="B48" s="16">
        <f t="shared" ref="B48:R48" si="170">B42-B45</f>
        <v>580000000</v>
      </c>
      <c r="C48" s="16">
        <f t="shared" si="170"/>
        <v>580000000</v>
      </c>
      <c r="D48" s="16">
        <f t="shared" si="170"/>
        <v>580000000</v>
      </c>
      <c r="E48" s="16">
        <f t="shared" si="170"/>
        <v>580000000</v>
      </c>
      <c r="F48" s="16">
        <f t="shared" si="170"/>
        <v>580000000</v>
      </c>
      <c r="G48" s="16">
        <f t="shared" si="170"/>
        <v>580000000</v>
      </c>
      <c r="H48" s="16">
        <f t="shared" si="170"/>
        <v>562832000</v>
      </c>
      <c r="I48" s="16">
        <f t="shared" si="170"/>
        <v>545664000</v>
      </c>
      <c r="J48" s="16">
        <f t="shared" si="170"/>
        <v>528612000</v>
      </c>
      <c r="K48" s="16">
        <f t="shared" si="170"/>
        <v>511560000</v>
      </c>
      <c r="L48" s="16">
        <f t="shared" si="170"/>
        <v>494508000</v>
      </c>
      <c r="M48" s="16">
        <f t="shared" si="170"/>
        <v>477456000</v>
      </c>
      <c r="N48" s="16">
        <f t="shared" si="170"/>
        <v>460404000</v>
      </c>
      <c r="O48" s="16">
        <f t="shared" si="170"/>
        <v>443352000</v>
      </c>
      <c r="P48" s="16">
        <f t="shared" si="170"/>
        <v>426300000</v>
      </c>
      <c r="Q48" s="16">
        <f t="shared" si="170"/>
        <v>409248000</v>
      </c>
      <c r="R48" s="16">
        <f t="shared" si="170"/>
        <v>392196000</v>
      </c>
      <c r="S48" s="16">
        <f>S42-S45</f>
        <v>375144000</v>
      </c>
      <c r="T48" s="16">
        <f t="shared" ref="T48:AN48" si="171">T42-T45</f>
        <v>358092000</v>
      </c>
      <c r="U48" s="16">
        <f t="shared" si="171"/>
        <v>341040000</v>
      </c>
      <c r="V48" s="16">
        <f t="shared" si="171"/>
        <v>323988000</v>
      </c>
      <c r="W48" s="16">
        <f t="shared" si="171"/>
        <v>306936000</v>
      </c>
      <c r="X48" s="16">
        <f t="shared" si="171"/>
        <v>289884000</v>
      </c>
      <c r="Y48" s="16">
        <f t="shared" si="171"/>
        <v>272832000</v>
      </c>
      <c r="Z48" s="16">
        <f t="shared" si="171"/>
        <v>255780000</v>
      </c>
      <c r="AA48" s="16">
        <f t="shared" si="171"/>
        <v>238728000</v>
      </c>
      <c r="AB48" s="16">
        <f t="shared" si="171"/>
        <v>221676000</v>
      </c>
      <c r="AC48" s="16">
        <f t="shared" si="171"/>
        <v>204624000</v>
      </c>
      <c r="AD48" s="16">
        <f t="shared" si="171"/>
        <v>187572000</v>
      </c>
      <c r="AE48" s="16">
        <f t="shared" si="171"/>
        <v>170520000</v>
      </c>
      <c r="AF48" s="16">
        <f t="shared" si="171"/>
        <v>153468000</v>
      </c>
      <c r="AG48" s="16">
        <f t="shared" si="171"/>
        <v>136416000</v>
      </c>
      <c r="AH48" s="16">
        <f t="shared" si="171"/>
        <v>119364000</v>
      </c>
      <c r="AI48" s="16">
        <f t="shared" si="171"/>
        <v>102312000</v>
      </c>
      <c r="AJ48" s="16">
        <f t="shared" si="171"/>
        <v>85260000</v>
      </c>
      <c r="AK48" s="16">
        <f t="shared" si="171"/>
        <v>68208000</v>
      </c>
      <c r="AL48" s="16">
        <f t="shared" si="171"/>
        <v>51156000</v>
      </c>
      <c r="AM48" s="16">
        <f t="shared" si="171"/>
        <v>34104000</v>
      </c>
      <c r="AN48" s="16">
        <f t="shared" si="171"/>
        <v>17052000</v>
      </c>
      <c r="AO48" s="16">
        <f t="shared" ref="AO48" si="172">AO42-AO45</f>
        <v>0</v>
      </c>
    </row>
    <row r="49" spans="1:41" x14ac:dyDescent="0.2"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</row>
    <row r="50" spans="1:41" ht="18.75" x14ac:dyDescent="0.3">
      <c r="A50" s="139" t="s">
        <v>83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</row>
    <row r="51" spans="1:41" x14ac:dyDescent="0.2">
      <c r="A51" s="138" t="s">
        <v>57</v>
      </c>
      <c r="B51" s="107">
        <f>B38</f>
        <v>43723</v>
      </c>
      <c r="C51" s="107">
        <f t="shared" ref="C51:AN51" si="173">C38</f>
        <v>43814</v>
      </c>
      <c r="D51" s="107">
        <f t="shared" si="173"/>
        <v>43905</v>
      </c>
      <c r="E51" s="107">
        <f t="shared" si="173"/>
        <v>43997</v>
      </c>
      <c r="F51" s="107">
        <f t="shared" si="173"/>
        <v>44089</v>
      </c>
      <c r="G51" s="107">
        <f t="shared" si="173"/>
        <v>44180</v>
      </c>
      <c r="H51" s="107">
        <f t="shared" si="173"/>
        <v>44270</v>
      </c>
      <c r="I51" s="107">
        <f t="shared" si="173"/>
        <v>44362</v>
      </c>
      <c r="J51" s="107">
        <f t="shared" si="173"/>
        <v>44454</v>
      </c>
      <c r="K51" s="107">
        <f t="shared" si="173"/>
        <v>44545</v>
      </c>
      <c r="L51" s="107">
        <f t="shared" si="173"/>
        <v>44635</v>
      </c>
      <c r="M51" s="107">
        <f t="shared" si="173"/>
        <v>44727</v>
      </c>
      <c r="N51" s="107">
        <f t="shared" si="173"/>
        <v>44819</v>
      </c>
      <c r="O51" s="107">
        <f t="shared" si="173"/>
        <v>44910</v>
      </c>
      <c r="P51" s="107">
        <f t="shared" si="173"/>
        <v>45000</v>
      </c>
      <c r="Q51" s="107">
        <f t="shared" si="173"/>
        <v>45092</v>
      </c>
      <c r="R51" s="107">
        <f t="shared" si="173"/>
        <v>45183</v>
      </c>
      <c r="S51" s="107">
        <f t="shared" si="173"/>
        <v>45274</v>
      </c>
      <c r="T51" s="107">
        <f t="shared" si="173"/>
        <v>45365</v>
      </c>
      <c r="U51" s="107">
        <f t="shared" si="173"/>
        <v>45456</v>
      </c>
      <c r="V51" s="107">
        <f t="shared" si="173"/>
        <v>45550</v>
      </c>
      <c r="W51" s="107">
        <f t="shared" si="173"/>
        <v>45641</v>
      </c>
      <c r="X51" s="107">
        <f t="shared" si="173"/>
        <v>45729</v>
      </c>
      <c r="Y51" s="107">
        <f t="shared" si="173"/>
        <v>45823</v>
      </c>
      <c r="Z51" s="107">
        <f t="shared" si="173"/>
        <v>45915</v>
      </c>
      <c r="AA51" s="107">
        <f t="shared" si="173"/>
        <v>46006</v>
      </c>
      <c r="AB51" s="107">
        <f t="shared" si="173"/>
        <v>46096</v>
      </c>
      <c r="AC51" s="107">
        <f t="shared" si="173"/>
        <v>46188</v>
      </c>
      <c r="AD51" s="107">
        <f t="shared" si="173"/>
        <v>46280</v>
      </c>
      <c r="AE51" s="107">
        <f t="shared" si="173"/>
        <v>46371</v>
      </c>
      <c r="AF51" s="107">
        <f t="shared" si="173"/>
        <v>46461</v>
      </c>
      <c r="AG51" s="107">
        <f t="shared" si="173"/>
        <v>46553</v>
      </c>
      <c r="AH51" s="107">
        <f t="shared" si="173"/>
        <v>46645</v>
      </c>
      <c r="AI51" s="107">
        <f t="shared" si="173"/>
        <v>46736</v>
      </c>
      <c r="AJ51" s="107">
        <f t="shared" si="173"/>
        <v>46827</v>
      </c>
      <c r="AK51" s="107">
        <f t="shared" si="173"/>
        <v>46919</v>
      </c>
      <c r="AL51" s="107">
        <f t="shared" si="173"/>
        <v>47010</v>
      </c>
      <c r="AM51" s="107">
        <f t="shared" si="173"/>
        <v>47101</v>
      </c>
      <c r="AN51" s="107">
        <f t="shared" si="173"/>
        <v>47192</v>
      </c>
      <c r="AO51" s="107">
        <f t="shared" ref="AO51" si="174">AO38</f>
        <v>47283</v>
      </c>
    </row>
    <row r="52" spans="1:41" ht="13.5" thickBot="1" x14ac:dyDescent="0.25">
      <c r="A52" s="108" t="s">
        <v>58</v>
      </c>
      <c r="B52" s="109">
        <f>+B39</f>
        <v>9.5000000000000001E-2</v>
      </c>
      <c r="C52" s="109">
        <f t="shared" ref="C52:AO52" si="175">+C39</f>
        <v>9.5000000000000001E-2</v>
      </c>
      <c r="D52" s="109">
        <f t="shared" si="175"/>
        <v>9.5000000000000001E-2</v>
      </c>
      <c r="E52" s="109">
        <f t="shared" si="175"/>
        <v>9.5000000000000001E-2</v>
      </c>
      <c r="F52" s="109">
        <f t="shared" si="175"/>
        <v>0.09</v>
      </c>
      <c r="G52" s="109">
        <f t="shared" si="175"/>
        <v>0.09</v>
      </c>
      <c r="H52" s="109">
        <f t="shared" si="175"/>
        <v>0.09</v>
      </c>
      <c r="I52" s="109">
        <f t="shared" si="175"/>
        <v>0.09</v>
      </c>
      <c r="J52" s="109">
        <f t="shared" si="175"/>
        <v>0.09</v>
      </c>
      <c r="K52" s="109">
        <f t="shared" si="175"/>
        <v>0.09</v>
      </c>
      <c r="L52" s="109">
        <f t="shared" si="175"/>
        <v>0.09</v>
      </c>
      <c r="M52" s="109">
        <f t="shared" si="175"/>
        <v>0.09</v>
      </c>
      <c r="N52" s="109">
        <f t="shared" si="175"/>
        <v>0.09</v>
      </c>
      <c r="O52" s="109">
        <f t="shared" si="175"/>
        <v>0.09</v>
      </c>
      <c r="P52" s="109">
        <f t="shared" si="175"/>
        <v>0.09</v>
      </c>
      <c r="Q52" s="109">
        <f t="shared" si="175"/>
        <v>0.09</v>
      </c>
      <c r="R52" s="109">
        <f t="shared" si="175"/>
        <v>0.09</v>
      </c>
      <c r="S52" s="109">
        <f t="shared" si="175"/>
        <v>0.09</v>
      </c>
      <c r="T52" s="109">
        <f t="shared" si="175"/>
        <v>0.09</v>
      </c>
      <c r="U52" s="109">
        <f t="shared" si="175"/>
        <v>0.09</v>
      </c>
      <c r="V52" s="109">
        <f t="shared" si="175"/>
        <v>0.09</v>
      </c>
      <c r="W52" s="109">
        <f t="shared" si="175"/>
        <v>0.09</v>
      </c>
      <c r="X52" s="109">
        <f t="shared" si="175"/>
        <v>0.09</v>
      </c>
      <c r="Y52" s="109">
        <f t="shared" si="175"/>
        <v>0.09</v>
      </c>
      <c r="Z52" s="109">
        <f t="shared" si="175"/>
        <v>0.09</v>
      </c>
      <c r="AA52" s="109">
        <f t="shared" si="175"/>
        <v>0.09</v>
      </c>
      <c r="AB52" s="109">
        <f t="shared" si="175"/>
        <v>0.09</v>
      </c>
      <c r="AC52" s="109">
        <f t="shared" si="175"/>
        <v>0.09</v>
      </c>
      <c r="AD52" s="109">
        <f t="shared" si="175"/>
        <v>0.09</v>
      </c>
      <c r="AE52" s="109">
        <f t="shared" si="175"/>
        <v>0.09</v>
      </c>
      <c r="AF52" s="109">
        <f t="shared" si="175"/>
        <v>0.09</v>
      </c>
      <c r="AG52" s="109">
        <f t="shared" si="175"/>
        <v>0.09</v>
      </c>
      <c r="AH52" s="109">
        <f t="shared" si="175"/>
        <v>0.09</v>
      </c>
      <c r="AI52" s="109">
        <f t="shared" si="175"/>
        <v>0.09</v>
      </c>
      <c r="AJ52" s="109">
        <f t="shared" si="175"/>
        <v>0.09</v>
      </c>
      <c r="AK52" s="109">
        <f t="shared" si="175"/>
        <v>0.09</v>
      </c>
      <c r="AL52" s="109">
        <f t="shared" si="175"/>
        <v>0.09</v>
      </c>
      <c r="AM52" s="109">
        <f t="shared" si="175"/>
        <v>0.09</v>
      </c>
      <c r="AN52" s="109">
        <f t="shared" si="175"/>
        <v>0.09</v>
      </c>
      <c r="AO52" s="109">
        <f t="shared" si="175"/>
        <v>0.09</v>
      </c>
    </row>
    <row r="53" spans="1:41" x14ac:dyDescent="0.2">
      <c r="A53" s="138" t="s">
        <v>10</v>
      </c>
      <c r="B53" s="14"/>
      <c r="C53" s="14"/>
      <c r="D53" s="14"/>
      <c r="E53" s="14"/>
      <c r="F53" s="14"/>
      <c r="G53" s="14"/>
      <c r="H53" s="14"/>
      <c r="I53" s="14"/>
      <c r="J53" s="14">
        <v>1</v>
      </c>
      <c r="K53" s="14">
        <f t="shared" ref="K53" si="176">J53+1</f>
        <v>2</v>
      </c>
      <c r="L53" s="14">
        <f t="shared" ref="L53" si="177">K53+1</f>
        <v>3</v>
      </c>
      <c r="M53" s="14">
        <f t="shared" ref="M53" si="178">L53+1</f>
        <v>4</v>
      </c>
      <c r="N53" s="14">
        <f t="shared" ref="N53" si="179">M53+1</f>
        <v>5</v>
      </c>
      <c r="O53" s="14">
        <f t="shared" ref="O53" si="180">N53+1</f>
        <v>6</v>
      </c>
      <c r="P53" s="14">
        <f t="shared" ref="P53" si="181">O53+1</f>
        <v>7</v>
      </c>
      <c r="Q53" s="14">
        <f t="shared" ref="Q53" si="182">P53+1</f>
        <v>8</v>
      </c>
      <c r="R53" s="14">
        <f t="shared" ref="R53" si="183">Q53+1</f>
        <v>9</v>
      </c>
      <c r="S53" s="14">
        <f t="shared" ref="S53" si="184">R53+1</f>
        <v>10</v>
      </c>
      <c r="T53" s="14">
        <f t="shared" ref="T53" si="185">S53+1</f>
        <v>11</v>
      </c>
      <c r="U53" s="14">
        <f t="shared" ref="U53" si="186">T53+1</f>
        <v>12</v>
      </c>
      <c r="V53" s="14">
        <f t="shared" ref="V53" si="187">U53+1</f>
        <v>13</v>
      </c>
      <c r="W53" s="14">
        <f t="shared" ref="W53" si="188">V53+1</f>
        <v>14</v>
      </c>
      <c r="X53" s="14">
        <f t="shared" ref="X53" si="189">W53+1</f>
        <v>15</v>
      </c>
      <c r="Y53" s="14">
        <f t="shared" ref="Y53" si="190">X53+1</f>
        <v>16</v>
      </c>
      <c r="Z53" s="14">
        <f t="shared" ref="Z53" si="191">Y53+1</f>
        <v>17</v>
      </c>
      <c r="AA53" s="14">
        <f t="shared" ref="AA53" si="192">Z53+1</f>
        <v>18</v>
      </c>
      <c r="AB53" s="14">
        <f t="shared" ref="AB53" si="193">AA53+1</f>
        <v>19</v>
      </c>
      <c r="AC53" s="14">
        <f t="shared" ref="AC53" si="194">AB53+1</f>
        <v>20</v>
      </c>
      <c r="AD53" s="14">
        <f t="shared" ref="AD53" si="195">AC53+1</f>
        <v>21</v>
      </c>
      <c r="AE53" s="14">
        <f t="shared" ref="AE53" si="196">AD53+1</f>
        <v>22</v>
      </c>
      <c r="AF53" s="14">
        <f t="shared" ref="AF53" si="197">AE53+1</f>
        <v>23</v>
      </c>
      <c r="AG53" s="14">
        <f t="shared" ref="AG53" si="198">AF53+1</f>
        <v>24</v>
      </c>
      <c r="AH53" s="14">
        <f t="shared" ref="AH53" si="199">AG53+1</f>
        <v>25</v>
      </c>
      <c r="AI53" s="14">
        <f t="shared" ref="AI53" si="200">AH53+1</f>
        <v>26</v>
      </c>
      <c r="AJ53" s="14">
        <f t="shared" ref="AJ53" si="201">AI53+1</f>
        <v>27</v>
      </c>
      <c r="AK53" s="14">
        <f t="shared" ref="AK53" si="202">AJ53+1</f>
        <v>28</v>
      </c>
      <c r="AL53" s="14">
        <f t="shared" ref="AL53" si="203">AK53+1</f>
        <v>29</v>
      </c>
      <c r="AM53" s="14">
        <f t="shared" ref="AM53" si="204">AL53+1</f>
        <v>30</v>
      </c>
      <c r="AN53" s="14">
        <f t="shared" ref="AN53:AO53" si="205">AM53+1</f>
        <v>31</v>
      </c>
      <c r="AO53" s="14">
        <f t="shared" si="205"/>
        <v>32</v>
      </c>
    </row>
    <row r="54" spans="1:41" x14ac:dyDescent="0.2">
      <c r="A54" s="80" t="s">
        <v>11</v>
      </c>
      <c r="B54" s="79">
        <f>B41</f>
        <v>43723</v>
      </c>
      <c r="C54" s="79">
        <f t="shared" ref="C54:AN54" si="206">C41</f>
        <v>43814</v>
      </c>
      <c r="D54" s="79">
        <f t="shared" si="206"/>
        <v>43905</v>
      </c>
      <c r="E54" s="79">
        <f t="shared" si="206"/>
        <v>43997</v>
      </c>
      <c r="F54" s="79">
        <f>F41</f>
        <v>44089</v>
      </c>
      <c r="G54" s="79">
        <f t="shared" si="206"/>
        <v>44180</v>
      </c>
      <c r="H54" s="79">
        <f t="shared" si="206"/>
        <v>44270</v>
      </c>
      <c r="I54" s="79">
        <f t="shared" si="206"/>
        <v>44362</v>
      </c>
      <c r="J54" s="79">
        <f t="shared" si="206"/>
        <v>44454</v>
      </c>
      <c r="K54" s="79">
        <f t="shared" si="206"/>
        <v>44545</v>
      </c>
      <c r="L54" s="79">
        <f t="shared" si="206"/>
        <v>44635</v>
      </c>
      <c r="M54" s="79">
        <f t="shared" si="206"/>
        <v>44727</v>
      </c>
      <c r="N54" s="79">
        <f t="shared" si="206"/>
        <v>44819</v>
      </c>
      <c r="O54" s="79">
        <f t="shared" si="206"/>
        <v>44910</v>
      </c>
      <c r="P54" s="79">
        <f t="shared" si="206"/>
        <v>45000</v>
      </c>
      <c r="Q54" s="79">
        <f t="shared" si="206"/>
        <v>45092</v>
      </c>
      <c r="R54" s="79">
        <f t="shared" si="206"/>
        <v>45183</v>
      </c>
      <c r="S54" s="79">
        <f t="shared" si="206"/>
        <v>45274</v>
      </c>
      <c r="T54" s="79">
        <f t="shared" si="206"/>
        <v>45365</v>
      </c>
      <c r="U54" s="79">
        <f t="shared" si="206"/>
        <v>45456</v>
      </c>
      <c r="V54" s="79">
        <f t="shared" si="206"/>
        <v>45550</v>
      </c>
      <c r="W54" s="79">
        <f t="shared" si="206"/>
        <v>45641</v>
      </c>
      <c r="X54" s="79">
        <f t="shared" si="206"/>
        <v>45729</v>
      </c>
      <c r="Y54" s="79">
        <f t="shared" si="206"/>
        <v>45823</v>
      </c>
      <c r="Z54" s="79">
        <f t="shared" si="206"/>
        <v>45915</v>
      </c>
      <c r="AA54" s="79">
        <f t="shared" si="206"/>
        <v>46006</v>
      </c>
      <c r="AB54" s="79">
        <f t="shared" si="206"/>
        <v>46096</v>
      </c>
      <c r="AC54" s="79">
        <f t="shared" si="206"/>
        <v>46188</v>
      </c>
      <c r="AD54" s="79">
        <f t="shared" si="206"/>
        <v>46280</v>
      </c>
      <c r="AE54" s="79">
        <f t="shared" si="206"/>
        <v>46371</v>
      </c>
      <c r="AF54" s="79">
        <f t="shared" si="206"/>
        <v>46461</v>
      </c>
      <c r="AG54" s="79">
        <f t="shared" si="206"/>
        <v>46553</v>
      </c>
      <c r="AH54" s="79">
        <f t="shared" si="206"/>
        <v>46645</v>
      </c>
      <c r="AI54" s="79">
        <f t="shared" si="206"/>
        <v>46736</v>
      </c>
      <c r="AJ54" s="79">
        <f t="shared" si="206"/>
        <v>46827</v>
      </c>
      <c r="AK54" s="79">
        <f t="shared" si="206"/>
        <v>46919</v>
      </c>
      <c r="AL54" s="79">
        <f t="shared" si="206"/>
        <v>47010</v>
      </c>
      <c r="AM54" s="79">
        <f t="shared" si="206"/>
        <v>47101</v>
      </c>
      <c r="AN54" s="79">
        <f t="shared" si="206"/>
        <v>47192</v>
      </c>
      <c r="AO54" s="79">
        <f t="shared" ref="AO54" si="207">AO41</f>
        <v>47283</v>
      </c>
    </row>
    <row r="55" spans="1:41" x14ac:dyDescent="0.2">
      <c r="A55" s="2" t="s">
        <v>5</v>
      </c>
      <c r="B55" s="8">
        <f>D17</f>
        <v>120000000</v>
      </c>
      <c r="C55" s="3">
        <f t="shared" ref="C55:D55" si="208">B61</f>
        <v>120000000</v>
      </c>
      <c r="D55" s="3">
        <f t="shared" si="208"/>
        <v>120000000</v>
      </c>
      <c r="E55" s="3">
        <f t="shared" ref="E55" si="209">D61</f>
        <v>120000000</v>
      </c>
      <c r="F55" s="3">
        <f t="shared" ref="F55" si="210">E61</f>
        <v>120000000</v>
      </c>
      <c r="G55" s="3">
        <f t="shared" ref="G55" si="211">F61</f>
        <v>120000000</v>
      </c>
      <c r="H55" s="3">
        <f t="shared" ref="H55" si="212">G61</f>
        <v>120000000</v>
      </c>
      <c r="I55" s="3">
        <f t="shared" ref="I55" si="213">H61</f>
        <v>116448000</v>
      </c>
      <c r="J55" s="3">
        <f t="shared" ref="J55" si="214">I61</f>
        <v>112896000</v>
      </c>
      <c r="K55" s="3">
        <f t="shared" ref="K55" si="215">J61</f>
        <v>109368000</v>
      </c>
      <c r="L55" s="3">
        <f t="shared" ref="L55" si="216">K61</f>
        <v>105840000</v>
      </c>
      <c r="M55" s="3">
        <f t="shared" ref="M55" si="217">L61</f>
        <v>102312000</v>
      </c>
      <c r="N55" s="3">
        <f t="shared" ref="N55" si="218">M61</f>
        <v>98784000</v>
      </c>
      <c r="O55" s="3">
        <f t="shared" ref="O55" si="219">N61</f>
        <v>95256000</v>
      </c>
      <c r="P55" s="3">
        <f t="shared" ref="P55" si="220">O61</f>
        <v>91728000</v>
      </c>
      <c r="Q55" s="3">
        <f t="shared" ref="Q55" si="221">P61</f>
        <v>88200000</v>
      </c>
      <c r="R55" s="3">
        <f t="shared" ref="R55" si="222">Q61</f>
        <v>84672000</v>
      </c>
      <c r="S55" s="3">
        <f t="shared" ref="S55" si="223">R61</f>
        <v>81144000</v>
      </c>
      <c r="T55" s="3">
        <f t="shared" ref="T55" si="224">S61</f>
        <v>77616000</v>
      </c>
      <c r="U55" s="3">
        <f t="shared" ref="U55" si="225">T61</f>
        <v>74088000</v>
      </c>
      <c r="V55" s="3">
        <f t="shared" ref="V55" si="226">U61</f>
        <v>70560000</v>
      </c>
      <c r="W55" s="3">
        <f t="shared" ref="W55" si="227">V61</f>
        <v>67032000</v>
      </c>
      <c r="X55" s="3">
        <f t="shared" ref="X55" si="228">W61</f>
        <v>63504000</v>
      </c>
      <c r="Y55" s="3">
        <f t="shared" ref="Y55" si="229">X61</f>
        <v>59976000</v>
      </c>
      <c r="Z55" s="3">
        <f t="shared" ref="Z55" si="230">Y61</f>
        <v>56448000</v>
      </c>
      <c r="AA55" s="3">
        <f t="shared" ref="AA55" si="231">Z61</f>
        <v>52920000</v>
      </c>
      <c r="AB55" s="3">
        <f t="shared" ref="AB55" si="232">AA61</f>
        <v>49392000</v>
      </c>
      <c r="AC55" s="3">
        <f t="shared" ref="AC55" si="233">AB61</f>
        <v>45864000</v>
      </c>
      <c r="AD55" s="3">
        <f t="shared" ref="AD55" si="234">AC61</f>
        <v>42336000</v>
      </c>
      <c r="AE55" s="3">
        <f t="shared" ref="AE55" si="235">AD61</f>
        <v>38808000</v>
      </c>
      <c r="AF55" s="3">
        <f t="shared" ref="AF55" si="236">AE61</f>
        <v>35280000</v>
      </c>
      <c r="AG55" s="3">
        <f t="shared" ref="AG55" si="237">AF61</f>
        <v>31752000</v>
      </c>
      <c r="AH55" s="3">
        <f t="shared" ref="AH55" si="238">AG61</f>
        <v>28224000</v>
      </c>
      <c r="AI55" s="3">
        <f t="shared" ref="AI55" si="239">AH61</f>
        <v>24696000</v>
      </c>
      <c r="AJ55" s="3">
        <f t="shared" ref="AJ55" si="240">AI61</f>
        <v>21168000</v>
      </c>
      <c r="AK55" s="3">
        <f t="shared" ref="AK55" si="241">AJ61</f>
        <v>17640000</v>
      </c>
      <c r="AL55" s="3">
        <f t="shared" ref="AL55" si="242">AK61</f>
        <v>14112000</v>
      </c>
      <c r="AM55" s="3">
        <f t="shared" ref="AM55" si="243">AL61</f>
        <v>10584000</v>
      </c>
      <c r="AN55" s="3">
        <f t="shared" ref="AN55:AO55" si="244">AM61</f>
        <v>7056000</v>
      </c>
      <c r="AO55" s="3">
        <f t="shared" si="244"/>
        <v>3528000</v>
      </c>
    </row>
    <row r="56" spans="1:41" x14ac:dyDescent="0.2">
      <c r="A56" s="7" t="s">
        <v>6</v>
      </c>
      <c r="B56" s="7">
        <f>$D$17*(B54-D16)*B52/360</f>
        <v>2375000</v>
      </c>
      <c r="C56" s="7">
        <f>B61*(C54-B54)*C52/360</f>
        <v>2881666.6666666665</v>
      </c>
      <c r="D56" s="7">
        <f t="shared" ref="D56:E56" si="245">C61*(D54-C54)*D52/360</f>
        <v>2881666.6666666665</v>
      </c>
      <c r="E56" s="7">
        <f t="shared" si="245"/>
        <v>2913333.3333333335</v>
      </c>
      <c r="F56" s="7">
        <f>E61*($F$26-E54)*E52/360+E61*(F54-$F$26)*F52/360</f>
        <v>2858333.333333333</v>
      </c>
      <c r="G56" s="7">
        <f t="shared" ref="G56" si="246">F61*(G54-F54)*G52/360</f>
        <v>2730000</v>
      </c>
      <c r="H56" s="7">
        <f t="shared" ref="H56" si="247">G61*(H54-G54)*H52/360</f>
        <v>2700000</v>
      </c>
      <c r="I56" s="7">
        <f t="shared" ref="I56" si="248">H61*(I54-H54)*I52/360</f>
        <v>2678304</v>
      </c>
      <c r="J56" s="7">
        <f t="shared" ref="J56" si="249">I61*(J54-I54)*J52/360</f>
        <v>2596608</v>
      </c>
      <c r="K56" s="7">
        <f t="shared" ref="K56" si="250">J61*(K54-J54)*K52/360</f>
        <v>2488122</v>
      </c>
      <c r="L56" s="7">
        <f t="shared" ref="L56" si="251">K61*(L54-K54)*L52/360</f>
        <v>2381400</v>
      </c>
      <c r="M56" s="7">
        <f t="shared" ref="M56" si="252">L61*(M54-L54)*M52/360</f>
        <v>2353176</v>
      </c>
      <c r="N56" s="7">
        <f t="shared" ref="N56" si="253">M61*(N54-M54)*N52/360</f>
        <v>2272032</v>
      </c>
      <c r="O56" s="7">
        <f t="shared" ref="O56" si="254">N61*(O54-N54)*O52/360</f>
        <v>2167074</v>
      </c>
      <c r="P56" s="7">
        <f t="shared" ref="P56" si="255">O61*(P54-O54)*P52/360</f>
        <v>2063880</v>
      </c>
      <c r="Q56" s="7">
        <f t="shared" ref="Q56" si="256">P61*(Q54-P54)*Q52/360</f>
        <v>2028600</v>
      </c>
      <c r="R56" s="7">
        <f t="shared" ref="R56" si="257">Q61*(R54-Q54)*R52/360</f>
        <v>1926288</v>
      </c>
      <c r="S56" s="7">
        <f t="shared" ref="S56" si="258">R61*(S54-R54)*S52/360</f>
        <v>1846026</v>
      </c>
      <c r="T56" s="7">
        <f t="shared" ref="T56" si="259">S61*(T54-S54)*T52/360</f>
        <v>1765764</v>
      </c>
      <c r="U56" s="7">
        <f t="shared" ref="U56" si="260">T61*(U54-T54)*U52/360</f>
        <v>1685502</v>
      </c>
      <c r="V56" s="7">
        <f t="shared" ref="V56" si="261">U61*(V54-U54)*V52/360</f>
        <v>1658160</v>
      </c>
      <c r="W56" s="7">
        <f t="shared" ref="W56" si="262">V61*(W54-V54)*W52/360</f>
        <v>1524978</v>
      </c>
      <c r="X56" s="7">
        <f t="shared" ref="X56" si="263">W61*(X54-W54)*X52/360</f>
        <v>1397088</v>
      </c>
      <c r="Y56" s="7">
        <f t="shared" ref="Y56" si="264">X61*(Y54-X54)*Y52/360</f>
        <v>1409436</v>
      </c>
      <c r="Z56" s="7">
        <f t="shared" ref="Z56" si="265">Y61*(Z54-Y54)*Z52/360</f>
        <v>1298304</v>
      </c>
      <c r="AA56" s="7">
        <f t="shared" ref="AA56" si="266">Z61*(AA54-Z54)*AA52/360</f>
        <v>1203930</v>
      </c>
      <c r="AB56" s="7">
        <f t="shared" ref="AB56" si="267">AA61*(AB54-AA54)*AB52/360</f>
        <v>1111320</v>
      </c>
      <c r="AC56" s="7">
        <f t="shared" ref="AC56" si="268">AB61*(AC54-AB54)*AC52/360</f>
        <v>1054872</v>
      </c>
      <c r="AD56" s="7">
        <f t="shared" ref="AD56" si="269">AC61*(AD54-AC54)*AD52/360</f>
        <v>973728</v>
      </c>
      <c r="AE56" s="7">
        <f t="shared" ref="AE56" si="270">AD61*(AE54-AD54)*AE52/360</f>
        <v>882882</v>
      </c>
      <c r="AF56" s="7">
        <f t="shared" ref="AF56" si="271">AE61*(AF54-AE54)*AF52/360</f>
        <v>793800</v>
      </c>
      <c r="AG56" s="7">
        <f t="shared" ref="AG56" si="272">AF61*(AG54-AF54)*AG52/360</f>
        <v>730296</v>
      </c>
      <c r="AH56" s="7">
        <f t="shared" ref="AH56" si="273">AG61*(AH54-AG54)*AH52/360</f>
        <v>649152</v>
      </c>
      <c r="AI56" s="7">
        <f t="shared" ref="AI56" si="274">AH61*(AI54-AH54)*AI52/360</f>
        <v>561834</v>
      </c>
      <c r="AJ56" s="7">
        <f t="shared" ref="AJ56" si="275">AI61*(AJ54-AI54)*AJ52/360</f>
        <v>481572</v>
      </c>
      <c r="AK56" s="7">
        <f t="shared" ref="AK56" si="276">AJ61*(AK54-AJ54)*AK52/360</f>
        <v>405720</v>
      </c>
      <c r="AL56" s="7">
        <f t="shared" ref="AL56" si="277">AK61*(AL54-AK54)*AL52/360</f>
        <v>321048</v>
      </c>
      <c r="AM56" s="7">
        <f t="shared" ref="AM56" si="278">AL61*(AM54-AL54)*AM52/360</f>
        <v>240786</v>
      </c>
      <c r="AN56" s="7">
        <f t="shared" ref="AN56:AO56" si="279">AM61*(AN54-AM54)*AN52/360</f>
        <v>160524</v>
      </c>
      <c r="AO56" s="7">
        <f t="shared" si="279"/>
        <v>80262</v>
      </c>
    </row>
    <row r="57" spans="1:41" x14ac:dyDescent="0.2">
      <c r="A57" s="2" t="s">
        <v>12</v>
      </c>
      <c r="B57" s="3">
        <f>B56</f>
        <v>2375000</v>
      </c>
      <c r="C57" s="3">
        <f>B57+C56</f>
        <v>5256666.666666666</v>
      </c>
      <c r="D57" s="3">
        <f>C57+D56</f>
        <v>8138333.3333333321</v>
      </c>
      <c r="E57" s="3">
        <f>D57+E56</f>
        <v>11051666.666666666</v>
      </c>
      <c r="F57" s="3">
        <f t="shared" ref="F57" si="280">E57+F56</f>
        <v>13910000</v>
      </c>
      <c r="G57" s="3">
        <f t="shared" ref="G57" si="281">G56+F57</f>
        <v>16640000</v>
      </c>
      <c r="H57" s="3">
        <f t="shared" ref="H57" si="282">H56+G57</f>
        <v>19340000</v>
      </c>
      <c r="I57" s="3">
        <f t="shared" ref="I57" si="283">I56+H57</f>
        <v>22018304</v>
      </c>
      <c r="J57" s="3">
        <f t="shared" ref="J57" si="284">J56+I57</f>
        <v>24614912</v>
      </c>
      <c r="K57" s="3">
        <f t="shared" ref="K57" si="285">K56+J57</f>
        <v>27103034</v>
      </c>
      <c r="L57" s="3">
        <f t="shared" ref="L57" si="286">L56+K57</f>
        <v>29484434</v>
      </c>
      <c r="M57" s="3">
        <f t="shared" ref="M57" si="287">M56+L57</f>
        <v>31837610</v>
      </c>
      <c r="N57" s="3">
        <f t="shared" ref="N57" si="288">N56+M57</f>
        <v>34109642</v>
      </c>
      <c r="O57" s="3">
        <f t="shared" ref="O57" si="289">O56+N57</f>
        <v>36276716</v>
      </c>
      <c r="P57" s="3">
        <f t="shared" ref="P57" si="290">P56+O57</f>
        <v>38340596</v>
      </c>
      <c r="Q57" s="3">
        <f t="shared" ref="Q57" si="291">Q56+P57</f>
        <v>40369196</v>
      </c>
      <c r="R57" s="3">
        <f t="shared" ref="R57" si="292">R56+Q57</f>
        <v>42295484</v>
      </c>
      <c r="S57" s="3">
        <f t="shared" ref="S57" si="293">S56+R57</f>
        <v>44141510</v>
      </c>
      <c r="T57" s="3">
        <f t="shared" ref="T57" si="294">T56+S57</f>
        <v>45907274</v>
      </c>
      <c r="U57" s="3">
        <f t="shared" ref="U57" si="295">U56+T57</f>
        <v>47592776</v>
      </c>
      <c r="V57" s="3">
        <f t="shared" ref="V57" si="296">V56+U57</f>
        <v>49250936</v>
      </c>
      <c r="W57" s="3">
        <f t="shared" ref="W57" si="297">W56+V57</f>
        <v>50775914</v>
      </c>
      <c r="X57" s="3">
        <f t="shared" ref="X57" si="298">X56+W57</f>
        <v>52173002</v>
      </c>
      <c r="Y57" s="3">
        <f t="shared" ref="Y57" si="299">Y56+X57</f>
        <v>53582438</v>
      </c>
      <c r="Z57" s="3">
        <f t="shared" ref="Z57" si="300">Z56+Y57</f>
        <v>54880742</v>
      </c>
      <c r="AA57" s="3">
        <f t="shared" ref="AA57" si="301">AA56+Z57</f>
        <v>56084672</v>
      </c>
      <c r="AB57" s="3">
        <f t="shared" ref="AB57" si="302">AB56+AA57</f>
        <v>57195992</v>
      </c>
      <c r="AC57" s="3">
        <f t="shared" ref="AC57" si="303">AC56+AB57</f>
        <v>58250864</v>
      </c>
      <c r="AD57" s="3">
        <f t="shared" ref="AD57" si="304">AD56+AC57</f>
        <v>59224592</v>
      </c>
      <c r="AE57" s="3">
        <f t="shared" ref="AE57" si="305">AE56+AD57</f>
        <v>60107474</v>
      </c>
      <c r="AF57" s="3">
        <f t="shared" ref="AF57" si="306">AF56+AE57</f>
        <v>60901274</v>
      </c>
      <c r="AG57" s="3">
        <f t="shared" ref="AG57" si="307">AG56+AF57</f>
        <v>61631570</v>
      </c>
      <c r="AH57" s="3">
        <f t="shared" ref="AH57" si="308">AH56+AG57</f>
        <v>62280722</v>
      </c>
      <c r="AI57" s="3">
        <f t="shared" ref="AI57" si="309">AI56+AH57</f>
        <v>62842556</v>
      </c>
      <c r="AJ57" s="3">
        <f t="shared" ref="AJ57" si="310">AJ56+AI57</f>
        <v>63324128</v>
      </c>
      <c r="AK57" s="3">
        <f t="shared" ref="AK57" si="311">AK56+AJ57</f>
        <v>63729848</v>
      </c>
      <c r="AL57" s="3">
        <f t="shared" ref="AL57" si="312">AL56+AK57</f>
        <v>64050896</v>
      </c>
      <c r="AM57" s="3">
        <f t="shared" ref="AM57" si="313">AM56+AL57</f>
        <v>64291682</v>
      </c>
      <c r="AN57" s="3">
        <f t="shared" ref="AN57:AO57" si="314">AN56+AM57</f>
        <v>64452206</v>
      </c>
      <c r="AO57" s="3">
        <f t="shared" si="314"/>
        <v>64532468</v>
      </c>
    </row>
    <row r="58" spans="1:41" x14ac:dyDescent="0.2">
      <c r="A58" s="2" t="s">
        <v>7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f>$D$17*G25</f>
        <v>0</v>
      </c>
      <c r="H58" s="3">
        <f t="shared" ref="H58:AN58" si="315">$D$17*H25</f>
        <v>3552000</v>
      </c>
      <c r="I58" s="3">
        <f t="shared" si="315"/>
        <v>3552000</v>
      </c>
      <c r="J58" s="3">
        <f t="shared" si="315"/>
        <v>3528000</v>
      </c>
      <c r="K58" s="3">
        <f t="shared" si="315"/>
        <v>3528000</v>
      </c>
      <c r="L58" s="3">
        <f t="shared" si="315"/>
        <v>3528000</v>
      </c>
      <c r="M58" s="3">
        <f t="shared" si="315"/>
        <v>3528000</v>
      </c>
      <c r="N58" s="3">
        <f t="shared" si="315"/>
        <v>3528000</v>
      </c>
      <c r="O58" s="3">
        <f t="shared" si="315"/>
        <v>3528000</v>
      </c>
      <c r="P58" s="3">
        <f t="shared" si="315"/>
        <v>3528000</v>
      </c>
      <c r="Q58" s="3">
        <f t="shared" si="315"/>
        <v>3528000</v>
      </c>
      <c r="R58" s="3">
        <f t="shared" si="315"/>
        <v>3528000</v>
      </c>
      <c r="S58" s="3">
        <f t="shared" si="315"/>
        <v>3528000</v>
      </c>
      <c r="T58" s="3">
        <f t="shared" si="315"/>
        <v>3528000</v>
      </c>
      <c r="U58" s="3">
        <f t="shared" si="315"/>
        <v>3528000</v>
      </c>
      <c r="V58" s="3">
        <f t="shared" si="315"/>
        <v>3528000</v>
      </c>
      <c r="W58" s="3">
        <f t="shared" si="315"/>
        <v>3528000</v>
      </c>
      <c r="X58" s="3">
        <f t="shared" si="315"/>
        <v>3528000</v>
      </c>
      <c r="Y58" s="3">
        <f t="shared" si="315"/>
        <v>3528000</v>
      </c>
      <c r="Z58" s="3">
        <f t="shared" si="315"/>
        <v>3528000</v>
      </c>
      <c r="AA58" s="3">
        <f t="shared" si="315"/>
        <v>3528000</v>
      </c>
      <c r="AB58" s="3">
        <f t="shared" si="315"/>
        <v>3528000</v>
      </c>
      <c r="AC58" s="3">
        <f t="shared" si="315"/>
        <v>3528000</v>
      </c>
      <c r="AD58" s="3">
        <f t="shared" si="315"/>
        <v>3528000</v>
      </c>
      <c r="AE58" s="3">
        <f t="shared" si="315"/>
        <v>3528000</v>
      </c>
      <c r="AF58" s="3">
        <f t="shared" si="315"/>
        <v>3528000</v>
      </c>
      <c r="AG58" s="3">
        <f t="shared" si="315"/>
        <v>3528000</v>
      </c>
      <c r="AH58" s="3">
        <f t="shared" si="315"/>
        <v>3528000</v>
      </c>
      <c r="AI58" s="3">
        <f t="shared" si="315"/>
        <v>3528000</v>
      </c>
      <c r="AJ58" s="3">
        <f t="shared" si="315"/>
        <v>3528000</v>
      </c>
      <c r="AK58" s="3">
        <f t="shared" si="315"/>
        <v>3528000</v>
      </c>
      <c r="AL58" s="3">
        <f t="shared" si="315"/>
        <v>3528000</v>
      </c>
      <c r="AM58" s="3">
        <f t="shared" si="315"/>
        <v>3528000</v>
      </c>
      <c r="AN58" s="3">
        <f t="shared" si="315"/>
        <v>3528000</v>
      </c>
      <c r="AO58" s="3">
        <f t="shared" ref="AO58" si="316">$D$17*AO25</f>
        <v>3528000</v>
      </c>
    </row>
    <row r="59" spans="1:41" x14ac:dyDescent="0.2">
      <c r="A59" s="2" t="s">
        <v>13</v>
      </c>
      <c r="B59" s="3">
        <v>0</v>
      </c>
      <c r="C59" s="3">
        <f t="shared" ref="C59" si="317">C58+B59</f>
        <v>0</v>
      </c>
      <c r="D59" s="3">
        <f t="shared" ref="D59" si="318">D58+C59</f>
        <v>0</v>
      </c>
      <c r="E59" s="3">
        <f t="shared" ref="E59" si="319">E58+D59</f>
        <v>0</v>
      </c>
      <c r="F59" s="3">
        <f t="shared" ref="F59" si="320">F58+E59</f>
        <v>0</v>
      </c>
      <c r="G59" s="3">
        <f t="shared" ref="G59" si="321">G58+F59</f>
        <v>0</v>
      </c>
      <c r="H59" s="3">
        <f t="shared" ref="H59" si="322">H58+G59</f>
        <v>3552000</v>
      </c>
      <c r="I59" s="3">
        <f t="shared" ref="I59" si="323">I58+H59</f>
        <v>7104000</v>
      </c>
      <c r="J59" s="3">
        <f t="shared" ref="J59" si="324">J58+I59</f>
        <v>10632000</v>
      </c>
      <c r="K59" s="3">
        <f t="shared" ref="K59" si="325">K58+J59</f>
        <v>14160000</v>
      </c>
      <c r="L59" s="3">
        <f t="shared" ref="L59" si="326">L58+K59</f>
        <v>17688000</v>
      </c>
      <c r="M59" s="3">
        <f t="shared" ref="M59" si="327">M58+L59</f>
        <v>21216000</v>
      </c>
      <c r="N59" s="3">
        <f t="shared" ref="N59" si="328">N58+M59</f>
        <v>24744000</v>
      </c>
      <c r="O59" s="3">
        <f t="shared" ref="O59" si="329">O58+N59</f>
        <v>28272000</v>
      </c>
      <c r="P59" s="3">
        <f t="shared" ref="P59" si="330">P58+O59</f>
        <v>31800000</v>
      </c>
      <c r="Q59" s="3">
        <f t="shared" ref="Q59" si="331">Q58+P59</f>
        <v>35328000</v>
      </c>
      <c r="R59" s="3">
        <f t="shared" ref="R59" si="332">R58+Q59</f>
        <v>38856000</v>
      </c>
      <c r="S59" s="3">
        <f t="shared" ref="S59" si="333">S58+R59</f>
        <v>42384000</v>
      </c>
      <c r="T59" s="3">
        <f t="shared" ref="T59" si="334">T58+S59</f>
        <v>45912000</v>
      </c>
      <c r="U59" s="3">
        <f t="shared" ref="U59" si="335">U58+T59</f>
        <v>49440000</v>
      </c>
      <c r="V59" s="3">
        <f t="shared" ref="V59" si="336">V58+U59</f>
        <v>52968000</v>
      </c>
      <c r="W59" s="3">
        <f t="shared" ref="W59" si="337">W58+V59</f>
        <v>56496000</v>
      </c>
      <c r="X59" s="3">
        <f t="shared" ref="X59" si="338">X58+W59</f>
        <v>60024000</v>
      </c>
      <c r="Y59" s="3">
        <f t="shared" ref="Y59" si="339">Y58+X59</f>
        <v>63552000</v>
      </c>
      <c r="Z59" s="3">
        <f t="shared" ref="Z59" si="340">Z58+Y59</f>
        <v>67080000</v>
      </c>
      <c r="AA59" s="3">
        <f t="shared" ref="AA59" si="341">AA58+Z59</f>
        <v>70608000</v>
      </c>
      <c r="AB59" s="3">
        <f t="shared" ref="AB59" si="342">AB58+AA59</f>
        <v>74136000</v>
      </c>
      <c r="AC59" s="3">
        <f t="shared" ref="AC59" si="343">AC58+AB59</f>
        <v>77664000</v>
      </c>
      <c r="AD59" s="3">
        <f t="shared" ref="AD59" si="344">AD58+AC59</f>
        <v>81192000</v>
      </c>
      <c r="AE59" s="3">
        <f t="shared" ref="AE59" si="345">AE58+AD59</f>
        <v>84720000</v>
      </c>
      <c r="AF59" s="3">
        <f t="shared" ref="AF59" si="346">AF58+AE59</f>
        <v>88248000</v>
      </c>
      <c r="AG59" s="3">
        <f t="shared" ref="AG59" si="347">AG58+AF59</f>
        <v>91776000</v>
      </c>
      <c r="AH59" s="3">
        <f t="shared" ref="AH59" si="348">AH58+AG59</f>
        <v>95304000</v>
      </c>
      <c r="AI59" s="3">
        <f t="shared" ref="AI59" si="349">AI58+AH59</f>
        <v>98832000</v>
      </c>
      <c r="AJ59" s="3">
        <f t="shared" ref="AJ59" si="350">AJ58+AI59</f>
        <v>102360000</v>
      </c>
      <c r="AK59" s="3">
        <f t="shared" ref="AK59" si="351">AK58+AJ59</f>
        <v>105888000</v>
      </c>
      <c r="AL59" s="3">
        <f t="shared" ref="AL59" si="352">AL58+AK59</f>
        <v>109416000</v>
      </c>
      <c r="AM59" s="3">
        <f t="shared" ref="AM59" si="353">AM58+AL59</f>
        <v>112944000</v>
      </c>
      <c r="AN59" s="3">
        <f t="shared" ref="AN59:AO59" si="354">AN58+AM59</f>
        <v>116472000</v>
      </c>
      <c r="AO59" s="3">
        <f t="shared" si="354"/>
        <v>120000000</v>
      </c>
    </row>
    <row r="60" spans="1:41" x14ac:dyDescent="0.2">
      <c r="A60" s="2" t="s">
        <v>8</v>
      </c>
      <c r="B60" s="15">
        <f>B56+B58</f>
        <v>2375000</v>
      </c>
      <c r="C60" s="15">
        <f t="shared" ref="C60:E60" si="355">C56+C58</f>
        <v>2881666.6666666665</v>
      </c>
      <c r="D60" s="15">
        <f t="shared" si="355"/>
        <v>2881666.6666666665</v>
      </c>
      <c r="E60" s="15">
        <f t="shared" si="355"/>
        <v>2913333.3333333335</v>
      </c>
      <c r="F60" s="15">
        <f>F56+F58</f>
        <v>2858333.333333333</v>
      </c>
      <c r="G60" s="15">
        <f t="shared" ref="G60:L60" si="356">G56+G58</f>
        <v>2730000</v>
      </c>
      <c r="H60" s="15">
        <f t="shared" si="356"/>
        <v>6252000</v>
      </c>
      <c r="I60" s="15">
        <f t="shared" si="356"/>
        <v>6230304</v>
      </c>
      <c r="J60" s="15">
        <f t="shared" si="356"/>
        <v>6124608</v>
      </c>
      <c r="K60" s="15">
        <f t="shared" si="356"/>
        <v>6016122</v>
      </c>
      <c r="L60" s="15">
        <f t="shared" si="356"/>
        <v>5909400</v>
      </c>
      <c r="M60" s="15">
        <f>M56+M58</f>
        <v>5881176</v>
      </c>
      <c r="N60" s="15">
        <f>N56+N58</f>
        <v>5800032</v>
      </c>
      <c r="O60" s="15">
        <f t="shared" ref="O60:AN60" si="357">O56+O58</f>
        <v>5695074</v>
      </c>
      <c r="P60" s="15">
        <f t="shared" si="357"/>
        <v>5591880</v>
      </c>
      <c r="Q60" s="15">
        <f t="shared" si="357"/>
        <v>5556600</v>
      </c>
      <c r="R60" s="15">
        <f t="shared" si="357"/>
        <v>5454288</v>
      </c>
      <c r="S60" s="15">
        <f t="shared" si="357"/>
        <v>5374026</v>
      </c>
      <c r="T60" s="15">
        <f t="shared" si="357"/>
        <v>5293764</v>
      </c>
      <c r="U60" s="15">
        <f t="shared" si="357"/>
        <v>5213502</v>
      </c>
      <c r="V60" s="15">
        <f t="shared" si="357"/>
        <v>5186160</v>
      </c>
      <c r="W60" s="15">
        <f t="shared" si="357"/>
        <v>5052978</v>
      </c>
      <c r="X60" s="15">
        <f t="shared" si="357"/>
        <v>4925088</v>
      </c>
      <c r="Y60" s="15">
        <f t="shared" si="357"/>
        <v>4937436</v>
      </c>
      <c r="Z60" s="15">
        <f t="shared" si="357"/>
        <v>4826304</v>
      </c>
      <c r="AA60" s="15">
        <f t="shared" si="357"/>
        <v>4731930</v>
      </c>
      <c r="AB60" s="15">
        <f t="shared" si="357"/>
        <v>4639320</v>
      </c>
      <c r="AC60" s="15">
        <f t="shared" si="357"/>
        <v>4582872</v>
      </c>
      <c r="AD60" s="15">
        <f t="shared" si="357"/>
        <v>4501728</v>
      </c>
      <c r="AE60" s="15">
        <f t="shared" si="357"/>
        <v>4410882</v>
      </c>
      <c r="AF60" s="15">
        <f t="shared" si="357"/>
        <v>4321800</v>
      </c>
      <c r="AG60" s="15">
        <f t="shared" si="357"/>
        <v>4258296</v>
      </c>
      <c r="AH60" s="15">
        <f t="shared" si="357"/>
        <v>4177152</v>
      </c>
      <c r="AI60" s="15">
        <f t="shared" si="357"/>
        <v>4089834</v>
      </c>
      <c r="AJ60" s="15">
        <f t="shared" si="357"/>
        <v>4009572</v>
      </c>
      <c r="AK60" s="15">
        <f t="shared" si="357"/>
        <v>3933720</v>
      </c>
      <c r="AL60" s="15">
        <f t="shared" si="357"/>
        <v>3849048</v>
      </c>
      <c r="AM60" s="15">
        <f t="shared" si="357"/>
        <v>3768786</v>
      </c>
      <c r="AN60" s="15">
        <f t="shared" si="357"/>
        <v>3688524</v>
      </c>
      <c r="AO60" s="15">
        <f t="shared" ref="AO60" si="358">AO56+AO58</f>
        <v>3608262</v>
      </c>
    </row>
    <row r="61" spans="1:41" ht="13.5" thickBot="1" x14ac:dyDescent="0.25">
      <c r="A61" s="5" t="s">
        <v>9</v>
      </c>
      <c r="B61" s="16">
        <f t="shared" ref="B61:R61" si="359">B55-B58</f>
        <v>120000000</v>
      </c>
      <c r="C61" s="16">
        <f t="shared" si="359"/>
        <v>120000000</v>
      </c>
      <c r="D61" s="16">
        <f t="shared" si="359"/>
        <v>120000000</v>
      </c>
      <c r="E61" s="16">
        <f t="shared" si="359"/>
        <v>120000000</v>
      </c>
      <c r="F61" s="16">
        <f t="shared" si="359"/>
        <v>120000000</v>
      </c>
      <c r="G61" s="16">
        <f t="shared" si="359"/>
        <v>120000000</v>
      </c>
      <c r="H61" s="16">
        <f t="shared" si="359"/>
        <v>116448000</v>
      </c>
      <c r="I61" s="16">
        <f t="shared" si="359"/>
        <v>112896000</v>
      </c>
      <c r="J61" s="16">
        <f t="shared" si="359"/>
        <v>109368000</v>
      </c>
      <c r="K61" s="16">
        <f t="shared" si="359"/>
        <v>105840000</v>
      </c>
      <c r="L61" s="16">
        <f t="shared" si="359"/>
        <v>102312000</v>
      </c>
      <c r="M61" s="16">
        <f t="shared" si="359"/>
        <v>98784000</v>
      </c>
      <c r="N61" s="16">
        <f t="shared" si="359"/>
        <v>95256000</v>
      </c>
      <c r="O61" s="16">
        <f t="shared" si="359"/>
        <v>91728000</v>
      </c>
      <c r="P61" s="16">
        <f t="shared" si="359"/>
        <v>88200000</v>
      </c>
      <c r="Q61" s="16">
        <f t="shared" si="359"/>
        <v>84672000</v>
      </c>
      <c r="R61" s="16">
        <f t="shared" si="359"/>
        <v>81144000</v>
      </c>
      <c r="S61" s="16">
        <f>S55-S58</f>
        <v>77616000</v>
      </c>
      <c r="T61" s="16">
        <f t="shared" ref="T61:AN61" si="360">T55-T58</f>
        <v>74088000</v>
      </c>
      <c r="U61" s="16">
        <f t="shared" si="360"/>
        <v>70560000</v>
      </c>
      <c r="V61" s="16">
        <f t="shared" si="360"/>
        <v>67032000</v>
      </c>
      <c r="W61" s="16">
        <f t="shared" si="360"/>
        <v>63504000</v>
      </c>
      <c r="X61" s="16">
        <f t="shared" si="360"/>
        <v>59976000</v>
      </c>
      <c r="Y61" s="16">
        <f t="shared" si="360"/>
        <v>56448000</v>
      </c>
      <c r="Z61" s="16">
        <f t="shared" si="360"/>
        <v>52920000</v>
      </c>
      <c r="AA61" s="16">
        <f t="shared" si="360"/>
        <v>49392000</v>
      </c>
      <c r="AB61" s="16">
        <f t="shared" si="360"/>
        <v>45864000</v>
      </c>
      <c r="AC61" s="16">
        <f t="shared" si="360"/>
        <v>42336000</v>
      </c>
      <c r="AD61" s="16">
        <f t="shared" si="360"/>
        <v>38808000</v>
      </c>
      <c r="AE61" s="16">
        <f t="shared" si="360"/>
        <v>35280000</v>
      </c>
      <c r="AF61" s="16">
        <f t="shared" si="360"/>
        <v>31752000</v>
      </c>
      <c r="AG61" s="16">
        <f t="shared" si="360"/>
        <v>28224000</v>
      </c>
      <c r="AH61" s="16">
        <f t="shared" si="360"/>
        <v>24696000</v>
      </c>
      <c r="AI61" s="16">
        <f t="shared" si="360"/>
        <v>21168000</v>
      </c>
      <c r="AJ61" s="16">
        <f t="shared" si="360"/>
        <v>17640000</v>
      </c>
      <c r="AK61" s="16">
        <f t="shared" si="360"/>
        <v>14112000</v>
      </c>
      <c r="AL61" s="16">
        <f t="shared" si="360"/>
        <v>10584000</v>
      </c>
      <c r="AM61" s="16">
        <f t="shared" si="360"/>
        <v>7056000</v>
      </c>
      <c r="AN61" s="16">
        <f t="shared" si="360"/>
        <v>3528000</v>
      </c>
      <c r="AO61" s="16">
        <f t="shared" ref="AO61" si="361">AO55-AO58</f>
        <v>0</v>
      </c>
    </row>
    <row r="62" spans="1:41" x14ac:dyDescent="0.2"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</row>
    <row r="63" spans="1:41" ht="18.75" x14ac:dyDescent="0.3">
      <c r="A63" s="139" t="s">
        <v>76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</row>
    <row r="64" spans="1:41" x14ac:dyDescent="0.2">
      <c r="A64" s="145" t="s">
        <v>57</v>
      </c>
      <c r="B64" s="107">
        <f>B51</f>
        <v>43723</v>
      </c>
      <c r="C64" s="107">
        <f t="shared" ref="C64:AN64" si="362">C51</f>
        <v>43814</v>
      </c>
      <c r="D64" s="107">
        <f t="shared" si="362"/>
        <v>43905</v>
      </c>
      <c r="E64" s="107">
        <f t="shared" si="362"/>
        <v>43997</v>
      </c>
      <c r="F64" s="107">
        <f t="shared" si="362"/>
        <v>44089</v>
      </c>
      <c r="G64" s="107">
        <f t="shared" si="362"/>
        <v>44180</v>
      </c>
      <c r="H64" s="107">
        <f t="shared" si="362"/>
        <v>44270</v>
      </c>
      <c r="I64" s="107">
        <f t="shared" si="362"/>
        <v>44362</v>
      </c>
      <c r="J64" s="107">
        <f t="shared" si="362"/>
        <v>44454</v>
      </c>
      <c r="K64" s="107">
        <f t="shared" si="362"/>
        <v>44545</v>
      </c>
      <c r="L64" s="107">
        <f t="shared" si="362"/>
        <v>44635</v>
      </c>
      <c r="M64" s="107">
        <f t="shared" si="362"/>
        <v>44727</v>
      </c>
      <c r="N64" s="107">
        <f t="shared" si="362"/>
        <v>44819</v>
      </c>
      <c r="O64" s="107">
        <f t="shared" si="362"/>
        <v>44910</v>
      </c>
      <c r="P64" s="107">
        <f t="shared" si="362"/>
        <v>45000</v>
      </c>
      <c r="Q64" s="107">
        <f t="shared" si="362"/>
        <v>45092</v>
      </c>
      <c r="R64" s="107">
        <f t="shared" si="362"/>
        <v>45183</v>
      </c>
      <c r="S64" s="107">
        <f t="shared" si="362"/>
        <v>45274</v>
      </c>
      <c r="T64" s="107">
        <f t="shared" si="362"/>
        <v>45365</v>
      </c>
      <c r="U64" s="107">
        <f t="shared" si="362"/>
        <v>45456</v>
      </c>
      <c r="V64" s="107">
        <f t="shared" si="362"/>
        <v>45550</v>
      </c>
      <c r="W64" s="107">
        <f t="shared" si="362"/>
        <v>45641</v>
      </c>
      <c r="X64" s="107">
        <f t="shared" si="362"/>
        <v>45729</v>
      </c>
      <c r="Y64" s="107">
        <f t="shared" si="362"/>
        <v>45823</v>
      </c>
      <c r="Z64" s="107">
        <f t="shared" si="362"/>
        <v>45915</v>
      </c>
      <c r="AA64" s="107">
        <f t="shared" si="362"/>
        <v>46006</v>
      </c>
      <c r="AB64" s="107">
        <f t="shared" si="362"/>
        <v>46096</v>
      </c>
      <c r="AC64" s="107">
        <f t="shared" si="362"/>
        <v>46188</v>
      </c>
      <c r="AD64" s="107">
        <f t="shared" si="362"/>
        <v>46280</v>
      </c>
      <c r="AE64" s="107">
        <f t="shared" si="362"/>
        <v>46371</v>
      </c>
      <c r="AF64" s="107">
        <f t="shared" si="362"/>
        <v>46461</v>
      </c>
      <c r="AG64" s="107">
        <f t="shared" si="362"/>
        <v>46553</v>
      </c>
      <c r="AH64" s="107">
        <f t="shared" si="362"/>
        <v>46645</v>
      </c>
      <c r="AI64" s="107">
        <f t="shared" si="362"/>
        <v>46736</v>
      </c>
      <c r="AJ64" s="107">
        <f t="shared" si="362"/>
        <v>46827</v>
      </c>
      <c r="AK64" s="107">
        <f t="shared" si="362"/>
        <v>46919</v>
      </c>
      <c r="AL64" s="107">
        <f t="shared" si="362"/>
        <v>47010</v>
      </c>
      <c r="AM64" s="107">
        <f t="shared" si="362"/>
        <v>47101</v>
      </c>
      <c r="AN64" s="107">
        <f t="shared" si="362"/>
        <v>47192</v>
      </c>
      <c r="AO64" s="107">
        <f t="shared" ref="AO64" si="363">AO51</f>
        <v>47283</v>
      </c>
    </row>
    <row r="65" spans="1:41" ht="13.5" thickBot="1" x14ac:dyDescent="0.25">
      <c r="A65" s="108" t="s">
        <v>58</v>
      </c>
      <c r="B65" s="109">
        <f>+B52</f>
        <v>9.5000000000000001E-2</v>
      </c>
      <c r="C65" s="109">
        <f t="shared" ref="C65:AO65" si="364">+C52</f>
        <v>9.5000000000000001E-2</v>
      </c>
      <c r="D65" s="109">
        <f t="shared" si="364"/>
        <v>9.5000000000000001E-2</v>
      </c>
      <c r="E65" s="109">
        <f t="shared" si="364"/>
        <v>9.5000000000000001E-2</v>
      </c>
      <c r="F65" s="109">
        <f t="shared" si="364"/>
        <v>0.09</v>
      </c>
      <c r="G65" s="109">
        <f t="shared" si="364"/>
        <v>0.09</v>
      </c>
      <c r="H65" s="109">
        <f t="shared" si="364"/>
        <v>0.09</v>
      </c>
      <c r="I65" s="109">
        <f t="shared" si="364"/>
        <v>0.09</v>
      </c>
      <c r="J65" s="109">
        <f t="shared" si="364"/>
        <v>0.09</v>
      </c>
      <c r="K65" s="109">
        <f t="shared" si="364"/>
        <v>0.09</v>
      </c>
      <c r="L65" s="109">
        <f t="shared" si="364"/>
        <v>0.09</v>
      </c>
      <c r="M65" s="109">
        <f t="shared" si="364"/>
        <v>0.09</v>
      </c>
      <c r="N65" s="109">
        <f t="shared" si="364"/>
        <v>0.09</v>
      </c>
      <c r="O65" s="109">
        <f t="shared" si="364"/>
        <v>0.09</v>
      </c>
      <c r="P65" s="109">
        <f t="shared" si="364"/>
        <v>0.09</v>
      </c>
      <c r="Q65" s="109">
        <f t="shared" si="364"/>
        <v>0.09</v>
      </c>
      <c r="R65" s="109">
        <f t="shared" si="364"/>
        <v>0.09</v>
      </c>
      <c r="S65" s="109">
        <f t="shared" si="364"/>
        <v>0.09</v>
      </c>
      <c r="T65" s="109">
        <f t="shared" si="364"/>
        <v>0.09</v>
      </c>
      <c r="U65" s="109">
        <f t="shared" si="364"/>
        <v>0.09</v>
      </c>
      <c r="V65" s="109">
        <f t="shared" si="364"/>
        <v>0.09</v>
      </c>
      <c r="W65" s="109">
        <f t="shared" si="364"/>
        <v>0.09</v>
      </c>
      <c r="X65" s="109">
        <f t="shared" si="364"/>
        <v>0.09</v>
      </c>
      <c r="Y65" s="109">
        <f t="shared" si="364"/>
        <v>0.09</v>
      </c>
      <c r="Z65" s="109">
        <f t="shared" si="364"/>
        <v>0.09</v>
      </c>
      <c r="AA65" s="109">
        <f t="shared" si="364"/>
        <v>0.09</v>
      </c>
      <c r="AB65" s="109">
        <f t="shared" si="364"/>
        <v>0.09</v>
      </c>
      <c r="AC65" s="109">
        <f t="shared" si="364"/>
        <v>0.09</v>
      </c>
      <c r="AD65" s="109">
        <f t="shared" si="364"/>
        <v>0.09</v>
      </c>
      <c r="AE65" s="109">
        <f t="shared" si="364"/>
        <v>0.09</v>
      </c>
      <c r="AF65" s="109">
        <f t="shared" si="364"/>
        <v>0.09</v>
      </c>
      <c r="AG65" s="109">
        <f t="shared" si="364"/>
        <v>0.09</v>
      </c>
      <c r="AH65" s="109">
        <f t="shared" si="364"/>
        <v>0.09</v>
      </c>
      <c r="AI65" s="109">
        <f t="shared" si="364"/>
        <v>0.09</v>
      </c>
      <c r="AJ65" s="109">
        <f t="shared" si="364"/>
        <v>0.09</v>
      </c>
      <c r="AK65" s="109">
        <f t="shared" si="364"/>
        <v>0.09</v>
      </c>
      <c r="AL65" s="109">
        <f t="shared" si="364"/>
        <v>0.09</v>
      </c>
      <c r="AM65" s="109">
        <f t="shared" si="364"/>
        <v>0.09</v>
      </c>
      <c r="AN65" s="109">
        <f t="shared" si="364"/>
        <v>0.09</v>
      </c>
      <c r="AO65" s="109">
        <f t="shared" si="364"/>
        <v>0.09</v>
      </c>
    </row>
    <row r="66" spans="1:41" x14ac:dyDescent="0.2">
      <c r="A66" s="145" t="s">
        <v>10</v>
      </c>
      <c r="B66" s="14"/>
      <c r="C66" s="14"/>
      <c r="D66" s="14"/>
      <c r="E66" s="14"/>
      <c r="F66" s="14"/>
      <c r="G66" s="14"/>
      <c r="H66" s="14"/>
      <c r="I66" s="14"/>
      <c r="J66" s="14">
        <v>1</v>
      </c>
      <c r="K66" s="14">
        <f t="shared" ref="K66" si="365">J66+1</f>
        <v>2</v>
      </c>
      <c r="L66" s="14">
        <f t="shared" ref="L66" si="366">K66+1</f>
        <v>3</v>
      </c>
      <c r="M66" s="14">
        <f t="shared" ref="M66" si="367">L66+1</f>
        <v>4</v>
      </c>
      <c r="N66" s="14">
        <f t="shared" ref="N66" si="368">M66+1</f>
        <v>5</v>
      </c>
      <c r="O66" s="14">
        <f t="shared" ref="O66" si="369">N66+1</f>
        <v>6</v>
      </c>
      <c r="P66" s="14">
        <f t="shared" ref="P66" si="370">O66+1</f>
        <v>7</v>
      </c>
      <c r="Q66" s="14">
        <f t="shared" ref="Q66" si="371">P66+1</f>
        <v>8</v>
      </c>
      <c r="R66" s="14">
        <f t="shared" ref="R66" si="372">Q66+1</f>
        <v>9</v>
      </c>
      <c r="S66" s="14">
        <f t="shared" ref="S66" si="373">R66+1</f>
        <v>10</v>
      </c>
      <c r="T66" s="14">
        <f t="shared" ref="T66" si="374">S66+1</f>
        <v>11</v>
      </c>
      <c r="U66" s="14">
        <f t="shared" ref="U66" si="375">T66+1</f>
        <v>12</v>
      </c>
      <c r="V66" s="14">
        <f t="shared" ref="V66" si="376">U66+1</f>
        <v>13</v>
      </c>
      <c r="W66" s="14">
        <f t="shared" ref="W66" si="377">V66+1</f>
        <v>14</v>
      </c>
      <c r="X66" s="14">
        <f t="shared" ref="X66" si="378">W66+1</f>
        <v>15</v>
      </c>
      <c r="Y66" s="14">
        <f t="shared" ref="Y66" si="379">X66+1</f>
        <v>16</v>
      </c>
      <c r="Z66" s="14">
        <f t="shared" ref="Z66" si="380">Y66+1</f>
        <v>17</v>
      </c>
      <c r="AA66" s="14">
        <f t="shared" ref="AA66" si="381">Z66+1</f>
        <v>18</v>
      </c>
      <c r="AB66" s="14">
        <f t="shared" ref="AB66" si="382">AA66+1</f>
        <v>19</v>
      </c>
      <c r="AC66" s="14">
        <f t="shared" ref="AC66" si="383">AB66+1</f>
        <v>20</v>
      </c>
      <c r="AD66" s="14">
        <f t="shared" ref="AD66" si="384">AC66+1</f>
        <v>21</v>
      </c>
      <c r="AE66" s="14">
        <f t="shared" ref="AE66" si="385">AD66+1</f>
        <v>22</v>
      </c>
      <c r="AF66" s="14">
        <f t="shared" ref="AF66" si="386">AE66+1</f>
        <v>23</v>
      </c>
      <c r="AG66" s="14">
        <f t="shared" ref="AG66" si="387">AF66+1</f>
        <v>24</v>
      </c>
      <c r="AH66" s="14">
        <f t="shared" ref="AH66" si="388">AG66+1</f>
        <v>25</v>
      </c>
      <c r="AI66" s="14">
        <f t="shared" ref="AI66" si="389">AH66+1</f>
        <v>26</v>
      </c>
      <c r="AJ66" s="14">
        <f t="shared" ref="AJ66" si="390">AI66+1</f>
        <v>27</v>
      </c>
      <c r="AK66" s="14">
        <f t="shared" ref="AK66" si="391">AJ66+1</f>
        <v>28</v>
      </c>
      <c r="AL66" s="14">
        <f t="shared" ref="AL66" si="392">AK66+1</f>
        <v>29</v>
      </c>
      <c r="AM66" s="14">
        <f t="shared" ref="AM66" si="393">AL66+1</f>
        <v>30</v>
      </c>
      <c r="AN66" s="14">
        <f t="shared" ref="AN66:AO66" si="394">AM66+1</f>
        <v>31</v>
      </c>
      <c r="AO66" s="14">
        <f t="shared" si="394"/>
        <v>32</v>
      </c>
    </row>
    <row r="67" spans="1:41" x14ac:dyDescent="0.2">
      <c r="A67" s="80" t="s">
        <v>11</v>
      </c>
      <c r="B67" s="79">
        <f>B54</f>
        <v>43723</v>
      </c>
      <c r="C67" s="79">
        <f t="shared" ref="C67:E67" si="395">C54</f>
        <v>43814</v>
      </c>
      <c r="D67" s="79">
        <f t="shared" si="395"/>
        <v>43905</v>
      </c>
      <c r="E67" s="79">
        <f t="shared" si="395"/>
        <v>43997</v>
      </c>
      <c r="F67" s="79">
        <f>F54</f>
        <v>44089</v>
      </c>
      <c r="G67" s="79">
        <f t="shared" ref="G67:AN67" si="396">G54</f>
        <v>44180</v>
      </c>
      <c r="H67" s="79">
        <f t="shared" si="396"/>
        <v>44270</v>
      </c>
      <c r="I67" s="79">
        <f t="shared" si="396"/>
        <v>44362</v>
      </c>
      <c r="J67" s="79">
        <f t="shared" si="396"/>
        <v>44454</v>
      </c>
      <c r="K67" s="79">
        <f t="shared" si="396"/>
        <v>44545</v>
      </c>
      <c r="L67" s="79">
        <f t="shared" si="396"/>
        <v>44635</v>
      </c>
      <c r="M67" s="79">
        <f t="shared" si="396"/>
        <v>44727</v>
      </c>
      <c r="N67" s="79">
        <f t="shared" si="396"/>
        <v>44819</v>
      </c>
      <c r="O67" s="79">
        <f t="shared" si="396"/>
        <v>44910</v>
      </c>
      <c r="P67" s="79">
        <f t="shared" si="396"/>
        <v>45000</v>
      </c>
      <c r="Q67" s="79">
        <f t="shared" si="396"/>
        <v>45092</v>
      </c>
      <c r="R67" s="79">
        <f t="shared" si="396"/>
        <v>45183</v>
      </c>
      <c r="S67" s="79">
        <f t="shared" si="396"/>
        <v>45274</v>
      </c>
      <c r="T67" s="79">
        <f t="shared" si="396"/>
        <v>45365</v>
      </c>
      <c r="U67" s="79">
        <f t="shared" si="396"/>
        <v>45456</v>
      </c>
      <c r="V67" s="79">
        <f t="shared" si="396"/>
        <v>45550</v>
      </c>
      <c r="W67" s="79">
        <f t="shared" si="396"/>
        <v>45641</v>
      </c>
      <c r="X67" s="79">
        <f t="shared" si="396"/>
        <v>45729</v>
      </c>
      <c r="Y67" s="79">
        <f t="shared" si="396"/>
        <v>45823</v>
      </c>
      <c r="Z67" s="79">
        <f t="shared" si="396"/>
        <v>45915</v>
      </c>
      <c r="AA67" s="79">
        <f t="shared" si="396"/>
        <v>46006</v>
      </c>
      <c r="AB67" s="79">
        <f t="shared" si="396"/>
        <v>46096</v>
      </c>
      <c r="AC67" s="79">
        <f t="shared" si="396"/>
        <v>46188</v>
      </c>
      <c r="AD67" s="79">
        <f t="shared" si="396"/>
        <v>46280</v>
      </c>
      <c r="AE67" s="79">
        <f t="shared" si="396"/>
        <v>46371</v>
      </c>
      <c r="AF67" s="79">
        <f t="shared" si="396"/>
        <v>46461</v>
      </c>
      <c r="AG67" s="79">
        <f t="shared" si="396"/>
        <v>46553</v>
      </c>
      <c r="AH67" s="79">
        <f t="shared" si="396"/>
        <v>46645</v>
      </c>
      <c r="AI67" s="79">
        <f t="shared" si="396"/>
        <v>46736</v>
      </c>
      <c r="AJ67" s="79">
        <f t="shared" si="396"/>
        <v>46827</v>
      </c>
      <c r="AK67" s="79">
        <f t="shared" si="396"/>
        <v>46919</v>
      </c>
      <c r="AL67" s="79">
        <f t="shared" si="396"/>
        <v>47010</v>
      </c>
      <c r="AM67" s="79">
        <f t="shared" si="396"/>
        <v>47101</v>
      </c>
      <c r="AN67" s="79">
        <f t="shared" si="396"/>
        <v>47192</v>
      </c>
      <c r="AO67" s="79">
        <f t="shared" ref="AO67" si="397">AO54</f>
        <v>47283</v>
      </c>
    </row>
    <row r="68" spans="1:41" x14ac:dyDescent="0.2">
      <c r="A68" s="2" t="s">
        <v>5</v>
      </c>
      <c r="B68" s="8">
        <f>E17</f>
        <v>1000000000</v>
      </c>
      <c r="C68" s="3">
        <f t="shared" ref="C68:E68" si="398">B74</f>
        <v>1000000000</v>
      </c>
      <c r="D68" s="3">
        <f t="shared" si="398"/>
        <v>1000000000</v>
      </c>
      <c r="E68" s="3">
        <f t="shared" si="398"/>
        <v>1000000000</v>
      </c>
      <c r="F68" s="3">
        <f t="shared" ref="F68:G68" si="399">E74</f>
        <v>1000000000</v>
      </c>
      <c r="G68" s="3">
        <f t="shared" si="399"/>
        <v>1000000000</v>
      </c>
      <c r="H68" s="3">
        <f t="shared" ref="H68" si="400">G74</f>
        <v>1000000000</v>
      </c>
      <c r="I68" s="3">
        <f t="shared" ref="I68" si="401">H74</f>
        <v>970400000</v>
      </c>
      <c r="J68" s="3">
        <f t="shared" ref="J68" si="402">I74</f>
        <v>940800000</v>
      </c>
      <c r="K68" s="3">
        <f t="shared" ref="K68" si="403">J74</f>
        <v>911400000</v>
      </c>
      <c r="L68" s="3">
        <f t="shared" ref="L68" si="404">K74</f>
        <v>882000000</v>
      </c>
      <c r="M68" s="3">
        <f t="shared" ref="M68" si="405">L74</f>
        <v>852600000</v>
      </c>
      <c r="N68" s="3">
        <f t="shared" ref="N68" si="406">M74</f>
        <v>823200000</v>
      </c>
      <c r="O68" s="3">
        <f t="shared" ref="O68" si="407">N74</f>
        <v>793800000</v>
      </c>
      <c r="P68" s="3">
        <f t="shared" ref="P68" si="408">O74</f>
        <v>764400000</v>
      </c>
      <c r="Q68" s="3">
        <f t="shared" ref="Q68" si="409">P74</f>
        <v>735000000</v>
      </c>
      <c r="R68" s="3">
        <f t="shared" ref="R68" si="410">Q74</f>
        <v>705600000</v>
      </c>
      <c r="S68" s="3">
        <f t="shared" ref="S68" si="411">R74</f>
        <v>676200000</v>
      </c>
      <c r="T68" s="3">
        <f t="shared" ref="T68" si="412">S74</f>
        <v>646800000</v>
      </c>
      <c r="U68" s="3">
        <f t="shared" ref="U68" si="413">T74</f>
        <v>617400000</v>
      </c>
      <c r="V68" s="3">
        <f t="shared" ref="V68" si="414">U74</f>
        <v>588000000</v>
      </c>
      <c r="W68" s="3">
        <f t="shared" ref="W68" si="415">V74</f>
        <v>558600000</v>
      </c>
      <c r="X68" s="3">
        <f t="shared" ref="X68" si="416">W74</f>
        <v>529200000</v>
      </c>
      <c r="Y68" s="3">
        <f t="shared" ref="Y68" si="417">X74</f>
        <v>499800000</v>
      </c>
      <c r="Z68" s="3">
        <f t="shared" ref="Z68" si="418">Y74</f>
        <v>470400000</v>
      </c>
      <c r="AA68" s="3">
        <f t="shared" ref="AA68" si="419">Z74</f>
        <v>441000000</v>
      </c>
      <c r="AB68" s="3">
        <f t="shared" ref="AB68" si="420">AA74</f>
        <v>411600000</v>
      </c>
      <c r="AC68" s="3">
        <f t="shared" ref="AC68" si="421">AB74</f>
        <v>382200000</v>
      </c>
      <c r="AD68" s="3">
        <f t="shared" ref="AD68" si="422">AC74</f>
        <v>352800000</v>
      </c>
      <c r="AE68" s="3">
        <f t="shared" ref="AE68" si="423">AD74</f>
        <v>323400000</v>
      </c>
      <c r="AF68" s="3">
        <f t="shared" ref="AF68" si="424">AE74</f>
        <v>294000000</v>
      </c>
      <c r="AG68" s="3">
        <f t="shared" ref="AG68" si="425">AF74</f>
        <v>264600000</v>
      </c>
      <c r="AH68" s="3">
        <f t="shared" ref="AH68" si="426">AG74</f>
        <v>235200000</v>
      </c>
      <c r="AI68" s="3">
        <f t="shared" ref="AI68" si="427">AH74</f>
        <v>205800000</v>
      </c>
      <c r="AJ68" s="3">
        <f t="shared" ref="AJ68" si="428">AI74</f>
        <v>176400000</v>
      </c>
      <c r="AK68" s="3">
        <f t="shared" ref="AK68" si="429">AJ74</f>
        <v>147000000</v>
      </c>
      <c r="AL68" s="3">
        <f t="shared" ref="AL68" si="430">AK74</f>
        <v>117600000</v>
      </c>
      <c r="AM68" s="3">
        <f t="shared" ref="AM68" si="431">AL74</f>
        <v>88200000</v>
      </c>
      <c r="AN68" s="3">
        <f t="shared" ref="AN68:AO68" si="432">AM74</f>
        <v>58800000</v>
      </c>
      <c r="AO68" s="3">
        <f t="shared" si="432"/>
        <v>29400000</v>
      </c>
    </row>
    <row r="69" spans="1:41" x14ac:dyDescent="0.2">
      <c r="A69" s="7" t="s">
        <v>6</v>
      </c>
      <c r="B69" s="7">
        <f>$E$17*(B67-E16)*B65/360</f>
        <v>16097222.222222222</v>
      </c>
      <c r="C69" s="7">
        <f>B74*(C67-B67)*C65/360</f>
        <v>24013888.888888888</v>
      </c>
      <c r="D69" s="7">
        <f t="shared" ref="D69" si="433">C74*(D67-C67)*D65/360</f>
        <v>24013888.888888888</v>
      </c>
      <c r="E69" s="7">
        <f t="shared" ref="E69" si="434">D74*(E67-D67)*E65/360</f>
        <v>24277777.777777776</v>
      </c>
      <c r="F69" s="7">
        <f>E74*($F$26-E67)*E65/360+E74*(F67-$F$26)*F65/360</f>
        <v>23819444.444444444</v>
      </c>
      <c r="G69" s="7">
        <f t="shared" ref="G69" si="435">F74*(G67-F67)*G65/360</f>
        <v>22750000</v>
      </c>
      <c r="H69" s="7">
        <f t="shared" ref="H69" si="436">G74*(H67-G67)*H65/360</f>
        <v>22500000</v>
      </c>
      <c r="I69" s="7">
        <f t="shared" ref="I69" si="437">H74*(I67-H67)*I65/360</f>
        <v>22319200</v>
      </c>
      <c r="J69" s="7">
        <f t="shared" ref="J69" si="438">I74*(J67-I67)*J65/360</f>
        <v>21638400</v>
      </c>
      <c r="K69" s="7">
        <f t="shared" ref="K69" si="439">J74*(K67-J67)*K65/360</f>
        <v>20734350</v>
      </c>
      <c r="L69" s="7">
        <f t="shared" ref="L69" si="440">K74*(L67-K67)*L65/360</f>
        <v>19845000</v>
      </c>
      <c r="M69" s="7">
        <f t="shared" ref="M69" si="441">L74*(M67-L67)*M65/360</f>
        <v>19609800</v>
      </c>
      <c r="N69" s="7">
        <f t="shared" ref="N69" si="442">M74*(N67-M67)*N65/360</f>
        <v>18933600</v>
      </c>
      <c r="O69" s="7">
        <f t="shared" ref="O69" si="443">N74*(O67-N67)*O65/360</f>
        <v>18058950</v>
      </c>
      <c r="P69" s="7">
        <f t="shared" ref="P69" si="444">O74*(P67-O67)*P65/360</f>
        <v>17199000</v>
      </c>
      <c r="Q69" s="7">
        <f t="shared" ref="Q69" si="445">P74*(Q67-P67)*Q65/360</f>
        <v>16905000</v>
      </c>
      <c r="R69" s="7">
        <f t="shared" ref="R69" si="446">Q74*(R67-Q67)*R65/360</f>
        <v>16052400</v>
      </c>
      <c r="S69" s="7">
        <f t="shared" ref="S69" si="447">R74*(S67-R67)*S65/360</f>
        <v>15383550</v>
      </c>
      <c r="T69" s="7">
        <f t="shared" ref="T69" si="448">S74*(T67-S67)*T65/360</f>
        <v>14714700</v>
      </c>
      <c r="U69" s="7">
        <f t="shared" ref="U69" si="449">T74*(U67-T67)*U65/360</f>
        <v>14045850</v>
      </c>
      <c r="V69" s="7">
        <f t="shared" ref="V69" si="450">U74*(V67-U67)*V65/360</f>
        <v>13818000</v>
      </c>
      <c r="W69" s="7">
        <f t="shared" ref="W69" si="451">V74*(W67-V67)*W65/360</f>
        <v>12708150</v>
      </c>
      <c r="X69" s="7">
        <f t="shared" ref="X69" si="452">W74*(X67-W67)*X65/360</f>
        <v>11642400</v>
      </c>
      <c r="Y69" s="7">
        <f t="shared" ref="Y69" si="453">X74*(Y67-X67)*Y65/360</f>
        <v>11745300</v>
      </c>
      <c r="Z69" s="7">
        <f t="shared" ref="Z69" si="454">Y74*(Z67-Y67)*Z65/360</f>
        <v>10819200</v>
      </c>
      <c r="AA69" s="7">
        <f t="shared" ref="AA69" si="455">Z74*(AA67-Z67)*AA65/360</f>
        <v>10032750</v>
      </c>
      <c r="AB69" s="7">
        <f t="shared" ref="AB69" si="456">AA74*(AB67-AA67)*AB65/360</f>
        <v>9261000</v>
      </c>
      <c r="AC69" s="7">
        <f t="shared" ref="AC69" si="457">AB74*(AC67-AB67)*AC65/360</f>
        <v>8790600</v>
      </c>
      <c r="AD69" s="7">
        <f t="shared" ref="AD69" si="458">AC74*(AD67-AC67)*AD65/360</f>
        <v>8114400</v>
      </c>
      <c r="AE69" s="7">
        <f t="shared" ref="AE69" si="459">AD74*(AE67-AD67)*AE65/360</f>
        <v>7357350</v>
      </c>
      <c r="AF69" s="7">
        <f t="shared" ref="AF69" si="460">AE74*(AF67-AE67)*AF65/360</f>
        <v>6615000</v>
      </c>
      <c r="AG69" s="7">
        <f t="shared" ref="AG69" si="461">AF74*(AG67-AF67)*AG65/360</f>
        <v>6085800</v>
      </c>
      <c r="AH69" s="7">
        <f t="shared" ref="AH69" si="462">AG74*(AH67-AG67)*AH65/360</f>
        <v>5409600</v>
      </c>
      <c r="AI69" s="7">
        <f t="shared" ref="AI69" si="463">AH74*(AI67-AH67)*AI65/360</f>
        <v>4681950</v>
      </c>
      <c r="AJ69" s="7">
        <f t="shared" ref="AJ69" si="464">AI74*(AJ67-AI67)*AJ65/360</f>
        <v>4013100</v>
      </c>
      <c r="AK69" s="7">
        <f t="shared" ref="AK69" si="465">AJ74*(AK67-AJ67)*AK65/360</f>
        <v>3381000</v>
      </c>
      <c r="AL69" s="7">
        <f t="shared" ref="AL69" si="466">AK74*(AL67-AK67)*AL65/360</f>
        <v>2675400</v>
      </c>
      <c r="AM69" s="7">
        <f t="shared" ref="AM69" si="467">AL74*(AM67-AL67)*AM65/360</f>
        <v>2006550</v>
      </c>
      <c r="AN69" s="7">
        <f t="shared" ref="AN69" si="468">AM74*(AN67-AM67)*AN65/360</f>
        <v>1337700</v>
      </c>
      <c r="AO69" s="7">
        <f t="shared" ref="AO69" si="469">AN74*(AO67-AN67)*AO65/360</f>
        <v>668850</v>
      </c>
    </row>
    <row r="70" spans="1:41" x14ac:dyDescent="0.2">
      <c r="A70" s="2" t="s">
        <v>12</v>
      </c>
      <c r="B70" s="3">
        <f>B69</f>
        <v>16097222.222222222</v>
      </c>
      <c r="C70" s="3">
        <f>B70+C69</f>
        <v>40111111.111111112</v>
      </c>
      <c r="D70" s="3">
        <f>C70+D69</f>
        <v>64125000</v>
      </c>
      <c r="E70" s="3">
        <f>D70+E69</f>
        <v>88402777.777777776</v>
      </c>
      <c r="F70" s="3">
        <f t="shared" ref="F70" si="470">E70+F69</f>
        <v>112222222.22222222</v>
      </c>
      <c r="G70" s="3">
        <f t="shared" ref="G70" si="471">G69+F70</f>
        <v>134972222.22222221</v>
      </c>
      <c r="H70" s="3">
        <f t="shared" ref="H70" si="472">H69+G70</f>
        <v>157472222.22222221</v>
      </c>
      <c r="I70" s="3">
        <f t="shared" ref="I70" si="473">I69+H70</f>
        <v>179791422.22222221</v>
      </c>
      <c r="J70" s="3">
        <f t="shared" ref="J70" si="474">J69+I70</f>
        <v>201429822.22222221</v>
      </c>
      <c r="K70" s="3">
        <f t="shared" ref="K70" si="475">K69+J70</f>
        <v>222164172.22222221</v>
      </c>
      <c r="L70" s="3">
        <f t="shared" ref="L70" si="476">L69+K70</f>
        <v>242009172.22222221</v>
      </c>
      <c r="M70" s="3">
        <f t="shared" ref="M70" si="477">M69+L70</f>
        <v>261618972.22222221</v>
      </c>
      <c r="N70" s="3">
        <f t="shared" ref="N70" si="478">N69+M70</f>
        <v>280552572.22222221</v>
      </c>
      <c r="O70" s="3">
        <f t="shared" ref="O70" si="479">O69+N70</f>
        <v>298611522.22222221</v>
      </c>
      <c r="P70" s="3">
        <f t="shared" ref="P70" si="480">P69+O70</f>
        <v>315810522.22222221</v>
      </c>
      <c r="Q70" s="3">
        <f t="shared" ref="Q70" si="481">Q69+P70</f>
        <v>332715522.22222221</v>
      </c>
      <c r="R70" s="3">
        <f t="shared" ref="R70" si="482">R69+Q70</f>
        <v>348767922.22222221</v>
      </c>
      <c r="S70" s="3">
        <f t="shared" ref="S70" si="483">S69+R70</f>
        <v>364151472.22222221</v>
      </c>
      <c r="T70" s="3">
        <f t="shared" ref="T70" si="484">T69+S70</f>
        <v>378866172.22222221</v>
      </c>
      <c r="U70" s="3">
        <f t="shared" ref="U70" si="485">U69+T70</f>
        <v>392912022.22222221</v>
      </c>
      <c r="V70" s="3">
        <f t="shared" ref="V70" si="486">V69+U70</f>
        <v>406730022.22222221</v>
      </c>
      <c r="W70" s="3">
        <f t="shared" ref="W70" si="487">W69+V70</f>
        <v>419438172.22222221</v>
      </c>
      <c r="X70" s="3">
        <f t="shared" ref="X70" si="488">X69+W70</f>
        <v>431080572.22222221</v>
      </c>
      <c r="Y70" s="3">
        <f t="shared" ref="Y70" si="489">Y69+X70</f>
        <v>442825872.22222221</v>
      </c>
      <c r="Z70" s="3">
        <f t="shared" ref="Z70" si="490">Z69+Y70</f>
        <v>453645072.22222221</v>
      </c>
      <c r="AA70" s="3">
        <f t="shared" ref="AA70" si="491">AA69+Z70</f>
        <v>463677822.22222221</v>
      </c>
      <c r="AB70" s="3">
        <f t="shared" ref="AB70" si="492">AB69+AA70</f>
        <v>472938822.22222221</v>
      </c>
      <c r="AC70" s="3">
        <f t="shared" ref="AC70" si="493">AC69+AB70</f>
        <v>481729422.22222221</v>
      </c>
      <c r="AD70" s="3">
        <f t="shared" ref="AD70" si="494">AD69+AC70</f>
        <v>489843822.22222221</v>
      </c>
      <c r="AE70" s="3">
        <f t="shared" ref="AE70" si="495">AE69+AD70</f>
        <v>497201172.22222221</v>
      </c>
      <c r="AF70" s="3">
        <f t="shared" ref="AF70" si="496">AF69+AE70</f>
        <v>503816172.22222221</v>
      </c>
      <c r="AG70" s="3">
        <f t="shared" ref="AG70" si="497">AG69+AF70</f>
        <v>509901972.22222221</v>
      </c>
      <c r="AH70" s="3">
        <f t="shared" ref="AH70" si="498">AH69+AG70</f>
        <v>515311572.22222221</v>
      </c>
      <c r="AI70" s="3">
        <f t="shared" ref="AI70" si="499">AI69+AH70</f>
        <v>519993522.22222221</v>
      </c>
      <c r="AJ70" s="3">
        <f t="shared" ref="AJ70" si="500">AJ69+AI70</f>
        <v>524006622.22222221</v>
      </c>
      <c r="AK70" s="3">
        <f t="shared" ref="AK70" si="501">AK69+AJ70</f>
        <v>527387622.22222221</v>
      </c>
      <c r="AL70" s="3">
        <f t="shared" ref="AL70" si="502">AL69+AK70</f>
        <v>530063022.22222221</v>
      </c>
      <c r="AM70" s="3">
        <f t="shared" ref="AM70" si="503">AM69+AL70</f>
        <v>532069572.22222221</v>
      </c>
      <c r="AN70" s="3">
        <f t="shared" ref="AN70:AO70" si="504">AN69+AM70</f>
        <v>533407272.22222221</v>
      </c>
      <c r="AO70" s="3">
        <f t="shared" si="504"/>
        <v>534076122.22222221</v>
      </c>
    </row>
    <row r="71" spans="1:41" x14ac:dyDescent="0.2">
      <c r="A71" s="2" t="s">
        <v>7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f>$E$17*H25</f>
        <v>29600000</v>
      </c>
      <c r="I71" s="3">
        <f t="shared" ref="I71:AO71" si="505">$E$17*I25</f>
        <v>29600000</v>
      </c>
      <c r="J71" s="3">
        <f t="shared" si="505"/>
        <v>29400000</v>
      </c>
      <c r="K71" s="3">
        <f t="shared" si="505"/>
        <v>29400000</v>
      </c>
      <c r="L71" s="3">
        <f t="shared" si="505"/>
        <v>29400000</v>
      </c>
      <c r="M71" s="3">
        <f t="shared" si="505"/>
        <v>29400000</v>
      </c>
      <c r="N71" s="3">
        <f t="shared" si="505"/>
        <v>29400000</v>
      </c>
      <c r="O71" s="3">
        <f t="shared" si="505"/>
        <v>29400000</v>
      </c>
      <c r="P71" s="3">
        <f t="shared" si="505"/>
        <v>29400000</v>
      </c>
      <c r="Q71" s="3">
        <f t="shared" si="505"/>
        <v>29400000</v>
      </c>
      <c r="R71" s="3">
        <f t="shared" si="505"/>
        <v>29400000</v>
      </c>
      <c r="S71" s="3">
        <f t="shared" si="505"/>
        <v>29400000</v>
      </c>
      <c r="T71" s="3">
        <f t="shared" si="505"/>
        <v>29400000</v>
      </c>
      <c r="U71" s="3">
        <f t="shared" si="505"/>
        <v>29400000</v>
      </c>
      <c r="V71" s="3">
        <f t="shared" si="505"/>
        <v>29400000</v>
      </c>
      <c r="W71" s="3">
        <f t="shared" si="505"/>
        <v>29400000</v>
      </c>
      <c r="X71" s="3">
        <f t="shared" si="505"/>
        <v>29400000</v>
      </c>
      <c r="Y71" s="3">
        <f t="shared" si="505"/>
        <v>29400000</v>
      </c>
      <c r="Z71" s="3">
        <f t="shared" si="505"/>
        <v>29400000</v>
      </c>
      <c r="AA71" s="3">
        <f t="shared" si="505"/>
        <v>29400000</v>
      </c>
      <c r="AB71" s="3">
        <f t="shared" si="505"/>
        <v>29400000</v>
      </c>
      <c r="AC71" s="3">
        <f t="shared" si="505"/>
        <v>29400000</v>
      </c>
      <c r="AD71" s="3">
        <f t="shared" si="505"/>
        <v>29400000</v>
      </c>
      <c r="AE71" s="3">
        <f t="shared" si="505"/>
        <v>29400000</v>
      </c>
      <c r="AF71" s="3">
        <f t="shared" si="505"/>
        <v>29400000</v>
      </c>
      <c r="AG71" s="3">
        <f t="shared" si="505"/>
        <v>29400000</v>
      </c>
      <c r="AH71" s="3">
        <f t="shared" si="505"/>
        <v>29400000</v>
      </c>
      <c r="AI71" s="3">
        <f t="shared" si="505"/>
        <v>29400000</v>
      </c>
      <c r="AJ71" s="3">
        <f t="shared" si="505"/>
        <v>29400000</v>
      </c>
      <c r="AK71" s="3">
        <f t="shared" si="505"/>
        <v>29400000</v>
      </c>
      <c r="AL71" s="3">
        <f t="shared" si="505"/>
        <v>29400000</v>
      </c>
      <c r="AM71" s="3">
        <f t="shared" si="505"/>
        <v>29400000</v>
      </c>
      <c r="AN71" s="3">
        <f t="shared" si="505"/>
        <v>29400000</v>
      </c>
      <c r="AO71" s="3">
        <f t="shared" si="505"/>
        <v>29400000</v>
      </c>
    </row>
    <row r="72" spans="1:41" x14ac:dyDescent="0.2">
      <c r="A72" s="2" t="s">
        <v>13</v>
      </c>
      <c r="B72" s="3">
        <v>0</v>
      </c>
      <c r="C72" s="3">
        <f t="shared" ref="C72" si="506">C71+B72</f>
        <v>0</v>
      </c>
      <c r="D72" s="3">
        <f t="shared" ref="D72" si="507">D71+C72</f>
        <v>0</v>
      </c>
      <c r="E72" s="3">
        <f t="shared" ref="E72" si="508">E71+D72</f>
        <v>0</v>
      </c>
      <c r="F72" s="3">
        <f t="shared" ref="F72" si="509">F71+E72</f>
        <v>0</v>
      </c>
      <c r="G72" s="3">
        <f t="shared" ref="G72" si="510">G71+F72</f>
        <v>0</v>
      </c>
      <c r="H72" s="3">
        <f t="shared" ref="H72" si="511">H71+G72</f>
        <v>29600000</v>
      </c>
      <c r="I72" s="3">
        <f t="shared" ref="I72" si="512">I71+H72</f>
        <v>59200000</v>
      </c>
      <c r="J72" s="3">
        <f t="shared" ref="J72" si="513">J71+I72</f>
        <v>88600000</v>
      </c>
      <c r="K72" s="3">
        <f t="shared" ref="K72" si="514">K71+J72</f>
        <v>118000000</v>
      </c>
      <c r="L72" s="3">
        <f t="shared" ref="L72" si="515">L71+K72</f>
        <v>147400000</v>
      </c>
      <c r="M72" s="3">
        <f t="shared" ref="M72" si="516">M71+L72</f>
        <v>176800000</v>
      </c>
      <c r="N72" s="3">
        <f t="shared" ref="N72" si="517">N71+M72</f>
        <v>206200000</v>
      </c>
      <c r="O72" s="3">
        <f t="shared" ref="O72" si="518">O71+N72</f>
        <v>235600000</v>
      </c>
      <c r="P72" s="3">
        <f t="shared" ref="P72" si="519">P71+O72</f>
        <v>265000000</v>
      </c>
      <c r="Q72" s="3">
        <f t="shared" ref="Q72" si="520">Q71+P72</f>
        <v>294400000</v>
      </c>
      <c r="R72" s="3">
        <f t="shared" ref="R72" si="521">R71+Q72</f>
        <v>323800000</v>
      </c>
      <c r="S72" s="3">
        <f t="shared" ref="S72" si="522">S71+R72</f>
        <v>353200000</v>
      </c>
      <c r="T72" s="3">
        <f t="shared" ref="T72" si="523">T71+S72</f>
        <v>382600000</v>
      </c>
      <c r="U72" s="3">
        <f t="shared" ref="U72" si="524">U71+T72</f>
        <v>412000000</v>
      </c>
      <c r="V72" s="3">
        <f t="shared" ref="V72" si="525">V71+U72</f>
        <v>441400000</v>
      </c>
      <c r="W72" s="3">
        <f t="shared" ref="W72" si="526">W71+V72</f>
        <v>470800000</v>
      </c>
      <c r="X72" s="3">
        <f t="shared" ref="X72" si="527">X71+W72</f>
        <v>500200000</v>
      </c>
      <c r="Y72" s="3">
        <f t="shared" ref="Y72" si="528">Y71+X72</f>
        <v>529600000</v>
      </c>
      <c r="Z72" s="3">
        <f t="shared" ref="Z72" si="529">Z71+Y72</f>
        <v>559000000</v>
      </c>
      <c r="AA72" s="3">
        <f t="shared" ref="AA72" si="530">AA71+Z72</f>
        <v>588400000</v>
      </c>
      <c r="AB72" s="3">
        <f t="shared" ref="AB72" si="531">AB71+AA72</f>
        <v>617800000</v>
      </c>
      <c r="AC72" s="3">
        <f t="shared" ref="AC72" si="532">AC71+AB72</f>
        <v>647200000</v>
      </c>
      <c r="AD72" s="3">
        <f t="shared" ref="AD72" si="533">AD71+AC72</f>
        <v>676600000</v>
      </c>
      <c r="AE72" s="3">
        <f t="shared" ref="AE72" si="534">AE71+AD72</f>
        <v>706000000</v>
      </c>
      <c r="AF72" s="3">
        <f t="shared" ref="AF72" si="535">AF71+AE72</f>
        <v>735400000</v>
      </c>
      <c r="AG72" s="3">
        <f t="shared" ref="AG72" si="536">AG71+AF72</f>
        <v>764800000</v>
      </c>
      <c r="AH72" s="3">
        <f t="shared" ref="AH72" si="537">AH71+AG72</f>
        <v>794200000</v>
      </c>
      <c r="AI72" s="3">
        <f t="shared" ref="AI72" si="538">AI71+AH72</f>
        <v>823600000</v>
      </c>
      <c r="AJ72" s="3">
        <f t="shared" ref="AJ72" si="539">AJ71+AI72</f>
        <v>853000000</v>
      </c>
      <c r="AK72" s="3">
        <f t="shared" ref="AK72" si="540">AK71+AJ72</f>
        <v>882400000</v>
      </c>
      <c r="AL72" s="3">
        <f t="shared" ref="AL72" si="541">AL71+AK72</f>
        <v>911800000</v>
      </c>
      <c r="AM72" s="3">
        <f t="shared" ref="AM72" si="542">AM71+AL72</f>
        <v>941200000</v>
      </c>
      <c r="AN72" s="3">
        <f t="shared" ref="AN72:AO72" si="543">AN71+AM72</f>
        <v>970600000</v>
      </c>
      <c r="AO72" s="3">
        <f t="shared" si="543"/>
        <v>1000000000</v>
      </c>
    </row>
    <row r="73" spans="1:41" x14ac:dyDescent="0.2">
      <c r="A73" s="2" t="s">
        <v>8</v>
      </c>
      <c r="B73" s="15">
        <f>B69+B71</f>
        <v>16097222.222222222</v>
      </c>
      <c r="C73" s="15">
        <f t="shared" ref="C73:E73" si="544">C69+C71</f>
        <v>24013888.888888888</v>
      </c>
      <c r="D73" s="15">
        <f t="shared" si="544"/>
        <v>24013888.888888888</v>
      </c>
      <c r="E73" s="15">
        <f t="shared" si="544"/>
        <v>24277777.777777776</v>
      </c>
      <c r="F73" s="15">
        <f>F69+F71</f>
        <v>23819444.444444444</v>
      </c>
      <c r="G73" s="15">
        <f t="shared" ref="G73:L73" si="545">G69+G71</f>
        <v>22750000</v>
      </c>
      <c r="H73" s="15">
        <f t="shared" si="545"/>
        <v>52100000</v>
      </c>
      <c r="I73" s="15">
        <f t="shared" si="545"/>
        <v>51919200</v>
      </c>
      <c r="J73" s="15">
        <f t="shared" si="545"/>
        <v>51038400</v>
      </c>
      <c r="K73" s="15">
        <f t="shared" si="545"/>
        <v>50134350</v>
      </c>
      <c r="L73" s="15">
        <f t="shared" si="545"/>
        <v>49245000</v>
      </c>
      <c r="M73" s="15">
        <f>M69+M71</f>
        <v>49009800</v>
      </c>
      <c r="N73" s="15">
        <f>N69+N71</f>
        <v>48333600</v>
      </c>
      <c r="O73" s="15">
        <f t="shared" ref="O73:AN73" si="546">O69+O71</f>
        <v>47458950</v>
      </c>
      <c r="P73" s="15">
        <f t="shared" si="546"/>
        <v>46599000</v>
      </c>
      <c r="Q73" s="15">
        <f t="shared" si="546"/>
        <v>46305000</v>
      </c>
      <c r="R73" s="15">
        <f t="shared" si="546"/>
        <v>45452400</v>
      </c>
      <c r="S73" s="15">
        <f t="shared" si="546"/>
        <v>44783550</v>
      </c>
      <c r="T73" s="15">
        <f t="shared" si="546"/>
        <v>44114700</v>
      </c>
      <c r="U73" s="15">
        <f t="shared" si="546"/>
        <v>43445850</v>
      </c>
      <c r="V73" s="15">
        <f t="shared" si="546"/>
        <v>43218000</v>
      </c>
      <c r="W73" s="15">
        <f t="shared" si="546"/>
        <v>42108150</v>
      </c>
      <c r="X73" s="15">
        <f t="shared" si="546"/>
        <v>41042400</v>
      </c>
      <c r="Y73" s="15">
        <f t="shared" si="546"/>
        <v>41145300</v>
      </c>
      <c r="Z73" s="15">
        <f t="shared" si="546"/>
        <v>40219200</v>
      </c>
      <c r="AA73" s="15">
        <f t="shared" si="546"/>
        <v>39432750</v>
      </c>
      <c r="AB73" s="15">
        <f t="shared" si="546"/>
        <v>38661000</v>
      </c>
      <c r="AC73" s="15">
        <f t="shared" si="546"/>
        <v>38190600</v>
      </c>
      <c r="AD73" s="15">
        <f t="shared" si="546"/>
        <v>37514400</v>
      </c>
      <c r="AE73" s="15">
        <f t="shared" si="546"/>
        <v>36757350</v>
      </c>
      <c r="AF73" s="15">
        <f t="shared" si="546"/>
        <v>36015000</v>
      </c>
      <c r="AG73" s="15">
        <f t="shared" si="546"/>
        <v>35485800</v>
      </c>
      <c r="AH73" s="15">
        <f t="shared" si="546"/>
        <v>34809600</v>
      </c>
      <c r="AI73" s="15">
        <f t="shared" si="546"/>
        <v>34081950</v>
      </c>
      <c r="AJ73" s="15">
        <f t="shared" si="546"/>
        <v>33413100</v>
      </c>
      <c r="AK73" s="15">
        <f t="shared" si="546"/>
        <v>32781000</v>
      </c>
      <c r="AL73" s="15">
        <f t="shared" si="546"/>
        <v>32075400</v>
      </c>
      <c r="AM73" s="15">
        <f t="shared" si="546"/>
        <v>31406550</v>
      </c>
      <c r="AN73" s="15">
        <f t="shared" si="546"/>
        <v>30737700</v>
      </c>
      <c r="AO73" s="15">
        <f t="shared" ref="AO73" si="547">AO69+AO71</f>
        <v>30068850</v>
      </c>
    </row>
    <row r="74" spans="1:41" ht="13.5" thickBot="1" x14ac:dyDescent="0.25">
      <c r="A74" s="5" t="s">
        <v>9</v>
      </c>
      <c r="B74" s="16">
        <f t="shared" ref="B74:R74" si="548">B68-B71</f>
        <v>1000000000</v>
      </c>
      <c r="C74" s="16">
        <f t="shared" si="548"/>
        <v>1000000000</v>
      </c>
      <c r="D74" s="16">
        <f t="shared" si="548"/>
        <v>1000000000</v>
      </c>
      <c r="E74" s="16">
        <f t="shared" si="548"/>
        <v>1000000000</v>
      </c>
      <c r="F74" s="16">
        <f t="shared" si="548"/>
        <v>1000000000</v>
      </c>
      <c r="G74" s="16">
        <f t="shared" si="548"/>
        <v>1000000000</v>
      </c>
      <c r="H74" s="16">
        <f t="shared" si="548"/>
        <v>970400000</v>
      </c>
      <c r="I74" s="16">
        <f t="shared" si="548"/>
        <v>940800000</v>
      </c>
      <c r="J74" s="16">
        <f t="shared" si="548"/>
        <v>911400000</v>
      </c>
      <c r="K74" s="16">
        <f t="shared" si="548"/>
        <v>882000000</v>
      </c>
      <c r="L74" s="16">
        <f t="shared" si="548"/>
        <v>852600000</v>
      </c>
      <c r="M74" s="16">
        <f t="shared" si="548"/>
        <v>823200000</v>
      </c>
      <c r="N74" s="16">
        <f t="shared" si="548"/>
        <v>793800000</v>
      </c>
      <c r="O74" s="16">
        <f t="shared" si="548"/>
        <v>764400000</v>
      </c>
      <c r="P74" s="16">
        <f t="shared" si="548"/>
        <v>735000000</v>
      </c>
      <c r="Q74" s="16">
        <f t="shared" si="548"/>
        <v>705600000</v>
      </c>
      <c r="R74" s="16">
        <f t="shared" si="548"/>
        <v>676200000</v>
      </c>
      <c r="S74" s="16">
        <f>S68-S71</f>
        <v>646800000</v>
      </c>
      <c r="T74" s="16">
        <f t="shared" ref="T74:AN74" si="549">T68-T71</f>
        <v>617400000</v>
      </c>
      <c r="U74" s="16">
        <f t="shared" si="549"/>
        <v>588000000</v>
      </c>
      <c r="V74" s="16">
        <f t="shared" si="549"/>
        <v>558600000</v>
      </c>
      <c r="W74" s="16">
        <f t="shared" si="549"/>
        <v>529200000</v>
      </c>
      <c r="X74" s="16">
        <f t="shared" si="549"/>
        <v>499800000</v>
      </c>
      <c r="Y74" s="16">
        <f t="shared" si="549"/>
        <v>470400000</v>
      </c>
      <c r="Z74" s="16">
        <f t="shared" si="549"/>
        <v>441000000</v>
      </c>
      <c r="AA74" s="16">
        <f t="shared" si="549"/>
        <v>411600000</v>
      </c>
      <c r="AB74" s="16">
        <f t="shared" si="549"/>
        <v>382200000</v>
      </c>
      <c r="AC74" s="16">
        <f t="shared" si="549"/>
        <v>352800000</v>
      </c>
      <c r="AD74" s="16">
        <f t="shared" si="549"/>
        <v>323400000</v>
      </c>
      <c r="AE74" s="16">
        <f t="shared" si="549"/>
        <v>294000000</v>
      </c>
      <c r="AF74" s="16">
        <f t="shared" si="549"/>
        <v>264600000</v>
      </c>
      <c r="AG74" s="16">
        <f t="shared" si="549"/>
        <v>235200000</v>
      </c>
      <c r="AH74" s="16">
        <f t="shared" si="549"/>
        <v>205800000</v>
      </c>
      <c r="AI74" s="16">
        <f t="shared" si="549"/>
        <v>176400000</v>
      </c>
      <c r="AJ74" s="16">
        <f t="shared" si="549"/>
        <v>147000000</v>
      </c>
      <c r="AK74" s="16">
        <f t="shared" si="549"/>
        <v>117600000</v>
      </c>
      <c r="AL74" s="16">
        <f t="shared" si="549"/>
        <v>88200000</v>
      </c>
      <c r="AM74" s="16">
        <f t="shared" si="549"/>
        <v>58800000</v>
      </c>
      <c r="AN74" s="16">
        <f t="shared" si="549"/>
        <v>29400000</v>
      </c>
      <c r="AO74" s="16">
        <f t="shared" ref="AO74" si="550">AO68-AO71</f>
        <v>0</v>
      </c>
    </row>
    <row r="82" spans="1:41" x14ac:dyDescent="0.2">
      <c r="A82" s="13" t="s">
        <v>60</v>
      </c>
      <c r="B82" s="113">
        <f t="shared" ref="B82:AN82" si="551">B28</f>
        <v>43723</v>
      </c>
      <c r="C82" s="113">
        <f t="shared" si="551"/>
        <v>43814</v>
      </c>
      <c r="D82" s="113">
        <f t="shared" si="551"/>
        <v>43905</v>
      </c>
      <c r="E82" s="113">
        <f t="shared" si="551"/>
        <v>43997</v>
      </c>
      <c r="F82" s="113">
        <f t="shared" si="551"/>
        <v>44089</v>
      </c>
      <c r="G82" s="113">
        <f t="shared" si="551"/>
        <v>44180</v>
      </c>
      <c r="H82" s="113">
        <f t="shared" si="551"/>
        <v>44270</v>
      </c>
      <c r="I82" s="113">
        <f t="shared" si="551"/>
        <v>44362</v>
      </c>
      <c r="J82" s="113">
        <f t="shared" si="551"/>
        <v>44454</v>
      </c>
      <c r="K82" s="113">
        <f t="shared" si="551"/>
        <v>44545</v>
      </c>
      <c r="L82" s="113">
        <f t="shared" si="551"/>
        <v>44635</v>
      </c>
      <c r="M82" s="113">
        <f t="shared" si="551"/>
        <v>44727</v>
      </c>
      <c r="N82" s="113">
        <f t="shared" si="551"/>
        <v>44819</v>
      </c>
      <c r="O82" s="113">
        <f t="shared" si="551"/>
        <v>44910</v>
      </c>
      <c r="P82" s="113">
        <f t="shared" si="551"/>
        <v>45000</v>
      </c>
      <c r="Q82" s="113">
        <f t="shared" si="551"/>
        <v>45092</v>
      </c>
      <c r="R82" s="113">
        <f t="shared" si="551"/>
        <v>45183</v>
      </c>
      <c r="S82" s="113">
        <f t="shared" si="551"/>
        <v>45274</v>
      </c>
      <c r="T82" s="113">
        <f t="shared" si="551"/>
        <v>45365</v>
      </c>
      <c r="U82" s="113">
        <f t="shared" si="551"/>
        <v>45456</v>
      </c>
      <c r="V82" s="113">
        <f t="shared" si="551"/>
        <v>45550</v>
      </c>
      <c r="W82" s="113">
        <f t="shared" si="551"/>
        <v>45641</v>
      </c>
      <c r="X82" s="113">
        <f t="shared" si="551"/>
        <v>45729</v>
      </c>
      <c r="Y82" s="113">
        <f t="shared" si="551"/>
        <v>45823</v>
      </c>
      <c r="Z82" s="113">
        <f t="shared" si="551"/>
        <v>45915</v>
      </c>
      <c r="AA82" s="113">
        <f t="shared" si="551"/>
        <v>46006</v>
      </c>
      <c r="AB82" s="113">
        <f t="shared" si="551"/>
        <v>46096</v>
      </c>
      <c r="AC82" s="113">
        <f t="shared" si="551"/>
        <v>46188</v>
      </c>
      <c r="AD82" s="113">
        <f t="shared" si="551"/>
        <v>46280</v>
      </c>
      <c r="AE82" s="113">
        <f t="shared" si="551"/>
        <v>46371</v>
      </c>
      <c r="AF82" s="113">
        <f t="shared" si="551"/>
        <v>46461</v>
      </c>
      <c r="AG82" s="113">
        <f t="shared" si="551"/>
        <v>46553</v>
      </c>
      <c r="AH82" s="113">
        <f t="shared" si="551"/>
        <v>46645</v>
      </c>
      <c r="AI82" s="113">
        <f t="shared" si="551"/>
        <v>46736</v>
      </c>
      <c r="AJ82" s="113">
        <f t="shared" si="551"/>
        <v>46827</v>
      </c>
      <c r="AK82" s="113">
        <f t="shared" si="551"/>
        <v>46919</v>
      </c>
      <c r="AL82" s="113">
        <f t="shared" si="551"/>
        <v>47010</v>
      </c>
      <c r="AM82" s="113">
        <f t="shared" si="551"/>
        <v>47101</v>
      </c>
      <c r="AN82" s="113">
        <f t="shared" si="551"/>
        <v>47192</v>
      </c>
      <c r="AO82" s="113">
        <f t="shared" ref="AO82" si="552">AO28</f>
        <v>47283</v>
      </c>
    </row>
    <row r="83" spans="1:41" x14ac:dyDescent="0.2">
      <c r="B83" s="8">
        <f>AVERAGE($B$34)</f>
        <v>29951388.888888888</v>
      </c>
      <c r="C83" s="8">
        <f>AVERAGE($B$34:C34)</f>
        <v>35387500</v>
      </c>
      <c r="D83" s="8">
        <f>AVERAGE($B$34:D34)</f>
        <v>37199537.037037037</v>
      </c>
      <c r="E83" s="8">
        <f>AVERAGE($B$34:E34)</f>
        <v>38217708.333333328</v>
      </c>
      <c r="F83" s="8">
        <f>AVERAGE($B$34:F34)</f>
        <v>38672777.777777776</v>
      </c>
      <c r="G83" s="8">
        <f>AVERAGE($B$34:G34)</f>
        <v>38673148.148148142</v>
      </c>
      <c r="H83" s="8">
        <f>AVERAGE($B$34:H34)</f>
        <v>45801269.841269836</v>
      </c>
      <c r="I83" s="8">
        <f>AVERAGE($B$34:I34)</f>
        <v>51108941.111111104</v>
      </c>
      <c r="J83" s="8">
        <f>AVERAGE($B$34:J34)</f>
        <v>55070756.543209873</v>
      </c>
      <c r="K83" s="8">
        <f>AVERAGE($B$34:K34)</f>
        <v>58086520.388888881</v>
      </c>
      <c r="L83" s="8">
        <f>AVERAGE($B$34:L34)</f>
        <v>60416518.535353534</v>
      </c>
      <c r="M83" s="8">
        <f>AVERAGE($B$34:M34)</f>
        <v>62324863.657407403</v>
      </c>
      <c r="N83" s="8">
        <f>AVERAGE($B$34:N34)</f>
        <v>63851191.068376064</v>
      </c>
      <c r="O83" s="8">
        <f>AVERAGE($B$34:O34)</f>
        <v>65053264.206349202</v>
      </c>
      <c r="P83" s="8">
        <f>AVERAGE($B$34:P34)</f>
        <v>65997599.925925925</v>
      </c>
      <c r="Q83" s="8">
        <f>AVERAGE($B$34:Q34)</f>
        <v>66792656.180555552</v>
      </c>
      <c r="R83" s="8">
        <f>AVERAGE($B$34:R34)</f>
        <v>67408916.405228749</v>
      </c>
      <c r="S83" s="8">
        <f>AVERAGE($B$34:S34)</f>
        <v>67893534.104938269</v>
      </c>
      <c r="T83" s="8">
        <f>AVERAGE($B$34:T34)</f>
        <v>68267294.941520467</v>
      </c>
      <c r="U83" s="8">
        <f>AVERAGE($B$34:U34)</f>
        <v>68546827.444444448</v>
      </c>
      <c r="V83" s="8">
        <f>AVERAGE($B$34:V34)</f>
        <v>68781292.804232806</v>
      </c>
      <c r="W83" s="8">
        <f>AVERAGE($B$34:W34)</f>
        <v>68908681.99494949</v>
      </c>
      <c r="X83" s="8">
        <f>AVERAGE($B$34:X34)</f>
        <v>68946221.038647339</v>
      </c>
      <c r="Y83" s="8">
        <f>AVERAGE($B$34:Y34)</f>
        <v>68987920.578703701</v>
      </c>
      <c r="Z83" s="8">
        <f>AVERAGE($B$34:Z34)</f>
        <v>68963309.355555549</v>
      </c>
      <c r="AA83" s="8">
        <f>AVERAGE($B$34:AA34)</f>
        <v>68889169.572649568</v>
      </c>
      <c r="AB83" s="8">
        <f>AVERAGE($B$34:AB34)</f>
        <v>68771929.958847731</v>
      </c>
      <c r="AC83" s="8">
        <f>AVERAGE($B$34:AC34)</f>
        <v>68634504.603174597</v>
      </c>
      <c r="AD83" s="8">
        <f>AVERAGE($B$34:AD34)</f>
        <v>68466917.54789272</v>
      </c>
      <c r="AE83" s="8">
        <f>AVERAGE($B$34:AE34)</f>
        <v>68267603.462962955</v>
      </c>
      <c r="AF83" s="8">
        <f>AVERAGE($B$34:AF34)</f>
        <v>68040438.835125446</v>
      </c>
      <c r="AG83" s="8">
        <f>AVERAGE($B$34:AG34)</f>
        <v>67799358.246527776</v>
      </c>
      <c r="AH83" s="8">
        <f>AVERAGE($B$34:AH34)</f>
        <v>67538054.057239056</v>
      </c>
      <c r="AI83" s="8">
        <f>AVERAGE($B$34:AI34)</f>
        <v>67255738.202614382</v>
      </c>
      <c r="AJ83" s="8">
        <f>AVERAGE($B$34:AJ34)</f>
        <v>66957067.682539679</v>
      </c>
      <c r="AK83" s="8">
        <f>AVERAGE($B$34:AK34)</f>
        <v>66645140.802469134</v>
      </c>
      <c r="AL83" s="8">
        <f>AVERAGE($B$34:AL34)</f>
        <v>66317655.375375375</v>
      </c>
      <c r="AM83" s="8">
        <f>AVERAGE($B$34:AM34)</f>
        <v>65977483.78654971</v>
      </c>
      <c r="AN83" s="8">
        <f>AVERAGE($B$34:AN34)</f>
        <v>65625601.894586891</v>
      </c>
      <c r="AO83" s="8">
        <f>AVERAGE($B$34:AO34)</f>
        <v>65262887.972222224</v>
      </c>
    </row>
    <row r="86" spans="1:41" x14ac:dyDescent="0.2">
      <c r="A86" s="11" t="s">
        <v>64</v>
      </c>
      <c r="C86" s="4"/>
      <c r="D86" s="6"/>
      <c r="E86" s="6"/>
      <c r="F86" s="6"/>
      <c r="G86" s="6"/>
      <c r="H86" s="6"/>
      <c r="I86" s="6"/>
      <c r="J86" s="6"/>
    </row>
    <row r="87" spans="1:41" x14ac:dyDescent="0.2">
      <c r="A87" s="168" t="s">
        <v>65</v>
      </c>
      <c r="B87" s="168"/>
      <c r="C87" s="107">
        <f>C3+15</f>
        <v>43641</v>
      </c>
      <c r="D87" s="107">
        <f>EDATE(C87,12)</f>
        <v>44007</v>
      </c>
      <c r="E87" s="107">
        <f t="shared" ref="E87:K87" si="553">EDATE(D87,12)</f>
        <v>44372</v>
      </c>
      <c r="F87" s="107">
        <f t="shared" si="553"/>
        <v>44737</v>
      </c>
      <c r="G87" s="107">
        <f t="shared" si="553"/>
        <v>45102</v>
      </c>
      <c r="H87" s="107">
        <f t="shared" si="553"/>
        <v>45468</v>
      </c>
      <c r="I87" s="107">
        <f t="shared" si="553"/>
        <v>45833</v>
      </c>
      <c r="J87" s="107">
        <f t="shared" si="553"/>
        <v>46198</v>
      </c>
      <c r="K87" s="107">
        <f t="shared" si="553"/>
        <v>46563</v>
      </c>
      <c r="L87" s="107">
        <f t="shared" ref="L87:N87" si="554">EDATE(K87,12)</f>
        <v>46929</v>
      </c>
      <c r="M87" s="107">
        <f t="shared" si="554"/>
        <v>47294</v>
      </c>
      <c r="N87" s="107">
        <f t="shared" si="554"/>
        <v>47659</v>
      </c>
    </row>
    <row r="88" spans="1:41" x14ac:dyDescent="0.2">
      <c r="A88" s="2" t="s">
        <v>66</v>
      </c>
      <c r="C88" s="124">
        <v>200000</v>
      </c>
      <c r="D88" s="124">
        <v>200000</v>
      </c>
      <c r="E88" s="124">
        <v>200000</v>
      </c>
      <c r="F88" s="124">
        <v>200000</v>
      </c>
      <c r="G88" s="124">
        <v>200000</v>
      </c>
      <c r="H88" s="124">
        <v>200000</v>
      </c>
      <c r="I88" s="124">
        <v>200000</v>
      </c>
      <c r="J88" s="124">
        <v>200000</v>
      </c>
      <c r="K88" s="124">
        <v>200000</v>
      </c>
      <c r="L88" s="124">
        <v>200000</v>
      </c>
      <c r="M88" s="124">
        <v>200000</v>
      </c>
      <c r="N88" s="124">
        <v>200000</v>
      </c>
    </row>
  </sheetData>
  <mergeCells count="1">
    <mergeCell ref="A87:B87"/>
  </mergeCells>
  <phoneticPr fontId="0" type="noConversion"/>
  <pageMargins left="0.42" right="0.28000000000000003" top="0.25" bottom="0.21" header="0.23" footer="0.19"/>
  <pageSetup paperSize="9" scale="90" orientation="landscape" horizontalDpi="4294967292" verticalDpi="1200" r:id="rId1"/>
  <headerFooter alignWithMargins="0"/>
  <ignoredErrors>
    <ignoredError sqref="C37 B37 D37:T37 C33:E33 H35:S35 F35:G3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S69"/>
  <sheetViews>
    <sheetView showGridLines="0" topLeftCell="CV19" workbookViewId="0">
      <selection activeCell="DL24" sqref="DL24"/>
    </sheetView>
  </sheetViews>
  <sheetFormatPr defaultColWidth="9.5703125" defaultRowHeight="13.5" x14ac:dyDescent="0.25"/>
  <cols>
    <col min="1" max="1" width="30.5703125" style="22" customWidth="1"/>
    <col min="2" max="2" width="18.140625" style="22" customWidth="1"/>
    <col min="3" max="34" width="12.28515625" style="22" bestFit="1" customWidth="1"/>
    <col min="35" max="102" width="10.85546875" style="22" bestFit="1" customWidth="1"/>
    <col min="103" max="121" width="12.28515625" style="22" bestFit="1" customWidth="1"/>
    <col min="122" max="122" width="9.140625" style="22" customWidth="1"/>
    <col min="123" max="123" width="10.28515625" style="22" customWidth="1"/>
    <col min="124" max="170" width="9.5703125" style="22" bestFit="1" customWidth="1"/>
    <col min="171" max="16384" width="9.5703125" style="22"/>
  </cols>
  <sheetData>
    <row r="1" spans="1:74" s="18" customFormat="1" ht="16.5" x14ac:dyDescent="0.3">
      <c r="A1" s="17" t="s">
        <v>0</v>
      </c>
      <c r="B1" s="9" t="str">
        <f>SCBL_Loan!C1</f>
        <v xml:space="preserve">Seven Circle (Bangladesh) Ltd. </v>
      </c>
    </row>
    <row r="3" spans="1:74" s="20" customFormat="1" ht="18.75" x14ac:dyDescent="0.3">
      <c r="A3" s="19" t="s">
        <v>1</v>
      </c>
    </row>
    <row r="4" spans="1:74" s="18" customFormat="1" ht="16.5" x14ac:dyDescent="0.3">
      <c r="A4" s="17"/>
    </row>
    <row r="5" spans="1:74" s="21" customFormat="1" ht="15" x14ac:dyDescent="0.3">
      <c r="A5" s="21" t="s">
        <v>59</v>
      </c>
      <c r="B5" s="71">
        <f>SCBL_Loan!C3</f>
        <v>43626</v>
      </c>
    </row>
    <row r="6" spans="1:74" x14ac:dyDescent="0.25">
      <c r="B6" s="52"/>
    </row>
    <row r="7" spans="1:74" ht="15" x14ac:dyDescent="0.3">
      <c r="A7" s="21" t="s">
        <v>2</v>
      </c>
      <c r="B7" s="75">
        <f>SCBL_Loan!C5</f>
        <v>1700000000</v>
      </c>
      <c r="C7" s="21" t="s">
        <v>43</v>
      </c>
    </row>
    <row r="8" spans="1:74" ht="15" x14ac:dyDescent="0.3">
      <c r="A8" s="21"/>
      <c r="B8" s="52"/>
    </row>
    <row r="9" spans="1:74" ht="15" x14ac:dyDescent="0.3">
      <c r="A9" s="21" t="s">
        <v>3</v>
      </c>
      <c r="B9" s="152">
        <f>SCBL_Loan!C8</f>
        <v>9.5000000000000001E-2</v>
      </c>
    </row>
    <row r="10" spans="1:74" ht="15" x14ac:dyDescent="0.3">
      <c r="A10" s="21" t="s">
        <v>44</v>
      </c>
      <c r="B10" s="52" t="s">
        <v>71</v>
      </c>
    </row>
    <row r="11" spans="1:74" ht="15" x14ac:dyDescent="0.3">
      <c r="A11" s="21" t="s">
        <v>45</v>
      </c>
      <c r="B11" s="51">
        <v>360</v>
      </c>
      <c r="C11" s="22" t="s">
        <v>49</v>
      </c>
    </row>
    <row r="12" spans="1:74" ht="15" x14ac:dyDescent="0.3">
      <c r="A12" s="21" t="s">
        <v>22</v>
      </c>
      <c r="B12" s="118" t="str">
        <f>SCBL_Loan!C11</f>
        <v>As per Schedule V of TLA</v>
      </c>
    </row>
    <row r="13" spans="1:74" ht="15" x14ac:dyDescent="0.3">
      <c r="A13" s="21"/>
      <c r="B13" s="12"/>
    </row>
    <row r="14" spans="1:74" s="53" customFormat="1" x14ac:dyDescent="0.25">
      <c r="A14" s="60" t="s">
        <v>48</v>
      </c>
      <c r="B14" s="57"/>
      <c r="C14" s="59"/>
      <c r="D14" s="2"/>
      <c r="E14" s="2"/>
      <c r="F14" s="2"/>
      <c r="G14" s="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</row>
    <row r="15" spans="1:74" x14ac:dyDescent="0.25">
      <c r="A15" s="61"/>
      <c r="B15" s="62"/>
      <c r="C15" s="62">
        <f>SCBL_Loan!C16</f>
        <v>43648</v>
      </c>
      <c r="D15" s="62">
        <f>SCBL_Loan!D16</f>
        <v>43648</v>
      </c>
      <c r="E15" s="62">
        <f>SCBL_Loan!E16</f>
        <v>43662</v>
      </c>
      <c r="F15" s="62"/>
      <c r="G15" s="62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56"/>
      <c r="BI15" s="56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</row>
    <row r="16" spans="1:74" x14ac:dyDescent="0.25">
      <c r="A16" s="63"/>
      <c r="B16" s="64"/>
      <c r="C16" s="67">
        <f>SCBL_Loan!C17</f>
        <v>580000000</v>
      </c>
      <c r="D16" s="67">
        <f>SCBL_Loan!D17</f>
        <v>120000000</v>
      </c>
      <c r="E16" s="67">
        <f>SCBL_Loan!E17</f>
        <v>1000000000</v>
      </c>
      <c r="F16" s="67"/>
      <c r="G16" s="68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29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56"/>
      <c r="BI16" s="29"/>
      <c r="BJ16" s="56"/>
      <c r="BK16" s="56"/>
      <c r="BL16" s="56"/>
      <c r="BM16" s="56"/>
      <c r="BN16" s="56"/>
      <c r="BO16" s="56"/>
      <c r="BP16" s="56"/>
      <c r="BQ16" s="56"/>
      <c r="BR16" s="56"/>
      <c r="BS16" s="56"/>
      <c r="BT16" s="56"/>
      <c r="BU16" s="56"/>
      <c r="BV16" s="56"/>
    </row>
    <row r="17" spans="1:123" s="53" customFormat="1" ht="13.5" customHeight="1" x14ac:dyDescent="0.25">
      <c r="A17" s="65"/>
      <c r="B17" s="66"/>
      <c r="C17" s="69">
        <f>C16</f>
        <v>580000000</v>
      </c>
      <c r="D17" s="69">
        <f>D16+C17</f>
        <v>700000000</v>
      </c>
      <c r="E17" s="69">
        <f>E16+D17</f>
        <v>1700000000</v>
      </c>
      <c r="F17" s="69"/>
      <c r="G17" s="70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56"/>
      <c r="BI17" s="56"/>
      <c r="BJ17" s="56"/>
      <c r="BK17" s="56"/>
      <c r="BL17" s="56"/>
      <c r="BM17" s="56"/>
      <c r="BN17" s="56"/>
      <c r="BO17" s="56"/>
      <c r="BP17" s="56"/>
      <c r="BQ17" s="56"/>
      <c r="BR17" s="56"/>
      <c r="BS17" s="56"/>
      <c r="BT17" s="56"/>
      <c r="BU17" s="56"/>
      <c r="BV17" s="56"/>
    </row>
    <row r="18" spans="1:123" s="53" customFormat="1" ht="13.5" customHeight="1" x14ac:dyDescent="0.3">
      <c r="A18" s="21"/>
      <c r="B18" s="24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9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3"/>
      <c r="BH18" s="23"/>
      <c r="BI18" s="29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</row>
    <row r="19" spans="1:123" s="53" customFormat="1" ht="13.5" customHeight="1" x14ac:dyDescent="0.3">
      <c r="A19" s="21"/>
      <c r="B19" s="24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9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3"/>
      <c r="BH19" s="23"/>
      <c r="BI19" s="29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</row>
    <row r="20" spans="1:123" s="53" customFormat="1" ht="13.5" customHeight="1" x14ac:dyDescent="0.3">
      <c r="A20" s="21"/>
      <c r="B20" s="24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9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3"/>
      <c r="BH20" s="23"/>
      <c r="BI20" s="29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</row>
    <row r="21" spans="1:123" s="53" customFormat="1" ht="13.5" customHeight="1" x14ac:dyDescent="0.3">
      <c r="A21" s="21"/>
      <c r="B21" s="24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9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3"/>
      <c r="BH21" s="23"/>
      <c r="BI21" s="29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</row>
    <row r="22" spans="1:123" s="53" customFormat="1" ht="15" x14ac:dyDescent="0.3">
      <c r="A22" s="21" t="s">
        <v>75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</row>
    <row r="23" spans="1:123" s="53" customFormat="1" ht="15" x14ac:dyDescent="0.3">
      <c r="A23" s="27" t="s">
        <v>14</v>
      </c>
      <c r="B23" s="28">
        <v>43678</v>
      </c>
      <c r="C23" s="28">
        <f>EDATE(B23,1)</f>
        <v>43709</v>
      </c>
      <c r="D23" s="28">
        <f t="shared" ref="D23:BO23" si="0">EDATE(C23,1)</f>
        <v>43739</v>
      </c>
      <c r="E23" s="28">
        <f t="shared" si="0"/>
        <v>43770</v>
      </c>
      <c r="F23" s="28">
        <f t="shared" si="0"/>
        <v>43800</v>
      </c>
      <c r="G23" s="28">
        <f t="shared" si="0"/>
        <v>43831</v>
      </c>
      <c r="H23" s="28">
        <f t="shared" si="0"/>
        <v>43862</v>
      </c>
      <c r="I23" s="28">
        <f t="shared" si="0"/>
        <v>43891</v>
      </c>
      <c r="J23" s="28">
        <f t="shared" si="0"/>
        <v>43922</v>
      </c>
      <c r="K23" s="28">
        <f t="shared" si="0"/>
        <v>43952</v>
      </c>
      <c r="L23" s="28">
        <f t="shared" si="0"/>
        <v>43983</v>
      </c>
      <c r="M23" s="28">
        <f t="shared" si="0"/>
        <v>44013</v>
      </c>
      <c r="N23" s="28">
        <f t="shared" si="0"/>
        <v>44044</v>
      </c>
      <c r="O23" s="28">
        <f t="shared" si="0"/>
        <v>44075</v>
      </c>
      <c r="P23" s="28">
        <f t="shared" si="0"/>
        <v>44105</v>
      </c>
      <c r="Q23" s="28">
        <f t="shared" si="0"/>
        <v>44136</v>
      </c>
      <c r="R23" s="28">
        <f t="shared" si="0"/>
        <v>44166</v>
      </c>
      <c r="S23" s="28">
        <f t="shared" si="0"/>
        <v>44197</v>
      </c>
      <c r="T23" s="28">
        <f t="shared" si="0"/>
        <v>44228</v>
      </c>
      <c r="U23" s="28">
        <f t="shared" si="0"/>
        <v>44256</v>
      </c>
      <c r="V23" s="28">
        <f t="shared" si="0"/>
        <v>44287</v>
      </c>
      <c r="W23" s="28">
        <f t="shared" si="0"/>
        <v>44317</v>
      </c>
      <c r="X23" s="28">
        <f t="shared" si="0"/>
        <v>44348</v>
      </c>
      <c r="Y23" s="28">
        <f t="shared" si="0"/>
        <v>44378</v>
      </c>
      <c r="Z23" s="28">
        <f t="shared" si="0"/>
        <v>44409</v>
      </c>
      <c r="AA23" s="28">
        <f t="shared" si="0"/>
        <v>44440</v>
      </c>
      <c r="AB23" s="28">
        <f t="shared" si="0"/>
        <v>44470</v>
      </c>
      <c r="AC23" s="28">
        <f t="shared" si="0"/>
        <v>44501</v>
      </c>
      <c r="AD23" s="28">
        <f t="shared" si="0"/>
        <v>44531</v>
      </c>
      <c r="AE23" s="28">
        <f t="shared" si="0"/>
        <v>44562</v>
      </c>
      <c r="AF23" s="28">
        <f t="shared" si="0"/>
        <v>44593</v>
      </c>
      <c r="AG23" s="28">
        <f t="shared" si="0"/>
        <v>44621</v>
      </c>
      <c r="AH23" s="28">
        <f t="shared" si="0"/>
        <v>44652</v>
      </c>
      <c r="AI23" s="28">
        <f t="shared" si="0"/>
        <v>44682</v>
      </c>
      <c r="AJ23" s="28">
        <f t="shared" si="0"/>
        <v>44713</v>
      </c>
      <c r="AK23" s="28">
        <f t="shared" si="0"/>
        <v>44743</v>
      </c>
      <c r="AL23" s="28">
        <f t="shared" si="0"/>
        <v>44774</v>
      </c>
      <c r="AM23" s="28">
        <f t="shared" si="0"/>
        <v>44805</v>
      </c>
      <c r="AN23" s="28">
        <f t="shared" si="0"/>
        <v>44835</v>
      </c>
      <c r="AO23" s="28">
        <f t="shared" si="0"/>
        <v>44866</v>
      </c>
      <c r="AP23" s="28">
        <f t="shared" si="0"/>
        <v>44896</v>
      </c>
      <c r="AQ23" s="28">
        <f t="shared" si="0"/>
        <v>44927</v>
      </c>
      <c r="AR23" s="28">
        <f t="shared" si="0"/>
        <v>44958</v>
      </c>
      <c r="AS23" s="28">
        <f t="shared" si="0"/>
        <v>44986</v>
      </c>
      <c r="AT23" s="28">
        <f t="shared" si="0"/>
        <v>45017</v>
      </c>
      <c r="AU23" s="28">
        <f t="shared" si="0"/>
        <v>45047</v>
      </c>
      <c r="AV23" s="28">
        <f t="shared" si="0"/>
        <v>45078</v>
      </c>
      <c r="AW23" s="28">
        <f t="shared" si="0"/>
        <v>45108</v>
      </c>
      <c r="AX23" s="28">
        <f t="shared" si="0"/>
        <v>45139</v>
      </c>
      <c r="AY23" s="28">
        <f t="shared" si="0"/>
        <v>45170</v>
      </c>
      <c r="AZ23" s="28">
        <f t="shared" si="0"/>
        <v>45200</v>
      </c>
      <c r="BA23" s="28">
        <f t="shared" si="0"/>
        <v>45231</v>
      </c>
      <c r="BB23" s="28">
        <f t="shared" si="0"/>
        <v>45261</v>
      </c>
      <c r="BC23" s="28">
        <f t="shared" si="0"/>
        <v>45292</v>
      </c>
      <c r="BD23" s="28">
        <f t="shared" si="0"/>
        <v>45323</v>
      </c>
      <c r="BE23" s="28">
        <f t="shared" si="0"/>
        <v>45352</v>
      </c>
      <c r="BF23" s="28">
        <f t="shared" si="0"/>
        <v>45383</v>
      </c>
      <c r="BG23" s="28">
        <f t="shared" si="0"/>
        <v>45413</v>
      </c>
      <c r="BH23" s="28">
        <f t="shared" si="0"/>
        <v>45444</v>
      </c>
      <c r="BI23" s="28">
        <f t="shared" si="0"/>
        <v>45474</v>
      </c>
      <c r="BJ23" s="28">
        <f t="shared" si="0"/>
        <v>45505</v>
      </c>
      <c r="BK23" s="28">
        <f t="shared" si="0"/>
        <v>45536</v>
      </c>
      <c r="BL23" s="28">
        <f t="shared" si="0"/>
        <v>45566</v>
      </c>
      <c r="BM23" s="28">
        <f t="shared" si="0"/>
        <v>45597</v>
      </c>
      <c r="BN23" s="28">
        <f t="shared" si="0"/>
        <v>45627</v>
      </c>
      <c r="BO23" s="28">
        <f t="shared" si="0"/>
        <v>45658</v>
      </c>
      <c r="BP23" s="28">
        <f t="shared" ref="BP23:CH23" si="1">EDATE(BO23,1)</f>
        <v>45689</v>
      </c>
      <c r="BQ23" s="28">
        <f t="shared" si="1"/>
        <v>45717</v>
      </c>
      <c r="BR23" s="28">
        <f t="shared" si="1"/>
        <v>45748</v>
      </c>
      <c r="BS23" s="28">
        <f t="shared" si="1"/>
        <v>45778</v>
      </c>
      <c r="BT23" s="28">
        <f t="shared" si="1"/>
        <v>45809</v>
      </c>
      <c r="BU23" s="28">
        <f t="shared" si="1"/>
        <v>45839</v>
      </c>
      <c r="BV23" s="28">
        <f t="shared" si="1"/>
        <v>45870</v>
      </c>
      <c r="BW23" s="28">
        <f t="shared" si="1"/>
        <v>45901</v>
      </c>
      <c r="BX23" s="28">
        <f t="shared" si="1"/>
        <v>45931</v>
      </c>
      <c r="BY23" s="28">
        <f t="shared" si="1"/>
        <v>45962</v>
      </c>
      <c r="BZ23" s="28">
        <f t="shared" si="1"/>
        <v>45992</v>
      </c>
      <c r="CA23" s="28">
        <f t="shared" si="1"/>
        <v>46023</v>
      </c>
      <c r="CB23" s="28">
        <f t="shared" si="1"/>
        <v>46054</v>
      </c>
      <c r="CC23" s="28">
        <f t="shared" si="1"/>
        <v>46082</v>
      </c>
      <c r="CD23" s="28">
        <f t="shared" si="1"/>
        <v>46113</v>
      </c>
      <c r="CE23" s="28">
        <f t="shared" si="1"/>
        <v>46143</v>
      </c>
      <c r="CF23" s="28">
        <f t="shared" si="1"/>
        <v>46174</v>
      </c>
      <c r="CG23" s="28">
        <f t="shared" si="1"/>
        <v>46204</v>
      </c>
      <c r="CH23" s="28">
        <f t="shared" si="1"/>
        <v>46235</v>
      </c>
      <c r="CI23" s="28">
        <f t="shared" ref="CI23" si="2">EDATE(CH23,1)</f>
        <v>46266</v>
      </c>
      <c r="CJ23" s="28">
        <f t="shared" ref="CJ23" si="3">EDATE(CI23,1)</f>
        <v>46296</v>
      </c>
      <c r="CK23" s="28">
        <f t="shared" ref="CK23" si="4">EDATE(CJ23,1)</f>
        <v>46327</v>
      </c>
      <c r="CL23" s="28">
        <f t="shared" ref="CL23" si="5">EDATE(CK23,1)</f>
        <v>46357</v>
      </c>
      <c r="CM23" s="28">
        <f t="shared" ref="CM23" si="6">EDATE(CL23,1)</f>
        <v>46388</v>
      </c>
      <c r="CN23" s="28">
        <f t="shared" ref="CN23" si="7">EDATE(CM23,1)</f>
        <v>46419</v>
      </c>
      <c r="CO23" s="28">
        <f t="shared" ref="CO23" si="8">EDATE(CN23,1)</f>
        <v>46447</v>
      </c>
      <c r="CP23" s="28">
        <f t="shared" ref="CP23" si="9">EDATE(CO23,1)</f>
        <v>46478</v>
      </c>
      <c r="CQ23" s="28">
        <f t="shared" ref="CQ23" si="10">EDATE(CP23,1)</f>
        <v>46508</v>
      </c>
      <c r="CR23" s="28">
        <f t="shared" ref="CR23" si="11">EDATE(CQ23,1)</f>
        <v>46539</v>
      </c>
      <c r="CS23" s="28">
        <f t="shared" ref="CS23" si="12">EDATE(CR23,1)</f>
        <v>46569</v>
      </c>
      <c r="CT23" s="28">
        <f t="shared" ref="CT23" si="13">EDATE(CS23,1)</f>
        <v>46600</v>
      </c>
      <c r="CU23" s="28">
        <f t="shared" ref="CU23" si="14">EDATE(CT23,1)</f>
        <v>46631</v>
      </c>
      <c r="CV23" s="28">
        <f t="shared" ref="CV23" si="15">EDATE(CU23,1)</f>
        <v>46661</v>
      </c>
      <c r="CW23" s="28">
        <f t="shared" ref="CW23" si="16">EDATE(CV23,1)</f>
        <v>46692</v>
      </c>
      <c r="CX23" s="28">
        <f t="shared" ref="CX23" si="17">EDATE(CW23,1)</f>
        <v>46722</v>
      </c>
      <c r="CY23" s="28">
        <f t="shared" ref="CY23" si="18">EDATE(CX23,1)</f>
        <v>46753</v>
      </c>
      <c r="CZ23" s="28">
        <f t="shared" ref="CZ23" si="19">EDATE(CY23,1)</f>
        <v>46784</v>
      </c>
      <c r="DA23" s="28">
        <f t="shared" ref="DA23" si="20">EDATE(CZ23,1)</f>
        <v>46813</v>
      </c>
      <c r="DB23" s="28">
        <f t="shared" ref="DB23" si="21">EDATE(DA23,1)</f>
        <v>46844</v>
      </c>
      <c r="DC23" s="28">
        <f t="shared" ref="DC23" si="22">EDATE(DB23,1)</f>
        <v>46874</v>
      </c>
      <c r="DD23" s="28">
        <f t="shared" ref="DD23" si="23">EDATE(DC23,1)</f>
        <v>46905</v>
      </c>
      <c r="DE23" s="28">
        <f t="shared" ref="DE23" si="24">EDATE(DD23,1)</f>
        <v>46935</v>
      </c>
      <c r="DF23" s="28">
        <f t="shared" ref="DF23" si="25">EDATE(DE23,1)</f>
        <v>46966</v>
      </c>
      <c r="DG23" s="28">
        <f t="shared" ref="DG23" si="26">EDATE(DF23,1)</f>
        <v>46997</v>
      </c>
      <c r="DH23" s="28">
        <f t="shared" ref="DH23" si="27">EDATE(DG23,1)</f>
        <v>47027</v>
      </c>
      <c r="DI23" s="28">
        <f t="shared" ref="DI23" si="28">EDATE(DH23,1)</f>
        <v>47058</v>
      </c>
      <c r="DJ23" s="28">
        <f t="shared" ref="DJ23" si="29">EDATE(DI23,1)</f>
        <v>47088</v>
      </c>
      <c r="DK23" s="28">
        <f t="shared" ref="DK23" si="30">EDATE(DJ23,1)</f>
        <v>47119</v>
      </c>
      <c r="DL23" s="28">
        <f t="shared" ref="DL23" si="31">EDATE(DK23,1)</f>
        <v>47150</v>
      </c>
      <c r="DM23" s="28">
        <f t="shared" ref="DM23" si="32">EDATE(DL23,1)</f>
        <v>47178</v>
      </c>
      <c r="DN23" s="28">
        <f t="shared" ref="DN23" si="33">EDATE(DM23,1)</f>
        <v>47209</v>
      </c>
      <c r="DO23" s="28">
        <f t="shared" ref="DO23" si="34">EDATE(DN23,1)</f>
        <v>47239</v>
      </c>
      <c r="DP23" s="28">
        <f t="shared" ref="DP23" si="35">EDATE(DO23,1)</f>
        <v>47270</v>
      </c>
      <c r="DQ23" s="28">
        <f t="shared" ref="DQ23" si="36">EDATE(DP23,1)</f>
        <v>47300</v>
      </c>
    </row>
    <row r="24" spans="1:123" s="53" customFormat="1" x14ac:dyDescent="0.25">
      <c r="A24" s="22" t="s">
        <v>5</v>
      </c>
      <c r="B24" s="29">
        <f>B36+B48+B60</f>
        <v>1700000000</v>
      </c>
      <c r="C24" s="29">
        <f t="shared" ref="C24:BN24" si="37">C36+C48+C60</f>
        <v>1700000000</v>
      </c>
      <c r="D24" s="29">
        <f t="shared" si="37"/>
        <v>1700000000</v>
      </c>
      <c r="E24" s="29">
        <f t="shared" si="37"/>
        <v>1700000000</v>
      </c>
      <c r="F24" s="29">
        <f t="shared" si="37"/>
        <v>1700000000</v>
      </c>
      <c r="G24" s="29">
        <f t="shared" si="37"/>
        <v>1700000000</v>
      </c>
      <c r="H24" s="29">
        <f t="shared" si="37"/>
        <v>1700000000</v>
      </c>
      <c r="I24" s="29">
        <f t="shared" si="37"/>
        <v>1700000000</v>
      </c>
      <c r="J24" s="29">
        <f t="shared" si="37"/>
        <v>1700000000</v>
      </c>
      <c r="K24" s="29">
        <f t="shared" si="37"/>
        <v>1700000000</v>
      </c>
      <c r="L24" s="29">
        <f t="shared" si="37"/>
        <v>1700000000</v>
      </c>
      <c r="M24" s="29">
        <f t="shared" si="37"/>
        <v>1700000000</v>
      </c>
      <c r="N24" s="29">
        <f t="shared" si="37"/>
        <v>1700000000</v>
      </c>
      <c r="O24" s="29">
        <f t="shared" si="37"/>
        <v>1700000000</v>
      </c>
      <c r="P24" s="29">
        <f t="shared" si="37"/>
        <v>1700000000</v>
      </c>
      <c r="Q24" s="29">
        <f t="shared" si="37"/>
        <v>1700000000</v>
      </c>
      <c r="R24" s="29">
        <f t="shared" si="37"/>
        <v>1700000000</v>
      </c>
      <c r="S24" s="29">
        <f t="shared" si="37"/>
        <v>1700000000</v>
      </c>
      <c r="T24" s="29">
        <f t="shared" si="37"/>
        <v>1700000000</v>
      </c>
      <c r="U24" s="29">
        <f t="shared" si="37"/>
        <v>1700000000</v>
      </c>
      <c r="V24" s="29">
        <f t="shared" si="37"/>
        <v>1700000000</v>
      </c>
      <c r="W24" s="29">
        <f t="shared" si="37"/>
        <v>1649680000</v>
      </c>
      <c r="X24" s="29">
        <f t="shared" si="37"/>
        <v>1649680000</v>
      </c>
      <c r="Y24" s="29">
        <f t="shared" si="37"/>
        <v>1649680000</v>
      </c>
      <c r="Z24" s="29">
        <f t="shared" si="37"/>
        <v>1599360000</v>
      </c>
      <c r="AA24" s="29">
        <f t="shared" si="37"/>
        <v>1599360000</v>
      </c>
      <c r="AB24" s="29">
        <f t="shared" si="37"/>
        <v>1599360000</v>
      </c>
      <c r="AC24" s="29">
        <f t="shared" si="37"/>
        <v>1549380000</v>
      </c>
      <c r="AD24" s="29">
        <f t="shared" si="37"/>
        <v>1549380000</v>
      </c>
      <c r="AE24" s="29">
        <f t="shared" si="37"/>
        <v>1549380000</v>
      </c>
      <c r="AF24" s="29">
        <f t="shared" si="37"/>
        <v>1499400000</v>
      </c>
      <c r="AG24" s="29">
        <f t="shared" si="37"/>
        <v>1499400000</v>
      </c>
      <c r="AH24" s="29">
        <f t="shared" si="37"/>
        <v>1499400000</v>
      </c>
      <c r="AI24" s="29">
        <f t="shared" si="37"/>
        <v>1449420000</v>
      </c>
      <c r="AJ24" s="29">
        <f t="shared" si="37"/>
        <v>1449420000</v>
      </c>
      <c r="AK24" s="29">
        <f t="shared" si="37"/>
        <v>1449420000</v>
      </c>
      <c r="AL24" s="29">
        <f t="shared" si="37"/>
        <v>1399440000</v>
      </c>
      <c r="AM24" s="29">
        <f t="shared" si="37"/>
        <v>1399440000</v>
      </c>
      <c r="AN24" s="29">
        <f t="shared" si="37"/>
        <v>1399440000</v>
      </c>
      <c r="AO24" s="29">
        <f t="shared" si="37"/>
        <v>1349460000</v>
      </c>
      <c r="AP24" s="29">
        <f t="shared" si="37"/>
        <v>1349460000</v>
      </c>
      <c r="AQ24" s="29">
        <f t="shared" si="37"/>
        <v>1349460000</v>
      </c>
      <c r="AR24" s="29">
        <f t="shared" si="37"/>
        <v>1299480000</v>
      </c>
      <c r="AS24" s="29">
        <f t="shared" si="37"/>
        <v>1299480000</v>
      </c>
      <c r="AT24" s="29">
        <f t="shared" si="37"/>
        <v>1299480000</v>
      </c>
      <c r="AU24" s="29">
        <f t="shared" si="37"/>
        <v>1249500000</v>
      </c>
      <c r="AV24" s="29">
        <f t="shared" si="37"/>
        <v>1249500000</v>
      </c>
      <c r="AW24" s="29">
        <f t="shared" si="37"/>
        <v>1249500000</v>
      </c>
      <c r="AX24" s="29">
        <f t="shared" si="37"/>
        <v>1199520000</v>
      </c>
      <c r="AY24" s="29">
        <f t="shared" si="37"/>
        <v>1199520000</v>
      </c>
      <c r="AZ24" s="29">
        <f t="shared" si="37"/>
        <v>1199520000</v>
      </c>
      <c r="BA24" s="29">
        <f t="shared" si="37"/>
        <v>1149540000</v>
      </c>
      <c r="BB24" s="29">
        <f t="shared" si="37"/>
        <v>1149540000</v>
      </c>
      <c r="BC24" s="29">
        <f t="shared" si="37"/>
        <v>1149540000</v>
      </c>
      <c r="BD24" s="29">
        <f t="shared" si="37"/>
        <v>1099560000</v>
      </c>
      <c r="BE24" s="29">
        <f t="shared" si="37"/>
        <v>1099560000</v>
      </c>
      <c r="BF24" s="29">
        <f t="shared" si="37"/>
        <v>1099560000</v>
      </c>
      <c r="BG24" s="29">
        <f t="shared" si="37"/>
        <v>1049580000</v>
      </c>
      <c r="BH24" s="29">
        <f t="shared" si="37"/>
        <v>1049580000</v>
      </c>
      <c r="BI24" s="29">
        <f t="shared" si="37"/>
        <v>1049580000</v>
      </c>
      <c r="BJ24" s="29">
        <f t="shared" si="37"/>
        <v>999600000</v>
      </c>
      <c r="BK24" s="29">
        <f t="shared" si="37"/>
        <v>999600000</v>
      </c>
      <c r="BL24" s="29">
        <f t="shared" si="37"/>
        <v>999600000</v>
      </c>
      <c r="BM24" s="29">
        <f t="shared" si="37"/>
        <v>949620000</v>
      </c>
      <c r="BN24" s="29">
        <f t="shared" si="37"/>
        <v>949620000</v>
      </c>
      <c r="BO24" s="29">
        <f t="shared" ref="BO24:DN24" si="38">BO36+BO48+BO60</f>
        <v>949620000</v>
      </c>
      <c r="BP24" s="29">
        <f t="shared" si="38"/>
        <v>899640000</v>
      </c>
      <c r="BQ24" s="29">
        <f t="shared" si="38"/>
        <v>899640000</v>
      </c>
      <c r="BR24" s="29">
        <f t="shared" si="38"/>
        <v>899640000</v>
      </c>
      <c r="BS24" s="29">
        <f t="shared" si="38"/>
        <v>849660000</v>
      </c>
      <c r="BT24" s="29">
        <f t="shared" si="38"/>
        <v>849660000</v>
      </c>
      <c r="BU24" s="29">
        <f t="shared" si="38"/>
        <v>849660000</v>
      </c>
      <c r="BV24" s="29">
        <f t="shared" si="38"/>
        <v>799680000</v>
      </c>
      <c r="BW24" s="29">
        <f t="shared" si="38"/>
        <v>799680000</v>
      </c>
      <c r="BX24" s="29">
        <f t="shared" si="38"/>
        <v>799680000</v>
      </c>
      <c r="BY24" s="29">
        <f t="shared" si="38"/>
        <v>749700000</v>
      </c>
      <c r="BZ24" s="29">
        <f t="shared" si="38"/>
        <v>749700000</v>
      </c>
      <c r="CA24" s="29">
        <f t="shared" si="38"/>
        <v>749700000</v>
      </c>
      <c r="CB24" s="29">
        <f t="shared" si="38"/>
        <v>699720000</v>
      </c>
      <c r="CC24" s="29">
        <f t="shared" si="38"/>
        <v>699720000</v>
      </c>
      <c r="CD24" s="29">
        <f t="shared" si="38"/>
        <v>699720000</v>
      </c>
      <c r="CE24" s="29">
        <f t="shared" si="38"/>
        <v>649740000</v>
      </c>
      <c r="CF24" s="29">
        <f t="shared" si="38"/>
        <v>649740000</v>
      </c>
      <c r="CG24" s="29">
        <f t="shared" si="38"/>
        <v>649740000</v>
      </c>
      <c r="CH24" s="29">
        <f t="shared" si="38"/>
        <v>599760000</v>
      </c>
      <c r="CI24" s="29">
        <f t="shared" si="38"/>
        <v>599760000</v>
      </c>
      <c r="CJ24" s="29">
        <f t="shared" si="38"/>
        <v>599760000</v>
      </c>
      <c r="CK24" s="29">
        <f t="shared" si="38"/>
        <v>549780000</v>
      </c>
      <c r="CL24" s="29">
        <f t="shared" si="38"/>
        <v>549780000</v>
      </c>
      <c r="CM24" s="29">
        <f t="shared" si="38"/>
        <v>549780000</v>
      </c>
      <c r="CN24" s="29">
        <f t="shared" si="38"/>
        <v>499800000</v>
      </c>
      <c r="CO24" s="29">
        <f t="shared" si="38"/>
        <v>499800000</v>
      </c>
      <c r="CP24" s="29">
        <f t="shared" si="38"/>
        <v>499800000</v>
      </c>
      <c r="CQ24" s="29">
        <f t="shared" si="38"/>
        <v>449820000</v>
      </c>
      <c r="CR24" s="29">
        <f t="shared" si="38"/>
        <v>449820000</v>
      </c>
      <c r="CS24" s="29">
        <f t="shared" si="38"/>
        <v>449820000</v>
      </c>
      <c r="CT24" s="29">
        <f t="shared" si="38"/>
        <v>399840000</v>
      </c>
      <c r="CU24" s="29">
        <f t="shared" si="38"/>
        <v>399840000</v>
      </c>
      <c r="CV24" s="29">
        <f t="shared" si="38"/>
        <v>399840000</v>
      </c>
      <c r="CW24" s="29">
        <f t="shared" si="38"/>
        <v>349860000</v>
      </c>
      <c r="CX24" s="29">
        <f t="shared" si="38"/>
        <v>349860000</v>
      </c>
      <c r="CY24" s="29">
        <f t="shared" si="38"/>
        <v>349860000</v>
      </c>
      <c r="CZ24" s="29">
        <f t="shared" si="38"/>
        <v>299880000</v>
      </c>
      <c r="DA24" s="29">
        <f t="shared" si="38"/>
        <v>299880000</v>
      </c>
      <c r="DB24" s="29">
        <f t="shared" si="38"/>
        <v>299880000</v>
      </c>
      <c r="DC24" s="29">
        <f t="shared" si="38"/>
        <v>249900000</v>
      </c>
      <c r="DD24" s="29">
        <f t="shared" si="38"/>
        <v>249900000</v>
      </c>
      <c r="DE24" s="29">
        <f t="shared" si="38"/>
        <v>249900000</v>
      </c>
      <c r="DF24" s="29">
        <f t="shared" si="38"/>
        <v>199920000</v>
      </c>
      <c r="DG24" s="29">
        <f t="shared" si="38"/>
        <v>199920000</v>
      </c>
      <c r="DH24" s="29">
        <f t="shared" si="38"/>
        <v>199920000</v>
      </c>
      <c r="DI24" s="29">
        <f t="shared" si="38"/>
        <v>149940000</v>
      </c>
      <c r="DJ24" s="29">
        <f t="shared" si="38"/>
        <v>149940000</v>
      </c>
      <c r="DK24" s="29">
        <f t="shared" si="38"/>
        <v>149940000</v>
      </c>
      <c r="DL24" s="29">
        <f t="shared" si="38"/>
        <v>99960000</v>
      </c>
      <c r="DM24" s="29">
        <f t="shared" si="38"/>
        <v>99960000</v>
      </c>
      <c r="DN24" s="29">
        <f t="shared" si="38"/>
        <v>99960000</v>
      </c>
      <c r="DO24" s="29">
        <f t="shared" ref="DO24:DQ24" si="39">DO36+DO48+DO60</f>
        <v>49980000</v>
      </c>
      <c r="DP24" s="29">
        <f t="shared" si="39"/>
        <v>49980000</v>
      </c>
      <c r="DQ24" s="29">
        <f t="shared" si="39"/>
        <v>49980000</v>
      </c>
    </row>
    <row r="25" spans="1:123" s="53" customFormat="1" x14ac:dyDescent="0.25">
      <c r="A25" s="22" t="s">
        <v>6</v>
      </c>
      <c r="B25" s="25">
        <f>B37+B49+B61</f>
        <v>9763888.8888888881</v>
      </c>
      <c r="C25" s="25">
        <f t="shared" ref="C25:BN26" si="40">C37+C49+C61</f>
        <v>13906944.444444444</v>
      </c>
      <c r="D25" s="25">
        <f t="shared" si="40"/>
        <v>13458333.333333334</v>
      </c>
      <c r="E25" s="25">
        <f t="shared" si="40"/>
        <v>13906944.444444444</v>
      </c>
      <c r="F25" s="25">
        <f t="shared" si="40"/>
        <v>13458333.333333334</v>
      </c>
      <c r="G25" s="25">
        <f t="shared" si="40"/>
        <v>13906944.444444444</v>
      </c>
      <c r="H25" s="25">
        <f t="shared" si="40"/>
        <v>13906944.444444444</v>
      </c>
      <c r="I25" s="25">
        <f t="shared" si="40"/>
        <v>13009722.222222222</v>
      </c>
      <c r="J25" s="25">
        <f t="shared" si="40"/>
        <v>13906944.444444444</v>
      </c>
      <c r="K25" s="25">
        <f t="shared" si="40"/>
        <v>13458333.333333334</v>
      </c>
      <c r="L25" s="25">
        <f t="shared" si="40"/>
        <v>13906944.444444444</v>
      </c>
      <c r="M25" s="25">
        <f t="shared" si="40"/>
        <v>13458333.333333334</v>
      </c>
      <c r="N25" s="25">
        <f t="shared" si="40"/>
        <v>13906944.444444444</v>
      </c>
      <c r="O25" s="25">
        <f t="shared" si="40"/>
        <v>13458333.333333332</v>
      </c>
      <c r="P25" s="25">
        <f t="shared" si="40"/>
        <v>12750000</v>
      </c>
      <c r="Q25" s="25">
        <f t="shared" si="40"/>
        <v>13175000</v>
      </c>
      <c r="R25" s="25">
        <f t="shared" si="40"/>
        <v>12750000</v>
      </c>
      <c r="S25" s="25">
        <f t="shared" si="40"/>
        <v>13175000</v>
      </c>
      <c r="T25" s="25">
        <f t="shared" si="40"/>
        <v>13175000</v>
      </c>
      <c r="U25" s="25">
        <f t="shared" si="40"/>
        <v>11900000</v>
      </c>
      <c r="V25" s="25">
        <f t="shared" si="40"/>
        <v>12961140</v>
      </c>
      <c r="W25" s="25">
        <f t="shared" si="40"/>
        <v>12372600</v>
      </c>
      <c r="X25" s="25">
        <f t="shared" si="40"/>
        <v>12785020</v>
      </c>
      <c r="Y25" s="25">
        <f t="shared" si="40"/>
        <v>12171320</v>
      </c>
      <c r="Z25" s="25">
        <f t="shared" si="40"/>
        <v>12395040</v>
      </c>
      <c r="AA25" s="25">
        <f t="shared" si="40"/>
        <v>12395040</v>
      </c>
      <c r="AB25" s="25">
        <f t="shared" si="40"/>
        <v>11795280</v>
      </c>
      <c r="AC25" s="25">
        <f t="shared" si="40"/>
        <v>12007695</v>
      </c>
      <c r="AD25" s="25">
        <f t="shared" si="40"/>
        <v>11620350</v>
      </c>
      <c r="AE25" s="25">
        <f t="shared" si="40"/>
        <v>11795280</v>
      </c>
      <c r="AF25" s="25">
        <f t="shared" si="40"/>
        <v>11620350</v>
      </c>
      <c r="AG25" s="25">
        <f t="shared" si="40"/>
        <v>10495800</v>
      </c>
      <c r="AH25" s="25">
        <f t="shared" si="40"/>
        <v>11407935</v>
      </c>
      <c r="AI25" s="25">
        <f t="shared" si="40"/>
        <v>10870650</v>
      </c>
      <c r="AJ25" s="25">
        <f t="shared" si="40"/>
        <v>11233005</v>
      </c>
      <c r="AK25" s="25">
        <f t="shared" si="40"/>
        <v>10670730</v>
      </c>
      <c r="AL25" s="25">
        <f t="shared" si="40"/>
        <v>10845660</v>
      </c>
      <c r="AM25" s="25">
        <f t="shared" si="40"/>
        <v>10845660</v>
      </c>
      <c r="AN25" s="25">
        <f t="shared" si="40"/>
        <v>10295880</v>
      </c>
      <c r="AO25" s="25">
        <f t="shared" si="40"/>
        <v>10458315</v>
      </c>
      <c r="AP25" s="25">
        <f t="shared" si="40"/>
        <v>10120950</v>
      </c>
      <c r="AQ25" s="25">
        <f t="shared" si="40"/>
        <v>10245900</v>
      </c>
      <c r="AR25" s="25">
        <f t="shared" si="40"/>
        <v>10070970</v>
      </c>
      <c r="AS25" s="25">
        <f t="shared" si="40"/>
        <v>9096360</v>
      </c>
      <c r="AT25" s="25">
        <f t="shared" si="40"/>
        <v>9858555</v>
      </c>
      <c r="AU25" s="25">
        <f t="shared" si="40"/>
        <v>9371250</v>
      </c>
      <c r="AV25" s="25">
        <f t="shared" si="40"/>
        <v>9683625</v>
      </c>
      <c r="AW25" s="25">
        <f t="shared" si="40"/>
        <v>9171330</v>
      </c>
      <c r="AX25" s="25">
        <f t="shared" si="40"/>
        <v>9296280</v>
      </c>
      <c r="AY25" s="25">
        <f t="shared" si="40"/>
        <v>9296280</v>
      </c>
      <c r="AZ25" s="25">
        <f t="shared" si="40"/>
        <v>8783985</v>
      </c>
      <c r="BA25" s="25">
        <f t="shared" si="40"/>
        <v>8908935</v>
      </c>
      <c r="BB25" s="25">
        <f t="shared" si="40"/>
        <v>8621550</v>
      </c>
      <c r="BC25" s="25">
        <f t="shared" si="40"/>
        <v>8684025</v>
      </c>
      <c r="BD25" s="25">
        <f t="shared" si="40"/>
        <v>8521590</v>
      </c>
      <c r="BE25" s="25">
        <f t="shared" si="40"/>
        <v>7971810</v>
      </c>
      <c r="BF25" s="25">
        <f t="shared" si="40"/>
        <v>8296680</v>
      </c>
      <c r="BG25" s="25">
        <f t="shared" si="40"/>
        <v>7871850</v>
      </c>
      <c r="BH25" s="25">
        <f t="shared" si="40"/>
        <v>8134245</v>
      </c>
      <c r="BI25" s="25">
        <f t="shared" si="40"/>
        <v>7646940</v>
      </c>
      <c r="BJ25" s="25">
        <f t="shared" si="40"/>
        <v>7746900</v>
      </c>
      <c r="BK25" s="25">
        <f t="shared" si="40"/>
        <v>7746900</v>
      </c>
      <c r="BL25" s="25">
        <f t="shared" si="40"/>
        <v>7297080</v>
      </c>
      <c r="BM25" s="25">
        <f t="shared" si="40"/>
        <v>7359555</v>
      </c>
      <c r="BN25" s="25">
        <f t="shared" si="40"/>
        <v>7122150</v>
      </c>
      <c r="BO25" s="25">
        <f t="shared" ref="BO25:DN26" si="41">BO37+BO49+BO61</f>
        <v>7147140</v>
      </c>
      <c r="BP25" s="25">
        <f t="shared" si="41"/>
        <v>6972210</v>
      </c>
      <c r="BQ25" s="25">
        <f t="shared" si="41"/>
        <v>6297480</v>
      </c>
      <c r="BR25" s="25">
        <f t="shared" si="41"/>
        <v>6734805</v>
      </c>
      <c r="BS25" s="25">
        <f t="shared" si="41"/>
        <v>6372450</v>
      </c>
      <c r="BT25" s="25">
        <f t="shared" si="41"/>
        <v>6584865</v>
      </c>
      <c r="BU25" s="25">
        <f t="shared" si="41"/>
        <v>6172530</v>
      </c>
      <c r="BV25" s="25">
        <f t="shared" si="41"/>
        <v>6197520</v>
      </c>
      <c r="BW25" s="25">
        <f t="shared" si="41"/>
        <v>6197520</v>
      </c>
      <c r="BX25" s="25">
        <f t="shared" si="41"/>
        <v>5797680</v>
      </c>
      <c r="BY25" s="25">
        <f t="shared" si="41"/>
        <v>5810175</v>
      </c>
      <c r="BZ25" s="25">
        <f t="shared" si="41"/>
        <v>5622750</v>
      </c>
      <c r="CA25" s="25">
        <f t="shared" si="41"/>
        <v>5597760</v>
      </c>
      <c r="CB25" s="25">
        <f t="shared" si="41"/>
        <v>5422830</v>
      </c>
      <c r="CC25" s="25">
        <f t="shared" si="41"/>
        <v>4898040</v>
      </c>
      <c r="CD25" s="25">
        <f t="shared" si="41"/>
        <v>5210415</v>
      </c>
      <c r="CE25" s="25">
        <f t="shared" si="41"/>
        <v>4873050</v>
      </c>
      <c r="CF25" s="25">
        <f t="shared" si="41"/>
        <v>5035485</v>
      </c>
      <c r="CG25" s="25">
        <f t="shared" si="41"/>
        <v>4673130</v>
      </c>
      <c r="CH25" s="25">
        <f t="shared" si="41"/>
        <v>4648140</v>
      </c>
      <c r="CI25" s="25">
        <f t="shared" si="41"/>
        <v>4648140</v>
      </c>
      <c r="CJ25" s="25">
        <f t="shared" si="41"/>
        <v>4298280</v>
      </c>
      <c r="CK25" s="25">
        <f t="shared" si="41"/>
        <v>4260795</v>
      </c>
      <c r="CL25" s="25">
        <f t="shared" si="41"/>
        <v>4123350</v>
      </c>
      <c r="CM25" s="25">
        <f t="shared" si="41"/>
        <v>4048380</v>
      </c>
      <c r="CN25" s="25">
        <f t="shared" si="41"/>
        <v>3873450</v>
      </c>
      <c r="CO25" s="25">
        <f t="shared" si="41"/>
        <v>3498600</v>
      </c>
      <c r="CP25" s="25">
        <f t="shared" si="41"/>
        <v>3661035</v>
      </c>
      <c r="CQ25" s="25">
        <f t="shared" si="41"/>
        <v>3373650</v>
      </c>
      <c r="CR25" s="25">
        <f t="shared" si="41"/>
        <v>3486105</v>
      </c>
      <c r="CS25" s="25">
        <f t="shared" si="41"/>
        <v>3173730</v>
      </c>
      <c r="CT25" s="25">
        <f t="shared" si="41"/>
        <v>3098760</v>
      </c>
      <c r="CU25" s="25">
        <f t="shared" si="41"/>
        <v>3098760</v>
      </c>
      <c r="CV25" s="25">
        <f t="shared" si="41"/>
        <v>2798880</v>
      </c>
      <c r="CW25" s="25">
        <f t="shared" si="41"/>
        <v>2711415</v>
      </c>
      <c r="CX25" s="25">
        <f t="shared" si="41"/>
        <v>2623950</v>
      </c>
      <c r="CY25" s="25">
        <f t="shared" si="41"/>
        <v>2499000</v>
      </c>
      <c r="CZ25" s="25">
        <f t="shared" si="41"/>
        <v>2324070</v>
      </c>
      <c r="DA25" s="25">
        <f t="shared" si="41"/>
        <v>2174130</v>
      </c>
      <c r="DB25" s="25">
        <f t="shared" si="41"/>
        <v>2111655</v>
      </c>
      <c r="DC25" s="25">
        <f t="shared" si="41"/>
        <v>1874250</v>
      </c>
      <c r="DD25" s="25">
        <f t="shared" si="41"/>
        <v>1936725</v>
      </c>
      <c r="DE25" s="25">
        <f t="shared" si="41"/>
        <v>1674330</v>
      </c>
      <c r="DF25" s="25">
        <f t="shared" si="41"/>
        <v>1549380</v>
      </c>
      <c r="DG25" s="25">
        <f t="shared" si="41"/>
        <v>1549380</v>
      </c>
      <c r="DH25" s="25">
        <f t="shared" si="41"/>
        <v>1286985</v>
      </c>
      <c r="DI25" s="25">
        <f t="shared" si="41"/>
        <v>1162035</v>
      </c>
      <c r="DJ25" s="25">
        <f t="shared" si="41"/>
        <v>1124550</v>
      </c>
      <c r="DK25" s="25">
        <f t="shared" si="41"/>
        <v>937125</v>
      </c>
      <c r="DL25" s="25">
        <f t="shared" si="41"/>
        <v>774690</v>
      </c>
      <c r="DM25" s="25">
        <f t="shared" si="41"/>
        <v>699720</v>
      </c>
      <c r="DN25" s="25">
        <f t="shared" si="41"/>
        <v>562275</v>
      </c>
      <c r="DO25" s="25">
        <f t="shared" ref="DO25:DQ25" si="42">DO37+DO49+DO61</f>
        <v>374850</v>
      </c>
      <c r="DP25" s="25">
        <f t="shared" si="42"/>
        <v>387345</v>
      </c>
      <c r="DQ25" s="25">
        <f t="shared" si="42"/>
        <v>162435</v>
      </c>
    </row>
    <row r="26" spans="1:123" s="54" customFormat="1" x14ac:dyDescent="0.25">
      <c r="A26" s="46" t="s">
        <v>12</v>
      </c>
      <c r="B26" s="25">
        <f t="shared" ref="B26:BM26" si="43">B38+B50+B62</f>
        <v>9763888.8888888881</v>
      </c>
      <c r="C26" s="25">
        <f t="shared" si="43"/>
        <v>23670833.333333332</v>
      </c>
      <c r="D26" s="25">
        <f t="shared" si="43"/>
        <v>37129166.666666672</v>
      </c>
      <c r="E26" s="25">
        <f t="shared" si="43"/>
        <v>51036111.111111104</v>
      </c>
      <c r="F26" s="25">
        <f t="shared" si="43"/>
        <v>64494444.44444444</v>
      </c>
      <c r="G26" s="25">
        <f t="shared" si="43"/>
        <v>78401388.888888896</v>
      </c>
      <c r="H26" s="25">
        <f t="shared" si="43"/>
        <v>92308333.333333328</v>
      </c>
      <c r="I26" s="25">
        <f t="shared" si="43"/>
        <v>105318055.55555555</v>
      </c>
      <c r="J26" s="25">
        <f t="shared" si="43"/>
        <v>119225000</v>
      </c>
      <c r="K26" s="25">
        <f t="shared" si="43"/>
        <v>132683333.33333333</v>
      </c>
      <c r="L26" s="25">
        <f t="shared" si="43"/>
        <v>146590277.77777779</v>
      </c>
      <c r="M26" s="25">
        <f t="shared" si="43"/>
        <v>160048611.1111111</v>
      </c>
      <c r="N26" s="25">
        <f t="shared" si="43"/>
        <v>173955555.55555555</v>
      </c>
      <c r="O26" s="25">
        <f t="shared" si="43"/>
        <v>187413888.8888889</v>
      </c>
      <c r="P26" s="25">
        <f t="shared" si="43"/>
        <v>200163888.8888889</v>
      </c>
      <c r="Q26" s="25">
        <f t="shared" si="43"/>
        <v>213338888.8888889</v>
      </c>
      <c r="R26" s="25">
        <f t="shared" si="43"/>
        <v>226088888.8888889</v>
      </c>
      <c r="S26" s="25">
        <f t="shared" si="43"/>
        <v>239263888.88888887</v>
      </c>
      <c r="T26" s="25">
        <f t="shared" si="43"/>
        <v>252438888.88888887</v>
      </c>
      <c r="U26" s="25">
        <f t="shared" si="43"/>
        <v>264338888.88888887</v>
      </c>
      <c r="V26" s="25">
        <f t="shared" si="43"/>
        <v>277300028.88888884</v>
      </c>
      <c r="W26" s="25">
        <f t="shared" si="43"/>
        <v>289672628.88888884</v>
      </c>
      <c r="X26" s="25">
        <f t="shared" si="43"/>
        <v>302457648.88888884</v>
      </c>
      <c r="Y26" s="25">
        <f t="shared" si="43"/>
        <v>314628968.88888884</v>
      </c>
      <c r="Z26" s="25">
        <f t="shared" si="43"/>
        <v>327024008.88888884</v>
      </c>
      <c r="AA26" s="25">
        <f t="shared" si="43"/>
        <v>339419048.88888884</v>
      </c>
      <c r="AB26" s="25">
        <f t="shared" si="43"/>
        <v>351214328.88888884</v>
      </c>
      <c r="AC26" s="25">
        <f t="shared" si="43"/>
        <v>363222023.88888884</v>
      </c>
      <c r="AD26" s="25">
        <f t="shared" si="43"/>
        <v>374842373.88888884</v>
      </c>
      <c r="AE26" s="25">
        <f t="shared" si="43"/>
        <v>386637653.88888884</v>
      </c>
      <c r="AF26" s="25">
        <f t="shared" si="43"/>
        <v>398258003.88888884</v>
      </c>
      <c r="AG26" s="25">
        <f t="shared" si="43"/>
        <v>408753803.88888884</v>
      </c>
      <c r="AH26" s="25">
        <f t="shared" si="43"/>
        <v>420161738.88888884</v>
      </c>
      <c r="AI26" s="25">
        <f t="shared" si="43"/>
        <v>431032388.88888884</v>
      </c>
      <c r="AJ26" s="25">
        <f t="shared" si="43"/>
        <v>442265393.88888884</v>
      </c>
      <c r="AK26" s="25">
        <f t="shared" si="43"/>
        <v>452936123.88888884</v>
      </c>
      <c r="AL26" s="25">
        <f t="shared" si="43"/>
        <v>463781783.88888884</v>
      </c>
      <c r="AM26" s="25">
        <f t="shared" si="43"/>
        <v>474627443.88888884</v>
      </c>
      <c r="AN26" s="25">
        <f t="shared" si="43"/>
        <v>484923323.88888884</v>
      </c>
      <c r="AO26" s="25">
        <f t="shared" si="43"/>
        <v>495381638.88888884</v>
      </c>
      <c r="AP26" s="25">
        <f t="shared" si="43"/>
        <v>505502588.88888884</v>
      </c>
      <c r="AQ26" s="25">
        <f t="shared" si="43"/>
        <v>515748488.88888884</v>
      </c>
      <c r="AR26" s="25">
        <f t="shared" si="43"/>
        <v>525819458.88888884</v>
      </c>
      <c r="AS26" s="25">
        <f t="shared" si="43"/>
        <v>534915818.88888884</v>
      </c>
      <c r="AT26" s="25">
        <f t="shared" si="43"/>
        <v>544774373.88888884</v>
      </c>
      <c r="AU26" s="25">
        <f t="shared" si="43"/>
        <v>554145623.88888884</v>
      </c>
      <c r="AV26" s="25">
        <f t="shared" si="43"/>
        <v>563829248.88888884</v>
      </c>
      <c r="AW26" s="25">
        <f t="shared" si="43"/>
        <v>573000578.88888884</v>
      </c>
      <c r="AX26" s="25">
        <f t="shared" si="43"/>
        <v>582296858.88888884</v>
      </c>
      <c r="AY26" s="25">
        <f t="shared" si="43"/>
        <v>591593138.88888884</v>
      </c>
      <c r="AZ26" s="25">
        <f t="shared" si="43"/>
        <v>600377123.88888884</v>
      </c>
      <c r="BA26" s="25">
        <f t="shared" si="43"/>
        <v>609286058.88888884</v>
      </c>
      <c r="BB26" s="25">
        <f t="shared" si="43"/>
        <v>617907608.88888884</v>
      </c>
      <c r="BC26" s="25">
        <f t="shared" si="43"/>
        <v>626591633.88888884</v>
      </c>
      <c r="BD26" s="25">
        <f t="shared" si="43"/>
        <v>635113223.88888884</v>
      </c>
      <c r="BE26" s="25">
        <f t="shared" si="43"/>
        <v>643085033.88888884</v>
      </c>
      <c r="BF26" s="25">
        <f t="shared" si="43"/>
        <v>651381713.88888884</v>
      </c>
      <c r="BG26" s="25">
        <f t="shared" si="43"/>
        <v>659253563.88888884</v>
      </c>
      <c r="BH26" s="25">
        <f t="shared" si="43"/>
        <v>667387808.88888884</v>
      </c>
      <c r="BI26" s="25">
        <f t="shared" si="43"/>
        <v>675034748.88888884</v>
      </c>
      <c r="BJ26" s="25">
        <f t="shared" si="43"/>
        <v>682781648.88888884</v>
      </c>
      <c r="BK26" s="25">
        <f t="shared" si="43"/>
        <v>690528548.88888884</v>
      </c>
      <c r="BL26" s="25">
        <f t="shared" si="43"/>
        <v>697825628.88888884</v>
      </c>
      <c r="BM26" s="25">
        <f t="shared" si="43"/>
        <v>705185183.88888884</v>
      </c>
      <c r="BN26" s="25">
        <f t="shared" si="40"/>
        <v>712307333.88888884</v>
      </c>
      <c r="BO26" s="25">
        <f t="shared" ref="BO26:DM26" si="44">BO38+BO50+BO62</f>
        <v>719454473.88888884</v>
      </c>
      <c r="BP26" s="25">
        <f t="shared" si="44"/>
        <v>726426683.88888884</v>
      </c>
      <c r="BQ26" s="25">
        <f t="shared" si="44"/>
        <v>732724163.88888884</v>
      </c>
      <c r="BR26" s="25">
        <f t="shared" si="44"/>
        <v>739458968.88888884</v>
      </c>
      <c r="BS26" s="25">
        <f t="shared" si="44"/>
        <v>745831418.88888884</v>
      </c>
      <c r="BT26" s="25">
        <f t="shared" si="44"/>
        <v>752416283.88888884</v>
      </c>
      <c r="BU26" s="25">
        <f t="shared" si="44"/>
        <v>758588813.88888884</v>
      </c>
      <c r="BV26" s="25">
        <f t="shared" si="44"/>
        <v>764786333.88888884</v>
      </c>
      <c r="BW26" s="25">
        <f t="shared" si="44"/>
        <v>770983853.88888884</v>
      </c>
      <c r="BX26" s="25">
        <f t="shared" si="44"/>
        <v>776781533.88888884</v>
      </c>
      <c r="BY26" s="25">
        <f t="shared" si="44"/>
        <v>782591708.88888884</v>
      </c>
      <c r="BZ26" s="25">
        <f t="shared" si="44"/>
        <v>788214458.88888884</v>
      </c>
      <c r="CA26" s="25">
        <f t="shared" si="44"/>
        <v>793812218.88888884</v>
      </c>
      <c r="CB26" s="25">
        <f t="shared" si="44"/>
        <v>799235048.88888884</v>
      </c>
      <c r="CC26" s="25">
        <f t="shared" si="44"/>
        <v>804133088.88888884</v>
      </c>
      <c r="CD26" s="25">
        <f t="shared" si="44"/>
        <v>809343503.88888884</v>
      </c>
      <c r="CE26" s="25">
        <f t="shared" si="44"/>
        <v>814216553.88888884</v>
      </c>
      <c r="CF26" s="25">
        <f t="shared" si="44"/>
        <v>819252038.88888884</v>
      </c>
      <c r="CG26" s="25">
        <f t="shared" si="44"/>
        <v>823925168.88888884</v>
      </c>
      <c r="CH26" s="25">
        <f t="shared" si="44"/>
        <v>828573308.88888884</v>
      </c>
      <c r="CI26" s="25">
        <f t="shared" si="44"/>
        <v>833221448.88888884</v>
      </c>
      <c r="CJ26" s="25">
        <f t="shared" si="44"/>
        <v>837519728.88888884</v>
      </c>
      <c r="CK26" s="25">
        <f t="shared" si="44"/>
        <v>841780523.88888884</v>
      </c>
      <c r="CL26" s="25">
        <f t="shared" si="44"/>
        <v>845903873.88888884</v>
      </c>
      <c r="CM26" s="25">
        <f t="shared" si="44"/>
        <v>849952253.88888884</v>
      </c>
      <c r="CN26" s="25">
        <f t="shared" si="44"/>
        <v>853825703.88888884</v>
      </c>
      <c r="CO26" s="25">
        <f t="shared" si="44"/>
        <v>857324303.88888884</v>
      </c>
      <c r="CP26" s="25">
        <f t="shared" si="44"/>
        <v>860985338.88888884</v>
      </c>
      <c r="CQ26" s="25">
        <f t="shared" si="44"/>
        <v>864358988.88888884</v>
      </c>
      <c r="CR26" s="25">
        <f t="shared" si="44"/>
        <v>867845093.88888884</v>
      </c>
      <c r="CS26" s="25">
        <f t="shared" si="44"/>
        <v>871018823.88888884</v>
      </c>
      <c r="CT26" s="25">
        <f t="shared" si="44"/>
        <v>874117583.88888884</v>
      </c>
      <c r="CU26" s="25">
        <f t="shared" si="44"/>
        <v>877216343.88888884</v>
      </c>
      <c r="CV26" s="25">
        <f t="shared" si="44"/>
        <v>880015223.88888884</v>
      </c>
      <c r="CW26" s="25">
        <f t="shared" si="44"/>
        <v>882726638.88888884</v>
      </c>
      <c r="CX26" s="25">
        <f t="shared" si="44"/>
        <v>885350588.88888884</v>
      </c>
      <c r="CY26" s="25">
        <f t="shared" si="44"/>
        <v>887849588.88888884</v>
      </c>
      <c r="CZ26" s="25">
        <f t="shared" si="44"/>
        <v>890173658.88888884</v>
      </c>
      <c r="DA26" s="25">
        <f t="shared" si="44"/>
        <v>892347788.88888884</v>
      </c>
      <c r="DB26" s="25">
        <f t="shared" si="44"/>
        <v>894459443.88888884</v>
      </c>
      <c r="DC26" s="25">
        <f t="shared" si="44"/>
        <v>896333693.88888884</v>
      </c>
      <c r="DD26" s="25">
        <f t="shared" si="44"/>
        <v>898270418.88888884</v>
      </c>
      <c r="DE26" s="25">
        <f t="shared" si="44"/>
        <v>899944748.88888884</v>
      </c>
      <c r="DF26" s="25">
        <f t="shared" si="44"/>
        <v>901494128.88888884</v>
      </c>
      <c r="DG26" s="25">
        <f t="shared" si="44"/>
        <v>903043508.88888884</v>
      </c>
      <c r="DH26" s="25">
        <f t="shared" si="44"/>
        <v>904330493.88888884</v>
      </c>
      <c r="DI26" s="25">
        <f t="shared" si="44"/>
        <v>905492528.88888884</v>
      </c>
      <c r="DJ26" s="25">
        <f t="shared" si="44"/>
        <v>906617078.88888884</v>
      </c>
      <c r="DK26" s="25">
        <f t="shared" si="44"/>
        <v>907554203.88888884</v>
      </c>
      <c r="DL26" s="25">
        <f t="shared" si="44"/>
        <v>908328893.88888884</v>
      </c>
      <c r="DM26" s="25">
        <f t="shared" si="44"/>
        <v>909028613.88888884</v>
      </c>
      <c r="DN26" s="25">
        <f t="shared" si="41"/>
        <v>909590888.88888884</v>
      </c>
      <c r="DO26" s="25">
        <f t="shared" ref="DO26:DQ26" si="45">DO38+DO50+DO62</f>
        <v>909965738.88888884</v>
      </c>
      <c r="DP26" s="25">
        <f t="shared" si="45"/>
        <v>910353083.88888884</v>
      </c>
      <c r="DQ26" s="25">
        <f t="shared" si="45"/>
        <v>910515518.88888884</v>
      </c>
      <c r="DR26" s="53"/>
      <c r="DS26" s="53"/>
    </row>
    <row r="27" spans="1:123" s="53" customFormat="1" x14ac:dyDescent="0.25">
      <c r="A27" s="22" t="s">
        <v>7</v>
      </c>
      <c r="B27" s="25">
        <f>B39+B51+B63</f>
        <v>0</v>
      </c>
      <c r="C27" s="25">
        <f t="shared" ref="C27:BN27" si="46">C39+C51+C63</f>
        <v>0</v>
      </c>
      <c r="D27" s="25">
        <f t="shared" si="46"/>
        <v>0</v>
      </c>
      <c r="E27" s="25">
        <f t="shared" si="46"/>
        <v>0</v>
      </c>
      <c r="F27" s="25">
        <f t="shared" si="46"/>
        <v>0</v>
      </c>
      <c r="G27" s="25">
        <f t="shared" si="46"/>
        <v>0</v>
      </c>
      <c r="H27" s="25">
        <f t="shared" si="46"/>
        <v>0</v>
      </c>
      <c r="I27" s="25">
        <f t="shared" si="46"/>
        <v>0</v>
      </c>
      <c r="J27" s="25">
        <f t="shared" si="46"/>
        <v>0</v>
      </c>
      <c r="K27" s="25">
        <f t="shared" si="46"/>
        <v>0</v>
      </c>
      <c r="L27" s="25">
        <f t="shared" si="46"/>
        <v>0</v>
      </c>
      <c r="M27" s="25">
        <f t="shared" si="46"/>
        <v>0</v>
      </c>
      <c r="N27" s="25">
        <f t="shared" si="46"/>
        <v>0</v>
      </c>
      <c r="O27" s="25">
        <f t="shared" si="46"/>
        <v>0</v>
      </c>
      <c r="P27" s="25">
        <f t="shared" si="46"/>
        <v>0</v>
      </c>
      <c r="Q27" s="25">
        <f t="shared" si="46"/>
        <v>0</v>
      </c>
      <c r="R27" s="25">
        <f t="shared" si="46"/>
        <v>0</v>
      </c>
      <c r="S27" s="25">
        <f t="shared" si="46"/>
        <v>0</v>
      </c>
      <c r="T27" s="25">
        <f t="shared" si="46"/>
        <v>0</v>
      </c>
      <c r="U27" s="25">
        <f t="shared" si="46"/>
        <v>0</v>
      </c>
      <c r="V27" s="25">
        <f t="shared" si="46"/>
        <v>50320000</v>
      </c>
      <c r="W27" s="25">
        <f t="shared" si="46"/>
        <v>0</v>
      </c>
      <c r="X27" s="25">
        <f t="shared" si="46"/>
        <v>0</v>
      </c>
      <c r="Y27" s="25">
        <f t="shared" si="46"/>
        <v>50320000</v>
      </c>
      <c r="Z27" s="25">
        <f t="shared" si="46"/>
        <v>0</v>
      </c>
      <c r="AA27" s="25">
        <f t="shared" si="46"/>
        <v>0</v>
      </c>
      <c r="AB27" s="25">
        <f t="shared" si="46"/>
        <v>49980000</v>
      </c>
      <c r="AC27" s="25">
        <f t="shared" si="46"/>
        <v>0</v>
      </c>
      <c r="AD27" s="25">
        <f t="shared" si="46"/>
        <v>0</v>
      </c>
      <c r="AE27" s="25">
        <f t="shared" si="46"/>
        <v>49980000</v>
      </c>
      <c r="AF27" s="25">
        <f t="shared" si="46"/>
        <v>0</v>
      </c>
      <c r="AG27" s="25">
        <f t="shared" si="46"/>
        <v>0</v>
      </c>
      <c r="AH27" s="25">
        <f t="shared" si="46"/>
        <v>49980000</v>
      </c>
      <c r="AI27" s="25">
        <f t="shared" si="46"/>
        <v>0</v>
      </c>
      <c r="AJ27" s="25">
        <f t="shared" si="46"/>
        <v>0</v>
      </c>
      <c r="AK27" s="25">
        <f t="shared" si="46"/>
        <v>49980000</v>
      </c>
      <c r="AL27" s="25">
        <f t="shared" si="46"/>
        <v>0</v>
      </c>
      <c r="AM27" s="25">
        <f t="shared" si="46"/>
        <v>0</v>
      </c>
      <c r="AN27" s="25">
        <f t="shared" si="46"/>
        <v>49980000</v>
      </c>
      <c r="AO27" s="25">
        <f t="shared" si="46"/>
        <v>0</v>
      </c>
      <c r="AP27" s="25">
        <f t="shared" si="46"/>
        <v>0</v>
      </c>
      <c r="AQ27" s="25">
        <f t="shared" si="46"/>
        <v>49980000</v>
      </c>
      <c r="AR27" s="25">
        <f t="shared" si="46"/>
        <v>0</v>
      </c>
      <c r="AS27" s="25">
        <f t="shared" si="46"/>
        <v>0</v>
      </c>
      <c r="AT27" s="25">
        <f t="shared" si="46"/>
        <v>49980000</v>
      </c>
      <c r="AU27" s="25">
        <f t="shared" si="46"/>
        <v>0</v>
      </c>
      <c r="AV27" s="25">
        <f t="shared" si="46"/>
        <v>0</v>
      </c>
      <c r="AW27" s="25">
        <f t="shared" si="46"/>
        <v>49980000</v>
      </c>
      <c r="AX27" s="25">
        <f t="shared" si="46"/>
        <v>0</v>
      </c>
      <c r="AY27" s="25">
        <f t="shared" si="46"/>
        <v>0</v>
      </c>
      <c r="AZ27" s="25">
        <f t="shared" si="46"/>
        <v>49980000</v>
      </c>
      <c r="BA27" s="25">
        <f t="shared" si="46"/>
        <v>0</v>
      </c>
      <c r="BB27" s="25">
        <f t="shared" si="46"/>
        <v>0</v>
      </c>
      <c r="BC27" s="25">
        <f t="shared" si="46"/>
        <v>49980000</v>
      </c>
      <c r="BD27" s="25">
        <f t="shared" si="46"/>
        <v>0</v>
      </c>
      <c r="BE27" s="25">
        <f t="shared" si="46"/>
        <v>0</v>
      </c>
      <c r="BF27" s="25">
        <f t="shared" si="46"/>
        <v>49980000</v>
      </c>
      <c r="BG27" s="25">
        <f t="shared" si="46"/>
        <v>0</v>
      </c>
      <c r="BH27" s="25">
        <f t="shared" si="46"/>
        <v>0</v>
      </c>
      <c r="BI27" s="25">
        <f t="shared" si="46"/>
        <v>49980000</v>
      </c>
      <c r="BJ27" s="25">
        <f t="shared" si="46"/>
        <v>0</v>
      </c>
      <c r="BK27" s="25">
        <f t="shared" si="46"/>
        <v>0</v>
      </c>
      <c r="BL27" s="25">
        <f t="shared" si="46"/>
        <v>49980000</v>
      </c>
      <c r="BM27" s="25">
        <f t="shared" si="46"/>
        <v>0</v>
      </c>
      <c r="BN27" s="25">
        <f t="shared" si="46"/>
        <v>0</v>
      </c>
      <c r="BO27" s="25">
        <f t="shared" ref="BO27:DN27" si="47">BO39+BO51+BO63</f>
        <v>49980000</v>
      </c>
      <c r="BP27" s="25">
        <f t="shared" si="47"/>
        <v>0</v>
      </c>
      <c r="BQ27" s="25">
        <f t="shared" si="47"/>
        <v>0</v>
      </c>
      <c r="BR27" s="25">
        <f t="shared" si="47"/>
        <v>49980000</v>
      </c>
      <c r="BS27" s="25">
        <f t="shared" si="47"/>
        <v>0</v>
      </c>
      <c r="BT27" s="25">
        <f t="shared" si="47"/>
        <v>0</v>
      </c>
      <c r="BU27" s="25">
        <f t="shared" si="47"/>
        <v>49980000</v>
      </c>
      <c r="BV27" s="25">
        <f t="shared" si="47"/>
        <v>0</v>
      </c>
      <c r="BW27" s="25">
        <f t="shared" si="47"/>
        <v>0</v>
      </c>
      <c r="BX27" s="25">
        <f t="shared" si="47"/>
        <v>49980000</v>
      </c>
      <c r="BY27" s="25">
        <f t="shared" si="47"/>
        <v>0</v>
      </c>
      <c r="BZ27" s="25">
        <f t="shared" si="47"/>
        <v>0</v>
      </c>
      <c r="CA27" s="25">
        <f t="shared" si="47"/>
        <v>49980000</v>
      </c>
      <c r="CB27" s="25">
        <f t="shared" si="47"/>
        <v>0</v>
      </c>
      <c r="CC27" s="25">
        <f t="shared" si="47"/>
        <v>0</v>
      </c>
      <c r="CD27" s="25">
        <f t="shared" si="47"/>
        <v>49980000</v>
      </c>
      <c r="CE27" s="25">
        <f t="shared" si="47"/>
        <v>0</v>
      </c>
      <c r="CF27" s="25">
        <f t="shared" si="47"/>
        <v>0</v>
      </c>
      <c r="CG27" s="25">
        <f t="shared" si="47"/>
        <v>49980000</v>
      </c>
      <c r="CH27" s="25">
        <f t="shared" si="47"/>
        <v>0</v>
      </c>
      <c r="CI27" s="25">
        <f t="shared" si="47"/>
        <v>0</v>
      </c>
      <c r="CJ27" s="25">
        <f t="shared" si="47"/>
        <v>49980000</v>
      </c>
      <c r="CK27" s="25">
        <f t="shared" si="47"/>
        <v>0</v>
      </c>
      <c r="CL27" s="25">
        <f t="shared" si="47"/>
        <v>0</v>
      </c>
      <c r="CM27" s="25">
        <f t="shared" si="47"/>
        <v>49980000</v>
      </c>
      <c r="CN27" s="25">
        <f t="shared" si="47"/>
        <v>0</v>
      </c>
      <c r="CO27" s="25">
        <f t="shared" si="47"/>
        <v>0</v>
      </c>
      <c r="CP27" s="25">
        <f t="shared" si="47"/>
        <v>49980000</v>
      </c>
      <c r="CQ27" s="25">
        <f t="shared" si="47"/>
        <v>0</v>
      </c>
      <c r="CR27" s="25">
        <f t="shared" si="47"/>
        <v>0</v>
      </c>
      <c r="CS27" s="25">
        <f t="shared" si="47"/>
        <v>49980000</v>
      </c>
      <c r="CT27" s="25">
        <f t="shared" si="47"/>
        <v>0</v>
      </c>
      <c r="CU27" s="25">
        <f t="shared" si="47"/>
        <v>0</v>
      </c>
      <c r="CV27" s="25">
        <f t="shared" si="47"/>
        <v>49980000</v>
      </c>
      <c r="CW27" s="25">
        <f t="shared" si="47"/>
        <v>0</v>
      </c>
      <c r="CX27" s="25">
        <f t="shared" si="47"/>
        <v>0</v>
      </c>
      <c r="CY27" s="25">
        <f t="shared" si="47"/>
        <v>49980000</v>
      </c>
      <c r="CZ27" s="25">
        <f t="shared" si="47"/>
        <v>0</v>
      </c>
      <c r="DA27" s="25">
        <f t="shared" si="47"/>
        <v>0</v>
      </c>
      <c r="DB27" s="25">
        <f t="shared" si="47"/>
        <v>49980000</v>
      </c>
      <c r="DC27" s="25">
        <f t="shared" si="47"/>
        <v>0</v>
      </c>
      <c r="DD27" s="25">
        <f t="shared" si="47"/>
        <v>0</v>
      </c>
      <c r="DE27" s="25">
        <f t="shared" si="47"/>
        <v>49980000</v>
      </c>
      <c r="DF27" s="25">
        <f t="shared" si="47"/>
        <v>0</v>
      </c>
      <c r="DG27" s="25">
        <f t="shared" si="47"/>
        <v>0</v>
      </c>
      <c r="DH27" s="25">
        <f t="shared" si="47"/>
        <v>49980000</v>
      </c>
      <c r="DI27" s="25">
        <f t="shared" si="47"/>
        <v>0</v>
      </c>
      <c r="DJ27" s="25">
        <f t="shared" si="47"/>
        <v>0</v>
      </c>
      <c r="DK27" s="25">
        <f t="shared" si="47"/>
        <v>49980000</v>
      </c>
      <c r="DL27" s="25">
        <f t="shared" si="47"/>
        <v>0</v>
      </c>
      <c r="DM27" s="25">
        <f t="shared" si="47"/>
        <v>0</v>
      </c>
      <c r="DN27" s="25">
        <f t="shared" si="47"/>
        <v>49980000</v>
      </c>
      <c r="DO27" s="25">
        <f t="shared" ref="DO27:DQ27" si="48">DO39+DO51+DO63</f>
        <v>0</v>
      </c>
      <c r="DP27" s="25">
        <f t="shared" si="48"/>
        <v>0</v>
      </c>
      <c r="DQ27" s="25">
        <f t="shared" si="48"/>
        <v>49980000</v>
      </c>
    </row>
    <row r="28" spans="1:123" s="53" customFormat="1" x14ac:dyDescent="0.25">
      <c r="A28" s="22" t="s">
        <v>13</v>
      </c>
      <c r="B28" s="25">
        <f>B27</f>
        <v>0</v>
      </c>
      <c r="C28" s="25">
        <f>B28+C27</f>
        <v>0</v>
      </c>
      <c r="D28" s="25">
        <f t="shared" ref="D28:AD28" si="49">C28+D27</f>
        <v>0</v>
      </c>
      <c r="E28" s="25">
        <f t="shared" si="49"/>
        <v>0</v>
      </c>
      <c r="F28" s="25">
        <f t="shared" si="49"/>
        <v>0</v>
      </c>
      <c r="G28" s="25">
        <f t="shared" si="49"/>
        <v>0</v>
      </c>
      <c r="H28" s="25">
        <f t="shared" si="49"/>
        <v>0</v>
      </c>
      <c r="I28" s="25">
        <f t="shared" si="49"/>
        <v>0</v>
      </c>
      <c r="J28" s="25">
        <f t="shared" si="49"/>
        <v>0</v>
      </c>
      <c r="K28" s="25">
        <f t="shared" si="49"/>
        <v>0</v>
      </c>
      <c r="L28" s="25">
        <f t="shared" si="49"/>
        <v>0</v>
      </c>
      <c r="M28" s="25">
        <f t="shared" si="49"/>
        <v>0</v>
      </c>
      <c r="N28" s="25">
        <f t="shared" si="49"/>
        <v>0</v>
      </c>
      <c r="O28" s="25">
        <f t="shared" si="49"/>
        <v>0</v>
      </c>
      <c r="P28" s="25">
        <f t="shared" si="49"/>
        <v>0</v>
      </c>
      <c r="Q28" s="25">
        <f t="shared" si="49"/>
        <v>0</v>
      </c>
      <c r="R28" s="25">
        <f t="shared" si="49"/>
        <v>0</v>
      </c>
      <c r="S28" s="25">
        <f t="shared" si="49"/>
        <v>0</v>
      </c>
      <c r="T28" s="25">
        <f t="shared" si="49"/>
        <v>0</v>
      </c>
      <c r="U28" s="25">
        <f t="shared" si="49"/>
        <v>0</v>
      </c>
      <c r="V28" s="25">
        <f t="shared" si="49"/>
        <v>50320000</v>
      </c>
      <c r="W28" s="25">
        <f t="shared" si="49"/>
        <v>50320000</v>
      </c>
      <c r="X28" s="25">
        <f t="shared" si="49"/>
        <v>50320000</v>
      </c>
      <c r="Y28" s="25">
        <f t="shared" si="49"/>
        <v>100640000</v>
      </c>
      <c r="Z28" s="25">
        <f t="shared" si="49"/>
        <v>100640000</v>
      </c>
      <c r="AA28" s="25">
        <f t="shared" si="49"/>
        <v>100640000</v>
      </c>
      <c r="AB28" s="25">
        <f t="shared" si="49"/>
        <v>150620000</v>
      </c>
      <c r="AC28" s="25">
        <f t="shared" si="49"/>
        <v>150620000</v>
      </c>
      <c r="AD28" s="25">
        <f t="shared" si="49"/>
        <v>150620000</v>
      </c>
      <c r="AE28" s="25">
        <f t="shared" ref="AE28:BD28" si="50">AD28+AE27</f>
        <v>200600000</v>
      </c>
      <c r="AF28" s="25">
        <f t="shared" si="50"/>
        <v>200600000</v>
      </c>
      <c r="AG28" s="25">
        <f t="shared" si="50"/>
        <v>200600000</v>
      </c>
      <c r="AH28" s="25">
        <f t="shared" si="50"/>
        <v>250580000</v>
      </c>
      <c r="AI28" s="25">
        <f t="shared" si="50"/>
        <v>250580000</v>
      </c>
      <c r="AJ28" s="25">
        <f t="shared" si="50"/>
        <v>250580000</v>
      </c>
      <c r="AK28" s="25">
        <f t="shared" si="50"/>
        <v>300560000</v>
      </c>
      <c r="AL28" s="25">
        <f t="shared" si="50"/>
        <v>300560000</v>
      </c>
      <c r="AM28" s="25">
        <f t="shared" si="50"/>
        <v>300560000</v>
      </c>
      <c r="AN28" s="25">
        <f t="shared" si="50"/>
        <v>350540000</v>
      </c>
      <c r="AO28" s="25">
        <f t="shared" si="50"/>
        <v>350540000</v>
      </c>
      <c r="AP28" s="25">
        <f t="shared" si="50"/>
        <v>350540000</v>
      </c>
      <c r="AQ28" s="25">
        <f t="shared" si="50"/>
        <v>400520000</v>
      </c>
      <c r="AR28" s="25">
        <f t="shared" si="50"/>
        <v>400520000</v>
      </c>
      <c r="AS28" s="25">
        <f t="shared" si="50"/>
        <v>400520000</v>
      </c>
      <c r="AT28" s="25">
        <f t="shared" si="50"/>
        <v>450500000</v>
      </c>
      <c r="AU28" s="25">
        <f t="shared" si="50"/>
        <v>450500000</v>
      </c>
      <c r="AV28" s="25">
        <f t="shared" si="50"/>
        <v>450500000</v>
      </c>
      <c r="AW28" s="25">
        <f t="shared" si="50"/>
        <v>500480000</v>
      </c>
      <c r="AX28" s="25">
        <f t="shared" si="50"/>
        <v>500480000</v>
      </c>
      <c r="AY28" s="25">
        <f t="shared" si="50"/>
        <v>500480000</v>
      </c>
      <c r="AZ28" s="25">
        <f t="shared" si="50"/>
        <v>550460000</v>
      </c>
      <c r="BA28" s="25">
        <f t="shared" si="50"/>
        <v>550460000</v>
      </c>
      <c r="BB28" s="25">
        <f t="shared" si="50"/>
        <v>550460000</v>
      </c>
      <c r="BC28" s="25">
        <f t="shared" si="50"/>
        <v>600440000</v>
      </c>
      <c r="BD28" s="25">
        <f t="shared" si="50"/>
        <v>600440000</v>
      </c>
      <c r="BE28" s="25">
        <f t="shared" ref="BE28:BS28" si="51">BD28+BE27</f>
        <v>600440000</v>
      </c>
      <c r="BF28" s="25">
        <f t="shared" si="51"/>
        <v>650420000</v>
      </c>
      <c r="BG28" s="25">
        <f t="shared" si="51"/>
        <v>650420000</v>
      </c>
      <c r="BH28" s="25">
        <f t="shared" si="51"/>
        <v>650420000</v>
      </c>
      <c r="BI28" s="25">
        <f t="shared" si="51"/>
        <v>700400000</v>
      </c>
      <c r="BJ28" s="25">
        <f t="shared" si="51"/>
        <v>700400000</v>
      </c>
      <c r="BK28" s="25">
        <f t="shared" si="51"/>
        <v>700400000</v>
      </c>
      <c r="BL28" s="25">
        <f t="shared" si="51"/>
        <v>750380000</v>
      </c>
      <c r="BM28" s="25">
        <f t="shared" si="51"/>
        <v>750380000</v>
      </c>
      <c r="BN28" s="25">
        <f t="shared" si="51"/>
        <v>750380000</v>
      </c>
      <c r="BO28" s="25">
        <f t="shared" si="51"/>
        <v>800360000</v>
      </c>
      <c r="BP28" s="25">
        <f t="shared" si="51"/>
        <v>800360000</v>
      </c>
      <c r="BQ28" s="25">
        <f t="shared" si="51"/>
        <v>800360000</v>
      </c>
      <c r="BR28" s="25">
        <f t="shared" si="51"/>
        <v>850340000</v>
      </c>
      <c r="BS28" s="25">
        <f t="shared" si="51"/>
        <v>850340000</v>
      </c>
      <c r="BT28" s="25">
        <f>BS28+BT27</f>
        <v>850340000</v>
      </c>
      <c r="BU28" s="25">
        <f t="shared" ref="BU28:CF28" si="52">BT28+BU27</f>
        <v>900320000</v>
      </c>
      <c r="BV28" s="25">
        <f t="shared" si="52"/>
        <v>900320000</v>
      </c>
      <c r="BW28" s="25">
        <f t="shared" si="52"/>
        <v>900320000</v>
      </c>
      <c r="BX28" s="25">
        <f t="shared" si="52"/>
        <v>950300000</v>
      </c>
      <c r="BY28" s="25">
        <f t="shared" si="52"/>
        <v>950300000</v>
      </c>
      <c r="BZ28" s="25">
        <f t="shared" si="52"/>
        <v>950300000</v>
      </c>
      <c r="CA28" s="25">
        <f t="shared" si="52"/>
        <v>1000280000</v>
      </c>
      <c r="CB28" s="25">
        <f t="shared" si="52"/>
        <v>1000280000</v>
      </c>
      <c r="CC28" s="25">
        <f t="shared" si="52"/>
        <v>1000280000</v>
      </c>
      <c r="CD28" s="25">
        <f t="shared" si="52"/>
        <v>1050260000</v>
      </c>
      <c r="CE28" s="25">
        <f t="shared" si="52"/>
        <v>1050260000</v>
      </c>
      <c r="CF28" s="25">
        <f t="shared" si="52"/>
        <v>1050260000</v>
      </c>
      <c r="CG28" s="25">
        <f>CF28+CG27</f>
        <v>1100240000</v>
      </c>
      <c r="CH28" s="25">
        <f>CG28+CH27</f>
        <v>1100240000</v>
      </c>
      <c r="CI28" s="25">
        <f t="shared" ref="CI28:CP28" si="53">CH28+CI27</f>
        <v>1100240000</v>
      </c>
      <c r="CJ28" s="25">
        <f>CI28+CJ27</f>
        <v>1150220000</v>
      </c>
      <c r="CK28" s="25">
        <f t="shared" si="53"/>
        <v>1150220000</v>
      </c>
      <c r="CL28" s="25">
        <f t="shared" si="53"/>
        <v>1150220000</v>
      </c>
      <c r="CM28" s="25">
        <f t="shared" si="53"/>
        <v>1200200000</v>
      </c>
      <c r="CN28" s="25">
        <f t="shared" si="53"/>
        <v>1200200000</v>
      </c>
      <c r="CO28" s="25">
        <f t="shared" si="53"/>
        <v>1200200000</v>
      </c>
      <c r="CP28" s="25">
        <f t="shared" si="53"/>
        <v>1250180000</v>
      </c>
      <c r="CQ28" s="25">
        <f>CP28+CQ27</f>
        <v>1250180000</v>
      </c>
      <c r="CR28" s="25">
        <f>CQ28+CR27</f>
        <v>1250180000</v>
      </c>
      <c r="CS28" s="25">
        <f>CR28+CS27</f>
        <v>1300160000</v>
      </c>
      <c r="CT28" s="25">
        <f>CS28+CT27</f>
        <v>1300160000</v>
      </c>
      <c r="CU28" s="25">
        <f t="shared" ref="CU28:DF28" si="54">CT28+CU27</f>
        <v>1300160000</v>
      </c>
      <c r="CV28" s="25">
        <f t="shared" si="54"/>
        <v>1350140000</v>
      </c>
      <c r="CW28" s="25">
        <f t="shared" si="54"/>
        <v>1350140000</v>
      </c>
      <c r="CX28" s="25">
        <f t="shared" si="54"/>
        <v>1350140000</v>
      </c>
      <c r="CY28" s="25">
        <f t="shared" si="54"/>
        <v>1400120000</v>
      </c>
      <c r="CZ28" s="25">
        <f t="shared" si="54"/>
        <v>1400120000</v>
      </c>
      <c r="DA28" s="25">
        <f t="shared" si="54"/>
        <v>1400120000</v>
      </c>
      <c r="DB28" s="25">
        <f t="shared" si="54"/>
        <v>1450100000</v>
      </c>
      <c r="DC28" s="25">
        <f t="shared" si="54"/>
        <v>1450100000</v>
      </c>
      <c r="DD28" s="25">
        <f t="shared" si="54"/>
        <v>1450100000</v>
      </c>
      <c r="DE28" s="25">
        <f t="shared" si="54"/>
        <v>1500080000</v>
      </c>
      <c r="DF28" s="25">
        <f t="shared" si="54"/>
        <v>1500080000</v>
      </c>
      <c r="DG28" s="25">
        <f>DF28+DG27</f>
        <v>1500080000</v>
      </c>
      <c r="DH28" s="25">
        <f t="shared" ref="DH28" si="55">DG28+DH27</f>
        <v>1550060000</v>
      </c>
      <c r="DI28" s="25">
        <f t="shared" ref="DI28" si="56">DH28+DI27</f>
        <v>1550060000</v>
      </c>
      <c r="DJ28" s="25">
        <f t="shared" ref="DJ28" si="57">DI28+DJ27</f>
        <v>1550060000</v>
      </c>
      <c r="DK28" s="25">
        <f t="shared" ref="DK28" si="58">DJ28+DK27</f>
        <v>1600040000</v>
      </c>
      <c r="DL28" s="25">
        <f t="shared" ref="DL28" si="59">DK28+DL27</f>
        <v>1600040000</v>
      </c>
      <c r="DM28" s="25">
        <f t="shared" ref="DM28" si="60">DL28+DM27</f>
        <v>1600040000</v>
      </c>
      <c r="DN28" s="25">
        <f t="shared" ref="DN28" si="61">DM28+DN27</f>
        <v>1650020000</v>
      </c>
      <c r="DO28" s="25">
        <f t="shared" ref="DO28" si="62">DN28+DO27</f>
        <v>1650020000</v>
      </c>
      <c r="DP28" s="25">
        <f t="shared" ref="DP28" si="63">DO28+DP27</f>
        <v>1650020000</v>
      </c>
      <c r="DQ28" s="25">
        <f t="shared" ref="DQ28" si="64">DP28+DQ27</f>
        <v>1700000000</v>
      </c>
    </row>
    <row r="29" spans="1:123" s="53" customFormat="1" x14ac:dyDescent="0.25">
      <c r="A29" s="22" t="s">
        <v>8</v>
      </c>
      <c r="B29" s="31">
        <f t="shared" ref="B29:BM29" si="65">B27+B25</f>
        <v>9763888.8888888881</v>
      </c>
      <c r="C29" s="31">
        <f t="shared" si="65"/>
        <v>13906944.444444444</v>
      </c>
      <c r="D29" s="31">
        <f t="shared" si="65"/>
        <v>13458333.333333334</v>
      </c>
      <c r="E29" s="31">
        <f t="shared" si="65"/>
        <v>13906944.444444444</v>
      </c>
      <c r="F29" s="31">
        <f t="shared" si="65"/>
        <v>13458333.333333334</v>
      </c>
      <c r="G29" s="31">
        <f t="shared" si="65"/>
        <v>13906944.444444444</v>
      </c>
      <c r="H29" s="31">
        <f t="shared" si="65"/>
        <v>13906944.444444444</v>
      </c>
      <c r="I29" s="31">
        <f t="shared" si="65"/>
        <v>13009722.222222222</v>
      </c>
      <c r="J29" s="31">
        <f t="shared" si="65"/>
        <v>13906944.444444444</v>
      </c>
      <c r="K29" s="31">
        <f t="shared" si="65"/>
        <v>13458333.333333334</v>
      </c>
      <c r="L29" s="31">
        <f t="shared" si="65"/>
        <v>13906944.444444444</v>
      </c>
      <c r="M29" s="31">
        <f t="shared" si="65"/>
        <v>13458333.333333334</v>
      </c>
      <c r="N29" s="31">
        <f t="shared" si="65"/>
        <v>13906944.444444444</v>
      </c>
      <c r="O29" s="31">
        <f t="shared" si="65"/>
        <v>13458333.333333332</v>
      </c>
      <c r="P29" s="31">
        <f t="shared" si="65"/>
        <v>12750000</v>
      </c>
      <c r="Q29" s="31">
        <f t="shared" si="65"/>
        <v>13175000</v>
      </c>
      <c r="R29" s="31">
        <f t="shared" si="65"/>
        <v>12750000</v>
      </c>
      <c r="S29" s="31">
        <f t="shared" si="65"/>
        <v>13175000</v>
      </c>
      <c r="T29" s="31">
        <f t="shared" si="65"/>
        <v>13175000</v>
      </c>
      <c r="U29" s="31">
        <f t="shared" si="65"/>
        <v>11900000</v>
      </c>
      <c r="V29" s="31">
        <f t="shared" si="65"/>
        <v>63281140</v>
      </c>
      <c r="W29" s="31">
        <f t="shared" si="65"/>
        <v>12372600</v>
      </c>
      <c r="X29" s="31">
        <f t="shared" si="65"/>
        <v>12785020</v>
      </c>
      <c r="Y29" s="31">
        <f t="shared" si="65"/>
        <v>62491320</v>
      </c>
      <c r="Z29" s="31">
        <f t="shared" si="65"/>
        <v>12395040</v>
      </c>
      <c r="AA29" s="31">
        <f t="shared" si="65"/>
        <v>12395040</v>
      </c>
      <c r="AB29" s="31">
        <f t="shared" si="65"/>
        <v>61775280</v>
      </c>
      <c r="AC29" s="31">
        <f t="shared" si="65"/>
        <v>12007695</v>
      </c>
      <c r="AD29" s="31">
        <f t="shared" si="65"/>
        <v>11620350</v>
      </c>
      <c r="AE29" s="31">
        <f t="shared" si="65"/>
        <v>61775280</v>
      </c>
      <c r="AF29" s="31">
        <f t="shared" si="65"/>
        <v>11620350</v>
      </c>
      <c r="AG29" s="31">
        <f t="shared" si="65"/>
        <v>10495800</v>
      </c>
      <c r="AH29" s="31">
        <f t="shared" si="65"/>
        <v>61387935</v>
      </c>
      <c r="AI29" s="31">
        <f t="shared" si="65"/>
        <v>10870650</v>
      </c>
      <c r="AJ29" s="31">
        <f t="shared" si="65"/>
        <v>11233005</v>
      </c>
      <c r="AK29" s="31">
        <f t="shared" si="65"/>
        <v>60650730</v>
      </c>
      <c r="AL29" s="31">
        <f t="shared" si="65"/>
        <v>10845660</v>
      </c>
      <c r="AM29" s="31">
        <f t="shared" si="65"/>
        <v>10845660</v>
      </c>
      <c r="AN29" s="31">
        <f t="shared" si="65"/>
        <v>60275880</v>
      </c>
      <c r="AO29" s="31">
        <f t="shared" si="65"/>
        <v>10458315</v>
      </c>
      <c r="AP29" s="31">
        <f t="shared" si="65"/>
        <v>10120950</v>
      </c>
      <c r="AQ29" s="31">
        <f t="shared" si="65"/>
        <v>60225900</v>
      </c>
      <c r="AR29" s="31">
        <f t="shared" si="65"/>
        <v>10070970</v>
      </c>
      <c r="AS29" s="31">
        <f t="shared" si="65"/>
        <v>9096360</v>
      </c>
      <c r="AT29" s="31">
        <f t="shared" si="65"/>
        <v>59838555</v>
      </c>
      <c r="AU29" s="31">
        <f t="shared" si="65"/>
        <v>9371250</v>
      </c>
      <c r="AV29" s="31">
        <f t="shared" si="65"/>
        <v>9683625</v>
      </c>
      <c r="AW29" s="31">
        <f t="shared" si="65"/>
        <v>59151330</v>
      </c>
      <c r="AX29" s="31">
        <f t="shared" si="65"/>
        <v>9296280</v>
      </c>
      <c r="AY29" s="31">
        <f t="shared" si="65"/>
        <v>9296280</v>
      </c>
      <c r="AZ29" s="31">
        <f t="shared" si="65"/>
        <v>58763985</v>
      </c>
      <c r="BA29" s="31">
        <f t="shared" si="65"/>
        <v>8908935</v>
      </c>
      <c r="BB29" s="31">
        <f t="shared" si="65"/>
        <v>8621550</v>
      </c>
      <c r="BC29" s="31">
        <f t="shared" si="65"/>
        <v>58664025</v>
      </c>
      <c r="BD29" s="31">
        <f t="shared" si="65"/>
        <v>8521590</v>
      </c>
      <c r="BE29" s="31">
        <f t="shared" si="65"/>
        <v>7971810</v>
      </c>
      <c r="BF29" s="31">
        <f t="shared" si="65"/>
        <v>58276680</v>
      </c>
      <c r="BG29" s="31">
        <f t="shared" si="65"/>
        <v>7871850</v>
      </c>
      <c r="BH29" s="31">
        <f t="shared" si="65"/>
        <v>8134245</v>
      </c>
      <c r="BI29" s="31">
        <f t="shared" si="65"/>
        <v>57626940</v>
      </c>
      <c r="BJ29" s="31">
        <f t="shared" si="65"/>
        <v>7746900</v>
      </c>
      <c r="BK29" s="31">
        <f t="shared" si="65"/>
        <v>7746900</v>
      </c>
      <c r="BL29" s="31">
        <f t="shared" si="65"/>
        <v>57277080</v>
      </c>
      <c r="BM29" s="31">
        <f t="shared" si="65"/>
        <v>7359555</v>
      </c>
      <c r="BN29" s="31">
        <f t="shared" ref="BN29:CG29" si="66">BN27+BN25</f>
        <v>7122150</v>
      </c>
      <c r="BO29" s="31">
        <f t="shared" si="66"/>
        <v>57127140</v>
      </c>
      <c r="BP29" s="31">
        <f t="shared" si="66"/>
        <v>6972210</v>
      </c>
      <c r="BQ29" s="31">
        <f t="shared" si="66"/>
        <v>6297480</v>
      </c>
      <c r="BR29" s="31">
        <f t="shared" si="66"/>
        <v>56714805</v>
      </c>
      <c r="BS29" s="31">
        <f t="shared" si="66"/>
        <v>6372450</v>
      </c>
      <c r="BT29" s="31">
        <f t="shared" si="66"/>
        <v>6584865</v>
      </c>
      <c r="BU29" s="31">
        <f t="shared" si="66"/>
        <v>56152530</v>
      </c>
      <c r="BV29" s="31">
        <f t="shared" si="66"/>
        <v>6197520</v>
      </c>
      <c r="BW29" s="31">
        <f t="shared" si="66"/>
        <v>6197520</v>
      </c>
      <c r="BX29" s="31">
        <f t="shared" si="66"/>
        <v>55777680</v>
      </c>
      <c r="BY29" s="31">
        <f t="shared" si="66"/>
        <v>5810175</v>
      </c>
      <c r="BZ29" s="31">
        <f t="shared" si="66"/>
        <v>5622750</v>
      </c>
      <c r="CA29" s="31">
        <f t="shared" si="66"/>
        <v>55577760</v>
      </c>
      <c r="CB29" s="31">
        <f t="shared" si="66"/>
        <v>5422830</v>
      </c>
      <c r="CC29" s="31">
        <f t="shared" si="66"/>
        <v>4898040</v>
      </c>
      <c r="CD29" s="31">
        <f t="shared" si="66"/>
        <v>55190415</v>
      </c>
      <c r="CE29" s="31">
        <f t="shared" si="66"/>
        <v>4873050</v>
      </c>
      <c r="CF29" s="31">
        <f t="shared" si="66"/>
        <v>5035485</v>
      </c>
      <c r="CG29" s="31">
        <f t="shared" si="66"/>
        <v>54653130</v>
      </c>
      <c r="CH29" s="31">
        <f t="shared" ref="CH29:CP29" si="67">CH27+CH25</f>
        <v>4648140</v>
      </c>
      <c r="CI29" s="31">
        <f t="shared" si="67"/>
        <v>4648140</v>
      </c>
      <c r="CJ29" s="31">
        <f t="shared" si="67"/>
        <v>54278280</v>
      </c>
      <c r="CK29" s="31">
        <f t="shared" si="67"/>
        <v>4260795</v>
      </c>
      <c r="CL29" s="31">
        <f t="shared" si="67"/>
        <v>4123350</v>
      </c>
      <c r="CM29" s="31">
        <f t="shared" si="67"/>
        <v>54028380</v>
      </c>
      <c r="CN29" s="31">
        <f t="shared" si="67"/>
        <v>3873450</v>
      </c>
      <c r="CO29" s="31">
        <f t="shared" si="67"/>
        <v>3498600</v>
      </c>
      <c r="CP29" s="31">
        <f t="shared" si="67"/>
        <v>53641035</v>
      </c>
      <c r="CQ29" s="31">
        <f>CQ27+CQ25</f>
        <v>3373650</v>
      </c>
      <c r="CR29" s="31">
        <f>CR27+CR25</f>
        <v>3486105</v>
      </c>
      <c r="CS29" s="31">
        <f>CS27+CS25</f>
        <v>53153730</v>
      </c>
      <c r="CT29" s="31">
        <f>CT27+CT25</f>
        <v>3098760</v>
      </c>
      <c r="CU29" s="31">
        <f t="shared" ref="CU29:DF29" si="68">CU27+CU25</f>
        <v>3098760</v>
      </c>
      <c r="CV29" s="31">
        <f t="shared" si="68"/>
        <v>52778880</v>
      </c>
      <c r="CW29" s="31">
        <f t="shared" si="68"/>
        <v>2711415</v>
      </c>
      <c r="CX29" s="31">
        <f t="shared" si="68"/>
        <v>2623950</v>
      </c>
      <c r="CY29" s="31">
        <f t="shared" si="68"/>
        <v>52479000</v>
      </c>
      <c r="CZ29" s="31">
        <f t="shared" si="68"/>
        <v>2324070</v>
      </c>
      <c r="DA29" s="31">
        <f t="shared" si="68"/>
        <v>2174130</v>
      </c>
      <c r="DB29" s="31">
        <f t="shared" si="68"/>
        <v>52091655</v>
      </c>
      <c r="DC29" s="31">
        <f t="shared" si="68"/>
        <v>1874250</v>
      </c>
      <c r="DD29" s="31">
        <f t="shared" si="68"/>
        <v>1936725</v>
      </c>
      <c r="DE29" s="31">
        <f t="shared" si="68"/>
        <v>51654330</v>
      </c>
      <c r="DF29" s="31">
        <f t="shared" si="68"/>
        <v>1549380</v>
      </c>
      <c r="DG29" s="31">
        <f>DG27+DG25</f>
        <v>1549380</v>
      </c>
      <c r="DH29" s="31">
        <f t="shared" ref="DH29:DM29" si="69">DH27+DH25</f>
        <v>51266985</v>
      </c>
      <c r="DI29" s="31">
        <f t="shared" si="69"/>
        <v>1162035</v>
      </c>
      <c r="DJ29" s="31">
        <f t="shared" si="69"/>
        <v>1124550</v>
      </c>
      <c r="DK29" s="31">
        <f t="shared" si="69"/>
        <v>50917125</v>
      </c>
      <c r="DL29" s="31">
        <f t="shared" si="69"/>
        <v>774690</v>
      </c>
      <c r="DM29" s="31">
        <f t="shared" si="69"/>
        <v>699720</v>
      </c>
      <c r="DN29" s="31">
        <f>DN27+DN25</f>
        <v>50542275</v>
      </c>
      <c r="DO29" s="31">
        <f t="shared" ref="DO29:DP29" si="70">DO27+DO25</f>
        <v>374850</v>
      </c>
      <c r="DP29" s="31">
        <f t="shared" si="70"/>
        <v>387345</v>
      </c>
      <c r="DQ29" s="31">
        <f>DQ27+DQ25</f>
        <v>50142435</v>
      </c>
    </row>
    <row r="30" spans="1:123" s="53" customFormat="1" ht="14.25" thickBot="1" x14ac:dyDescent="0.3">
      <c r="A30" s="32" t="s">
        <v>9</v>
      </c>
      <c r="B30" s="33">
        <f>B24-B27</f>
        <v>1700000000</v>
      </c>
      <c r="C30" s="33">
        <f t="shared" ref="C30:BN30" si="71">C24-C27</f>
        <v>1700000000</v>
      </c>
      <c r="D30" s="33">
        <f t="shared" si="71"/>
        <v>1700000000</v>
      </c>
      <c r="E30" s="33">
        <f t="shared" si="71"/>
        <v>1700000000</v>
      </c>
      <c r="F30" s="33">
        <f t="shared" si="71"/>
        <v>1700000000</v>
      </c>
      <c r="G30" s="33">
        <f t="shared" si="71"/>
        <v>1700000000</v>
      </c>
      <c r="H30" s="33">
        <f t="shared" si="71"/>
        <v>1700000000</v>
      </c>
      <c r="I30" s="33">
        <f t="shared" si="71"/>
        <v>1700000000</v>
      </c>
      <c r="J30" s="33">
        <f t="shared" si="71"/>
        <v>1700000000</v>
      </c>
      <c r="K30" s="33">
        <f t="shared" si="71"/>
        <v>1700000000</v>
      </c>
      <c r="L30" s="33">
        <f t="shared" si="71"/>
        <v>1700000000</v>
      </c>
      <c r="M30" s="33">
        <f t="shared" si="71"/>
        <v>1700000000</v>
      </c>
      <c r="N30" s="33">
        <f t="shared" si="71"/>
        <v>1700000000</v>
      </c>
      <c r="O30" s="33">
        <f t="shared" si="71"/>
        <v>1700000000</v>
      </c>
      <c r="P30" s="33">
        <f t="shared" si="71"/>
        <v>1700000000</v>
      </c>
      <c r="Q30" s="33">
        <f t="shared" si="71"/>
        <v>1700000000</v>
      </c>
      <c r="R30" s="33">
        <f t="shared" si="71"/>
        <v>1700000000</v>
      </c>
      <c r="S30" s="33">
        <f t="shared" si="71"/>
        <v>1700000000</v>
      </c>
      <c r="T30" s="33">
        <f t="shared" si="71"/>
        <v>1700000000</v>
      </c>
      <c r="U30" s="33">
        <f t="shared" si="71"/>
        <v>1700000000</v>
      </c>
      <c r="V30" s="33">
        <f t="shared" si="71"/>
        <v>1649680000</v>
      </c>
      <c r="W30" s="33">
        <f t="shared" si="71"/>
        <v>1649680000</v>
      </c>
      <c r="X30" s="33">
        <f t="shared" si="71"/>
        <v>1649680000</v>
      </c>
      <c r="Y30" s="33">
        <f t="shared" si="71"/>
        <v>1599360000</v>
      </c>
      <c r="Z30" s="33">
        <f t="shared" si="71"/>
        <v>1599360000</v>
      </c>
      <c r="AA30" s="33">
        <f t="shared" si="71"/>
        <v>1599360000</v>
      </c>
      <c r="AB30" s="33">
        <f t="shared" si="71"/>
        <v>1549380000</v>
      </c>
      <c r="AC30" s="33">
        <f t="shared" si="71"/>
        <v>1549380000</v>
      </c>
      <c r="AD30" s="33">
        <f t="shared" si="71"/>
        <v>1549380000</v>
      </c>
      <c r="AE30" s="33">
        <f t="shared" si="71"/>
        <v>1499400000</v>
      </c>
      <c r="AF30" s="33">
        <f t="shared" si="71"/>
        <v>1499400000</v>
      </c>
      <c r="AG30" s="33">
        <f t="shared" si="71"/>
        <v>1499400000</v>
      </c>
      <c r="AH30" s="33">
        <f t="shared" si="71"/>
        <v>1449420000</v>
      </c>
      <c r="AI30" s="33">
        <f t="shared" si="71"/>
        <v>1449420000</v>
      </c>
      <c r="AJ30" s="33">
        <f t="shared" si="71"/>
        <v>1449420000</v>
      </c>
      <c r="AK30" s="33">
        <f t="shared" si="71"/>
        <v>1399440000</v>
      </c>
      <c r="AL30" s="33">
        <f t="shared" si="71"/>
        <v>1399440000</v>
      </c>
      <c r="AM30" s="33">
        <f t="shared" si="71"/>
        <v>1399440000</v>
      </c>
      <c r="AN30" s="33">
        <f t="shared" si="71"/>
        <v>1349460000</v>
      </c>
      <c r="AO30" s="33">
        <f t="shared" si="71"/>
        <v>1349460000</v>
      </c>
      <c r="AP30" s="33">
        <f t="shared" si="71"/>
        <v>1349460000</v>
      </c>
      <c r="AQ30" s="33">
        <f t="shared" si="71"/>
        <v>1299480000</v>
      </c>
      <c r="AR30" s="33">
        <f t="shared" si="71"/>
        <v>1299480000</v>
      </c>
      <c r="AS30" s="33">
        <f t="shared" si="71"/>
        <v>1299480000</v>
      </c>
      <c r="AT30" s="33">
        <f t="shared" si="71"/>
        <v>1249500000</v>
      </c>
      <c r="AU30" s="33">
        <f t="shared" si="71"/>
        <v>1249500000</v>
      </c>
      <c r="AV30" s="33">
        <f t="shared" si="71"/>
        <v>1249500000</v>
      </c>
      <c r="AW30" s="33">
        <f t="shared" si="71"/>
        <v>1199520000</v>
      </c>
      <c r="AX30" s="33">
        <f t="shared" si="71"/>
        <v>1199520000</v>
      </c>
      <c r="AY30" s="33">
        <f t="shared" si="71"/>
        <v>1199520000</v>
      </c>
      <c r="AZ30" s="33">
        <f t="shared" si="71"/>
        <v>1149540000</v>
      </c>
      <c r="BA30" s="33">
        <f t="shared" si="71"/>
        <v>1149540000</v>
      </c>
      <c r="BB30" s="33">
        <f t="shared" si="71"/>
        <v>1149540000</v>
      </c>
      <c r="BC30" s="33">
        <f t="shared" si="71"/>
        <v>1099560000</v>
      </c>
      <c r="BD30" s="33">
        <f t="shared" si="71"/>
        <v>1099560000</v>
      </c>
      <c r="BE30" s="33">
        <f t="shared" si="71"/>
        <v>1099560000</v>
      </c>
      <c r="BF30" s="33">
        <f t="shared" si="71"/>
        <v>1049580000</v>
      </c>
      <c r="BG30" s="33">
        <f t="shared" si="71"/>
        <v>1049580000</v>
      </c>
      <c r="BH30" s="33">
        <f t="shared" si="71"/>
        <v>1049580000</v>
      </c>
      <c r="BI30" s="33">
        <f t="shared" si="71"/>
        <v>999600000</v>
      </c>
      <c r="BJ30" s="33">
        <f t="shared" si="71"/>
        <v>999600000</v>
      </c>
      <c r="BK30" s="33">
        <f t="shared" si="71"/>
        <v>999600000</v>
      </c>
      <c r="BL30" s="33">
        <f t="shared" si="71"/>
        <v>949620000</v>
      </c>
      <c r="BM30" s="33">
        <f t="shared" si="71"/>
        <v>949620000</v>
      </c>
      <c r="BN30" s="33">
        <f t="shared" si="71"/>
        <v>949620000</v>
      </c>
      <c r="BO30" s="33">
        <f t="shared" ref="BO30:CH30" si="72">BO24-BO27</f>
        <v>899640000</v>
      </c>
      <c r="BP30" s="33">
        <f t="shared" si="72"/>
        <v>899640000</v>
      </c>
      <c r="BQ30" s="33">
        <f t="shared" si="72"/>
        <v>899640000</v>
      </c>
      <c r="BR30" s="33">
        <f t="shared" si="72"/>
        <v>849660000</v>
      </c>
      <c r="BS30" s="33">
        <f t="shared" si="72"/>
        <v>849660000</v>
      </c>
      <c r="BT30" s="33">
        <f t="shared" si="72"/>
        <v>849660000</v>
      </c>
      <c r="BU30" s="33">
        <f t="shared" si="72"/>
        <v>799680000</v>
      </c>
      <c r="BV30" s="33">
        <f t="shared" si="72"/>
        <v>799680000</v>
      </c>
      <c r="BW30" s="33">
        <f t="shared" si="72"/>
        <v>799680000</v>
      </c>
      <c r="BX30" s="33">
        <f t="shared" si="72"/>
        <v>749700000</v>
      </c>
      <c r="BY30" s="33">
        <f t="shared" si="72"/>
        <v>749700000</v>
      </c>
      <c r="BZ30" s="33">
        <f t="shared" si="72"/>
        <v>749700000</v>
      </c>
      <c r="CA30" s="33">
        <f t="shared" si="72"/>
        <v>699720000</v>
      </c>
      <c r="CB30" s="33">
        <f t="shared" si="72"/>
        <v>699720000</v>
      </c>
      <c r="CC30" s="33">
        <f t="shared" si="72"/>
        <v>699720000</v>
      </c>
      <c r="CD30" s="33">
        <f t="shared" si="72"/>
        <v>649740000</v>
      </c>
      <c r="CE30" s="33">
        <f t="shared" si="72"/>
        <v>649740000</v>
      </c>
      <c r="CF30" s="33">
        <f t="shared" si="72"/>
        <v>649740000</v>
      </c>
      <c r="CG30" s="33">
        <f t="shared" si="72"/>
        <v>599760000</v>
      </c>
      <c r="CH30" s="33">
        <f t="shared" si="72"/>
        <v>599760000</v>
      </c>
      <c r="CI30" s="33">
        <f t="shared" ref="CI30:CP30" si="73">CI24-CI27</f>
        <v>599760000</v>
      </c>
      <c r="CJ30" s="33">
        <f t="shared" si="73"/>
        <v>549780000</v>
      </c>
      <c r="CK30" s="33">
        <f t="shared" si="73"/>
        <v>549780000</v>
      </c>
      <c r="CL30" s="33">
        <f t="shared" si="73"/>
        <v>549780000</v>
      </c>
      <c r="CM30" s="33">
        <f t="shared" si="73"/>
        <v>499800000</v>
      </c>
      <c r="CN30" s="33">
        <f t="shared" si="73"/>
        <v>499800000</v>
      </c>
      <c r="CO30" s="33">
        <f t="shared" si="73"/>
        <v>499800000</v>
      </c>
      <c r="CP30" s="33">
        <f t="shared" si="73"/>
        <v>449820000</v>
      </c>
      <c r="CQ30" s="33">
        <f>CQ24-CQ27</f>
        <v>449820000</v>
      </c>
      <c r="CR30" s="33">
        <f>CR24-CR27</f>
        <v>449820000</v>
      </c>
      <c r="CS30" s="33">
        <f>CS24-CS27</f>
        <v>399840000</v>
      </c>
      <c r="CT30" s="33">
        <f>CT24-CT27</f>
        <v>399840000</v>
      </c>
      <c r="CU30" s="33">
        <f t="shared" ref="CU30:DF30" si="74">CU24-CU27</f>
        <v>399840000</v>
      </c>
      <c r="CV30" s="33">
        <f t="shared" si="74"/>
        <v>349860000</v>
      </c>
      <c r="CW30" s="33">
        <f t="shared" si="74"/>
        <v>349860000</v>
      </c>
      <c r="CX30" s="33">
        <f t="shared" si="74"/>
        <v>349860000</v>
      </c>
      <c r="CY30" s="33">
        <f t="shared" si="74"/>
        <v>299880000</v>
      </c>
      <c r="CZ30" s="33">
        <f t="shared" si="74"/>
        <v>299880000</v>
      </c>
      <c r="DA30" s="33">
        <f t="shared" si="74"/>
        <v>299880000</v>
      </c>
      <c r="DB30" s="33">
        <f t="shared" si="74"/>
        <v>249900000</v>
      </c>
      <c r="DC30" s="33">
        <f t="shared" si="74"/>
        <v>249900000</v>
      </c>
      <c r="DD30" s="33">
        <f t="shared" si="74"/>
        <v>249900000</v>
      </c>
      <c r="DE30" s="33">
        <f t="shared" si="74"/>
        <v>199920000</v>
      </c>
      <c r="DF30" s="33">
        <f t="shared" si="74"/>
        <v>199920000</v>
      </c>
      <c r="DG30" s="33">
        <f>DG24-DG27</f>
        <v>199920000</v>
      </c>
      <c r="DH30" s="33">
        <f t="shared" ref="DH30:DM30" si="75">DH24-DH27</f>
        <v>149940000</v>
      </c>
      <c r="DI30" s="33">
        <f t="shared" si="75"/>
        <v>149940000</v>
      </c>
      <c r="DJ30" s="33">
        <f t="shared" si="75"/>
        <v>149940000</v>
      </c>
      <c r="DK30" s="33">
        <f t="shared" si="75"/>
        <v>99960000</v>
      </c>
      <c r="DL30" s="33">
        <f t="shared" si="75"/>
        <v>99960000</v>
      </c>
      <c r="DM30" s="33">
        <f t="shared" si="75"/>
        <v>99960000</v>
      </c>
      <c r="DN30" s="33">
        <f>DN24-DN27</f>
        <v>49980000</v>
      </c>
      <c r="DO30" s="33">
        <f t="shared" ref="DO30:DP30" si="76">DO24-DO27</f>
        <v>49980000</v>
      </c>
      <c r="DP30" s="33">
        <f t="shared" si="76"/>
        <v>49980000</v>
      </c>
      <c r="DQ30" s="33">
        <f>DQ24-DQ27</f>
        <v>0</v>
      </c>
    </row>
    <row r="31" spans="1:123" s="53" customFormat="1" x14ac:dyDescent="0.25">
      <c r="A31" s="22"/>
      <c r="B31" s="34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DN31" s="135"/>
      <c r="DQ31" s="151">
        <f>DQ26-SCBL_Loan!AO31</f>
        <v>0</v>
      </c>
    </row>
    <row r="32" spans="1:123" s="55" customFormat="1" ht="18.75" x14ac:dyDescent="0.3">
      <c r="A32" s="139" t="s">
        <v>84</v>
      </c>
      <c r="B32" s="49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146">
        <f>+SCBL_Loan!F26</f>
        <v>44056</v>
      </c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DR32" s="53"/>
      <c r="DS32" s="53"/>
    </row>
    <row r="33" spans="1:123" x14ac:dyDescent="0.25">
      <c r="A33" s="138" t="s">
        <v>57</v>
      </c>
      <c r="B33" s="146"/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6"/>
      <c r="AI33" s="146"/>
      <c r="AJ33" s="146"/>
      <c r="AK33" s="146"/>
      <c r="AL33" s="146"/>
      <c r="AM33" s="146"/>
      <c r="AN33" s="146"/>
      <c r="AO33" s="146"/>
      <c r="AP33" s="146"/>
      <c r="AQ33" s="146"/>
      <c r="AR33" s="146"/>
      <c r="AS33" s="146"/>
      <c r="AT33" s="146"/>
      <c r="AU33" s="146"/>
      <c r="AV33" s="146"/>
      <c r="AW33" s="146"/>
      <c r="AX33" s="146"/>
      <c r="AY33" s="146"/>
      <c r="AZ33" s="146"/>
      <c r="BA33" s="146"/>
      <c r="BB33" s="146"/>
      <c r="BC33" s="146"/>
      <c r="BD33" s="146"/>
      <c r="BE33" s="146"/>
      <c r="BF33" s="146"/>
      <c r="BG33" s="146"/>
      <c r="BH33" s="146"/>
      <c r="BI33" s="146"/>
      <c r="BJ33" s="146"/>
      <c r="BK33" s="146"/>
      <c r="BL33" s="146"/>
      <c r="BM33" s="146"/>
      <c r="BN33" s="146"/>
      <c r="BO33" s="146"/>
      <c r="BP33" s="146"/>
      <c r="BQ33" s="146"/>
      <c r="BR33" s="146"/>
      <c r="BS33" s="146"/>
      <c r="BT33" s="146"/>
      <c r="BU33" s="146"/>
      <c r="BV33" s="146"/>
      <c r="BW33" s="146"/>
      <c r="BX33" s="146"/>
      <c r="BY33" s="146"/>
      <c r="BZ33" s="146"/>
      <c r="CA33" s="146"/>
      <c r="CB33" s="146"/>
      <c r="CC33" s="146"/>
      <c r="CD33" s="146"/>
      <c r="CE33" s="146"/>
      <c r="CF33" s="146"/>
      <c r="CG33" s="146"/>
      <c r="CH33" s="146"/>
      <c r="CI33" s="146"/>
      <c r="CJ33" s="146"/>
      <c r="CK33" s="146"/>
      <c r="CL33" s="146"/>
      <c r="CM33" s="146"/>
      <c r="CN33" s="146"/>
      <c r="CO33" s="146"/>
      <c r="CP33" s="146"/>
      <c r="CQ33" s="146"/>
      <c r="CR33" s="146"/>
      <c r="CS33" s="146"/>
      <c r="CT33" s="146"/>
      <c r="CU33" s="146"/>
      <c r="CV33" s="146"/>
      <c r="CW33" s="146"/>
      <c r="CX33" s="146"/>
      <c r="CY33" s="146"/>
      <c r="CZ33" s="146"/>
      <c r="DA33" s="146"/>
      <c r="DB33" s="146"/>
      <c r="DC33" s="146"/>
      <c r="DD33" s="146"/>
      <c r="DE33" s="146"/>
      <c r="DF33" s="146"/>
      <c r="DG33" s="146"/>
      <c r="DH33" s="146"/>
      <c r="DI33" s="146"/>
      <c r="DJ33" s="146"/>
      <c r="DK33" s="146"/>
      <c r="DL33" s="146"/>
      <c r="DM33" s="146"/>
      <c r="DN33" s="146"/>
      <c r="DO33" s="146"/>
      <c r="DP33" s="146"/>
      <c r="DQ33" s="146"/>
      <c r="DR33" s="53"/>
      <c r="DS33" s="53"/>
    </row>
    <row r="34" spans="1:123" s="53" customFormat="1" ht="14.25" thickBot="1" x14ac:dyDescent="0.3">
      <c r="A34" s="108" t="s">
        <v>58</v>
      </c>
      <c r="B34" s="109">
        <f>B9</f>
        <v>9.5000000000000001E-2</v>
      </c>
      <c r="C34" s="109">
        <v>9.5000000000000001E-2</v>
      </c>
      <c r="D34" s="109">
        <v>9.5000000000000001E-2</v>
      </c>
      <c r="E34" s="109">
        <v>9.5000000000000001E-2</v>
      </c>
      <c r="F34" s="109">
        <v>9.5000000000000001E-2</v>
      </c>
      <c r="G34" s="109">
        <v>9.5000000000000001E-2</v>
      </c>
      <c r="H34" s="109">
        <v>9.5000000000000001E-2</v>
      </c>
      <c r="I34" s="109">
        <v>9.5000000000000001E-2</v>
      </c>
      <c r="J34" s="109">
        <v>9.5000000000000001E-2</v>
      </c>
      <c r="K34" s="109">
        <v>9.5000000000000001E-2</v>
      </c>
      <c r="L34" s="109">
        <v>9.5000000000000001E-2</v>
      </c>
      <c r="M34" s="109">
        <v>9.5000000000000001E-2</v>
      </c>
      <c r="N34" s="109">
        <v>9.5000000000000001E-2</v>
      </c>
      <c r="O34" s="109">
        <v>0.09</v>
      </c>
      <c r="P34" s="109">
        <v>0.09</v>
      </c>
      <c r="Q34" s="109">
        <v>0.09</v>
      </c>
      <c r="R34" s="109">
        <v>0.09</v>
      </c>
      <c r="S34" s="109">
        <v>0.09</v>
      </c>
      <c r="T34" s="109">
        <v>0.09</v>
      </c>
      <c r="U34" s="109">
        <v>0.09</v>
      </c>
      <c r="V34" s="109">
        <v>0.09</v>
      </c>
      <c r="W34" s="109">
        <v>0.09</v>
      </c>
      <c r="X34" s="109">
        <v>0.09</v>
      </c>
      <c r="Y34" s="109">
        <v>0.09</v>
      </c>
      <c r="Z34" s="109">
        <v>0.09</v>
      </c>
      <c r="AA34" s="109">
        <v>0.09</v>
      </c>
      <c r="AB34" s="109">
        <v>0.09</v>
      </c>
      <c r="AC34" s="109">
        <v>0.09</v>
      </c>
      <c r="AD34" s="109">
        <v>0.09</v>
      </c>
      <c r="AE34" s="109">
        <v>0.09</v>
      </c>
      <c r="AF34" s="109">
        <v>0.09</v>
      </c>
      <c r="AG34" s="109">
        <v>0.09</v>
      </c>
      <c r="AH34" s="109">
        <v>0.09</v>
      </c>
      <c r="AI34" s="109">
        <v>0.09</v>
      </c>
      <c r="AJ34" s="109">
        <v>0.09</v>
      </c>
      <c r="AK34" s="109">
        <v>0.09</v>
      </c>
      <c r="AL34" s="109">
        <v>0.09</v>
      </c>
      <c r="AM34" s="109">
        <v>0.09</v>
      </c>
      <c r="AN34" s="109">
        <v>0.09</v>
      </c>
      <c r="AO34" s="109">
        <v>0.09</v>
      </c>
      <c r="AP34" s="109">
        <v>0.09</v>
      </c>
      <c r="AQ34" s="109">
        <v>0.09</v>
      </c>
      <c r="AR34" s="109">
        <v>0.09</v>
      </c>
      <c r="AS34" s="109">
        <v>0.09</v>
      </c>
      <c r="AT34" s="109">
        <v>0.09</v>
      </c>
      <c r="AU34" s="109">
        <v>0.09</v>
      </c>
      <c r="AV34" s="109">
        <v>0.09</v>
      </c>
      <c r="AW34" s="109">
        <v>0.09</v>
      </c>
      <c r="AX34" s="109">
        <v>0.09</v>
      </c>
      <c r="AY34" s="109">
        <v>0.09</v>
      </c>
      <c r="AZ34" s="109">
        <v>0.09</v>
      </c>
      <c r="BA34" s="109">
        <v>0.09</v>
      </c>
      <c r="BB34" s="109">
        <v>0.09</v>
      </c>
      <c r="BC34" s="109">
        <v>0.09</v>
      </c>
      <c r="BD34" s="109">
        <v>0.09</v>
      </c>
      <c r="BE34" s="109">
        <v>0.09</v>
      </c>
      <c r="BF34" s="109">
        <v>0.09</v>
      </c>
      <c r="BG34" s="109">
        <v>0.09</v>
      </c>
      <c r="BH34" s="109">
        <v>0.09</v>
      </c>
      <c r="BI34" s="109">
        <v>0.09</v>
      </c>
      <c r="BJ34" s="109">
        <v>0.09</v>
      </c>
      <c r="BK34" s="109">
        <v>0.09</v>
      </c>
      <c r="BL34" s="109">
        <v>0.09</v>
      </c>
      <c r="BM34" s="109">
        <v>0.09</v>
      </c>
      <c r="BN34" s="109">
        <v>0.09</v>
      </c>
      <c r="BO34" s="109">
        <v>0.09</v>
      </c>
      <c r="BP34" s="109">
        <v>0.09</v>
      </c>
      <c r="BQ34" s="109">
        <v>0.09</v>
      </c>
      <c r="BR34" s="109">
        <v>0.09</v>
      </c>
      <c r="BS34" s="109">
        <v>0.09</v>
      </c>
      <c r="BT34" s="109">
        <v>0.09</v>
      </c>
      <c r="BU34" s="109">
        <v>0.09</v>
      </c>
      <c r="BV34" s="109">
        <v>0.09</v>
      </c>
      <c r="BW34" s="109">
        <v>0.09</v>
      </c>
      <c r="BX34" s="109">
        <v>0.09</v>
      </c>
      <c r="BY34" s="109">
        <v>0.09</v>
      </c>
      <c r="BZ34" s="109">
        <v>0.09</v>
      </c>
      <c r="CA34" s="109">
        <v>0.09</v>
      </c>
      <c r="CB34" s="109">
        <v>0.09</v>
      </c>
      <c r="CC34" s="109">
        <v>0.09</v>
      </c>
      <c r="CD34" s="109">
        <v>0.09</v>
      </c>
      <c r="CE34" s="109">
        <v>0.09</v>
      </c>
      <c r="CF34" s="109">
        <v>0.09</v>
      </c>
      <c r="CG34" s="109">
        <v>0.09</v>
      </c>
      <c r="CH34" s="109">
        <v>0.09</v>
      </c>
      <c r="CI34" s="109">
        <v>0.09</v>
      </c>
      <c r="CJ34" s="109">
        <v>0.09</v>
      </c>
      <c r="CK34" s="109">
        <v>0.09</v>
      </c>
      <c r="CL34" s="109">
        <v>0.09</v>
      </c>
      <c r="CM34" s="109">
        <v>0.09</v>
      </c>
      <c r="CN34" s="109">
        <v>0.09</v>
      </c>
      <c r="CO34" s="109">
        <v>0.09</v>
      </c>
      <c r="CP34" s="109">
        <v>0.09</v>
      </c>
      <c r="CQ34" s="109">
        <v>0.09</v>
      </c>
      <c r="CR34" s="109">
        <v>0.09</v>
      </c>
      <c r="CS34" s="109">
        <v>0.09</v>
      </c>
      <c r="CT34" s="109">
        <v>0.09</v>
      </c>
      <c r="CU34" s="109">
        <v>0.09</v>
      </c>
      <c r="CV34" s="109">
        <v>0.09</v>
      </c>
      <c r="CW34" s="109">
        <v>0.09</v>
      </c>
      <c r="CX34" s="109">
        <v>0.09</v>
      </c>
      <c r="CY34" s="109">
        <v>0.09</v>
      </c>
      <c r="CZ34" s="109">
        <v>0.09</v>
      </c>
      <c r="DA34" s="109">
        <v>0.09</v>
      </c>
      <c r="DB34" s="109">
        <v>0.09</v>
      </c>
      <c r="DC34" s="109">
        <v>0.09</v>
      </c>
      <c r="DD34" s="109">
        <v>0.09</v>
      </c>
      <c r="DE34" s="109">
        <v>0.09</v>
      </c>
      <c r="DF34" s="109">
        <v>0.09</v>
      </c>
      <c r="DG34" s="109">
        <v>0.09</v>
      </c>
      <c r="DH34" s="109">
        <v>0.09</v>
      </c>
      <c r="DI34" s="109">
        <v>0.09</v>
      </c>
      <c r="DJ34" s="109">
        <v>0.09</v>
      </c>
      <c r="DK34" s="109">
        <v>0.09</v>
      </c>
      <c r="DL34" s="109">
        <v>0.09</v>
      </c>
      <c r="DM34" s="109">
        <v>0.09</v>
      </c>
      <c r="DN34" s="109">
        <v>0.09</v>
      </c>
      <c r="DO34" s="109">
        <v>0.09</v>
      </c>
      <c r="DP34" s="109">
        <v>0.09</v>
      </c>
      <c r="DQ34" s="109">
        <v>0.09</v>
      </c>
    </row>
    <row r="35" spans="1:123" s="53" customFormat="1" ht="15" x14ac:dyDescent="0.3">
      <c r="A35" s="27" t="s">
        <v>14</v>
      </c>
      <c r="B35" s="28">
        <v>43678</v>
      </c>
      <c r="C35" s="28">
        <f>EDATE(B35,1)</f>
        <v>43709</v>
      </c>
      <c r="D35" s="28">
        <f t="shared" ref="D35" si="77">EDATE(C35,1)</f>
        <v>43739</v>
      </c>
      <c r="E35" s="28">
        <f t="shared" ref="E35" si="78">EDATE(D35,1)</f>
        <v>43770</v>
      </c>
      <c r="F35" s="28">
        <f t="shared" ref="F35" si="79">EDATE(E35,1)</f>
        <v>43800</v>
      </c>
      <c r="G35" s="28">
        <f t="shared" ref="G35" si="80">EDATE(F35,1)</f>
        <v>43831</v>
      </c>
      <c r="H35" s="28">
        <f t="shared" ref="H35" si="81">EDATE(G35,1)</f>
        <v>43862</v>
      </c>
      <c r="I35" s="28">
        <f t="shared" ref="I35" si="82">EDATE(H35,1)</f>
        <v>43891</v>
      </c>
      <c r="J35" s="28">
        <f t="shared" ref="J35" si="83">EDATE(I35,1)</f>
        <v>43922</v>
      </c>
      <c r="K35" s="28">
        <f t="shared" ref="K35" si="84">EDATE(J35,1)</f>
        <v>43952</v>
      </c>
      <c r="L35" s="28">
        <f t="shared" ref="L35" si="85">EDATE(K35,1)</f>
        <v>43983</v>
      </c>
      <c r="M35" s="28">
        <f t="shared" ref="M35" si="86">EDATE(L35,1)</f>
        <v>44013</v>
      </c>
      <c r="N35" s="28">
        <f t="shared" ref="N35" si="87">EDATE(M35,1)</f>
        <v>44044</v>
      </c>
      <c r="O35" s="28">
        <f t="shared" ref="O35" si="88">EDATE(N35,1)</f>
        <v>44075</v>
      </c>
      <c r="P35" s="28">
        <f t="shared" ref="P35" si="89">EDATE(O35,1)</f>
        <v>44105</v>
      </c>
      <c r="Q35" s="28">
        <f t="shared" ref="Q35" si="90">EDATE(P35,1)</f>
        <v>44136</v>
      </c>
      <c r="R35" s="28">
        <f t="shared" ref="R35" si="91">EDATE(Q35,1)</f>
        <v>44166</v>
      </c>
      <c r="S35" s="28">
        <f t="shared" ref="S35" si="92">EDATE(R35,1)</f>
        <v>44197</v>
      </c>
      <c r="T35" s="28">
        <f t="shared" ref="T35" si="93">EDATE(S35,1)</f>
        <v>44228</v>
      </c>
      <c r="U35" s="28">
        <f t="shared" ref="U35" si="94">EDATE(T35,1)</f>
        <v>44256</v>
      </c>
      <c r="V35" s="28">
        <f t="shared" ref="V35" si="95">EDATE(U35,1)</f>
        <v>44287</v>
      </c>
      <c r="W35" s="28">
        <f t="shared" ref="W35" si="96">EDATE(V35,1)</f>
        <v>44317</v>
      </c>
      <c r="X35" s="28">
        <f t="shared" ref="X35" si="97">EDATE(W35,1)</f>
        <v>44348</v>
      </c>
      <c r="Y35" s="28">
        <f t="shared" ref="Y35" si="98">EDATE(X35,1)</f>
        <v>44378</v>
      </c>
      <c r="Z35" s="28">
        <f t="shared" ref="Z35" si="99">EDATE(Y35,1)</f>
        <v>44409</v>
      </c>
      <c r="AA35" s="28">
        <f t="shared" ref="AA35" si="100">EDATE(Z35,1)</f>
        <v>44440</v>
      </c>
      <c r="AB35" s="28">
        <f t="shared" ref="AB35" si="101">EDATE(AA35,1)</f>
        <v>44470</v>
      </c>
      <c r="AC35" s="28">
        <f t="shared" ref="AC35" si="102">EDATE(AB35,1)</f>
        <v>44501</v>
      </c>
      <c r="AD35" s="28">
        <f t="shared" ref="AD35" si="103">EDATE(AC35,1)</f>
        <v>44531</v>
      </c>
      <c r="AE35" s="28">
        <f t="shared" ref="AE35" si="104">EDATE(AD35,1)</f>
        <v>44562</v>
      </c>
      <c r="AF35" s="28">
        <f t="shared" ref="AF35" si="105">EDATE(AE35,1)</f>
        <v>44593</v>
      </c>
      <c r="AG35" s="28">
        <f t="shared" ref="AG35" si="106">EDATE(AF35,1)</f>
        <v>44621</v>
      </c>
      <c r="AH35" s="28">
        <f t="shared" ref="AH35" si="107">EDATE(AG35,1)</f>
        <v>44652</v>
      </c>
      <c r="AI35" s="28">
        <f t="shared" ref="AI35" si="108">EDATE(AH35,1)</f>
        <v>44682</v>
      </c>
      <c r="AJ35" s="28">
        <f t="shared" ref="AJ35" si="109">EDATE(AI35,1)</f>
        <v>44713</v>
      </c>
      <c r="AK35" s="28">
        <f t="shared" ref="AK35" si="110">EDATE(AJ35,1)</f>
        <v>44743</v>
      </c>
      <c r="AL35" s="28">
        <f t="shared" ref="AL35" si="111">EDATE(AK35,1)</f>
        <v>44774</v>
      </c>
      <c r="AM35" s="28">
        <f t="shared" ref="AM35" si="112">EDATE(AL35,1)</f>
        <v>44805</v>
      </c>
      <c r="AN35" s="28">
        <f t="shared" ref="AN35" si="113">EDATE(AM35,1)</f>
        <v>44835</v>
      </c>
      <c r="AO35" s="28">
        <f t="shared" ref="AO35" si="114">EDATE(AN35,1)</f>
        <v>44866</v>
      </c>
      <c r="AP35" s="28">
        <f t="shared" ref="AP35" si="115">EDATE(AO35,1)</f>
        <v>44896</v>
      </c>
      <c r="AQ35" s="28">
        <f t="shared" ref="AQ35" si="116">EDATE(AP35,1)</f>
        <v>44927</v>
      </c>
      <c r="AR35" s="28">
        <f t="shared" ref="AR35" si="117">EDATE(AQ35,1)</f>
        <v>44958</v>
      </c>
      <c r="AS35" s="28">
        <f t="shared" ref="AS35" si="118">EDATE(AR35,1)</f>
        <v>44986</v>
      </c>
      <c r="AT35" s="28">
        <f t="shared" ref="AT35" si="119">EDATE(AS35,1)</f>
        <v>45017</v>
      </c>
      <c r="AU35" s="28">
        <f t="shared" ref="AU35" si="120">EDATE(AT35,1)</f>
        <v>45047</v>
      </c>
      <c r="AV35" s="28">
        <f t="shared" ref="AV35" si="121">EDATE(AU35,1)</f>
        <v>45078</v>
      </c>
      <c r="AW35" s="28">
        <f t="shared" ref="AW35" si="122">EDATE(AV35,1)</f>
        <v>45108</v>
      </c>
      <c r="AX35" s="28">
        <f t="shared" ref="AX35" si="123">EDATE(AW35,1)</f>
        <v>45139</v>
      </c>
      <c r="AY35" s="28">
        <f t="shared" ref="AY35" si="124">EDATE(AX35,1)</f>
        <v>45170</v>
      </c>
      <c r="AZ35" s="28">
        <f t="shared" ref="AZ35" si="125">EDATE(AY35,1)</f>
        <v>45200</v>
      </c>
      <c r="BA35" s="28">
        <f t="shared" ref="BA35" si="126">EDATE(AZ35,1)</f>
        <v>45231</v>
      </c>
      <c r="BB35" s="28">
        <f t="shared" ref="BB35" si="127">EDATE(BA35,1)</f>
        <v>45261</v>
      </c>
      <c r="BC35" s="28">
        <f t="shared" ref="BC35" si="128">EDATE(BB35,1)</f>
        <v>45292</v>
      </c>
      <c r="BD35" s="28">
        <f t="shared" ref="BD35" si="129">EDATE(BC35,1)</f>
        <v>45323</v>
      </c>
      <c r="BE35" s="28">
        <f t="shared" ref="BE35" si="130">EDATE(BD35,1)</f>
        <v>45352</v>
      </c>
      <c r="BF35" s="28">
        <f t="shared" ref="BF35" si="131">EDATE(BE35,1)</f>
        <v>45383</v>
      </c>
      <c r="BG35" s="28">
        <f t="shared" ref="BG35" si="132">EDATE(BF35,1)</f>
        <v>45413</v>
      </c>
      <c r="BH35" s="28">
        <f t="shared" ref="BH35" si="133">EDATE(BG35,1)</f>
        <v>45444</v>
      </c>
      <c r="BI35" s="28">
        <f t="shared" ref="BI35" si="134">EDATE(BH35,1)</f>
        <v>45474</v>
      </c>
      <c r="BJ35" s="28">
        <f t="shared" ref="BJ35" si="135">EDATE(BI35,1)</f>
        <v>45505</v>
      </c>
      <c r="BK35" s="28">
        <f t="shared" ref="BK35" si="136">EDATE(BJ35,1)</f>
        <v>45536</v>
      </c>
      <c r="BL35" s="28">
        <f t="shared" ref="BL35" si="137">EDATE(BK35,1)</f>
        <v>45566</v>
      </c>
      <c r="BM35" s="28">
        <f t="shared" ref="BM35" si="138">EDATE(BL35,1)</f>
        <v>45597</v>
      </c>
      <c r="BN35" s="28">
        <f t="shared" ref="BN35" si="139">EDATE(BM35,1)</f>
        <v>45627</v>
      </c>
      <c r="BO35" s="28">
        <f t="shared" ref="BO35" si="140">EDATE(BN35,1)</f>
        <v>45658</v>
      </c>
      <c r="BP35" s="28">
        <f t="shared" ref="BP35" si="141">EDATE(BO35,1)</f>
        <v>45689</v>
      </c>
      <c r="BQ35" s="28">
        <f t="shared" ref="BQ35" si="142">EDATE(BP35,1)</f>
        <v>45717</v>
      </c>
      <c r="BR35" s="28">
        <f t="shared" ref="BR35" si="143">EDATE(BQ35,1)</f>
        <v>45748</v>
      </c>
      <c r="BS35" s="28">
        <f t="shared" ref="BS35" si="144">EDATE(BR35,1)</f>
        <v>45778</v>
      </c>
      <c r="BT35" s="28">
        <f t="shared" ref="BT35" si="145">EDATE(BS35,1)</f>
        <v>45809</v>
      </c>
      <c r="BU35" s="28">
        <f t="shared" ref="BU35" si="146">EDATE(BT35,1)</f>
        <v>45839</v>
      </c>
      <c r="BV35" s="28">
        <f t="shared" ref="BV35" si="147">EDATE(BU35,1)</f>
        <v>45870</v>
      </c>
      <c r="BW35" s="28">
        <f t="shared" ref="BW35" si="148">EDATE(BV35,1)</f>
        <v>45901</v>
      </c>
      <c r="BX35" s="28">
        <f t="shared" ref="BX35" si="149">EDATE(BW35,1)</f>
        <v>45931</v>
      </c>
      <c r="BY35" s="28">
        <f t="shared" ref="BY35" si="150">EDATE(BX35,1)</f>
        <v>45962</v>
      </c>
      <c r="BZ35" s="28">
        <f t="shared" ref="BZ35" si="151">EDATE(BY35,1)</f>
        <v>45992</v>
      </c>
      <c r="CA35" s="28">
        <f t="shared" ref="CA35" si="152">EDATE(BZ35,1)</f>
        <v>46023</v>
      </c>
      <c r="CB35" s="28">
        <f t="shared" ref="CB35" si="153">EDATE(CA35,1)</f>
        <v>46054</v>
      </c>
      <c r="CC35" s="28">
        <f t="shared" ref="CC35" si="154">EDATE(CB35,1)</f>
        <v>46082</v>
      </c>
      <c r="CD35" s="28">
        <f t="shared" ref="CD35" si="155">EDATE(CC35,1)</f>
        <v>46113</v>
      </c>
      <c r="CE35" s="28">
        <f t="shared" ref="CE35" si="156">EDATE(CD35,1)</f>
        <v>46143</v>
      </c>
      <c r="CF35" s="28">
        <f t="shared" ref="CF35" si="157">EDATE(CE35,1)</f>
        <v>46174</v>
      </c>
      <c r="CG35" s="28">
        <f t="shared" ref="CG35" si="158">EDATE(CF35,1)</f>
        <v>46204</v>
      </c>
      <c r="CH35" s="28">
        <f t="shared" ref="CH35" si="159">EDATE(CG35,1)</f>
        <v>46235</v>
      </c>
      <c r="CI35" s="28">
        <f t="shared" ref="CI35" si="160">EDATE(CH35,1)</f>
        <v>46266</v>
      </c>
      <c r="CJ35" s="28">
        <f t="shared" ref="CJ35" si="161">EDATE(CI35,1)</f>
        <v>46296</v>
      </c>
      <c r="CK35" s="28">
        <f t="shared" ref="CK35" si="162">EDATE(CJ35,1)</f>
        <v>46327</v>
      </c>
      <c r="CL35" s="28">
        <f t="shared" ref="CL35" si="163">EDATE(CK35,1)</f>
        <v>46357</v>
      </c>
      <c r="CM35" s="28">
        <f t="shared" ref="CM35" si="164">EDATE(CL35,1)</f>
        <v>46388</v>
      </c>
      <c r="CN35" s="28">
        <f t="shared" ref="CN35" si="165">EDATE(CM35,1)</f>
        <v>46419</v>
      </c>
      <c r="CO35" s="28">
        <f t="shared" ref="CO35" si="166">EDATE(CN35,1)</f>
        <v>46447</v>
      </c>
      <c r="CP35" s="28">
        <f t="shared" ref="CP35" si="167">EDATE(CO35,1)</f>
        <v>46478</v>
      </c>
      <c r="CQ35" s="28">
        <f t="shared" ref="CQ35" si="168">EDATE(CP35,1)</f>
        <v>46508</v>
      </c>
      <c r="CR35" s="28">
        <f t="shared" ref="CR35" si="169">EDATE(CQ35,1)</f>
        <v>46539</v>
      </c>
      <c r="CS35" s="28">
        <f t="shared" ref="CS35" si="170">EDATE(CR35,1)</f>
        <v>46569</v>
      </c>
      <c r="CT35" s="28">
        <f t="shared" ref="CT35" si="171">EDATE(CS35,1)</f>
        <v>46600</v>
      </c>
      <c r="CU35" s="28">
        <f t="shared" ref="CU35" si="172">EDATE(CT35,1)</f>
        <v>46631</v>
      </c>
      <c r="CV35" s="28">
        <f t="shared" ref="CV35" si="173">EDATE(CU35,1)</f>
        <v>46661</v>
      </c>
      <c r="CW35" s="28">
        <f t="shared" ref="CW35" si="174">EDATE(CV35,1)</f>
        <v>46692</v>
      </c>
      <c r="CX35" s="28">
        <f t="shared" ref="CX35" si="175">EDATE(CW35,1)</f>
        <v>46722</v>
      </c>
      <c r="CY35" s="28">
        <f t="shared" ref="CY35" si="176">EDATE(CX35,1)</f>
        <v>46753</v>
      </c>
      <c r="CZ35" s="28">
        <f t="shared" ref="CZ35" si="177">EDATE(CY35,1)</f>
        <v>46784</v>
      </c>
      <c r="DA35" s="28">
        <f t="shared" ref="DA35" si="178">EDATE(CZ35,1)</f>
        <v>46813</v>
      </c>
      <c r="DB35" s="28">
        <f t="shared" ref="DB35" si="179">EDATE(DA35,1)</f>
        <v>46844</v>
      </c>
      <c r="DC35" s="28">
        <f t="shared" ref="DC35" si="180">EDATE(DB35,1)</f>
        <v>46874</v>
      </c>
      <c r="DD35" s="28">
        <f t="shared" ref="DD35" si="181">EDATE(DC35,1)</f>
        <v>46905</v>
      </c>
      <c r="DE35" s="28">
        <f t="shared" ref="DE35" si="182">EDATE(DD35,1)</f>
        <v>46935</v>
      </c>
      <c r="DF35" s="28">
        <f t="shared" ref="DF35" si="183">EDATE(DE35,1)</f>
        <v>46966</v>
      </c>
      <c r="DG35" s="28">
        <f t="shared" ref="DG35" si="184">EDATE(DF35,1)</f>
        <v>46997</v>
      </c>
      <c r="DH35" s="28">
        <f t="shared" ref="DH35" si="185">EDATE(DG35,1)</f>
        <v>47027</v>
      </c>
      <c r="DI35" s="28">
        <f t="shared" ref="DI35" si="186">EDATE(DH35,1)</f>
        <v>47058</v>
      </c>
      <c r="DJ35" s="28">
        <f t="shared" ref="DJ35" si="187">EDATE(DI35,1)</f>
        <v>47088</v>
      </c>
      <c r="DK35" s="28">
        <f t="shared" ref="DK35" si="188">EDATE(DJ35,1)</f>
        <v>47119</v>
      </c>
      <c r="DL35" s="28">
        <f t="shared" ref="DL35" si="189">EDATE(DK35,1)</f>
        <v>47150</v>
      </c>
      <c r="DM35" s="28">
        <f t="shared" ref="DM35" si="190">EDATE(DL35,1)</f>
        <v>47178</v>
      </c>
      <c r="DN35" s="28">
        <f t="shared" ref="DN35" si="191">EDATE(DM35,1)</f>
        <v>47209</v>
      </c>
      <c r="DO35" s="28">
        <f t="shared" ref="DO35" si="192">EDATE(DN35,1)</f>
        <v>47239</v>
      </c>
      <c r="DP35" s="28">
        <f t="shared" ref="DP35" si="193">EDATE(DO35,1)</f>
        <v>47270</v>
      </c>
      <c r="DQ35" s="28">
        <f t="shared" ref="DQ35" si="194">EDATE(DP35,1)</f>
        <v>47300</v>
      </c>
    </row>
    <row r="36" spans="1:123" s="53" customFormat="1" x14ac:dyDescent="0.25">
      <c r="A36" s="22" t="s">
        <v>5</v>
      </c>
      <c r="B36" s="29">
        <f>C16</f>
        <v>580000000</v>
      </c>
      <c r="C36" s="25">
        <f>B42</f>
        <v>580000000</v>
      </c>
      <c r="D36" s="25">
        <f>C42</f>
        <v>580000000</v>
      </c>
      <c r="E36" s="25">
        <f t="shared" ref="E36" si="195">D42</f>
        <v>580000000</v>
      </c>
      <c r="F36" s="25">
        <f>E42</f>
        <v>580000000</v>
      </c>
      <c r="G36" s="25">
        <f t="shared" ref="G36" si="196">F42</f>
        <v>580000000</v>
      </c>
      <c r="H36" s="25">
        <f t="shared" ref="H36" si="197">G42</f>
        <v>580000000</v>
      </c>
      <c r="I36" s="25">
        <f t="shared" ref="I36" si="198">H42</f>
        <v>580000000</v>
      </c>
      <c r="J36" s="25">
        <f t="shared" ref="J36" si="199">I42</f>
        <v>580000000</v>
      </c>
      <c r="K36" s="25">
        <f>J42</f>
        <v>580000000</v>
      </c>
      <c r="L36" s="25">
        <f t="shared" ref="L36" si="200">K42</f>
        <v>580000000</v>
      </c>
      <c r="M36" s="25">
        <f t="shared" ref="M36" si="201">L42</f>
        <v>580000000</v>
      </c>
      <c r="N36" s="25">
        <f t="shared" ref="N36" si="202">M42</f>
        <v>580000000</v>
      </c>
      <c r="O36" s="25">
        <f t="shared" ref="O36" si="203">N42</f>
        <v>580000000</v>
      </c>
      <c r="P36" s="25">
        <f t="shared" ref="P36" si="204">O42</f>
        <v>580000000</v>
      </c>
      <c r="Q36" s="25">
        <f t="shared" ref="Q36" si="205">P42</f>
        <v>580000000</v>
      </c>
      <c r="R36" s="25">
        <f t="shared" ref="R36" si="206">Q42</f>
        <v>580000000</v>
      </c>
      <c r="S36" s="25">
        <f t="shared" ref="S36" si="207">R42</f>
        <v>580000000</v>
      </c>
      <c r="T36" s="25">
        <f t="shared" ref="T36" si="208">S42</f>
        <v>580000000</v>
      </c>
      <c r="U36" s="25">
        <f t="shared" ref="U36" si="209">T42</f>
        <v>580000000</v>
      </c>
      <c r="V36" s="25">
        <f t="shared" ref="V36" si="210">U42</f>
        <v>580000000</v>
      </c>
      <c r="W36" s="25">
        <f t="shared" ref="W36" si="211">V42</f>
        <v>562832000</v>
      </c>
      <c r="X36" s="25">
        <f t="shared" ref="X36" si="212">W42</f>
        <v>562832000</v>
      </c>
      <c r="Y36" s="25">
        <f t="shared" ref="Y36" si="213">X42</f>
        <v>562832000</v>
      </c>
      <c r="Z36" s="25">
        <f t="shared" ref="Z36" si="214">Y42</f>
        <v>545664000</v>
      </c>
      <c r="AA36" s="25">
        <f t="shared" ref="AA36" si="215">Z42</f>
        <v>545664000</v>
      </c>
      <c r="AB36" s="25">
        <f t="shared" ref="AB36" si="216">AA42</f>
        <v>545664000</v>
      </c>
      <c r="AC36" s="25">
        <f t="shared" ref="AC36" si="217">AB42</f>
        <v>528612000</v>
      </c>
      <c r="AD36" s="25">
        <f t="shared" ref="AD36" si="218">AC42</f>
        <v>528612000</v>
      </c>
      <c r="AE36" s="25">
        <f t="shared" ref="AE36" si="219">AD42</f>
        <v>528612000</v>
      </c>
      <c r="AF36" s="25">
        <f t="shared" ref="AF36" si="220">AE42</f>
        <v>511560000</v>
      </c>
      <c r="AG36" s="25">
        <f t="shared" ref="AG36" si="221">AF42</f>
        <v>511560000</v>
      </c>
      <c r="AH36" s="25">
        <f t="shared" ref="AH36" si="222">AG42</f>
        <v>511560000</v>
      </c>
      <c r="AI36" s="25">
        <f t="shared" ref="AI36" si="223">AH42</f>
        <v>494508000</v>
      </c>
      <c r="AJ36" s="25">
        <f t="shared" ref="AJ36" si="224">AI42</f>
        <v>494508000</v>
      </c>
      <c r="AK36" s="25">
        <f t="shared" ref="AK36" si="225">AJ42</f>
        <v>494508000</v>
      </c>
      <c r="AL36" s="25">
        <f t="shared" ref="AL36" si="226">AK42</f>
        <v>477456000</v>
      </c>
      <c r="AM36" s="25">
        <f>AL42</f>
        <v>477456000</v>
      </c>
      <c r="AN36" s="25">
        <f t="shared" ref="AN36" si="227">AM42</f>
        <v>477456000</v>
      </c>
      <c r="AO36" s="25">
        <f t="shared" ref="AO36" si="228">AN42</f>
        <v>460404000</v>
      </c>
      <c r="AP36" s="25">
        <f t="shared" ref="AP36" si="229">AO42</f>
        <v>460404000</v>
      </c>
      <c r="AQ36" s="25">
        <f>AP42</f>
        <v>460404000</v>
      </c>
      <c r="AR36" s="25">
        <f t="shared" ref="AR36" si="230">AQ42</f>
        <v>443352000</v>
      </c>
      <c r="AS36" s="25">
        <f t="shared" ref="AS36" si="231">AR42</f>
        <v>443352000</v>
      </c>
      <c r="AT36" s="25">
        <f t="shared" ref="AT36" si="232">AS42</f>
        <v>443352000</v>
      </c>
      <c r="AU36" s="25">
        <f t="shared" ref="AU36" si="233">AT42</f>
        <v>426300000</v>
      </c>
      <c r="AV36" s="25">
        <f t="shared" ref="AV36" si="234">AU42</f>
        <v>426300000</v>
      </c>
      <c r="AW36" s="25">
        <f t="shared" ref="AW36" si="235">AV42</f>
        <v>426300000</v>
      </c>
      <c r="AX36" s="25">
        <f t="shared" ref="AX36" si="236">AW42</f>
        <v>409248000</v>
      </c>
      <c r="AY36" s="25">
        <f t="shared" ref="AY36" si="237">AX42</f>
        <v>409248000</v>
      </c>
      <c r="AZ36" s="25">
        <f t="shared" ref="AZ36" si="238">AY42</f>
        <v>409248000</v>
      </c>
      <c r="BA36" s="25">
        <f t="shared" ref="BA36" si="239">AZ42</f>
        <v>392196000</v>
      </c>
      <c r="BB36" s="25">
        <f t="shared" ref="BB36" si="240">BA42</f>
        <v>392196000</v>
      </c>
      <c r="BC36" s="25">
        <f t="shared" ref="BC36" si="241">BB42</f>
        <v>392196000</v>
      </c>
      <c r="BD36" s="25">
        <f t="shared" ref="BD36" si="242">BC42</f>
        <v>375144000</v>
      </c>
      <c r="BE36" s="25">
        <f t="shared" ref="BE36" si="243">BD42</f>
        <v>375144000</v>
      </c>
      <c r="BF36" s="25">
        <f t="shared" ref="BF36" si="244">BE42</f>
        <v>375144000</v>
      </c>
      <c r="BG36" s="25">
        <f t="shared" ref="BG36" si="245">BF42</f>
        <v>358092000</v>
      </c>
      <c r="BH36" s="25">
        <f t="shared" ref="BH36" si="246">BG42</f>
        <v>358092000</v>
      </c>
      <c r="BI36" s="25">
        <f t="shared" ref="BI36" si="247">BH42</f>
        <v>358092000</v>
      </c>
      <c r="BJ36" s="25">
        <f t="shared" ref="BJ36" si="248">BI42</f>
        <v>341040000</v>
      </c>
      <c r="BK36" s="25">
        <f t="shared" ref="BK36" si="249">BJ42</f>
        <v>341040000</v>
      </c>
      <c r="BL36" s="25">
        <f t="shared" ref="BL36" si="250">BK42</f>
        <v>341040000</v>
      </c>
      <c r="BM36" s="25">
        <f t="shared" ref="BM36" si="251">BL42</f>
        <v>323988000</v>
      </c>
      <c r="BN36" s="25">
        <f t="shared" ref="BN36" si="252">BM42</f>
        <v>323988000</v>
      </c>
      <c r="BO36" s="25">
        <f t="shared" ref="BO36" si="253">BN42</f>
        <v>323988000</v>
      </c>
      <c r="BP36" s="25">
        <f t="shared" ref="BP36" si="254">BO42</f>
        <v>306936000</v>
      </c>
      <c r="BQ36" s="25">
        <f t="shared" ref="BQ36" si="255">BP42</f>
        <v>306936000</v>
      </c>
      <c r="BR36" s="25">
        <f t="shared" ref="BR36" si="256">BQ42</f>
        <v>306936000</v>
      </c>
      <c r="BS36" s="25">
        <f t="shared" ref="BS36" si="257">BR42</f>
        <v>289884000</v>
      </c>
      <c r="BT36" s="25">
        <f t="shared" ref="BT36" si="258">BS42</f>
        <v>289884000</v>
      </c>
      <c r="BU36" s="25">
        <f t="shared" ref="BU36" si="259">BT42</f>
        <v>289884000</v>
      </c>
      <c r="BV36" s="25">
        <f t="shared" ref="BV36" si="260">BU42</f>
        <v>272832000</v>
      </c>
      <c r="BW36" s="25">
        <f t="shared" ref="BW36" si="261">BV42</f>
        <v>272832000</v>
      </c>
      <c r="BX36" s="25">
        <f t="shared" ref="BX36" si="262">BW42</f>
        <v>272832000</v>
      </c>
      <c r="BY36" s="25">
        <f t="shared" ref="BY36" si="263">BX42</f>
        <v>255780000</v>
      </c>
      <c r="BZ36" s="25">
        <f t="shared" ref="BZ36" si="264">BY42</f>
        <v>255780000</v>
      </c>
      <c r="CA36" s="25">
        <f t="shared" ref="CA36" si="265">BZ42</f>
        <v>255780000</v>
      </c>
      <c r="CB36" s="25">
        <f t="shared" ref="CB36" si="266">CA42</f>
        <v>238728000</v>
      </c>
      <c r="CC36" s="25">
        <f t="shared" ref="CC36" si="267">CB42</f>
        <v>238728000</v>
      </c>
      <c r="CD36" s="25">
        <f t="shared" ref="CD36" si="268">CC42</f>
        <v>238728000</v>
      </c>
      <c r="CE36" s="25">
        <f t="shared" ref="CE36" si="269">CD42</f>
        <v>221676000</v>
      </c>
      <c r="CF36" s="25">
        <f t="shared" ref="CF36" si="270">CE42</f>
        <v>221676000</v>
      </c>
      <c r="CG36" s="25">
        <f t="shared" ref="CG36" si="271">CF42</f>
        <v>221676000</v>
      </c>
      <c r="CH36" s="25">
        <f t="shared" ref="CH36" si="272">CG42</f>
        <v>204624000</v>
      </c>
      <c r="CI36" s="25">
        <f t="shared" ref="CI36" si="273">CH42</f>
        <v>204624000</v>
      </c>
      <c r="CJ36" s="25">
        <f t="shared" ref="CJ36" si="274">CI42</f>
        <v>204624000</v>
      </c>
      <c r="CK36" s="25">
        <f t="shared" ref="CK36" si="275">CJ42</f>
        <v>187572000</v>
      </c>
      <c r="CL36" s="25">
        <f t="shared" ref="CL36" si="276">CK42</f>
        <v>187572000</v>
      </c>
      <c r="CM36" s="25">
        <f t="shared" ref="CM36" si="277">CL42</f>
        <v>187572000</v>
      </c>
      <c r="CN36" s="25">
        <f t="shared" ref="CN36" si="278">CM42</f>
        <v>170520000</v>
      </c>
      <c r="CO36" s="25">
        <f t="shared" ref="CO36" si="279">CN42</f>
        <v>170520000</v>
      </c>
      <c r="CP36" s="25">
        <f t="shared" ref="CP36" si="280">CO42</f>
        <v>170520000</v>
      </c>
      <c r="CQ36" s="25">
        <f t="shared" ref="CQ36" si="281">CP42</f>
        <v>153468000</v>
      </c>
      <c r="CR36" s="25">
        <f t="shared" ref="CR36" si="282">CQ42</f>
        <v>153468000</v>
      </c>
      <c r="CS36" s="25">
        <f t="shared" ref="CS36" si="283">CR42</f>
        <v>153468000</v>
      </c>
      <c r="CT36" s="25">
        <f t="shared" ref="CT36" si="284">CS42</f>
        <v>136416000</v>
      </c>
      <c r="CU36" s="25">
        <f t="shared" ref="CU36" si="285">CT42</f>
        <v>136416000</v>
      </c>
      <c r="CV36" s="25">
        <f t="shared" ref="CV36" si="286">CU42</f>
        <v>136416000</v>
      </c>
      <c r="CW36" s="25">
        <f t="shared" ref="CW36" si="287">CV42</f>
        <v>119364000</v>
      </c>
      <c r="CX36" s="25">
        <f t="shared" ref="CX36" si="288">CW42</f>
        <v>119364000</v>
      </c>
      <c r="CY36" s="25">
        <f t="shared" ref="CY36" si="289">CX42</f>
        <v>119364000</v>
      </c>
      <c r="CZ36" s="25">
        <f t="shared" ref="CZ36" si="290">CY42</f>
        <v>102312000</v>
      </c>
      <c r="DA36" s="25">
        <f t="shared" ref="DA36" si="291">CZ42</f>
        <v>102312000</v>
      </c>
      <c r="DB36" s="25">
        <f t="shared" ref="DB36" si="292">DA42</f>
        <v>102312000</v>
      </c>
      <c r="DC36" s="25">
        <f t="shared" ref="DC36" si="293">DB42</f>
        <v>85260000</v>
      </c>
      <c r="DD36" s="25">
        <f t="shared" ref="DD36" si="294">DC42</f>
        <v>85260000</v>
      </c>
      <c r="DE36" s="25">
        <f t="shared" ref="DE36" si="295">DD42</f>
        <v>85260000</v>
      </c>
      <c r="DF36" s="25">
        <f t="shared" ref="DF36" si="296">DE42</f>
        <v>68208000</v>
      </c>
      <c r="DG36" s="25">
        <f t="shared" ref="DG36" si="297">DF42</f>
        <v>68208000</v>
      </c>
      <c r="DH36" s="25">
        <f t="shared" ref="DH36" si="298">DG42</f>
        <v>68208000</v>
      </c>
      <c r="DI36" s="25">
        <f t="shared" ref="DI36" si="299">DH42</f>
        <v>51156000</v>
      </c>
      <c r="DJ36" s="25">
        <f t="shared" ref="DJ36" si="300">DI42</f>
        <v>51156000</v>
      </c>
      <c r="DK36" s="25">
        <f t="shared" ref="DK36" si="301">DJ42</f>
        <v>51156000</v>
      </c>
      <c r="DL36" s="25">
        <f t="shared" ref="DL36" si="302">DK42</f>
        <v>34104000</v>
      </c>
      <c r="DM36" s="25">
        <f t="shared" ref="DM36" si="303">DL42</f>
        <v>34104000</v>
      </c>
      <c r="DN36" s="25">
        <f t="shared" ref="DN36" si="304">DM42</f>
        <v>34104000</v>
      </c>
      <c r="DO36" s="25">
        <f t="shared" ref="DO36" si="305">DN42</f>
        <v>17052000</v>
      </c>
      <c r="DP36" s="25">
        <f t="shared" ref="DP36" si="306">DO42</f>
        <v>17052000</v>
      </c>
      <c r="DQ36" s="25">
        <f t="shared" ref="DQ36" si="307">DP42</f>
        <v>17052000</v>
      </c>
    </row>
    <row r="37" spans="1:123" s="53" customFormat="1" x14ac:dyDescent="0.25">
      <c r="A37" s="22" t="s">
        <v>6</v>
      </c>
      <c r="B37" s="25">
        <f>B36*(B35-C15)*B34/360</f>
        <v>4591666.666666667</v>
      </c>
      <c r="C37" s="25">
        <f>C36*(C35-B35)*C34/360</f>
        <v>4744722.222222222</v>
      </c>
      <c r="D37" s="25">
        <f t="shared" ref="D37:L37" si="308">D36*(D35-C35)*D34/360</f>
        <v>4591666.666666667</v>
      </c>
      <c r="E37" s="25">
        <f>E36*(E35-D35)*E34/360</f>
        <v>4744722.222222222</v>
      </c>
      <c r="F37" s="25">
        <f>F36*(F35-E35)*F34/360</f>
        <v>4591666.666666667</v>
      </c>
      <c r="G37" s="25">
        <f>G36*(SCBL_Loan!$C$28-F35)*F34/360+G42*(G35-SCBL_Loan!$C$28)*G34/360</f>
        <v>4744722.222222222</v>
      </c>
      <c r="H37" s="25">
        <f t="shared" si="308"/>
        <v>4744722.222222222</v>
      </c>
      <c r="I37" s="25">
        <f t="shared" si="308"/>
        <v>4438611.111111111</v>
      </c>
      <c r="J37" s="25">
        <f t="shared" si="308"/>
        <v>4744722.222222222</v>
      </c>
      <c r="K37" s="25">
        <f t="shared" si="308"/>
        <v>4591666.666666667</v>
      </c>
      <c r="L37" s="25">
        <f t="shared" si="308"/>
        <v>4744722.222222222</v>
      </c>
      <c r="M37" s="25">
        <f t="shared" ref="M37" si="309">M36*(M35-L35)*M34/360</f>
        <v>4591666.666666667</v>
      </c>
      <c r="N37" s="25">
        <f t="shared" ref="N37" si="310">N36*(N35-M35)*N34/360</f>
        <v>4744722.222222222</v>
      </c>
      <c r="O37" s="25">
        <f>O36*($O$32-N35)*N34/360+O36*(O35-$O$32)*O34/360</f>
        <v>4591666.666666667</v>
      </c>
      <c r="P37" s="25">
        <f t="shared" ref="P37" si="311">P36*(P35-O35)*P34/360</f>
        <v>4350000</v>
      </c>
      <c r="Q37" s="25">
        <f t="shared" ref="Q37" si="312">Q36*(Q35-P35)*Q34/360</f>
        <v>4495000</v>
      </c>
      <c r="R37" s="25">
        <f t="shared" ref="R37" si="313">R36*(R35-Q35)*R34/360</f>
        <v>4350000</v>
      </c>
      <c r="S37" s="25">
        <f>S36*(SCBL_Loan!$G$28-R35)*R34/360+S42*(S35-SCBL_Loan!$G$28)*S34/360</f>
        <v>4495000</v>
      </c>
      <c r="T37" s="25">
        <f t="shared" ref="T37" si="314">T36*(T35-S35)*T34/360</f>
        <v>4495000</v>
      </c>
      <c r="U37" s="25">
        <f t="shared" ref="U37" si="315">U36*(U35-T35)*U34/360</f>
        <v>4060000</v>
      </c>
      <c r="V37" s="25">
        <f>V36*(SCBL_Loan!$H$28-U35)*U34/360+V42*(V35-SCBL_Loan!$H$28)*V34/360</f>
        <v>4422036</v>
      </c>
      <c r="W37" s="25">
        <f t="shared" ref="W37" si="316">W36*(W35-V35)*W34/360</f>
        <v>4221240</v>
      </c>
      <c r="X37" s="25">
        <f t="shared" ref="X37" si="317">X36*(X35-W35)*X34/360</f>
        <v>4361948</v>
      </c>
      <c r="Y37" s="25">
        <f>Y36*(SCBL_Loan!$I$28-X35)*X34/360+Y42*(Y35-SCBL_Loan!$I$28)*Y34/360</f>
        <v>4152568</v>
      </c>
      <c r="Z37" s="25">
        <f t="shared" ref="Z37" si="318">Z36*(Z35-Y35)*Z34/360</f>
        <v>4228896</v>
      </c>
      <c r="AA37" s="25">
        <f>AA36*(AA35-Z35)*AA34/360</f>
        <v>4228896</v>
      </c>
      <c r="AB37" s="25">
        <f>AB36*(SCBL_Loan!$J$28-AA35)*AA34/360+AB42*(AB35-SCBL_Loan!$J$28)*AB34/360</f>
        <v>4024272</v>
      </c>
      <c r="AC37" s="25">
        <f>AC36*(AC35-AB35)*AC34/360</f>
        <v>4096743</v>
      </c>
      <c r="AD37" s="25">
        <f>AD36*(AD35-AC35)*AD34/360</f>
        <v>3964590</v>
      </c>
      <c r="AE37" s="25">
        <f>AE36*(SCBL_Loan!$K$28-AD35)*AD34/360+AE42*(AE35-SCBL_Loan!$K28)*AE34/360</f>
        <v>4024272</v>
      </c>
      <c r="AF37" s="25">
        <f t="shared" ref="AF37:AG37" si="319">AF36*(AF35-AE35)*AF34/360</f>
        <v>3964590</v>
      </c>
      <c r="AG37" s="25">
        <f t="shared" si="319"/>
        <v>3580920</v>
      </c>
      <c r="AH37" s="25">
        <f>AH36*(SCBL_Loan!$L$28-AG35)*AG34/360+AH42*(AH35-SCBL_Loan!$L$28)*AH34/360</f>
        <v>3892119</v>
      </c>
      <c r="AI37" s="25">
        <f t="shared" ref="AI37" si="320">AI36*(AI35-AH35)*AI34/360</f>
        <v>3708810</v>
      </c>
      <c r="AJ37" s="25">
        <f t="shared" ref="AJ37" si="321">AJ36*(AJ35-AI35)*AJ34/360</f>
        <v>3832437</v>
      </c>
      <c r="AK37" s="25">
        <f>AK36*(SCBL_Loan!$M$28-AJ35)*AJ34/360+AK42*(AK35-SCBL_Loan!$M$28)*AK34/360</f>
        <v>3640602</v>
      </c>
      <c r="AL37" s="25">
        <f t="shared" ref="AL37" si="322">AL36*(AL35-AK35)*AL34/360</f>
        <v>3700284</v>
      </c>
      <c r="AM37" s="25">
        <f t="shared" ref="AM37" si="323">AM36*(AM35-AL35)*AM34/360</f>
        <v>3700284</v>
      </c>
      <c r="AN37" s="25">
        <f>AN36*(SCBL_Loan!$N$28-AM35)*AM34/360+AN42*(AN35-SCBL_Loan!$N$28)*AN34/360</f>
        <v>3512712</v>
      </c>
      <c r="AO37" s="25">
        <f t="shared" ref="AO37" si="324">AO36*(AO35-AN35)*AO34/360</f>
        <v>3568131</v>
      </c>
      <c r="AP37" s="25">
        <f t="shared" ref="AP37" si="325">AP36*(AP35-AO35)*AP34/360</f>
        <v>3453030</v>
      </c>
      <c r="AQ37" s="25">
        <f>AQ36*(SCBL_Loan!$O$28-AP35)*AP34/360+AQ42*(AQ35-SCBL_Loan!$O$28)*AQ34/360</f>
        <v>3495660</v>
      </c>
      <c r="AR37" s="25">
        <f t="shared" ref="AR37" si="326">AR36*(AR35-AQ35)*AR34/360</f>
        <v>3435978</v>
      </c>
      <c r="AS37" s="25">
        <f t="shared" ref="AS37" si="327">AS36*(AS35-AR35)*AS34/360</f>
        <v>3103464</v>
      </c>
      <c r="AT37" s="25">
        <f>AT36*(SCBL_Loan!$P$28-AS35)*AS34/360+AT42*(AT35-SCBL_Loan!$P$28)*AT34/360</f>
        <v>3363507</v>
      </c>
      <c r="AU37" s="25">
        <f t="shared" ref="AU37" si="328">AU36*(AU35-AT35)*AU34/360</f>
        <v>3197250</v>
      </c>
      <c r="AV37" s="25">
        <f t="shared" ref="AV37" si="329">AV36*(AV35-AU35)*AV34/360</f>
        <v>3303825</v>
      </c>
      <c r="AW37" s="25">
        <f>AW36*(SCBL_Loan!$Q$28-AV35)*AV34/360+AW42*(AW35-SCBL_Loan!$Q$28)*AW34/360</f>
        <v>3129042</v>
      </c>
      <c r="AX37" s="25">
        <f t="shared" ref="AX37" si="330">AX36*(AX35-AW35)*AX34/360</f>
        <v>3171672</v>
      </c>
      <c r="AY37" s="25">
        <f t="shared" ref="AY37" si="331">AY36*(AY35-AX35)*AY34/360</f>
        <v>3171672</v>
      </c>
      <c r="AZ37" s="25">
        <f>AZ36*(SCBL_Loan!$R$28-AY35)*AY34/360+AZ42*(AZ35-SCBL_Loan!$R$28)*AZ34/360</f>
        <v>2996889</v>
      </c>
      <c r="BA37" s="25">
        <f t="shared" ref="BA37" si="332">BA36*(BA35-AZ35)*BA34/360</f>
        <v>3039519</v>
      </c>
      <c r="BB37" s="25">
        <f t="shared" ref="BB37" si="333">BB36*(BB35-BA35)*BB34/360</f>
        <v>2941470</v>
      </c>
      <c r="BC37" s="25">
        <f>BC36*(SCBL_Loan!$S$28-BB35)*BB34/360+BC42*(BC35-SCBL_Loan!$S$28)*BC34/360</f>
        <v>2962785</v>
      </c>
      <c r="BD37" s="25">
        <f t="shared" ref="BD37" si="334">BD36*(BD35-BC35)*BD34/360</f>
        <v>2907366</v>
      </c>
      <c r="BE37" s="25">
        <f t="shared" ref="BE37" si="335">BE36*(BE35-BD35)*BE34/360</f>
        <v>2719794</v>
      </c>
      <c r="BF37" s="25">
        <f>BF36*(SCBL_Loan!$T$28-BE35)*BE34/360+BF42*(BF35-SCBL_Loan!$T$28)*BF34/360</f>
        <v>2830632</v>
      </c>
      <c r="BG37" s="25">
        <f t="shared" ref="BG37" si="336">BG36*(BG35-BF35)*BG34/360</f>
        <v>2685690</v>
      </c>
      <c r="BH37" s="25">
        <f t="shared" ref="BH37" si="337">BH36*(BH35-BG35)*BH34/360</f>
        <v>2775213</v>
      </c>
      <c r="BI37" s="25">
        <f>BI36*(SCBL_Loan!$U$28-BH35)*BH34/360+BI42*(BI35-SCBL_Loan!$U$28)*BI34/360</f>
        <v>2608956</v>
      </c>
      <c r="BJ37" s="25">
        <f t="shared" ref="BJ37" si="338">BJ36*(BJ35-BI35)*BJ34/360</f>
        <v>2643060</v>
      </c>
      <c r="BK37" s="25">
        <f t="shared" ref="BK37" si="339">BK36*(BK35-BJ35)*BK34/360</f>
        <v>2643060</v>
      </c>
      <c r="BL37" s="25">
        <f>BL36*(SCBL_Loan!$V$28-BK35)*BK34/360+BL42*(BL35-SCBL_Loan!$V$28)*BL34/360</f>
        <v>2489592</v>
      </c>
      <c r="BM37" s="25">
        <f t="shared" ref="BM37" si="340">BM36*(BM35-BL35)*BM34/360</f>
        <v>2510907</v>
      </c>
      <c r="BN37" s="25">
        <f t="shared" ref="BN37" si="341">BN36*(BN35-BM35)*BN34/360</f>
        <v>2429910</v>
      </c>
      <c r="BO37" s="25">
        <f>BO36*(SCBL_Loan!$W$28-BN35)*BN34/360+BO42*(BO35-SCBL_Loan!$W$28)*BO34/360</f>
        <v>2438436</v>
      </c>
      <c r="BP37" s="25">
        <f t="shared" ref="BP37" si="342">BP36*(BP35-BO35)*BP34/360</f>
        <v>2378754</v>
      </c>
      <c r="BQ37" s="25">
        <f t="shared" ref="BQ37" si="343">BQ36*(BQ35-BP35)*BQ34/360</f>
        <v>2148552</v>
      </c>
      <c r="BR37" s="25">
        <f>BR36*(SCBL_Loan!$X$28-BQ35)*BQ34/360+BR42*(BR35-SCBL_Loan!$X$28)*BR34/360</f>
        <v>2297757</v>
      </c>
      <c r="BS37" s="25">
        <f t="shared" ref="BS37" si="344">BS36*(BS35-BR35)*BS34/360</f>
        <v>2174130</v>
      </c>
      <c r="BT37" s="25">
        <f t="shared" ref="BT37" si="345">BT36*(BT35-BS35)*BT34/360</f>
        <v>2246601</v>
      </c>
      <c r="BU37" s="25">
        <f>BU36*(SCBL_Loan!$Y$28-BT35)*BT34/360+BU42*(BU35-SCBL_Loan!$Y$28)*BU34/360</f>
        <v>2105922</v>
      </c>
      <c r="BV37" s="25">
        <f t="shared" ref="BV37" si="346">BV36*(BV35-BU35)*BV34/360</f>
        <v>2114448</v>
      </c>
      <c r="BW37" s="25">
        <f t="shared" ref="BW37" si="347">BW36*(BW35-BV35)*BW34/360</f>
        <v>2114448</v>
      </c>
      <c r="BX37" s="25">
        <f>BX36*(SCBL_Loan!$Z$28-BW35)*BW34/360+BX42*(BX35-SCBL_Loan!$Z$28)*BX34/360</f>
        <v>1978032</v>
      </c>
      <c r="BY37" s="25">
        <f t="shared" ref="BY37" si="348">BY36*(BY35-BX35)*BY34/360</f>
        <v>1982295</v>
      </c>
      <c r="BZ37" s="25">
        <f t="shared" ref="BZ37" si="349">BZ36*(BZ35-BY35)*BZ34/360</f>
        <v>1918350</v>
      </c>
      <c r="CA37" s="25">
        <f>CA36*(SCBL_Loan!$AA$28-BZ35)*BZ34/360+CA42*(CA35-SCBL_Loan!$AA$28)*CA34/360</f>
        <v>1909824</v>
      </c>
      <c r="CB37" s="25">
        <f t="shared" ref="CB37" si="350">CB36*(CB35-CA35)*CB34/360</f>
        <v>1850142</v>
      </c>
      <c r="CC37" s="25">
        <f t="shared" ref="CC37" si="351">CC36*(CC35-CB35)*CC34/360</f>
        <v>1671096</v>
      </c>
      <c r="CD37" s="25">
        <f>CD36*(SCBL_Loan!$AB$28-CC35)*CC34/360+CD42*(CD35-SCBL_Loan!$AB$28)*CD34/360</f>
        <v>1777671</v>
      </c>
      <c r="CE37" s="25">
        <f t="shared" ref="CE37" si="352">CE36*(CE35-CD35)*CE34/360</f>
        <v>1662570</v>
      </c>
      <c r="CF37" s="25">
        <f t="shared" ref="CF37" si="353">CF36*(CF35-CE35)*CF34/360</f>
        <v>1717989</v>
      </c>
      <c r="CG37" s="25">
        <f>CG36*(SCBL_Loan!$AC$28-CF35)*CF34/360+CG42*(CG35-SCBL_Loan!$AC$28)*CG34/360</f>
        <v>1594362</v>
      </c>
      <c r="CH37" s="25">
        <f t="shared" ref="CH37" si="354">CH36*(CH35-CG35)*CH34/360</f>
        <v>1585836</v>
      </c>
      <c r="CI37" s="25">
        <f t="shared" ref="CI37" si="355">CI36*(CI35-CH35)*CI34/360</f>
        <v>1585836</v>
      </c>
      <c r="CJ37" s="25">
        <f>CJ36*(SCBL_Loan!$AD$28-CI35)*CI34/360+CJ42*(CJ35-SCBL_Loan!$AD$28)*CJ34/360</f>
        <v>1466472</v>
      </c>
      <c r="CK37" s="25">
        <f t="shared" ref="CK37" si="356">CK36*(CK35-CJ35)*CK34/360</f>
        <v>1453683</v>
      </c>
      <c r="CL37" s="25">
        <f t="shared" ref="CL37" si="357">CL36*(CL35-CK35)*CL34/360</f>
        <v>1406790</v>
      </c>
      <c r="CM37" s="25">
        <f>CM36*(SCBL_Loan!$AE$28-CL35)*CL34/360+CM42*(CM35-SCBL_Loan!$AE$28)*CM34/360</f>
        <v>1381212</v>
      </c>
      <c r="CN37" s="25">
        <f t="shared" ref="CN37" si="358">CN36*(CN35-CM35)*CN34/360</f>
        <v>1321530</v>
      </c>
      <c r="CO37" s="25">
        <f t="shared" ref="CO37" si="359">CO36*(CO35-CN35)*CO34/360</f>
        <v>1193640</v>
      </c>
      <c r="CP37" s="25">
        <f>CP36*(SCBL_Loan!$AF$28-CO35)*CO34/360+CP42*(CP35-SCBL_Loan!$AF$28)*CP34/360</f>
        <v>1249059</v>
      </c>
      <c r="CQ37" s="25">
        <f t="shared" ref="CQ37" si="360">CQ36*(CQ35-CP35)*CQ34/360</f>
        <v>1151010</v>
      </c>
      <c r="CR37" s="25">
        <f t="shared" ref="CR37" si="361">CR36*(CR35-CQ35)*CR34/360</f>
        <v>1189377</v>
      </c>
      <c r="CS37" s="25">
        <f>CS36*(SCBL_Loan!$AG$28-CR35)*CR34/360+CS42*(CS35-SCBL_Loan!$AG$28)*CS34/360</f>
        <v>1082802</v>
      </c>
      <c r="CT37" s="25">
        <f t="shared" ref="CT37" si="362">CT36*(CT35-CS35)*CT34/360</f>
        <v>1057224</v>
      </c>
      <c r="CU37" s="25">
        <f t="shared" ref="CU37" si="363">CU36*(CU35-CT35)*CU34/360</f>
        <v>1057224</v>
      </c>
      <c r="CV37" s="25">
        <f>CV36*(SCBL_Loan!$AH$28-CU35)*CU34/360+CV42*(CV35-SCBL_Loan!$AH$28)*CV34/360</f>
        <v>954912</v>
      </c>
      <c r="CW37" s="25">
        <f t="shared" ref="CW37" si="364">CW36*(CW35-CV35)*CW34/360</f>
        <v>925071</v>
      </c>
      <c r="CX37" s="25">
        <f t="shared" ref="CX37" si="365">CX36*(CX35-CW35)*CX34/360</f>
        <v>895230</v>
      </c>
      <c r="CY37" s="25">
        <f>CY36*(SCBL_Loan!$AI$28-CX35)*CX34/360+CY42*(CY35-SCBL_Loan!$AI$28)*CY34/360</f>
        <v>852600</v>
      </c>
      <c r="CZ37" s="25">
        <f t="shared" ref="CZ37" si="366">CZ36*(CZ35-CY35)*CZ34/360</f>
        <v>792918</v>
      </c>
      <c r="DA37" s="25">
        <f t="shared" ref="DA37" si="367">DA36*(DA35-CZ35)*DA34/360</f>
        <v>741762</v>
      </c>
      <c r="DB37" s="25">
        <f>DB36*(SCBL_Loan!$AJ$28-DA35)*DA34/360+DB42*(DB35-SCBL_Loan!$AJ$28)*DB34/360</f>
        <v>720447</v>
      </c>
      <c r="DC37" s="25">
        <f t="shared" ref="DC37" si="368">DC36*(DC35-DB35)*DC34/360</f>
        <v>639450</v>
      </c>
      <c r="DD37" s="25">
        <f t="shared" ref="DD37" si="369">DD36*(DD35-DC35)*DD34/360</f>
        <v>660765</v>
      </c>
      <c r="DE37" s="25">
        <f>DE36*(SCBL_Loan!$AK$28-DD35)*DD34/360+DE42*(DE35-SCBL_Loan!$AK$28)*DE34/360</f>
        <v>571242</v>
      </c>
      <c r="DF37" s="25">
        <f t="shared" ref="DF37" si="370">DF36*(DF35-DE35)*DF34/360</f>
        <v>528612</v>
      </c>
      <c r="DG37" s="25">
        <f t="shared" ref="DG37" si="371">DG36*(DG35-DF35)*DG34/360</f>
        <v>528612</v>
      </c>
      <c r="DH37" s="25">
        <f>DH36*(SCBL_Loan!$AL$28-DG35)*DG34/360+DH42*(DH35-SCBL_Loan!$AL$28)*DH34/360</f>
        <v>439089</v>
      </c>
      <c r="DI37" s="25">
        <f t="shared" ref="DI37" si="372">DI36*(DI35-DH35)*DI34/360</f>
        <v>396459</v>
      </c>
      <c r="DJ37" s="25">
        <f t="shared" ref="DJ37" si="373">DJ36*(DJ35-DI35)*DJ34/360</f>
        <v>383670</v>
      </c>
      <c r="DK37" s="25">
        <f>DK36*(SCBL_Loan!$AM$28-DJ35)*DJ34/360+DK42*(DK35-SCBL_Loan!$AM$28)*DK34/360</f>
        <v>319725</v>
      </c>
      <c r="DL37" s="25">
        <f t="shared" ref="DL37" si="374">DL36*(DL35-DK35)*DL34/360</f>
        <v>264306</v>
      </c>
      <c r="DM37" s="25">
        <f t="shared" ref="DM37" si="375">DM36*(DM35-DL35)*DM34/360</f>
        <v>238728</v>
      </c>
      <c r="DN37" s="25">
        <f>DN36*(SCBL_Loan!$AN$28-DM35)*DM34/360+DN42*(DN35-SCBL_Loan!$AN$28)*DN34/360</f>
        <v>191835</v>
      </c>
      <c r="DO37" s="25">
        <f t="shared" ref="DO37" si="376">DO36*(DO35-DN35)*DO34/360</f>
        <v>127890</v>
      </c>
      <c r="DP37" s="25">
        <f t="shared" ref="DP37" si="377">DP36*(DP35-DO35)*DP34/360</f>
        <v>132153</v>
      </c>
      <c r="DQ37" s="25">
        <f>DQ36*(SCBL_Loan!$AO$28-DP35)*DP34/360+DQ42*(DQ35-SCBL_Loan!$AO$28)*DQ34/360</f>
        <v>55419</v>
      </c>
    </row>
    <row r="38" spans="1:123" s="54" customFormat="1" x14ac:dyDescent="0.25">
      <c r="A38" s="46" t="s">
        <v>12</v>
      </c>
      <c r="B38" s="47">
        <f>B37</f>
        <v>4591666.666666667</v>
      </c>
      <c r="C38" s="47">
        <f>B38+C37</f>
        <v>9336388.8888888881</v>
      </c>
      <c r="D38" s="47">
        <f t="shared" ref="D38" si="378">C38+D37</f>
        <v>13928055.555555556</v>
      </c>
      <c r="E38" s="47">
        <f>D38+E37</f>
        <v>18672777.777777776</v>
      </c>
      <c r="F38" s="47">
        <f t="shared" ref="F38" si="379">E38+F37</f>
        <v>23264444.444444444</v>
      </c>
      <c r="G38" s="47">
        <f>F38+G37</f>
        <v>28009166.666666664</v>
      </c>
      <c r="H38" s="47">
        <f>G38+H37</f>
        <v>32753888.888888888</v>
      </c>
      <c r="I38" s="47">
        <f>H38+I37</f>
        <v>37192500</v>
      </c>
      <c r="J38" s="47">
        <f t="shared" ref="J38" si="380">I38+J37</f>
        <v>41937222.222222224</v>
      </c>
      <c r="K38" s="47">
        <f>J38+K37</f>
        <v>46528888.888888888</v>
      </c>
      <c r="L38" s="47">
        <f t="shared" ref="L38" si="381">K38+L37</f>
        <v>51273611.111111112</v>
      </c>
      <c r="M38" s="47">
        <f>L38+M37</f>
        <v>55865277.777777776</v>
      </c>
      <c r="N38" s="47">
        <f t="shared" ref="N38" si="382">M38+N37</f>
        <v>60610000</v>
      </c>
      <c r="O38" s="47">
        <f t="shared" ref="O38" si="383">N38+O37</f>
        <v>65201666.666666664</v>
      </c>
      <c r="P38" s="47">
        <f>O38+P37</f>
        <v>69551666.666666657</v>
      </c>
      <c r="Q38" s="47">
        <f>P38+Q37</f>
        <v>74046666.666666657</v>
      </c>
      <c r="R38" s="47">
        <f t="shared" ref="R38" si="384">Q38+R37</f>
        <v>78396666.666666657</v>
      </c>
      <c r="S38" s="47">
        <f t="shared" ref="S38" si="385">R38+S37</f>
        <v>82891666.666666657</v>
      </c>
      <c r="T38" s="47">
        <f t="shared" ref="T38" si="386">S38+T37</f>
        <v>87386666.666666657</v>
      </c>
      <c r="U38" s="47">
        <f t="shared" ref="U38" si="387">T38+U37</f>
        <v>91446666.666666657</v>
      </c>
      <c r="V38" s="47">
        <f t="shared" ref="V38" si="388">U38+V37</f>
        <v>95868702.666666657</v>
      </c>
      <c r="W38" s="47">
        <f>V38+W37</f>
        <v>100089942.66666666</v>
      </c>
      <c r="X38" s="47">
        <f t="shared" ref="X38" si="389">W38+X37</f>
        <v>104451890.66666666</v>
      </c>
      <c r="Y38" s="47">
        <f>X38+Y37</f>
        <v>108604458.66666666</v>
      </c>
      <c r="Z38" s="47">
        <f>Y38+Z37</f>
        <v>112833354.66666666</v>
      </c>
      <c r="AA38" s="47">
        <f>Z38+AA37</f>
        <v>117062250.66666666</v>
      </c>
      <c r="AB38" s="47">
        <f>AA38+AB37</f>
        <v>121086522.66666666</v>
      </c>
      <c r="AC38" s="47">
        <f>AB38+AC37</f>
        <v>125183265.66666666</v>
      </c>
      <c r="AD38" s="47">
        <f t="shared" ref="AD38" si="390">AC38+AD37</f>
        <v>129147855.66666666</v>
      </c>
      <c r="AE38" s="47">
        <f t="shared" ref="AE38" si="391">AD38+AE37</f>
        <v>133172127.66666666</v>
      </c>
      <c r="AF38" s="47">
        <f>AE38+AF37</f>
        <v>137136717.66666666</v>
      </c>
      <c r="AG38" s="47">
        <f t="shared" ref="AG38" si="392">AF38+AG37</f>
        <v>140717637.66666666</v>
      </c>
      <c r="AH38" s="47">
        <f t="shared" ref="AH38" si="393">AG38+AH37</f>
        <v>144609756.66666666</v>
      </c>
      <c r="AI38" s="47">
        <f>AH38+AI37</f>
        <v>148318566.66666666</v>
      </c>
      <c r="AJ38" s="47">
        <f t="shared" ref="AJ38" si="394">AI38+AJ37</f>
        <v>152151003.66666666</v>
      </c>
      <c r="AK38" s="47">
        <f t="shared" ref="AK38" si="395">AJ38+AK37</f>
        <v>155791605.66666666</v>
      </c>
      <c r="AL38" s="47">
        <f t="shared" ref="AL38" si="396">AK38+AL37</f>
        <v>159491889.66666666</v>
      </c>
      <c r="AM38" s="47">
        <f t="shared" ref="AM38" si="397">AL38+AM37</f>
        <v>163192173.66666666</v>
      </c>
      <c r="AN38" s="47">
        <f>AM38+AN37</f>
        <v>166704885.66666666</v>
      </c>
      <c r="AO38" s="47">
        <f t="shared" ref="AO38" si="398">AN38+AO37</f>
        <v>170273016.66666666</v>
      </c>
      <c r="AP38" s="47">
        <f t="shared" ref="AP38" si="399">AO38+AP37</f>
        <v>173726046.66666666</v>
      </c>
      <c r="AQ38" s="47">
        <f t="shared" ref="AQ38" si="400">AP38+AQ37</f>
        <v>177221706.66666666</v>
      </c>
      <c r="AR38" s="47">
        <f>AQ38+AR37</f>
        <v>180657684.66666666</v>
      </c>
      <c r="AS38" s="47">
        <f t="shared" ref="AS38" si="401">AR38+AS37</f>
        <v>183761148.66666666</v>
      </c>
      <c r="AT38" s="47">
        <f t="shared" ref="AT38" si="402">AS38+AT37</f>
        <v>187124655.66666666</v>
      </c>
      <c r="AU38" s="47">
        <f t="shared" ref="AU38" si="403">AT38+AU37</f>
        <v>190321905.66666666</v>
      </c>
      <c r="AV38" s="47">
        <f t="shared" ref="AV38" si="404">AU38+AV37</f>
        <v>193625730.66666666</v>
      </c>
      <c r="AW38" s="47">
        <f t="shared" ref="AW38" si="405">AV38+AW37</f>
        <v>196754772.66666666</v>
      </c>
      <c r="AX38" s="47">
        <f t="shared" ref="AX38" si="406">AW38+AX37</f>
        <v>199926444.66666666</v>
      </c>
      <c r="AY38" s="47">
        <f t="shared" ref="AY38" si="407">AX38+AY37</f>
        <v>203098116.66666666</v>
      </c>
      <c r="AZ38" s="47">
        <f t="shared" ref="AZ38" si="408">AY38+AZ37</f>
        <v>206095005.66666666</v>
      </c>
      <c r="BA38" s="47">
        <f t="shared" ref="BA38" si="409">AZ38+BA37</f>
        <v>209134524.66666666</v>
      </c>
      <c r="BB38" s="47">
        <f t="shared" ref="BB38" si="410">BA38+BB37</f>
        <v>212075994.66666666</v>
      </c>
      <c r="BC38" s="47">
        <f t="shared" ref="BC38" si="411">BB38+BC37</f>
        <v>215038779.66666666</v>
      </c>
      <c r="BD38" s="47">
        <f>BC38+BD37</f>
        <v>217946145.66666666</v>
      </c>
      <c r="BE38" s="47">
        <f t="shared" ref="BE38" si="412">BD38+BE37</f>
        <v>220665939.66666666</v>
      </c>
      <c r="BF38" s="47">
        <f t="shared" ref="BF38" si="413">BE38+BF37</f>
        <v>223496571.66666666</v>
      </c>
      <c r="BG38" s="47">
        <f>BF38+BG37</f>
        <v>226182261.66666666</v>
      </c>
      <c r="BH38" s="47">
        <f t="shared" ref="BH38" si="414">BG38+BH37</f>
        <v>228957474.66666666</v>
      </c>
      <c r="BI38" s="47">
        <f t="shared" ref="BI38" si="415">BH38+BI37</f>
        <v>231566430.66666666</v>
      </c>
      <c r="BJ38" s="47">
        <f t="shared" ref="BJ38" si="416">BI38+BJ37</f>
        <v>234209490.66666666</v>
      </c>
      <c r="BK38" s="47">
        <f t="shared" ref="BK38" si="417">BJ38+BK37</f>
        <v>236852550.66666666</v>
      </c>
      <c r="BL38" s="47">
        <f t="shared" ref="BL38" si="418">BK38+BL37</f>
        <v>239342142.66666666</v>
      </c>
      <c r="BM38" s="47">
        <f t="shared" ref="BM38" si="419">BL38+BM37</f>
        <v>241853049.66666666</v>
      </c>
      <c r="BN38" s="47">
        <f>BM38+BN37</f>
        <v>244282959.66666666</v>
      </c>
      <c r="BO38" s="47">
        <f t="shared" ref="BO38" si="420">BN38+BO37</f>
        <v>246721395.66666666</v>
      </c>
      <c r="BP38" s="47">
        <f t="shared" ref="BP38" si="421">BO38+BP37</f>
        <v>249100149.66666666</v>
      </c>
      <c r="BQ38" s="47">
        <f t="shared" ref="BQ38" si="422">BP38+BQ37</f>
        <v>251248701.66666666</v>
      </c>
      <c r="BR38" s="47">
        <f>BQ38+BR37</f>
        <v>253546458.66666666</v>
      </c>
      <c r="BS38" s="47">
        <f t="shared" ref="BS38" si="423">BR38+BS37</f>
        <v>255720588.66666666</v>
      </c>
      <c r="BT38" s="47">
        <f t="shared" ref="BT38" si="424">BS38+BT37</f>
        <v>257967189.66666666</v>
      </c>
      <c r="BU38" s="47">
        <f t="shared" ref="BU38" si="425">BT38+BU37</f>
        <v>260073111.66666666</v>
      </c>
      <c r="BV38" s="47">
        <f t="shared" ref="BV38" si="426">BU38+BV37</f>
        <v>262187559.66666666</v>
      </c>
      <c r="BW38" s="47">
        <f t="shared" ref="BW38" si="427">BV38+BW37</f>
        <v>264302007.66666666</v>
      </c>
      <c r="BX38" s="47">
        <f t="shared" ref="BX38" si="428">BW38+BX37</f>
        <v>266280039.66666666</v>
      </c>
      <c r="BY38" s="47">
        <f t="shared" ref="BY38" si="429">BX38+BY37</f>
        <v>268262334.66666666</v>
      </c>
      <c r="BZ38" s="47">
        <f t="shared" ref="BZ38" si="430">BY38+BZ37</f>
        <v>270180684.66666663</v>
      </c>
      <c r="CA38" s="47">
        <f t="shared" ref="CA38" si="431">BZ38+CA37</f>
        <v>272090508.66666663</v>
      </c>
      <c r="CB38" s="47">
        <f t="shared" ref="CB38" si="432">CA38+CB37</f>
        <v>273940650.66666663</v>
      </c>
      <c r="CC38" s="47">
        <f t="shared" ref="CC38" si="433">CB38+CC37</f>
        <v>275611746.66666663</v>
      </c>
      <c r="CD38" s="47">
        <f t="shared" ref="CD38" si="434">CC38+CD37</f>
        <v>277389417.66666663</v>
      </c>
      <c r="CE38" s="47">
        <f t="shared" ref="CE38" si="435">CD38+CE37</f>
        <v>279051987.66666663</v>
      </c>
      <c r="CF38" s="47">
        <f t="shared" ref="CF38" si="436">CE38+CF37</f>
        <v>280769976.66666663</v>
      </c>
      <c r="CG38" s="47">
        <f t="shared" ref="CG38" si="437">CF38+CG37</f>
        <v>282364338.66666663</v>
      </c>
      <c r="CH38" s="47">
        <f t="shared" ref="CH38" si="438">CG38+CH37</f>
        <v>283950174.66666663</v>
      </c>
      <c r="CI38" s="47">
        <f t="shared" ref="CI38" si="439">CH38+CI37</f>
        <v>285536010.66666663</v>
      </c>
      <c r="CJ38" s="47">
        <f t="shared" ref="CJ38" si="440">CI38+CJ37</f>
        <v>287002482.66666663</v>
      </c>
      <c r="CK38" s="47">
        <f t="shared" ref="CK38" si="441">CJ38+CK37</f>
        <v>288456165.66666663</v>
      </c>
      <c r="CL38" s="47">
        <f t="shared" ref="CL38" si="442">CK38+CL37</f>
        <v>289862955.66666663</v>
      </c>
      <c r="CM38" s="47">
        <f t="shared" ref="CM38" si="443">CL38+CM37</f>
        <v>291244167.66666663</v>
      </c>
      <c r="CN38" s="47">
        <f t="shared" ref="CN38" si="444">CM38+CN37</f>
        <v>292565697.66666663</v>
      </c>
      <c r="CO38" s="47">
        <f t="shared" ref="CO38" si="445">CN38+CO37</f>
        <v>293759337.66666663</v>
      </c>
      <c r="CP38" s="47">
        <f t="shared" ref="CP38" si="446">CO38+CP37</f>
        <v>295008396.66666663</v>
      </c>
      <c r="CQ38" s="47">
        <f t="shared" ref="CQ38" si="447">CP38+CQ37</f>
        <v>296159406.66666663</v>
      </c>
      <c r="CR38" s="47">
        <f t="shared" ref="CR38" si="448">CQ38+CR37</f>
        <v>297348783.66666663</v>
      </c>
      <c r="CS38" s="47">
        <f t="shared" ref="CS38" si="449">CR38+CS37</f>
        <v>298431585.66666663</v>
      </c>
      <c r="CT38" s="47">
        <f t="shared" ref="CT38" si="450">CS38+CT37</f>
        <v>299488809.66666663</v>
      </c>
      <c r="CU38" s="47">
        <f t="shared" ref="CU38" si="451">CT38+CU37</f>
        <v>300546033.66666663</v>
      </c>
      <c r="CV38" s="47">
        <f t="shared" ref="CV38" si="452">CU38+CV37</f>
        <v>301500945.66666663</v>
      </c>
      <c r="CW38" s="47">
        <f t="shared" ref="CW38" si="453">CV38+CW37</f>
        <v>302426016.66666663</v>
      </c>
      <c r="CX38" s="47">
        <f t="shared" ref="CX38" si="454">CW38+CX37</f>
        <v>303321246.66666663</v>
      </c>
      <c r="CY38" s="47">
        <f t="shared" ref="CY38" si="455">CX38+CY37</f>
        <v>304173846.66666663</v>
      </c>
      <c r="CZ38" s="47">
        <f t="shared" ref="CZ38" si="456">CY38+CZ37</f>
        <v>304966764.66666663</v>
      </c>
      <c r="DA38" s="47">
        <f t="shared" ref="DA38" si="457">CZ38+DA37</f>
        <v>305708526.66666663</v>
      </c>
      <c r="DB38" s="47">
        <f t="shared" ref="DB38" si="458">DA38+DB37</f>
        <v>306428973.66666663</v>
      </c>
      <c r="DC38" s="47">
        <f t="shared" ref="DC38" si="459">DB38+DC37</f>
        <v>307068423.66666663</v>
      </c>
      <c r="DD38" s="47">
        <f t="shared" ref="DD38" si="460">DC38+DD37</f>
        <v>307729188.66666663</v>
      </c>
      <c r="DE38" s="47">
        <f t="shared" ref="DE38" si="461">DD38+DE37</f>
        <v>308300430.66666663</v>
      </c>
      <c r="DF38" s="47">
        <f>DE38+DF37</f>
        <v>308829042.66666663</v>
      </c>
      <c r="DG38" s="47">
        <f t="shared" ref="DG38" si="462">DF38+DG37</f>
        <v>309357654.66666663</v>
      </c>
      <c r="DH38" s="47">
        <f t="shared" ref="DH38" si="463">DG38+DH37</f>
        <v>309796743.66666663</v>
      </c>
      <c r="DI38" s="47">
        <f t="shared" ref="DI38" si="464">DH38+DI37</f>
        <v>310193202.66666663</v>
      </c>
      <c r="DJ38" s="47">
        <f t="shared" ref="DJ38" si="465">DI38+DJ37</f>
        <v>310576872.66666663</v>
      </c>
      <c r="DK38" s="47">
        <f t="shared" ref="DK38" si="466">DJ38+DK37</f>
        <v>310896597.66666663</v>
      </c>
      <c r="DL38" s="47">
        <f t="shared" ref="DL38" si="467">DK38+DL37</f>
        <v>311160903.66666663</v>
      </c>
      <c r="DM38" s="47">
        <f t="shared" ref="DM38" si="468">DL38+DM37</f>
        <v>311399631.66666663</v>
      </c>
      <c r="DN38" s="47">
        <f t="shared" ref="DN38" si="469">DM38+DN37</f>
        <v>311591466.66666663</v>
      </c>
      <c r="DO38" s="47">
        <f t="shared" ref="DO38" si="470">DN38+DO37</f>
        <v>311719356.66666663</v>
      </c>
      <c r="DP38" s="47">
        <f t="shared" ref="DP38" si="471">DO38+DP37</f>
        <v>311851509.66666663</v>
      </c>
      <c r="DQ38" s="47">
        <f t="shared" ref="DQ38" si="472">DP38+DQ37</f>
        <v>311906928.66666663</v>
      </c>
      <c r="DR38" s="53"/>
      <c r="DS38" s="53"/>
    </row>
    <row r="39" spans="1:123" s="53" customFormat="1" x14ac:dyDescent="0.25">
      <c r="A39" s="22" t="s">
        <v>7</v>
      </c>
      <c r="B39" s="25">
        <v>0</v>
      </c>
      <c r="C39" s="25">
        <f>B39</f>
        <v>0</v>
      </c>
      <c r="D39" s="25">
        <f t="shared" ref="D39" si="473">C39</f>
        <v>0</v>
      </c>
      <c r="E39" s="25">
        <f t="shared" ref="E39" si="474">D39</f>
        <v>0</v>
      </c>
      <c r="F39" s="25">
        <f t="shared" ref="F39" si="475">E39</f>
        <v>0</v>
      </c>
      <c r="G39" s="25">
        <f t="shared" ref="G39" si="476">F39</f>
        <v>0</v>
      </c>
      <c r="H39" s="25">
        <f t="shared" ref="H39" si="477">G39</f>
        <v>0</v>
      </c>
      <c r="I39" s="25">
        <f t="shared" ref="I39" si="478">H39</f>
        <v>0</v>
      </c>
      <c r="J39" s="25">
        <f t="shared" ref="J39" si="479">I39</f>
        <v>0</v>
      </c>
      <c r="K39" s="25">
        <f t="shared" ref="K39" si="480">J39</f>
        <v>0</v>
      </c>
      <c r="L39" s="25">
        <f t="shared" ref="L39" si="481">K39</f>
        <v>0</v>
      </c>
      <c r="M39" s="25">
        <f t="shared" ref="M39" si="482">L39</f>
        <v>0</v>
      </c>
      <c r="N39" s="25">
        <f t="shared" ref="N39" si="483">M39</f>
        <v>0</v>
      </c>
      <c r="O39" s="25">
        <f t="shared" ref="O39" si="484">N39</f>
        <v>0</v>
      </c>
      <c r="P39" s="25">
        <f t="shared" ref="P39" si="485">O39</f>
        <v>0</v>
      </c>
      <c r="Q39" s="25">
        <f t="shared" ref="Q39" si="486">P39</f>
        <v>0</v>
      </c>
      <c r="R39" s="25">
        <f t="shared" ref="R39" si="487">Q39</f>
        <v>0</v>
      </c>
      <c r="S39" s="25">
        <f>SCBL_Loan!$G$45</f>
        <v>0</v>
      </c>
      <c r="T39" s="25">
        <v>0</v>
      </c>
      <c r="U39" s="25">
        <v>0</v>
      </c>
      <c r="V39" s="25">
        <f>SCBL_Loan!$H$45</f>
        <v>17168000</v>
      </c>
      <c r="W39" s="25">
        <v>0</v>
      </c>
      <c r="X39" s="25">
        <v>0</v>
      </c>
      <c r="Y39" s="25">
        <f>SCBL_Loan!$I$45</f>
        <v>17168000</v>
      </c>
      <c r="Z39" s="25">
        <v>0</v>
      </c>
      <c r="AA39" s="25">
        <v>0</v>
      </c>
      <c r="AB39" s="25">
        <f>SCBL_Loan!$J$45</f>
        <v>17052000</v>
      </c>
      <c r="AC39" s="25">
        <v>0</v>
      </c>
      <c r="AD39" s="25">
        <v>0</v>
      </c>
      <c r="AE39" s="25">
        <f>SCBL_Loan!$K$45</f>
        <v>17052000</v>
      </c>
      <c r="AF39" s="25">
        <v>0</v>
      </c>
      <c r="AG39" s="25">
        <v>0</v>
      </c>
      <c r="AH39" s="25">
        <f>SCBL_Loan!$L$45</f>
        <v>17052000</v>
      </c>
      <c r="AI39" s="25">
        <v>0</v>
      </c>
      <c r="AJ39" s="25">
        <v>0</v>
      </c>
      <c r="AK39" s="25">
        <f>SCBL_Loan!$M$45</f>
        <v>17052000</v>
      </c>
      <c r="AL39" s="25">
        <v>0</v>
      </c>
      <c r="AM39" s="25">
        <v>0</v>
      </c>
      <c r="AN39" s="25">
        <f>SCBL_Loan!$N$45</f>
        <v>17052000</v>
      </c>
      <c r="AO39" s="25">
        <v>0</v>
      </c>
      <c r="AP39" s="25">
        <v>0</v>
      </c>
      <c r="AQ39" s="25">
        <f>SCBL_Loan!$O$45</f>
        <v>17052000</v>
      </c>
      <c r="AR39" s="25">
        <v>0</v>
      </c>
      <c r="AS39" s="25">
        <v>0</v>
      </c>
      <c r="AT39" s="25">
        <f>SCBL_Loan!$P$45</f>
        <v>17052000</v>
      </c>
      <c r="AU39" s="25">
        <v>0</v>
      </c>
      <c r="AV39" s="25">
        <v>0</v>
      </c>
      <c r="AW39" s="25">
        <f>SCBL_Loan!$Q$45</f>
        <v>17052000</v>
      </c>
      <c r="AX39" s="25">
        <v>0</v>
      </c>
      <c r="AY39" s="25">
        <v>0</v>
      </c>
      <c r="AZ39" s="25">
        <f>SCBL_Loan!$R$45</f>
        <v>17052000</v>
      </c>
      <c r="BA39" s="25">
        <v>0</v>
      </c>
      <c r="BB39" s="25">
        <v>0</v>
      </c>
      <c r="BC39" s="25">
        <f>SCBL_Loan!$S$45</f>
        <v>17052000</v>
      </c>
      <c r="BD39" s="25">
        <v>0</v>
      </c>
      <c r="BE39" s="25">
        <v>0</v>
      </c>
      <c r="BF39" s="25">
        <f>SCBL_Loan!$T$45</f>
        <v>17052000</v>
      </c>
      <c r="BG39" s="25">
        <v>0</v>
      </c>
      <c r="BH39" s="25">
        <v>0</v>
      </c>
      <c r="BI39" s="25">
        <f>SCBL_Loan!$U$45</f>
        <v>17052000</v>
      </c>
      <c r="BJ39" s="25">
        <v>0</v>
      </c>
      <c r="BK39" s="25">
        <v>0</v>
      </c>
      <c r="BL39" s="25">
        <f>SCBL_Loan!$V$45</f>
        <v>17052000</v>
      </c>
      <c r="BM39" s="25">
        <v>0</v>
      </c>
      <c r="BN39" s="25">
        <v>0</v>
      </c>
      <c r="BO39" s="25">
        <f>SCBL_Loan!$W$45</f>
        <v>17052000</v>
      </c>
      <c r="BP39" s="25">
        <v>0</v>
      </c>
      <c r="BQ39" s="25">
        <v>0</v>
      </c>
      <c r="BR39" s="25">
        <f>SCBL_Loan!$X$45</f>
        <v>17052000</v>
      </c>
      <c r="BS39" s="25">
        <v>0</v>
      </c>
      <c r="BT39" s="25">
        <v>0</v>
      </c>
      <c r="BU39" s="25">
        <f>SCBL_Loan!$Y$45</f>
        <v>17052000</v>
      </c>
      <c r="BV39" s="25">
        <v>0</v>
      </c>
      <c r="BW39" s="25">
        <v>0</v>
      </c>
      <c r="BX39" s="25">
        <f>SCBL_Loan!$Z$45</f>
        <v>17052000</v>
      </c>
      <c r="BY39" s="25">
        <v>0</v>
      </c>
      <c r="BZ39" s="25">
        <v>0</v>
      </c>
      <c r="CA39" s="25">
        <f>SCBL_Loan!$AA$45</f>
        <v>17052000</v>
      </c>
      <c r="CB39" s="25">
        <v>0</v>
      </c>
      <c r="CC39" s="25">
        <v>0</v>
      </c>
      <c r="CD39" s="25">
        <f>SCBL_Loan!$AB$45</f>
        <v>17052000</v>
      </c>
      <c r="CE39" s="25">
        <v>0</v>
      </c>
      <c r="CF39" s="25">
        <v>0</v>
      </c>
      <c r="CG39" s="25">
        <f>SCBL_Loan!$AC$45</f>
        <v>17052000</v>
      </c>
      <c r="CH39" s="25">
        <v>0</v>
      </c>
      <c r="CI39" s="25">
        <v>0</v>
      </c>
      <c r="CJ39" s="25">
        <f>SCBL_Loan!$AD$45</f>
        <v>17052000</v>
      </c>
      <c r="CK39" s="25">
        <v>0</v>
      </c>
      <c r="CL39" s="25">
        <v>0</v>
      </c>
      <c r="CM39" s="25">
        <f>SCBL_Loan!$AE$45</f>
        <v>17052000</v>
      </c>
      <c r="CN39" s="25">
        <v>0</v>
      </c>
      <c r="CO39" s="25">
        <v>0</v>
      </c>
      <c r="CP39" s="25">
        <f>SCBL_Loan!$AF$45</f>
        <v>17052000</v>
      </c>
      <c r="CQ39" s="25">
        <v>0</v>
      </c>
      <c r="CR39" s="25">
        <v>0</v>
      </c>
      <c r="CS39" s="25">
        <f>SCBL_Loan!$AG$45</f>
        <v>17052000</v>
      </c>
      <c r="CT39" s="25">
        <v>0</v>
      </c>
      <c r="CU39" s="25">
        <v>0</v>
      </c>
      <c r="CV39" s="25">
        <f>SCBL_Loan!$AH$45</f>
        <v>17052000</v>
      </c>
      <c r="CW39" s="25">
        <v>0</v>
      </c>
      <c r="CX39" s="25">
        <v>0</v>
      </c>
      <c r="CY39" s="25">
        <f>SCBL_Loan!$AI$45</f>
        <v>17052000</v>
      </c>
      <c r="CZ39" s="25">
        <v>0</v>
      </c>
      <c r="DA39" s="25">
        <v>0</v>
      </c>
      <c r="DB39" s="25">
        <f>SCBL_Loan!$AJ$45</f>
        <v>17052000</v>
      </c>
      <c r="DC39" s="25">
        <v>0</v>
      </c>
      <c r="DD39" s="25">
        <v>0</v>
      </c>
      <c r="DE39" s="25">
        <f>SCBL_Loan!$AK$45</f>
        <v>17052000</v>
      </c>
      <c r="DF39" s="25">
        <v>0</v>
      </c>
      <c r="DG39" s="25">
        <v>0</v>
      </c>
      <c r="DH39" s="25">
        <f>SCBL_Loan!$AL$45</f>
        <v>17052000</v>
      </c>
      <c r="DI39" s="25">
        <v>0</v>
      </c>
      <c r="DJ39" s="25">
        <v>0</v>
      </c>
      <c r="DK39" s="25">
        <f>SCBL_Loan!$AM$45</f>
        <v>17052000</v>
      </c>
      <c r="DL39" s="25">
        <v>0</v>
      </c>
      <c r="DM39" s="25">
        <v>0</v>
      </c>
      <c r="DN39" s="25">
        <f>SCBL_Loan!$AN$45</f>
        <v>17052000</v>
      </c>
      <c r="DO39" s="25">
        <v>0</v>
      </c>
      <c r="DP39" s="25">
        <v>0</v>
      </c>
      <c r="DQ39" s="25">
        <f>SCBL_Loan!$AN$45</f>
        <v>17052000</v>
      </c>
    </row>
    <row r="40" spans="1:123" s="53" customFormat="1" x14ac:dyDescent="0.25">
      <c r="A40" s="22" t="s">
        <v>13</v>
      </c>
      <c r="B40" s="25">
        <f>B39</f>
        <v>0</v>
      </c>
      <c r="C40" s="25">
        <f>B40+C39</f>
        <v>0</v>
      </c>
      <c r="D40" s="25">
        <f t="shared" ref="D40" si="488">C40+D39</f>
        <v>0</v>
      </c>
      <c r="E40" s="25">
        <f t="shared" ref="E40" si="489">D40+E39</f>
        <v>0</v>
      </c>
      <c r="F40" s="25">
        <f t="shared" ref="F40" si="490">E40+F39</f>
        <v>0</v>
      </c>
      <c r="G40" s="25">
        <f t="shared" ref="G40" si="491">F40+G39</f>
        <v>0</v>
      </c>
      <c r="H40" s="25">
        <f t="shared" ref="H40" si="492">G40+H39</f>
        <v>0</v>
      </c>
      <c r="I40" s="25">
        <f t="shared" ref="I40" si="493">H40+I39</f>
        <v>0</v>
      </c>
      <c r="J40" s="25">
        <f t="shared" ref="J40" si="494">I40+J39</f>
        <v>0</v>
      </c>
      <c r="K40" s="25">
        <f t="shared" ref="K40" si="495">J40+K39</f>
        <v>0</v>
      </c>
      <c r="L40" s="25">
        <f t="shared" ref="L40" si="496">K40+L39</f>
        <v>0</v>
      </c>
      <c r="M40" s="25">
        <f t="shared" ref="M40" si="497">L40+M39</f>
        <v>0</v>
      </c>
      <c r="N40" s="25">
        <f t="shared" ref="N40" si="498">M40+N39</f>
        <v>0</v>
      </c>
      <c r="O40" s="25">
        <f t="shared" ref="O40" si="499">N40+O39</f>
        <v>0</v>
      </c>
      <c r="P40" s="25">
        <f t="shared" ref="P40" si="500">O40+P39</f>
        <v>0</v>
      </c>
      <c r="Q40" s="25">
        <f t="shared" ref="Q40" si="501">P40+Q39</f>
        <v>0</v>
      </c>
      <c r="R40" s="25">
        <f t="shared" ref="R40" si="502">Q40+R39</f>
        <v>0</v>
      </c>
      <c r="S40" s="25">
        <f t="shared" ref="S40" si="503">R40+S39</f>
        <v>0</v>
      </c>
      <c r="T40" s="25">
        <f t="shared" ref="T40" si="504">S40+T39</f>
        <v>0</v>
      </c>
      <c r="U40" s="25">
        <f t="shared" ref="U40" si="505">T40+U39</f>
        <v>0</v>
      </c>
      <c r="V40" s="25">
        <f t="shared" ref="V40" si="506">U40+V39</f>
        <v>17168000</v>
      </c>
      <c r="W40" s="25">
        <f t="shared" ref="W40" si="507">V40+W39</f>
        <v>17168000</v>
      </c>
      <c r="X40" s="25">
        <f t="shared" ref="X40" si="508">W40+X39</f>
        <v>17168000</v>
      </c>
      <c r="Y40" s="25">
        <f t="shared" ref="Y40" si="509">X40+Y39</f>
        <v>34336000</v>
      </c>
      <c r="Z40" s="25">
        <f t="shared" ref="Z40" si="510">Y40+Z39</f>
        <v>34336000</v>
      </c>
      <c r="AA40" s="25">
        <f t="shared" ref="AA40" si="511">Z40+AA39</f>
        <v>34336000</v>
      </c>
      <c r="AB40" s="25">
        <f t="shared" ref="AB40" si="512">AA40+AB39</f>
        <v>51388000</v>
      </c>
      <c r="AC40" s="25">
        <f t="shared" ref="AC40" si="513">AB40+AC39</f>
        <v>51388000</v>
      </c>
      <c r="AD40" s="25">
        <f t="shared" ref="AD40" si="514">AC40+AD39</f>
        <v>51388000</v>
      </c>
      <c r="AE40" s="25">
        <f t="shared" ref="AE40" si="515">AD40+AE39</f>
        <v>68440000</v>
      </c>
      <c r="AF40" s="25">
        <f t="shared" ref="AF40" si="516">AE40+AF39</f>
        <v>68440000</v>
      </c>
      <c r="AG40" s="25">
        <f t="shared" ref="AG40" si="517">AF40+AG39</f>
        <v>68440000</v>
      </c>
      <c r="AH40" s="25">
        <f t="shared" ref="AH40" si="518">AG40+AH39</f>
        <v>85492000</v>
      </c>
      <c r="AI40" s="25">
        <f t="shared" ref="AI40" si="519">AH40+AI39</f>
        <v>85492000</v>
      </c>
      <c r="AJ40" s="25">
        <f t="shared" ref="AJ40" si="520">AI40+AJ39</f>
        <v>85492000</v>
      </c>
      <c r="AK40" s="25">
        <f t="shared" ref="AK40" si="521">AJ40+AK39</f>
        <v>102544000</v>
      </c>
      <c r="AL40" s="25">
        <f t="shared" ref="AL40" si="522">AK40+AL39</f>
        <v>102544000</v>
      </c>
      <c r="AM40" s="25">
        <f t="shared" ref="AM40" si="523">AL40+AM39</f>
        <v>102544000</v>
      </c>
      <c r="AN40" s="25">
        <f t="shared" ref="AN40" si="524">AM40+AN39</f>
        <v>119596000</v>
      </c>
      <c r="AO40" s="25">
        <f t="shared" ref="AO40" si="525">AN40+AO39</f>
        <v>119596000</v>
      </c>
      <c r="AP40" s="25">
        <f t="shared" ref="AP40" si="526">AO40+AP39</f>
        <v>119596000</v>
      </c>
      <c r="AQ40" s="25">
        <f t="shared" ref="AQ40" si="527">AP40+AQ39</f>
        <v>136648000</v>
      </c>
      <c r="AR40" s="25">
        <f t="shared" ref="AR40" si="528">AQ40+AR39</f>
        <v>136648000</v>
      </c>
      <c r="AS40" s="25">
        <f t="shared" ref="AS40" si="529">AR40+AS39</f>
        <v>136648000</v>
      </c>
      <c r="AT40" s="25">
        <f t="shared" ref="AT40" si="530">AS40+AT39</f>
        <v>153700000</v>
      </c>
      <c r="AU40" s="25">
        <f t="shared" ref="AU40" si="531">AT40+AU39</f>
        <v>153700000</v>
      </c>
      <c r="AV40" s="25">
        <f t="shared" ref="AV40" si="532">AU40+AV39</f>
        <v>153700000</v>
      </c>
      <c r="AW40" s="25">
        <f t="shared" ref="AW40" si="533">AV40+AW39</f>
        <v>170752000</v>
      </c>
      <c r="AX40" s="25">
        <f t="shared" ref="AX40" si="534">AW40+AX39</f>
        <v>170752000</v>
      </c>
      <c r="AY40" s="25">
        <f t="shared" ref="AY40" si="535">AX40+AY39</f>
        <v>170752000</v>
      </c>
      <c r="AZ40" s="25">
        <f t="shared" ref="AZ40" si="536">AY40+AZ39</f>
        <v>187804000</v>
      </c>
      <c r="BA40" s="25">
        <f t="shared" ref="BA40" si="537">AZ40+BA39</f>
        <v>187804000</v>
      </c>
      <c r="BB40" s="25">
        <f t="shared" ref="BB40" si="538">BA40+BB39</f>
        <v>187804000</v>
      </c>
      <c r="BC40" s="25">
        <f t="shared" ref="BC40" si="539">BB40+BC39</f>
        <v>204856000</v>
      </c>
      <c r="BD40" s="25">
        <f t="shared" ref="BD40" si="540">BC40+BD39</f>
        <v>204856000</v>
      </c>
      <c r="BE40" s="25">
        <f t="shared" ref="BE40" si="541">BD40+BE39</f>
        <v>204856000</v>
      </c>
      <c r="BF40" s="25">
        <f t="shared" ref="BF40" si="542">BE40+BF39</f>
        <v>221908000</v>
      </c>
      <c r="BG40" s="25">
        <f t="shared" ref="BG40" si="543">BF40+BG39</f>
        <v>221908000</v>
      </c>
      <c r="BH40" s="25">
        <f t="shared" ref="BH40" si="544">BG40+BH39</f>
        <v>221908000</v>
      </c>
      <c r="BI40" s="25">
        <f t="shared" ref="BI40" si="545">BH40+BI39</f>
        <v>238960000</v>
      </c>
      <c r="BJ40" s="25">
        <f t="shared" ref="BJ40" si="546">BI40+BJ39</f>
        <v>238960000</v>
      </c>
      <c r="BK40" s="25">
        <f t="shared" ref="BK40" si="547">BJ40+BK39</f>
        <v>238960000</v>
      </c>
      <c r="BL40" s="25">
        <f t="shared" ref="BL40" si="548">BK40+BL39</f>
        <v>256012000</v>
      </c>
      <c r="BM40" s="25">
        <f t="shared" ref="BM40" si="549">BL40+BM39</f>
        <v>256012000</v>
      </c>
      <c r="BN40" s="25">
        <f t="shared" ref="BN40" si="550">BM40+BN39</f>
        <v>256012000</v>
      </c>
      <c r="BO40" s="25">
        <f t="shared" ref="BO40" si="551">BN40+BO39</f>
        <v>273064000</v>
      </c>
      <c r="BP40" s="25">
        <f t="shared" ref="BP40" si="552">BO40+BP39</f>
        <v>273064000</v>
      </c>
      <c r="BQ40" s="25">
        <f t="shared" ref="BQ40" si="553">BP40+BQ39</f>
        <v>273064000</v>
      </c>
      <c r="BR40" s="25">
        <f t="shared" ref="BR40" si="554">BQ40+BR39</f>
        <v>290116000</v>
      </c>
      <c r="BS40" s="25">
        <f t="shared" ref="BS40" si="555">BR40+BS39</f>
        <v>290116000</v>
      </c>
      <c r="BT40" s="25">
        <f>BS40+BT39</f>
        <v>290116000</v>
      </c>
      <c r="BU40" s="25">
        <f t="shared" ref="BU40" si="556">BT40+BU39</f>
        <v>307168000</v>
      </c>
      <c r="BV40" s="25">
        <f t="shared" ref="BV40" si="557">BU40+BV39</f>
        <v>307168000</v>
      </c>
      <c r="BW40" s="25">
        <f t="shared" ref="BW40" si="558">BV40+BW39</f>
        <v>307168000</v>
      </c>
      <c r="BX40" s="25">
        <f t="shared" ref="BX40" si="559">BW40+BX39</f>
        <v>324220000</v>
      </c>
      <c r="BY40" s="25">
        <f t="shared" ref="BY40" si="560">BX40+BY39</f>
        <v>324220000</v>
      </c>
      <c r="BZ40" s="25">
        <f t="shared" ref="BZ40" si="561">BY40+BZ39</f>
        <v>324220000</v>
      </c>
      <c r="CA40" s="25">
        <f t="shared" ref="CA40" si="562">BZ40+CA39</f>
        <v>341272000</v>
      </c>
      <c r="CB40" s="25">
        <f t="shared" ref="CB40" si="563">CA40+CB39</f>
        <v>341272000</v>
      </c>
      <c r="CC40" s="25">
        <f t="shared" ref="CC40" si="564">CB40+CC39</f>
        <v>341272000</v>
      </c>
      <c r="CD40" s="25">
        <f t="shared" ref="CD40" si="565">CC40+CD39</f>
        <v>358324000</v>
      </c>
      <c r="CE40" s="25">
        <f t="shared" ref="CE40" si="566">CD40+CE39</f>
        <v>358324000</v>
      </c>
      <c r="CF40" s="25">
        <f t="shared" ref="CF40" si="567">CE40+CF39</f>
        <v>358324000</v>
      </c>
      <c r="CG40" s="25">
        <f>CF40+CG39</f>
        <v>375376000</v>
      </c>
      <c r="CH40" s="25">
        <f>CG40+CH39</f>
        <v>375376000</v>
      </c>
      <c r="CI40" s="25">
        <f t="shared" ref="CI40" si="568">CH40+CI39</f>
        <v>375376000</v>
      </c>
      <c r="CJ40" s="25">
        <f>CI40+CJ39</f>
        <v>392428000</v>
      </c>
      <c r="CK40" s="25">
        <f t="shared" ref="CK40" si="569">CJ40+CK39</f>
        <v>392428000</v>
      </c>
      <c r="CL40" s="25">
        <f t="shared" ref="CL40" si="570">CK40+CL39</f>
        <v>392428000</v>
      </c>
      <c r="CM40" s="25">
        <f t="shared" ref="CM40" si="571">CL40+CM39</f>
        <v>409480000</v>
      </c>
      <c r="CN40" s="25">
        <f t="shared" ref="CN40" si="572">CM40+CN39</f>
        <v>409480000</v>
      </c>
      <c r="CO40" s="25">
        <f t="shared" ref="CO40" si="573">CN40+CO39</f>
        <v>409480000</v>
      </c>
      <c r="CP40" s="25">
        <f t="shared" ref="CP40" si="574">CO40+CP39</f>
        <v>426532000</v>
      </c>
      <c r="CQ40" s="25">
        <f>CP40+CQ39</f>
        <v>426532000</v>
      </c>
      <c r="CR40" s="25">
        <f>CQ40+CR39</f>
        <v>426532000</v>
      </c>
      <c r="CS40" s="25">
        <f>CR40+CS39</f>
        <v>443584000</v>
      </c>
      <c r="CT40" s="25">
        <f>CS40+CT39</f>
        <v>443584000</v>
      </c>
      <c r="CU40" s="25">
        <f t="shared" ref="CU40" si="575">CT40+CU39</f>
        <v>443584000</v>
      </c>
      <c r="CV40" s="25">
        <f t="shared" ref="CV40" si="576">CU40+CV39</f>
        <v>460636000</v>
      </c>
      <c r="CW40" s="25">
        <f t="shared" ref="CW40" si="577">CV40+CW39</f>
        <v>460636000</v>
      </c>
      <c r="CX40" s="25">
        <f t="shared" ref="CX40" si="578">CW40+CX39</f>
        <v>460636000</v>
      </c>
      <c r="CY40" s="25">
        <f t="shared" ref="CY40" si="579">CX40+CY39</f>
        <v>477688000</v>
      </c>
      <c r="CZ40" s="25">
        <f t="shared" ref="CZ40" si="580">CY40+CZ39</f>
        <v>477688000</v>
      </c>
      <c r="DA40" s="25">
        <f t="shared" ref="DA40" si="581">CZ40+DA39</f>
        <v>477688000</v>
      </c>
      <c r="DB40" s="25">
        <f t="shared" ref="DB40" si="582">DA40+DB39</f>
        <v>494740000</v>
      </c>
      <c r="DC40" s="25">
        <f t="shared" ref="DC40" si="583">DB40+DC39</f>
        <v>494740000</v>
      </c>
      <c r="DD40" s="25">
        <f t="shared" ref="DD40" si="584">DC40+DD39</f>
        <v>494740000</v>
      </c>
      <c r="DE40" s="25">
        <f t="shared" ref="DE40" si="585">DD40+DE39</f>
        <v>511792000</v>
      </c>
      <c r="DF40" s="25">
        <f t="shared" ref="DF40" si="586">DE40+DF39</f>
        <v>511792000</v>
      </c>
      <c r="DG40" s="25">
        <f>DF40+DG39</f>
        <v>511792000</v>
      </c>
      <c r="DH40" s="25">
        <f t="shared" ref="DH40" si="587">DG40+DH39</f>
        <v>528844000</v>
      </c>
      <c r="DI40" s="25">
        <f t="shared" ref="DI40" si="588">DH40+DI39</f>
        <v>528844000</v>
      </c>
      <c r="DJ40" s="25">
        <f t="shared" ref="DJ40" si="589">DI40+DJ39</f>
        <v>528844000</v>
      </c>
      <c r="DK40" s="25">
        <f t="shared" ref="DK40" si="590">DJ40+DK39</f>
        <v>545896000</v>
      </c>
      <c r="DL40" s="25">
        <f t="shared" ref="DL40" si="591">DK40+DL39</f>
        <v>545896000</v>
      </c>
      <c r="DM40" s="25">
        <f t="shared" ref="DM40" si="592">DL40+DM39</f>
        <v>545896000</v>
      </c>
      <c r="DN40" s="25">
        <f t="shared" ref="DN40" si="593">DM40+DN39</f>
        <v>562948000</v>
      </c>
      <c r="DO40" s="25">
        <f t="shared" ref="DO40" si="594">DN40+DO39</f>
        <v>562948000</v>
      </c>
      <c r="DP40" s="25">
        <f t="shared" ref="DP40" si="595">DO40+DP39</f>
        <v>562948000</v>
      </c>
      <c r="DQ40" s="25">
        <f t="shared" ref="DQ40" si="596">DP40+DQ39</f>
        <v>580000000</v>
      </c>
    </row>
    <row r="41" spans="1:123" s="53" customFormat="1" x14ac:dyDescent="0.25">
      <c r="A41" s="22" t="s">
        <v>8</v>
      </c>
      <c r="B41" s="31">
        <f t="shared" ref="B41:BM41" si="597">B39+B37</f>
        <v>4591666.666666667</v>
      </c>
      <c r="C41" s="31">
        <f t="shared" si="597"/>
        <v>4744722.222222222</v>
      </c>
      <c r="D41" s="31">
        <f t="shared" si="597"/>
        <v>4591666.666666667</v>
      </c>
      <c r="E41" s="31">
        <f t="shared" si="597"/>
        <v>4744722.222222222</v>
      </c>
      <c r="F41" s="31">
        <f t="shared" si="597"/>
        <v>4591666.666666667</v>
      </c>
      <c r="G41" s="31">
        <f t="shared" si="597"/>
        <v>4744722.222222222</v>
      </c>
      <c r="H41" s="31">
        <f t="shared" si="597"/>
        <v>4744722.222222222</v>
      </c>
      <c r="I41" s="31">
        <f t="shared" si="597"/>
        <v>4438611.111111111</v>
      </c>
      <c r="J41" s="31">
        <f t="shared" si="597"/>
        <v>4744722.222222222</v>
      </c>
      <c r="K41" s="31">
        <f t="shared" si="597"/>
        <v>4591666.666666667</v>
      </c>
      <c r="L41" s="31">
        <f t="shared" si="597"/>
        <v>4744722.222222222</v>
      </c>
      <c r="M41" s="31">
        <f t="shared" si="597"/>
        <v>4591666.666666667</v>
      </c>
      <c r="N41" s="31">
        <f t="shared" si="597"/>
        <v>4744722.222222222</v>
      </c>
      <c r="O41" s="31">
        <f t="shared" si="597"/>
        <v>4591666.666666667</v>
      </c>
      <c r="P41" s="31">
        <f t="shared" si="597"/>
        <v>4350000</v>
      </c>
      <c r="Q41" s="31">
        <f t="shared" si="597"/>
        <v>4495000</v>
      </c>
      <c r="R41" s="31">
        <f t="shared" si="597"/>
        <v>4350000</v>
      </c>
      <c r="S41" s="31">
        <f t="shared" si="597"/>
        <v>4495000</v>
      </c>
      <c r="T41" s="31">
        <f t="shared" si="597"/>
        <v>4495000</v>
      </c>
      <c r="U41" s="31">
        <f t="shared" si="597"/>
        <v>4060000</v>
      </c>
      <c r="V41" s="31">
        <f t="shared" si="597"/>
        <v>21590036</v>
      </c>
      <c r="W41" s="31">
        <f t="shared" si="597"/>
        <v>4221240</v>
      </c>
      <c r="X41" s="31">
        <f t="shared" si="597"/>
        <v>4361948</v>
      </c>
      <c r="Y41" s="31">
        <f t="shared" si="597"/>
        <v>21320568</v>
      </c>
      <c r="Z41" s="31">
        <f t="shared" si="597"/>
        <v>4228896</v>
      </c>
      <c r="AA41" s="31">
        <f t="shared" si="597"/>
        <v>4228896</v>
      </c>
      <c r="AB41" s="31">
        <f t="shared" si="597"/>
        <v>21076272</v>
      </c>
      <c r="AC41" s="31">
        <f t="shared" si="597"/>
        <v>4096743</v>
      </c>
      <c r="AD41" s="31">
        <f t="shared" si="597"/>
        <v>3964590</v>
      </c>
      <c r="AE41" s="31">
        <f t="shared" si="597"/>
        <v>21076272</v>
      </c>
      <c r="AF41" s="31">
        <f t="shared" si="597"/>
        <v>3964590</v>
      </c>
      <c r="AG41" s="31">
        <f t="shared" si="597"/>
        <v>3580920</v>
      </c>
      <c r="AH41" s="31">
        <f t="shared" si="597"/>
        <v>20944119</v>
      </c>
      <c r="AI41" s="31">
        <f t="shared" si="597"/>
        <v>3708810</v>
      </c>
      <c r="AJ41" s="31">
        <f t="shared" si="597"/>
        <v>3832437</v>
      </c>
      <c r="AK41" s="31">
        <f t="shared" si="597"/>
        <v>20692602</v>
      </c>
      <c r="AL41" s="31">
        <f t="shared" si="597"/>
        <v>3700284</v>
      </c>
      <c r="AM41" s="31">
        <f t="shared" si="597"/>
        <v>3700284</v>
      </c>
      <c r="AN41" s="31">
        <f t="shared" si="597"/>
        <v>20564712</v>
      </c>
      <c r="AO41" s="31">
        <f t="shared" si="597"/>
        <v>3568131</v>
      </c>
      <c r="AP41" s="31">
        <f t="shared" si="597"/>
        <v>3453030</v>
      </c>
      <c r="AQ41" s="31">
        <f t="shared" si="597"/>
        <v>20547660</v>
      </c>
      <c r="AR41" s="31">
        <f t="shared" si="597"/>
        <v>3435978</v>
      </c>
      <c r="AS41" s="31">
        <f t="shared" si="597"/>
        <v>3103464</v>
      </c>
      <c r="AT41" s="31">
        <f t="shared" si="597"/>
        <v>20415507</v>
      </c>
      <c r="AU41" s="31">
        <f t="shared" si="597"/>
        <v>3197250</v>
      </c>
      <c r="AV41" s="31">
        <f t="shared" si="597"/>
        <v>3303825</v>
      </c>
      <c r="AW41" s="31">
        <f t="shared" si="597"/>
        <v>20181042</v>
      </c>
      <c r="AX41" s="31">
        <f t="shared" si="597"/>
        <v>3171672</v>
      </c>
      <c r="AY41" s="31">
        <f t="shared" si="597"/>
        <v>3171672</v>
      </c>
      <c r="AZ41" s="31">
        <f t="shared" si="597"/>
        <v>20048889</v>
      </c>
      <c r="BA41" s="31">
        <f t="shared" si="597"/>
        <v>3039519</v>
      </c>
      <c r="BB41" s="31">
        <f t="shared" si="597"/>
        <v>2941470</v>
      </c>
      <c r="BC41" s="31">
        <f t="shared" si="597"/>
        <v>20014785</v>
      </c>
      <c r="BD41" s="31">
        <f t="shared" si="597"/>
        <v>2907366</v>
      </c>
      <c r="BE41" s="31">
        <f t="shared" si="597"/>
        <v>2719794</v>
      </c>
      <c r="BF41" s="31">
        <f t="shared" si="597"/>
        <v>19882632</v>
      </c>
      <c r="BG41" s="31">
        <f t="shared" si="597"/>
        <v>2685690</v>
      </c>
      <c r="BH41" s="31">
        <f t="shared" si="597"/>
        <v>2775213</v>
      </c>
      <c r="BI41" s="31">
        <f t="shared" si="597"/>
        <v>19660956</v>
      </c>
      <c r="BJ41" s="31">
        <f t="shared" si="597"/>
        <v>2643060</v>
      </c>
      <c r="BK41" s="31">
        <f t="shared" si="597"/>
        <v>2643060</v>
      </c>
      <c r="BL41" s="31">
        <f t="shared" si="597"/>
        <v>19541592</v>
      </c>
      <c r="BM41" s="31">
        <f t="shared" si="597"/>
        <v>2510907</v>
      </c>
      <c r="BN41" s="31">
        <f t="shared" ref="BN41:CP41" si="598">BN39+BN37</f>
        <v>2429910</v>
      </c>
      <c r="BO41" s="31">
        <f t="shared" si="598"/>
        <v>19490436</v>
      </c>
      <c r="BP41" s="31">
        <f t="shared" si="598"/>
        <v>2378754</v>
      </c>
      <c r="BQ41" s="31">
        <f t="shared" si="598"/>
        <v>2148552</v>
      </c>
      <c r="BR41" s="31">
        <f t="shared" si="598"/>
        <v>19349757</v>
      </c>
      <c r="BS41" s="31">
        <f t="shared" si="598"/>
        <v>2174130</v>
      </c>
      <c r="BT41" s="31">
        <f t="shared" si="598"/>
        <v>2246601</v>
      </c>
      <c r="BU41" s="31">
        <f t="shared" si="598"/>
        <v>19157922</v>
      </c>
      <c r="BV41" s="31">
        <f t="shared" si="598"/>
        <v>2114448</v>
      </c>
      <c r="BW41" s="31">
        <f t="shared" si="598"/>
        <v>2114448</v>
      </c>
      <c r="BX41" s="31">
        <f t="shared" si="598"/>
        <v>19030032</v>
      </c>
      <c r="BY41" s="31">
        <f t="shared" si="598"/>
        <v>1982295</v>
      </c>
      <c r="BZ41" s="31">
        <f t="shared" si="598"/>
        <v>1918350</v>
      </c>
      <c r="CA41" s="31">
        <f t="shared" si="598"/>
        <v>18961824</v>
      </c>
      <c r="CB41" s="31">
        <f t="shared" si="598"/>
        <v>1850142</v>
      </c>
      <c r="CC41" s="31">
        <f t="shared" si="598"/>
        <v>1671096</v>
      </c>
      <c r="CD41" s="31">
        <f t="shared" si="598"/>
        <v>18829671</v>
      </c>
      <c r="CE41" s="31">
        <f t="shared" si="598"/>
        <v>1662570</v>
      </c>
      <c r="CF41" s="31">
        <f t="shared" si="598"/>
        <v>1717989</v>
      </c>
      <c r="CG41" s="31">
        <f t="shared" si="598"/>
        <v>18646362</v>
      </c>
      <c r="CH41" s="31">
        <f t="shared" si="598"/>
        <v>1585836</v>
      </c>
      <c r="CI41" s="31">
        <f t="shared" si="598"/>
        <v>1585836</v>
      </c>
      <c r="CJ41" s="31">
        <f t="shared" si="598"/>
        <v>18518472</v>
      </c>
      <c r="CK41" s="31">
        <f t="shared" si="598"/>
        <v>1453683</v>
      </c>
      <c r="CL41" s="31">
        <f t="shared" si="598"/>
        <v>1406790</v>
      </c>
      <c r="CM41" s="31">
        <f t="shared" si="598"/>
        <v>18433212</v>
      </c>
      <c r="CN41" s="31">
        <f t="shared" si="598"/>
        <v>1321530</v>
      </c>
      <c r="CO41" s="31">
        <f t="shared" si="598"/>
        <v>1193640</v>
      </c>
      <c r="CP41" s="31">
        <f t="shared" si="598"/>
        <v>18301059</v>
      </c>
      <c r="CQ41" s="31">
        <f>CQ39+CQ37</f>
        <v>1151010</v>
      </c>
      <c r="CR41" s="31">
        <f>CR39+CR37</f>
        <v>1189377</v>
      </c>
      <c r="CS41" s="31">
        <f>CS39+CS37</f>
        <v>18134802</v>
      </c>
      <c r="CT41" s="31">
        <f>CT39+CT37</f>
        <v>1057224</v>
      </c>
      <c r="CU41" s="31">
        <f t="shared" ref="CU41:DF41" si="599">CU39+CU37</f>
        <v>1057224</v>
      </c>
      <c r="CV41" s="31">
        <f t="shared" si="599"/>
        <v>18006912</v>
      </c>
      <c r="CW41" s="31">
        <f t="shared" si="599"/>
        <v>925071</v>
      </c>
      <c r="CX41" s="31">
        <f t="shared" si="599"/>
        <v>895230</v>
      </c>
      <c r="CY41" s="31">
        <f t="shared" si="599"/>
        <v>17904600</v>
      </c>
      <c r="CZ41" s="31">
        <f t="shared" si="599"/>
        <v>792918</v>
      </c>
      <c r="DA41" s="31">
        <f t="shared" si="599"/>
        <v>741762</v>
      </c>
      <c r="DB41" s="31">
        <f t="shared" si="599"/>
        <v>17772447</v>
      </c>
      <c r="DC41" s="31">
        <f t="shared" si="599"/>
        <v>639450</v>
      </c>
      <c r="DD41" s="31">
        <f t="shared" si="599"/>
        <v>660765</v>
      </c>
      <c r="DE41" s="31">
        <f t="shared" si="599"/>
        <v>17623242</v>
      </c>
      <c r="DF41" s="31">
        <f t="shared" si="599"/>
        <v>528612</v>
      </c>
      <c r="DG41" s="31">
        <f>DG39+DG37</f>
        <v>528612</v>
      </c>
      <c r="DH41" s="31">
        <f t="shared" ref="DH41:DM41" si="600">DH39+DH37</f>
        <v>17491089</v>
      </c>
      <c r="DI41" s="31">
        <f t="shared" si="600"/>
        <v>396459</v>
      </c>
      <c r="DJ41" s="31">
        <f t="shared" si="600"/>
        <v>383670</v>
      </c>
      <c r="DK41" s="31">
        <f t="shared" si="600"/>
        <v>17371725</v>
      </c>
      <c r="DL41" s="31">
        <f t="shared" si="600"/>
        <v>264306</v>
      </c>
      <c r="DM41" s="31">
        <f t="shared" si="600"/>
        <v>238728</v>
      </c>
      <c r="DN41" s="31">
        <f>DN39+DN37</f>
        <v>17243835</v>
      </c>
      <c r="DO41" s="31">
        <f t="shared" ref="DO41:DP41" si="601">DO39+DO37</f>
        <v>127890</v>
      </c>
      <c r="DP41" s="31">
        <f t="shared" si="601"/>
        <v>132153</v>
      </c>
      <c r="DQ41" s="31">
        <f>DQ39+DQ37</f>
        <v>17107419</v>
      </c>
    </row>
    <row r="42" spans="1:123" s="53" customFormat="1" ht="14.25" thickBot="1" x14ac:dyDescent="0.3">
      <c r="A42" s="32" t="s">
        <v>9</v>
      </c>
      <c r="B42" s="33">
        <f>B36-B39</f>
        <v>580000000</v>
      </c>
      <c r="C42" s="33">
        <f t="shared" ref="C42:BN42" si="602">C36-C39</f>
        <v>580000000</v>
      </c>
      <c r="D42" s="33">
        <f t="shared" si="602"/>
        <v>580000000</v>
      </c>
      <c r="E42" s="33">
        <f t="shared" si="602"/>
        <v>580000000</v>
      </c>
      <c r="F42" s="33">
        <f t="shared" si="602"/>
        <v>580000000</v>
      </c>
      <c r="G42" s="33">
        <f t="shared" si="602"/>
        <v>580000000</v>
      </c>
      <c r="H42" s="33">
        <f t="shared" si="602"/>
        <v>580000000</v>
      </c>
      <c r="I42" s="33">
        <f t="shared" si="602"/>
        <v>580000000</v>
      </c>
      <c r="J42" s="33">
        <f t="shared" si="602"/>
        <v>580000000</v>
      </c>
      <c r="K42" s="33">
        <f t="shared" si="602"/>
        <v>580000000</v>
      </c>
      <c r="L42" s="33">
        <f t="shared" si="602"/>
        <v>580000000</v>
      </c>
      <c r="M42" s="33">
        <f t="shared" si="602"/>
        <v>580000000</v>
      </c>
      <c r="N42" s="33">
        <f t="shared" si="602"/>
        <v>580000000</v>
      </c>
      <c r="O42" s="33">
        <f t="shared" si="602"/>
        <v>580000000</v>
      </c>
      <c r="P42" s="33">
        <f t="shared" si="602"/>
        <v>580000000</v>
      </c>
      <c r="Q42" s="33">
        <f t="shared" si="602"/>
        <v>580000000</v>
      </c>
      <c r="R42" s="33">
        <f t="shared" si="602"/>
        <v>580000000</v>
      </c>
      <c r="S42" s="33">
        <f t="shared" si="602"/>
        <v>580000000</v>
      </c>
      <c r="T42" s="33">
        <f t="shared" si="602"/>
        <v>580000000</v>
      </c>
      <c r="U42" s="33">
        <f t="shared" si="602"/>
        <v>580000000</v>
      </c>
      <c r="V42" s="33">
        <f t="shared" si="602"/>
        <v>562832000</v>
      </c>
      <c r="W42" s="33">
        <f t="shared" si="602"/>
        <v>562832000</v>
      </c>
      <c r="X42" s="33">
        <f t="shared" si="602"/>
        <v>562832000</v>
      </c>
      <c r="Y42" s="33">
        <f t="shared" si="602"/>
        <v>545664000</v>
      </c>
      <c r="Z42" s="33">
        <f t="shared" si="602"/>
        <v>545664000</v>
      </c>
      <c r="AA42" s="33">
        <f t="shared" si="602"/>
        <v>545664000</v>
      </c>
      <c r="AB42" s="33">
        <f t="shared" si="602"/>
        <v>528612000</v>
      </c>
      <c r="AC42" s="33">
        <f t="shared" si="602"/>
        <v>528612000</v>
      </c>
      <c r="AD42" s="33">
        <f t="shared" si="602"/>
        <v>528612000</v>
      </c>
      <c r="AE42" s="33">
        <f t="shared" si="602"/>
        <v>511560000</v>
      </c>
      <c r="AF42" s="33">
        <f t="shared" si="602"/>
        <v>511560000</v>
      </c>
      <c r="AG42" s="33">
        <f t="shared" si="602"/>
        <v>511560000</v>
      </c>
      <c r="AH42" s="33">
        <f t="shared" si="602"/>
        <v>494508000</v>
      </c>
      <c r="AI42" s="33">
        <f t="shared" si="602"/>
        <v>494508000</v>
      </c>
      <c r="AJ42" s="33">
        <f t="shared" si="602"/>
        <v>494508000</v>
      </c>
      <c r="AK42" s="33">
        <f t="shared" si="602"/>
        <v>477456000</v>
      </c>
      <c r="AL42" s="33">
        <f t="shared" si="602"/>
        <v>477456000</v>
      </c>
      <c r="AM42" s="33">
        <f t="shared" si="602"/>
        <v>477456000</v>
      </c>
      <c r="AN42" s="33">
        <f t="shared" si="602"/>
        <v>460404000</v>
      </c>
      <c r="AO42" s="33">
        <f t="shared" si="602"/>
        <v>460404000</v>
      </c>
      <c r="AP42" s="33">
        <f t="shared" si="602"/>
        <v>460404000</v>
      </c>
      <c r="AQ42" s="33">
        <f t="shared" si="602"/>
        <v>443352000</v>
      </c>
      <c r="AR42" s="33">
        <f t="shared" si="602"/>
        <v>443352000</v>
      </c>
      <c r="AS42" s="33">
        <f t="shared" si="602"/>
        <v>443352000</v>
      </c>
      <c r="AT42" s="33">
        <f t="shared" si="602"/>
        <v>426300000</v>
      </c>
      <c r="AU42" s="33">
        <f t="shared" si="602"/>
        <v>426300000</v>
      </c>
      <c r="AV42" s="33">
        <f t="shared" si="602"/>
        <v>426300000</v>
      </c>
      <c r="AW42" s="33">
        <f t="shared" si="602"/>
        <v>409248000</v>
      </c>
      <c r="AX42" s="33">
        <f t="shared" si="602"/>
        <v>409248000</v>
      </c>
      <c r="AY42" s="33">
        <f t="shared" si="602"/>
        <v>409248000</v>
      </c>
      <c r="AZ42" s="33">
        <f t="shared" si="602"/>
        <v>392196000</v>
      </c>
      <c r="BA42" s="33">
        <f t="shared" si="602"/>
        <v>392196000</v>
      </c>
      <c r="BB42" s="33">
        <f t="shared" si="602"/>
        <v>392196000</v>
      </c>
      <c r="BC42" s="33">
        <f t="shared" si="602"/>
        <v>375144000</v>
      </c>
      <c r="BD42" s="33">
        <f t="shared" si="602"/>
        <v>375144000</v>
      </c>
      <c r="BE42" s="33">
        <f t="shared" si="602"/>
        <v>375144000</v>
      </c>
      <c r="BF42" s="33">
        <f t="shared" si="602"/>
        <v>358092000</v>
      </c>
      <c r="BG42" s="33">
        <f t="shared" si="602"/>
        <v>358092000</v>
      </c>
      <c r="BH42" s="33">
        <f t="shared" si="602"/>
        <v>358092000</v>
      </c>
      <c r="BI42" s="33">
        <f t="shared" si="602"/>
        <v>341040000</v>
      </c>
      <c r="BJ42" s="33">
        <f t="shared" si="602"/>
        <v>341040000</v>
      </c>
      <c r="BK42" s="33">
        <f t="shared" si="602"/>
        <v>341040000</v>
      </c>
      <c r="BL42" s="33">
        <f t="shared" si="602"/>
        <v>323988000</v>
      </c>
      <c r="BM42" s="33">
        <f t="shared" si="602"/>
        <v>323988000</v>
      </c>
      <c r="BN42" s="33">
        <f t="shared" si="602"/>
        <v>323988000</v>
      </c>
      <c r="BO42" s="33">
        <f t="shared" ref="BO42:CP42" si="603">BO36-BO39</f>
        <v>306936000</v>
      </c>
      <c r="BP42" s="33">
        <f t="shared" si="603"/>
        <v>306936000</v>
      </c>
      <c r="BQ42" s="33">
        <f t="shared" si="603"/>
        <v>306936000</v>
      </c>
      <c r="BR42" s="33">
        <f t="shared" si="603"/>
        <v>289884000</v>
      </c>
      <c r="BS42" s="33">
        <f t="shared" si="603"/>
        <v>289884000</v>
      </c>
      <c r="BT42" s="33">
        <f t="shared" si="603"/>
        <v>289884000</v>
      </c>
      <c r="BU42" s="33">
        <f t="shared" si="603"/>
        <v>272832000</v>
      </c>
      <c r="BV42" s="33">
        <f t="shared" si="603"/>
        <v>272832000</v>
      </c>
      <c r="BW42" s="33">
        <f t="shared" si="603"/>
        <v>272832000</v>
      </c>
      <c r="BX42" s="33">
        <f t="shared" si="603"/>
        <v>255780000</v>
      </c>
      <c r="BY42" s="33">
        <f t="shared" si="603"/>
        <v>255780000</v>
      </c>
      <c r="BZ42" s="33">
        <f t="shared" si="603"/>
        <v>255780000</v>
      </c>
      <c r="CA42" s="33">
        <f t="shared" si="603"/>
        <v>238728000</v>
      </c>
      <c r="CB42" s="33">
        <f t="shared" si="603"/>
        <v>238728000</v>
      </c>
      <c r="CC42" s="33">
        <f t="shared" si="603"/>
        <v>238728000</v>
      </c>
      <c r="CD42" s="33">
        <f t="shared" si="603"/>
        <v>221676000</v>
      </c>
      <c r="CE42" s="33">
        <f t="shared" si="603"/>
        <v>221676000</v>
      </c>
      <c r="CF42" s="33">
        <f t="shared" si="603"/>
        <v>221676000</v>
      </c>
      <c r="CG42" s="33">
        <f t="shared" si="603"/>
        <v>204624000</v>
      </c>
      <c r="CH42" s="33">
        <f t="shared" si="603"/>
        <v>204624000</v>
      </c>
      <c r="CI42" s="33">
        <f t="shared" si="603"/>
        <v>204624000</v>
      </c>
      <c r="CJ42" s="33">
        <f t="shared" si="603"/>
        <v>187572000</v>
      </c>
      <c r="CK42" s="33">
        <f t="shared" si="603"/>
        <v>187572000</v>
      </c>
      <c r="CL42" s="33">
        <f t="shared" si="603"/>
        <v>187572000</v>
      </c>
      <c r="CM42" s="33">
        <f t="shared" si="603"/>
        <v>170520000</v>
      </c>
      <c r="CN42" s="33">
        <f t="shared" si="603"/>
        <v>170520000</v>
      </c>
      <c r="CO42" s="33">
        <f t="shared" si="603"/>
        <v>170520000</v>
      </c>
      <c r="CP42" s="33">
        <f t="shared" si="603"/>
        <v>153468000</v>
      </c>
      <c r="CQ42" s="33">
        <f>CQ36-CQ39</f>
        <v>153468000</v>
      </c>
      <c r="CR42" s="33">
        <f>CR36-CR39</f>
        <v>153468000</v>
      </c>
      <c r="CS42" s="33">
        <f>CS36-CS39</f>
        <v>136416000</v>
      </c>
      <c r="CT42" s="33">
        <f>CT36-CT39</f>
        <v>136416000</v>
      </c>
      <c r="CU42" s="33">
        <f t="shared" ref="CU42:DF42" si="604">CU36-CU39</f>
        <v>136416000</v>
      </c>
      <c r="CV42" s="33">
        <f t="shared" si="604"/>
        <v>119364000</v>
      </c>
      <c r="CW42" s="33">
        <f t="shared" si="604"/>
        <v>119364000</v>
      </c>
      <c r="CX42" s="33">
        <f t="shared" si="604"/>
        <v>119364000</v>
      </c>
      <c r="CY42" s="33">
        <f t="shared" si="604"/>
        <v>102312000</v>
      </c>
      <c r="CZ42" s="33">
        <f t="shared" si="604"/>
        <v>102312000</v>
      </c>
      <c r="DA42" s="33">
        <f t="shared" si="604"/>
        <v>102312000</v>
      </c>
      <c r="DB42" s="33">
        <f t="shared" si="604"/>
        <v>85260000</v>
      </c>
      <c r="DC42" s="33">
        <f t="shared" si="604"/>
        <v>85260000</v>
      </c>
      <c r="DD42" s="33">
        <f t="shared" si="604"/>
        <v>85260000</v>
      </c>
      <c r="DE42" s="33">
        <f t="shared" si="604"/>
        <v>68208000</v>
      </c>
      <c r="DF42" s="33">
        <f t="shared" si="604"/>
        <v>68208000</v>
      </c>
      <c r="DG42" s="33">
        <f>DG36-DG39</f>
        <v>68208000</v>
      </c>
      <c r="DH42" s="33">
        <f t="shared" ref="DH42:DM42" si="605">DH36-DH39</f>
        <v>51156000</v>
      </c>
      <c r="DI42" s="33">
        <f t="shared" si="605"/>
        <v>51156000</v>
      </c>
      <c r="DJ42" s="33">
        <f t="shared" si="605"/>
        <v>51156000</v>
      </c>
      <c r="DK42" s="33">
        <f t="shared" si="605"/>
        <v>34104000</v>
      </c>
      <c r="DL42" s="33">
        <f t="shared" si="605"/>
        <v>34104000</v>
      </c>
      <c r="DM42" s="33">
        <f t="shared" si="605"/>
        <v>34104000</v>
      </c>
      <c r="DN42" s="33">
        <f>DN36-DN39</f>
        <v>17052000</v>
      </c>
      <c r="DO42" s="33">
        <f t="shared" ref="DO42:DP42" si="606">DO36-DO39</f>
        <v>17052000</v>
      </c>
      <c r="DP42" s="33">
        <f t="shared" si="606"/>
        <v>17052000</v>
      </c>
      <c r="DQ42" s="33">
        <f>DQ36-DQ39</f>
        <v>0</v>
      </c>
    </row>
    <row r="43" spans="1:123" x14ac:dyDescent="0.25">
      <c r="DQ43" s="29">
        <f>+DQ38-SCBL_Loan!AO44</f>
        <v>0</v>
      </c>
      <c r="DR43" s="53"/>
      <c r="DS43" s="53"/>
    </row>
    <row r="44" spans="1:123" s="55" customFormat="1" ht="18.75" x14ac:dyDescent="0.3">
      <c r="A44" s="139" t="s">
        <v>85</v>
      </c>
      <c r="B44" s="49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50"/>
      <c r="BH44" s="50"/>
      <c r="BI44" s="50"/>
      <c r="BJ44" s="50"/>
      <c r="BK44" s="50"/>
      <c r="BL44" s="50"/>
      <c r="BM44" s="50"/>
      <c r="BN44" s="50"/>
      <c r="BO44" s="50"/>
      <c r="BP44" s="50"/>
      <c r="BQ44" s="50"/>
      <c r="BR44" s="50"/>
      <c r="BS44" s="50"/>
      <c r="BT44" s="50"/>
      <c r="BU44" s="50"/>
      <c r="BV44" s="50"/>
      <c r="DR44" s="53"/>
      <c r="DS44" s="53"/>
    </row>
    <row r="45" spans="1:123" x14ac:dyDescent="0.25">
      <c r="A45" s="138" t="s">
        <v>57</v>
      </c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6"/>
      <c r="AI45" s="146"/>
      <c r="AJ45" s="146"/>
      <c r="AK45" s="146"/>
      <c r="AL45" s="146"/>
      <c r="AM45" s="146"/>
      <c r="AN45" s="146"/>
      <c r="AO45" s="146"/>
      <c r="AP45" s="146"/>
      <c r="AQ45" s="146"/>
      <c r="AR45" s="146"/>
      <c r="AS45" s="146"/>
      <c r="AT45" s="146"/>
      <c r="AU45" s="146"/>
      <c r="AV45" s="146"/>
      <c r="AW45" s="146"/>
      <c r="AX45" s="146"/>
      <c r="AY45" s="146"/>
      <c r="AZ45" s="146"/>
      <c r="BA45" s="146"/>
      <c r="BB45" s="146"/>
      <c r="BC45" s="146"/>
      <c r="BD45" s="146"/>
      <c r="BE45" s="146"/>
      <c r="BF45" s="146"/>
      <c r="BG45" s="146"/>
      <c r="BH45" s="146"/>
      <c r="BI45" s="146"/>
      <c r="BJ45" s="146"/>
      <c r="BK45" s="146"/>
      <c r="BL45" s="146"/>
      <c r="BM45" s="146"/>
      <c r="BN45" s="146"/>
      <c r="BO45" s="146"/>
      <c r="BP45" s="146"/>
      <c r="BQ45" s="146"/>
      <c r="BR45" s="146"/>
      <c r="BS45" s="146"/>
      <c r="BT45" s="146"/>
      <c r="BU45" s="146"/>
      <c r="BV45" s="146"/>
      <c r="BW45" s="146"/>
      <c r="BX45" s="146"/>
      <c r="BY45" s="146"/>
      <c r="BZ45" s="146"/>
      <c r="CA45" s="146"/>
      <c r="CB45" s="146"/>
      <c r="CC45" s="146"/>
      <c r="CD45" s="146"/>
      <c r="CE45" s="146"/>
      <c r="CF45" s="146"/>
      <c r="CG45" s="146"/>
      <c r="CH45" s="146"/>
      <c r="CI45" s="146"/>
      <c r="CJ45" s="146"/>
      <c r="CK45" s="146"/>
      <c r="CL45" s="146"/>
      <c r="CM45" s="146"/>
      <c r="CN45" s="146"/>
      <c r="CO45" s="146"/>
      <c r="CP45" s="146"/>
      <c r="CQ45" s="146"/>
      <c r="CR45" s="146"/>
      <c r="CS45" s="146"/>
      <c r="CT45" s="146"/>
      <c r="CU45" s="146"/>
      <c r="CV45" s="146"/>
      <c r="CW45" s="146"/>
      <c r="CX45" s="146"/>
      <c r="CY45" s="146"/>
      <c r="CZ45" s="146"/>
      <c r="DA45" s="146"/>
      <c r="DB45" s="146"/>
      <c r="DC45" s="146"/>
      <c r="DD45" s="146"/>
      <c r="DE45" s="146"/>
      <c r="DF45" s="146"/>
      <c r="DG45" s="146"/>
      <c r="DH45" s="146"/>
      <c r="DI45" s="146"/>
      <c r="DJ45" s="146"/>
      <c r="DK45" s="146"/>
      <c r="DL45" s="146"/>
      <c r="DM45" s="146"/>
      <c r="DN45" s="146"/>
      <c r="DO45" s="146"/>
      <c r="DP45" s="146"/>
      <c r="DQ45" s="146"/>
      <c r="DR45" s="53"/>
      <c r="DS45" s="53"/>
    </row>
    <row r="46" spans="1:123" s="53" customFormat="1" ht="14.25" thickBot="1" x14ac:dyDescent="0.3">
      <c r="A46" s="108" t="s">
        <v>58</v>
      </c>
      <c r="B46" s="109">
        <f>+B34</f>
        <v>9.5000000000000001E-2</v>
      </c>
      <c r="C46" s="109">
        <f t="shared" ref="C46:BN46" si="607">+C34</f>
        <v>9.5000000000000001E-2</v>
      </c>
      <c r="D46" s="109">
        <f t="shared" si="607"/>
        <v>9.5000000000000001E-2</v>
      </c>
      <c r="E46" s="109">
        <f t="shared" si="607"/>
        <v>9.5000000000000001E-2</v>
      </c>
      <c r="F46" s="109">
        <f t="shared" si="607"/>
        <v>9.5000000000000001E-2</v>
      </c>
      <c r="G46" s="109">
        <f t="shared" si="607"/>
        <v>9.5000000000000001E-2</v>
      </c>
      <c r="H46" s="109">
        <f t="shared" si="607"/>
        <v>9.5000000000000001E-2</v>
      </c>
      <c r="I46" s="109">
        <f t="shared" si="607"/>
        <v>9.5000000000000001E-2</v>
      </c>
      <c r="J46" s="109">
        <f t="shared" si="607"/>
        <v>9.5000000000000001E-2</v>
      </c>
      <c r="K46" s="109">
        <f t="shared" si="607"/>
        <v>9.5000000000000001E-2</v>
      </c>
      <c r="L46" s="109">
        <f t="shared" si="607"/>
        <v>9.5000000000000001E-2</v>
      </c>
      <c r="M46" s="109">
        <f t="shared" si="607"/>
        <v>9.5000000000000001E-2</v>
      </c>
      <c r="N46" s="109">
        <f t="shared" si="607"/>
        <v>9.5000000000000001E-2</v>
      </c>
      <c r="O46" s="109">
        <f t="shared" si="607"/>
        <v>0.09</v>
      </c>
      <c r="P46" s="109">
        <f t="shared" si="607"/>
        <v>0.09</v>
      </c>
      <c r="Q46" s="109">
        <f t="shared" si="607"/>
        <v>0.09</v>
      </c>
      <c r="R46" s="109">
        <f t="shared" si="607"/>
        <v>0.09</v>
      </c>
      <c r="S46" s="109">
        <f t="shared" si="607"/>
        <v>0.09</v>
      </c>
      <c r="T46" s="109">
        <f t="shared" si="607"/>
        <v>0.09</v>
      </c>
      <c r="U46" s="109">
        <f t="shared" si="607"/>
        <v>0.09</v>
      </c>
      <c r="V46" s="109">
        <f t="shared" si="607"/>
        <v>0.09</v>
      </c>
      <c r="W46" s="109">
        <f t="shared" si="607"/>
        <v>0.09</v>
      </c>
      <c r="X46" s="109">
        <f t="shared" si="607"/>
        <v>0.09</v>
      </c>
      <c r="Y46" s="109">
        <f t="shared" si="607"/>
        <v>0.09</v>
      </c>
      <c r="Z46" s="109">
        <f t="shared" si="607"/>
        <v>0.09</v>
      </c>
      <c r="AA46" s="109">
        <f t="shared" si="607"/>
        <v>0.09</v>
      </c>
      <c r="AB46" s="109">
        <f t="shared" si="607"/>
        <v>0.09</v>
      </c>
      <c r="AC46" s="109">
        <f t="shared" si="607"/>
        <v>0.09</v>
      </c>
      <c r="AD46" s="109">
        <f t="shared" si="607"/>
        <v>0.09</v>
      </c>
      <c r="AE46" s="109">
        <f t="shared" si="607"/>
        <v>0.09</v>
      </c>
      <c r="AF46" s="109">
        <f t="shared" si="607"/>
        <v>0.09</v>
      </c>
      <c r="AG46" s="109">
        <f t="shared" si="607"/>
        <v>0.09</v>
      </c>
      <c r="AH46" s="109">
        <f t="shared" si="607"/>
        <v>0.09</v>
      </c>
      <c r="AI46" s="109">
        <f t="shared" si="607"/>
        <v>0.09</v>
      </c>
      <c r="AJ46" s="109">
        <f t="shared" si="607"/>
        <v>0.09</v>
      </c>
      <c r="AK46" s="109">
        <f t="shared" si="607"/>
        <v>0.09</v>
      </c>
      <c r="AL46" s="109">
        <f t="shared" si="607"/>
        <v>0.09</v>
      </c>
      <c r="AM46" s="109">
        <f t="shared" si="607"/>
        <v>0.09</v>
      </c>
      <c r="AN46" s="109">
        <f t="shared" si="607"/>
        <v>0.09</v>
      </c>
      <c r="AO46" s="109">
        <f t="shared" si="607"/>
        <v>0.09</v>
      </c>
      <c r="AP46" s="109">
        <f t="shared" si="607"/>
        <v>0.09</v>
      </c>
      <c r="AQ46" s="109">
        <f t="shared" si="607"/>
        <v>0.09</v>
      </c>
      <c r="AR46" s="109">
        <f t="shared" si="607"/>
        <v>0.09</v>
      </c>
      <c r="AS46" s="109">
        <f t="shared" si="607"/>
        <v>0.09</v>
      </c>
      <c r="AT46" s="109">
        <f t="shared" si="607"/>
        <v>0.09</v>
      </c>
      <c r="AU46" s="109">
        <f t="shared" si="607"/>
        <v>0.09</v>
      </c>
      <c r="AV46" s="109">
        <f t="shared" si="607"/>
        <v>0.09</v>
      </c>
      <c r="AW46" s="109">
        <f t="shared" si="607"/>
        <v>0.09</v>
      </c>
      <c r="AX46" s="109">
        <f t="shared" si="607"/>
        <v>0.09</v>
      </c>
      <c r="AY46" s="109">
        <f t="shared" si="607"/>
        <v>0.09</v>
      </c>
      <c r="AZ46" s="109">
        <f t="shared" si="607"/>
        <v>0.09</v>
      </c>
      <c r="BA46" s="109">
        <f t="shared" si="607"/>
        <v>0.09</v>
      </c>
      <c r="BB46" s="109">
        <f t="shared" si="607"/>
        <v>0.09</v>
      </c>
      <c r="BC46" s="109">
        <f t="shared" si="607"/>
        <v>0.09</v>
      </c>
      <c r="BD46" s="109">
        <f t="shared" si="607"/>
        <v>0.09</v>
      </c>
      <c r="BE46" s="109">
        <f t="shared" si="607"/>
        <v>0.09</v>
      </c>
      <c r="BF46" s="109">
        <f t="shared" si="607"/>
        <v>0.09</v>
      </c>
      <c r="BG46" s="109">
        <f t="shared" si="607"/>
        <v>0.09</v>
      </c>
      <c r="BH46" s="109">
        <f t="shared" si="607"/>
        <v>0.09</v>
      </c>
      <c r="BI46" s="109">
        <f t="shared" si="607"/>
        <v>0.09</v>
      </c>
      <c r="BJ46" s="109">
        <f t="shared" si="607"/>
        <v>0.09</v>
      </c>
      <c r="BK46" s="109">
        <f t="shared" si="607"/>
        <v>0.09</v>
      </c>
      <c r="BL46" s="109">
        <f t="shared" si="607"/>
        <v>0.09</v>
      </c>
      <c r="BM46" s="109">
        <f t="shared" si="607"/>
        <v>0.09</v>
      </c>
      <c r="BN46" s="109">
        <f t="shared" si="607"/>
        <v>0.09</v>
      </c>
      <c r="BO46" s="109">
        <f t="shared" ref="BO46:DQ46" si="608">+BO34</f>
        <v>0.09</v>
      </c>
      <c r="BP46" s="109">
        <f t="shared" si="608"/>
        <v>0.09</v>
      </c>
      <c r="BQ46" s="109">
        <f t="shared" si="608"/>
        <v>0.09</v>
      </c>
      <c r="BR46" s="109">
        <f t="shared" si="608"/>
        <v>0.09</v>
      </c>
      <c r="BS46" s="109">
        <f t="shared" si="608"/>
        <v>0.09</v>
      </c>
      <c r="BT46" s="109">
        <f t="shared" si="608"/>
        <v>0.09</v>
      </c>
      <c r="BU46" s="109">
        <f t="shared" si="608"/>
        <v>0.09</v>
      </c>
      <c r="BV46" s="109">
        <f t="shared" si="608"/>
        <v>0.09</v>
      </c>
      <c r="BW46" s="109">
        <f t="shared" si="608"/>
        <v>0.09</v>
      </c>
      <c r="BX46" s="109">
        <f t="shared" si="608"/>
        <v>0.09</v>
      </c>
      <c r="BY46" s="109">
        <f t="shared" si="608"/>
        <v>0.09</v>
      </c>
      <c r="BZ46" s="109">
        <f t="shared" si="608"/>
        <v>0.09</v>
      </c>
      <c r="CA46" s="109">
        <f t="shared" si="608"/>
        <v>0.09</v>
      </c>
      <c r="CB46" s="109">
        <f t="shared" si="608"/>
        <v>0.09</v>
      </c>
      <c r="CC46" s="109">
        <f t="shared" si="608"/>
        <v>0.09</v>
      </c>
      <c r="CD46" s="109">
        <f t="shared" si="608"/>
        <v>0.09</v>
      </c>
      <c r="CE46" s="109">
        <f t="shared" si="608"/>
        <v>0.09</v>
      </c>
      <c r="CF46" s="109">
        <f t="shared" si="608"/>
        <v>0.09</v>
      </c>
      <c r="CG46" s="109">
        <f t="shared" si="608"/>
        <v>0.09</v>
      </c>
      <c r="CH46" s="109">
        <f t="shared" si="608"/>
        <v>0.09</v>
      </c>
      <c r="CI46" s="109">
        <f t="shared" si="608"/>
        <v>0.09</v>
      </c>
      <c r="CJ46" s="109">
        <f t="shared" si="608"/>
        <v>0.09</v>
      </c>
      <c r="CK46" s="109">
        <f t="shared" si="608"/>
        <v>0.09</v>
      </c>
      <c r="CL46" s="109">
        <f t="shared" si="608"/>
        <v>0.09</v>
      </c>
      <c r="CM46" s="109">
        <f t="shared" si="608"/>
        <v>0.09</v>
      </c>
      <c r="CN46" s="109">
        <f t="shared" si="608"/>
        <v>0.09</v>
      </c>
      <c r="CO46" s="109">
        <f t="shared" si="608"/>
        <v>0.09</v>
      </c>
      <c r="CP46" s="109">
        <f t="shared" si="608"/>
        <v>0.09</v>
      </c>
      <c r="CQ46" s="109">
        <f t="shared" si="608"/>
        <v>0.09</v>
      </c>
      <c r="CR46" s="109">
        <f t="shared" si="608"/>
        <v>0.09</v>
      </c>
      <c r="CS46" s="109">
        <f t="shared" si="608"/>
        <v>0.09</v>
      </c>
      <c r="CT46" s="109">
        <f t="shared" si="608"/>
        <v>0.09</v>
      </c>
      <c r="CU46" s="109">
        <f t="shared" si="608"/>
        <v>0.09</v>
      </c>
      <c r="CV46" s="109">
        <f t="shared" si="608"/>
        <v>0.09</v>
      </c>
      <c r="CW46" s="109">
        <f t="shared" si="608"/>
        <v>0.09</v>
      </c>
      <c r="CX46" s="109">
        <f t="shared" si="608"/>
        <v>0.09</v>
      </c>
      <c r="CY46" s="109">
        <f t="shared" si="608"/>
        <v>0.09</v>
      </c>
      <c r="CZ46" s="109">
        <f t="shared" si="608"/>
        <v>0.09</v>
      </c>
      <c r="DA46" s="109">
        <f t="shared" si="608"/>
        <v>0.09</v>
      </c>
      <c r="DB46" s="109">
        <f t="shared" si="608"/>
        <v>0.09</v>
      </c>
      <c r="DC46" s="109">
        <f t="shared" si="608"/>
        <v>0.09</v>
      </c>
      <c r="DD46" s="109">
        <f t="shared" si="608"/>
        <v>0.09</v>
      </c>
      <c r="DE46" s="109">
        <f t="shared" si="608"/>
        <v>0.09</v>
      </c>
      <c r="DF46" s="109">
        <f t="shared" si="608"/>
        <v>0.09</v>
      </c>
      <c r="DG46" s="109">
        <f t="shared" si="608"/>
        <v>0.09</v>
      </c>
      <c r="DH46" s="109">
        <f t="shared" si="608"/>
        <v>0.09</v>
      </c>
      <c r="DI46" s="109">
        <f t="shared" si="608"/>
        <v>0.09</v>
      </c>
      <c r="DJ46" s="109">
        <f t="shared" si="608"/>
        <v>0.09</v>
      </c>
      <c r="DK46" s="109">
        <f t="shared" si="608"/>
        <v>0.09</v>
      </c>
      <c r="DL46" s="109">
        <f t="shared" si="608"/>
        <v>0.09</v>
      </c>
      <c r="DM46" s="109">
        <f t="shared" si="608"/>
        <v>0.09</v>
      </c>
      <c r="DN46" s="109">
        <f t="shared" si="608"/>
        <v>0.09</v>
      </c>
      <c r="DO46" s="109">
        <f t="shared" si="608"/>
        <v>0.09</v>
      </c>
      <c r="DP46" s="109">
        <f t="shared" si="608"/>
        <v>0.09</v>
      </c>
      <c r="DQ46" s="109">
        <f t="shared" si="608"/>
        <v>0.09</v>
      </c>
    </row>
    <row r="47" spans="1:123" s="53" customFormat="1" ht="15" x14ac:dyDescent="0.3">
      <c r="A47" s="27" t="s">
        <v>14</v>
      </c>
      <c r="B47" s="28">
        <f>B35</f>
        <v>43678</v>
      </c>
      <c r="C47" s="28">
        <f>EDATE(B47,1)</f>
        <v>43709</v>
      </c>
      <c r="D47" s="28">
        <f>EDATE(C47,1)</f>
        <v>43739</v>
      </c>
      <c r="E47" s="28">
        <f t="shared" ref="E47" si="609">EDATE(D47,1)</f>
        <v>43770</v>
      </c>
      <c r="F47" s="28">
        <f t="shared" ref="F47" si="610">EDATE(E47,1)</f>
        <v>43800</v>
      </c>
      <c r="G47" s="28">
        <f t="shared" ref="G47" si="611">EDATE(F47,1)</f>
        <v>43831</v>
      </c>
      <c r="H47" s="28">
        <f t="shared" ref="H47" si="612">EDATE(G47,1)</f>
        <v>43862</v>
      </c>
      <c r="I47" s="28">
        <f t="shared" ref="I47" si="613">EDATE(H47,1)</f>
        <v>43891</v>
      </c>
      <c r="J47" s="28">
        <f t="shared" ref="J47" si="614">EDATE(I47,1)</f>
        <v>43922</v>
      </c>
      <c r="K47" s="28">
        <f t="shared" ref="K47" si="615">EDATE(J47,1)</f>
        <v>43952</v>
      </c>
      <c r="L47" s="28">
        <f t="shared" ref="L47" si="616">EDATE(K47,1)</f>
        <v>43983</v>
      </c>
      <c r="M47" s="28">
        <f t="shared" ref="M47" si="617">EDATE(L47,1)</f>
        <v>44013</v>
      </c>
      <c r="N47" s="28">
        <f t="shared" ref="N47" si="618">EDATE(M47,1)</f>
        <v>44044</v>
      </c>
      <c r="O47" s="28">
        <f t="shared" ref="O47" si="619">EDATE(N47,1)</f>
        <v>44075</v>
      </c>
      <c r="P47" s="28">
        <f t="shared" ref="P47" si="620">EDATE(O47,1)</f>
        <v>44105</v>
      </c>
      <c r="Q47" s="28">
        <f t="shared" ref="Q47" si="621">EDATE(P47,1)</f>
        <v>44136</v>
      </c>
      <c r="R47" s="28">
        <f t="shared" ref="R47" si="622">EDATE(Q47,1)</f>
        <v>44166</v>
      </c>
      <c r="S47" s="28">
        <f t="shared" ref="S47" si="623">EDATE(R47,1)</f>
        <v>44197</v>
      </c>
      <c r="T47" s="28">
        <f t="shared" ref="T47" si="624">EDATE(S47,1)</f>
        <v>44228</v>
      </c>
      <c r="U47" s="28">
        <f t="shared" ref="U47" si="625">EDATE(T47,1)</f>
        <v>44256</v>
      </c>
      <c r="V47" s="28">
        <f t="shared" ref="V47" si="626">EDATE(U47,1)</f>
        <v>44287</v>
      </c>
      <c r="W47" s="28">
        <f t="shared" ref="W47" si="627">EDATE(V47,1)</f>
        <v>44317</v>
      </c>
      <c r="X47" s="28">
        <f t="shared" ref="X47" si="628">EDATE(W47,1)</f>
        <v>44348</v>
      </c>
      <c r="Y47" s="28">
        <f t="shared" ref="Y47" si="629">EDATE(X47,1)</f>
        <v>44378</v>
      </c>
      <c r="Z47" s="28">
        <f t="shared" ref="Z47" si="630">EDATE(Y47,1)</f>
        <v>44409</v>
      </c>
      <c r="AA47" s="28">
        <f t="shared" ref="AA47" si="631">EDATE(Z47,1)</f>
        <v>44440</v>
      </c>
      <c r="AB47" s="28">
        <f t="shared" ref="AB47" si="632">EDATE(AA47,1)</f>
        <v>44470</v>
      </c>
      <c r="AC47" s="28">
        <f t="shared" ref="AC47" si="633">EDATE(AB47,1)</f>
        <v>44501</v>
      </c>
      <c r="AD47" s="28">
        <f t="shared" ref="AD47" si="634">EDATE(AC47,1)</f>
        <v>44531</v>
      </c>
      <c r="AE47" s="28">
        <f t="shared" ref="AE47" si="635">EDATE(AD47,1)</f>
        <v>44562</v>
      </c>
      <c r="AF47" s="28">
        <f t="shared" ref="AF47" si="636">EDATE(AE47,1)</f>
        <v>44593</v>
      </c>
      <c r="AG47" s="28">
        <f t="shared" ref="AG47" si="637">EDATE(AF47,1)</f>
        <v>44621</v>
      </c>
      <c r="AH47" s="28">
        <f t="shared" ref="AH47" si="638">EDATE(AG47,1)</f>
        <v>44652</v>
      </c>
      <c r="AI47" s="28">
        <f t="shared" ref="AI47" si="639">EDATE(AH47,1)</f>
        <v>44682</v>
      </c>
      <c r="AJ47" s="28">
        <f t="shared" ref="AJ47" si="640">EDATE(AI47,1)</f>
        <v>44713</v>
      </c>
      <c r="AK47" s="28">
        <f t="shared" ref="AK47" si="641">EDATE(AJ47,1)</f>
        <v>44743</v>
      </c>
      <c r="AL47" s="28">
        <f t="shared" ref="AL47" si="642">EDATE(AK47,1)</f>
        <v>44774</v>
      </c>
      <c r="AM47" s="28">
        <f t="shared" ref="AM47" si="643">EDATE(AL47,1)</f>
        <v>44805</v>
      </c>
      <c r="AN47" s="28">
        <f t="shared" ref="AN47" si="644">EDATE(AM47,1)</f>
        <v>44835</v>
      </c>
      <c r="AO47" s="28">
        <f t="shared" ref="AO47" si="645">EDATE(AN47,1)</f>
        <v>44866</v>
      </c>
      <c r="AP47" s="28">
        <f t="shared" ref="AP47" si="646">EDATE(AO47,1)</f>
        <v>44896</v>
      </c>
      <c r="AQ47" s="28">
        <f t="shared" ref="AQ47" si="647">EDATE(AP47,1)</f>
        <v>44927</v>
      </c>
      <c r="AR47" s="28">
        <f t="shared" ref="AR47" si="648">EDATE(AQ47,1)</f>
        <v>44958</v>
      </c>
      <c r="AS47" s="28">
        <f t="shared" ref="AS47" si="649">EDATE(AR47,1)</f>
        <v>44986</v>
      </c>
      <c r="AT47" s="28">
        <f t="shared" ref="AT47" si="650">EDATE(AS47,1)</f>
        <v>45017</v>
      </c>
      <c r="AU47" s="28">
        <f t="shared" ref="AU47" si="651">EDATE(AT47,1)</f>
        <v>45047</v>
      </c>
      <c r="AV47" s="28">
        <f t="shared" ref="AV47" si="652">EDATE(AU47,1)</f>
        <v>45078</v>
      </c>
      <c r="AW47" s="28">
        <f t="shared" ref="AW47" si="653">EDATE(AV47,1)</f>
        <v>45108</v>
      </c>
      <c r="AX47" s="28">
        <f t="shared" ref="AX47" si="654">EDATE(AW47,1)</f>
        <v>45139</v>
      </c>
      <c r="AY47" s="28">
        <f t="shared" ref="AY47" si="655">EDATE(AX47,1)</f>
        <v>45170</v>
      </c>
      <c r="AZ47" s="28">
        <f t="shared" ref="AZ47" si="656">EDATE(AY47,1)</f>
        <v>45200</v>
      </c>
      <c r="BA47" s="28">
        <f t="shared" ref="BA47" si="657">EDATE(AZ47,1)</f>
        <v>45231</v>
      </c>
      <c r="BB47" s="28">
        <f t="shared" ref="BB47" si="658">EDATE(BA47,1)</f>
        <v>45261</v>
      </c>
      <c r="BC47" s="28">
        <f t="shared" ref="BC47" si="659">EDATE(BB47,1)</f>
        <v>45292</v>
      </c>
      <c r="BD47" s="28">
        <f t="shared" ref="BD47" si="660">EDATE(BC47,1)</f>
        <v>45323</v>
      </c>
      <c r="BE47" s="28">
        <f t="shared" ref="BE47" si="661">EDATE(BD47,1)</f>
        <v>45352</v>
      </c>
      <c r="BF47" s="28">
        <f t="shared" ref="BF47" si="662">EDATE(BE47,1)</f>
        <v>45383</v>
      </c>
      <c r="BG47" s="28">
        <f t="shared" ref="BG47" si="663">EDATE(BF47,1)</f>
        <v>45413</v>
      </c>
      <c r="BH47" s="28">
        <f t="shared" ref="BH47" si="664">EDATE(BG47,1)</f>
        <v>45444</v>
      </c>
      <c r="BI47" s="28">
        <f t="shared" ref="BI47" si="665">EDATE(BH47,1)</f>
        <v>45474</v>
      </c>
      <c r="BJ47" s="28">
        <f t="shared" ref="BJ47" si="666">EDATE(BI47,1)</f>
        <v>45505</v>
      </c>
      <c r="BK47" s="28">
        <f t="shared" ref="BK47" si="667">EDATE(BJ47,1)</f>
        <v>45536</v>
      </c>
      <c r="BL47" s="28">
        <f t="shared" ref="BL47" si="668">EDATE(BK47,1)</f>
        <v>45566</v>
      </c>
      <c r="BM47" s="28">
        <f t="shared" ref="BM47" si="669">EDATE(BL47,1)</f>
        <v>45597</v>
      </c>
      <c r="BN47" s="28">
        <f t="shared" ref="BN47" si="670">EDATE(BM47,1)</f>
        <v>45627</v>
      </c>
      <c r="BO47" s="28">
        <f t="shared" ref="BO47" si="671">EDATE(BN47,1)</f>
        <v>45658</v>
      </c>
      <c r="BP47" s="28">
        <f t="shared" ref="BP47" si="672">EDATE(BO47,1)</f>
        <v>45689</v>
      </c>
      <c r="BQ47" s="28">
        <f t="shared" ref="BQ47" si="673">EDATE(BP47,1)</f>
        <v>45717</v>
      </c>
      <c r="BR47" s="28">
        <f t="shared" ref="BR47" si="674">EDATE(BQ47,1)</f>
        <v>45748</v>
      </c>
      <c r="BS47" s="28">
        <f t="shared" ref="BS47" si="675">EDATE(BR47,1)</f>
        <v>45778</v>
      </c>
      <c r="BT47" s="28">
        <f t="shared" ref="BT47" si="676">EDATE(BS47,1)</f>
        <v>45809</v>
      </c>
      <c r="BU47" s="28">
        <f t="shared" ref="BU47" si="677">EDATE(BT47,1)</f>
        <v>45839</v>
      </c>
      <c r="BV47" s="28">
        <f t="shared" ref="BV47" si="678">EDATE(BU47,1)</f>
        <v>45870</v>
      </c>
      <c r="BW47" s="28">
        <f t="shared" ref="BW47" si="679">EDATE(BV47,1)</f>
        <v>45901</v>
      </c>
      <c r="BX47" s="28">
        <f t="shared" ref="BX47" si="680">EDATE(BW47,1)</f>
        <v>45931</v>
      </c>
      <c r="BY47" s="28">
        <f t="shared" ref="BY47" si="681">EDATE(BX47,1)</f>
        <v>45962</v>
      </c>
      <c r="BZ47" s="28">
        <f t="shared" ref="BZ47" si="682">EDATE(BY47,1)</f>
        <v>45992</v>
      </c>
      <c r="CA47" s="28">
        <f t="shared" ref="CA47" si="683">EDATE(BZ47,1)</f>
        <v>46023</v>
      </c>
      <c r="CB47" s="28">
        <f t="shared" ref="CB47" si="684">EDATE(CA47,1)</f>
        <v>46054</v>
      </c>
      <c r="CC47" s="28">
        <f t="shared" ref="CC47" si="685">EDATE(CB47,1)</f>
        <v>46082</v>
      </c>
      <c r="CD47" s="28">
        <f t="shared" ref="CD47" si="686">EDATE(CC47,1)</f>
        <v>46113</v>
      </c>
      <c r="CE47" s="28">
        <f t="shared" ref="CE47" si="687">EDATE(CD47,1)</f>
        <v>46143</v>
      </c>
      <c r="CF47" s="28">
        <f t="shared" ref="CF47" si="688">EDATE(CE47,1)</f>
        <v>46174</v>
      </c>
      <c r="CG47" s="28">
        <f t="shared" ref="CG47" si="689">EDATE(CF47,1)</f>
        <v>46204</v>
      </c>
      <c r="CH47" s="28">
        <f t="shared" ref="CH47" si="690">EDATE(CG47,1)</f>
        <v>46235</v>
      </c>
      <c r="CI47" s="28">
        <f t="shared" ref="CI47" si="691">EDATE(CH47,1)</f>
        <v>46266</v>
      </c>
      <c r="CJ47" s="28">
        <f t="shared" ref="CJ47" si="692">EDATE(CI47,1)</f>
        <v>46296</v>
      </c>
      <c r="CK47" s="28">
        <f t="shared" ref="CK47" si="693">EDATE(CJ47,1)</f>
        <v>46327</v>
      </c>
      <c r="CL47" s="28">
        <f t="shared" ref="CL47" si="694">EDATE(CK47,1)</f>
        <v>46357</v>
      </c>
      <c r="CM47" s="28">
        <f t="shared" ref="CM47" si="695">EDATE(CL47,1)</f>
        <v>46388</v>
      </c>
      <c r="CN47" s="28">
        <f t="shared" ref="CN47" si="696">EDATE(CM47,1)</f>
        <v>46419</v>
      </c>
      <c r="CO47" s="28">
        <f t="shared" ref="CO47" si="697">EDATE(CN47,1)</f>
        <v>46447</v>
      </c>
      <c r="CP47" s="28">
        <f t="shared" ref="CP47" si="698">EDATE(CO47,1)</f>
        <v>46478</v>
      </c>
      <c r="CQ47" s="28">
        <f t="shared" ref="CQ47" si="699">EDATE(CP47,1)</f>
        <v>46508</v>
      </c>
      <c r="CR47" s="28">
        <f t="shared" ref="CR47" si="700">EDATE(CQ47,1)</f>
        <v>46539</v>
      </c>
      <c r="CS47" s="28">
        <f t="shared" ref="CS47" si="701">EDATE(CR47,1)</f>
        <v>46569</v>
      </c>
      <c r="CT47" s="28">
        <f t="shared" ref="CT47" si="702">EDATE(CS47,1)</f>
        <v>46600</v>
      </c>
      <c r="CU47" s="28">
        <f t="shared" ref="CU47" si="703">EDATE(CT47,1)</f>
        <v>46631</v>
      </c>
      <c r="CV47" s="28">
        <f t="shared" ref="CV47" si="704">EDATE(CU47,1)</f>
        <v>46661</v>
      </c>
      <c r="CW47" s="28">
        <f t="shared" ref="CW47" si="705">EDATE(CV47,1)</f>
        <v>46692</v>
      </c>
      <c r="CX47" s="28">
        <f t="shared" ref="CX47" si="706">EDATE(CW47,1)</f>
        <v>46722</v>
      </c>
      <c r="CY47" s="28">
        <f t="shared" ref="CY47" si="707">EDATE(CX47,1)</f>
        <v>46753</v>
      </c>
      <c r="CZ47" s="28">
        <f t="shared" ref="CZ47" si="708">EDATE(CY47,1)</f>
        <v>46784</v>
      </c>
      <c r="DA47" s="28">
        <f t="shared" ref="DA47" si="709">EDATE(CZ47,1)</f>
        <v>46813</v>
      </c>
      <c r="DB47" s="28">
        <f t="shared" ref="DB47" si="710">EDATE(DA47,1)</f>
        <v>46844</v>
      </c>
      <c r="DC47" s="28">
        <f t="shared" ref="DC47" si="711">EDATE(DB47,1)</f>
        <v>46874</v>
      </c>
      <c r="DD47" s="28">
        <f t="shared" ref="DD47" si="712">EDATE(DC47,1)</f>
        <v>46905</v>
      </c>
      <c r="DE47" s="28">
        <f t="shared" ref="DE47" si="713">EDATE(DD47,1)</f>
        <v>46935</v>
      </c>
      <c r="DF47" s="28">
        <f t="shared" ref="DF47" si="714">EDATE(DE47,1)</f>
        <v>46966</v>
      </c>
      <c r="DG47" s="28">
        <f t="shared" ref="DG47" si="715">EDATE(DF47,1)</f>
        <v>46997</v>
      </c>
      <c r="DH47" s="28">
        <f t="shared" ref="DH47" si="716">EDATE(DG47,1)</f>
        <v>47027</v>
      </c>
      <c r="DI47" s="28">
        <f t="shared" ref="DI47" si="717">EDATE(DH47,1)</f>
        <v>47058</v>
      </c>
      <c r="DJ47" s="28">
        <f t="shared" ref="DJ47" si="718">EDATE(DI47,1)</f>
        <v>47088</v>
      </c>
      <c r="DK47" s="28">
        <f t="shared" ref="DK47" si="719">EDATE(DJ47,1)</f>
        <v>47119</v>
      </c>
      <c r="DL47" s="28">
        <f t="shared" ref="DL47" si="720">EDATE(DK47,1)</f>
        <v>47150</v>
      </c>
      <c r="DM47" s="28">
        <f t="shared" ref="DM47" si="721">EDATE(DL47,1)</f>
        <v>47178</v>
      </c>
      <c r="DN47" s="28">
        <f t="shared" ref="DN47" si="722">EDATE(DM47,1)</f>
        <v>47209</v>
      </c>
      <c r="DO47" s="28">
        <f t="shared" ref="DO47" si="723">EDATE(DN47,1)</f>
        <v>47239</v>
      </c>
      <c r="DP47" s="28">
        <f t="shared" ref="DP47" si="724">EDATE(DO47,1)</f>
        <v>47270</v>
      </c>
      <c r="DQ47" s="28">
        <f t="shared" ref="DQ47" si="725">EDATE(DP47,1)</f>
        <v>47300</v>
      </c>
    </row>
    <row r="48" spans="1:123" s="53" customFormat="1" x14ac:dyDescent="0.25">
      <c r="A48" s="22" t="s">
        <v>5</v>
      </c>
      <c r="B48" s="29">
        <f>D16</f>
        <v>120000000</v>
      </c>
      <c r="C48" s="25">
        <f>B54</f>
        <v>120000000</v>
      </c>
      <c r="D48" s="25">
        <f t="shared" ref="D48:I48" si="726">C54</f>
        <v>120000000</v>
      </c>
      <c r="E48" s="25">
        <f t="shared" si="726"/>
        <v>120000000</v>
      </c>
      <c r="F48" s="25">
        <f t="shared" si="726"/>
        <v>120000000</v>
      </c>
      <c r="G48" s="25">
        <f t="shared" si="726"/>
        <v>120000000</v>
      </c>
      <c r="H48" s="25">
        <f t="shared" si="726"/>
        <v>120000000</v>
      </c>
      <c r="I48" s="25">
        <f t="shared" si="726"/>
        <v>120000000</v>
      </c>
      <c r="J48" s="25">
        <f t="shared" ref="J48:BO48" si="727">I54</f>
        <v>120000000</v>
      </c>
      <c r="K48" s="25">
        <f t="shared" si="727"/>
        <v>120000000</v>
      </c>
      <c r="L48" s="25">
        <f t="shared" si="727"/>
        <v>120000000</v>
      </c>
      <c r="M48" s="25">
        <f t="shared" si="727"/>
        <v>120000000</v>
      </c>
      <c r="N48" s="25">
        <f t="shared" si="727"/>
        <v>120000000</v>
      </c>
      <c r="O48" s="25">
        <f t="shared" si="727"/>
        <v>120000000</v>
      </c>
      <c r="P48" s="25">
        <f t="shared" si="727"/>
        <v>120000000</v>
      </c>
      <c r="Q48" s="25">
        <f t="shared" si="727"/>
        <v>120000000</v>
      </c>
      <c r="R48" s="25">
        <f t="shared" si="727"/>
        <v>120000000</v>
      </c>
      <c r="S48" s="25">
        <f t="shared" si="727"/>
        <v>120000000</v>
      </c>
      <c r="T48" s="25">
        <f t="shared" si="727"/>
        <v>120000000</v>
      </c>
      <c r="U48" s="25">
        <f t="shared" si="727"/>
        <v>120000000</v>
      </c>
      <c r="V48" s="25">
        <f t="shared" si="727"/>
        <v>120000000</v>
      </c>
      <c r="W48" s="25">
        <f t="shared" si="727"/>
        <v>116448000</v>
      </c>
      <c r="X48" s="25">
        <f t="shared" si="727"/>
        <v>116448000</v>
      </c>
      <c r="Y48" s="25">
        <f t="shared" si="727"/>
        <v>116448000</v>
      </c>
      <c r="Z48" s="25">
        <f t="shared" si="727"/>
        <v>112896000</v>
      </c>
      <c r="AA48" s="25">
        <f t="shared" si="727"/>
        <v>112896000</v>
      </c>
      <c r="AB48" s="25">
        <f t="shared" si="727"/>
        <v>112896000</v>
      </c>
      <c r="AC48" s="25">
        <f t="shared" si="727"/>
        <v>109368000</v>
      </c>
      <c r="AD48" s="25">
        <f t="shared" si="727"/>
        <v>109368000</v>
      </c>
      <c r="AE48" s="25">
        <f t="shared" si="727"/>
        <v>109368000</v>
      </c>
      <c r="AF48" s="25">
        <f t="shared" si="727"/>
        <v>105840000</v>
      </c>
      <c r="AG48" s="25">
        <f t="shared" si="727"/>
        <v>105840000</v>
      </c>
      <c r="AH48" s="25">
        <f t="shared" si="727"/>
        <v>105840000</v>
      </c>
      <c r="AI48" s="25">
        <f t="shared" si="727"/>
        <v>102312000</v>
      </c>
      <c r="AJ48" s="25">
        <f t="shared" si="727"/>
        <v>102312000</v>
      </c>
      <c r="AK48" s="25">
        <f t="shared" si="727"/>
        <v>102312000</v>
      </c>
      <c r="AL48" s="25">
        <f t="shared" si="727"/>
        <v>98784000</v>
      </c>
      <c r="AM48" s="25">
        <f t="shared" si="727"/>
        <v>98784000</v>
      </c>
      <c r="AN48" s="25">
        <f t="shared" si="727"/>
        <v>98784000</v>
      </c>
      <c r="AO48" s="25">
        <f t="shared" si="727"/>
        <v>95256000</v>
      </c>
      <c r="AP48" s="25">
        <f t="shared" si="727"/>
        <v>95256000</v>
      </c>
      <c r="AQ48" s="25">
        <f t="shared" si="727"/>
        <v>95256000</v>
      </c>
      <c r="AR48" s="25">
        <f t="shared" si="727"/>
        <v>91728000</v>
      </c>
      <c r="AS48" s="25">
        <f t="shared" si="727"/>
        <v>91728000</v>
      </c>
      <c r="AT48" s="25">
        <f t="shared" si="727"/>
        <v>91728000</v>
      </c>
      <c r="AU48" s="25">
        <f t="shared" si="727"/>
        <v>88200000</v>
      </c>
      <c r="AV48" s="25">
        <f t="shared" si="727"/>
        <v>88200000</v>
      </c>
      <c r="AW48" s="25">
        <f t="shared" si="727"/>
        <v>88200000</v>
      </c>
      <c r="AX48" s="25">
        <f t="shared" si="727"/>
        <v>84672000</v>
      </c>
      <c r="AY48" s="25">
        <f t="shared" si="727"/>
        <v>84672000</v>
      </c>
      <c r="AZ48" s="25">
        <f t="shared" si="727"/>
        <v>84672000</v>
      </c>
      <c r="BA48" s="25">
        <f t="shared" si="727"/>
        <v>81144000</v>
      </c>
      <c r="BB48" s="25">
        <f t="shared" si="727"/>
        <v>81144000</v>
      </c>
      <c r="BC48" s="25">
        <f t="shared" si="727"/>
        <v>81144000</v>
      </c>
      <c r="BD48" s="25">
        <f t="shared" si="727"/>
        <v>77616000</v>
      </c>
      <c r="BE48" s="25">
        <f t="shared" si="727"/>
        <v>77616000</v>
      </c>
      <c r="BF48" s="25">
        <f t="shared" si="727"/>
        <v>77616000</v>
      </c>
      <c r="BG48" s="25">
        <f t="shared" si="727"/>
        <v>74088000</v>
      </c>
      <c r="BH48" s="25">
        <f t="shared" si="727"/>
        <v>74088000</v>
      </c>
      <c r="BI48" s="25">
        <f t="shared" si="727"/>
        <v>74088000</v>
      </c>
      <c r="BJ48" s="25">
        <f t="shared" si="727"/>
        <v>70560000</v>
      </c>
      <c r="BK48" s="25">
        <f t="shared" si="727"/>
        <v>70560000</v>
      </c>
      <c r="BL48" s="25">
        <f t="shared" si="727"/>
        <v>70560000</v>
      </c>
      <c r="BM48" s="25">
        <f t="shared" si="727"/>
        <v>67032000</v>
      </c>
      <c r="BN48" s="25">
        <f t="shared" si="727"/>
        <v>67032000</v>
      </c>
      <c r="BO48" s="25">
        <f t="shared" si="727"/>
        <v>67032000</v>
      </c>
      <c r="BP48" s="25">
        <f t="shared" ref="BP48:DN48" si="728">BO54</f>
        <v>63504000</v>
      </c>
      <c r="BQ48" s="25">
        <f t="shared" si="728"/>
        <v>63504000</v>
      </c>
      <c r="BR48" s="25">
        <f t="shared" si="728"/>
        <v>63504000</v>
      </c>
      <c r="BS48" s="25">
        <f t="shared" si="728"/>
        <v>59976000</v>
      </c>
      <c r="BT48" s="25">
        <f t="shared" si="728"/>
        <v>59976000</v>
      </c>
      <c r="BU48" s="25">
        <f t="shared" si="728"/>
        <v>59976000</v>
      </c>
      <c r="BV48" s="25">
        <f t="shared" si="728"/>
        <v>56448000</v>
      </c>
      <c r="BW48" s="25">
        <f t="shared" si="728"/>
        <v>56448000</v>
      </c>
      <c r="BX48" s="25">
        <f t="shared" si="728"/>
        <v>56448000</v>
      </c>
      <c r="BY48" s="25">
        <f t="shared" si="728"/>
        <v>52920000</v>
      </c>
      <c r="BZ48" s="25">
        <f t="shared" si="728"/>
        <v>52920000</v>
      </c>
      <c r="CA48" s="25">
        <f t="shared" si="728"/>
        <v>52920000</v>
      </c>
      <c r="CB48" s="25">
        <f t="shared" si="728"/>
        <v>49392000</v>
      </c>
      <c r="CC48" s="25">
        <f t="shared" si="728"/>
        <v>49392000</v>
      </c>
      <c r="CD48" s="25">
        <f t="shared" si="728"/>
        <v>49392000</v>
      </c>
      <c r="CE48" s="25">
        <f t="shared" si="728"/>
        <v>45864000</v>
      </c>
      <c r="CF48" s="25">
        <f t="shared" si="728"/>
        <v>45864000</v>
      </c>
      <c r="CG48" s="25">
        <f t="shared" si="728"/>
        <v>45864000</v>
      </c>
      <c r="CH48" s="25">
        <f t="shared" si="728"/>
        <v>42336000</v>
      </c>
      <c r="CI48" s="25">
        <f t="shared" si="728"/>
        <v>42336000</v>
      </c>
      <c r="CJ48" s="25">
        <f t="shared" si="728"/>
        <v>42336000</v>
      </c>
      <c r="CK48" s="25">
        <f t="shared" si="728"/>
        <v>38808000</v>
      </c>
      <c r="CL48" s="25">
        <f t="shared" si="728"/>
        <v>38808000</v>
      </c>
      <c r="CM48" s="25">
        <f t="shared" si="728"/>
        <v>38808000</v>
      </c>
      <c r="CN48" s="25">
        <f t="shared" si="728"/>
        <v>35280000</v>
      </c>
      <c r="CO48" s="25">
        <f t="shared" si="728"/>
        <v>35280000</v>
      </c>
      <c r="CP48" s="25">
        <f t="shared" si="728"/>
        <v>35280000</v>
      </c>
      <c r="CQ48" s="25">
        <f t="shared" si="728"/>
        <v>31752000</v>
      </c>
      <c r="CR48" s="25">
        <f t="shared" si="728"/>
        <v>31752000</v>
      </c>
      <c r="CS48" s="25">
        <f t="shared" si="728"/>
        <v>31752000</v>
      </c>
      <c r="CT48" s="25">
        <f t="shared" si="728"/>
        <v>28224000</v>
      </c>
      <c r="CU48" s="25">
        <f t="shared" si="728"/>
        <v>28224000</v>
      </c>
      <c r="CV48" s="25">
        <f t="shared" si="728"/>
        <v>28224000</v>
      </c>
      <c r="CW48" s="25">
        <f t="shared" si="728"/>
        <v>24696000</v>
      </c>
      <c r="CX48" s="25">
        <f t="shared" si="728"/>
        <v>24696000</v>
      </c>
      <c r="CY48" s="25">
        <f t="shared" si="728"/>
        <v>24696000</v>
      </c>
      <c r="CZ48" s="25">
        <f t="shared" si="728"/>
        <v>21168000</v>
      </c>
      <c r="DA48" s="25">
        <f t="shared" si="728"/>
        <v>21168000</v>
      </c>
      <c r="DB48" s="25">
        <f t="shared" si="728"/>
        <v>21168000</v>
      </c>
      <c r="DC48" s="25">
        <f t="shared" si="728"/>
        <v>17640000</v>
      </c>
      <c r="DD48" s="25">
        <f t="shared" si="728"/>
        <v>17640000</v>
      </c>
      <c r="DE48" s="25">
        <f t="shared" si="728"/>
        <v>17640000</v>
      </c>
      <c r="DF48" s="25">
        <f t="shared" si="728"/>
        <v>14112000</v>
      </c>
      <c r="DG48" s="25">
        <f t="shared" si="728"/>
        <v>14112000</v>
      </c>
      <c r="DH48" s="25">
        <f t="shared" si="728"/>
        <v>14112000</v>
      </c>
      <c r="DI48" s="25">
        <f t="shared" si="728"/>
        <v>10584000</v>
      </c>
      <c r="DJ48" s="25">
        <f t="shared" si="728"/>
        <v>10584000</v>
      </c>
      <c r="DK48" s="25">
        <f t="shared" si="728"/>
        <v>10584000</v>
      </c>
      <c r="DL48" s="25">
        <f t="shared" si="728"/>
        <v>7056000</v>
      </c>
      <c r="DM48" s="25">
        <f t="shared" si="728"/>
        <v>7056000</v>
      </c>
      <c r="DN48" s="25">
        <f t="shared" si="728"/>
        <v>7056000</v>
      </c>
      <c r="DO48" s="25">
        <f t="shared" ref="DO48" si="729">DN54</f>
        <v>3528000</v>
      </c>
      <c r="DP48" s="25">
        <f t="shared" ref="DP48" si="730">DO54</f>
        <v>3528000</v>
      </c>
      <c r="DQ48" s="25">
        <f t="shared" ref="DQ48" si="731">DP54</f>
        <v>3528000</v>
      </c>
    </row>
    <row r="49" spans="1:123" s="53" customFormat="1" x14ac:dyDescent="0.25">
      <c r="A49" s="22" t="s">
        <v>6</v>
      </c>
      <c r="B49" s="25">
        <f>B48*(B47-D15)*B46/360</f>
        <v>950000</v>
      </c>
      <c r="C49" s="25">
        <f>C48*(C47-B47)*C46/360</f>
        <v>981666.66666666663</v>
      </c>
      <c r="D49" s="25">
        <f t="shared" ref="D49:I49" si="732">D48*(D47-C47)*D46/360</f>
        <v>950000</v>
      </c>
      <c r="E49" s="25">
        <f t="shared" si="732"/>
        <v>981666.66666666663</v>
      </c>
      <c r="F49" s="25">
        <f t="shared" si="732"/>
        <v>950000</v>
      </c>
      <c r="G49" s="25">
        <f t="shared" si="732"/>
        <v>981666.66666666663</v>
      </c>
      <c r="H49" s="25">
        <f t="shared" si="732"/>
        <v>981666.66666666663</v>
      </c>
      <c r="I49" s="25">
        <f t="shared" si="732"/>
        <v>918333.33333333337</v>
      </c>
      <c r="J49" s="25">
        <f>J48*(SCBL_Loan!$D$54-I47)*I46/360+J54*(J47-SCBL_Loan!$D$54)*J46/360</f>
        <v>981666.66666666674</v>
      </c>
      <c r="K49" s="25">
        <f t="shared" ref="K49" si="733">K48*(K47-J47)*K46/360</f>
        <v>950000</v>
      </c>
      <c r="L49" s="25">
        <f t="shared" ref="L49" si="734">L48*(L47-K47)*L46/360</f>
        <v>981666.66666666663</v>
      </c>
      <c r="M49" s="25">
        <f t="shared" ref="M49" si="735">M48*(M47-L47)*M46/360</f>
        <v>950000</v>
      </c>
      <c r="N49" s="25">
        <f t="shared" ref="N49" si="736">N48*(N47-M47)*N46/360</f>
        <v>981666.66666666663</v>
      </c>
      <c r="O49" s="25">
        <f>O48*($O$32-N47)*N46/360+O48*(O47-$O$32)*O46/360</f>
        <v>950000</v>
      </c>
      <c r="P49" s="25">
        <f t="shared" ref="P49" si="737">P48*(P47-O47)*P46/360</f>
        <v>900000</v>
      </c>
      <c r="Q49" s="25">
        <f t="shared" ref="Q49" si="738">Q48*(Q47-P47)*Q46/360</f>
        <v>930000</v>
      </c>
      <c r="R49" s="25">
        <f t="shared" ref="R49" si="739">R48*(R47-Q47)*R46/360</f>
        <v>900000</v>
      </c>
      <c r="S49" s="25">
        <f>S48*(SCBL_Loan!$G$28-R47)*R46/360+S54*(S47-SCBL_Loan!$G$28)*S46/360</f>
        <v>930000</v>
      </c>
      <c r="T49" s="25">
        <f t="shared" ref="T49" si="740">T48*(T47-S47)*T46/360</f>
        <v>930000</v>
      </c>
      <c r="U49" s="25">
        <f t="shared" ref="U49" si="741">U48*(U47-T47)*U46/360</f>
        <v>840000</v>
      </c>
      <c r="V49" s="25">
        <f>V48*(SCBL_Loan!$H$28-U47)*U46/360+V54*(V47-SCBL_Loan!$H$28)*V46/360</f>
        <v>914904</v>
      </c>
      <c r="W49" s="25">
        <f t="shared" ref="W49" si="742">W48*(W47-V47)*W46/360</f>
        <v>873360</v>
      </c>
      <c r="X49" s="25">
        <f t="shared" ref="X49" si="743">X48*(X47-W47)*X46/360</f>
        <v>902472</v>
      </c>
      <c r="Y49" s="25">
        <f>Y48*(SCBL_Loan!$I$28-X47)*X46/360+Y54*(Y47-SCBL_Loan!$I$28)*Y46/360</f>
        <v>859152</v>
      </c>
      <c r="Z49" s="25">
        <f t="shared" ref="Z49" si="744">Z48*(Z47-Y47)*Z46/360</f>
        <v>874944</v>
      </c>
      <c r="AA49" s="25">
        <f>AA48*(AA47-Z47)*AA46/360</f>
        <v>874944</v>
      </c>
      <c r="AB49" s="25">
        <f>AB48*(SCBL_Loan!$J$28-AA47)*AA46/360+AB54*(AB47-SCBL_Loan!$J$28)*AB46/360</f>
        <v>832608</v>
      </c>
      <c r="AC49" s="25">
        <f>AC48*(AC47-AB47)*AC46/360</f>
        <v>847602</v>
      </c>
      <c r="AD49" s="25">
        <f>AD48*(AD47-AC47)*AD46/360</f>
        <v>820260</v>
      </c>
      <c r="AE49" s="25">
        <f>AE48*(SCBL_Loan!$K$28-AD47)*AD46/360+AE54*(AE47-SCBL_Loan!$K28)*AE46/360</f>
        <v>832608</v>
      </c>
      <c r="AF49" s="25">
        <f t="shared" ref="AF49" si="745">AF48*(AF47-AE47)*AF46/360</f>
        <v>820260</v>
      </c>
      <c r="AG49" s="25">
        <f t="shared" ref="AG49" si="746">AG48*(AG47-AF47)*AG46/360</f>
        <v>740880</v>
      </c>
      <c r="AH49" s="25">
        <f>AH48*(SCBL_Loan!$L$28-AG47)*AG46/360+AH54*(AH47-SCBL_Loan!$L$28)*AH46/360</f>
        <v>805266</v>
      </c>
      <c r="AI49" s="25">
        <f t="shared" ref="AI49" si="747">AI48*(AI47-AH47)*AI46/360</f>
        <v>767340</v>
      </c>
      <c r="AJ49" s="25">
        <f t="shared" ref="AJ49" si="748">AJ48*(AJ47-AI47)*AJ46/360</f>
        <v>792918</v>
      </c>
      <c r="AK49" s="25">
        <f>AK48*(SCBL_Loan!$M$28-AJ47)*AJ46/360+AK54*(AK47-SCBL_Loan!$M$28)*AK46/360</f>
        <v>753228</v>
      </c>
      <c r="AL49" s="25">
        <f t="shared" ref="AL49" si="749">AL48*(AL47-AK47)*AL46/360</f>
        <v>765576</v>
      </c>
      <c r="AM49" s="25">
        <f t="shared" ref="AM49" si="750">AM48*(AM47-AL47)*AM46/360</f>
        <v>765576</v>
      </c>
      <c r="AN49" s="25">
        <f>AN48*(SCBL_Loan!$N$28-AM47)*AM46/360+AN54*(AN47-SCBL_Loan!$N$28)*AN46/360</f>
        <v>726768</v>
      </c>
      <c r="AO49" s="25">
        <f t="shared" ref="AO49" si="751">AO48*(AO47-AN47)*AO46/360</f>
        <v>738234</v>
      </c>
      <c r="AP49" s="25">
        <f t="shared" ref="AP49" si="752">AP48*(AP47-AO47)*AP46/360</f>
        <v>714420</v>
      </c>
      <c r="AQ49" s="25">
        <f>AQ48*(SCBL_Loan!$O$28-AP47)*AP46/360+AQ54*(AQ47-SCBL_Loan!$O$28)*AQ46/360</f>
        <v>723240</v>
      </c>
      <c r="AR49" s="25">
        <f t="shared" ref="AR49" si="753">AR48*(AR47-AQ47)*AR46/360</f>
        <v>710892</v>
      </c>
      <c r="AS49" s="25">
        <f t="shared" ref="AS49" si="754">AS48*(AS47-AR47)*AS46/360</f>
        <v>642096</v>
      </c>
      <c r="AT49" s="25">
        <f>AT48*(SCBL_Loan!$P$28-AS47)*AS46/360+AT54*(AT47-SCBL_Loan!$P$28)*AT46/360</f>
        <v>695898</v>
      </c>
      <c r="AU49" s="25">
        <f t="shared" ref="AU49" si="755">AU48*(AU47-AT47)*AU46/360</f>
        <v>661500</v>
      </c>
      <c r="AV49" s="25">
        <f t="shared" ref="AV49" si="756">AV48*(AV47-AU47)*AV46/360</f>
        <v>683550</v>
      </c>
      <c r="AW49" s="25">
        <f>AW48*(SCBL_Loan!$Q$28-AV47)*AV46/360+AW54*(AW47-SCBL_Loan!$Q$28)*AW46/360</f>
        <v>647388</v>
      </c>
      <c r="AX49" s="25">
        <f t="shared" ref="AX49" si="757">AX48*(AX47-AW47)*AX46/360</f>
        <v>656208</v>
      </c>
      <c r="AY49" s="25">
        <f t="shared" ref="AY49" si="758">AY48*(AY47-AX47)*AY46/360</f>
        <v>656208</v>
      </c>
      <c r="AZ49" s="25">
        <f>AZ48*(SCBL_Loan!$R$28-AY47)*AY46/360+AZ54*(AZ47-SCBL_Loan!$R$28)*AZ46/360</f>
        <v>620046</v>
      </c>
      <c r="BA49" s="25">
        <f t="shared" ref="BA49" si="759">BA48*(BA47-AZ47)*BA46/360</f>
        <v>628866</v>
      </c>
      <c r="BB49" s="25">
        <f t="shared" ref="BB49" si="760">BB48*(BB47-BA47)*BB46/360</f>
        <v>608580</v>
      </c>
      <c r="BC49" s="25">
        <f>BC48*(SCBL_Loan!$S$28-BB47)*BB46/360+BC54*(BC47-SCBL_Loan!$S$28)*BC46/360</f>
        <v>612990</v>
      </c>
      <c r="BD49" s="25">
        <f t="shared" ref="BD49" si="761">BD48*(BD47-BC47)*BD46/360</f>
        <v>601524</v>
      </c>
      <c r="BE49" s="25">
        <f t="shared" ref="BE49" si="762">BE48*(BE47-BD47)*BE46/360</f>
        <v>562716</v>
      </c>
      <c r="BF49" s="25">
        <f>BF48*(SCBL_Loan!$T$28-BE47)*BE46/360+BF54*(BF47-SCBL_Loan!$T$28)*BF46/360</f>
        <v>585648</v>
      </c>
      <c r="BG49" s="25">
        <f t="shared" ref="BG49" si="763">BG48*(BG47-BF47)*BG46/360</f>
        <v>555660</v>
      </c>
      <c r="BH49" s="25">
        <f t="shared" ref="BH49" si="764">BH48*(BH47-BG47)*BH46/360</f>
        <v>574182</v>
      </c>
      <c r="BI49" s="25">
        <f>BI48*(SCBL_Loan!$U$28-BH47)*BH46/360+BI54*(BI47-SCBL_Loan!$U$28)*BI46/360</f>
        <v>539784</v>
      </c>
      <c r="BJ49" s="25">
        <f t="shared" ref="BJ49" si="765">BJ48*(BJ47-BI47)*BJ46/360</f>
        <v>546840</v>
      </c>
      <c r="BK49" s="25">
        <f t="shared" ref="BK49" si="766">BK48*(BK47-BJ47)*BK46/360</f>
        <v>546840</v>
      </c>
      <c r="BL49" s="25">
        <f>BL48*(SCBL_Loan!$V$28-BK47)*BK46/360+BL54*(BL47-SCBL_Loan!$V$28)*BL46/360</f>
        <v>515088</v>
      </c>
      <c r="BM49" s="25">
        <f t="shared" ref="BM49" si="767">BM48*(BM47-BL47)*BM46/360</f>
        <v>519498</v>
      </c>
      <c r="BN49" s="25">
        <f t="shared" ref="BN49" si="768">BN48*(BN47-BM47)*BN46/360</f>
        <v>502740</v>
      </c>
      <c r="BO49" s="25">
        <f>BO48*(SCBL_Loan!$W$28-BN47)*BN46/360+BO54*(BO47-SCBL_Loan!$W$28)*BO46/360</f>
        <v>504504</v>
      </c>
      <c r="BP49" s="25">
        <f t="shared" ref="BP49" si="769">BP48*(BP47-BO47)*BP46/360</f>
        <v>492156</v>
      </c>
      <c r="BQ49" s="25">
        <f t="shared" ref="BQ49" si="770">BQ48*(BQ47-BP47)*BQ46/360</f>
        <v>444528</v>
      </c>
      <c r="BR49" s="25">
        <f>BR48*(SCBL_Loan!$X$28-BQ47)*BQ46/360+BR54*(BR47-SCBL_Loan!$X$28)*BR46/360</f>
        <v>475398</v>
      </c>
      <c r="BS49" s="25">
        <f t="shared" ref="BS49" si="771">BS48*(BS47-BR47)*BS46/360</f>
        <v>449820</v>
      </c>
      <c r="BT49" s="25">
        <f t="shared" ref="BT49" si="772">BT48*(BT47-BS47)*BT46/360</f>
        <v>464814</v>
      </c>
      <c r="BU49" s="25">
        <f>BU48*(SCBL_Loan!$Y$28-BT47)*BT46/360+BU54*(BU47-SCBL_Loan!$Y$28)*BU46/360</f>
        <v>435708</v>
      </c>
      <c r="BV49" s="25">
        <f t="shared" ref="BV49" si="773">BV48*(BV47-BU47)*BV46/360</f>
        <v>437472</v>
      </c>
      <c r="BW49" s="25">
        <f t="shared" ref="BW49" si="774">BW48*(BW47-BV47)*BW46/360</f>
        <v>437472</v>
      </c>
      <c r="BX49" s="25">
        <f>BX48*(SCBL_Loan!$Z$28-BW47)*BW46/360+BX54*(BX47-SCBL_Loan!$Z$28)*BX46/360</f>
        <v>409248</v>
      </c>
      <c r="BY49" s="25">
        <f t="shared" ref="BY49" si="775">BY48*(BY47-BX47)*BY46/360</f>
        <v>410130</v>
      </c>
      <c r="BZ49" s="25">
        <f t="shared" ref="BZ49" si="776">BZ48*(BZ47-BY47)*BZ46/360</f>
        <v>396900</v>
      </c>
      <c r="CA49" s="25">
        <f>CA48*(SCBL_Loan!$AA$28-BZ47)*BZ46/360+CA54*(CA47-SCBL_Loan!$AA$28)*CA46/360</f>
        <v>395136</v>
      </c>
      <c r="CB49" s="25">
        <f t="shared" ref="CB49" si="777">CB48*(CB47-CA47)*CB46/360</f>
        <v>382788</v>
      </c>
      <c r="CC49" s="25">
        <f t="shared" ref="CC49" si="778">CC48*(CC47-CB47)*CC46/360</f>
        <v>345744</v>
      </c>
      <c r="CD49" s="25">
        <f>CD48*(SCBL_Loan!$AB$28-CC47)*CC46/360+CD54*(CD47-SCBL_Loan!$AB$28)*CD46/360</f>
        <v>367794</v>
      </c>
      <c r="CE49" s="25">
        <f t="shared" ref="CE49" si="779">CE48*(CE47-CD47)*CE46/360</f>
        <v>343980</v>
      </c>
      <c r="CF49" s="25">
        <f t="shared" ref="CF49" si="780">CF48*(CF47-CE47)*CF46/360</f>
        <v>355446</v>
      </c>
      <c r="CG49" s="25">
        <f>CG48*(SCBL_Loan!$AC$28-CF47)*CF46/360+CG54*(CG47-SCBL_Loan!$AC$28)*CG46/360</f>
        <v>329868</v>
      </c>
      <c r="CH49" s="25">
        <f t="shared" ref="CH49" si="781">CH48*(CH47-CG47)*CH46/360</f>
        <v>328104</v>
      </c>
      <c r="CI49" s="25">
        <f t="shared" ref="CI49" si="782">CI48*(CI47-CH47)*CI46/360</f>
        <v>328104</v>
      </c>
      <c r="CJ49" s="25">
        <f>CJ48*(SCBL_Loan!$AD$28-CI47)*CI46/360+CJ54*(CJ47-SCBL_Loan!$AD$28)*CJ46/360</f>
        <v>303408</v>
      </c>
      <c r="CK49" s="25">
        <f t="shared" ref="CK49" si="783">CK48*(CK47-CJ47)*CK46/360</f>
        <v>300762</v>
      </c>
      <c r="CL49" s="25">
        <f t="shared" ref="CL49" si="784">CL48*(CL47-CK47)*CL46/360</f>
        <v>291060</v>
      </c>
      <c r="CM49" s="25">
        <f>CM48*(SCBL_Loan!$AE$28-CL47)*CL46/360+CM54*(CM47-SCBL_Loan!$AE$28)*CM46/360</f>
        <v>285768</v>
      </c>
      <c r="CN49" s="25">
        <f t="shared" ref="CN49" si="785">CN48*(CN47-CM47)*CN46/360</f>
        <v>273420</v>
      </c>
      <c r="CO49" s="25">
        <f t="shared" ref="CO49" si="786">CO48*(CO47-CN47)*CO46/360</f>
        <v>246960</v>
      </c>
      <c r="CP49" s="25">
        <f>CP48*(SCBL_Loan!$AF$28-CO47)*CO46/360+CP54*(CP47-SCBL_Loan!$AF$28)*CP46/360</f>
        <v>258426</v>
      </c>
      <c r="CQ49" s="25">
        <f t="shared" ref="CQ49" si="787">CQ48*(CQ47-CP47)*CQ46/360</f>
        <v>238140</v>
      </c>
      <c r="CR49" s="25">
        <f t="shared" ref="CR49" si="788">CR48*(CR47-CQ47)*CR46/360</f>
        <v>246078</v>
      </c>
      <c r="CS49" s="25">
        <f>CS48*(SCBL_Loan!$AG$28-CR47)*CR46/360+CS54*(CS47-SCBL_Loan!$AG$28)*CS46/360</f>
        <v>224028</v>
      </c>
      <c r="CT49" s="25">
        <f t="shared" ref="CT49" si="789">CT48*(CT47-CS47)*CT46/360</f>
        <v>218736</v>
      </c>
      <c r="CU49" s="25">
        <f t="shared" ref="CU49" si="790">CU48*(CU47-CT47)*CU46/360</f>
        <v>218736</v>
      </c>
      <c r="CV49" s="25">
        <f>CV48*(SCBL_Loan!$AH$28-CU47)*CU46/360+CV54*(CV47-SCBL_Loan!$AH$28)*CV46/360</f>
        <v>197568</v>
      </c>
      <c r="CW49" s="25">
        <f t="shared" ref="CW49" si="791">CW48*(CW47-CV47)*CW46/360</f>
        <v>191394</v>
      </c>
      <c r="CX49" s="25">
        <f t="shared" ref="CX49" si="792">CX48*(CX47-CW47)*CX46/360</f>
        <v>185220</v>
      </c>
      <c r="CY49" s="25">
        <f>CY48*(SCBL_Loan!$AI$28-CX47)*CX46/360+CY54*(CY47-SCBL_Loan!$AI$28)*CY46/360</f>
        <v>176400</v>
      </c>
      <c r="CZ49" s="25">
        <f t="shared" ref="CZ49" si="793">CZ48*(CZ47-CY47)*CZ46/360</f>
        <v>164052</v>
      </c>
      <c r="DA49" s="25">
        <f t="shared" ref="DA49" si="794">DA48*(DA47-CZ47)*DA46/360</f>
        <v>153468</v>
      </c>
      <c r="DB49" s="25">
        <f>DB48*(SCBL_Loan!$AJ$28-DA47)*DA46/360+DB54*(DB47-SCBL_Loan!$AJ$28)*DB46/360</f>
        <v>149058</v>
      </c>
      <c r="DC49" s="25">
        <f t="shared" ref="DC49" si="795">DC48*(DC47-DB47)*DC46/360</f>
        <v>132300</v>
      </c>
      <c r="DD49" s="25">
        <f t="shared" ref="DD49" si="796">DD48*(DD47-DC47)*DD46/360</f>
        <v>136710</v>
      </c>
      <c r="DE49" s="25">
        <f>DE48*(SCBL_Loan!$AK$28-DD47)*DD46/360+DE54*(DE47-SCBL_Loan!$AK$28)*DE46/360</f>
        <v>118188</v>
      </c>
      <c r="DF49" s="25">
        <f t="shared" ref="DF49" si="797">DF48*(DF47-DE47)*DF46/360</f>
        <v>109368</v>
      </c>
      <c r="DG49" s="25">
        <f t="shared" ref="DG49" si="798">DG48*(DG47-DF47)*DG46/360</f>
        <v>109368</v>
      </c>
      <c r="DH49" s="25">
        <f>DH48*(SCBL_Loan!$AL$28-DG47)*DG46/360+DH54*(DH47-SCBL_Loan!$AL$28)*DH46/360</f>
        <v>90846</v>
      </c>
      <c r="DI49" s="25">
        <f t="shared" ref="DI49" si="799">DI48*(DI47-DH47)*DI46/360</f>
        <v>82026</v>
      </c>
      <c r="DJ49" s="25">
        <f t="shared" ref="DJ49" si="800">DJ48*(DJ47-DI47)*DJ46/360</f>
        <v>79380</v>
      </c>
      <c r="DK49" s="25">
        <f>DK48*(SCBL_Loan!$AM$28-DJ47)*DJ46/360+DK54*(DK47-SCBL_Loan!$AM$28)*DK46/360</f>
        <v>66150</v>
      </c>
      <c r="DL49" s="25">
        <f t="shared" ref="DL49" si="801">DL48*(DL47-DK47)*DL46/360</f>
        <v>54684</v>
      </c>
      <c r="DM49" s="25">
        <f t="shared" ref="DM49" si="802">DM48*(DM47-DL47)*DM46/360</f>
        <v>49392</v>
      </c>
      <c r="DN49" s="25">
        <f>DN48*(SCBL_Loan!$AN$28-DM47)*DM46/360+DN54*(DN47-SCBL_Loan!$AN$28)*DN46/360</f>
        <v>39690</v>
      </c>
      <c r="DO49" s="25">
        <f t="shared" ref="DO49" si="803">DO48*(DO47-DN47)*DO46/360</f>
        <v>26460</v>
      </c>
      <c r="DP49" s="25">
        <f t="shared" ref="DP49" si="804">DP48*(DP47-DO47)*DP46/360</f>
        <v>27342</v>
      </c>
      <c r="DQ49" s="25">
        <f>DQ48*(SCBL_Loan!$AO$28-DP47)*DP46/360+DQ54*(DQ47-SCBL_Loan!$AO$28)*DQ46/360</f>
        <v>11466</v>
      </c>
    </row>
    <row r="50" spans="1:123" s="54" customFormat="1" x14ac:dyDescent="0.25">
      <c r="A50" s="46" t="s">
        <v>12</v>
      </c>
      <c r="B50" s="47">
        <f>B49</f>
        <v>950000</v>
      </c>
      <c r="C50" s="47">
        <f>B50+C49</f>
        <v>1931666.6666666665</v>
      </c>
      <c r="D50" s="47">
        <f t="shared" ref="D50:I50" si="805">C50+D49</f>
        <v>2881666.6666666665</v>
      </c>
      <c r="E50" s="47">
        <f t="shared" si="805"/>
        <v>3863333.333333333</v>
      </c>
      <c r="F50" s="47">
        <f t="shared" si="805"/>
        <v>4813333.333333333</v>
      </c>
      <c r="G50" s="47">
        <f t="shared" si="805"/>
        <v>5795000</v>
      </c>
      <c r="H50" s="47">
        <f t="shared" si="805"/>
        <v>6776666.666666667</v>
      </c>
      <c r="I50" s="47">
        <f t="shared" si="805"/>
        <v>7695000</v>
      </c>
      <c r="J50" s="47">
        <f t="shared" ref="J50" si="806">I50+J49</f>
        <v>8676666.666666666</v>
      </c>
      <c r="K50" s="47">
        <f t="shared" ref="K50" si="807">J50+K49</f>
        <v>9626666.666666666</v>
      </c>
      <c r="L50" s="47">
        <f t="shared" ref="L50" si="808">K50+L49</f>
        <v>10608333.333333332</v>
      </c>
      <c r="M50" s="47">
        <f t="shared" ref="M50" si="809">L50+M49</f>
        <v>11558333.333333332</v>
      </c>
      <c r="N50" s="47">
        <f t="shared" ref="N50" si="810">M50+N49</f>
        <v>12539999.999999998</v>
      </c>
      <c r="O50" s="47">
        <f t="shared" ref="O50" si="811">N50+O49</f>
        <v>13489999.999999998</v>
      </c>
      <c r="P50" s="47">
        <f t="shared" ref="P50" si="812">O50+P49</f>
        <v>14389999.999999998</v>
      </c>
      <c r="Q50" s="47">
        <f t="shared" ref="Q50" si="813">P50+Q49</f>
        <v>15319999.999999998</v>
      </c>
      <c r="R50" s="47">
        <f t="shared" ref="R50" si="814">Q50+R49</f>
        <v>16219999.999999998</v>
      </c>
      <c r="S50" s="47">
        <f t="shared" ref="S50" si="815">R50+S49</f>
        <v>17150000</v>
      </c>
      <c r="T50" s="47">
        <f t="shared" ref="T50" si="816">S50+T49</f>
        <v>18080000</v>
      </c>
      <c r="U50" s="47">
        <f t="shared" ref="U50" si="817">T50+U49</f>
        <v>18920000</v>
      </c>
      <c r="V50" s="47">
        <f t="shared" ref="V50" si="818">U50+V49</f>
        <v>19834904</v>
      </c>
      <c r="W50" s="47">
        <f t="shared" ref="W50" si="819">V50+W49</f>
        <v>20708264</v>
      </c>
      <c r="X50" s="47">
        <f t="shared" ref="X50" si="820">W50+X49</f>
        <v>21610736</v>
      </c>
      <c r="Y50" s="47">
        <f t="shared" ref="Y50" si="821">X50+Y49</f>
        <v>22469888</v>
      </c>
      <c r="Z50" s="47">
        <f t="shared" ref="Z50" si="822">Y50+Z49</f>
        <v>23344832</v>
      </c>
      <c r="AA50" s="47">
        <f t="shared" ref="AA50" si="823">Z50+AA49</f>
        <v>24219776</v>
      </c>
      <c r="AB50" s="47">
        <f t="shared" ref="AB50" si="824">AA50+AB49</f>
        <v>25052384</v>
      </c>
      <c r="AC50" s="47">
        <f t="shared" ref="AC50" si="825">AB50+AC49</f>
        <v>25899986</v>
      </c>
      <c r="AD50" s="47">
        <f t="shared" ref="AD50" si="826">AC50+AD49</f>
        <v>26720246</v>
      </c>
      <c r="AE50" s="47">
        <f t="shared" ref="AE50" si="827">AD50+AE49</f>
        <v>27552854</v>
      </c>
      <c r="AF50" s="47">
        <f t="shared" ref="AF50" si="828">AE50+AF49</f>
        <v>28373114</v>
      </c>
      <c r="AG50" s="47">
        <f t="shared" ref="AG50" si="829">AF50+AG49</f>
        <v>29113994</v>
      </c>
      <c r="AH50" s="47">
        <f t="shared" ref="AH50" si="830">AG50+AH49</f>
        <v>29919260</v>
      </c>
      <c r="AI50" s="47">
        <f t="shared" ref="AI50" si="831">AH50+AI49</f>
        <v>30686600</v>
      </c>
      <c r="AJ50" s="47">
        <f t="shared" ref="AJ50" si="832">AI50+AJ49</f>
        <v>31479518</v>
      </c>
      <c r="AK50" s="47">
        <f t="shared" ref="AK50" si="833">AJ50+AK49</f>
        <v>32232746</v>
      </c>
      <c r="AL50" s="47">
        <f t="shared" ref="AL50" si="834">AK50+AL49</f>
        <v>32998322</v>
      </c>
      <c r="AM50" s="47">
        <f t="shared" ref="AM50" si="835">AL50+AM49</f>
        <v>33763898</v>
      </c>
      <c r="AN50" s="47">
        <f t="shared" ref="AN50" si="836">AM50+AN49</f>
        <v>34490666</v>
      </c>
      <c r="AO50" s="47">
        <f t="shared" ref="AO50" si="837">AN50+AO49</f>
        <v>35228900</v>
      </c>
      <c r="AP50" s="47">
        <f t="shared" ref="AP50" si="838">AO50+AP49</f>
        <v>35943320</v>
      </c>
      <c r="AQ50" s="47">
        <f t="shared" ref="AQ50" si="839">AP50+AQ49</f>
        <v>36666560</v>
      </c>
      <c r="AR50" s="47">
        <f t="shared" ref="AR50" si="840">AQ50+AR49</f>
        <v>37377452</v>
      </c>
      <c r="AS50" s="47">
        <f t="shared" ref="AS50" si="841">AR50+AS49</f>
        <v>38019548</v>
      </c>
      <c r="AT50" s="47">
        <f t="shared" ref="AT50" si="842">AS50+AT49</f>
        <v>38715446</v>
      </c>
      <c r="AU50" s="47">
        <f t="shared" ref="AU50" si="843">AT50+AU49</f>
        <v>39376946</v>
      </c>
      <c r="AV50" s="47">
        <f t="shared" ref="AV50" si="844">AU50+AV49</f>
        <v>40060496</v>
      </c>
      <c r="AW50" s="47">
        <f t="shared" ref="AW50" si="845">AV50+AW49</f>
        <v>40707884</v>
      </c>
      <c r="AX50" s="47">
        <f t="shared" ref="AX50" si="846">AW50+AX49</f>
        <v>41364092</v>
      </c>
      <c r="AY50" s="47">
        <f t="shared" ref="AY50" si="847">AX50+AY49</f>
        <v>42020300</v>
      </c>
      <c r="AZ50" s="47">
        <f t="shared" ref="AZ50" si="848">AY50+AZ49</f>
        <v>42640346</v>
      </c>
      <c r="BA50" s="47">
        <f t="shared" ref="BA50" si="849">AZ50+BA49</f>
        <v>43269212</v>
      </c>
      <c r="BB50" s="47">
        <f t="shared" ref="BB50" si="850">BA50+BB49</f>
        <v>43877792</v>
      </c>
      <c r="BC50" s="47">
        <f t="shared" ref="BC50" si="851">BB50+BC49</f>
        <v>44490782</v>
      </c>
      <c r="BD50" s="47">
        <f t="shared" ref="BD50" si="852">BC50+BD49</f>
        <v>45092306</v>
      </c>
      <c r="BE50" s="47">
        <f t="shared" ref="BE50" si="853">BD50+BE49</f>
        <v>45655022</v>
      </c>
      <c r="BF50" s="47">
        <f t="shared" ref="BF50" si="854">BE50+BF49</f>
        <v>46240670</v>
      </c>
      <c r="BG50" s="47">
        <f t="shared" ref="BG50" si="855">BF50+BG49</f>
        <v>46796330</v>
      </c>
      <c r="BH50" s="47">
        <f t="shared" ref="BH50" si="856">BG50+BH49</f>
        <v>47370512</v>
      </c>
      <c r="BI50" s="47">
        <f t="shared" ref="BI50" si="857">BH50+BI49</f>
        <v>47910296</v>
      </c>
      <c r="BJ50" s="47">
        <f t="shared" ref="BJ50" si="858">BI50+BJ49</f>
        <v>48457136</v>
      </c>
      <c r="BK50" s="47">
        <f t="shared" ref="BK50" si="859">BJ50+BK49</f>
        <v>49003976</v>
      </c>
      <c r="BL50" s="47">
        <f t="shared" ref="BL50" si="860">BK50+BL49</f>
        <v>49519064</v>
      </c>
      <c r="BM50" s="47">
        <f t="shared" ref="BM50" si="861">BL50+BM49</f>
        <v>50038562</v>
      </c>
      <c r="BN50" s="47">
        <f t="shared" ref="BN50" si="862">BM50+BN49</f>
        <v>50541302</v>
      </c>
      <c r="BO50" s="47">
        <f t="shared" ref="BO50" si="863">BN50+BO49</f>
        <v>51045806</v>
      </c>
      <c r="BP50" s="47">
        <f t="shared" ref="BP50" si="864">BO50+BP49</f>
        <v>51537962</v>
      </c>
      <c r="BQ50" s="47">
        <f t="shared" ref="BQ50" si="865">BP50+BQ49</f>
        <v>51982490</v>
      </c>
      <c r="BR50" s="47">
        <f t="shared" ref="BR50" si="866">BQ50+BR49</f>
        <v>52457888</v>
      </c>
      <c r="BS50" s="47">
        <f t="shared" ref="BS50" si="867">BR50+BS49</f>
        <v>52907708</v>
      </c>
      <c r="BT50" s="47">
        <f t="shared" ref="BT50" si="868">BS50+BT49</f>
        <v>53372522</v>
      </c>
      <c r="BU50" s="47">
        <f t="shared" ref="BU50" si="869">BT50+BU49</f>
        <v>53808230</v>
      </c>
      <c r="BV50" s="47">
        <f t="shared" ref="BV50" si="870">BU50+BV49</f>
        <v>54245702</v>
      </c>
      <c r="BW50" s="47">
        <f t="shared" ref="BW50" si="871">BV50+BW49</f>
        <v>54683174</v>
      </c>
      <c r="BX50" s="47">
        <f t="shared" ref="BX50" si="872">BW50+BX49</f>
        <v>55092422</v>
      </c>
      <c r="BY50" s="47">
        <f t="shared" ref="BY50" si="873">BX50+BY49</f>
        <v>55502552</v>
      </c>
      <c r="BZ50" s="47">
        <f t="shared" ref="BZ50" si="874">BY50+BZ49</f>
        <v>55899452</v>
      </c>
      <c r="CA50" s="47">
        <f t="shared" ref="CA50" si="875">BZ50+CA49</f>
        <v>56294588</v>
      </c>
      <c r="CB50" s="47">
        <f t="shared" ref="CB50" si="876">CA50+CB49</f>
        <v>56677376</v>
      </c>
      <c r="CC50" s="47">
        <f t="shared" ref="CC50" si="877">CB50+CC49</f>
        <v>57023120</v>
      </c>
      <c r="CD50" s="47">
        <f t="shared" ref="CD50" si="878">CC50+CD49</f>
        <v>57390914</v>
      </c>
      <c r="CE50" s="47">
        <f t="shared" ref="CE50" si="879">CD50+CE49</f>
        <v>57734894</v>
      </c>
      <c r="CF50" s="47">
        <f t="shared" ref="CF50" si="880">CE50+CF49</f>
        <v>58090340</v>
      </c>
      <c r="CG50" s="47">
        <f t="shared" ref="CG50" si="881">CF50+CG49</f>
        <v>58420208</v>
      </c>
      <c r="CH50" s="47">
        <f t="shared" ref="CH50" si="882">CG50+CH49</f>
        <v>58748312</v>
      </c>
      <c r="CI50" s="47">
        <f t="shared" ref="CI50" si="883">CH50+CI49</f>
        <v>59076416</v>
      </c>
      <c r="CJ50" s="47">
        <f t="shared" ref="CJ50" si="884">CI50+CJ49</f>
        <v>59379824</v>
      </c>
      <c r="CK50" s="47">
        <f t="shared" ref="CK50" si="885">CJ50+CK49</f>
        <v>59680586</v>
      </c>
      <c r="CL50" s="47">
        <f t="shared" ref="CL50" si="886">CK50+CL49</f>
        <v>59971646</v>
      </c>
      <c r="CM50" s="47">
        <f t="shared" ref="CM50" si="887">CL50+CM49</f>
        <v>60257414</v>
      </c>
      <c r="CN50" s="47">
        <f t="shared" ref="CN50" si="888">CM50+CN49</f>
        <v>60530834</v>
      </c>
      <c r="CO50" s="47">
        <f t="shared" ref="CO50" si="889">CN50+CO49</f>
        <v>60777794</v>
      </c>
      <c r="CP50" s="47">
        <f t="shared" ref="CP50" si="890">CO50+CP49</f>
        <v>61036220</v>
      </c>
      <c r="CQ50" s="47">
        <f t="shared" ref="CQ50" si="891">CP50+CQ49</f>
        <v>61274360</v>
      </c>
      <c r="CR50" s="47">
        <f t="shared" ref="CR50" si="892">CQ50+CR49</f>
        <v>61520438</v>
      </c>
      <c r="CS50" s="47">
        <f t="shared" ref="CS50" si="893">CR50+CS49</f>
        <v>61744466</v>
      </c>
      <c r="CT50" s="47">
        <f t="shared" ref="CT50" si="894">CS50+CT49</f>
        <v>61963202</v>
      </c>
      <c r="CU50" s="47">
        <f t="shared" ref="CU50" si="895">CT50+CU49</f>
        <v>62181938</v>
      </c>
      <c r="CV50" s="47">
        <f t="shared" ref="CV50" si="896">CU50+CV49</f>
        <v>62379506</v>
      </c>
      <c r="CW50" s="47">
        <f t="shared" ref="CW50" si="897">CV50+CW49</f>
        <v>62570900</v>
      </c>
      <c r="CX50" s="47">
        <f t="shared" ref="CX50" si="898">CW50+CX49</f>
        <v>62756120</v>
      </c>
      <c r="CY50" s="47">
        <f t="shared" ref="CY50" si="899">CX50+CY49</f>
        <v>62932520</v>
      </c>
      <c r="CZ50" s="47">
        <f t="shared" ref="CZ50" si="900">CY50+CZ49</f>
        <v>63096572</v>
      </c>
      <c r="DA50" s="47">
        <f t="shared" ref="DA50" si="901">CZ50+DA49</f>
        <v>63250040</v>
      </c>
      <c r="DB50" s="47">
        <f t="shared" ref="DB50" si="902">DA50+DB49</f>
        <v>63399098</v>
      </c>
      <c r="DC50" s="47">
        <f t="shared" ref="DC50" si="903">DB50+DC49</f>
        <v>63531398</v>
      </c>
      <c r="DD50" s="47">
        <f t="shared" ref="DD50" si="904">DC50+DD49</f>
        <v>63668108</v>
      </c>
      <c r="DE50" s="47">
        <f t="shared" ref="DE50" si="905">DD50+DE49</f>
        <v>63786296</v>
      </c>
      <c r="DF50" s="47">
        <f t="shared" ref="DF50" si="906">DE50+DF49</f>
        <v>63895664</v>
      </c>
      <c r="DG50" s="47">
        <f t="shared" ref="DG50" si="907">DF50+DG49</f>
        <v>64005032</v>
      </c>
      <c r="DH50" s="47">
        <f t="shared" ref="DH50" si="908">DG50+DH49</f>
        <v>64095878</v>
      </c>
      <c r="DI50" s="47">
        <f t="shared" ref="DI50" si="909">DH50+DI49</f>
        <v>64177904</v>
      </c>
      <c r="DJ50" s="47">
        <f t="shared" ref="DJ50" si="910">DI50+DJ49</f>
        <v>64257284</v>
      </c>
      <c r="DK50" s="47">
        <f t="shared" ref="DK50" si="911">DJ50+DK49</f>
        <v>64323434</v>
      </c>
      <c r="DL50" s="47">
        <f t="shared" ref="DL50" si="912">DK50+DL49</f>
        <v>64378118</v>
      </c>
      <c r="DM50" s="47">
        <f t="shared" ref="DM50" si="913">DL50+DM49</f>
        <v>64427510</v>
      </c>
      <c r="DN50" s="47">
        <f t="shared" ref="DN50" si="914">DM50+DN49</f>
        <v>64467200</v>
      </c>
      <c r="DO50" s="47">
        <f t="shared" ref="DO50" si="915">DN50+DO49</f>
        <v>64493660</v>
      </c>
      <c r="DP50" s="47">
        <f t="shared" ref="DP50" si="916">DO50+DP49</f>
        <v>64521002</v>
      </c>
      <c r="DQ50" s="47">
        <f t="shared" ref="DQ50" si="917">DP50+DQ49</f>
        <v>64532468</v>
      </c>
      <c r="DR50" s="53"/>
      <c r="DS50" s="53"/>
    </row>
    <row r="51" spans="1:123" s="53" customFormat="1" x14ac:dyDescent="0.25">
      <c r="A51" s="22" t="s">
        <v>7</v>
      </c>
      <c r="B51" s="25">
        <v>0</v>
      </c>
      <c r="C51" s="25">
        <f>B51</f>
        <v>0</v>
      </c>
      <c r="D51" s="25">
        <f t="shared" ref="D51:I51" si="918">C51</f>
        <v>0</v>
      </c>
      <c r="E51" s="25">
        <f t="shared" si="918"/>
        <v>0</v>
      </c>
      <c r="F51" s="25">
        <f t="shared" si="918"/>
        <v>0</v>
      </c>
      <c r="G51" s="25">
        <f t="shared" si="918"/>
        <v>0</v>
      </c>
      <c r="H51" s="25">
        <f t="shared" si="918"/>
        <v>0</v>
      </c>
      <c r="I51" s="25">
        <f t="shared" si="918"/>
        <v>0</v>
      </c>
      <c r="J51" s="25">
        <f t="shared" ref="J51" si="919">I51</f>
        <v>0</v>
      </c>
      <c r="K51" s="25">
        <f t="shared" ref="K51" si="920">J51</f>
        <v>0</v>
      </c>
      <c r="L51" s="25">
        <f t="shared" ref="L51" si="921">K51</f>
        <v>0</v>
      </c>
      <c r="M51" s="25">
        <f t="shared" ref="M51" si="922">L51</f>
        <v>0</v>
      </c>
      <c r="N51" s="25">
        <f t="shared" ref="N51" si="923">M51</f>
        <v>0</v>
      </c>
      <c r="O51" s="25">
        <f t="shared" ref="O51" si="924">N51</f>
        <v>0</v>
      </c>
      <c r="P51" s="25">
        <f t="shared" ref="P51" si="925">O51</f>
        <v>0</v>
      </c>
      <c r="Q51" s="25">
        <f t="shared" ref="Q51" si="926">P51</f>
        <v>0</v>
      </c>
      <c r="R51" s="25">
        <f t="shared" ref="R51" si="927">Q51</f>
        <v>0</v>
      </c>
      <c r="S51" s="25">
        <f>SCBL_Loan!$G$58</f>
        <v>0</v>
      </c>
      <c r="T51" s="25">
        <v>0</v>
      </c>
      <c r="U51" s="25">
        <v>0</v>
      </c>
      <c r="V51" s="25">
        <f>SCBL_Loan!$H$58</f>
        <v>3552000</v>
      </c>
      <c r="W51" s="25">
        <v>0</v>
      </c>
      <c r="X51" s="25">
        <v>0</v>
      </c>
      <c r="Y51" s="25">
        <f>SCBL_Loan!$I$58</f>
        <v>3552000</v>
      </c>
      <c r="Z51" s="25">
        <v>0</v>
      </c>
      <c r="AA51" s="25">
        <v>0</v>
      </c>
      <c r="AB51" s="25">
        <f>SCBL_Loan!$J$58</f>
        <v>3528000</v>
      </c>
      <c r="AC51" s="25">
        <v>0</v>
      </c>
      <c r="AD51" s="25">
        <v>0</v>
      </c>
      <c r="AE51" s="25">
        <f>SCBL_Loan!$K$58</f>
        <v>3528000</v>
      </c>
      <c r="AF51" s="25">
        <v>0</v>
      </c>
      <c r="AG51" s="25">
        <v>0</v>
      </c>
      <c r="AH51" s="25">
        <f>SCBL_Loan!$L$58</f>
        <v>3528000</v>
      </c>
      <c r="AI51" s="25">
        <v>0</v>
      </c>
      <c r="AJ51" s="25">
        <v>0</v>
      </c>
      <c r="AK51" s="25">
        <f>SCBL_Loan!$M$58</f>
        <v>3528000</v>
      </c>
      <c r="AL51" s="25">
        <v>0</v>
      </c>
      <c r="AM51" s="25">
        <v>0</v>
      </c>
      <c r="AN51" s="25">
        <f>SCBL_Loan!$N$58</f>
        <v>3528000</v>
      </c>
      <c r="AO51" s="25">
        <v>0</v>
      </c>
      <c r="AP51" s="25">
        <v>0</v>
      </c>
      <c r="AQ51" s="25">
        <f>SCBL_Loan!$O$58</f>
        <v>3528000</v>
      </c>
      <c r="AR51" s="25">
        <v>0</v>
      </c>
      <c r="AS51" s="25">
        <v>0</v>
      </c>
      <c r="AT51" s="25">
        <f>SCBL_Loan!$P$58</f>
        <v>3528000</v>
      </c>
      <c r="AU51" s="25">
        <v>0</v>
      </c>
      <c r="AV51" s="25">
        <v>0</v>
      </c>
      <c r="AW51" s="25">
        <f>SCBL_Loan!$Q$58</f>
        <v>3528000</v>
      </c>
      <c r="AX51" s="25">
        <v>0</v>
      </c>
      <c r="AY51" s="25">
        <v>0</v>
      </c>
      <c r="AZ51" s="25">
        <f>SCBL_Loan!$R$58</f>
        <v>3528000</v>
      </c>
      <c r="BA51" s="25">
        <v>0</v>
      </c>
      <c r="BB51" s="25">
        <v>0</v>
      </c>
      <c r="BC51" s="25">
        <f>SCBL_Loan!$S$58</f>
        <v>3528000</v>
      </c>
      <c r="BD51" s="25">
        <v>0</v>
      </c>
      <c r="BE51" s="25">
        <v>0</v>
      </c>
      <c r="BF51" s="25">
        <f>SCBL_Loan!$T$58</f>
        <v>3528000</v>
      </c>
      <c r="BG51" s="25">
        <v>0</v>
      </c>
      <c r="BH51" s="25">
        <v>0</v>
      </c>
      <c r="BI51" s="25">
        <f>SCBL_Loan!$U$58</f>
        <v>3528000</v>
      </c>
      <c r="BJ51" s="25">
        <v>0</v>
      </c>
      <c r="BK51" s="25">
        <v>0</v>
      </c>
      <c r="BL51" s="25">
        <f>SCBL_Loan!$V$58</f>
        <v>3528000</v>
      </c>
      <c r="BM51" s="25">
        <v>0</v>
      </c>
      <c r="BN51" s="25">
        <v>0</v>
      </c>
      <c r="BO51" s="25">
        <f>SCBL_Loan!$W$58</f>
        <v>3528000</v>
      </c>
      <c r="BP51" s="25">
        <v>0</v>
      </c>
      <c r="BQ51" s="25">
        <v>0</v>
      </c>
      <c r="BR51" s="25">
        <f>SCBL_Loan!$X$58</f>
        <v>3528000</v>
      </c>
      <c r="BS51" s="25">
        <v>0</v>
      </c>
      <c r="BT51" s="25">
        <v>0</v>
      </c>
      <c r="BU51" s="25">
        <f>SCBL_Loan!$Y$58</f>
        <v>3528000</v>
      </c>
      <c r="BV51" s="25">
        <v>0</v>
      </c>
      <c r="BW51" s="25">
        <v>0</v>
      </c>
      <c r="BX51" s="25">
        <f>SCBL_Loan!$Z$58</f>
        <v>3528000</v>
      </c>
      <c r="BY51" s="25">
        <v>0</v>
      </c>
      <c r="BZ51" s="25">
        <v>0</v>
      </c>
      <c r="CA51" s="25">
        <f>SCBL_Loan!$AA$58</f>
        <v>3528000</v>
      </c>
      <c r="CB51" s="25">
        <v>0</v>
      </c>
      <c r="CC51" s="25">
        <v>0</v>
      </c>
      <c r="CD51" s="25">
        <f>SCBL_Loan!$AB$58</f>
        <v>3528000</v>
      </c>
      <c r="CE51" s="25">
        <v>0</v>
      </c>
      <c r="CF51" s="25">
        <v>0</v>
      </c>
      <c r="CG51" s="25">
        <f>SCBL_Loan!$AC$58</f>
        <v>3528000</v>
      </c>
      <c r="CH51" s="25">
        <v>0</v>
      </c>
      <c r="CI51" s="25">
        <v>0</v>
      </c>
      <c r="CJ51" s="25">
        <f>SCBL_Loan!$AD$58</f>
        <v>3528000</v>
      </c>
      <c r="CK51" s="25">
        <v>0</v>
      </c>
      <c r="CL51" s="25">
        <v>0</v>
      </c>
      <c r="CM51" s="25">
        <f>SCBL_Loan!$AE$58</f>
        <v>3528000</v>
      </c>
      <c r="CN51" s="25">
        <v>0</v>
      </c>
      <c r="CO51" s="25">
        <v>0</v>
      </c>
      <c r="CP51" s="25">
        <f>SCBL_Loan!$AF$58</f>
        <v>3528000</v>
      </c>
      <c r="CQ51" s="25">
        <v>0</v>
      </c>
      <c r="CR51" s="25">
        <v>0</v>
      </c>
      <c r="CS51" s="25">
        <f>SCBL_Loan!$AG$58</f>
        <v>3528000</v>
      </c>
      <c r="CT51" s="25">
        <v>0</v>
      </c>
      <c r="CU51" s="25">
        <v>0</v>
      </c>
      <c r="CV51" s="25">
        <f>SCBL_Loan!$AH$58</f>
        <v>3528000</v>
      </c>
      <c r="CW51" s="25">
        <v>0</v>
      </c>
      <c r="CX51" s="25">
        <v>0</v>
      </c>
      <c r="CY51" s="25">
        <f>SCBL_Loan!$AI$58</f>
        <v>3528000</v>
      </c>
      <c r="CZ51" s="25">
        <v>0</v>
      </c>
      <c r="DA51" s="25">
        <v>0</v>
      </c>
      <c r="DB51" s="25">
        <f>SCBL_Loan!$AJ$58</f>
        <v>3528000</v>
      </c>
      <c r="DC51" s="25">
        <v>0</v>
      </c>
      <c r="DD51" s="25">
        <v>0</v>
      </c>
      <c r="DE51" s="25">
        <f>SCBL_Loan!$AK$58</f>
        <v>3528000</v>
      </c>
      <c r="DF51" s="25">
        <v>0</v>
      </c>
      <c r="DG51" s="25">
        <v>0</v>
      </c>
      <c r="DH51" s="25">
        <f>SCBL_Loan!$AL$58</f>
        <v>3528000</v>
      </c>
      <c r="DI51" s="25">
        <v>0</v>
      </c>
      <c r="DJ51" s="25">
        <v>0</v>
      </c>
      <c r="DK51" s="25">
        <f>SCBL_Loan!$AM$58</f>
        <v>3528000</v>
      </c>
      <c r="DL51" s="25">
        <v>0</v>
      </c>
      <c r="DM51" s="25">
        <v>0</v>
      </c>
      <c r="DN51" s="25">
        <f>SCBL_Loan!$AN$58</f>
        <v>3528000</v>
      </c>
      <c r="DO51" s="25">
        <v>0</v>
      </c>
      <c r="DP51" s="25">
        <v>0</v>
      </c>
      <c r="DQ51" s="25">
        <f>SCBL_Loan!$AN$58</f>
        <v>3528000</v>
      </c>
    </row>
    <row r="52" spans="1:123" s="53" customFormat="1" x14ac:dyDescent="0.25">
      <c r="A52" s="22" t="s">
        <v>13</v>
      </c>
      <c r="B52" s="25">
        <f>B51</f>
        <v>0</v>
      </c>
      <c r="C52" s="25">
        <f>B52+C51</f>
        <v>0</v>
      </c>
      <c r="D52" s="25">
        <f t="shared" ref="D52:I52" si="928">C52+D51</f>
        <v>0</v>
      </c>
      <c r="E52" s="25">
        <f t="shared" si="928"/>
        <v>0</v>
      </c>
      <c r="F52" s="25">
        <f t="shared" si="928"/>
        <v>0</v>
      </c>
      <c r="G52" s="25">
        <f t="shared" si="928"/>
        <v>0</v>
      </c>
      <c r="H52" s="25">
        <f t="shared" si="928"/>
        <v>0</v>
      </c>
      <c r="I52" s="25">
        <f t="shared" si="928"/>
        <v>0</v>
      </c>
      <c r="J52" s="25">
        <f t="shared" ref="J52" si="929">I52+J51</f>
        <v>0</v>
      </c>
      <c r="K52" s="25">
        <f t="shared" ref="K52" si="930">J52+K51</f>
        <v>0</v>
      </c>
      <c r="L52" s="25">
        <f t="shared" ref="L52" si="931">K52+L51</f>
        <v>0</v>
      </c>
      <c r="M52" s="25">
        <f t="shared" ref="M52" si="932">L52+M51</f>
        <v>0</v>
      </c>
      <c r="N52" s="25">
        <f t="shared" ref="N52" si="933">M52+N51</f>
        <v>0</v>
      </c>
      <c r="O52" s="25">
        <f t="shared" ref="O52" si="934">N52+O51</f>
        <v>0</v>
      </c>
      <c r="P52" s="25">
        <f t="shared" ref="P52" si="935">O52+P51</f>
        <v>0</v>
      </c>
      <c r="Q52" s="25">
        <f t="shared" ref="Q52" si="936">P52+Q51</f>
        <v>0</v>
      </c>
      <c r="R52" s="25">
        <f t="shared" ref="R52" si="937">Q52+R51</f>
        <v>0</v>
      </c>
      <c r="S52" s="25">
        <f t="shared" ref="S52" si="938">R52+S51</f>
        <v>0</v>
      </c>
      <c r="T52" s="25">
        <f t="shared" ref="T52" si="939">S52+T51</f>
        <v>0</v>
      </c>
      <c r="U52" s="25">
        <f t="shared" ref="U52" si="940">T52+U51</f>
        <v>0</v>
      </c>
      <c r="V52" s="25">
        <f t="shared" ref="V52" si="941">U52+V51</f>
        <v>3552000</v>
      </c>
      <c r="W52" s="25">
        <f t="shared" ref="W52" si="942">V52+W51</f>
        <v>3552000</v>
      </c>
      <c r="X52" s="25">
        <f t="shared" ref="X52" si="943">W52+X51</f>
        <v>3552000</v>
      </c>
      <c r="Y52" s="25">
        <f t="shared" ref="Y52" si="944">X52+Y51</f>
        <v>7104000</v>
      </c>
      <c r="Z52" s="25">
        <f t="shared" ref="Z52" si="945">Y52+Z51</f>
        <v>7104000</v>
      </c>
      <c r="AA52" s="25">
        <f t="shared" ref="AA52" si="946">Z52+AA51</f>
        <v>7104000</v>
      </c>
      <c r="AB52" s="25">
        <f t="shared" ref="AB52" si="947">AA52+AB51</f>
        <v>10632000</v>
      </c>
      <c r="AC52" s="25">
        <f t="shared" ref="AC52" si="948">AB52+AC51</f>
        <v>10632000</v>
      </c>
      <c r="AD52" s="25">
        <f t="shared" ref="AD52" si="949">AC52+AD51</f>
        <v>10632000</v>
      </c>
      <c r="AE52" s="25">
        <f t="shared" ref="AE52" si="950">AD52+AE51</f>
        <v>14160000</v>
      </c>
      <c r="AF52" s="25">
        <f t="shared" ref="AF52" si="951">AE52+AF51</f>
        <v>14160000</v>
      </c>
      <c r="AG52" s="25">
        <f t="shared" ref="AG52" si="952">AF52+AG51</f>
        <v>14160000</v>
      </c>
      <c r="AH52" s="25">
        <f t="shared" ref="AH52" si="953">AG52+AH51</f>
        <v>17688000</v>
      </c>
      <c r="AI52" s="25">
        <f t="shared" ref="AI52" si="954">AH52+AI51</f>
        <v>17688000</v>
      </c>
      <c r="AJ52" s="25">
        <f t="shared" ref="AJ52" si="955">AI52+AJ51</f>
        <v>17688000</v>
      </c>
      <c r="AK52" s="25">
        <f t="shared" ref="AK52" si="956">AJ52+AK51</f>
        <v>21216000</v>
      </c>
      <c r="AL52" s="25">
        <f t="shared" ref="AL52" si="957">AK52+AL51</f>
        <v>21216000</v>
      </c>
      <c r="AM52" s="25">
        <f t="shared" ref="AM52" si="958">AL52+AM51</f>
        <v>21216000</v>
      </c>
      <c r="AN52" s="25">
        <f t="shared" ref="AN52" si="959">AM52+AN51</f>
        <v>24744000</v>
      </c>
      <c r="AO52" s="25">
        <f t="shared" ref="AO52" si="960">AN52+AO51</f>
        <v>24744000</v>
      </c>
      <c r="AP52" s="25">
        <f t="shared" ref="AP52" si="961">AO52+AP51</f>
        <v>24744000</v>
      </c>
      <c r="AQ52" s="25">
        <f t="shared" ref="AQ52" si="962">AP52+AQ51</f>
        <v>28272000</v>
      </c>
      <c r="AR52" s="25">
        <f t="shared" ref="AR52" si="963">AQ52+AR51</f>
        <v>28272000</v>
      </c>
      <c r="AS52" s="25">
        <f t="shared" ref="AS52" si="964">AR52+AS51</f>
        <v>28272000</v>
      </c>
      <c r="AT52" s="25">
        <f t="shared" ref="AT52" si="965">AS52+AT51</f>
        <v>31800000</v>
      </c>
      <c r="AU52" s="25">
        <f t="shared" ref="AU52" si="966">AT52+AU51</f>
        <v>31800000</v>
      </c>
      <c r="AV52" s="25">
        <f t="shared" ref="AV52" si="967">AU52+AV51</f>
        <v>31800000</v>
      </c>
      <c r="AW52" s="25">
        <f t="shared" ref="AW52" si="968">AV52+AW51</f>
        <v>35328000</v>
      </c>
      <c r="AX52" s="25">
        <f t="shared" ref="AX52" si="969">AW52+AX51</f>
        <v>35328000</v>
      </c>
      <c r="AY52" s="25">
        <f t="shared" ref="AY52" si="970">AX52+AY51</f>
        <v>35328000</v>
      </c>
      <c r="AZ52" s="25">
        <f t="shared" ref="AZ52" si="971">AY52+AZ51</f>
        <v>38856000</v>
      </c>
      <c r="BA52" s="25">
        <f t="shared" ref="BA52" si="972">AZ52+BA51</f>
        <v>38856000</v>
      </c>
      <c r="BB52" s="25">
        <f t="shared" ref="BB52" si="973">BA52+BB51</f>
        <v>38856000</v>
      </c>
      <c r="BC52" s="25">
        <f t="shared" ref="BC52" si="974">BB52+BC51</f>
        <v>42384000</v>
      </c>
      <c r="BD52" s="25">
        <f t="shared" ref="BD52" si="975">BC52+BD51</f>
        <v>42384000</v>
      </c>
      <c r="BE52" s="25">
        <f t="shared" ref="BE52" si="976">BD52+BE51</f>
        <v>42384000</v>
      </c>
      <c r="BF52" s="25">
        <f t="shared" ref="BF52" si="977">BE52+BF51</f>
        <v>45912000</v>
      </c>
      <c r="BG52" s="25">
        <f t="shared" ref="BG52" si="978">BF52+BG51</f>
        <v>45912000</v>
      </c>
      <c r="BH52" s="25">
        <f t="shared" ref="BH52" si="979">BG52+BH51</f>
        <v>45912000</v>
      </c>
      <c r="BI52" s="25">
        <f t="shared" ref="BI52" si="980">BH52+BI51</f>
        <v>49440000</v>
      </c>
      <c r="BJ52" s="25">
        <f t="shared" ref="BJ52" si="981">BI52+BJ51</f>
        <v>49440000</v>
      </c>
      <c r="BK52" s="25">
        <f t="shared" ref="BK52" si="982">BJ52+BK51</f>
        <v>49440000</v>
      </c>
      <c r="BL52" s="25">
        <f t="shared" ref="BL52" si="983">BK52+BL51</f>
        <v>52968000</v>
      </c>
      <c r="BM52" s="25">
        <f t="shared" ref="BM52" si="984">BL52+BM51</f>
        <v>52968000</v>
      </c>
      <c r="BN52" s="25">
        <f t="shared" ref="BN52" si="985">BM52+BN51</f>
        <v>52968000</v>
      </c>
      <c r="BO52" s="25">
        <f t="shared" ref="BO52" si="986">BN52+BO51</f>
        <v>56496000</v>
      </c>
      <c r="BP52" s="25">
        <f t="shared" ref="BP52" si="987">BO52+BP51</f>
        <v>56496000</v>
      </c>
      <c r="BQ52" s="25">
        <f t="shared" ref="BQ52" si="988">BP52+BQ51</f>
        <v>56496000</v>
      </c>
      <c r="BR52" s="25">
        <f t="shared" ref="BR52" si="989">BQ52+BR51</f>
        <v>60024000</v>
      </c>
      <c r="BS52" s="25">
        <f t="shared" ref="BS52" si="990">BR52+BS51</f>
        <v>60024000</v>
      </c>
      <c r="BT52" s="25">
        <f>BS52+BT51</f>
        <v>60024000</v>
      </c>
      <c r="BU52" s="25">
        <f t="shared" ref="BU52" si="991">BT52+BU51</f>
        <v>63552000</v>
      </c>
      <c r="BV52" s="25">
        <f t="shared" ref="BV52" si="992">BU52+BV51</f>
        <v>63552000</v>
      </c>
      <c r="BW52" s="25">
        <f t="shared" ref="BW52" si="993">BV52+BW51</f>
        <v>63552000</v>
      </c>
      <c r="BX52" s="25">
        <f t="shared" ref="BX52" si="994">BW52+BX51</f>
        <v>67080000</v>
      </c>
      <c r="BY52" s="25">
        <f t="shared" ref="BY52" si="995">BX52+BY51</f>
        <v>67080000</v>
      </c>
      <c r="BZ52" s="25">
        <f t="shared" ref="BZ52" si="996">BY52+BZ51</f>
        <v>67080000</v>
      </c>
      <c r="CA52" s="25">
        <f t="shared" ref="CA52" si="997">BZ52+CA51</f>
        <v>70608000</v>
      </c>
      <c r="CB52" s="25">
        <f t="shared" ref="CB52" si="998">CA52+CB51</f>
        <v>70608000</v>
      </c>
      <c r="CC52" s="25">
        <f t="shared" ref="CC52" si="999">CB52+CC51</f>
        <v>70608000</v>
      </c>
      <c r="CD52" s="25">
        <f t="shared" ref="CD52" si="1000">CC52+CD51</f>
        <v>74136000</v>
      </c>
      <c r="CE52" s="25">
        <f t="shared" ref="CE52" si="1001">CD52+CE51</f>
        <v>74136000</v>
      </c>
      <c r="CF52" s="25">
        <f t="shared" ref="CF52" si="1002">CE52+CF51</f>
        <v>74136000</v>
      </c>
      <c r="CG52" s="25">
        <f>CF52+CG51</f>
        <v>77664000</v>
      </c>
      <c r="CH52" s="25">
        <f>CG52+CH51</f>
        <v>77664000</v>
      </c>
      <c r="CI52" s="25">
        <f t="shared" ref="CI52" si="1003">CH52+CI51</f>
        <v>77664000</v>
      </c>
      <c r="CJ52" s="25">
        <f>CI52+CJ51</f>
        <v>81192000</v>
      </c>
      <c r="CK52" s="25">
        <f t="shared" ref="CK52" si="1004">CJ52+CK51</f>
        <v>81192000</v>
      </c>
      <c r="CL52" s="25">
        <f t="shared" ref="CL52" si="1005">CK52+CL51</f>
        <v>81192000</v>
      </c>
      <c r="CM52" s="25">
        <f t="shared" ref="CM52" si="1006">CL52+CM51</f>
        <v>84720000</v>
      </c>
      <c r="CN52" s="25">
        <f t="shared" ref="CN52" si="1007">CM52+CN51</f>
        <v>84720000</v>
      </c>
      <c r="CO52" s="25">
        <f t="shared" ref="CO52" si="1008">CN52+CO51</f>
        <v>84720000</v>
      </c>
      <c r="CP52" s="25">
        <f t="shared" ref="CP52" si="1009">CO52+CP51</f>
        <v>88248000</v>
      </c>
      <c r="CQ52" s="25">
        <f>CP52+CQ51</f>
        <v>88248000</v>
      </c>
      <c r="CR52" s="25">
        <f>CQ52+CR51</f>
        <v>88248000</v>
      </c>
      <c r="CS52" s="25">
        <f>CR52+CS51</f>
        <v>91776000</v>
      </c>
      <c r="CT52" s="25">
        <f>CS52+CT51</f>
        <v>91776000</v>
      </c>
      <c r="CU52" s="25">
        <f t="shared" ref="CU52" si="1010">CT52+CU51</f>
        <v>91776000</v>
      </c>
      <c r="CV52" s="25">
        <f t="shared" ref="CV52" si="1011">CU52+CV51</f>
        <v>95304000</v>
      </c>
      <c r="CW52" s="25">
        <f t="shared" ref="CW52" si="1012">CV52+CW51</f>
        <v>95304000</v>
      </c>
      <c r="CX52" s="25">
        <f t="shared" ref="CX52" si="1013">CW52+CX51</f>
        <v>95304000</v>
      </c>
      <c r="CY52" s="25">
        <f t="shared" ref="CY52" si="1014">CX52+CY51</f>
        <v>98832000</v>
      </c>
      <c r="CZ52" s="25">
        <f t="shared" ref="CZ52" si="1015">CY52+CZ51</f>
        <v>98832000</v>
      </c>
      <c r="DA52" s="25">
        <f t="shared" ref="DA52" si="1016">CZ52+DA51</f>
        <v>98832000</v>
      </c>
      <c r="DB52" s="25">
        <f t="shared" ref="DB52" si="1017">DA52+DB51</f>
        <v>102360000</v>
      </c>
      <c r="DC52" s="25">
        <f t="shared" ref="DC52" si="1018">DB52+DC51</f>
        <v>102360000</v>
      </c>
      <c r="DD52" s="25">
        <f t="shared" ref="DD52" si="1019">DC52+DD51</f>
        <v>102360000</v>
      </c>
      <c r="DE52" s="25">
        <f t="shared" ref="DE52" si="1020">DD52+DE51</f>
        <v>105888000</v>
      </c>
      <c r="DF52" s="25">
        <f t="shared" ref="DF52" si="1021">DE52+DF51</f>
        <v>105888000</v>
      </c>
      <c r="DG52" s="25">
        <f>DF52+DG51</f>
        <v>105888000</v>
      </c>
      <c r="DH52" s="25">
        <f t="shared" ref="DH52" si="1022">DG52+DH51</f>
        <v>109416000</v>
      </c>
      <c r="DI52" s="25">
        <f t="shared" ref="DI52" si="1023">DH52+DI51</f>
        <v>109416000</v>
      </c>
      <c r="DJ52" s="25">
        <f t="shared" ref="DJ52" si="1024">DI52+DJ51</f>
        <v>109416000</v>
      </c>
      <c r="DK52" s="25">
        <f t="shared" ref="DK52" si="1025">DJ52+DK51</f>
        <v>112944000</v>
      </c>
      <c r="DL52" s="25">
        <f t="shared" ref="DL52" si="1026">DK52+DL51</f>
        <v>112944000</v>
      </c>
      <c r="DM52" s="25">
        <f t="shared" ref="DM52" si="1027">DL52+DM51</f>
        <v>112944000</v>
      </c>
      <c r="DN52" s="25">
        <f t="shared" ref="DN52" si="1028">DM52+DN51</f>
        <v>116472000</v>
      </c>
      <c r="DO52" s="25">
        <f t="shared" ref="DO52" si="1029">DN52+DO51</f>
        <v>116472000</v>
      </c>
      <c r="DP52" s="25">
        <f t="shared" ref="DP52" si="1030">DO52+DP51</f>
        <v>116472000</v>
      </c>
      <c r="DQ52" s="25">
        <f t="shared" ref="DQ52" si="1031">DP52+DQ51</f>
        <v>120000000</v>
      </c>
    </row>
    <row r="53" spans="1:123" s="53" customFormat="1" x14ac:dyDescent="0.25">
      <c r="A53" s="22" t="s">
        <v>8</v>
      </c>
      <c r="B53" s="31">
        <f t="shared" ref="B53:C53" si="1032">B51+B49</f>
        <v>950000</v>
      </c>
      <c r="C53" s="31">
        <f t="shared" si="1032"/>
        <v>981666.66666666663</v>
      </c>
      <c r="D53" s="31">
        <f t="shared" ref="D53:I53" si="1033">D51+D49</f>
        <v>950000</v>
      </c>
      <c r="E53" s="31">
        <f t="shared" si="1033"/>
        <v>981666.66666666663</v>
      </c>
      <c r="F53" s="31">
        <f t="shared" si="1033"/>
        <v>950000</v>
      </c>
      <c r="G53" s="31">
        <f t="shared" si="1033"/>
        <v>981666.66666666663</v>
      </c>
      <c r="H53" s="31">
        <f t="shared" si="1033"/>
        <v>981666.66666666663</v>
      </c>
      <c r="I53" s="31">
        <f t="shared" si="1033"/>
        <v>918333.33333333337</v>
      </c>
      <c r="J53" s="31">
        <f t="shared" ref="J53:BM53" si="1034">J51+J49</f>
        <v>981666.66666666674</v>
      </c>
      <c r="K53" s="31">
        <f t="shared" si="1034"/>
        <v>950000</v>
      </c>
      <c r="L53" s="31">
        <f t="shared" si="1034"/>
        <v>981666.66666666663</v>
      </c>
      <c r="M53" s="31">
        <f t="shared" si="1034"/>
        <v>950000</v>
      </c>
      <c r="N53" s="31">
        <f t="shared" si="1034"/>
        <v>981666.66666666663</v>
      </c>
      <c r="O53" s="31">
        <f t="shared" si="1034"/>
        <v>950000</v>
      </c>
      <c r="P53" s="31">
        <f t="shared" si="1034"/>
        <v>900000</v>
      </c>
      <c r="Q53" s="31">
        <f t="shared" si="1034"/>
        <v>930000</v>
      </c>
      <c r="R53" s="31">
        <f t="shared" si="1034"/>
        <v>900000</v>
      </c>
      <c r="S53" s="31">
        <f t="shared" si="1034"/>
        <v>930000</v>
      </c>
      <c r="T53" s="31">
        <f t="shared" si="1034"/>
        <v>930000</v>
      </c>
      <c r="U53" s="31">
        <f t="shared" si="1034"/>
        <v>840000</v>
      </c>
      <c r="V53" s="31">
        <f t="shared" si="1034"/>
        <v>4466904</v>
      </c>
      <c r="W53" s="31">
        <f t="shared" si="1034"/>
        <v>873360</v>
      </c>
      <c r="X53" s="31">
        <f t="shared" si="1034"/>
        <v>902472</v>
      </c>
      <c r="Y53" s="31">
        <f t="shared" si="1034"/>
        <v>4411152</v>
      </c>
      <c r="Z53" s="31">
        <f t="shared" si="1034"/>
        <v>874944</v>
      </c>
      <c r="AA53" s="31">
        <f t="shared" si="1034"/>
        <v>874944</v>
      </c>
      <c r="AB53" s="31">
        <f t="shared" si="1034"/>
        <v>4360608</v>
      </c>
      <c r="AC53" s="31">
        <f t="shared" si="1034"/>
        <v>847602</v>
      </c>
      <c r="AD53" s="31">
        <f t="shared" si="1034"/>
        <v>820260</v>
      </c>
      <c r="AE53" s="31">
        <f t="shared" si="1034"/>
        <v>4360608</v>
      </c>
      <c r="AF53" s="31">
        <f t="shared" si="1034"/>
        <v>820260</v>
      </c>
      <c r="AG53" s="31">
        <f t="shared" si="1034"/>
        <v>740880</v>
      </c>
      <c r="AH53" s="31">
        <f t="shared" si="1034"/>
        <v>4333266</v>
      </c>
      <c r="AI53" s="31">
        <f t="shared" si="1034"/>
        <v>767340</v>
      </c>
      <c r="AJ53" s="31">
        <f t="shared" si="1034"/>
        <v>792918</v>
      </c>
      <c r="AK53" s="31">
        <f t="shared" si="1034"/>
        <v>4281228</v>
      </c>
      <c r="AL53" s="31">
        <f t="shared" si="1034"/>
        <v>765576</v>
      </c>
      <c r="AM53" s="31">
        <f t="shared" si="1034"/>
        <v>765576</v>
      </c>
      <c r="AN53" s="31">
        <f t="shared" si="1034"/>
        <v>4254768</v>
      </c>
      <c r="AO53" s="31">
        <f t="shared" si="1034"/>
        <v>738234</v>
      </c>
      <c r="AP53" s="31">
        <f t="shared" si="1034"/>
        <v>714420</v>
      </c>
      <c r="AQ53" s="31">
        <f t="shared" si="1034"/>
        <v>4251240</v>
      </c>
      <c r="AR53" s="31">
        <f t="shared" si="1034"/>
        <v>710892</v>
      </c>
      <c r="AS53" s="31">
        <f t="shared" si="1034"/>
        <v>642096</v>
      </c>
      <c r="AT53" s="31">
        <f t="shared" si="1034"/>
        <v>4223898</v>
      </c>
      <c r="AU53" s="31">
        <f t="shared" si="1034"/>
        <v>661500</v>
      </c>
      <c r="AV53" s="31">
        <f t="shared" si="1034"/>
        <v>683550</v>
      </c>
      <c r="AW53" s="31">
        <f t="shared" si="1034"/>
        <v>4175388</v>
      </c>
      <c r="AX53" s="31">
        <f t="shared" si="1034"/>
        <v>656208</v>
      </c>
      <c r="AY53" s="31">
        <f t="shared" si="1034"/>
        <v>656208</v>
      </c>
      <c r="AZ53" s="31">
        <f t="shared" si="1034"/>
        <v>4148046</v>
      </c>
      <c r="BA53" s="31">
        <f t="shared" si="1034"/>
        <v>628866</v>
      </c>
      <c r="BB53" s="31">
        <f t="shared" si="1034"/>
        <v>608580</v>
      </c>
      <c r="BC53" s="31">
        <f t="shared" si="1034"/>
        <v>4140990</v>
      </c>
      <c r="BD53" s="31">
        <f t="shared" si="1034"/>
        <v>601524</v>
      </c>
      <c r="BE53" s="31">
        <f t="shared" si="1034"/>
        <v>562716</v>
      </c>
      <c r="BF53" s="31">
        <f t="shared" si="1034"/>
        <v>4113648</v>
      </c>
      <c r="BG53" s="31">
        <f t="shared" si="1034"/>
        <v>555660</v>
      </c>
      <c r="BH53" s="31">
        <f t="shared" si="1034"/>
        <v>574182</v>
      </c>
      <c r="BI53" s="31">
        <f t="shared" si="1034"/>
        <v>4067784</v>
      </c>
      <c r="BJ53" s="31">
        <f t="shared" si="1034"/>
        <v>546840</v>
      </c>
      <c r="BK53" s="31">
        <f t="shared" si="1034"/>
        <v>546840</v>
      </c>
      <c r="BL53" s="31">
        <f t="shared" si="1034"/>
        <v>4043088</v>
      </c>
      <c r="BM53" s="31">
        <f t="shared" si="1034"/>
        <v>519498</v>
      </c>
      <c r="BN53" s="31">
        <f t="shared" ref="BN53:CP53" si="1035">BN51+BN49</f>
        <v>502740</v>
      </c>
      <c r="BO53" s="31">
        <f t="shared" si="1035"/>
        <v>4032504</v>
      </c>
      <c r="BP53" s="31">
        <f t="shared" si="1035"/>
        <v>492156</v>
      </c>
      <c r="BQ53" s="31">
        <f t="shared" si="1035"/>
        <v>444528</v>
      </c>
      <c r="BR53" s="31">
        <f t="shared" si="1035"/>
        <v>4003398</v>
      </c>
      <c r="BS53" s="31">
        <f t="shared" si="1035"/>
        <v>449820</v>
      </c>
      <c r="BT53" s="31">
        <f t="shared" si="1035"/>
        <v>464814</v>
      </c>
      <c r="BU53" s="31">
        <f t="shared" si="1035"/>
        <v>3963708</v>
      </c>
      <c r="BV53" s="31">
        <f t="shared" si="1035"/>
        <v>437472</v>
      </c>
      <c r="BW53" s="31">
        <f t="shared" si="1035"/>
        <v>437472</v>
      </c>
      <c r="BX53" s="31">
        <f t="shared" si="1035"/>
        <v>3937248</v>
      </c>
      <c r="BY53" s="31">
        <f t="shared" si="1035"/>
        <v>410130</v>
      </c>
      <c r="BZ53" s="31">
        <f t="shared" si="1035"/>
        <v>396900</v>
      </c>
      <c r="CA53" s="31">
        <f t="shared" si="1035"/>
        <v>3923136</v>
      </c>
      <c r="CB53" s="31">
        <f t="shared" si="1035"/>
        <v>382788</v>
      </c>
      <c r="CC53" s="31">
        <f t="shared" si="1035"/>
        <v>345744</v>
      </c>
      <c r="CD53" s="31">
        <f t="shared" si="1035"/>
        <v>3895794</v>
      </c>
      <c r="CE53" s="31">
        <f t="shared" si="1035"/>
        <v>343980</v>
      </c>
      <c r="CF53" s="31">
        <f t="shared" si="1035"/>
        <v>355446</v>
      </c>
      <c r="CG53" s="31">
        <f t="shared" si="1035"/>
        <v>3857868</v>
      </c>
      <c r="CH53" s="31">
        <f t="shared" si="1035"/>
        <v>328104</v>
      </c>
      <c r="CI53" s="31">
        <f t="shared" si="1035"/>
        <v>328104</v>
      </c>
      <c r="CJ53" s="31">
        <f t="shared" si="1035"/>
        <v>3831408</v>
      </c>
      <c r="CK53" s="31">
        <f t="shared" si="1035"/>
        <v>300762</v>
      </c>
      <c r="CL53" s="31">
        <f t="shared" si="1035"/>
        <v>291060</v>
      </c>
      <c r="CM53" s="31">
        <f t="shared" si="1035"/>
        <v>3813768</v>
      </c>
      <c r="CN53" s="31">
        <f t="shared" si="1035"/>
        <v>273420</v>
      </c>
      <c r="CO53" s="31">
        <f t="shared" si="1035"/>
        <v>246960</v>
      </c>
      <c r="CP53" s="31">
        <f t="shared" si="1035"/>
        <v>3786426</v>
      </c>
      <c r="CQ53" s="31">
        <f>CQ51+CQ49</f>
        <v>238140</v>
      </c>
      <c r="CR53" s="31">
        <f>CR51+CR49</f>
        <v>246078</v>
      </c>
      <c r="CS53" s="31">
        <f>CS51+CS49</f>
        <v>3752028</v>
      </c>
      <c r="CT53" s="31">
        <f>CT51+CT49</f>
        <v>218736</v>
      </c>
      <c r="CU53" s="31">
        <f t="shared" ref="CU53:DF53" si="1036">CU51+CU49</f>
        <v>218736</v>
      </c>
      <c r="CV53" s="31">
        <f t="shared" si="1036"/>
        <v>3725568</v>
      </c>
      <c r="CW53" s="31">
        <f t="shared" si="1036"/>
        <v>191394</v>
      </c>
      <c r="CX53" s="31">
        <f t="shared" si="1036"/>
        <v>185220</v>
      </c>
      <c r="CY53" s="31">
        <f t="shared" si="1036"/>
        <v>3704400</v>
      </c>
      <c r="CZ53" s="31">
        <f t="shared" si="1036"/>
        <v>164052</v>
      </c>
      <c r="DA53" s="31">
        <f t="shared" si="1036"/>
        <v>153468</v>
      </c>
      <c r="DB53" s="31">
        <f t="shared" si="1036"/>
        <v>3677058</v>
      </c>
      <c r="DC53" s="31">
        <f t="shared" si="1036"/>
        <v>132300</v>
      </c>
      <c r="DD53" s="31">
        <f t="shared" si="1036"/>
        <v>136710</v>
      </c>
      <c r="DE53" s="31">
        <f t="shared" si="1036"/>
        <v>3646188</v>
      </c>
      <c r="DF53" s="31">
        <f t="shared" si="1036"/>
        <v>109368</v>
      </c>
      <c r="DG53" s="31">
        <f>DG51+DG49</f>
        <v>109368</v>
      </c>
      <c r="DH53" s="31">
        <f t="shared" ref="DH53:DM53" si="1037">DH51+DH49</f>
        <v>3618846</v>
      </c>
      <c r="DI53" s="31">
        <f t="shared" si="1037"/>
        <v>82026</v>
      </c>
      <c r="DJ53" s="31">
        <f t="shared" si="1037"/>
        <v>79380</v>
      </c>
      <c r="DK53" s="31">
        <f t="shared" si="1037"/>
        <v>3594150</v>
      </c>
      <c r="DL53" s="31">
        <f t="shared" si="1037"/>
        <v>54684</v>
      </c>
      <c r="DM53" s="31">
        <f t="shared" si="1037"/>
        <v>49392</v>
      </c>
      <c r="DN53" s="31">
        <f>DN51+DN49</f>
        <v>3567690</v>
      </c>
      <c r="DO53" s="31">
        <f t="shared" ref="DO53:DP53" si="1038">DO51+DO49</f>
        <v>26460</v>
      </c>
      <c r="DP53" s="31">
        <f t="shared" si="1038"/>
        <v>27342</v>
      </c>
      <c r="DQ53" s="31">
        <f>DQ51+DQ49</f>
        <v>3539466</v>
      </c>
    </row>
    <row r="54" spans="1:123" s="53" customFormat="1" ht="14.25" thickBot="1" x14ac:dyDescent="0.3">
      <c r="A54" s="32" t="s">
        <v>9</v>
      </c>
      <c r="B54" s="33">
        <f>B48-B51</f>
        <v>120000000</v>
      </c>
      <c r="C54" s="33">
        <f t="shared" ref="C54:I54" si="1039">C48-C51</f>
        <v>120000000</v>
      </c>
      <c r="D54" s="33">
        <f t="shared" si="1039"/>
        <v>120000000</v>
      </c>
      <c r="E54" s="33">
        <f t="shared" si="1039"/>
        <v>120000000</v>
      </c>
      <c r="F54" s="33">
        <f t="shared" si="1039"/>
        <v>120000000</v>
      </c>
      <c r="G54" s="33">
        <f t="shared" si="1039"/>
        <v>120000000</v>
      </c>
      <c r="H54" s="33">
        <f t="shared" si="1039"/>
        <v>120000000</v>
      </c>
      <c r="I54" s="33">
        <f t="shared" si="1039"/>
        <v>120000000</v>
      </c>
      <c r="J54" s="33">
        <f t="shared" ref="J54:BN54" si="1040">J48-J51</f>
        <v>120000000</v>
      </c>
      <c r="K54" s="33">
        <f t="shared" si="1040"/>
        <v>120000000</v>
      </c>
      <c r="L54" s="33">
        <f t="shared" si="1040"/>
        <v>120000000</v>
      </c>
      <c r="M54" s="33">
        <f t="shared" si="1040"/>
        <v>120000000</v>
      </c>
      <c r="N54" s="33">
        <f t="shared" si="1040"/>
        <v>120000000</v>
      </c>
      <c r="O54" s="33">
        <f t="shared" si="1040"/>
        <v>120000000</v>
      </c>
      <c r="P54" s="33">
        <f t="shared" si="1040"/>
        <v>120000000</v>
      </c>
      <c r="Q54" s="33">
        <f t="shared" si="1040"/>
        <v>120000000</v>
      </c>
      <c r="R54" s="33">
        <f t="shared" si="1040"/>
        <v>120000000</v>
      </c>
      <c r="S54" s="33">
        <f t="shared" si="1040"/>
        <v>120000000</v>
      </c>
      <c r="T54" s="33">
        <f t="shared" si="1040"/>
        <v>120000000</v>
      </c>
      <c r="U54" s="33">
        <f t="shared" si="1040"/>
        <v>120000000</v>
      </c>
      <c r="V54" s="33">
        <f t="shared" si="1040"/>
        <v>116448000</v>
      </c>
      <c r="W54" s="33">
        <f t="shared" si="1040"/>
        <v>116448000</v>
      </c>
      <c r="X54" s="33">
        <f t="shared" si="1040"/>
        <v>116448000</v>
      </c>
      <c r="Y54" s="33">
        <f t="shared" si="1040"/>
        <v>112896000</v>
      </c>
      <c r="Z54" s="33">
        <f t="shared" si="1040"/>
        <v>112896000</v>
      </c>
      <c r="AA54" s="33">
        <f t="shared" si="1040"/>
        <v>112896000</v>
      </c>
      <c r="AB54" s="33">
        <f t="shared" si="1040"/>
        <v>109368000</v>
      </c>
      <c r="AC54" s="33">
        <f t="shared" si="1040"/>
        <v>109368000</v>
      </c>
      <c r="AD54" s="33">
        <f t="shared" si="1040"/>
        <v>109368000</v>
      </c>
      <c r="AE54" s="33">
        <f t="shared" si="1040"/>
        <v>105840000</v>
      </c>
      <c r="AF54" s="33">
        <f t="shared" si="1040"/>
        <v>105840000</v>
      </c>
      <c r="AG54" s="33">
        <f t="shared" si="1040"/>
        <v>105840000</v>
      </c>
      <c r="AH54" s="33">
        <f t="shared" si="1040"/>
        <v>102312000</v>
      </c>
      <c r="AI54" s="33">
        <f t="shared" si="1040"/>
        <v>102312000</v>
      </c>
      <c r="AJ54" s="33">
        <f t="shared" si="1040"/>
        <v>102312000</v>
      </c>
      <c r="AK54" s="33">
        <f t="shared" si="1040"/>
        <v>98784000</v>
      </c>
      <c r="AL54" s="33">
        <f t="shared" si="1040"/>
        <v>98784000</v>
      </c>
      <c r="AM54" s="33">
        <f t="shared" si="1040"/>
        <v>98784000</v>
      </c>
      <c r="AN54" s="33">
        <f t="shared" si="1040"/>
        <v>95256000</v>
      </c>
      <c r="AO54" s="33">
        <f t="shared" si="1040"/>
        <v>95256000</v>
      </c>
      <c r="AP54" s="33">
        <f t="shared" si="1040"/>
        <v>95256000</v>
      </c>
      <c r="AQ54" s="33">
        <f t="shared" si="1040"/>
        <v>91728000</v>
      </c>
      <c r="AR54" s="33">
        <f t="shared" si="1040"/>
        <v>91728000</v>
      </c>
      <c r="AS54" s="33">
        <f t="shared" si="1040"/>
        <v>91728000</v>
      </c>
      <c r="AT54" s="33">
        <f t="shared" si="1040"/>
        <v>88200000</v>
      </c>
      <c r="AU54" s="33">
        <f t="shared" si="1040"/>
        <v>88200000</v>
      </c>
      <c r="AV54" s="33">
        <f t="shared" si="1040"/>
        <v>88200000</v>
      </c>
      <c r="AW54" s="33">
        <f t="shared" si="1040"/>
        <v>84672000</v>
      </c>
      <c r="AX54" s="33">
        <f t="shared" si="1040"/>
        <v>84672000</v>
      </c>
      <c r="AY54" s="33">
        <f t="shared" si="1040"/>
        <v>84672000</v>
      </c>
      <c r="AZ54" s="33">
        <f t="shared" si="1040"/>
        <v>81144000</v>
      </c>
      <c r="BA54" s="33">
        <f t="shared" si="1040"/>
        <v>81144000</v>
      </c>
      <c r="BB54" s="33">
        <f t="shared" si="1040"/>
        <v>81144000</v>
      </c>
      <c r="BC54" s="33">
        <f t="shared" si="1040"/>
        <v>77616000</v>
      </c>
      <c r="BD54" s="33">
        <f t="shared" si="1040"/>
        <v>77616000</v>
      </c>
      <c r="BE54" s="33">
        <f t="shared" si="1040"/>
        <v>77616000</v>
      </c>
      <c r="BF54" s="33">
        <f t="shared" si="1040"/>
        <v>74088000</v>
      </c>
      <c r="BG54" s="33">
        <f t="shared" si="1040"/>
        <v>74088000</v>
      </c>
      <c r="BH54" s="33">
        <f t="shared" si="1040"/>
        <v>74088000</v>
      </c>
      <c r="BI54" s="33">
        <f t="shared" si="1040"/>
        <v>70560000</v>
      </c>
      <c r="BJ54" s="33">
        <f t="shared" si="1040"/>
        <v>70560000</v>
      </c>
      <c r="BK54" s="33">
        <f t="shared" si="1040"/>
        <v>70560000</v>
      </c>
      <c r="BL54" s="33">
        <f t="shared" si="1040"/>
        <v>67032000</v>
      </c>
      <c r="BM54" s="33">
        <f t="shared" si="1040"/>
        <v>67032000</v>
      </c>
      <c r="BN54" s="33">
        <f t="shared" si="1040"/>
        <v>67032000</v>
      </c>
      <c r="BO54" s="33">
        <f t="shared" ref="BO54:CP54" si="1041">BO48-BO51</f>
        <v>63504000</v>
      </c>
      <c r="BP54" s="33">
        <f t="shared" si="1041"/>
        <v>63504000</v>
      </c>
      <c r="BQ54" s="33">
        <f t="shared" si="1041"/>
        <v>63504000</v>
      </c>
      <c r="BR54" s="33">
        <f t="shared" si="1041"/>
        <v>59976000</v>
      </c>
      <c r="BS54" s="33">
        <f t="shared" si="1041"/>
        <v>59976000</v>
      </c>
      <c r="BT54" s="33">
        <f t="shared" si="1041"/>
        <v>59976000</v>
      </c>
      <c r="BU54" s="33">
        <f t="shared" si="1041"/>
        <v>56448000</v>
      </c>
      <c r="BV54" s="33">
        <f t="shared" si="1041"/>
        <v>56448000</v>
      </c>
      <c r="BW54" s="33">
        <f t="shared" si="1041"/>
        <v>56448000</v>
      </c>
      <c r="BX54" s="33">
        <f t="shared" si="1041"/>
        <v>52920000</v>
      </c>
      <c r="BY54" s="33">
        <f t="shared" si="1041"/>
        <v>52920000</v>
      </c>
      <c r="BZ54" s="33">
        <f t="shared" si="1041"/>
        <v>52920000</v>
      </c>
      <c r="CA54" s="33">
        <f t="shared" si="1041"/>
        <v>49392000</v>
      </c>
      <c r="CB54" s="33">
        <f t="shared" si="1041"/>
        <v>49392000</v>
      </c>
      <c r="CC54" s="33">
        <f t="shared" si="1041"/>
        <v>49392000</v>
      </c>
      <c r="CD54" s="33">
        <f t="shared" si="1041"/>
        <v>45864000</v>
      </c>
      <c r="CE54" s="33">
        <f t="shared" si="1041"/>
        <v>45864000</v>
      </c>
      <c r="CF54" s="33">
        <f t="shared" si="1041"/>
        <v>45864000</v>
      </c>
      <c r="CG54" s="33">
        <f t="shared" si="1041"/>
        <v>42336000</v>
      </c>
      <c r="CH54" s="33">
        <f t="shared" si="1041"/>
        <v>42336000</v>
      </c>
      <c r="CI54" s="33">
        <f t="shared" si="1041"/>
        <v>42336000</v>
      </c>
      <c r="CJ54" s="33">
        <f t="shared" si="1041"/>
        <v>38808000</v>
      </c>
      <c r="CK54" s="33">
        <f t="shared" si="1041"/>
        <v>38808000</v>
      </c>
      <c r="CL54" s="33">
        <f t="shared" si="1041"/>
        <v>38808000</v>
      </c>
      <c r="CM54" s="33">
        <f t="shared" si="1041"/>
        <v>35280000</v>
      </c>
      <c r="CN54" s="33">
        <f t="shared" si="1041"/>
        <v>35280000</v>
      </c>
      <c r="CO54" s="33">
        <f t="shared" si="1041"/>
        <v>35280000</v>
      </c>
      <c r="CP54" s="33">
        <f t="shared" si="1041"/>
        <v>31752000</v>
      </c>
      <c r="CQ54" s="33">
        <f>CQ48-CQ51</f>
        <v>31752000</v>
      </c>
      <c r="CR54" s="33">
        <f>CR48-CR51</f>
        <v>31752000</v>
      </c>
      <c r="CS54" s="33">
        <f>CS48-CS51</f>
        <v>28224000</v>
      </c>
      <c r="CT54" s="33">
        <f>CT48-CT51</f>
        <v>28224000</v>
      </c>
      <c r="CU54" s="33">
        <f t="shared" ref="CU54:DF54" si="1042">CU48-CU51</f>
        <v>28224000</v>
      </c>
      <c r="CV54" s="33">
        <f t="shared" si="1042"/>
        <v>24696000</v>
      </c>
      <c r="CW54" s="33">
        <f t="shared" si="1042"/>
        <v>24696000</v>
      </c>
      <c r="CX54" s="33">
        <f t="shared" si="1042"/>
        <v>24696000</v>
      </c>
      <c r="CY54" s="33">
        <f t="shared" si="1042"/>
        <v>21168000</v>
      </c>
      <c r="CZ54" s="33">
        <f t="shared" si="1042"/>
        <v>21168000</v>
      </c>
      <c r="DA54" s="33">
        <f t="shared" si="1042"/>
        <v>21168000</v>
      </c>
      <c r="DB54" s="33">
        <f t="shared" si="1042"/>
        <v>17640000</v>
      </c>
      <c r="DC54" s="33">
        <f t="shared" si="1042"/>
        <v>17640000</v>
      </c>
      <c r="DD54" s="33">
        <f t="shared" si="1042"/>
        <v>17640000</v>
      </c>
      <c r="DE54" s="33">
        <f t="shared" si="1042"/>
        <v>14112000</v>
      </c>
      <c r="DF54" s="33">
        <f t="shared" si="1042"/>
        <v>14112000</v>
      </c>
      <c r="DG54" s="33">
        <f>DG48-DG51</f>
        <v>14112000</v>
      </c>
      <c r="DH54" s="33">
        <f t="shared" ref="DH54:DM54" si="1043">DH48-DH51</f>
        <v>10584000</v>
      </c>
      <c r="DI54" s="33">
        <f t="shared" si="1043"/>
        <v>10584000</v>
      </c>
      <c r="DJ54" s="33">
        <f t="shared" si="1043"/>
        <v>10584000</v>
      </c>
      <c r="DK54" s="33">
        <f t="shared" si="1043"/>
        <v>7056000</v>
      </c>
      <c r="DL54" s="33">
        <f t="shared" si="1043"/>
        <v>7056000</v>
      </c>
      <c r="DM54" s="33">
        <f t="shared" si="1043"/>
        <v>7056000</v>
      </c>
      <c r="DN54" s="33">
        <f>DN48-DN51</f>
        <v>3528000</v>
      </c>
      <c r="DO54" s="33">
        <f t="shared" ref="DO54:DP54" si="1044">DO48-DO51</f>
        <v>3528000</v>
      </c>
      <c r="DP54" s="33">
        <f t="shared" si="1044"/>
        <v>3528000</v>
      </c>
      <c r="DQ54" s="33">
        <f>DQ48-DQ51</f>
        <v>0</v>
      </c>
    </row>
    <row r="55" spans="1:123" x14ac:dyDescent="0.25">
      <c r="AB55" s="48"/>
      <c r="AE55" s="48"/>
      <c r="DQ55" s="29">
        <f>+DQ50-SCBL_Loan!AO57</f>
        <v>0</v>
      </c>
      <c r="DR55" s="53"/>
      <c r="DS55" s="53"/>
    </row>
    <row r="56" spans="1:123" s="55" customFormat="1" ht="18.75" x14ac:dyDescent="0.3">
      <c r="A56" s="139" t="s">
        <v>74</v>
      </c>
      <c r="B56" s="49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50"/>
      <c r="BH56" s="50"/>
      <c r="BI56" s="50"/>
      <c r="BJ56" s="50"/>
      <c r="BK56" s="50"/>
      <c r="BL56" s="50"/>
      <c r="BM56" s="50"/>
      <c r="BN56" s="50"/>
      <c r="BO56" s="50"/>
      <c r="BP56" s="50"/>
      <c r="BQ56" s="50"/>
      <c r="BR56" s="50"/>
      <c r="BS56" s="50"/>
      <c r="BT56" s="50"/>
      <c r="BU56" s="50"/>
      <c r="BV56" s="50"/>
      <c r="DR56" s="53"/>
      <c r="DS56" s="53"/>
    </row>
    <row r="57" spans="1:123" x14ac:dyDescent="0.25">
      <c r="A57" s="145" t="s">
        <v>57</v>
      </c>
      <c r="B57" s="146"/>
      <c r="C57" s="146"/>
      <c r="D57" s="146"/>
      <c r="E57" s="146"/>
      <c r="F57" s="146"/>
      <c r="G57" s="146"/>
      <c r="H57" s="146"/>
      <c r="I57" s="146"/>
      <c r="J57" s="146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6"/>
      <c r="BC57" s="146"/>
      <c r="BD57" s="146"/>
      <c r="BE57" s="146"/>
      <c r="BF57" s="146"/>
      <c r="BG57" s="146"/>
      <c r="BH57" s="146"/>
      <c r="BI57" s="146"/>
      <c r="BJ57" s="146"/>
      <c r="BK57" s="146"/>
      <c r="BL57" s="146"/>
      <c r="BM57" s="146"/>
      <c r="BN57" s="146"/>
      <c r="BO57" s="146"/>
      <c r="BP57" s="146"/>
      <c r="BQ57" s="146"/>
      <c r="BR57" s="146"/>
      <c r="BS57" s="146"/>
      <c r="BT57" s="146"/>
      <c r="BU57" s="146"/>
      <c r="BV57" s="146"/>
      <c r="BW57" s="146"/>
      <c r="BX57" s="146"/>
      <c r="BY57" s="146"/>
      <c r="BZ57" s="146"/>
      <c r="CA57" s="146"/>
      <c r="CB57" s="146"/>
      <c r="CC57" s="146"/>
      <c r="CD57" s="146"/>
      <c r="CE57" s="146"/>
      <c r="CF57" s="146"/>
      <c r="CG57" s="146"/>
      <c r="CH57" s="146"/>
      <c r="CI57" s="146"/>
      <c r="CJ57" s="146"/>
      <c r="CK57" s="146"/>
      <c r="CL57" s="146"/>
      <c r="CM57" s="146"/>
      <c r="CN57" s="146"/>
      <c r="CO57" s="146"/>
      <c r="CP57" s="146"/>
      <c r="CQ57" s="146"/>
      <c r="CR57" s="146"/>
      <c r="CS57" s="146"/>
      <c r="CT57" s="146"/>
      <c r="CU57" s="146"/>
      <c r="CV57" s="146"/>
      <c r="CW57" s="146"/>
      <c r="CX57" s="146"/>
      <c r="CY57" s="146"/>
      <c r="CZ57" s="146"/>
      <c r="DA57" s="146"/>
      <c r="DB57" s="146"/>
      <c r="DC57" s="146"/>
      <c r="DD57" s="146"/>
      <c r="DE57" s="146"/>
      <c r="DF57" s="146"/>
      <c r="DG57" s="146"/>
      <c r="DH57" s="146"/>
      <c r="DI57" s="146"/>
      <c r="DJ57" s="146"/>
      <c r="DK57" s="146"/>
      <c r="DL57" s="146"/>
      <c r="DM57" s="146"/>
      <c r="DN57" s="146"/>
      <c r="DO57" s="146"/>
      <c r="DP57" s="146"/>
      <c r="DQ57" s="146"/>
      <c r="DR57" s="53"/>
      <c r="DS57" s="53"/>
    </row>
    <row r="58" spans="1:123" s="53" customFormat="1" ht="14.25" thickBot="1" x14ac:dyDescent="0.3">
      <c r="A58" s="108" t="s">
        <v>58</v>
      </c>
      <c r="B58" s="109">
        <f>+B46</f>
        <v>9.5000000000000001E-2</v>
      </c>
      <c r="C58" s="109">
        <f t="shared" ref="C58:BN58" si="1045">+C46</f>
        <v>9.5000000000000001E-2</v>
      </c>
      <c r="D58" s="109">
        <f t="shared" si="1045"/>
        <v>9.5000000000000001E-2</v>
      </c>
      <c r="E58" s="109">
        <f t="shared" si="1045"/>
        <v>9.5000000000000001E-2</v>
      </c>
      <c r="F58" s="109">
        <f t="shared" si="1045"/>
        <v>9.5000000000000001E-2</v>
      </c>
      <c r="G58" s="109">
        <f t="shared" si="1045"/>
        <v>9.5000000000000001E-2</v>
      </c>
      <c r="H58" s="109">
        <f t="shared" si="1045"/>
        <v>9.5000000000000001E-2</v>
      </c>
      <c r="I58" s="109">
        <f t="shared" si="1045"/>
        <v>9.5000000000000001E-2</v>
      </c>
      <c r="J58" s="109">
        <f t="shared" si="1045"/>
        <v>9.5000000000000001E-2</v>
      </c>
      <c r="K58" s="109">
        <f t="shared" si="1045"/>
        <v>9.5000000000000001E-2</v>
      </c>
      <c r="L58" s="109">
        <f t="shared" si="1045"/>
        <v>9.5000000000000001E-2</v>
      </c>
      <c r="M58" s="109">
        <f t="shared" si="1045"/>
        <v>9.5000000000000001E-2</v>
      </c>
      <c r="N58" s="109">
        <f t="shared" si="1045"/>
        <v>9.5000000000000001E-2</v>
      </c>
      <c r="O58" s="109">
        <f t="shared" si="1045"/>
        <v>0.09</v>
      </c>
      <c r="P58" s="109">
        <f t="shared" si="1045"/>
        <v>0.09</v>
      </c>
      <c r="Q58" s="109">
        <f t="shared" si="1045"/>
        <v>0.09</v>
      </c>
      <c r="R58" s="109">
        <f t="shared" si="1045"/>
        <v>0.09</v>
      </c>
      <c r="S58" s="109">
        <f t="shared" si="1045"/>
        <v>0.09</v>
      </c>
      <c r="T58" s="109">
        <f t="shared" si="1045"/>
        <v>0.09</v>
      </c>
      <c r="U58" s="109">
        <f t="shared" si="1045"/>
        <v>0.09</v>
      </c>
      <c r="V58" s="109">
        <f t="shared" si="1045"/>
        <v>0.09</v>
      </c>
      <c r="W58" s="109">
        <f t="shared" si="1045"/>
        <v>0.09</v>
      </c>
      <c r="X58" s="109">
        <f t="shared" si="1045"/>
        <v>0.09</v>
      </c>
      <c r="Y58" s="109">
        <f t="shared" si="1045"/>
        <v>0.09</v>
      </c>
      <c r="Z58" s="109">
        <f t="shared" si="1045"/>
        <v>0.09</v>
      </c>
      <c r="AA58" s="109">
        <f t="shared" si="1045"/>
        <v>0.09</v>
      </c>
      <c r="AB58" s="109">
        <f t="shared" si="1045"/>
        <v>0.09</v>
      </c>
      <c r="AC58" s="109">
        <f t="shared" si="1045"/>
        <v>0.09</v>
      </c>
      <c r="AD58" s="109">
        <f t="shared" si="1045"/>
        <v>0.09</v>
      </c>
      <c r="AE58" s="109">
        <f t="shared" si="1045"/>
        <v>0.09</v>
      </c>
      <c r="AF58" s="109">
        <f t="shared" si="1045"/>
        <v>0.09</v>
      </c>
      <c r="AG58" s="109">
        <f t="shared" si="1045"/>
        <v>0.09</v>
      </c>
      <c r="AH58" s="109">
        <f t="shared" si="1045"/>
        <v>0.09</v>
      </c>
      <c r="AI58" s="109">
        <f t="shared" si="1045"/>
        <v>0.09</v>
      </c>
      <c r="AJ58" s="109">
        <f t="shared" si="1045"/>
        <v>0.09</v>
      </c>
      <c r="AK58" s="109">
        <f t="shared" si="1045"/>
        <v>0.09</v>
      </c>
      <c r="AL58" s="109">
        <f t="shared" si="1045"/>
        <v>0.09</v>
      </c>
      <c r="AM58" s="109">
        <f t="shared" si="1045"/>
        <v>0.09</v>
      </c>
      <c r="AN58" s="109">
        <f t="shared" si="1045"/>
        <v>0.09</v>
      </c>
      <c r="AO58" s="109">
        <f t="shared" si="1045"/>
        <v>0.09</v>
      </c>
      <c r="AP58" s="109">
        <f t="shared" si="1045"/>
        <v>0.09</v>
      </c>
      <c r="AQ58" s="109">
        <f t="shared" si="1045"/>
        <v>0.09</v>
      </c>
      <c r="AR58" s="109">
        <f t="shared" si="1045"/>
        <v>0.09</v>
      </c>
      <c r="AS58" s="109">
        <f t="shared" si="1045"/>
        <v>0.09</v>
      </c>
      <c r="AT58" s="109">
        <f t="shared" si="1045"/>
        <v>0.09</v>
      </c>
      <c r="AU58" s="109">
        <f t="shared" si="1045"/>
        <v>0.09</v>
      </c>
      <c r="AV58" s="109">
        <f t="shared" si="1045"/>
        <v>0.09</v>
      </c>
      <c r="AW58" s="109">
        <f t="shared" si="1045"/>
        <v>0.09</v>
      </c>
      <c r="AX58" s="109">
        <f t="shared" si="1045"/>
        <v>0.09</v>
      </c>
      <c r="AY58" s="109">
        <f t="shared" si="1045"/>
        <v>0.09</v>
      </c>
      <c r="AZ58" s="109">
        <f t="shared" si="1045"/>
        <v>0.09</v>
      </c>
      <c r="BA58" s="109">
        <f t="shared" si="1045"/>
        <v>0.09</v>
      </c>
      <c r="BB58" s="109">
        <f t="shared" si="1045"/>
        <v>0.09</v>
      </c>
      <c r="BC58" s="109">
        <f t="shared" si="1045"/>
        <v>0.09</v>
      </c>
      <c r="BD58" s="109">
        <f t="shared" si="1045"/>
        <v>0.09</v>
      </c>
      <c r="BE58" s="109">
        <f t="shared" si="1045"/>
        <v>0.09</v>
      </c>
      <c r="BF58" s="109">
        <f t="shared" si="1045"/>
        <v>0.09</v>
      </c>
      <c r="BG58" s="109">
        <f t="shared" si="1045"/>
        <v>0.09</v>
      </c>
      <c r="BH58" s="109">
        <f t="shared" si="1045"/>
        <v>0.09</v>
      </c>
      <c r="BI58" s="109">
        <f t="shared" si="1045"/>
        <v>0.09</v>
      </c>
      <c r="BJ58" s="109">
        <f t="shared" si="1045"/>
        <v>0.09</v>
      </c>
      <c r="BK58" s="109">
        <f t="shared" si="1045"/>
        <v>0.09</v>
      </c>
      <c r="BL58" s="109">
        <f t="shared" si="1045"/>
        <v>0.09</v>
      </c>
      <c r="BM58" s="109">
        <f t="shared" si="1045"/>
        <v>0.09</v>
      </c>
      <c r="BN58" s="109">
        <f t="shared" si="1045"/>
        <v>0.09</v>
      </c>
      <c r="BO58" s="109">
        <f t="shared" ref="BO58:DQ58" si="1046">+BO46</f>
        <v>0.09</v>
      </c>
      <c r="BP58" s="109">
        <f t="shared" si="1046"/>
        <v>0.09</v>
      </c>
      <c r="BQ58" s="109">
        <f t="shared" si="1046"/>
        <v>0.09</v>
      </c>
      <c r="BR58" s="109">
        <f t="shared" si="1046"/>
        <v>0.09</v>
      </c>
      <c r="BS58" s="109">
        <f t="shared" si="1046"/>
        <v>0.09</v>
      </c>
      <c r="BT58" s="109">
        <f t="shared" si="1046"/>
        <v>0.09</v>
      </c>
      <c r="BU58" s="109">
        <f t="shared" si="1046"/>
        <v>0.09</v>
      </c>
      <c r="BV58" s="109">
        <f t="shared" si="1046"/>
        <v>0.09</v>
      </c>
      <c r="BW58" s="109">
        <f t="shared" si="1046"/>
        <v>0.09</v>
      </c>
      <c r="BX58" s="109">
        <f t="shared" si="1046"/>
        <v>0.09</v>
      </c>
      <c r="BY58" s="109">
        <f t="shared" si="1046"/>
        <v>0.09</v>
      </c>
      <c r="BZ58" s="109">
        <f t="shared" si="1046"/>
        <v>0.09</v>
      </c>
      <c r="CA58" s="109">
        <f t="shared" si="1046"/>
        <v>0.09</v>
      </c>
      <c r="CB58" s="109">
        <f t="shared" si="1046"/>
        <v>0.09</v>
      </c>
      <c r="CC58" s="109">
        <f t="shared" si="1046"/>
        <v>0.09</v>
      </c>
      <c r="CD58" s="109">
        <f t="shared" si="1046"/>
        <v>0.09</v>
      </c>
      <c r="CE58" s="109">
        <f t="shared" si="1046"/>
        <v>0.09</v>
      </c>
      <c r="CF58" s="109">
        <f t="shared" si="1046"/>
        <v>0.09</v>
      </c>
      <c r="CG58" s="109">
        <f t="shared" si="1046"/>
        <v>0.09</v>
      </c>
      <c r="CH58" s="109">
        <f t="shared" si="1046"/>
        <v>0.09</v>
      </c>
      <c r="CI58" s="109">
        <f t="shared" si="1046"/>
        <v>0.09</v>
      </c>
      <c r="CJ58" s="109">
        <f t="shared" si="1046"/>
        <v>0.09</v>
      </c>
      <c r="CK58" s="109">
        <f t="shared" si="1046"/>
        <v>0.09</v>
      </c>
      <c r="CL58" s="109">
        <f t="shared" si="1046"/>
        <v>0.09</v>
      </c>
      <c r="CM58" s="109">
        <f t="shared" si="1046"/>
        <v>0.09</v>
      </c>
      <c r="CN58" s="109">
        <f t="shared" si="1046"/>
        <v>0.09</v>
      </c>
      <c r="CO58" s="109">
        <f t="shared" si="1046"/>
        <v>0.09</v>
      </c>
      <c r="CP58" s="109">
        <f t="shared" si="1046"/>
        <v>0.09</v>
      </c>
      <c r="CQ58" s="109">
        <f t="shared" si="1046"/>
        <v>0.09</v>
      </c>
      <c r="CR58" s="109">
        <f t="shared" si="1046"/>
        <v>0.09</v>
      </c>
      <c r="CS58" s="109">
        <f t="shared" si="1046"/>
        <v>0.09</v>
      </c>
      <c r="CT58" s="109">
        <f t="shared" si="1046"/>
        <v>0.09</v>
      </c>
      <c r="CU58" s="109">
        <f t="shared" si="1046"/>
        <v>0.09</v>
      </c>
      <c r="CV58" s="109">
        <f t="shared" si="1046"/>
        <v>0.09</v>
      </c>
      <c r="CW58" s="109">
        <f t="shared" si="1046"/>
        <v>0.09</v>
      </c>
      <c r="CX58" s="109">
        <f t="shared" si="1046"/>
        <v>0.09</v>
      </c>
      <c r="CY58" s="109">
        <f t="shared" si="1046"/>
        <v>0.09</v>
      </c>
      <c r="CZ58" s="109">
        <f t="shared" si="1046"/>
        <v>0.09</v>
      </c>
      <c r="DA58" s="109">
        <f t="shared" si="1046"/>
        <v>0.09</v>
      </c>
      <c r="DB58" s="109">
        <f t="shared" si="1046"/>
        <v>0.09</v>
      </c>
      <c r="DC58" s="109">
        <f t="shared" si="1046"/>
        <v>0.09</v>
      </c>
      <c r="DD58" s="109">
        <f t="shared" si="1046"/>
        <v>0.09</v>
      </c>
      <c r="DE58" s="109">
        <f t="shared" si="1046"/>
        <v>0.09</v>
      </c>
      <c r="DF58" s="109">
        <f t="shared" si="1046"/>
        <v>0.09</v>
      </c>
      <c r="DG58" s="109">
        <f t="shared" si="1046"/>
        <v>0.09</v>
      </c>
      <c r="DH58" s="109">
        <f t="shared" si="1046"/>
        <v>0.09</v>
      </c>
      <c r="DI58" s="109">
        <f t="shared" si="1046"/>
        <v>0.09</v>
      </c>
      <c r="DJ58" s="109">
        <f t="shared" si="1046"/>
        <v>0.09</v>
      </c>
      <c r="DK58" s="109">
        <f t="shared" si="1046"/>
        <v>0.09</v>
      </c>
      <c r="DL58" s="109">
        <f t="shared" si="1046"/>
        <v>0.09</v>
      </c>
      <c r="DM58" s="109">
        <f t="shared" si="1046"/>
        <v>0.09</v>
      </c>
      <c r="DN58" s="109">
        <f t="shared" si="1046"/>
        <v>0.09</v>
      </c>
      <c r="DO58" s="109">
        <f t="shared" si="1046"/>
        <v>0.09</v>
      </c>
      <c r="DP58" s="109">
        <f t="shared" si="1046"/>
        <v>0.09</v>
      </c>
      <c r="DQ58" s="109">
        <f t="shared" si="1046"/>
        <v>0.09</v>
      </c>
    </row>
    <row r="59" spans="1:123" s="53" customFormat="1" ht="15" x14ac:dyDescent="0.3">
      <c r="A59" s="27" t="s">
        <v>14</v>
      </c>
      <c r="B59" s="28">
        <f>B47</f>
        <v>43678</v>
      </c>
      <c r="C59" s="28">
        <f>EDATE(B59,1)</f>
        <v>43709</v>
      </c>
      <c r="D59" s="28">
        <f t="shared" ref="D59" si="1047">EDATE(C59,1)</f>
        <v>43739</v>
      </c>
      <c r="E59" s="28">
        <f t="shared" ref="E59" si="1048">EDATE(D59,1)</f>
        <v>43770</v>
      </c>
      <c r="F59" s="28">
        <f t="shared" ref="F59" si="1049">EDATE(E59,1)</f>
        <v>43800</v>
      </c>
      <c r="G59" s="28">
        <f t="shared" ref="G59" si="1050">EDATE(F59,1)</f>
        <v>43831</v>
      </c>
      <c r="H59" s="28">
        <f t="shared" ref="H59" si="1051">EDATE(G59,1)</f>
        <v>43862</v>
      </c>
      <c r="I59" s="28">
        <f t="shared" ref="I59" si="1052">EDATE(H59,1)</f>
        <v>43891</v>
      </c>
      <c r="J59" s="28">
        <f t="shared" ref="J59" si="1053">EDATE(I59,1)</f>
        <v>43922</v>
      </c>
      <c r="K59" s="28">
        <f t="shared" ref="K59" si="1054">EDATE(J59,1)</f>
        <v>43952</v>
      </c>
      <c r="L59" s="28">
        <f t="shared" ref="L59" si="1055">EDATE(K59,1)</f>
        <v>43983</v>
      </c>
      <c r="M59" s="28">
        <f t="shared" ref="M59" si="1056">EDATE(L59,1)</f>
        <v>44013</v>
      </c>
      <c r="N59" s="28">
        <f t="shared" ref="N59" si="1057">EDATE(M59,1)</f>
        <v>44044</v>
      </c>
      <c r="O59" s="28">
        <f t="shared" ref="O59" si="1058">EDATE(N59,1)</f>
        <v>44075</v>
      </c>
      <c r="P59" s="28">
        <f t="shared" ref="P59" si="1059">EDATE(O59,1)</f>
        <v>44105</v>
      </c>
      <c r="Q59" s="28">
        <f t="shared" ref="Q59" si="1060">EDATE(P59,1)</f>
        <v>44136</v>
      </c>
      <c r="R59" s="28">
        <f t="shared" ref="R59" si="1061">EDATE(Q59,1)</f>
        <v>44166</v>
      </c>
      <c r="S59" s="28">
        <f t="shared" ref="S59" si="1062">EDATE(R59,1)</f>
        <v>44197</v>
      </c>
      <c r="T59" s="28">
        <f t="shared" ref="T59" si="1063">EDATE(S59,1)</f>
        <v>44228</v>
      </c>
      <c r="U59" s="28">
        <f t="shared" ref="U59" si="1064">EDATE(T59,1)</f>
        <v>44256</v>
      </c>
      <c r="V59" s="28">
        <f t="shared" ref="V59" si="1065">EDATE(U59,1)</f>
        <v>44287</v>
      </c>
      <c r="W59" s="28">
        <f t="shared" ref="W59" si="1066">EDATE(V59,1)</f>
        <v>44317</v>
      </c>
      <c r="X59" s="28">
        <f t="shared" ref="X59" si="1067">EDATE(W59,1)</f>
        <v>44348</v>
      </c>
      <c r="Y59" s="28">
        <f t="shared" ref="Y59" si="1068">EDATE(X59,1)</f>
        <v>44378</v>
      </c>
      <c r="Z59" s="28">
        <f t="shared" ref="Z59" si="1069">EDATE(Y59,1)</f>
        <v>44409</v>
      </c>
      <c r="AA59" s="28">
        <f t="shared" ref="AA59" si="1070">EDATE(Z59,1)</f>
        <v>44440</v>
      </c>
      <c r="AB59" s="28">
        <f t="shared" ref="AB59" si="1071">EDATE(AA59,1)</f>
        <v>44470</v>
      </c>
      <c r="AC59" s="28">
        <f t="shared" ref="AC59" si="1072">EDATE(AB59,1)</f>
        <v>44501</v>
      </c>
      <c r="AD59" s="28">
        <f t="shared" ref="AD59" si="1073">EDATE(AC59,1)</f>
        <v>44531</v>
      </c>
      <c r="AE59" s="28">
        <f t="shared" ref="AE59" si="1074">EDATE(AD59,1)</f>
        <v>44562</v>
      </c>
      <c r="AF59" s="28">
        <f t="shared" ref="AF59" si="1075">EDATE(AE59,1)</f>
        <v>44593</v>
      </c>
      <c r="AG59" s="28">
        <f t="shared" ref="AG59" si="1076">EDATE(AF59,1)</f>
        <v>44621</v>
      </c>
      <c r="AH59" s="28">
        <f t="shared" ref="AH59" si="1077">EDATE(AG59,1)</f>
        <v>44652</v>
      </c>
      <c r="AI59" s="28">
        <f t="shared" ref="AI59" si="1078">EDATE(AH59,1)</f>
        <v>44682</v>
      </c>
      <c r="AJ59" s="28">
        <f t="shared" ref="AJ59" si="1079">EDATE(AI59,1)</f>
        <v>44713</v>
      </c>
      <c r="AK59" s="28">
        <f t="shared" ref="AK59" si="1080">EDATE(AJ59,1)</f>
        <v>44743</v>
      </c>
      <c r="AL59" s="28">
        <f t="shared" ref="AL59" si="1081">EDATE(AK59,1)</f>
        <v>44774</v>
      </c>
      <c r="AM59" s="28">
        <f t="shared" ref="AM59" si="1082">EDATE(AL59,1)</f>
        <v>44805</v>
      </c>
      <c r="AN59" s="28">
        <f t="shared" ref="AN59" si="1083">EDATE(AM59,1)</f>
        <v>44835</v>
      </c>
      <c r="AO59" s="28">
        <f t="shared" ref="AO59" si="1084">EDATE(AN59,1)</f>
        <v>44866</v>
      </c>
      <c r="AP59" s="28">
        <f t="shared" ref="AP59" si="1085">EDATE(AO59,1)</f>
        <v>44896</v>
      </c>
      <c r="AQ59" s="28">
        <f t="shared" ref="AQ59" si="1086">EDATE(AP59,1)</f>
        <v>44927</v>
      </c>
      <c r="AR59" s="28">
        <f t="shared" ref="AR59" si="1087">EDATE(AQ59,1)</f>
        <v>44958</v>
      </c>
      <c r="AS59" s="28">
        <f t="shared" ref="AS59" si="1088">EDATE(AR59,1)</f>
        <v>44986</v>
      </c>
      <c r="AT59" s="28">
        <f t="shared" ref="AT59" si="1089">EDATE(AS59,1)</f>
        <v>45017</v>
      </c>
      <c r="AU59" s="28">
        <f t="shared" ref="AU59" si="1090">EDATE(AT59,1)</f>
        <v>45047</v>
      </c>
      <c r="AV59" s="28">
        <f t="shared" ref="AV59" si="1091">EDATE(AU59,1)</f>
        <v>45078</v>
      </c>
      <c r="AW59" s="28">
        <f t="shared" ref="AW59" si="1092">EDATE(AV59,1)</f>
        <v>45108</v>
      </c>
      <c r="AX59" s="28">
        <f t="shared" ref="AX59" si="1093">EDATE(AW59,1)</f>
        <v>45139</v>
      </c>
      <c r="AY59" s="28">
        <f t="shared" ref="AY59" si="1094">EDATE(AX59,1)</f>
        <v>45170</v>
      </c>
      <c r="AZ59" s="28">
        <f t="shared" ref="AZ59" si="1095">EDATE(AY59,1)</f>
        <v>45200</v>
      </c>
      <c r="BA59" s="28">
        <f t="shared" ref="BA59" si="1096">EDATE(AZ59,1)</f>
        <v>45231</v>
      </c>
      <c r="BB59" s="28">
        <f t="shared" ref="BB59" si="1097">EDATE(BA59,1)</f>
        <v>45261</v>
      </c>
      <c r="BC59" s="28">
        <f t="shared" ref="BC59" si="1098">EDATE(BB59,1)</f>
        <v>45292</v>
      </c>
      <c r="BD59" s="28">
        <f t="shared" ref="BD59" si="1099">EDATE(BC59,1)</f>
        <v>45323</v>
      </c>
      <c r="BE59" s="28">
        <f t="shared" ref="BE59" si="1100">EDATE(BD59,1)</f>
        <v>45352</v>
      </c>
      <c r="BF59" s="28">
        <f t="shared" ref="BF59" si="1101">EDATE(BE59,1)</f>
        <v>45383</v>
      </c>
      <c r="BG59" s="28">
        <f t="shared" ref="BG59" si="1102">EDATE(BF59,1)</f>
        <v>45413</v>
      </c>
      <c r="BH59" s="28">
        <f t="shared" ref="BH59" si="1103">EDATE(BG59,1)</f>
        <v>45444</v>
      </c>
      <c r="BI59" s="28">
        <f t="shared" ref="BI59" si="1104">EDATE(BH59,1)</f>
        <v>45474</v>
      </c>
      <c r="BJ59" s="28">
        <f t="shared" ref="BJ59" si="1105">EDATE(BI59,1)</f>
        <v>45505</v>
      </c>
      <c r="BK59" s="28">
        <f t="shared" ref="BK59" si="1106">EDATE(BJ59,1)</f>
        <v>45536</v>
      </c>
      <c r="BL59" s="28">
        <f t="shared" ref="BL59" si="1107">EDATE(BK59,1)</f>
        <v>45566</v>
      </c>
      <c r="BM59" s="28">
        <f t="shared" ref="BM59" si="1108">EDATE(BL59,1)</f>
        <v>45597</v>
      </c>
      <c r="BN59" s="28">
        <f t="shared" ref="BN59" si="1109">EDATE(BM59,1)</f>
        <v>45627</v>
      </c>
      <c r="BO59" s="28">
        <f t="shared" ref="BO59" si="1110">EDATE(BN59,1)</f>
        <v>45658</v>
      </c>
      <c r="BP59" s="28">
        <f t="shared" ref="BP59" si="1111">EDATE(BO59,1)</f>
        <v>45689</v>
      </c>
      <c r="BQ59" s="28">
        <f t="shared" ref="BQ59" si="1112">EDATE(BP59,1)</f>
        <v>45717</v>
      </c>
      <c r="BR59" s="28">
        <f t="shared" ref="BR59" si="1113">EDATE(BQ59,1)</f>
        <v>45748</v>
      </c>
      <c r="BS59" s="28">
        <f t="shared" ref="BS59" si="1114">EDATE(BR59,1)</f>
        <v>45778</v>
      </c>
      <c r="BT59" s="28">
        <f t="shared" ref="BT59" si="1115">EDATE(BS59,1)</f>
        <v>45809</v>
      </c>
      <c r="BU59" s="28">
        <f t="shared" ref="BU59" si="1116">EDATE(BT59,1)</f>
        <v>45839</v>
      </c>
      <c r="BV59" s="28">
        <f t="shared" ref="BV59" si="1117">EDATE(BU59,1)</f>
        <v>45870</v>
      </c>
      <c r="BW59" s="28">
        <f t="shared" ref="BW59" si="1118">EDATE(BV59,1)</f>
        <v>45901</v>
      </c>
      <c r="BX59" s="28">
        <f t="shared" ref="BX59" si="1119">EDATE(BW59,1)</f>
        <v>45931</v>
      </c>
      <c r="BY59" s="28">
        <f t="shared" ref="BY59" si="1120">EDATE(BX59,1)</f>
        <v>45962</v>
      </c>
      <c r="BZ59" s="28">
        <f t="shared" ref="BZ59" si="1121">EDATE(BY59,1)</f>
        <v>45992</v>
      </c>
      <c r="CA59" s="28">
        <f t="shared" ref="CA59" si="1122">EDATE(BZ59,1)</f>
        <v>46023</v>
      </c>
      <c r="CB59" s="28">
        <f t="shared" ref="CB59" si="1123">EDATE(CA59,1)</f>
        <v>46054</v>
      </c>
      <c r="CC59" s="28">
        <f t="shared" ref="CC59" si="1124">EDATE(CB59,1)</f>
        <v>46082</v>
      </c>
      <c r="CD59" s="28">
        <f t="shared" ref="CD59" si="1125">EDATE(CC59,1)</f>
        <v>46113</v>
      </c>
      <c r="CE59" s="28">
        <f t="shared" ref="CE59" si="1126">EDATE(CD59,1)</f>
        <v>46143</v>
      </c>
      <c r="CF59" s="28">
        <f t="shared" ref="CF59" si="1127">EDATE(CE59,1)</f>
        <v>46174</v>
      </c>
      <c r="CG59" s="28">
        <f t="shared" ref="CG59" si="1128">EDATE(CF59,1)</f>
        <v>46204</v>
      </c>
      <c r="CH59" s="28">
        <f t="shared" ref="CH59" si="1129">EDATE(CG59,1)</f>
        <v>46235</v>
      </c>
      <c r="CI59" s="28">
        <f t="shared" ref="CI59" si="1130">EDATE(CH59,1)</f>
        <v>46266</v>
      </c>
      <c r="CJ59" s="28">
        <f t="shared" ref="CJ59" si="1131">EDATE(CI59,1)</f>
        <v>46296</v>
      </c>
      <c r="CK59" s="28">
        <f t="shared" ref="CK59" si="1132">EDATE(CJ59,1)</f>
        <v>46327</v>
      </c>
      <c r="CL59" s="28">
        <f t="shared" ref="CL59" si="1133">EDATE(CK59,1)</f>
        <v>46357</v>
      </c>
      <c r="CM59" s="28">
        <f t="shared" ref="CM59" si="1134">EDATE(CL59,1)</f>
        <v>46388</v>
      </c>
      <c r="CN59" s="28">
        <f t="shared" ref="CN59" si="1135">EDATE(CM59,1)</f>
        <v>46419</v>
      </c>
      <c r="CO59" s="28">
        <f t="shared" ref="CO59" si="1136">EDATE(CN59,1)</f>
        <v>46447</v>
      </c>
      <c r="CP59" s="28">
        <f t="shared" ref="CP59" si="1137">EDATE(CO59,1)</f>
        <v>46478</v>
      </c>
      <c r="CQ59" s="28">
        <f t="shared" ref="CQ59" si="1138">EDATE(CP59,1)</f>
        <v>46508</v>
      </c>
      <c r="CR59" s="28">
        <f t="shared" ref="CR59" si="1139">EDATE(CQ59,1)</f>
        <v>46539</v>
      </c>
      <c r="CS59" s="28">
        <f t="shared" ref="CS59" si="1140">EDATE(CR59,1)</f>
        <v>46569</v>
      </c>
      <c r="CT59" s="28">
        <f t="shared" ref="CT59" si="1141">EDATE(CS59,1)</f>
        <v>46600</v>
      </c>
      <c r="CU59" s="28">
        <f t="shared" ref="CU59" si="1142">EDATE(CT59,1)</f>
        <v>46631</v>
      </c>
      <c r="CV59" s="28">
        <f t="shared" ref="CV59" si="1143">EDATE(CU59,1)</f>
        <v>46661</v>
      </c>
      <c r="CW59" s="28">
        <f t="shared" ref="CW59" si="1144">EDATE(CV59,1)</f>
        <v>46692</v>
      </c>
      <c r="CX59" s="28">
        <f t="shared" ref="CX59" si="1145">EDATE(CW59,1)</f>
        <v>46722</v>
      </c>
      <c r="CY59" s="28">
        <f t="shared" ref="CY59" si="1146">EDATE(CX59,1)</f>
        <v>46753</v>
      </c>
      <c r="CZ59" s="28">
        <f t="shared" ref="CZ59" si="1147">EDATE(CY59,1)</f>
        <v>46784</v>
      </c>
      <c r="DA59" s="28">
        <f t="shared" ref="DA59" si="1148">EDATE(CZ59,1)</f>
        <v>46813</v>
      </c>
      <c r="DB59" s="28">
        <f t="shared" ref="DB59" si="1149">EDATE(DA59,1)</f>
        <v>46844</v>
      </c>
      <c r="DC59" s="28">
        <f t="shared" ref="DC59" si="1150">EDATE(DB59,1)</f>
        <v>46874</v>
      </c>
      <c r="DD59" s="28">
        <f t="shared" ref="DD59" si="1151">EDATE(DC59,1)</f>
        <v>46905</v>
      </c>
      <c r="DE59" s="28">
        <f t="shared" ref="DE59" si="1152">EDATE(DD59,1)</f>
        <v>46935</v>
      </c>
      <c r="DF59" s="28">
        <f t="shared" ref="DF59" si="1153">EDATE(DE59,1)</f>
        <v>46966</v>
      </c>
      <c r="DG59" s="28">
        <f t="shared" ref="DG59" si="1154">EDATE(DF59,1)</f>
        <v>46997</v>
      </c>
      <c r="DH59" s="28">
        <f t="shared" ref="DH59" si="1155">EDATE(DG59,1)</f>
        <v>47027</v>
      </c>
      <c r="DI59" s="28">
        <f t="shared" ref="DI59" si="1156">EDATE(DH59,1)</f>
        <v>47058</v>
      </c>
      <c r="DJ59" s="28">
        <f t="shared" ref="DJ59" si="1157">EDATE(DI59,1)</f>
        <v>47088</v>
      </c>
      <c r="DK59" s="28">
        <f t="shared" ref="DK59" si="1158">EDATE(DJ59,1)</f>
        <v>47119</v>
      </c>
      <c r="DL59" s="28">
        <f t="shared" ref="DL59" si="1159">EDATE(DK59,1)</f>
        <v>47150</v>
      </c>
      <c r="DM59" s="28">
        <f t="shared" ref="DM59" si="1160">EDATE(DL59,1)</f>
        <v>47178</v>
      </c>
      <c r="DN59" s="28">
        <f t="shared" ref="DN59" si="1161">EDATE(DM59,1)</f>
        <v>47209</v>
      </c>
      <c r="DO59" s="28">
        <f t="shared" ref="DO59" si="1162">EDATE(DN59,1)</f>
        <v>47239</v>
      </c>
      <c r="DP59" s="28">
        <f t="shared" ref="DP59" si="1163">EDATE(DO59,1)</f>
        <v>47270</v>
      </c>
      <c r="DQ59" s="28">
        <f t="shared" ref="DQ59" si="1164">EDATE(DP59,1)</f>
        <v>47300</v>
      </c>
    </row>
    <row r="60" spans="1:123" s="53" customFormat="1" x14ac:dyDescent="0.25">
      <c r="A60" s="22" t="s">
        <v>5</v>
      </c>
      <c r="B60" s="29">
        <f>E16</f>
        <v>1000000000</v>
      </c>
      <c r="C60" s="25">
        <f>B66</f>
        <v>1000000000</v>
      </c>
      <c r="D60" s="25">
        <f t="shared" ref="D60" si="1165">C66</f>
        <v>1000000000</v>
      </c>
      <c r="E60" s="25">
        <f t="shared" ref="E60" si="1166">D66</f>
        <v>1000000000</v>
      </c>
      <c r="F60" s="25">
        <f t="shared" ref="F60" si="1167">E66</f>
        <v>1000000000</v>
      </c>
      <c r="G60" s="25">
        <f t="shared" ref="G60" si="1168">F66</f>
        <v>1000000000</v>
      </c>
      <c r="H60" s="25">
        <f t="shared" ref="H60:I60" si="1169">G66</f>
        <v>1000000000</v>
      </c>
      <c r="I60" s="25">
        <f t="shared" si="1169"/>
        <v>1000000000</v>
      </c>
      <c r="J60" s="25">
        <f t="shared" ref="J60" si="1170">I66</f>
        <v>1000000000</v>
      </c>
      <c r="K60" s="25">
        <f t="shared" ref="K60" si="1171">J66</f>
        <v>1000000000</v>
      </c>
      <c r="L60" s="25">
        <f t="shared" ref="L60" si="1172">K66</f>
        <v>1000000000</v>
      </c>
      <c r="M60" s="25">
        <f t="shared" ref="M60" si="1173">L66</f>
        <v>1000000000</v>
      </c>
      <c r="N60" s="25">
        <f t="shared" ref="N60" si="1174">M66</f>
        <v>1000000000</v>
      </c>
      <c r="O60" s="25">
        <f t="shared" ref="O60" si="1175">N66</f>
        <v>1000000000</v>
      </c>
      <c r="P60" s="25">
        <f t="shared" ref="P60" si="1176">O66</f>
        <v>1000000000</v>
      </c>
      <c r="Q60" s="25">
        <f t="shared" ref="Q60" si="1177">P66</f>
        <v>1000000000</v>
      </c>
      <c r="R60" s="25">
        <f t="shared" ref="R60" si="1178">Q66</f>
        <v>1000000000</v>
      </c>
      <c r="S60" s="25">
        <f t="shared" ref="S60" si="1179">R66</f>
        <v>1000000000</v>
      </c>
      <c r="T60" s="25">
        <f t="shared" ref="T60" si="1180">S66</f>
        <v>1000000000</v>
      </c>
      <c r="U60" s="25">
        <f t="shared" ref="U60" si="1181">T66</f>
        <v>1000000000</v>
      </c>
      <c r="V60" s="25">
        <f t="shared" ref="V60" si="1182">U66</f>
        <v>1000000000</v>
      </c>
      <c r="W60" s="25">
        <f t="shared" ref="W60" si="1183">V66</f>
        <v>970400000</v>
      </c>
      <c r="X60" s="25">
        <f t="shared" ref="X60" si="1184">W66</f>
        <v>970400000</v>
      </c>
      <c r="Y60" s="25">
        <f t="shared" ref="Y60" si="1185">X66</f>
        <v>970400000</v>
      </c>
      <c r="Z60" s="25">
        <f t="shared" ref="Z60" si="1186">Y66</f>
        <v>940800000</v>
      </c>
      <c r="AA60" s="25">
        <f t="shared" ref="AA60" si="1187">Z66</f>
        <v>940800000</v>
      </c>
      <c r="AB60" s="25">
        <f t="shared" ref="AB60" si="1188">AA66</f>
        <v>940800000</v>
      </c>
      <c r="AC60" s="25">
        <f t="shared" ref="AC60" si="1189">AB66</f>
        <v>911400000</v>
      </c>
      <c r="AD60" s="25">
        <f t="shared" ref="AD60" si="1190">AC66</f>
        <v>911400000</v>
      </c>
      <c r="AE60" s="25">
        <f t="shared" ref="AE60" si="1191">AD66</f>
        <v>911400000</v>
      </c>
      <c r="AF60" s="25">
        <f t="shared" ref="AF60" si="1192">AE66</f>
        <v>882000000</v>
      </c>
      <c r="AG60" s="25">
        <f t="shared" ref="AG60" si="1193">AF66</f>
        <v>882000000</v>
      </c>
      <c r="AH60" s="25">
        <f t="shared" ref="AH60" si="1194">AG66</f>
        <v>882000000</v>
      </c>
      <c r="AI60" s="25">
        <f t="shared" ref="AI60" si="1195">AH66</f>
        <v>852600000</v>
      </c>
      <c r="AJ60" s="25">
        <f t="shared" ref="AJ60" si="1196">AI66</f>
        <v>852600000</v>
      </c>
      <c r="AK60" s="25">
        <f t="shared" ref="AK60" si="1197">AJ66</f>
        <v>852600000</v>
      </c>
      <c r="AL60" s="25">
        <f t="shared" ref="AL60" si="1198">AK66</f>
        <v>823200000</v>
      </c>
      <c r="AM60" s="25">
        <f t="shared" ref="AM60" si="1199">AL66</f>
        <v>823200000</v>
      </c>
      <c r="AN60" s="25">
        <f t="shared" ref="AN60" si="1200">AM66</f>
        <v>823200000</v>
      </c>
      <c r="AO60" s="25">
        <f t="shared" ref="AO60" si="1201">AN66</f>
        <v>793800000</v>
      </c>
      <c r="AP60" s="25">
        <f t="shared" ref="AP60" si="1202">AO66</f>
        <v>793800000</v>
      </c>
      <c r="AQ60" s="25">
        <f t="shared" ref="AQ60" si="1203">AP66</f>
        <v>793800000</v>
      </c>
      <c r="AR60" s="25">
        <f t="shared" ref="AR60" si="1204">AQ66</f>
        <v>764400000</v>
      </c>
      <c r="AS60" s="25">
        <f t="shared" ref="AS60" si="1205">AR66</f>
        <v>764400000</v>
      </c>
      <c r="AT60" s="25">
        <f t="shared" ref="AT60" si="1206">AS66</f>
        <v>764400000</v>
      </c>
      <c r="AU60" s="25">
        <f t="shared" ref="AU60" si="1207">AT66</f>
        <v>735000000</v>
      </c>
      <c r="AV60" s="25">
        <f t="shared" ref="AV60" si="1208">AU66</f>
        <v>735000000</v>
      </c>
      <c r="AW60" s="25">
        <f t="shared" ref="AW60" si="1209">AV66</f>
        <v>735000000</v>
      </c>
      <c r="AX60" s="25">
        <f t="shared" ref="AX60" si="1210">AW66</f>
        <v>705600000</v>
      </c>
      <c r="AY60" s="25">
        <f t="shared" ref="AY60" si="1211">AX66</f>
        <v>705600000</v>
      </c>
      <c r="AZ60" s="25">
        <f t="shared" ref="AZ60" si="1212">AY66</f>
        <v>705600000</v>
      </c>
      <c r="BA60" s="25">
        <f t="shared" ref="BA60" si="1213">AZ66</f>
        <v>676200000</v>
      </c>
      <c r="BB60" s="25">
        <f t="shared" ref="BB60" si="1214">BA66</f>
        <v>676200000</v>
      </c>
      <c r="BC60" s="25">
        <f t="shared" ref="BC60" si="1215">BB66</f>
        <v>676200000</v>
      </c>
      <c r="BD60" s="25">
        <f t="shared" ref="BD60" si="1216">BC66</f>
        <v>646800000</v>
      </c>
      <c r="BE60" s="25">
        <f t="shared" ref="BE60" si="1217">BD66</f>
        <v>646800000</v>
      </c>
      <c r="BF60" s="25">
        <f t="shared" ref="BF60" si="1218">BE66</f>
        <v>646800000</v>
      </c>
      <c r="BG60" s="25">
        <f t="shared" ref="BG60" si="1219">BF66</f>
        <v>617400000</v>
      </c>
      <c r="BH60" s="25">
        <f t="shared" ref="BH60" si="1220">BG66</f>
        <v>617400000</v>
      </c>
      <c r="BI60" s="25">
        <f t="shared" ref="BI60" si="1221">BH66</f>
        <v>617400000</v>
      </c>
      <c r="BJ60" s="25">
        <f t="shared" ref="BJ60" si="1222">BI66</f>
        <v>588000000</v>
      </c>
      <c r="BK60" s="25">
        <f t="shared" ref="BK60" si="1223">BJ66</f>
        <v>588000000</v>
      </c>
      <c r="BL60" s="25">
        <f t="shared" ref="BL60" si="1224">BK66</f>
        <v>588000000</v>
      </c>
      <c r="BM60" s="25">
        <f t="shared" ref="BM60" si="1225">BL66</f>
        <v>558600000</v>
      </c>
      <c r="BN60" s="25">
        <f t="shared" ref="BN60" si="1226">BM66</f>
        <v>558600000</v>
      </c>
      <c r="BO60" s="25">
        <f t="shared" ref="BO60" si="1227">BN66</f>
        <v>558600000</v>
      </c>
      <c r="BP60" s="25">
        <f t="shared" ref="BP60" si="1228">BO66</f>
        <v>529200000</v>
      </c>
      <c r="BQ60" s="25">
        <f t="shared" ref="BQ60" si="1229">BP66</f>
        <v>529200000</v>
      </c>
      <c r="BR60" s="25">
        <f t="shared" ref="BR60" si="1230">BQ66</f>
        <v>529200000</v>
      </c>
      <c r="BS60" s="25">
        <f t="shared" ref="BS60" si="1231">BR66</f>
        <v>499800000</v>
      </c>
      <c r="BT60" s="25">
        <f t="shared" ref="BT60" si="1232">BS66</f>
        <v>499800000</v>
      </c>
      <c r="BU60" s="25">
        <f t="shared" ref="BU60" si="1233">BT66</f>
        <v>499800000</v>
      </c>
      <c r="BV60" s="25">
        <f t="shared" ref="BV60" si="1234">BU66</f>
        <v>470400000</v>
      </c>
      <c r="BW60" s="25">
        <f t="shared" ref="BW60" si="1235">BV66</f>
        <v>470400000</v>
      </c>
      <c r="BX60" s="25">
        <f t="shared" ref="BX60" si="1236">BW66</f>
        <v>470400000</v>
      </c>
      <c r="BY60" s="25">
        <f t="shared" ref="BY60" si="1237">BX66</f>
        <v>441000000</v>
      </c>
      <c r="BZ60" s="25">
        <f t="shared" ref="BZ60" si="1238">BY66</f>
        <v>441000000</v>
      </c>
      <c r="CA60" s="25">
        <f t="shared" ref="CA60" si="1239">BZ66</f>
        <v>441000000</v>
      </c>
      <c r="CB60" s="25">
        <f t="shared" ref="CB60" si="1240">CA66</f>
        <v>411600000</v>
      </c>
      <c r="CC60" s="25">
        <f t="shared" ref="CC60" si="1241">CB66</f>
        <v>411600000</v>
      </c>
      <c r="CD60" s="25">
        <f t="shared" ref="CD60" si="1242">CC66</f>
        <v>411600000</v>
      </c>
      <c r="CE60" s="25">
        <f t="shared" ref="CE60" si="1243">CD66</f>
        <v>382200000</v>
      </c>
      <c r="CF60" s="25">
        <f t="shared" ref="CF60" si="1244">CE66</f>
        <v>382200000</v>
      </c>
      <c r="CG60" s="25">
        <f t="shared" ref="CG60" si="1245">CF66</f>
        <v>382200000</v>
      </c>
      <c r="CH60" s="25">
        <f t="shared" ref="CH60" si="1246">CG66</f>
        <v>352800000</v>
      </c>
      <c r="CI60" s="25">
        <f t="shared" ref="CI60" si="1247">CH66</f>
        <v>352800000</v>
      </c>
      <c r="CJ60" s="25">
        <f t="shared" ref="CJ60" si="1248">CI66</f>
        <v>352800000</v>
      </c>
      <c r="CK60" s="25">
        <f t="shared" ref="CK60" si="1249">CJ66</f>
        <v>323400000</v>
      </c>
      <c r="CL60" s="25">
        <f t="shared" ref="CL60" si="1250">CK66</f>
        <v>323400000</v>
      </c>
      <c r="CM60" s="25">
        <f t="shared" ref="CM60" si="1251">CL66</f>
        <v>323400000</v>
      </c>
      <c r="CN60" s="25">
        <f t="shared" ref="CN60" si="1252">CM66</f>
        <v>294000000</v>
      </c>
      <c r="CO60" s="25">
        <f t="shared" ref="CO60" si="1253">CN66</f>
        <v>294000000</v>
      </c>
      <c r="CP60" s="25">
        <f t="shared" ref="CP60" si="1254">CO66</f>
        <v>294000000</v>
      </c>
      <c r="CQ60" s="25">
        <f t="shared" ref="CQ60" si="1255">CP66</f>
        <v>264600000</v>
      </c>
      <c r="CR60" s="25">
        <f t="shared" ref="CR60" si="1256">CQ66</f>
        <v>264600000</v>
      </c>
      <c r="CS60" s="25">
        <f t="shared" ref="CS60" si="1257">CR66</f>
        <v>264600000</v>
      </c>
      <c r="CT60" s="25">
        <f t="shared" ref="CT60" si="1258">CS66</f>
        <v>235200000</v>
      </c>
      <c r="CU60" s="25">
        <f t="shared" ref="CU60" si="1259">CT66</f>
        <v>235200000</v>
      </c>
      <c r="CV60" s="25">
        <f t="shared" ref="CV60" si="1260">CU66</f>
        <v>235200000</v>
      </c>
      <c r="CW60" s="25">
        <f t="shared" ref="CW60" si="1261">CV66</f>
        <v>205800000</v>
      </c>
      <c r="CX60" s="25">
        <f t="shared" ref="CX60" si="1262">CW66</f>
        <v>205800000</v>
      </c>
      <c r="CY60" s="25">
        <f t="shared" ref="CY60" si="1263">CX66</f>
        <v>205800000</v>
      </c>
      <c r="CZ60" s="25">
        <f t="shared" ref="CZ60" si="1264">CY66</f>
        <v>176400000</v>
      </c>
      <c r="DA60" s="25">
        <f t="shared" ref="DA60" si="1265">CZ66</f>
        <v>176400000</v>
      </c>
      <c r="DB60" s="25">
        <f t="shared" ref="DB60" si="1266">DA66</f>
        <v>176400000</v>
      </c>
      <c r="DC60" s="25">
        <f t="shared" ref="DC60" si="1267">DB66</f>
        <v>147000000</v>
      </c>
      <c r="DD60" s="25">
        <f t="shared" ref="DD60" si="1268">DC66</f>
        <v>147000000</v>
      </c>
      <c r="DE60" s="25">
        <f t="shared" ref="DE60" si="1269">DD66</f>
        <v>147000000</v>
      </c>
      <c r="DF60" s="25">
        <f t="shared" ref="DF60" si="1270">DE66</f>
        <v>117600000</v>
      </c>
      <c r="DG60" s="25">
        <f t="shared" ref="DG60" si="1271">DF66</f>
        <v>117600000</v>
      </c>
      <c r="DH60" s="25">
        <f t="shared" ref="DH60" si="1272">DG66</f>
        <v>117600000</v>
      </c>
      <c r="DI60" s="25">
        <f t="shared" ref="DI60" si="1273">DH66</f>
        <v>88200000</v>
      </c>
      <c r="DJ60" s="25">
        <f t="shared" ref="DJ60" si="1274">DI66</f>
        <v>88200000</v>
      </c>
      <c r="DK60" s="25">
        <f t="shared" ref="DK60" si="1275">DJ66</f>
        <v>88200000</v>
      </c>
      <c r="DL60" s="25">
        <f t="shared" ref="DL60" si="1276">DK66</f>
        <v>58800000</v>
      </c>
      <c r="DM60" s="25">
        <f t="shared" ref="DM60" si="1277">DL66</f>
        <v>58800000</v>
      </c>
      <c r="DN60" s="25">
        <f t="shared" ref="DN60" si="1278">DM66</f>
        <v>58800000</v>
      </c>
      <c r="DO60" s="25">
        <f t="shared" ref="DO60" si="1279">DN66</f>
        <v>29400000</v>
      </c>
      <c r="DP60" s="25">
        <f t="shared" ref="DP60" si="1280">DO66</f>
        <v>29400000</v>
      </c>
      <c r="DQ60" s="25">
        <f t="shared" ref="DQ60" si="1281">DP66</f>
        <v>29400000</v>
      </c>
    </row>
    <row r="61" spans="1:123" s="53" customFormat="1" x14ac:dyDescent="0.25">
      <c r="A61" s="22" t="s">
        <v>6</v>
      </c>
      <c r="B61" s="25">
        <f>B60*(B59-E15)*B58/360</f>
        <v>4222222.222222222</v>
      </c>
      <c r="C61" s="25">
        <f>C60*(C59-B59)*C58/360</f>
        <v>8180555.555555556</v>
      </c>
      <c r="D61" s="25">
        <f t="shared" ref="D61" si="1282">D60*(D59-C59)*D58/360</f>
        <v>7916666.666666667</v>
      </c>
      <c r="E61" s="25">
        <f t="shared" ref="E61" si="1283">E60*(E59-D59)*E58/360</f>
        <v>8180555.555555556</v>
      </c>
      <c r="F61" s="25">
        <f t="shared" ref="F61" si="1284">F60*(F59-E59)*F58/360</f>
        <v>7916666.666666667</v>
      </c>
      <c r="G61" s="25">
        <f t="shared" ref="G61" si="1285">G60*(G59-F59)*G58/360</f>
        <v>8180555.555555556</v>
      </c>
      <c r="H61" s="25">
        <f t="shared" ref="H61:I61" si="1286">H60*(H59-G59)*H58/360</f>
        <v>8180555.555555556</v>
      </c>
      <c r="I61" s="25">
        <f t="shared" si="1286"/>
        <v>7652777.777777778</v>
      </c>
      <c r="J61" s="25">
        <f t="shared" ref="J61" si="1287">J60*(J59-I59)*J58/360</f>
        <v>8180555.555555556</v>
      </c>
      <c r="K61" s="25">
        <f t="shared" ref="K61" si="1288">K60*(K59-J59)*K58/360</f>
        <v>7916666.666666667</v>
      </c>
      <c r="L61" s="25">
        <f t="shared" ref="L61" si="1289">L60*(L59-K59)*L58/360</f>
        <v>8180555.555555556</v>
      </c>
      <c r="M61" s="25">
        <f t="shared" ref="M61" si="1290">M60*(M59-L59)*M58/360</f>
        <v>7916666.666666667</v>
      </c>
      <c r="N61" s="25">
        <f t="shared" ref="N61" si="1291">N60*(N59-M59)*N58/360</f>
        <v>8180555.555555556</v>
      </c>
      <c r="O61" s="25">
        <f>O60*($O$32-N59)*N58/360+O60*(O59-$O$32)*O58/360</f>
        <v>7916666.666666666</v>
      </c>
      <c r="P61" s="25">
        <f t="shared" ref="P61" si="1292">P60*(P59-O59)*P58/360</f>
        <v>7500000</v>
      </c>
      <c r="Q61" s="25">
        <f t="shared" ref="Q61" si="1293">Q60*(Q59-P59)*Q58/360</f>
        <v>7750000</v>
      </c>
      <c r="R61" s="25">
        <f t="shared" ref="R61" si="1294">R60*(R59-Q59)*R58/360</f>
        <v>7500000</v>
      </c>
      <c r="S61" s="25">
        <f>S60*(SCBL_Loan!$G$28-R59)*R58/360+S66*(S59-SCBL_Loan!$G$28)*S58/360</f>
        <v>7750000</v>
      </c>
      <c r="T61" s="25">
        <f t="shared" ref="T61" si="1295">T60*(T59-S59)*T58/360</f>
        <v>7750000</v>
      </c>
      <c r="U61" s="25">
        <f t="shared" ref="U61" si="1296">U60*(U59-T59)*U58/360</f>
        <v>7000000</v>
      </c>
      <c r="V61" s="25">
        <f>V60*(SCBL_Loan!$H$28-U59)*U58/360+V66*(V59-SCBL_Loan!$H$28)*V58/360</f>
        <v>7624200</v>
      </c>
      <c r="W61" s="25">
        <f t="shared" ref="W61" si="1297">W60*(W59-V59)*W58/360</f>
        <v>7278000</v>
      </c>
      <c r="X61" s="25">
        <f t="shared" ref="X61" si="1298">X60*(X59-W59)*X58/360</f>
        <v>7520600</v>
      </c>
      <c r="Y61" s="25">
        <f>Y60*(SCBL_Loan!$I$28-X59)*X58/360+Y66*(Y59-SCBL_Loan!$I$28)*Y58/360</f>
        <v>7159600</v>
      </c>
      <c r="Z61" s="25">
        <f t="shared" ref="Z61" si="1299">Z60*(Z59-Y59)*Z58/360</f>
        <v>7291200</v>
      </c>
      <c r="AA61" s="25">
        <f t="shared" ref="AA61" si="1300">AA60*(AA59-Z59)*AA58/360</f>
        <v>7291200</v>
      </c>
      <c r="AB61" s="25">
        <f>AB60*(SCBL_Loan!$J$28-AA59)*AA58/360+AB66*(AB59-SCBL_Loan!$J$28)*AB58/360</f>
        <v>6938400</v>
      </c>
      <c r="AC61" s="25">
        <f t="shared" ref="AC61" si="1301">AC60*(AC59-AB59)*AC58/360</f>
        <v>7063350</v>
      </c>
      <c r="AD61" s="25">
        <f t="shared" ref="AD61" si="1302">AD60*(AD59-AC59)*AD58/360</f>
        <v>6835500</v>
      </c>
      <c r="AE61" s="25">
        <f>AE60*(SCBL_Loan!$K$28-AD59)*AD58/360+AE66*(AE59-SCBL_Loan!$K$28)*AE58/360</f>
        <v>6938400</v>
      </c>
      <c r="AF61" s="25">
        <f t="shared" ref="AF61" si="1303">AF60*(AF59-AE59)*AF58/360</f>
        <v>6835500</v>
      </c>
      <c r="AG61" s="25">
        <f t="shared" ref="AG61" si="1304">AG60*(AG59-AF59)*AG58/360</f>
        <v>6174000</v>
      </c>
      <c r="AH61" s="25">
        <f>AH60*(SCBL_Loan!$L$28-AG59)*AG58/360+AH66*(AH59-SCBL_Loan!$L$28)*AH58/360</f>
        <v>6710550</v>
      </c>
      <c r="AI61" s="25">
        <f t="shared" ref="AI61" si="1305">AI60*(AI59-AH59)*AI58/360</f>
        <v>6394500</v>
      </c>
      <c r="AJ61" s="25">
        <f t="shared" ref="AJ61" si="1306">AJ60*(AJ59-AI59)*AJ58/360</f>
        <v>6607650</v>
      </c>
      <c r="AK61" s="25">
        <f>AK60*(SCBL_Loan!$M$28-AJ59)*AJ58/360+AK66*(AK59-SCBL_Loan!$M$28)*AK58/360</f>
        <v>6276900</v>
      </c>
      <c r="AL61" s="25">
        <f t="shared" ref="AL61" si="1307">AL60*(AL59-AK59)*AL58/360</f>
        <v>6379800</v>
      </c>
      <c r="AM61" s="25">
        <f t="shared" ref="AM61" si="1308">AM60*(AM59-AL59)*AM58/360</f>
        <v>6379800</v>
      </c>
      <c r="AN61" s="25">
        <f>AN60*(SCBL_Loan!$N$28-AM59)*AM58/360+AN66*(AN59-SCBL_Loan!$N$28)*AN58/360</f>
        <v>6056400</v>
      </c>
      <c r="AO61" s="25">
        <f t="shared" ref="AO61" si="1309">AO60*(AO59-AN59)*AO58/360</f>
        <v>6151950</v>
      </c>
      <c r="AP61" s="25">
        <f t="shared" ref="AP61" si="1310">AP60*(AP59-AO59)*AP58/360</f>
        <v>5953500</v>
      </c>
      <c r="AQ61" s="25">
        <f>AQ60*(SCBL_Loan!$O$28-AP59)*AP58/360+AQ66*(AQ59-SCBL_Loan!$O$28)*AQ58/360</f>
        <v>6027000</v>
      </c>
      <c r="AR61" s="25">
        <f t="shared" ref="AR61" si="1311">AR60*(AR59-AQ59)*AR58/360</f>
        <v>5924100</v>
      </c>
      <c r="AS61" s="25">
        <f t="shared" ref="AS61" si="1312">AS60*(AS59-AR59)*AS58/360</f>
        <v>5350800</v>
      </c>
      <c r="AT61" s="25">
        <f>AT60*(SCBL_Loan!$P$28-AS59)*AS58/360+AT66*(AT59-SCBL_Loan!$P$28)*AT58/360</f>
        <v>5799150</v>
      </c>
      <c r="AU61" s="25">
        <f t="shared" ref="AU61" si="1313">AU60*(AU59-AT59)*AU58/360</f>
        <v>5512500</v>
      </c>
      <c r="AV61" s="25">
        <f t="shared" ref="AV61" si="1314">AV60*(AV59-AU59)*AV58/360</f>
        <v>5696250</v>
      </c>
      <c r="AW61" s="25">
        <f>AW60*(SCBL_Loan!$Q$28-AV59)*AV58/360+AW66*(AW59-SCBL_Loan!$Q$28)*AW58/360</f>
        <v>5394900</v>
      </c>
      <c r="AX61" s="25">
        <f t="shared" ref="AX61" si="1315">AX60*(AX59-AW59)*AX58/360</f>
        <v>5468400</v>
      </c>
      <c r="AY61" s="25">
        <f t="shared" ref="AY61" si="1316">AY60*(AY59-AX59)*AY58/360</f>
        <v>5468400</v>
      </c>
      <c r="AZ61" s="25">
        <f>AZ60*(SCBL_Loan!$R$28-AY59)*AY58/360+AZ66*(AZ59-SCBL_Loan!$R$28)*AZ58/360</f>
        <v>5167050</v>
      </c>
      <c r="BA61" s="25">
        <f t="shared" ref="BA61" si="1317">BA60*(BA59-AZ59)*BA58/360</f>
        <v>5240550</v>
      </c>
      <c r="BB61" s="25">
        <f t="shared" ref="BB61" si="1318">BB60*(BB59-BA59)*BB58/360</f>
        <v>5071500</v>
      </c>
      <c r="BC61" s="25">
        <f>BC60*(SCBL_Loan!$S$28-BB59)*BB58/360+BC66*(BC59-SCBL_Loan!$S$28)*BC58/360</f>
        <v>5108250</v>
      </c>
      <c r="BD61" s="25">
        <f t="shared" ref="BD61" si="1319">BD60*(BD59-BC59)*BD58/360</f>
        <v>5012700</v>
      </c>
      <c r="BE61" s="25">
        <f t="shared" ref="BE61" si="1320">BE60*(BE59-BD59)*BE58/360</f>
        <v>4689300</v>
      </c>
      <c r="BF61" s="25">
        <f>BF60*(SCBL_Loan!$T$28-BE59)*BE58/360+BF66*(BF59-SCBL_Loan!$T$28)*BF58/360</f>
        <v>4880400</v>
      </c>
      <c r="BG61" s="25">
        <f t="shared" ref="BG61" si="1321">BG60*(BG59-BF59)*BG58/360</f>
        <v>4630500</v>
      </c>
      <c r="BH61" s="25">
        <f t="shared" ref="BH61" si="1322">BH60*(BH59-BG59)*BH58/360</f>
        <v>4784850</v>
      </c>
      <c r="BI61" s="25">
        <f>BI60*(SCBL_Loan!$U$28-BH59)*BH58/360+BI66*(BI59-SCBL_Loan!$U$28)*BI58/360</f>
        <v>4498200</v>
      </c>
      <c r="BJ61" s="25">
        <f t="shared" ref="BJ61" si="1323">BJ60*(BJ59-BI59)*BJ58/360</f>
        <v>4557000</v>
      </c>
      <c r="BK61" s="25">
        <f t="shared" ref="BK61" si="1324">BK60*(BK59-BJ59)*BK58/360</f>
        <v>4557000</v>
      </c>
      <c r="BL61" s="25">
        <f>BL60*(SCBL_Loan!$V$28-BK59)*BK58/360+BL66*(BL59-SCBL_Loan!$V$28)*BL58/360</f>
        <v>4292400</v>
      </c>
      <c r="BM61" s="25">
        <f t="shared" ref="BM61" si="1325">BM60*(BM59-BL59)*BM58/360</f>
        <v>4329150</v>
      </c>
      <c r="BN61" s="25">
        <f t="shared" ref="BN61" si="1326">BN60*(BN59-BM59)*BN58/360</f>
        <v>4189500</v>
      </c>
      <c r="BO61" s="25">
        <f>BO60*(SCBL_Loan!$W$28-BN59)*BN58/360+BO66*(BO59-SCBL_Loan!$W$28)*BO58/360</f>
        <v>4204200</v>
      </c>
      <c r="BP61" s="25">
        <f t="shared" ref="BP61" si="1327">BP60*(BP59-BO59)*BP58/360</f>
        <v>4101300</v>
      </c>
      <c r="BQ61" s="25">
        <f t="shared" ref="BQ61" si="1328">BQ60*(BQ59-BP59)*BQ58/360</f>
        <v>3704400</v>
      </c>
      <c r="BR61" s="25">
        <f>BR60*(SCBL_Loan!$X$28-BQ59)*BQ58/360+BR66*(BR59-SCBL_Loan!$X$28)*BR58/360</f>
        <v>3961650</v>
      </c>
      <c r="BS61" s="25">
        <f t="shared" ref="BS61" si="1329">BS60*(BS59-BR59)*BS58/360</f>
        <v>3748500</v>
      </c>
      <c r="BT61" s="25">
        <f t="shared" ref="BT61" si="1330">BT60*(BT59-BS59)*BT58/360</f>
        <v>3873450</v>
      </c>
      <c r="BU61" s="25">
        <f>BU60*(SCBL_Loan!$Y$28-BT59)*BT58/360+BU66*(BU59-SCBL_Loan!$Y$28)*BU58/360</f>
        <v>3630900</v>
      </c>
      <c r="BV61" s="25">
        <f t="shared" ref="BV61" si="1331">BV60*(BV59-BU59)*BV58/360</f>
        <v>3645600</v>
      </c>
      <c r="BW61" s="25">
        <f t="shared" ref="BW61" si="1332">BW60*(BW59-BV59)*BW58/360</f>
        <v>3645600</v>
      </c>
      <c r="BX61" s="25">
        <f>BX60*(SCBL_Loan!$Z$28-BW59)*BW58/360+BX66*(BX59-SCBL_Loan!$Z$28)*BX58/360</f>
        <v>3410400</v>
      </c>
      <c r="BY61" s="25">
        <f t="shared" ref="BY61" si="1333">BY60*(BY59-BX59)*BY58/360</f>
        <v>3417750</v>
      </c>
      <c r="BZ61" s="25">
        <f t="shared" ref="BZ61" si="1334">BZ60*(BZ59-BY59)*BZ58/360</f>
        <v>3307500</v>
      </c>
      <c r="CA61" s="25">
        <f>CA60*(SCBL_Loan!$AA$28-BZ59)*BZ58/360+CA66*(CA59-SCBL_Loan!$AA$28)*CA58/360</f>
        <v>3292800</v>
      </c>
      <c r="CB61" s="25">
        <f t="shared" ref="CB61" si="1335">CB60*(CB59-CA59)*CB58/360</f>
        <v>3189900</v>
      </c>
      <c r="CC61" s="25">
        <f t="shared" ref="CC61" si="1336">CC60*(CC59-CB59)*CC58/360</f>
        <v>2881200</v>
      </c>
      <c r="CD61" s="25">
        <f>CD60*(SCBL_Loan!$AB$28-CC59)*CC58/360+CD66*(CD59-SCBL_Loan!$AB$28)*CD58/360</f>
        <v>3064950</v>
      </c>
      <c r="CE61" s="25">
        <f t="shared" ref="CE61" si="1337">CE60*(CE59-CD59)*CE58/360</f>
        <v>2866500</v>
      </c>
      <c r="CF61" s="25">
        <f t="shared" ref="CF61" si="1338">CF60*(CF59-CE59)*CF58/360</f>
        <v>2962050</v>
      </c>
      <c r="CG61" s="25">
        <f>CG60*(SCBL_Loan!$AC$28-CF59)*CF58/360+CG66*(CG59-SCBL_Loan!$AC$28)*CG58/360</f>
        <v>2748900</v>
      </c>
      <c r="CH61" s="25">
        <f t="shared" ref="CH61" si="1339">CH60*(CH59-CG59)*CH58/360</f>
        <v>2734200</v>
      </c>
      <c r="CI61" s="25">
        <f t="shared" ref="CI61" si="1340">CI60*(CI59-CH59)*CI58/360</f>
        <v>2734200</v>
      </c>
      <c r="CJ61" s="25">
        <f>CJ60*(SCBL_Loan!$AD$28-CI59)*CI58/360+CJ66*(CJ59-SCBL_Loan!$AD$28)*CJ58/360</f>
        <v>2528400</v>
      </c>
      <c r="CK61" s="25">
        <f t="shared" ref="CK61" si="1341">CK60*(CK59-CJ59)*CK58/360</f>
        <v>2506350</v>
      </c>
      <c r="CL61" s="25">
        <f t="shared" ref="CL61" si="1342">CL60*(CL59-CK59)*CL58/360</f>
        <v>2425500</v>
      </c>
      <c r="CM61" s="25">
        <f>CM60*(SCBL_Loan!$AE$28-CL59)*CL58/360+CM66*(CM59-SCBL_Loan!$AE$28)*CM58/360</f>
        <v>2381400</v>
      </c>
      <c r="CN61" s="25">
        <f t="shared" ref="CN61" si="1343">CN60*(CN59-CM59)*CN58/360</f>
        <v>2278500</v>
      </c>
      <c r="CO61" s="25">
        <f t="shared" ref="CO61" si="1344">CO60*(CO59-CN59)*CO58/360</f>
        <v>2058000</v>
      </c>
      <c r="CP61" s="25">
        <f>CP60*(SCBL_Loan!$AF$28-CO59)*CO58/360+CP66*(CP59-SCBL_Loan!$AF$28)*CP58/360</f>
        <v>2153550</v>
      </c>
      <c r="CQ61" s="25">
        <f t="shared" ref="CQ61" si="1345">CQ60*(CQ59-CP59)*CQ58/360</f>
        <v>1984500</v>
      </c>
      <c r="CR61" s="25">
        <f t="shared" ref="CR61" si="1346">CR60*(CR59-CQ59)*CR58/360</f>
        <v>2050650</v>
      </c>
      <c r="CS61" s="25">
        <f>CS60*(SCBL_Loan!$AG$28-CR59)*CR58/360+CS66*(CS59-SCBL_Loan!$AG$28)*CS58/360</f>
        <v>1866900</v>
      </c>
      <c r="CT61" s="25">
        <f t="shared" ref="CT61" si="1347">CT60*(CT59-CS59)*CT58/360</f>
        <v>1822800</v>
      </c>
      <c r="CU61" s="25">
        <f t="shared" ref="CU61" si="1348">CU60*(CU59-CT59)*CU58/360</f>
        <v>1822800</v>
      </c>
      <c r="CV61" s="25">
        <f>CV60*(SCBL_Loan!$AH$28-CU59)*CU58/360+CV66*(CV59-SCBL_Loan!$AH$28)*CV58/360</f>
        <v>1646400</v>
      </c>
      <c r="CW61" s="25">
        <f t="shared" ref="CW61" si="1349">CW60*(CW59-CV59)*CW58/360</f>
        <v>1594950</v>
      </c>
      <c r="CX61" s="25">
        <f t="shared" ref="CX61" si="1350">CX60*(CX59-CW59)*CX58/360</f>
        <v>1543500</v>
      </c>
      <c r="CY61" s="25">
        <f>CY60*(SCBL_Loan!$AI$28-CX59)*CX58/360+CY66*(CY59-SCBL_Loan!$AI$28)*CY58/360</f>
        <v>1470000</v>
      </c>
      <c r="CZ61" s="25">
        <f t="shared" ref="CZ61" si="1351">CZ60*(CZ59-CY59)*CZ58/360</f>
        <v>1367100</v>
      </c>
      <c r="DA61" s="25">
        <f t="shared" ref="DA61" si="1352">DA60*(DA59-CZ59)*DA58/360</f>
        <v>1278900</v>
      </c>
      <c r="DB61" s="25">
        <f>DB60*(SCBL_Loan!$AJ$28-DA59)*DA58/360+DB66*(DB59-SCBL_Loan!$AJ$28)*DB58/360</f>
        <v>1242150</v>
      </c>
      <c r="DC61" s="25">
        <f t="shared" ref="DC61" si="1353">DC60*(DC59-DB59)*DC58/360</f>
        <v>1102500</v>
      </c>
      <c r="DD61" s="25">
        <f t="shared" ref="DD61" si="1354">DD60*(DD59-DC59)*DD58/360</f>
        <v>1139250</v>
      </c>
      <c r="DE61" s="25">
        <f>DE60*(SCBL_Loan!$AK$28-DD59)*DD58/360+DE66*(DE59-SCBL_Loan!$AK$28)*DE58/360</f>
        <v>984900</v>
      </c>
      <c r="DF61" s="25">
        <f t="shared" ref="DF61" si="1355">DF60*(DF59-DE59)*DF58/360</f>
        <v>911400</v>
      </c>
      <c r="DG61" s="25">
        <f t="shared" ref="DG61" si="1356">DG60*(DG59-DF59)*DG58/360</f>
        <v>911400</v>
      </c>
      <c r="DH61" s="25">
        <f>DH60*(SCBL_Loan!$AL$28-DG59)*DG58/360+DH66*(DH59-SCBL_Loan!$AL$28)*DH58/360</f>
        <v>757050</v>
      </c>
      <c r="DI61" s="25">
        <f t="shared" ref="DI61" si="1357">DI60*(DI59-DH59)*DI58/360</f>
        <v>683550</v>
      </c>
      <c r="DJ61" s="25">
        <f t="shared" ref="DJ61" si="1358">DJ60*(DJ59-DI59)*DJ58/360</f>
        <v>661500</v>
      </c>
      <c r="DK61" s="25">
        <f>DK60*(SCBL_Loan!$AM$28-DJ59)*DJ58/360+DK66*(DK59-SCBL_Loan!$AM$28)*DK58/360</f>
        <v>551250</v>
      </c>
      <c r="DL61" s="25">
        <f t="shared" ref="DL61" si="1359">DL60*(DL59-DK59)*DL58/360</f>
        <v>455700</v>
      </c>
      <c r="DM61" s="25">
        <f t="shared" ref="DM61" si="1360">DM60*(DM59-DL59)*DM58/360</f>
        <v>411600</v>
      </c>
      <c r="DN61" s="25">
        <f>DN60*(SCBL_Loan!$AN$28-DM59)*DM58/360+DN66*(DN59-SCBL_Loan!$AN$28)*DN58/360</f>
        <v>330750</v>
      </c>
      <c r="DO61" s="25">
        <f t="shared" ref="DO61" si="1361">DO60*(DO59-DN59)*DO58/360</f>
        <v>220500</v>
      </c>
      <c r="DP61" s="25">
        <f t="shared" ref="DP61" si="1362">DP60*(DP59-DO59)*DP58/360</f>
        <v>227850</v>
      </c>
      <c r="DQ61" s="25">
        <f>DQ60*(SCBL_Loan!$AO$28-DP59)*DP58/360+DQ66*(DQ59-SCBL_Loan!$AO$28)*DQ58/360</f>
        <v>95550</v>
      </c>
    </row>
    <row r="62" spans="1:123" s="54" customFormat="1" x14ac:dyDescent="0.25">
      <c r="A62" s="46" t="s">
        <v>12</v>
      </c>
      <c r="B62" s="47">
        <f>B61</f>
        <v>4222222.222222222</v>
      </c>
      <c r="C62" s="47">
        <f>B62+C61</f>
        <v>12402777.777777778</v>
      </c>
      <c r="D62" s="47">
        <f t="shared" ref="D62" si="1363">C62+D61</f>
        <v>20319444.444444444</v>
      </c>
      <c r="E62" s="47">
        <f t="shared" ref="E62" si="1364">D62+E61</f>
        <v>28500000</v>
      </c>
      <c r="F62" s="47">
        <f t="shared" ref="F62" si="1365">E62+F61</f>
        <v>36416666.666666664</v>
      </c>
      <c r="G62" s="47">
        <f t="shared" ref="G62" si="1366">F62+G61</f>
        <v>44597222.222222224</v>
      </c>
      <c r="H62" s="47">
        <f t="shared" ref="H62:I62" si="1367">G62+H61</f>
        <v>52777777.777777776</v>
      </c>
      <c r="I62" s="47">
        <f t="shared" si="1367"/>
        <v>60430555.555555552</v>
      </c>
      <c r="J62" s="47">
        <f t="shared" ref="J62" si="1368">I62+J61</f>
        <v>68611111.111111104</v>
      </c>
      <c r="K62" s="47">
        <f t="shared" ref="K62" si="1369">J62+K61</f>
        <v>76527777.777777776</v>
      </c>
      <c r="L62" s="47">
        <f t="shared" ref="L62" si="1370">K62+L61</f>
        <v>84708333.333333328</v>
      </c>
      <c r="M62" s="47">
        <f t="shared" ref="M62" si="1371">L62+M61</f>
        <v>92625000</v>
      </c>
      <c r="N62" s="47">
        <f t="shared" ref="N62" si="1372">M62+N61</f>
        <v>100805555.55555555</v>
      </c>
      <c r="O62" s="47">
        <f t="shared" ref="O62" si="1373">N62+O61</f>
        <v>108722222.22222222</v>
      </c>
      <c r="P62" s="47">
        <f t="shared" ref="P62" si="1374">O62+P61</f>
        <v>116222222.22222222</v>
      </c>
      <c r="Q62" s="47">
        <f t="shared" ref="Q62" si="1375">P62+Q61</f>
        <v>123972222.22222222</v>
      </c>
      <c r="R62" s="47">
        <f t="shared" ref="R62" si="1376">Q62+R61</f>
        <v>131472222.22222222</v>
      </c>
      <c r="S62" s="47">
        <f t="shared" ref="S62" si="1377">R62+S61</f>
        <v>139222222.22222221</v>
      </c>
      <c r="T62" s="47">
        <f t="shared" ref="T62" si="1378">S62+T61</f>
        <v>146972222.22222221</v>
      </c>
      <c r="U62" s="47">
        <f t="shared" ref="U62" si="1379">T62+U61</f>
        <v>153972222.22222221</v>
      </c>
      <c r="V62" s="47">
        <f t="shared" ref="V62" si="1380">U62+V61</f>
        <v>161596422.22222221</v>
      </c>
      <c r="W62" s="47">
        <f t="shared" ref="W62" si="1381">V62+W61</f>
        <v>168874422.22222221</v>
      </c>
      <c r="X62" s="47">
        <f t="shared" ref="X62" si="1382">W62+X61</f>
        <v>176395022.22222221</v>
      </c>
      <c r="Y62" s="47">
        <f t="shared" ref="Y62" si="1383">X62+Y61</f>
        <v>183554622.22222221</v>
      </c>
      <c r="Z62" s="47">
        <f t="shared" ref="Z62" si="1384">Y62+Z61</f>
        <v>190845822.22222221</v>
      </c>
      <c r="AA62" s="47">
        <f t="shared" ref="AA62" si="1385">Z62+AA61</f>
        <v>198137022.22222221</v>
      </c>
      <c r="AB62" s="47">
        <f t="shared" ref="AB62" si="1386">AA62+AB61</f>
        <v>205075422.22222221</v>
      </c>
      <c r="AC62" s="47">
        <f t="shared" ref="AC62" si="1387">AB62+AC61</f>
        <v>212138772.22222221</v>
      </c>
      <c r="AD62" s="47">
        <f t="shared" ref="AD62" si="1388">AC62+AD61</f>
        <v>218974272.22222221</v>
      </c>
      <c r="AE62" s="47">
        <f t="shared" ref="AE62" si="1389">AD62+AE61</f>
        <v>225912672.22222221</v>
      </c>
      <c r="AF62" s="47">
        <f t="shared" ref="AF62" si="1390">AE62+AF61</f>
        <v>232748172.22222221</v>
      </c>
      <c r="AG62" s="47">
        <f t="shared" ref="AG62" si="1391">AF62+AG61</f>
        <v>238922172.22222221</v>
      </c>
      <c r="AH62" s="47">
        <f t="shared" ref="AH62" si="1392">AG62+AH61</f>
        <v>245632722.22222221</v>
      </c>
      <c r="AI62" s="47">
        <f t="shared" ref="AI62" si="1393">AH62+AI61</f>
        <v>252027222.22222221</v>
      </c>
      <c r="AJ62" s="47">
        <f t="shared" ref="AJ62" si="1394">AI62+AJ61</f>
        <v>258634872.22222221</v>
      </c>
      <c r="AK62" s="47">
        <f t="shared" ref="AK62" si="1395">AJ62+AK61</f>
        <v>264911772.22222221</v>
      </c>
      <c r="AL62" s="47">
        <f t="shared" ref="AL62" si="1396">AK62+AL61</f>
        <v>271291572.22222221</v>
      </c>
      <c r="AM62" s="47">
        <f t="shared" ref="AM62" si="1397">AL62+AM61</f>
        <v>277671372.22222221</v>
      </c>
      <c r="AN62" s="47">
        <f t="shared" ref="AN62" si="1398">AM62+AN61</f>
        <v>283727772.22222221</v>
      </c>
      <c r="AO62" s="47">
        <f t="shared" ref="AO62" si="1399">AN62+AO61</f>
        <v>289879722.22222221</v>
      </c>
      <c r="AP62" s="47">
        <f t="shared" ref="AP62" si="1400">AO62+AP61</f>
        <v>295833222.22222221</v>
      </c>
      <c r="AQ62" s="47">
        <f t="shared" ref="AQ62" si="1401">AP62+AQ61</f>
        <v>301860222.22222221</v>
      </c>
      <c r="AR62" s="47">
        <f t="shared" ref="AR62" si="1402">AQ62+AR61</f>
        <v>307784322.22222221</v>
      </c>
      <c r="AS62" s="47">
        <f t="shared" ref="AS62" si="1403">AR62+AS61</f>
        <v>313135122.22222221</v>
      </c>
      <c r="AT62" s="47">
        <f t="shared" ref="AT62" si="1404">AS62+AT61</f>
        <v>318934272.22222221</v>
      </c>
      <c r="AU62" s="47">
        <f t="shared" ref="AU62" si="1405">AT62+AU61</f>
        <v>324446772.22222221</v>
      </c>
      <c r="AV62" s="47">
        <f t="shared" ref="AV62" si="1406">AU62+AV61</f>
        <v>330143022.22222221</v>
      </c>
      <c r="AW62" s="47">
        <f t="shared" ref="AW62" si="1407">AV62+AW61</f>
        <v>335537922.22222221</v>
      </c>
      <c r="AX62" s="47">
        <f t="shared" ref="AX62" si="1408">AW62+AX61</f>
        <v>341006322.22222221</v>
      </c>
      <c r="AY62" s="47">
        <f t="shared" ref="AY62" si="1409">AX62+AY61</f>
        <v>346474722.22222221</v>
      </c>
      <c r="AZ62" s="47">
        <f t="shared" ref="AZ62" si="1410">AY62+AZ61</f>
        <v>351641772.22222221</v>
      </c>
      <c r="BA62" s="47">
        <f t="shared" ref="BA62" si="1411">AZ62+BA61</f>
        <v>356882322.22222221</v>
      </c>
      <c r="BB62" s="47">
        <f t="shared" ref="BB62" si="1412">BA62+BB61</f>
        <v>361953822.22222221</v>
      </c>
      <c r="BC62" s="47">
        <f t="shared" ref="BC62" si="1413">BB62+BC61</f>
        <v>367062072.22222221</v>
      </c>
      <c r="BD62" s="47">
        <f t="shared" ref="BD62" si="1414">BC62+BD61</f>
        <v>372074772.22222221</v>
      </c>
      <c r="BE62" s="47">
        <f t="shared" ref="BE62" si="1415">BD62+BE61</f>
        <v>376764072.22222221</v>
      </c>
      <c r="BF62" s="47">
        <f t="shared" ref="BF62" si="1416">BE62+BF61</f>
        <v>381644472.22222221</v>
      </c>
      <c r="BG62" s="47">
        <f t="shared" ref="BG62" si="1417">BF62+BG61</f>
        <v>386274972.22222221</v>
      </c>
      <c r="BH62" s="47">
        <f t="shared" ref="BH62" si="1418">BG62+BH61</f>
        <v>391059822.22222221</v>
      </c>
      <c r="BI62" s="47">
        <f t="shared" ref="BI62" si="1419">BH62+BI61</f>
        <v>395558022.22222221</v>
      </c>
      <c r="BJ62" s="47">
        <f t="shared" ref="BJ62" si="1420">BI62+BJ61</f>
        <v>400115022.22222221</v>
      </c>
      <c r="BK62" s="47">
        <f t="shared" ref="BK62" si="1421">BJ62+BK61</f>
        <v>404672022.22222221</v>
      </c>
      <c r="BL62" s="47">
        <f t="shared" ref="BL62" si="1422">BK62+BL61</f>
        <v>408964422.22222221</v>
      </c>
      <c r="BM62" s="47">
        <f t="shared" ref="BM62" si="1423">BL62+BM61</f>
        <v>413293572.22222221</v>
      </c>
      <c r="BN62" s="47">
        <f t="shared" ref="BN62" si="1424">BM62+BN61</f>
        <v>417483072.22222221</v>
      </c>
      <c r="BO62" s="47">
        <f t="shared" ref="BO62" si="1425">BN62+BO61</f>
        <v>421687272.22222221</v>
      </c>
      <c r="BP62" s="47">
        <f t="shared" ref="BP62" si="1426">BO62+BP61</f>
        <v>425788572.22222221</v>
      </c>
      <c r="BQ62" s="47">
        <f t="shared" ref="BQ62" si="1427">BP62+BQ61</f>
        <v>429492972.22222221</v>
      </c>
      <c r="BR62" s="47">
        <f t="shared" ref="BR62" si="1428">BQ62+BR61</f>
        <v>433454622.22222221</v>
      </c>
      <c r="BS62" s="47">
        <f t="shared" ref="BS62" si="1429">BR62+BS61</f>
        <v>437203122.22222221</v>
      </c>
      <c r="BT62" s="47">
        <f t="shared" ref="BT62" si="1430">BS62+BT61</f>
        <v>441076572.22222221</v>
      </c>
      <c r="BU62" s="47">
        <f t="shared" ref="BU62" si="1431">BT62+BU61</f>
        <v>444707472.22222221</v>
      </c>
      <c r="BV62" s="47">
        <f t="shared" ref="BV62" si="1432">BU62+BV61</f>
        <v>448353072.22222221</v>
      </c>
      <c r="BW62" s="47">
        <f t="shared" ref="BW62" si="1433">BV62+BW61</f>
        <v>451998672.22222221</v>
      </c>
      <c r="BX62" s="47">
        <f t="shared" ref="BX62" si="1434">BW62+BX61</f>
        <v>455409072.22222221</v>
      </c>
      <c r="BY62" s="47">
        <f t="shared" ref="BY62" si="1435">BX62+BY61</f>
        <v>458826822.22222221</v>
      </c>
      <c r="BZ62" s="47">
        <f t="shared" ref="BZ62" si="1436">BY62+BZ61</f>
        <v>462134322.22222221</v>
      </c>
      <c r="CA62" s="47">
        <f t="shared" ref="CA62" si="1437">BZ62+CA61</f>
        <v>465427122.22222221</v>
      </c>
      <c r="CB62" s="47">
        <f t="shared" ref="CB62" si="1438">CA62+CB61</f>
        <v>468617022.22222221</v>
      </c>
      <c r="CC62" s="47">
        <f t="shared" ref="CC62" si="1439">CB62+CC61</f>
        <v>471498222.22222221</v>
      </c>
      <c r="CD62" s="47">
        <f t="shared" ref="CD62" si="1440">CC62+CD61</f>
        <v>474563172.22222221</v>
      </c>
      <c r="CE62" s="47">
        <f t="shared" ref="CE62" si="1441">CD62+CE61</f>
        <v>477429672.22222221</v>
      </c>
      <c r="CF62" s="47">
        <f t="shared" ref="CF62" si="1442">CE62+CF61</f>
        <v>480391722.22222221</v>
      </c>
      <c r="CG62" s="47">
        <f t="shared" ref="CG62" si="1443">CF62+CG61</f>
        <v>483140622.22222221</v>
      </c>
      <c r="CH62" s="47">
        <f t="shared" ref="CH62" si="1444">CG62+CH61</f>
        <v>485874822.22222221</v>
      </c>
      <c r="CI62" s="47">
        <f t="shared" ref="CI62" si="1445">CH62+CI61</f>
        <v>488609022.22222221</v>
      </c>
      <c r="CJ62" s="47">
        <f t="shared" ref="CJ62" si="1446">CI62+CJ61</f>
        <v>491137422.22222221</v>
      </c>
      <c r="CK62" s="47">
        <f t="shared" ref="CK62" si="1447">CJ62+CK61</f>
        <v>493643772.22222221</v>
      </c>
      <c r="CL62" s="47">
        <f t="shared" ref="CL62" si="1448">CK62+CL61</f>
        <v>496069272.22222221</v>
      </c>
      <c r="CM62" s="47">
        <f t="shared" ref="CM62" si="1449">CL62+CM61</f>
        <v>498450672.22222221</v>
      </c>
      <c r="CN62" s="47">
        <f t="shared" ref="CN62" si="1450">CM62+CN61</f>
        <v>500729172.22222221</v>
      </c>
      <c r="CO62" s="47">
        <f t="shared" ref="CO62" si="1451">CN62+CO61</f>
        <v>502787172.22222221</v>
      </c>
      <c r="CP62" s="47">
        <f t="shared" ref="CP62" si="1452">CO62+CP61</f>
        <v>504940722.22222221</v>
      </c>
      <c r="CQ62" s="47">
        <f t="shared" ref="CQ62" si="1453">CP62+CQ61</f>
        <v>506925222.22222221</v>
      </c>
      <c r="CR62" s="47">
        <f t="shared" ref="CR62" si="1454">CQ62+CR61</f>
        <v>508975872.22222221</v>
      </c>
      <c r="CS62" s="47">
        <f t="shared" ref="CS62" si="1455">CR62+CS61</f>
        <v>510842772.22222221</v>
      </c>
      <c r="CT62" s="47">
        <f t="shared" ref="CT62" si="1456">CS62+CT61</f>
        <v>512665572.22222221</v>
      </c>
      <c r="CU62" s="47">
        <f t="shared" ref="CU62" si="1457">CT62+CU61</f>
        <v>514488372.22222221</v>
      </c>
      <c r="CV62" s="47">
        <f t="shared" ref="CV62" si="1458">CU62+CV61</f>
        <v>516134772.22222221</v>
      </c>
      <c r="CW62" s="47">
        <f t="shared" ref="CW62" si="1459">CV62+CW61</f>
        <v>517729722.22222221</v>
      </c>
      <c r="CX62" s="47">
        <f t="shared" ref="CX62" si="1460">CW62+CX61</f>
        <v>519273222.22222221</v>
      </c>
      <c r="CY62" s="47">
        <f t="shared" ref="CY62" si="1461">CX62+CY61</f>
        <v>520743222.22222221</v>
      </c>
      <c r="CZ62" s="47">
        <f t="shared" ref="CZ62" si="1462">CY62+CZ61</f>
        <v>522110322.22222221</v>
      </c>
      <c r="DA62" s="47">
        <f t="shared" ref="DA62" si="1463">CZ62+DA61</f>
        <v>523389222.22222221</v>
      </c>
      <c r="DB62" s="47">
        <f t="shared" ref="DB62" si="1464">DA62+DB61</f>
        <v>524631372.22222221</v>
      </c>
      <c r="DC62" s="47">
        <f t="shared" ref="DC62" si="1465">DB62+DC61</f>
        <v>525733872.22222221</v>
      </c>
      <c r="DD62" s="47">
        <f t="shared" ref="DD62" si="1466">DC62+DD61</f>
        <v>526873122.22222221</v>
      </c>
      <c r="DE62" s="47">
        <f t="shared" ref="DE62" si="1467">DD62+DE61</f>
        <v>527858022.22222221</v>
      </c>
      <c r="DF62" s="47">
        <f t="shared" ref="DF62" si="1468">DE62+DF61</f>
        <v>528769422.22222221</v>
      </c>
      <c r="DG62" s="47">
        <f t="shared" ref="DG62" si="1469">DF62+DG61</f>
        <v>529680822.22222221</v>
      </c>
      <c r="DH62" s="47">
        <f t="shared" ref="DH62" si="1470">DG62+DH61</f>
        <v>530437872.22222221</v>
      </c>
      <c r="DI62" s="47">
        <f t="shared" ref="DI62" si="1471">DH62+DI61</f>
        <v>531121422.22222221</v>
      </c>
      <c r="DJ62" s="47">
        <f t="shared" ref="DJ62" si="1472">DI62+DJ61</f>
        <v>531782922.22222221</v>
      </c>
      <c r="DK62" s="47">
        <f t="shared" ref="DK62" si="1473">DJ62+DK61</f>
        <v>532334172.22222221</v>
      </c>
      <c r="DL62" s="47">
        <f t="shared" ref="DL62" si="1474">DK62+DL61</f>
        <v>532789872.22222221</v>
      </c>
      <c r="DM62" s="47">
        <f t="shared" ref="DM62" si="1475">DL62+DM61</f>
        <v>533201472.22222221</v>
      </c>
      <c r="DN62" s="47">
        <f t="shared" ref="DN62" si="1476">DM62+DN61</f>
        <v>533532222.22222221</v>
      </c>
      <c r="DO62" s="47">
        <f t="shared" ref="DO62" si="1477">DN62+DO61</f>
        <v>533752722.22222221</v>
      </c>
      <c r="DP62" s="47">
        <f t="shared" ref="DP62" si="1478">DO62+DP61</f>
        <v>533980572.22222221</v>
      </c>
      <c r="DQ62" s="47">
        <f t="shared" ref="DQ62" si="1479">DP62+DQ61</f>
        <v>534076122.22222221</v>
      </c>
      <c r="DR62" s="53"/>
      <c r="DS62" s="53"/>
    </row>
    <row r="63" spans="1:123" s="53" customFormat="1" x14ac:dyDescent="0.25">
      <c r="A63" s="22" t="s">
        <v>7</v>
      </c>
      <c r="B63" s="25">
        <v>0</v>
      </c>
      <c r="C63" s="25">
        <f>B63</f>
        <v>0</v>
      </c>
      <c r="D63" s="25">
        <f t="shared" ref="D63" si="1480">C63</f>
        <v>0</v>
      </c>
      <c r="E63" s="25">
        <f t="shared" ref="E63" si="1481">D63</f>
        <v>0</v>
      </c>
      <c r="F63" s="25">
        <f t="shared" ref="F63" si="1482">E63</f>
        <v>0</v>
      </c>
      <c r="G63" s="25">
        <f t="shared" ref="G63" si="1483">F63</f>
        <v>0</v>
      </c>
      <c r="H63" s="25">
        <f t="shared" ref="H63:I63" si="1484">G63</f>
        <v>0</v>
      </c>
      <c r="I63" s="25">
        <f t="shared" si="1484"/>
        <v>0</v>
      </c>
      <c r="J63" s="25">
        <f t="shared" ref="J63" si="1485">I63</f>
        <v>0</v>
      </c>
      <c r="K63" s="25">
        <f t="shared" ref="K63" si="1486">J63</f>
        <v>0</v>
      </c>
      <c r="L63" s="25">
        <f t="shared" ref="L63" si="1487">K63</f>
        <v>0</v>
      </c>
      <c r="M63" s="25">
        <f t="shared" ref="M63" si="1488">L63</f>
        <v>0</v>
      </c>
      <c r="N63" s="25">
        <f t="shared" ref="N63" si="1489">M63</f>
        <v>0</v>
      </c>
      <c r="O63" s="25">
        <f t="shared" ref="O63" si="1490">N63</f>
        <v>0</v>
      </c>
      <c r="P63" s="25">
        <f t="shared" ref="P63" si="1491">O63</f>
        <v>0</v>
      </c>
      <c r="Q63" s="25">
        <f t="shared" ref="Q63" si="1492">P63</f>
        <v>0</v>
      </c>
      <c r="R63" s="25">
        <f t="shared" ref="R63" si="1493">Q63</f>
        <v>0</v>
      </c>
      <c r="S63" s="25">
        <f t="shared" ref="S63" si="1494">R63</f>
        <v>0</v>
      </c>
      <c r="T63" s="25">
        <f t="shared" ref="T63" si="1495">S63</f>
        <v>0</v>
      </c>
      <c r="U63" s="25">
        <f t="shared" ref="U63" si="1496">T63</f>
        <v>0</v>
      </c>
      <c r="V63" s="25">
        <f>SCBL_Loan!$H$71</f>
        <v>29600000</v>
      </c>
      <c r="W63" s="25">
        <v>0</v>
      </c>
      <c r="X63" s="25">
        <v>0</v>
      </c>
      <c r="Y63" s="25">
        <f>SCBL_Loan!$I$71</f>
        <v>29600000</v>
      </c>
      <c r="Z63" s="25">
        <v>0</v>
      </c>
      <c r="AA63" s="25">
        <v>0</v>
      </c>
      <c r="AB63" s="25">
        <f>SCBL_Loan!$J$71</f>
        <v>29400000</v>
      </c>
      <c r="AC63" s="25">
        <v>0</v>
      </c>
      <c r="AD63" s="25">
        <v>0</v>
      </c>
      <c r="AE63" s="25">
        <f>SCBL_Loan!$K$71</f>
        <v>29400000</v>
      </c>
      <c r="AF63" s="25">
        <v>0</v>
      </c>
      <c r="AG63" s="25">
        <v>0</v>
      </c>
      <c r="AH63" s="25">
        <f>SCBL_Loan!$L$71</f>
        <v>29400000</v>
      </c>
      <c r="AI63" s="25">
        <v>0</v>
      </c>
      <c r="AJ63" s="25">
        <v>0</v>
      </c>
      <c r="AK63" s="25">
        <f>SCBL_Loan!$M$71</f>
        <v>29400000</v>
      </c>
      <c r="AL63" s="25">
        <v>0</v>
      </c>
      <c r="AM63" s="25">
        <v>0</v>
      </c>
      <c r="AN63" s="25">
        <f>SCBL_Loan!$N$71</f>
        <v>29400000</v>
      </c>
      <c r="AO63" s="25">
        <v>0</v>
      </c>
      <c r="AP63" s="25">
        <v>0</v>
      </c>
      <c r="AQ63" s="25">
        <f>SCBL_Loan!$O$71</f>
        <v>29400000</v>
      </c>
      <c r="AR63" s="25">
        <v>0</v>
      </c>
      <c r="AS63" s="25">
        <v>0</v>
      </c>
      <c r="AT63" s="25">
        <f>SCBL_Loan!$P$71</f>
        <v>29400000</v>
      </c>
      <c r="AU63" s="25">
        <v>0</v>
      </c>
      <c r="AV63" s="25">
        <v>0</v>
      </c>
      <c r="AW63" s="25">
        <f>SCBL_Loan!$Q$71</f>
        <v>29400000</v>
      </c>
      <c r="AX63" s="25">
        <v>0</v>
      </c>
      <c r="AY63" s="25">
        <v>0</v>
      </c>
      <c r="AZ63" s="25">
        <f>SCBL_Loan!$R$71</f>
        <v>29400000</v>
      </c>
      <c r="BA63" s="25">
        <v>0</v>
      </c>
      <c r="BB63" s="25">
        <v>0</v>
      </c>
      <c r="BC63" s="25">
        <f>SCBL_Loan!$S$71</f>
        <v>29400000</v>
      </c>
      <c r="BD63" s="25">
        <v>0</v>
      </c>
      <c r="BE63" s="25">
        <v>0</v>
      </c>
      <c r="BF63" s="25">
        <f>SCBL_Loan!$T$71</f>
        <v>29400000</v>
      </c>
      <c r="BG63" s="25">
        <v>0</v>
      </c>
      <c r="BH63" s="25">
        <v>0</v>
      </c>
      <c r="BI63" s="25">
        <f>SCBL_Loan!$U$71</f>
        <v>29400000</v>
      </c>
      <c r="BJ63" s="25">
        <v>0</v>
      </c>
      <c r="BK63" s="25">
        <v>0</v>
      </c>
      <c r="BL63" s="25">
        <f>SCBL_Loan!$V$71</f>
        <v>29400000</v>
      </c>
      <c r="BM63" s="25">
        <v>0</v>
      </c>
      <c r="BN63" s="25">
        <v>0</v>
      </c>
      <c r="BO63" s="25">
        <f>SCBL_Loan!$W$71</f>
        <v>29400000</v>
      </c>
      <c r="BP63" s="25">
        <v>0</v>
      </c>
      <c r="BQ63" s="25">
        <v>0</v>
      </c>
      <c r="BR63" s="25">
        <f>SCBL_Loan!$X$71</f>
        <v>29400000</v>
      </c>
      <c r="BS63" s="25">
        <v>0</v>
      </c>
      <c r="BT63" s="25">
        <v>0</v>
      </c>
      <c r="BU63" s="25">
        <f>SCBL_Loan!$Y$71</f>
        <v>29400000</v>
      </c>
      <c r="BV63" s="25">
        <v>0</v>
      </c>
      <c r="BW63" s="25">
        <v>0</v>
      </c>
      <c r="BX63" s="25">
        <f>SCBL_Loan!$Z$71</f>
        <v>29400000</v>
      </c>
      <c r="BY63" s="25">
        <v>0</v>
      </c>
      <c r="BZ63" s="25">
        <v>0</v>
      </c>
      <c r="CA63" s="25">
        <f>SCBL_Loan!$AA$71</f>
        <v>29400000</v>
      </c>
      <c r="CB63" s="25">
        <v>0</v>
      </c>
      <c r="CC63" s="25">
        <v>0</v>
      </c>
      <c r="CD63" s="25">
        <f>SCBL_Loan!$AB$71</f>
        <v>29400000</v>
      </c>
      <c r="CE63" s="25">
        <v>0</v>
      </c>
      <c r="CF63" s="25">
        <v>0</v>
      </c>
      <c r="CG63" s="25">
        <f>SCBL_Loan!$AC$71</f>
        <v>29400000</v>
      </c>
      <c r="CH63" s="25">
        <v>0</v>
      </c>
      <c r="CI63" s="25">
        <v>0</v>
      </c>
      <c r="CJ63" s="25">
        <f>SCBL_Loan!$AD$71</f>
        <v>29400000</v>
      </c>
      <c r="CK63" s="25">
        <v>0</v>
      </c>
      <c r="CL63" s="25">
        <v>0</v>
      </c>
      <c r="CM63" s="25">
        <f>SCBL_Loan!$AE$71</f>
        <v>29400000</v>
      </c>
      <c r="CN63" s="25">
        <v>0</v>
      </c>
      <c r="CO63" s="25">
        <v>0</v>
      </c>
      <c r="CP63" s="25">
        <f>SCBL_Loan!$AF$71</f>
        <v>29400000</v>
      </c>
      <c r="CQ63" s="25">
        <v>0</v>
      </c>
      <c r="CR63" s="25">
        <v>0</v>
      </c>
      <c r="CS63" s="25">
        <f>SCBL_Loan!$AG$71</f>
        <v>29400000</v>
      </c>
      <c r="CT63" s="25">
        <v>0</v>
      </c>
      <c r="CU63" s="25">
        <v>0</v>
      </c>
      <c r="CV63" s="25">
        <f>SCBL_Loan!$AH$71</f>
        <v>29400000</v>
      </c>
      <c r="CW63" s="25">
        <v>0</v>
      </c>
      <c r="CX63" s="25">
        <v>0</v>
      </c>
      <c r="CY63" s="25">
        <f>SCBL_Loan!$AI$71</f>
        <v>29400000</v>
      </c>
      <c r="CZ63" s="25">
        <v>0</v>
      </c>
      <c r="DA63" s="25">
        <v>0</v>
      </c>
      <c r="DB63" s="25">
        <f>SCBL_Loan!$AJ$71</f>
        <v>29400000</v>
      </c>
      <c r="DC63" s="25">
        <v>0</v>
      </c>
      <c r="DD63" s="25">
        <v>0</v>
      </c>
      <c r="DE63" s="25">
        <f>SCBL_Loan!$AK$71</f>
        <v>29400000</v>
      </c>
      <c r="DF63" s="25">
        <v>0</v>
      </c>
      <c r="DG63" s="25">
        <v>0</v>
      </c>
      <c r="DH63" s="25">
        <f>SCBL_Loan!$AL$71</f>
        <v>29400000</v>
      </c>
      <c r="DI63" s="25">
        <v>0</v>
      </c>
      <c r="DJ63" s="25">
        <v>0</v>
      </c>
      <c r="DK63" s="25">
        <f>SCBL_Loan!$AM$71</f>
        <v>29400000</v>
      </c>
      <c r="DL63" s="25">
        <v>0</v>
      </c>
      <c r="DM63" s="25">
        <v>0</v>
      </c>
      <c r="DN63" s="25">
        <f>SCBL_Loan!$AN$71</f>
        <v>29400000</v>
      </c>
      <c r="DO63" s="25">
        <v>0</v>
      </c>
      <c r="DP63" s="25">
        <v>0</v>
      </c>
      <c r="DQ63" s="25">
        <f>SCBL_Loan!$AN$71</f>
        <v>29400000</v>
      </c>
    </row>
    <row r="64" spans="1:123" s="53" customFormat="1" x14ac:dyDescent="0.25">
      <c r="A64" s="22" t="s">
        <v>13</v>
      </c>
      <c r="B64" s="25">
        <f>B63</f>
        <v>0</v>
      </c>
      <c r="C64" s="25">
        <f>B64+C63</f>
        <v>0</v>
      </c>
      <c r="D64" s="25">
        <f t="shared" ref="D64" si="1497">C64+D63</f>
        <v>0</v>
      </c>
      <c r="E64" s="25">
        <f t="shared" ref="E64" si="1498">D64+E63</f>
        <v>0</v>
      </c>
      <c r="F64" s="25">
        <f t="shared" ref="F64" si="1499">E64+F63</f>
        <v>0</v>
      </c>
      <c r="G64" s="25">
        <f t="shared" ref="G64" si="1500">F64+G63</f>
        <v>0</v>
      </c>
      <c r="H64" s="25">
        <f t="shared" ref="H64:I64" si="1501">G64+H63</f>
        <v>0</v>
      </c>
      <c r="I64" s="25">
        <f t="shared" si="1501"/>
        <v>0</v>
      </c>
      <c r="J64" s="25">
        <f t="shared" ref="J64" si="1502">I64+J63</f>
        <v>0</v>
      </c>
      <c r="K64" s="25">
        <f t="shared" ref="K64" si="1503">J64+K63</f>
        <v>0</v>
      </c>
      <c r="L64" s="25">
        <f t="shared" ref="L64" si="1504">K64+L63</f>
        <v>0</v>
      </c>
      <c r="M64" s="25">
        <f t="shared" ref="M64" si="1505">L64+M63</f>
        <v>0</v>
      </c>
      <c r="N64" s="25">
        <f t="shared" ref="N64" si="1506">M64+N63</f>
        <v>0</v>
      </c>
      <c r="O64" s="25">
        <f t="shared" ref="O64" si="1507">N64+O63</f>
        <v>0</v>
      </c>
      <c r="P64" s="25">
        <f t="shared" ref="P64" si="1508">O64+P63</f>
        <v>0</v>
      </c>
      <c r="Q64" s="25">
        <f t="shared" ref="Q64" si="1509">P64+Q63</f>
        <v>0</v>
      </c>
      <c r="R64" s="25">
        <f t="shared" ref="R64" si="1510">Q64+R63</f>
        <v>0</v>
      </c>
      <c r="S64" s="25">
        <f t="shared" ref="S64" si="1511">R64+S63</f>
        <v>0</v>
      </c>
      <c r="T64" s="25">
        <f t="shared" ref="T64" si="1512">S64+T63</f>
        <v>0</v>
      </c>
      <c r="U64" s="25">
        <f t="shared" ref="U64" si="1513">T64+U63</f>
        <v>0</v>
      </c>
      <c r="V64" s="25">
        <f t="shared" ref="V64" si="1514">U64+V63</f>
        <v>29600000</v>
      </c>
      <c r="W64" s="25">
        <f t="shared" ref="W64" si="1515">V64+W63</f>
        <v>29600000</v>
      </c>
      <c r="X64" s="25">
        <f t="shared" ref="X64" si="1516">W64+X63</f>
        <v>29600000</v>
      </c>
      <c r="Y64" s="25">
        <f t="shared" ref="Y64" si="1517">X64+Y63</f>
        <v>59200000</v>
      </c>
      <c r="Z64" s="25">
        <f t="shared" ref="Z64" si="1518">Y64+Z63</f>
        <v>59200000</v>
      </c>
      <c r="AA64" s="25">
        <f t="shared" ref="AA64" si="1519">Z64+AA63</f>
        <v>59200000</v>
      </c>
      <c r="AB64" s="25">
        <f t="shared" ref="AB64" si="1520">AA64+AB63</f>
        <v>88600000</v>
      </c>
      <c r="AC64" s="25">
        <f t="shared" ref="AC64" si="1521">AB64+AC63</f>
        <v>88600000</v>
      </c>
      <c r="AD64" s="25">
        <f t="shared" ref="AD64" si="1522">AC64+AD63</f>
        <v>88600000</v>
      </c>
      <c r="AE64" s="25">
        <f t="shared" ref="AE64" si="1523">AD64+AE63</f>
        <v>118000000</v>
      </c>
      <c r="AF64" s="25">
        <f t="shared" ref="AF64" si="1524">AE64+AF63</f>
        <v>118000000</v>
      </c>
      <c r="AG64" s="25">
        <f t="shared" ref="AG64" si="1525">AF64+AG63</f>
        <v>118000000</v>
      </c>
      <c r="AH64" s="25">
        <f t="shared" ref="AH64" si="1526">AG64+AH63</f>
        <v>147400000</v>
      </c>
      <c r="AI64" s="25">
        <f t="shared" ref="AI64" si="1527">AH64+AI63</f>
        <v>147400000</v>
      </c>
      <c r="AJ64" s="25">
        <f t="shared" ref="AJ64" si="1528">AI64+AJ63</f>
        <v>147400000</v>
      </c>
      <c r="AK64" s="25">
        <f t="shared" ref="AK64" si="1529">AJ64+AK63</f>
        <v>176800000</v>
      </c>
      <c r="AL64" s="25">
        <f t="shared" ref="AL64" si="1530">AK64+AL63</f>
        <v>176800000</v>
      </c>
      <c r="AM64" s="25">
        <f t="shared" ref="AM64" si="1531">AL64+AM63</f>
        <v>176800000</v>
      </c>
      <c r="AN64" s="25">
        <f t="shared" ref="AN64" si="1532">AM64+AN63</f>
        <v>206200000</v>
      </c>
      <c r="AO64" s="25">
        <f t="shared" ref="AO64" si="1533">AN64+AO63</f>
        <v>206200000</v>
      </c>
      <c r="AP64" s="25">
        <f t="shared" ref="AP64" si="1534">AO64+AP63</f>
        <v>206200000</v>
      </c>
      <c r="AQ64" s="25">
        <f t="shared" ref="AQ64" si="1535">AP64+AQ63</f>
        <v>235600000</v>
      </c>
      <c r="AR64" s="25">
        <f t="shared" ref="AR64" si="1536">AQ64+AR63</f>
        <v>235600000</v>
      </c>
      <c r="AS64" s="25">
        <f t="shared" ref="AS64" si="1537">AR64+AS63</f>
        <v>235600000</v>
      </c>
      <c r="AT64" s="25">
        <f t="shared" ref="AT64" si="1538">AS64+AT63</f>
        <v>265000000</v>
      </c>
      <c r="AU64" s="25">
        <f t="shared" ref="AU64" si="1539">AT64+AU63</f>
        <v>265000000</v>
      </c>
      <c r="AV64" s="25">
        <f t="shared" ref="AV64" si="1540">AU64+AV63</f>
        <v>265000000</v>
      </c>
      <c r="AW64" s="25">
        <f t="shared" ref="AW64" si="1541">AV64+AW63</f>
        <v>294400000</v>
      </c>
      <c r="AX64" s="25">
        <f t="shared" ref="AX64" si="1542">AW64+AX63</f>
        <v>294400000</v>
      </c>
      <c r="AY64" s="25">
        <f t="shared" ref="AY64" si="1543">AX64+AY63</f>
        <v>294400000</v>
      </c>
      <c r="AZ64" s="25">
        <f t="shared" ref="AZ64" si="1544">AY64+AZ63</f>
        <v>323800000</v>
      </c>
      <c r="BA64" s="25">
        <f t="shared" ref="BA64" si="1545">AZ64+BA63</f>
        <v>323800000</v>
      </c>
      <c r="BB64" s="25">
        <f t="shared" ref="BB64" si="1546">BA64+BB63</f>
        <v>323800000</v>
      </c>
      <c r="BC64" s="25">
        <f t="shared" ref="BC64" si="1547">BB64+BC63</f>
        <v>353200000</v>
      </c>
      <c r="BD64" s="25">
        <f t="shared" ref="BD64" si="1548">BC64+BD63</f>
        <v>353200000</v>
      </c>
      <c r="BE64" s="25">
        <f t="shared" ref="BE64" si="1549">BD64+BE63</f>
        <v>353200000</v>
      </c>
      <c r="BF64" s="25">
        <f t="shared" ref="BF64" si="1550">BE64+BF63</f>
        <v>382600000</v>
      </c>
      <c r="BG64" s="25">
        <f t="shared" ref="BG64" si="1551">BF64+BG63</f>
        <v>382600000</v>
      </c>
      <c r="BH64" s="25">
        <f t="shared" ref="BH64" si="1552">BG64+BH63</f>
        <v>382600000</v>
      </c>
      <c r="BI64" s="25">
        <f t="shared" ref="BI64" si="1553">BH64+BI63</f>
        <v>412000000</v>
      </c>
      <c r="BJ64" s="25">
        <f t="shared" ref="BJ64" si="1554">BI64+BJ63</f>
        <v>412000000</v>
      </c>
      <c r="BK64" s="25">
        <f t="shared" ref="BK64" si="1555">BJ64+BK63</f>
        <v>412000000</v>
      </c>
      <c r="BL64" s="25">
        <f t="shared" ref="BL64" si="1556">BK64+BL63</f>
        <v>441400000</v>
      </c>
      <c r="BM64" s="25">
        <f t="shared" ref="BM64" si="1557">BL64+BM63</f>
        <v>441400000</v>
      </c>
      <c r="BN64" s="25">
        <f t="shared" ref="BN64" si="1558">BM64+BN63</f>
        <v>441400000</v>
      </c>
      <c r="BO64" s="25">
        <f t="shared" ref="BO64" si="1559">BN64+BO63</f>
        <v>470800000</v>
      </c>
      <c r="BP64" s="25">
        <f t="shared" ref="BP64" si="1560">BO64+BP63</f>
        <v>470800000</v>
      </c>
      <c r="BQ64" s="25">
        <f t="shared" ref="BQ64" si="1561">BP64+BQ63</f>
        <v>470800000</v>
      </c>
      <c r="BR64" s="25">
        <f t="shared" ref="BR64" si="1562">BQ64+BR63</f>
        <v>500200000</v>
      </c>
      <c r="BS64" s="25">
        <f t="shared" ref="BS64" si="1563">BR64+BS63</f>
        <v>500200000</v>
      </c>
      <c r="BT64" s="25">
        <f>BS64+BT63</f>
        <v>500200000</v>
      </c>
      <c r="BU64" s="25">
        <f t="shared" ref="BU64" si="1564">BT64+BU63</f>
        <v>529600000</v>
      </c>
      <c r="BV64" s="25">
        <f t="shared" ref="BV64" si="1565">BU64+BV63</f>
        <v>529600000</v>
      </c>
      <c r="BW64" s="25">
        <f t="shared" ref="BW64" si="1566">BV64+BW63</f>
        <v>529600000</v>
      </c>
      <c r="BX64" s="25">
        <f t="shared" ref="BX64" si="1567">BW64+BX63</f>
        <v>559000000</v>
      </c>
      <c r="BY64" s="25">
        <f t="shared" ref="BY64" si="1568">BX64+BY63</f>
        <v>559000000</v>
      </c>
      <c r="BZ64" s="25">
        <f t="shared" ref="BZ64" si="1569">BY64+BZ63</f>
        <v>559000000</v>
      </c>
      <c r="CA64" s="25">
        <f t="shared" ref="CA64" si="1570">BZ64+CA63</f>
        <v>588400000</v>
      </c>
      <c r="CB64" s="25">
        <f t="shared" ref="CB64" si="1571">CA64+CB63</f>
        <v>588400000</v>
      </c>
      <c r="CC64" s="25">
        <f t="shared" ref="CC64" si="1572">CB64+CC63</f>
        <v>588400000</v>
      </c>
      <c r="CD64" s="25">
        <f t="shared" ref="CD64" si="1573">CC64+CD63</f>
        <v>617800000</v>
      </c>
      <c r="CE64" s="25">
        <f t="shared" ref="CE64" si="1574">CD64+CE63</f>
        <v>617800000</v>
      </c>
      <c r="CF64" s="25">
        <f t="shared" ref="CF64" si="1575">CE64+CF63</f>
        <v>617800000</v>
      </c>
      <c r="CG64" s="25">
        <f>CF64+CG63</f>
        <v>647200000</v>
      </c>
      <c r="CH64" s="25">
        <f>CG64+CH63</f>
        <v>647200000</v>
      </c>
      <c r="CI64" s="25">
        <f t="shared" ref="CI64" si="1576">CH64+CI63</f>
        <v>647200000</v>
      </c>
      <c r="CJ64" s="25">
        <f>CI64+CJ63</f>
        <v>676600000</v>
      </c>
      <c r="CK64" s="25">
        <f t="shared" ref="CK64" si="1577">CJ64+CK63</f>
        <v>676600000</v>
      </c>
      <c r="CL64" s="25">
        <f t="shared" ref="CL64" si="1578">CK64+CL63</f>
        <v>676600000</v>
      </c>
      <c r="CM64" s="25">
        <f t="shared" ref="CM64" si="1579">CL64+CM63</f>
        <v>706000000</v>
      </c>
      <c r="CN64" s="25">
        <f t="shared" ref="CN64" si="1580">CM64+CN63</f>
        <v>706000000</v>
      </c>
      <c r="CO64" s="25">
        <f t="shared" ref="CO64" si="1581">CN64+CO63</f>
        <v>706000000</v>
      </c>
      <c r="CP64" s="25">
        <f t="shared" ref="CP64" si="1582">CO64+CP63</f>
        <v>735400000</v>
      </c>
      <c r="CQ64" s="25">
        <f>CP64+CQ63</f>
        <v>735400000</v>
      </c>
      <c r="CR64" s="25">
        <f>CQ64+CR63</f>
        <v>735400000</v>
      </c>
      <c r="CS64" s="25">
        <f>CR64+CS63</f>
        <v>764800000</v>
      </c>
      <c r="CT64" s="25">
        <f>CS64+CT63</f>
        <v>764800000</v>
      </c>
      <c r="CU64" s="25">
        <f t="shared" ref="CU64" si="1583">CT64+CU63</f>
        <v>764800000</v>
      </c>
      <c r="CV64" s="25">
        <f t="shared" ref="CV64" si="1584">CU64+CV63</f>
        <v>794200000</v>
      </c>
      <c r="CW64" s="25">
        <f t="shared" ref="CW64" si="1585">CV64+CW63</f>
        <v>794200000</v>
      </c>
      <c r="CX64" s="25">
        <f t="shared" ref="CX64" si="1586">CW64+CX63</f>
        <v>794200000</v>
      </c>
      <c r="CY64" s="25">
        <f t="shared" ref="CY64" si="1587">CX64+CY63</f>
        <v>823600000</v>
      </c>
      <c r="CZ64" s="25">
        <f t="shared" ref="CZ64" si="1588">CY64+CZ63</f>
        <v>823600000</v>
      </c>
      <c r="DA64" s="25">
        <f t="shared" ref="DA64" si="1589">CZ64+DA63</f>
        <v>823600000</v>
      </c>
      <c r="DB64" s="25">
        <f t="shared" ref="DB64" si="1590">DA64+DB63</f>
        <v>853000000</v>
      </c>
      <c r="DC64" s="25">
        <f t="shared" ref="DC64" si="1591">DB64+DC63</f>
        <v>853000000</v>
      </c>
      <c r="DD64" s="25">
        <f t="shared" ref="DD64" si="1592">DC64+DD63</f>
        <v>853000000</v>
      </c>
      <c r="DE64" s="25">
        <f t="shared" ref="DE64" si="1593">DD64+DE63</f>
        <v>882400000</v>
      </c>
      <c r="DF64" s="25">
        <f t="shared" ref="DF64" si="1594">DE64+DF63</f>
        <v>882400000</v>
      </c>
      <c r="DG64" s="25">
        <f>DF64+DG63</f>
        <v>882400000</v>
      </c>
      <c r="DH64" s="25">
        <f t="shared" ref="DH64" si="1595">DG64+DH63</f>
        <v>911800000</v>
      </c>
      <c r="DI64" s="25">
        <f t="shared" ref="DI64" si="1596">DH64+DI63</f>
        <v>911800000</v>
      </c>
      <c r="DJ64" s="25">
        <f t="shared" ref="DJ64" si="1597">DI64+DJ63</f>
        <v>911800000</v>
      </c>
      <c r="DK64" s="25">
        <f t="shared" ref="DK64" si="1598">DJ64+DK63</f>
        <v>941200000</v>
      </c>
      <c r="DL64" s="25">
        <f t="shared" ref="DL64" si="1599">DK64+DL63</f>
        <v>941200000</v>
      </c>
      <c r="DM64" s="25">
        <f t="shared" ref="DM64" si="1600">DL64+DM63</f>
        <v>941200000</v>
      </c>
      <c r="DN64" s="25">
        <f t="shared" ref="DN64" si="1601">DM64+DN63</f>
        <v>970600000</v>
      </c>
      <c r="DO64" s="25">
        <f t="shared" ref="DO64" si="1602">DN64+DO63</f>
        <v>970600000</v>
      </c>
      <c r="DP64" s="25">
        <f t="shared" ref="DP64" si="1603">DO64+DP63</f>
        <v>970600000</v>
      </c>
      <c r="DQ64" s="25">
        <f t="shared" ref="DQ64" si="1604">DP64+DQ63</f>
        <v>1000000000</v>
      </c>
    </row>
    <row r="65" spans="1:123" s="53" customFormat="1" x14ac:dyDescent="0.25">
      <c r="A65" s="22" t="s">
        <v>8</v>
      </c>
      <c r="B65" s="31">
        <f t="shared" ref="B65:D65" si="1605">B63+B61</f>
        <v>4222222.222222222</v>
      </c>
      <c r="C65" s="31">
        <f t="shared" si="1605"/>
        <v>8180555.555555556</v>
      </c>
      <c r="D65" s="31">
        <f t="shared" si="1605"/>
        <v>7916666.666666667</v>
      </c>
      <c r="E65" s="31">
        <f t="shared" ref="E65:I65" si="1606">E63+E61</f>
        <v>8180555.555555556</v>
      </c>
      <c r="F65" s="31">
        <f t="shared" si="1606"/>
        <v>7916666.666666667</v>
      </c>
      <c r="G65" s="31">
        <f t="shared" si="1606"/>
        <v>8180555.555555556</v>
      </c>
      <c r="H65" s="31">
        <f t="shared" si="1606"/>
        <v>8180555.555555556</v>
      </c>
      <c r="I65" s="31">
        <f t="shared" si="1606"/>
        <v>7652777.777777778</v>
      </c>
      <c r="J65" s="31">
        <f t="shared" ref="J65:Q65" si="1607">J63+J61</f>
        <v>8180555.555555556</v>
      </c>
      <c r="K65" s="31">
        <f t="shared" si="1607"/>
        <v>7916666.666666667</v>
      </c>
      <c r="L65" s="31">
        <f t="shared" si="1607"/>
        <v>8180555.555555556</v>
      </c>
      <c r="M65" s="31">
        <f t="shared" si="1607"/>
        <v>7916666.666666667</v>
      </c>
      <c r="N65" s="31">
        <f t="shared" si="1607"/>
        <v>8180555.555555556</v>
      </c>
      <c r="O65" s="31">
        <f t="shared" si="1607"/>
        <v>7916666.666666666</v>
      </c>
      <c r="P65" s="31">
        <f t="shared" si="1607"/>
        <v>7500000</v>
      </c>
      <c r="Q65" s="31">
        <f t="shared" si="1607"/>
        <v>7750000</v>
      </c>
      <c r="R65" s="31">
        <f t="shared" ref="R65:BT65" si="1608">R63+R61</f>
        <v>7500000</v>
      </c>
      <c r="S65" s="31">
        <f t="shared" si="1608"/>
        <v>7750000</v>
      </c>
      <c r="T65" s="31">
        <f t="shared" si="1608"/>
        <v>7750000</v>
      </c>
      <c r="U65" s="31">
        <f t="shared" si="1608"/>
        <v>7000000</v>
      </c>
      <c r="V65" s="31">
        <f t="shared" si="1608"/>
        <v>37224200</v>
      </c>
      <c r="W65" s="31">
        <f t="shared" si="1608"/>
        <v>7278000</v>
      </c>
      <c r="X65" s="31">
        <f t="shared" si="1608"/>
        <v>7520600</v>
      </c>
      <c r="Y65" s="31">
        <f t="shared" si="1608"/>
        <v>36759600</v>
      </c>
      <c r="Z65" s="31">
        <f t="shared" si="1608"/>
        <v>7291200</v>
      </c>
      <c r="AA65" s="31">
        <f t="shared" si="1608"/>
        <v>7291200</v>
      </c>
      <c r="AB65" s="31">
        <f t="shared" si="1608"/>
        <v>36338400</v>
      </c>
      <c r="AC65" s="31">
        <f t="shared" si="1608"/>
        <v>7063350</v>
      </c>
      <c r="AD65" s="31">
        <f t="shared" si="1608"/>
        <v>6835500</v>
      </c>
      <c r="AE65" s="31">
        <f t="shared" si="1608"/>
        <v>36338400</v>
      </c>
      <c r="AF65" s="31">
        <f t="shared" si="1608"/>
        <v>6835500</v>
      </c>
      <c r="AG65" s="31">
        <f t="shared" si="1608"/>
        <v>6174000</v>
      </c>
      <c r="AH65" s="31">
        <f t="shared" si="1608"/>
        <v>36110550</v>
      </c>
      <c r="AI65" s="31">
        <f t="shared" si="1608"/>
        <v>6394500</v>
      </c>
      <c r="AJ65" s="31">
        <f t="shared" si="1608"/>
        <v>6607650</v>
      </c>
      <c r="AK65" s="31">
        <f t="shared" si="1608"/>
        <v>35676900</v>
      </c>
      <c r="AL65" s="31">
        <f t="shared" si="1608"/>
        <v>6379800</v>
      </c>
      <c r="AM65" s="31">
        <f t="shared" si="1608"/>
        <v>6379800</v>
      </c>
      <c r="AN65" s="31">
        <f t="shared" si="1608"/>
        <v>35456400</v>
      </c>
      <c r="AO65" s="31">
        <f t="shared" si="1608"/>
        <v>6151950</v>
      </c>
      <c r="AP65" s="31">
        <f t="shared" si="1608"/>
        <v>5953500</v>
      </c>
      <c r="AQ65" s="31">
        <f t="shared" si="1608"/>
        <v>35427000</v>
      </c>
      <c r="AR65" s="31">
        <f t="shared" si="1608"/>
        <v>5924100</v>
      </c>
      <c r="AS65" s="31">
        <f t="shared" si="1608"/>
        <v>5350800</v>
      </c>
      <c r="AT65" s="31">
        <f t="shared" si="1608"/>
        <v>35199150</v>
      </c>
      <c r="AU65" s="31">
        <f t="shared" si="1608"/>
        <v>5512500</v>
      </c>
      <c r="AV65" s="31">
        <f t="shared" si="1608"/>
        <v>5696250</v>
      </c>
      <c r="AW65" s="31">
        <f t="shared" si="1608"/>
        <v>34794900</v>
      </c>
      <c r="AX65" s="31">
        <f t="shared" si="1608"/>
        <v>5468400</v>
      </c>
      <c r="AY65" s="31">
        <f t="shared" si="1608"/>
        <v>5468400</v>
      </c>
      <c r="AZ65" s="31">
        <f t="shared" si="1608"/>
        <v>34567050</v>
      </c>
      <c r="BA65" s="31">
        <f t="shared" si="1608"/>
        <v>5240550</v>
      </c>
      <c r="BB65" s="31">
        <f t="shared" si="1608"/>
        <v>5071500</v>
      </c>
      <c r="BC65" s="31">
        <f t="shared" si="1608"/>
        <v>34508250</v>
      </c>
      <c r="BD65" s="31">
        <f t="shared" si="1608"/>
        <v>5012700</v>
      </c>
      <c r="BE65" s="31">
        <f t="shared" si="1608"/>
        <v>4689300</v>
      </c>
      <c r="BF65" s="31">
        <f t="shared" si="1608"/>
        <v>34280400</v>
      </c>
      <c r="BG65" s="31">
        <f t="shared" si="1608"/>
        <v>4630500</v>
      </c>
      <c r="BH65" s="31">
        <f t="shared" si="1608"/>
        <v>4784850</v>
      </c>
      <c r="BI65" s="31">
        <f t="shared" si="1608"/>
        <v>33898200</v>
      </c>
      <c r="BJ65" s="31">
        <f t="shared" si="1608"/>
        <v>4557000</v>
      </c>
      <c r="BK65" s="31">
        <f t="shared" si="1608"/>
        <v>4557000</v>
      </c>
      <c r="BL65" s="31">
        <f t="shared" si="1608"/>
        <v>33692400</v>
      </c>
      <c r="BM65" s="31">
        <f t="shared" si="1608"/>
        <v>4329150</v>
      </c>
      <c r="BN65" s="31">
        <f t="shared" si="1608"/>
        <v>4189500</v>
      </c>
      <c r="BO65" s="31">
        <f t="shared" si="1608"/>
        <v>33604200</v>
      </c>
      <c r="BP65" s="31">
        <f t="shared" si="1608"/>
        <v>4101300</v>
      </c>
      <c r="BQ65" s="31">
        <f t="shared" si="1608"/>
        <v>3704400</v>
      </c>
      <c r="BR65" s="31">
        <f t="shared" si="1608"/>
        <v>33361650</v>
      </c>
      <c r="BS65" s="31">
        <f t="shared" si="1608"/>
        <v>3748500</v>
      </c>
      <c r="BT65" s="31">
        <f t="shared" si="1608"/>
        <v>3873450</v>
      </c>
      <c r="BU65" s="31">
        <f t="shared" ref="BU65:CP65" si="1609">BU63+BU61</f>
        <v>33030900</v>
      </c>
      <c r="BV65" s="31">
        <f t="shared" si="1609"/>
        <v>3645600</v>
      </c>
      <c r="BW65" s="31">
        <f t="shared" si="1609"/>
        <v>3645600</v>
      </c>
      <c r="BX65" s="31">
        <f t="shared" si="1609"/>
        <v>32810400</v>
      </c>
      <c r="BY65" s="31">
        <f t="shared" si="1609"/>
        <v>3417750</v>
      </c>
      <c r="BZ65" s="31">
        <f t="shared" si="1609"/>
        <v>3307500</v>
      </c>
      <c r="CA65" s="31">
        <f t="shared" si="1609"/>
        <v>32692800</v>
      </c>
      <c r="CB65" s="31">
        <f t="shared" si="1609"/>
        <v>3189900</v>
      </c>
      <c r="CC65" s="31">
        <f t="shared" si="1609"/>
        <v>2881200</v>
      </c>
      <c r="CD65" s="31">
        <f t="shared" si="1609"/>
        <v>32464950</v>
      </c>
      <c r="CE65" s="31">
        <f t="shared" si="1609"/>
        <v>2866500</v>
      </c>
      <c r="CF65" s="31">
        <f t="shared" si="1609"/>
        <v>2962050</v>
      </c>
      <c r="CG65" s="31">
        <f t="shared" si="1609"/>
        <v>32148900</v>
      </c>
      <c r="CH65" s="31">
        <f t="shared" si="1609"/>
        <v>2734200</v>
      </c>
      <c r="CI65" s="31">
        <f t="shared" si="1609"/>
        <v>2734200</v>
      </c>
      <c r="CJ65" s="31">
        <f t="shared" si="1609"/>
        <v>31928400</v>
      </c>
      <c r="CK65" s="31">
        <f t="shared" si="1609"/>
        <v>2506350</v>
      </c>
      <c r="CL65" s="31">
        <f t="shared" si="1609"/>
        <v>2425500</v>
      </c>
      <c r="CM65" s="31">
        <f t="shared" si="1609"/>
        <v>31781400</v>
      </c>
      <c r="CN65" s="31">
        <f t="shared" si="1609"/>
        <v>2278500</v>
      </c>
      <c r="CO65" s="31">
        <f t="shared" si="1609"/>
        <v>2058000</v>
      </c>
      <c r="CP65" s="31">
        <f t="shared" si="1609"/>
        <v>31553550</v>
      </c>
      <c r="CQ65" s="31">
        <f>CQ63+CQ61</f>
        <v>1984500</v>
      </c>
      <c r="CR65" s="31">
        <f>CR63+CR61</f>
        <v>2050650</v>
      </c>
      <c r="CS65" s="31">
        <f>CS63+CS61</f>
        <v>31266900</v>
      </c>
      <c r="CT65" s="31">
        <f>CT63+CT61</f>
        <v>1822800</v>
      </c>
      <c r="CU65" s="31">
        <f t="shared" ref="CU65:DF65" si="1610">CU63+CU61</f>
        <v>1822800</v>
      </c>
      <c r="CV65" s="31">
        <f t="shared" si="1610"/>
        <v>31046400</v>
      </c>
      <c r="CW65" s="31">
        <f t="shared" si="1610"/>
        <v>1594950</v>
      </c>
      <c r="CX65" s="31">
        <f t="shared" si="1610"/>
        <v>1543500</v>
      </c>
      <c r="CY65" s="31">
        <f t="shared" si="1610"/>
        <v>30870000</v>
      </c>
      <c r="CZ65" s="31">
        <f t="shared" si="1610"/>
        <v>1367100</v>
      </c>
      <c r="DA65" s="31">
        <f t="shared" si="1610"/>
        <v>1278900</v>
      </c>
      <c r="DB65" s="31">
        <f t="shared" si="1610"/>
        <v>30642150</v>
      </c>
      <c r="DC65" s="31">
        <f t="shared" si="1610"/>
        <v>1102500</v>
      </c>
      <c r="DD65" s="31">
        <f t="shared" si="1610"/>
        <v>1139250</v>
      </c>
      <c r="DE65" s="31">
        <f t="shared" si="1610"/>
        <v>30384900</v>
      </c>
      <c r="DF65" s="31">
        <f t="shared" si="1610"/>
        <v>911400</v>
      </c>
      <c r="DG65" s="31">
        <f>DG63+DG61</f>
        <v>911400</v>
      </c>
      <c r="DH65" s="31">
        <f t="shared" ref="DH65:DM65" si="1611">DH63+DH61</f>
        <v>30157050</v>
      </c>
      <c r="DI65" s="31">
        <f t="shared" si="1611"/>
        <v>683550</v>
      </c>
      <c r="DJ65" s="31">
        <f t="shared" si="1611"/>
        <v>661500</v>
      </c>
      <c r="DK65" s="31">
        <f t="shared" si="1611"/>
        <v>29951250</v>
      </c>
      <c r="DL65" s="31">
        <f t="shared" si="1611"/>
        <v>455700</v>
      </c>
      <c r="DM65" s="31">
        <f t="shared" si="1611"/>
        <v>411600</v>
      </c>
      <c r="DN65" s="31">
        <f>DN63+DN61</f>
        <v>29730750</v>
      </c>
      <c r="DO65" s="31">
        <f t="shared" ref="DO65:DP65" si="1612">DO63+DO61</f>
        <v>220500</v>
      </c>
      <c r="DP65" s="31">
        <f t="shared" si="1612"/>
        <v>227850</v>
      </c>
      <c r="DQ65" s="31">
        <f>DQ63+DQ61</f>
        <v>29495550</v>
      </c>
    </row>
    <row r="66" spans="1:123" s="53" customFormat="1" ht="14.25" thickBot="1" x14ac:dyDescent="0.3">
      <c r="A66" s="32" t="s">
        <v>9</v>
      </c>
      <c r="B66" s="33">
        <f>B60-B63</f>
        <v>1000000000</v>
      </c>
      <c r="C66" s="33">
        <f t="shared" ref="C66:D66" si="1613">C60-C63</f>
        <v>1000000000</v>
      </c>
      <c r="D66" s="33">
        <f t="shared" si="1613"/>
        <v>1000000000</v>
      </c>
      <c r="E66" s="33">
        <f t="shared" ref="E66:I66" si="1614">E60-E63</f>
        <v>1000000000</v>
      </c>
      <c r="F66" s="33">
        <f t="shared" si="1614"/>
        <v>1000000000</v>
      </c>
      <c r="G66" s="33">
        <f t="shared" si="1614"/>
        <v>1000000000</v>
      </c>
      <c r="H66" s="33">
        <f t="shared" si="1614"/>
        <v>1000000000</v>
      </c>
      <c r="I66" s="33">
        <f t="shared" si="1614"/>
        <v>1000000000</v>
      </c>
      <c r="J66" s="33">
        <f t="shared" ref="J66:Q66" si="1615">J60-J63</f>
        <v>1000000000</v>
      </c>
      <c r="K66" s="33">
        <f t="shared" si="1615"/>
        <v>1000000000</v>
      </c>
      <c r="L66" s="33">
        <f t="shared" si="1615"/>
        <v>1000000000</v>
      </c>
      <c r="M66" s="33">
        <f t="shared" si="1615"/>
        <v>1000000000</v>
      </c>
      <c r="N66" s="33">
        <f t="shared" si="1615"/>
        <v>1000000000</v>
      </c>
      <c r="O66" s="33">
        <f t="shared" si="1615"/>
        <v>1000000000</v>
      </c>
      <c r="P66" s="33">
        <f t="shared" si="1615"/>
        <v>1000000000</v>
      </c>
      <c r="Q66" s="33">
        <f t="shared" si="1615"/>
        <v>1000000000</v>
      </c>
      <c r="R66" s="33">
        <f t="shared" ref="R66:BT66" si="1616">R60-R63</f>
        <v>1000000000</v>
      </c>
      <c r="S66" s="33">
        <f t="shared" si="1616"/>
        <v>1000000000</v>
      </c>
      <c r="T66" s="33">
        <f t="shared" si="1616"/>
        <v>1000000000</v>
      </c>
      <c r="U66" s="33">
        <f t="shared" si="1616"/>
        <v>1000000000</v>
      </c>
      <c r="V66" s="33">
        <f t="shared" si="1616"/>
        <v>970400000</v>
      </c>
      <c r="W66" s="33">
        <f t="shared" si="1616"/>
        <v>970400000</v>
      </c>
      <c r="X66" s="33">
        <f t="shared" si="1616"/>
        <v>970400000</v>
      </c>
      <c r="Y66" s="33">
        <f t="shared" si="1616"/>
        <v>940800000</v>
      </c>
      <c r="Z66" s="33">
        <f t="shared" si="1616"/>
        <v>940800000</v>
      </c>
      <c r="AA66" s="33">
        <f t="shared" si="1616"/>
        <v>940800000</v>
      </c>
      <c r="AB66" s="33">
        <f t="shared" si="1616"/>
        <v>911400000</v>
      </c>
      <c r="AC66" s="33">
        <f t="shared" si="1616"/>
        <v>911400000</v>
      </c>
      <c r="AD66" s="33">
        <f t="shared" si="1616"/>
        <v>911400000</v>
      </c>
      <c r="AE66" s="33">
        <f t="shared" si="1616"/>
        <v>882000000</v>
      </c>
      <c r="AF66" s="33">
        <f t="shared" si="1616"/>
        <v>882000000</v>
      </c>
      <c r="AG66" s="33">
        <f t="shared" si="1616"/>
        <v>882000000</v>
      </c>
      <c r="AH66" s="33">
        <f t="shared" si="1616"/>
        <v>852600000</v>
      </c>
      <c r="AI66" s="33">
        <f t="shared" si="1616"/>
        <v>852600000</v>
      </c>
      <c r="AJ66" s="33">
        <f t="shared" si="1616"/>
        <v>852600000</v>
      </c>
      <c r="AK66" s="33">
        <f t="shared" si="1616"/>
        <v>823200000</v>
      </c>
      <c r="AL66" s="33">
        <f t="shared" si="1616"/>
        <v>823200000</v>
      </c>
      <c r="AM66" s="33">
        <f t="shared" si="1616"/>
        <v>823200000</v>
      </c>
      <c r="AN66" s="33">
        <f t="shared" si="1616"/>
        <v>793800000</v>
      </c>
      <c r="AO66" s="33">
        <f t="shared" si="1616"/>
        <v>793800000</v>
      </c>
      <c r="AP66" s="33">
        <f t="shared" si="1616"/>
        <v>793800000</v>
      </c>
      <c r="AQ66" s="33">
        <f t="shared" si="1616"/>
        <v>764400000</v>
      </c>
      <c r="AR66" s="33">
        <f t="shared" si="1616"/>
        <v>764400000</v>
      </c>
      <c r="AS66" s="33">
        <f t="shared" si="1616"/>
        <v>764400000</v>
      </c>
      <c r="AT66" s="33">
        <f t="shared" si="1616"/>
        <v>735000000</v>
      </c>
      <c r="AU66" s="33">
        <f t="shared" si="1616"/>
        <v>735000000</v>
      </c>
      <c r="AV66" s="33">
        <f t="shared" si="1616"/>
        <v>735000000</v>
      </c>
      <c r="AW66" s="33">
        <f t="shared" si="1616"/>
        <v>705600000</v>
      </c>
      <c r="AX66" s="33">
        <f t="shared" si="1616"/>
        <v>705600000</v>
      </c>
      <c r="AY66" s="33">
        <f t="shared" si="1616"/>
        <v>705600000</v>
      </c>
      <c r="AZ66" s="33">
        <f t="shared" si="1616"/>
        <v>676200000</v>
      </c>
      <c r="BA66" s="33">
        <f t="shared" si="1616"/>
        <v>676200000</v>
      </c>
      <c r="BB66" s="33">
        <f t="shared" si="1616"/>
        <v>676200000</v>
      </c>
      <c r="BC66" s="33">
        <f t="shared" si="1616"/>
        <v>646800000</v>
      </c>
      <c r="BD66" s="33">
        <f t="shared" si="1616"/>
        <v>646800000</v>
      </c>
      <c r="BE66" s="33">
        <f t="shared" si="1616"/>
        <v>646800000</v>
      </c>
      <c r="BF66" s="33">
        <f t="shared" si="1616"/>
        <v>617400000</v>
      </c>
      <c r="BG66" s="33">
        <f t="shared" si="1616"/>
        <v>617400000</v>
      </c>
      <c r="BH66" s="33">
        <f>BH60-BH63</f>
        <v>617400000</v>
      </c>
      <c r="BI66" s="33">
        <f t="shared" si="1616"/>
        <v>588000000</v>
      </c>
      <c r="BJ66" s="33">
        <f t="shared" si="1616"/>
        <v>588000000</v>
      </c>
      <c r="BK66" s="33">
        <f t="shared" si="1616"/>
        <v>588000000</v>
      </c>
      <c r="BL66" s="33">
        <f t="shared" si="1616"/>
        <v>558600000</v>
      </c>
      <c r="BM66" s="33">
        <f t="shared" si="1616"/>
        <v>558600000</v>
      </c>
      <c r="BN66" s="33">
        <f t="shared" si="1616"/>
        <v>558600000</v>
      </c>
      <c r="BO66" s="33">
        <f t="shared" si="1616"/>
        <v>529200000</v>
      </c>
      <c r="BP66" s="33">
        <f t="shared" si="1616"/>
        <v>529200000</v>
      </c>
      <c r="BQ66" s="33">
        <f t="shared" si="1616"/>
        <v>529200000</v>
      </c>
      <c r="BR66" s="33">
        <f t="shared" si="1616"/>
        <v>499800000</v>
      </c>
      <c r="BS66" s="33">
        <f t="shared" si="1616"/>
        <v>499800000</v>
      </c>
      <c r="BT66" s="33">
        <f t="shared" si="1616"/>
        <v>499800000</v>
      </c>
      <c r="BU66" s="33">
        <f t="shared" ref="BU66:CP66" si="1617">BU60-BU63</f>
        <v>470400000</v>
      </c>
      <c r="BV66" s="33">
        <f t="shared" si="1617"/>
        <v>470400000</v>
      </c>
      <c r="BW66" s="33">
        <f t="shared" si="1617"/>
        <v>470400000</v>
      </c>
      <c r="BX66" s="33">
        <f t="shared" si="1617"/>
        <v>441000000</v>
      </c>
      <c r="BY66" s="33">
        <f t="shared" si="1617"/>
        <v>441000000</v>
      </c>
      <c r="BZ66" s="33">
        <f t="shared" si="1617"/>
        <v>441000000</v>
      </c>
      <c r="CA66" s="33">
        <f t="shared" si="1617"/>
        <v>411600000</v>
      </c>
      <c r="CB66" s="33">
        <f t="shared" si="1617"/>
        <v>411600000</v>
      </c>
      <c r="CC66" s="33">
        <f t="shared" si="1617"/>
        <v>411600000</v>
      </c>
      <c r="CD66" s="33">
        <f t="shared" si="1617"/>
        <v>382200000</v>
      </c>
      <c r="CE66" s="33">
        <f t="shared" si="1617"/>
        <v>382200000</v>
      </c>
      <c r="CF66" s="33">
        <f t="shared" si="1617"/>
        <v>382200000</v>
      </c>
      <c r="CG66" s="33">
        <f t="shared" si="1617"/>
        <v>352800000</v>
      </c>
      <c r="CH66" s="33">
        <f t="shared" si="1617"/>
        <v>352800000</v>
      </c>
      <c r="CI66" s="33">
        <f t="shared" si="1617"/>
        <v>352800000</v>
      </c>
      <c r="CJ66" s="33">
        <f t="shared" si="1617"/>
        <v>323400000</v>
      </c>
      <c r="CK66" s="33">
        <f t="shared" si="1617"/>
        <v>323400000</v>
      </c>
      <c r="CL66" s="33">
        <f t="shared" si="1617"/>
        <v>323400000</v>
      </c>
      <c r="CM66" s="33">
        <f t="shared" si="1617"/>
        <v>294000000</v>
      </c>
      <c r="CN66" s="33">
        <f t="shared" si="1617"/>
        <v>294000000</v>
      </c>
      <c r="CO66" s="33">
        <f t="shared" si="1617"/>
        <v>294000000</v>
      </c>
      <c r="CP66" s="33">
        <f t="shared" si="1617"/>
        <v>264600000</v>
      </c>
      <c r="CQ66" s="33">
        <f>CQ60-CQ63</f>
        <v>264600000</v>
      </c>
      <c r="CR66" s="33">
        <f>CR60-CR63</f>
        <v>264600000</v>
      </c>
      <c r="CS66" s="33">
        <f>CS60-CS63</f>
        <v>235200000</v>
      </c>
      <c r="CT66" s="33">
        <f>CT60-CT63</f>
        <v>235200000</v>
      </c>
      <c r="CU66" s="33">
        <f t="shared" ref="CU66:DF66" si="1618">CU60-CU63</f>
        <v>235200000</v>
      </c>
      <c r="CV66" s="33">
        <f t="shared" si="1618"/>
        <v>205800000</v>
      </c>
      <c r="CW66" s="33">
        <f t="shared" si="1618"/>
        <v>205800000</v>
      </c>
      <c r="CX66" s="33">
        <f t="shared" si="1618"/>
        <v>205800000</v>
      </c>
      <c r="CY66" s="33">
        <f t="shared" si="1618"/>
        <v>176400000</v>
      </c>
      <c r="CZ66" s="33">
        <f t="shared" si="1618"/>
        <v>176400000</v>
      </c>
      <c r="DA66" s="33">
        <f t="shared" si="1618"/>
        <v>176400000</v>
      </c>
      <c r="DB66" s="33">
        <f t="shared" si="1618"/>
        <v>147000000</v>
      </c>
      <c r="DC66" s="33">
        <f t="shared" si="1618"/>
        <v>147000000</v>
      </c>
      <c r="DD66" s="33">
        <f t="shared" si="1618"/>
        <v>147000000</v>
      </c>
      <c r="DE66" s="33">
        <f t="shared" si="1618"/>
        <v>117600000</v>
      </c>
      <c r="DF66" s="33">
        <f t="shared" si="1618"/>
        <v>117600000</v>
      </c>
      <c r="DG66" s="33">
        <f>DG60-DG63</f>
        <v>117600000</v>
      </c>
      <c r="DH66" s="33">
        <f t="shared" ref="DH66:DM66" si="1619">DH60-DH63</f>
        <v>88200000</v>
      </c>
      <c r="DI66" s="33">
        <f t="shared" si="1619"/>
        <v>88200000</v>
      </c>
      <c r="DJ66" s="33">
        <f t="shared" si="1619"/>
        <v>88200000</v>
      </c>
      <c r="DK66" s="33">
        <f t="shared" si="1619"/>
        <v>58800000</v>
      </c>
      <c r="DL66" s="33">
        <f t="shared" si="1619"/>
        <v>58800000</v>
      </c>
      <c r="DM66" s="33">
        <f t="shared" si="1619"/>
        <v>58800000</v>
      </c>
      <c r="DN66" s="33">
        <f>DN60-DN63</f>
        <v>29400000</v>
      </c>
      <c r="DO66" s="33">
        <f t="shared" ref="DO66:DP66" si="1620">DO60-DO63</f>
        <v>29400000</v>
      </c>
      <c r="DP66" s="33">
        <f t="shared" si="1620"/>
        <v>29400000</v>
      </c>
      <c r="DQ66" s="33">
        <f>DQ60-DQ63</f>
        <v>0</v>
      </c>
    </row>
    <row r="67" spans="1:123" x14ac:dyDescent="0.25">
      <c r="DO67" s="53"/>
      <c r="DP67" s="53"/>
      <c r="DQ67" s="135">
        <f>+DQ62-SCBL_Loan!AO70</f>
        <v>0</v>
      </c>
      <c r="DR67" s="53"/>
      <c r="DS67" s="53"/>
    </row>
    <row r="68" spans="1:123" x14ac:dyDescent="0.25">
      <c r="DO68" s="53"/>
      <c r="DP68" s="53"/>
      <c r="DQ68" s="53"/>
      <c r="DR68" s="53"/>
      <c r="DS68" s="53"/>
    </row>
    <row r="69" spans="1:123" x14ac:dyDescent="0.25">
      <c r="DO69" s="53"/>
      <c r="DP69" s="53"/>
      <c r="DQ69" s="53"/>
      <c r="DR69" s="53"/>
      <c r="DS69" s="53"/>
    </row>
  </sheetData>
  <phoneticPr fontId="0" type="noConversion"/>
  <pageMargins left="0.75" right="0.75" top="1" bottom="1" header="0.5" footer="0.5"/>
  <pageSetup paperSize="9" orientation="portrait" r:id="rId1"/>
  <headerFooter alignWithMargins="0"/>
  <ignoredErrors>
    <ignoredError sqref="C29:F29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"/>
  <sheetViews>
    <sheetView topLeftCell="A22" zoomScaleNormal="100" workbookViewId="0">
      <selection activeCell="A42" sqref="A42"/>
    </sheetView>
  </sheetViews>
  <sheetFormatPr defaultColWidth="9.140625" defaultRowHeight="13.5" x14ac:dyDescent="0.25"/>
  <cols>
    <col min="1" max="1" width="15" style="53" bestFit="1" customWidth="1"/>
    <col min="2" max="2" width="16.140625" style="53" customWidth="1"/>
    <col min="3" max="3" width="16.28515625" style="53" customWidth="1"/>
    <col min="4" max="4" width="17.7109375" style="53" customWidth="1"/>
    <col min="5" max="5" width="16.5703125" style="53" bestFit="1" customWidth="1"/>
    <col min="6" max="6" width="20.28515625" style="53" bestFit="1" customWidth="1"/>
    <col min="7" max="7" width="16" style="53" bestFit="1" customWidth="1"/>
    <col min="8" max="8" width="14.5703125" style="53" bestFit="1" customWidth="1"/>
    <col min="9" max="11" width="9.140625" style="53"/>
    <col min="12" max="12" width="10" style="53" bestFit="1" customWidth="1"/>
    <col min="13" max="13" width="14" style="53" bestFit="1" customWidth="1"/>
    <col min="14" max="16384" width="9.140625" style="53"/>
  </cols>
  <sheetData>
    <row r="1" spans="1:8" ht="16.5" x14ac:dyDescent="0.3">
      <c r="A1" s="17" t="s">
        <v>0</v>
      </c>
      <c r="B1" s="18"/>
      <c r="C1" s="17" t="str">
        <f>SCBL_Loan!C1</f>
        <v xml:space="preserve">Seven Circle (Bangladesh) Ltd. </v>
      </c>
      <c r="D1" s="18"/>
      <c r="E1" s="18"/>
    </row>
    <row r="2" spans="1:8" ht="16.5" x14ac:dyDescent="0.3">
      <c r="A2" s="17"/>
      <c r="B2" s="18"/>
      <c r="C2" s="18"/>
      <c r="D2" s="18"/>
      <c r="E2" s="18"/>
    </row>
    <row r="3" spans="1:8" ht="15" x14ac:dyDescent="0.3">
      <c r="A3" s="21" t="s">
        <v>4</v>
      </c>
      <c r="B3" s="22"/>
      <c r="C3" s="86">
        <f>SCBL_Loan!C3</f>
        <v>43626</v>
      </c>
      <c r="D3" s="21"/>
      <c r="E3" s="21"/>
    </row>
    <row r="4" spans="1:8" x14ac:dyDescent="0.25">
      <c r="A4" s="22"/>
      <c r="B4" s="22"/>
      <c r="C4" s="22"/>
      <c r="D4" s="22"/>
      <c r="E4" s="22"/>
    </row>
    <row r="5" spans="1:8" ht="15" x14ac:dyDescent="0.3">
      <c r="A5" s="21" t="s">
        <v>2</v>
      </c>
      <c r="B5" s="22"/>
      <c r="C5" s="87">
        <f>SCBL_Loan!C5</f>
        <v>1700000000</v>
      </c>
      <c r="D5" s="21"/>
      <c r="E5" s="22"/>
    </row>
    <row r="6" spans="1:8" ht="15" x14ac:dyDescent="0.3">
      <c r="A6" s="21"/>
      <c r="B6" s="22"/>
      <c r="C6" s="22"/>
      <c r="D6" s="22"/>
      <c r="E6" s="22"/>
    </row>
    <row r="7" spans="1:8" ht="15" x14ac:dyDescent="0.3">
      <c r="A7" s="21" t="s">
        <v>3</v>
      </c>
      <c r="B7" s="22"/>
      <c r="C7" s="89">
        <f>SCBL_Loan!C8</f>
        <v>9.5000000000000001E-2</v>
      </c>
      <c r="D7" s="22"/>
      <c r="E7" s="22"/>
    </row>
    <row r="8" spans="1:8" ht="15" x14ac:dyDescent="0.3">
      <c r="A8" s="90"/>
      <c r="B8" s="22"/>
      <c r="C8" s="91"/>
      <c r="D8" s="88"/>
      <c r="E8" s="22"/>
    </row>
    <row r="9" spans="1:8" ht="15" x14ac:dyDescent="0.3">
      <c r="A9" s="90" t="s">
        <v>47</v>
      </c>
      <c r="B9" s="88"/>
      <c r="C9" s="92">
        <f>SCBL_Loan!C13</f>
        <v>34</v>
      </c>
      <c r="D9" s="22"/>
      <c r="E9" s="22"/>
    </row>
    <row r="10" spans="1:8" ht="15" x14ac:dyDescent="0.3">
      <c r="A10" s="90"/>
      <c r="B10" s="93"/>
      <c r="C10" s="94"/>
      <c r="D10" s="22"/>
      <c r="E10" s="22"/>
    </row>
    <row r="11" spans="1:8" ht="15" x14ac:dyDescent="0.3">
      <c r="A11" s="90" t="s">
        <v>61</v>
      </c>
      <c r="B11" s="93"/>
      <c r="C11" s="94"/>
      <c r="D11" s="22"/>
      <c r="E11" s="22"/>
    </row>
    <row r="12" spans="1:8" ht="15" x14ac:dyDescent="0.3">
      <c r="A12" s="95"/>
      <c r="B12" s="96"/>
      <c r="C12" s="96">
        <f>SCBL_Loan!C16</f>
        <v>43648</v>
      </c>
      <c r="D12" s="96">
        <f>SCBL_Loan!D16</f>
        <v>43648</v>
      </c>
      <c r="E12" s="96">
        <f>SCBL_Loan!E16</f>
        <v>43662</v>
      </c>
      <c r="F12" s="105"/>
    </row>
    <row r="13" spans="1:8" ht="15" x14ac:dyDescent="0.3">
      <c r="A13" s="97"/>
      <c r="B13" s="98"/>
      <c r="C13" s="99">
        <f>SCBL_Loan!C17</f>
        <v>580000000</v>
      </c>
      <c r="D13" s="99">
        <f>SCBL_Loan!D17</f>
        <v>120000000</v>
      </c>
      <c r="E13" s="99">
        <f>SCBL_Loan!E17</f>
        <v>1000000000</v>
      </c>
      <c r="F13" s="105"/>
    </row>
    <row r="14" spans="1:8" ht="15" x14ac:dyDescent="0.3">
      <c r="A14" s="100"/>
      <c r="B14" s="101"/>
      <c r="C14" s="102">
        <f>C13</f>
        <v>580000000</v>
      </c>
      <c r="D14" s="102">
        <f>C14+D13</f>
        <v>700000000</v>
      </c>
      <c r="E14" s="102">
        <f>D14+E13</f>
        <v>1700000000</v>
      </c>
      <c r="F14" s="105"/>
    </row>
    <row r="15" spans="1:8" x14ac:dyDescent="0.25">
      <c r="A15" s="103"/>
      <c r="D15" s="105"/>
      <c r="E15" s="105"/>
      <c r="F15" s="105"/>
    </row>
    <row r="16" spans="1:8" ht="15" x14ac:dyDescent="0.25">
      <c r="A16" s="136" t="str">
        <f t="array" ref="A16:H56">TRANSPOSE(SCBL_Loan!A28:AO35)</f>
        <v>Repayment Date</v>
      </c>
      <c r="B16" s="137" t="str">
        <v>Opening Balance</v>
      </c>
      <c r="C16" s="137" t="str">
        <v>Interest Payment</v>
      </c>
      <c r="D16" s="137" t="str">
        <v>Cumulative interest</v>
      </c>
      <c r="E16" s="137" t="str">
        <v>Principal Payment</v>
      </c>
      <c r="F16" s="137" t="str">
        <v>Cumulative repayment</v>
      </c>
      <c r="G16" s="137" t="str">
        <v>Total Debt Service</v>
      </c>
      <c r="H16" s="137" t="str">
        <v>Closing Balance</v>
      </c>
    </row>
    <row r="17" spans="1:14" x14ac:dyDescent="0.25">
      <c r="A17" s="110">
        <v>43723</v>
      </c>
      <c r="B17" s="104">
        <v>1700000000</v>
      </c>
      <c r="C17" s="104">
        <v>29951388.888888888</v>
      </c>
      <c r="D17" s="104">
        <v>29951388.888888888</v>
      </c>
      <c r="E17" s="104">
        <v>0</v>
      </c>
      <c r="F17" s="104">
        <v>0</v>
      </c>
      <c r="G17" s="104">
        <v>29951388.888888888</v>
      </c>
      <c r="H17" s="104">
        <v>1700000000</v>
      </c>
      <c r="K17" s="147">
        <v>29951388.890000001</v>
      </c>
      <c r="L17" s="148">
        <f>+C17-K17</f>
        <v>-1.1111125349998474E-3</v>
      </c>
      <c r="M17" s="166">
        <v>0</v>
      </c>
      <c r="N17" s="167">
        <f>+M17-E17</f>
        <v>0</v>
      </c>
    </row>
    <row r="18" spans="1:14" x14ac:dyDescent="0.25">
      <c r="A18" s="110">
        <v>43814</v>
      </c>
      <c r="B18" s="104">
        <v>1700000000</v>
      </c>
      <c r="C18" s="104">
        <v>40823611.111111112</v>
      </c>
      <c r="D18" s="104">
        <v>70775000</v>
      </c>
      <c r="E18" s="104">
        <v>0</v>
      </c>
      <c r="F18" s="104">
        <v>0</v>
      </c>
      <c r="G18" s="104">
        <v>40823611.111111112</v>
      </c>
      <c r="H18" s="104">
        <v>1700000000</v>
      </c>
      <c r="K18" s="147">
        <v>40823611.109999999</v>
      </c>
      <c r="L18" s="148">
        <f t="shared" ref="L18:L56" si="0">+C18-K18</f>
        <v>1.1111125349998474E-3</v>
      </c>
      <c r="M18" s="166">
        <v>0</v>
      </c>
      <c r="N18" s="167">
        <f t="shared" ref="N18:N56" si="1">+M18-E18</f>
        <v>0</v>
      </c>
    </row>
    <row r="19" spans="1:14" x14ac:dyDescent="0.25">
      <c r="A19" s="110">
        <v>43905</v>
      </c>
      <c r="B19" s="104">
        <v>1700000000</v>
      </c>
      <c r="C19" s="104">
        <v>40823611.111111112</v>
      </c>
      <c r="D19" s="104">
        <v>111598611.1111111</v>
      </c>
      <c r="E19" s="104">
        <v>0</v>
      </c>
      <c r="F19" s="104">
        <v>0</v>
      </c>
      <c r="G19" s="104">
        <v>40823611.111111112</v>
      </c>
      <c r="H19" s="104">
        <v>1700000000</v>
      </c>
      <c r="K19" s="147">
        <v>40823611.109999999</v>
      </c>
      <c r="L19" s="148">
        <f t="shared" si="0"/>
        <v>1.1111125349998474E-3</v>
      </c>
      <c r="M19" s="166">
        <v>0</v>
      </c>
      <c r="N19" s="167">
        <f t="shared" si="1"/>
        <v>0</v>
      </c>
    </row>
    <row r="20" spans="1:14" x14ac:dyDescent="0.25">
      <c r="A20" s="110">
        <v>43997</v>
      </c>
      <c r="B20" s="104">
        <v>1700000000</v>
      </c>
      <c r="C20" s="104">
        <v>41272222.222222224</v>
      </c>
      <c r="D20" s="104">
        <v>152870833.33333331</v>
      </c>
      <c r="E20" s="104">
        <v>0</v>
      </c>
      <c r="F20" s="104">
        <v>0</v>
      </c>
      <c r="G20" s="104">
        <v>41272222.222222224</v>
      </c>
      <c r="H20" s="104">
        <v>1700000000</v>
      </c>
      <c r="K20" s="147">
        <v>41272222.219999999</v>
      </c>
      <c r="L20" s="148">
        <f t="shared" si="0"/>
        <v>2.2222250699996948E-3</v>
      </c>
      <c r="M20" s="166">
        <v>0</v>
      </c>
      <c r="N20" s="167">
        <f t="shared" si="1"/>
        <v>0</v>
      </c>
    </row>
    <row r="21" spans="1:14" x14ac:dyDescent="0.25">
      <c r="A21" s="110">
        <v>44089</v>
      </c>
      <c r="B21" s="104">
        <v>1700000000</v>
      </c>
      <c r="C21" s="104">
        <v>40493055.555555552</v>
      </c>
      <c r="D21" s="104">
        <v>193363888.88888887</v>
      </c>
      <c r="E21" s="104">
        <v>0</v>
      </c>
      <c r="F21" s="104">
        <v>0</v>
      </c>
      <c r="G21" s="104">
        <v>40493055.555555552</v>
      </c>
      <c r="H21" s="104">
        <v>1700000000</v>
      </c>
      <c r="K21" s="147">
        <v>40493055.560000002</v>
      </c>
      <c r="L21" s="148">
        <f t="shared" si="0"/>
        <v>-4.4444501399993896E-3</v>
      </c>
      <c r="M21" s="166">
        <v>0</v>
      </c>
      <c r="N21" s="167">
        <f t="shared" si="1"/>
        <v>0</v>
      </c>
    </row>
    <row r="22" spans="1:14" x14ac:dyDescent="0.25">
      <c r="A22" s="110">
        <v>44180</v>
      </c>
      <c r="B22" s="104">
        <v>1700000000</v>
      </c>
      <c r="C22" s="104">
        <v>38675000</v>
      </c>
      <c r="D22" s="104">
        <v>232038888.88888887</v>
      </c>
      <c r="E22" s="104">
        <v>0</v>
      </c>
      <c r="F22" s="104">
        <v>0</v>
      </c>
      <c r="G22" s="104">
        <v>38675000</v>
      </c>
      <c r="H22" s="104">
        <v>1700000000</v>
      </c>
      <c r="K22" s="147">
        <v>38675000</v>
      </c>
      <c r="L22" s="148">
        <f t="shared" si="0"/>
        <v>0</v>
      </c>
      <c r="M22" s="166">
        <v>0</v>
      </c>
      <c r="N22" s="167">
        <f t="shared" si="1"/>
        <v>0</v>
      </c>
    </row>
    <row r="23" spans="1:14" x14ac:dyDescent="0.25">
      <c r="A23" s="110">
        <v>44270</v>
      </c>
      <c r="B23" s="104">
        <v>1700000000</v>
      </c>
      <c r="C23" s="104">
        <v>38250000</v>
      </c>
      <c r="D23" s="104">
        <v>270288888.88888884</v>
      </c>
      <c r="E23" s="104">
        <v>50320000</v>
      </c>
      <c r="F23" s="104">
        <v>50320000</v>
      </c>
      <c r="G23" s="104">
        <v>88570000</v>
      </c>
      <c r="H23" s="104">
        <v>1649680000</v>
      </c>
      <c r="K23" s="147">
        <v>38250000</v>
      </c>
      <c r="L23" s="148">
        <f t="shared" si="0"/>
        <v>0</v>
      </c>
      <c r="M23" s="166">
        <v>50320000</v>
      </c>
      <c r="N23" s="167">
        <f t="shared" si="1"/>
        <v>0</v>
      </c>
    </row>
    <row r="24" spans="1:14" x14ac:dyDescent="0.25">
      <c r="A24" s="110">
        <v>44362</v>
      </c>
      <c r="B24" s="104">
        <v>1649680000</v>
      </c>
      <c r="C24" s="104">
        <v>37942640</v>
      </c>
      <c r="D24" s="104">
        <v>308231528.88888884</v>
      </c>
      <c r="E24" s="104">
        <v>50320000</v>
      </c>
      <c r="F24" s="104">
        <v>100640000</v>
      </c>
      <c r="G24" s="104">
        <v>88262640</v>
      </c>
      <c r="H24" s="104">
        <v>1599360000</v>
      </c>
      <c r="K24" s="147">
        <v>37942640</v>
      </c>
      <c r="L24" s="148">
        <f t="shared" si="0"/>
        <v>0</v>
      </c>
      <c r="M24" s="166">
        <v>50320000</v>
      </c>
      <c r="N24" s="167">
        <f t="shared" si="1"/>
        <v>0</v>
      </c>
    </row>
    <row r="25" spans="1:14" x14ac:dyDescent="0.25">
      <c r="A25" s="110">
        <v>44454</v>
      </c>
      <c r="B25" s="104">
        <v>1599360000</v>
      </c>
      <c r="C25" s="104">
        <v>36785280</v>
      </c>
      <c r="D25" s="104">
        <v>345016808.88888884</v>
      </c>
      <c r="E25" s="104">
        <v>49980000</v>
      </c>
      <c r="F25" s="104">
        <v>150620000</v>
      </c>
      <c r="G25" s="104">
        <v>86765280</v>
      </c>
      <c r="H25" s="104">
        <v>1549380000</v>
      </c>
      <c r="K25" s="147">
        <v>36785280</v>
      </c>
      <c r="L25" s="148">
        <f t="shared" si="0"/>
        <v>0</v>
      </c>
      <c r="M25" s="166">
        <v>49980000</v>
      </c>
      <c r="N25" s="167">
        <f t="shared" si="1"/>
        <v>0</v>
      </c>
    </row>
    <row r="26" spans="1:14" x14ac:dyDescent="0.25">
      <c r="A26" s="110">
        <v>44545</v>
      </c>
      <c r="B26" s="104">
        <v>1549380000</v>
      </c>
      <c r="C26" s="104">
        <v>35248395</v>
      </c>
      <c r="D26" s="104">
        <v>380265203.88888884</v>
      </c>
      <c r="E26" s="104">
        <v>49980000</v>
      </c>
      <c r="F26" s="104">
        <v>200600000</v>
      </c>
      <c r="G26" s="104">
        <v>85228395</v>
      </c>
      <c r="H26" s="104">
        <v>1499400000</v>
      </c>
      <c r="K26" s="147">
        <v>35248395</v>
      </c>
      <c r="L26" s="148">
        <f t="shared" si="0"/>
        <v>0</v>
      </c>
      <c r="M26" s="166">
        <v>49980000</v>
      </c>
      <c r="N26" s="167">
        <f t="shared" si="1"/>
        <v>0</v>
      </c>
    </row>
    <row r="27" spans="1:14" x14ac:dyDescent="0.25">
      <c r="A27" s="110">
        <v>44635</v>
      </c>
      <c r="B27" s="104">
        <v>1499400000</v>
      </c>
      <c r="C27" s="104">
        <v>33736500</v>
      </c>
      <c r="D27" s="104">
        <v>414001703.88888884</v>
      </c>
      <c r="E27" s="104">
        <v>49980000</v>
      </c>
      <c r="F27" s="104">
        <v>250580000</v>
      </c>
      <c r="G27" s="104">
        <v>83716500</v>
      </c>
      <c r="H27" s="104">
        <v>1449420000</v>
      </c>
      <c r="K27" s="147">
        <v>33736500</v>
      </c>
      <c r="L27" s="148">
        <f t="shared" si="0"/>
        <v>0</v>
      </c>
      <c r="M27" s="166">
        <v>49980000</v>
      </c>
      <c r="N27" s="167">
        <f t="shared" si="1"/>
        <v>0</v>
      </c>
    </row>
    <row r="28" spans="1:14" x14ac:dyDescent="0.25">
      <c r="A28" s="110">
        <v>44727</v>
      </c>
      <c r="B28" s="104">
        <v>1449420000</v>
      </c>
      <c r="C28" s="104">
        <v>33336660</v>
      </c>
      <c r="D28" s="104">
        <v>447338363.88888884</v>
      </c>
      <c r="E28" s="104">
        <v>49980000</v>
      </c>
      <c r="F28" s="104">
        <v>300560000</v>
      </c>
      <c r="G28" s="104">
        <v>83316660</v>
      </c>
      <c r="H28" s="104">
        <v>1399440000</v>
      </c>
      <c r="K28" s="147">
        <v>33336660</v>
      </c>
      <c r="L28" s="148">
        <f t="shared" si="0"/>
        <v>0</v>
      </c>
      <c r="M28" s="166">
        <v>49980000</v>
      </c>
      <c r="N28" s="167">
        <f t="shared" si="1"/>
        <v>0</v>
      </c>
    </row>
    <row r="29" spans="1:14" x14ac:dyDescent="0.25">
      <c r="A29" s="110">
        <v>44819</v>
      </c>
      <c r="B29" s="104">
        <v>1399440000</v>
      </c>
      <c r="C29" s="104">
        <v>32187120</v>
      </c>
      <c r="D29" s="104">
        <v>479525483.88888884</v>
      </c>
      <c r="E29" s="104">
        <v>49980000</v>
      </c>
      <c r="F29" s="104">
        <v>350540000</v>
      </c>
      <c r="G29" s="104">
        <v>82167120</v>
      </c>
      <c r="H29" s="104">
        <v>1349460000</v>
      </c>
      <c r="K29" s="147">
        <v>32187120</v>
      </c>
      <c r="L29" s="148">
        <f t="shared" si="0"/>
        <v>0</v>
      </c>
      <c r="M29" s="166">
        <v>49980000</v>
      </c>
      <c r="N29" s="167">
        <f t="shared" si="1"/>
        <v>0</v>
      </c>
    </row>
    <row r="30" spans="1:14" x14ac:dyDescent="0.25">
      <c r="A30" s="110">
        <v>44910</v>
      </c>
      <c r="B30" s="104">
        <v>1349460000</v>
      </c>
      <c r="C30" s="104">
        <v>30700215</v>
      </c>
      <c r="D30" s="104">
        <v>510225698.88888884</v>
      </c>
      <c r="E30" s="104">
        <v>49980000</v>
      </c>
      <c r="F30" s="104">
        <v>400520000</v>
      </c>
      <c r="G30" s="104">
        <v>80680215</v>
      </c>
      <c r="H30" s="104">
        <v>1299480000</v>
      </c>
      <c r="K30" s="147">
        <v>30700215</v>
      </c>
      <c r="L30" s="148">
        <f t="shared" si="0"/>
        <v>0</v>
      </c>
      <c r="M30" s="166">
        <v>49980000</v>
      </c>
      <c r="N30" s="167">
        <f t="shared" si="1"/>
        <v>0</v>
      </c>
    </row>
    <row r="31" spans="1:14" x14ac:dyDescent="0.25">
      <c r="A31" s="110">
        <v>45000</v>
      </c>
      <c r="B31" s="104">
        <v>1299480000</v>
      </c>
      <c r="C31" s="104">
        <v>29238300</v>
      </c>
      <c r="D31" s="104">
        <v>539463998.88888884</v>
      </c>
      <c r="E31" s="104">
        <v>49980000</v>
      </c>
      <c r="F31" s="104">
        <v>450500000</v>
      </c>
      <c r="G31" s="104">
        <v>79218300</v>
      </c>
      <c r="H31" s="104">
        <v>1249500000</v>
      </c>
      <c r="K31" s="147">
        <v>29238300</v>
      </c>
      <c r="L31" s="148">
        <f t="shared" si="0"/>
        <v>0</v>
      </c>
      <c r="M31" s="166">
        <v>49980000</v>
      </c>
      <c r="N31" s="167">
        <f t="shared" si="1"/>
        <v>0</v>
      </c>
    </row>
    <row r="32" spans="1:14" x14ac:dyDescent="0.25">
      <c r="A32" s="110">
        <v>45092</v>
      </c>
      <c r="B32" s="104">
        <v>1249500000</v>
      </c>
      <c r="C32" s="104">
        <v>28738500</v>
      </c>
      <c r="D32" s="104">
        <v>568202498.88888884</v>
      </c>
      <c r="E32" s="104">
        <v>49980000</v>
      </c>
      <c r="F32" s="104">
        <v>500480000</v>
      </c>
      <c r="G32" s="104">
        <v>78718500</v>
      </c>
      <c r="H32" s="104">
        <v>1199520000</v>
      </c>
      <c r="K32" s="147">
        <v>28738500</v>
      </c>
      <c r="L32" s="148">
        <f t="shared" si="0"/>
        <v>0</v>
      </c>
      <c r="M32" s="166">
        <v>49980000</v>
      </c>
      <c r="N32" s="167">
        <f t="shared" si="1"/>
        <v>0</v>
      </c>
    </row>
    <row r="33" spans="1:14" x14ac:dyDescent="0.25">
      <c r="A33" s="110">
        <v>45183</v>
      </c>
      <c r="B33" s="104">
        <v>1199520000</v>
      </c>
      <c r="C33" s="104">
        <v>27289080</v>
      </c>
      <c r="D33" s="104">
        <v>595491578.88888884</v>
      </c>
      <c r="E33" s="104">
        <v>49980000</v>
      </c>
      <c r="F33" s="104">
        <v>550460000</v>
      </c>
      <c r="G33" s="104">
        <v>77269080</v>
      </c>
      <c r="H33" s="104">
        <v>1149540000</v>
      </c>
      <c r="K33" s="147">
        <v>27289080</v>
      </c>
      <c r="L33" s="148">
        <f t="shared" si="0"/>
        <v>0</v>
      </c>
      <c r="M33" s="166">
        <v>49980000</v>
      </c>
      <c r="N33" s="167">
        <f t="shared" si="1"/>
        <v>0</v>
      </c>
    </row>
    <row r="34" spans="1:14" x14ac:dyDescent="0.25">
      <c r="A34" s="110">
        <v>45274</v>
      </c>
      <c r="B34" s="104">
        <v>1149540000</v>
      </c>
      <c r="C34" s="104">
        <v>26152035</v>
      </c>
      <c r="D34" s="104">
        <v>621643613.88888884</v>
      </c>
      <c r="E34" s="104">
        <v>49980000</v>
      </c>
      <c r="F34" s="104">
        <v>600440000</v>
      </c>
      <c r="G34" s="104">
        <v>76132035</v>
      </c>
      <c r="H34" s="104">
        <v>1099560000</v>
      </c>
      <c r="K34" s="147">
        <v>26152035</v>
      </c>
      <c r="L34" s="148">
        <f t="shared" si="0"/>
        <v>0</v>
      </c>
      <c r="M34" s="166">
        <v>49980000</v>
      </c>
      <c r="N34" s="167">
        <f t="shared" si="1"/>
        <v>0</v>
      </c>
    </row>
    <row r="35" spans="1:14" x14ac:dyDescent="0.25">
      <c r="A35" s="110">
        <v>45365</v>
      </c>
      <c r="B35" s="104">
        <v>1099560000</v>
      </c>
      <c r="C35" s="104">
        <v>25014990</v>
      </c>
      <c r="D35" s="104">
        <v>646658603.88888884</v>
      </c>
      <c r="E35" s="104">
        <v>49980000</v>
      </c>
      <c r="F35" s="104">
        <v>650420000</v>
      </c>
      <c r="G35" s="104">
        <v>74994990</v>
      </c>
      <c r="H35" s="104">
        <v>1049580000</v>
      </c>
      <c r="K35" s="147">
        <v>25014990</v>
      </c>
      <c r="L35" s="148">
        <f t="shared" si="0"/>
        <v>0</v>
      </c>
      <c r="M35" s="166">
        <v>49980000</v>
      </c>
      <c r="N35" s="167">
        <f t="shared" si="1"/>
        <v>0</v>
      </c>
    </row>
    <row r="36" spans="1:14" x14ac:dyDescent="0.25">
      <c r="A36" s="110">
        <v>45456</v>
      </c>
      <c r="B36" s="104">
        <v>1049580000</v>
      </c>
      <c r="C36" s="104">
        <v>23877945</v>
      </c>
      <c r="D36" s="104">
        <v>670536548.88888884</v>
      </c>
      <c r="E36" s="104">
        <v>49980000</v>
      </c>
      <c r="F36" s="104">
        <v>700400000</v>
      </c>
      <c r="G36" s="104">
        <v>73857945</v>
      </c>
      <c r="H36" s="104">
        <v>999600000</v>
      </c>
      <c r="K36" s="147">
        <v>23877945</v>
      </c>
      <c r="L36" s="148">
        <f t="shared" si="0"/>
        <v>0</v>
      </c>
      <c r="M36" s="166">
        <v>49980000</v>
      </c>
      <c r="N36" s="167">
        <f t="shared" si="1"/>
        <v>0</v>
      </c>
    </row>
    <row r="37" spans="1:14" x14ac:dyDescent="0.25">
      <c r="A37" s="110">
        <v>45550</v>
      </c>
      <c r="B37" s="104">
        <v>999600000</v>
      </c>
      <c r="C37" s="104">
        <v>23490600</v>
      </c>
      <c r="D37" s="104">
        <v>694027148.88888884</v>
      </c>
      <c r="E37" s="104">
        <v>49980000</v>
      </c>
      <c r="F37" s="104">
        <v>750380000</v>
      </c>
      <c r="G37" s="104">
        <v>73470600</v>
      </c>
      <c r="H37" s="104">
        <v>949620000</v>
      </c>
      <c r="K37" s="147">
        <v>23490600</v>
      </c>
      <c r="L37" s="148">
        <f t="shared" si="0"/>
        <v>0</v>
      </c>
      <c r="M37" s="166">
        <v>49980000</v>
      </c>
      <c r="N37" s="167">
        <f t="shared" si="1"/>
        <v>0</v>
      </c>
    </row>
    <row r="38" spans="1:14" x14ac:dyDescent="0.25">
      <c r="A38" s="110">
        <v>45641</v>
      </c>
      <c r="B38" s="104">
        <v>949620000</v>
      </c>
      <c r="C38" s="104">
        <v>21603855</v>
      </c>
      <c r="D38" s="104">
        <v>715631003.88888884</v>
      </c>
      <c r="E38" s="104">
        <v>49980000</v>
      </c>
      <c r="F38" s="104">
        <v>800360000</v>
      </c>
      <c r="G38" s="104">
        <v>71583855</v>
      </c>
      <c r="H38" s="104">
        <v>899640000</v>
      </c>
      <c r="K38" s="147">
        <v>21603855</v>
      </c>
      <c r="L38" s="148">
        <f t="shared" si="0"/>
        <v>0</v>
      </c>
      <c r="M38" s="166">
        <v>49980000</v>
      </c>
      <c r="N38" s="167">
        <f t="shared" si="1"/>
        <v>0</v>
      </c>
    </row>
    <row r="39" spans="1:14" x14ac:dyDescent="0.25">
      <c r="A39" s="110">
        <v>45729</v>
      </c>
      <c r="B39" s="104">
        <v>899640000</v>
      </c>
      <c r="C39" s="104">
        <v>19792080</v>
      </c>
      <c r="D39" s="104">
        <v>735423083.88888884</v>
      </c>
      <c r="E39" s="104">
        <v>49980000</v>
      </c>
      <c r="F39" s="104">
        <v>850340000</v>
      </c>
      <c r="G39" s="104">
        <v>69772080</v>
      </c>
      <c r="H39" s="104">
        <v>849660000</v>
      </c>
      <c r="K39" s="147">
        <v>19792080</v>
      </c>
      <c r="L39" s="148">
        <f t="shared" si="0"/>
        <v>0</v>
      </c>
      <c r="M39" s="166">
        <v>49980000</v>
      </c>
      <c r="N39" s="167">
        <f t="shared" si="1"/>
        <v>0</v>
      </c>
    </row>
    <row r="40" spans="1:14" x14ac:dyDescent="0.25">
      <c r="A40" s="110">
        <v>45823</v>
      </c>
      <c r="B40" s="104">
        <v>849660000</v>
      </c>
      <c r="C40" s="104">
        <v>19967010</v>
      </c>
      <c r="D40" s="104">
        <v>755390093.88888884</v>
      </c>
      <c r="E40" s="104">
        <v>49980000</v>
      </c>
      <c r="F40" s="104">
        <v>900320000</v>
      </c>
      <c r="G40" s="104">
        <v>69947010</v>
      </c>
      <c r="H40" s="104">
        <v>799680000</v>
      </c>
      <c r="K40" s="147">
        <v>19967010</v>
      </c>
      <c r="L40" s="148">
        <f t="shared" si="0"/>
        <v>0</v>
      </c>
      <c r="M40" s="166">
        <v>49980000</v>
      </c>
      <c r="N40" s="167">
        <f t="shared" si="1"/>
        <v>0</v>
      </c>
    </row>
    <row r="41" spans="1:14" x14ac:dyDescent="0.25">
      <c r="A41" s="110">
        <v>45915</v>
      </c>
      <c r="B41" s="104">
        <v>799680000</v>
      </c>
      <c r="C41" s="104">
        <v>18392640</v>
      </c>
      <c r="D41" s="104">
        <v>773782733.88888884</v>
      </c>
      <c r="E41" s="104">
        <v>49980000</v>
      </c>
      <c r="F41" s="104">
        <v>950300000</v>
      </c>
      <c r="G41" s="104">
        <v>68372640</v>
      </c>
      <c r="H41" s="104">
        <v>749700000</v>
      </c>
      <c r="K41" s="147">
        <v>18392640</v>
      </c>
      <c r="L41" s="148">
        <f t="shared" si="0"/>
        <v>0</v>
      </c>
      <c r="M41" s="166">
        <v>49980000</v>
      </c>
      <c r="N41" s="167">
        <f t="shared" si="1"/>
        <v>0</v>
      </c>
    </row>
    <row r="42" spans="1:14" x14ac:dyDescent="0.25">
      <c r="A42" s="110">
        <v>46006</v>
      </c>
      <c r="B42" s="104">
        <v>749700000</v>
      </c>
      <c r="C42" s="104">
        <v>17055675</v>
      </c>
      <c r="D42" s="104">
        <v>790838408.88888884</v>
      </c>
      <c r="E42" s="104">
        <v>49980000</v>
      </c>
      <c r="F42" s="104">
        <v>1000280000</v>
      </c>
      <c r="G42" s="104">
        <v>67035675</v>
      </c>
      <c r="H42" s="104">
        <v>699720000</v>
      </c>
      <c r="K42" s="147">
        <v>17055675</v>
      </c>
      <c r="L42" s="148">
        <f t="shared" si="0"/>
        <v>0</v>
      </c>
      <c r="M42" s="166">
        <v>49980000</v>
      </c>
      <c r="N42" s="167">
        <f t="shared" si="1"/>
        <v>0</v>
      </c>
    </row>
    <row r="43" spans="1:14" x14ac:dyDescent="0.25">
      <c r="A43" s="110">
        <v>46096</v>
      </c>
      <c r="B43" s="104">
        <v>699720000</v>
      </c>
      <c r="C43" s="104">
        <v>15743700</v>
      </c>
      <c r="D43" s="104">
        <v>806582108.88888884</v>
      </c>
      <c r="E43" s="104">
        <v>49980000</v>
      </c>
      <c r="F43" s="104">
        <v>1050260000</v>
      </c>
      <c r="G43" s="104">
        <v>65723700</v>
      </c>
      <c r="H43" s="104">
        <v>649740000</v>
      </c>
      <c r="K43" s="147">
        <v>15743700</v>
      </c>
      <c r="L43" s="148">
        <f t="shared" si="0"/>
        <v>0</v>
      </c>
      <c r="M43" s="166">
        <v>49980000</v>
      </c>
      <c r="N43" s="167">
        <f t="shared" si="1"/>
        <v>0</v>
      </c>
    </row>
    <row r="44" spans="1:14" x14ac:dyDescent="0.25">
      <c r="A44" s="110">
        <v>46188</v>
      </c>
      <c r="B44" s="104">
        <v>649740000</v>
      </c>
      <c r="C44" s="104">
        <v>14944020</v>
      </c>
      <c r="D44" s="104">
        <v>821526128.88888884</v>
      </c>
      <c r="E44" s="104">
        <v>49980000</v>
      </c>
      <c r="F44" s="104">
        <v>1100240000</v>
      </c>
      <c r="G44" s="104">
        <v>64924020</v>
      </c>
      <c r="H44" s="104">
        <v>599760000</v>
      </c>
      <c r="K44" s="147">
        <v>14944020</v>
      </c>
      <c r="L44" s="148">
        <f t="shared" si="0"/>
        <v>0</v>
      </c>
      <c r="M44" s="166">
        <v>49980000</v>
      </c>
      <c r="N44" s="167">
        <f t="shared" si="1"/>
        <v>0</v>
      </c>
    </row>
    <row r="45" spans="1:14" x14ac:dyDescent="0.25">
      <c r="A45" s="110">
        <v>46280</v>
      </c>
      <c r="B45" s="104">
        <v>599760000</v>
      </c>
      <c r="C45" s="104">
        <v>13794480</v>
      </c>
      <c r="D45" s="104">
        <v>835320608.88888884</v>
      </c>
      <c r="E45" s="104">
        <v>49980000</v>
      </c>
      <c r="F45" s="104">
        <v>1150220000</v>
      </c>
      <c r="G45" s="104">
        <v>63774480</v>
      </c>
      <c r="H45" s="104">
        <v>549780000</v>
      </c>
      <c r="K45" s="147">
        <v>13794480</v>
      </c>
      <c r="L45" s="148">
        <f t="shared" si="0"/>
        <v>0</v>
      </c>
      <c r="M45" s="166">
        <v>49980000</v>
      </c>
      <c r="N45" s="167">
        <f t="shared" si="1"/>
        <v>0</v>
      </c>
    </row>
    <row r="46" spans="1:14" x14ac:dyDescent="0.25">
      <c r="A46" s="110">
        <v>46371</v>
      </c>
      <c r="B46" s="104">
        <v>549780000</v>
      </c>
      <c r="C46" s="104">
        <v>12507495</v>
      </c>
      <c r="D46" s="104">
        <v>847828103.88888884</v>
      </c>
      <c r="E46" s="104">
        <v>49980000</v>
      </c>
      <c r="F46" s="104">
        <v>1200200000</v>
      </c>
      <c r="G46" s="104">
        <v>62487495</v>
      </c>
      <c r="H46" s="104">
        <v>499800000</v>
      </c>
      <c r="K46" s="147">
        <v>12507495</v>
      </c>
      <c r="L46" s="148">
        <f t="shared" si="0"/>
        <v>0</v>
      </c>
      <c r="M46" s="166">
        <v>49980000</v>
      </c>
      <c r="N46" s="167">
        <f t="shared" si="1"/>
        <v>0</v>
      </c>
    </row>
    <row r="47" spans="1:14" x14ac:dyDescent="0.25">
      <c r="A47" s="110">
        <v>46461</v>
      </c>
      <c r="B47" s="104">
        <v>499800000</v>
      </c>
      <c r="C47" s="104">
        <v>11245500</v>
      </c>
      <c r="D47" s="104">
        <v>859073603.88888884</v>
      </c>
      <c r="E47" s="104">
        <v>49980000</v>
      </c>
      <c r="F47" s="104">
        <v>1250180000</v>
      </c>
      <c r="G47" s="104">
        <v>61225500</v>
      </c>
      <c r="H47" s="104">
        <v>449820000</v>
      </c>
      <c r="K47" s="147">
        <v>11245500</v>
      </c>
      <c r="L47" s="148">
        <f t="shared" si="0"/>
        <v>0</v>
      </c>
      <c r="M47" s="166">
        <v>49980000</v>
      </c>
      <c r="N47" s="167">
        <f t="shared" si="1"/>
        <v>0</v>
      </c>
    </row>
    <row r="48" spans="1:14" x14ac:dyDescent="0.25">
      <c r="A48" s="110">
        <v>46553</v>
      </c>
      <c r="B48" s="104">
        <v>449820000</v>
      </c>
      <c r="C48" s="104">
        <v>10345860</v>
      </c>
      <c r="D48" s="104">
        <v>869419463.88888884</v>
      </c>
      <c r="E48" s="104">
        <v>49980000</v>
      </c>
      <c r="F48" s="104">
        <v>1300160000</v>
      </c>
      <c r="G48" s="104">
        <v>60325860</v>
      </c>
      <c r="H48" s="104">
        <v>399840000</v>
      </c>
      <c r="K48" s="147">
        <v>10345860</v>
      </c>
      <c r="L48" s="148">
        <f t="shared" si="0"/>
        <v>0</v>
      </c>
      <c r="M48" s="166">
        <v>49980000</v>
      </c>
      <c r="N48" s="167">
        <f t="shared" si="1"/>
        <v>0</v>
      </c>
    </row>
    <row r="49" spans="1:14" x14ac:dyDescent="0.25">
      <c r="A49" s="110">
        <v>46645</v>
      </c>
      <c r="B49" s="104">
        <v>399840000</v>
      </c>
      <c r="C49" s="104">
        <v>9196320</v>
      </c>
      <c r="D49" s="104">
        <v>878615783.88888884</v>
      </c>
      <c r="E49" s="104">
        <v>49980000</v>
      </c>
      <c r="F49" s="104">
        <v>1350140000</v>
      </c>
      <c r="G49" s="104">
        <v>59176320</v>
      </c>
      <c r="H49" s="104">
        <v>349860000</v>
      </c>
      <c r="K49" s="147">
        <v>9196320</v>
      </c>
      <c r="L49" s="148">
        <f t="shared" si="0"/>
        <v>0</v>
      </c>
      <c r="M49" s="166">
        <v>49980000</v>
      </c>
      <c r="N49" s="167">
        <f t="shared" si="1"/>
        <v>0</v>
      </c>
    </row>
    <row r="50" spans="1:14" x14ac:dyDescent="0.25">
      <c r="A50" s="110">
        <v>46736</v>
      </c>
      <c r="B50" s="104">
        <v>349860000</v>
      </c>
      <c r="C50" s="104">
        <v>7959315</v>
      </c>
      <c r="D50" s="104">
        <v>886575098.88888884</v>
      </c>
      <c r="E50" s="104">
        <v>49980000</v>
      </c>
      <c r="F50" s="104">
        <v>1400120000</v>
      </c>
      <c r="G50" s="104">
        <v>57939315</v>
      </c>
      <c r="H50" s="104">
        <v>299880000</v>
      </c>
      <c r="K50" s="147">
        <v>7959315</v>
      </c>
      <c r="L50" s="148">
        <f t="shared" si="0"/>
        <v>0</v>
      </c>
      <c r="M50" s="166">
        <v>49980000</v>
      </c>
      <c r="N50" s="167">
        <f t="shared" si="1"/>
        <v>0</v>
      </c>
    </row>
    <row r="51" spans="1:14" x14ac:dyDescent="0.25">
      <c r="A51" s="110">
        <v>46827</v>
      </c>
      <c r="B51" s="104">
        <v>299880000</v>
      </c>
      <c r="C51" s="104">
        <v>6822270</v>
      </c>
      <c r="D51" s="104">
        <v>893397368.88888884</v>
      </c>
      <c r="E51" s="104">
        <v>49980000</v>
      </c>
      <c r="F51" s="104">
        <v>1450100000</v>
      </c>
      <c r="G51" s="104">
        <v>56802270</v>
      </c>
      <c r="H51" s="104">
        <v>249900000</v>
      </c>
      <c r="K51" s="147">
        <v>6822270</v>
      </c>
      <c r="L51" s="148">
        <f t="shared" si="0"/>
        <v>0</v>
      </c>
      <c r="M51" s="166">
        <v>49980000</v>
      </c>
      <c r="N51" s="167">
        <f t="shared" si="1"/>
        <v>0</v>
      </c>
    </row>
    <row r="52" spans="1:14" x14ac:dyDescent="0.25">
      <c r="A52" s="110">
        <v>46919</v>
      </c>
      <c r="B52" s="104">
        <v>249900000</v>
      </c>
      <c r="C52" s="104">
        <v>5747700</v>
      </c>
      <c r="D52" s="104">
        <v>899145068.88888884</v>
      </c>
      <c r="E52" s="104">
        <v>49980000</v>
      </c>
      <c r="F52" s="104">
        <v>1500080000</v>
      </c>
      <c r="G52" s="104">
        <v>55727700</v>
      </c>
      <c r="H52" s="104">
        <v>199920000</v>
      </c>
      <c r="K52" s="147">
        <v>5747700</v>
      </c>
      <c r="L52" s="148">
        <f t="shared" si="0"/>
        <v>0</v>
      </c>
      <c r="M52" s="166">
        <v>49980000</v>
      </c>
      <c r="N52" s="167">
        <f t="shared" si="1"/>
        <v>0</v>
      </c>
    </row>
    <row r="53" spans="1:14" x14ac:dyDescent="0.25">
      <c r="A53" s="110">
        <v>47010</v>
      </c>
      <c r="B53" s="104">
        <v>199920000</v>
      </c>
      <c r="C53" s="104">
        <v>4548180</v>
      </c>
      <c r="D53" s="104">
        <v>903693248.88888884</v>
      </c>
      <c r="E53" s="104">
        <v>49980000</v>
      </c>
      <c r="F53" s="104">
        <v>1550060000</v>
      </c>
      <c r="G53" s="104">
        <v>54528180</v>
      </c>
      <c r="H53" s="104">
        <v>149940000</v>
      </c>
      <c r="K53" s="147">
        <v>4548180</v>
      </c>
      <c r="L53" s="148">
        <f t="shared" si="0"/>
        <v>0</v>
      </c>
      <c r="M53" s="166">
        <v>49980000</v>
      </c>
      <c r="N53" s="167">
        <f t="shared" si="1"/>
        <v>0</v>
      </c>
    </row>
    <row r="54" spans="1:14" x14ac:dyDescent="0.25">
      <c r="A54" s="110">
        <v>47101</v>
      </c>
      <c r="B54" s="104">
        <v>149940000</v>
      </c>
      <c r="C54" s="104">
        <v>3411135</v>
      </c>
      <c r="D54" s="104">
        <v>907104383.88888884</v>
      </c>
      <c r="E54" s="104">
        <v>49980000</v>
      </c>
      <c r="F54" s="104">
        <v>1600040000</v>
      </c>
      <c r="G54" s="104">
        <v>53391135</v>
      </c>
      <c r="H54" s="104">
        <v>99960000</v>
      </c>
      <c r="K54" s="147">
        <v>3411135</v>
      </c>
      <c r="L54" s="148">
        <f t="shared" si="0"/>
        <v>0</v>
      </c>
      <c r="M54" s="166">
        <v>49980000</v>
      </c>
      <c r="N54" s="167">
        <f t="shared" si="1"/>
        <v>0</v>
      </c>
    </row>
    <row r="55" spans="1:14" x14ac:dyDescent="0.25">
      <c r="A55" s="110">
        <v>47192</v>
      </c>
      <c r="B55" s="104">
        <v>99960000</v>
      </c>
      <c r="C55" s="104">
        <v>2274090</v>
      </c>
      <c r="D55" s="104">
        <v>909378473.88888884</v>
      </c>
      <c r="E55" s="104">
        <v>49980000</v>
      </c>
      <c r="F55" s="104">
        <v>1650020000</v>
      </c>
      <c r="G55" s="104">
        <v>52254090</v>
      </c>
      <c r="H55" s="104">
        <v>49980000</v>
      </c>
      <c r="K55" s="147">
        <v>2274090</v>
      </c>
      <c r="L55" s="148">
        <f t="shared" si="0"/>
        <v>0</v>
      </c>
      <c r="M55" s="166">
        <v>49980000</v>
      </c>
      <c r="N55" s="167">
        <f t="shared" si="1"/>
        <v>0</v>
      </c>
    </row>
    <row r="56" spans="1:14" x14ac:dyDescent="0.25">
      <c r="A56" s="110">
        <v>47283</v>
      </c>
      <c r="B56" s="104">
        <v>49980000</v>
      </c>
      <c r="C56" s="104">
        <v>1137045</v>
      </c>
      <c r="D56" s="104">
        <v>910515518.88888884</v>
      </c>
      <c r="E56" s="104">
        <v>49980000</v>
      </c>
      <c r="F56" s="104">
        <v>1700000000</v>
      </c>
      <c r="G56" s="104">
        <v>51117045</v>
      </c>
      <c r="H56" s="104">
        <v>0</v>
      </c>
      <c r="K56" s="147">
        <v>1137045</v>
      </c>
      <c r="L56" s="148">
        <f t="shared" si="0"/>
        <v>0</v>
      </c>
      <c r="M56" s="166">
        <v>49980000</v>
      </c>
      <c r="N56" s="167">
        <f t="shared" si="1"/>
        <v>0</v>
      </c>
    </row>
    <row r="57" spans="1:14" x14ac:dyDescent="0.25">
      <c r="A57" s="121"/>
      <c r="B57" s="122"/>
      <c r="C57" s="122"/>
      <c r="D57" s="122"/>
      <c r="E57" s="122"/>
      <c r="F57" s="122"/>
      <c r="G57" s="122"/>
      <c r="H57" s="122"/>
    </row>
    <row r="58" spans="1:14" x14ac:dyDescent="0.25">
      <c r="A58" s="121"/>
      <c r="B58" s="122"/>
      <c r="C58" s="122"/>
      <c r="D58" s="122"/>
      <c r="E58" s="122"/>
      <c r="F58" s="122"/>
      <c r="G58" s="122"/>
      <c r="H58" s="122"/>
    </row>
    <row r="59" spans="1:14" x14ac:dyDescent="0.25">
      <c r="A59" s="121"/>
      <c r="B59" s="122"/>
      <c r="C59" s="122"/>
      <c r="D59" s="122"/>
      <c r="E59" s="122"/>
      <c r="F59" s="122"/>
      <c r="G59" s="122"/>
      <c r="H59" s="122"/>
    </row>
    <row r="60" spans="1:14" x14ac:dyDescent="0.25">
      <c r="A60" s="121"/>
      <c r="B60" s="122"/>
      <c r="C60" s="122"/>
      <c r="D60" s="122"/>
      <c r="E60" s="122"/>
      <c r="F60" s="122"/>
      <c r="G60" s="122"/>
      <c r="H60" s="122"/>
    </row>
    <row r="61" spans="1:14" x14ac:dyDescent="0.25">
      <c r="A61" s="121"/>
      <c r="B61" s="122"/>
      <c r="C61" s="122"/>
      <c r="D61" s="122"/>
      <c r="E61" s="122"/>
      <c r="F61" s="122"/>
      <c r="G61" s="122"/>
      <c r="H61" s="122"/>
    </row>
    <row r="62" spans="1:14" x14ac:dyDescent="0.25">
      <c r="A62" s="121"/>
      <c r="B62" s="122"/>
      <c r="C62" s="122"/>
      <c r="D62" s="122"/>
      <c r="E62" s="122"/>
      <c r="F62" s="122"/>
      <c r="G62" s="122"/>
      <c r="H62" s="122"/>
    </row>
    <row r="63" spans="1:14" x14ac:dyDescent="0.25">
      <c r="A63" s="121"/>
      <c r="B63" s="122"/>
      <c r="C63" s="122"/>
      <c r="D63" s="122"/>
      <c r="E63" s="122"/>
      <c r="F63" s="122"/>
      <c r="G63" s="122"/>
      <c r="H63" s="122"/>
    </row>
    <row r="64" spans="1:14" x14ac:dyDescent="0.25">
      <c r="A64" s="121"/>
      <c r="B64" s="122"/>
      <c r="C64" s="122"/>
      <c r="D64" s="122"/>
      <c r="E64" s="122"/>
      <c r="F64" s="122"/>
      <c r="G64" s="122"/>
      <c r="H64" s="122"/>
    </row>
    <row r="65" spans="1:8" x14ac:dyDescent="0.25">
      <c r="A65" s="121"/>
      <c r="B65" s="122"/>
      <c r="C65" s="122"/>
      <c r="D65" s="122"/>
      <c r="E65" s="122"/>
      <c r="F65" s="122"/>
      <c r="G65" s="122"/>
      <c r="H65" s="122"/>
    </row>
    <row r="66" spans="1:8" x14ac:dyDescent="0.25">
      <c r="A66" s="121"/>
      <c r="B66" s="122"/>
      <c r="C66" s="122"/>
      <c r="D66" s="122"/>
      <c r="E66" s="122"/>
      <c r="F66" s="122"/>
      <c r="G66" s="122"/>
      <c r="H66" s="122"/>
    </row>
    <row r="67" spans="1:8" x14ac:dyDescent="0.25">
      <c r="A67" s="121"/>
      <c r="B67" s="122"/>
      <c r="C67" s="122"/>
      <c r="D67" s="122"/>
      <c r="E67" s="122"/>
      <c r="F67" s="122"/>
      <c r="G67" s="122"/>
      <c r="H67" s="122"/>
    </row>
    <row r="68" spans="1:8" x14ac:dyDescent="0.25">
      <c r="A68" s="121"/>
      <c r="B68" s="122"/>
      <c r="C68" s="122"/>
      <c r="D68" s="122"/>
      <c r="E68" s="122"/>
      <c r="F68" s="122"/>
      <c r="G68" s="122"/>
      <c r="H68" s="122"/>
    </row>
    <row r="69" spans="1:8" x14ac:dyDescent="0.25">
      <c r="A69" s="121"/>
      <c r="B69" s="122"/>
      <c r="C69" s="122"/>
      <c r="D69" s="122"/>
      <c r="E69" s="122"/>
      <c r="F69" s="122"/>
      <c r="G69" s="122"/>
      <c r="H69" s="122"/>
    </row>
    <row r="70" spans="1:8" x14ac:dyDescent="0.25">
      <c r="A70" s="121"/>
      <c r="B70" s="122"/>
      <c r="C70" s="122"/>
      <c r="D70" s="122"/>
      <c r="E70" s="122"/>
      <c r="F70" s="122"/>
      <c r="G70" s="122"/>
      <c r="H70" s="122"/>
    </row>
    <row r="71" spans="1:8" x14ac:dyDescent="0.25">
      <c r="A71" s="121"/>
      <c r="B71" s="122"/>
      <c r="C71" s="122"/>
      <c r="D71" s="122"/>
      <c r="E71" s="122"/>
      <c r="F71" s="122"/>
      <c r="G71" s="122"/>
      <c r="H71" s="122"/>
    </row>
    <row r="72" spans="1:8" x14ac:dyDescent="0.25">
      <c r="A72" s="121"/>
      <c r="B72" s="122"/>
      <c r="C72" s="122"/>
      <c r="D72" s="122"/>
      <c r="E72" s="122"/>
      <c r="F72" s="122"/>
      <c r="G72" s="122"/>
      <c r="H72" s="122"/>
    </row>
    <row r="73" spans="1:8" x14ac:dyDescent="0.25">
      <c r="A73" s="121"/>
      <c r="B73" s="122"/>
      <c r="C73" s="122"/>
      <c r="D73" s="122"/>
      <c r="E73" s="122"/>
      <c r="F73" s="122"/>
      <c r="G73" s="122"/>
      <c r="H73" s="122"/>
    </row>
    <row r="74" spans="1:8" x14ac:dyDescent="0.25">
      <c r="A74" s="121"/>
      <c r="B74" s="122"/>
      <c r="C74" s="122"/>
      <c r="D74" s="122"/>
      <c r="E74" s="122"/>
      <c r="F74" s="122"/>
      <c r="G74" s="122"/>
      <c r="H74" s="122"/>
    </row>
    <row r="75" spans="1:8" x14ac:dyDescent="0.25">
      <c r="A75" s="121"/>
      <c r="B75" s="122"/>
      <c r="C75" s="122"/>
      <c r="D75" s="122"/>
      <c r="E75" s="122"/>
      <c r="F75" s="122"/>
      <c r="G75" s="122"/>
      <c r="H75" s="122"/>
    </row>
    <row r="76" spans="1:8" x14ac:dyDescent="0.25">
      <c r="A76" s="121"/>
      <c r="B76" s="122"/>
      <c r="C76" s="122"/>
      <c r="D76" s="122"/>
      <c r="E76" s="122"/>
      <c r="F76" s="122"/>
      <c r="G76" s="122"/>
      <c r="H76" s="122"/>
    </row>
  </sheetData>
  <pageMargins left="0.7" right="0.22" top="0.21" bottom="0.17" header="0.3" footer="0.3"/>
  <pageSetup scale="9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Disbursement</vt:lpstr>
      <vt:lpstr>Summary</vt:lpstr>
      <vt:lpstr>SCBL_Loan</vt:lpstr>
      <vt:lpstr>Accrual_SCBL </vt:lpstr>
      <vt:lpstr>Repayment Schedule</vt:lpstr>
      <vt:lpstr>SCBL_Loan!Print_Area</vt:lpstr>
    </vt:vector>
  </TitlesOfParts>
  <Company>IDCOL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Zabir Ibne Raquib</dc:creator>
  <cp:lastModifiedBy>Mokaddim Jashim Bhuiyan</cp:lastModifiedBy>
  <cp:lastPrinted>2015-03-05T06:44:36Z</cp:lastPrinted>
  <dcterms:created xsi:type="dcterms:W3CDTF">2004-09-21T04:29:34Z</dcterms:created>
  <dcterms:modified xsi:type="dcterms:W3CDTF">2020-09-14T12:04:39Z</dcterms:modified>
</cp:coreProperties>
</file>