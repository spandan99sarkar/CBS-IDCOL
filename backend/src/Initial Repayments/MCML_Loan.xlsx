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arhan\CAD Files\All-Loan-BdBank_Revised\Term_Loans\INFRASTRUCTURE LOANS\BDT LOANS\"/>
    </mc:Choice>
  </mc:AlternateContent>
  <bookViews>
    <workbookView xWindow="0" yWindow="0" windowWidth="20490" windowHeight="7755" tabRatio="815" activeTab="1"/>
  </bookViews>
  <sheets>
    <sheet name="Disbursement" sheetId="4" r:id="rId1"/>
    <sheet name="Summary" sheetId="5" r:id="rId2"/>
    <sheet name="MCML_Loan" sheetId="2" r:id="rId3"/>
    <sheet name="Accrual_MCML " sheetId="3" r:id="rId4"/>
    <sheet name="Repayment Schedule" sheetId="7" r:id="rId5"/>
  </sheets>
  <definedNames>
    <definedName name="_xlnm.Print_Area" localSheetId="2">MCML_Loan!$A$1:$J$35</definedName>
  </definedNames>
  <calcPr calcId="152511"/>
</workbook>
</file>

<file path=xl/calcChain.xml><?xml version="1.0" encoding="utf-8"?>
<calcChain xmlns="http://schemas.openxmlformats.org/spreadsheetml/2006/main">
  <c r="CW81" i="2" l="1"/>
  <c r="CV81" i="2"/>
  <c r="CU81" i="2"/>
  <c r="CT81" i="2"/>
  <c r="CS81" i="2"/>
  <c r="CR81" i="2"/>
  <c r="CQ81" i="2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AJ25" i="5" l="1"/>
  <c r="AG21" i="5" l="1"/>
  <c r="AE21" i="5" l="1"/>
  <c r="CU35" i="5" l="1"/>
  <c r="CV35" i="5"/>
  <c r="CW35" i="5"/>
  <c r="CX35" i="5"/>
  <c r="CY35" i="5"/>
  <c r="CZ35" i="5"/>
  <c r="DA35" i="5"/>
  <c r="DB35" i="5"/>
  <c r="DC35" i="5"/>
  <c r="DD35" i="5"/>
  <c r="DE35" i="5"/>
  <c r="DF35" i="5"/>
  <c r="DG35" i="5"/>
  <c r="DH35" i="5"/>
  <c r="DI35" i="5"/>
  <c r="DJ35" i="5"/>
  <c r="DK35" i="5"/>
  <c r="DL35" i="5"/>
  <c r="DM35" i="5"/>
  <c r="DN35" i="5"/>
  <c r="DO35" i="5"/>
  <c r="DP35" i="5"/>
  <c r="DQ35" i="5"/>
  <c r="DR35" i="5"/>
  <c r="DQ62" i="3"/>
  <c r="DP62" i="3"/>
  <c r="DO62" i="3"/>
  <c r="DN62" i="3"/>
  <c r="DM62" i="3"/>
  <c r="DL62" i="3"/>
  <c r="DK62" i="3"/>
  <c r="DJ62" i="3"/>
  <c r="DI62" i="3"/>
  <c r="DH62" i="3"/>
  <c r="DG62" i="3"/>
  <c r="DF62" i="3"/>
  <c r="DE62" i="3"/>
  <c r="DD62" i="3"/>
  <c r="DC62" i="3"/>
  <c r="DB62" i="3"/>
  <c r="DA62" i="3"/>
  <c r="CZ62" i="3"/>
  <c r="CY62" i="3"/>
  <c r="CX62" i="3"/>
  <c r="CW62" i="3"/>
  <c r="CV62" i="3"/>
  <c r="CU62" i="3"/>
  <c r="CT62" i="3"/>
  <c r="CS62" i="3"/>
  <c r="CR62" i="3"/>
  <c r="CQ62" i="3"/>
  <c r="CP62" i="3"/>
  <c r="CO62" i="3"/>
  <c r="CN62" i="3"/>
  <c r="CM62" i="3"/>
  <c r="CL62" i="3"/>
  <c r="CK62" i="3"/>
  <c r="CJ62" i="3"/>
  <c r="CI62" i="3"/>
  <c r="CH62" i="3"/>
  <c r="CG62" i="3"/>
  <c r="CF62" i="3"/>
  <c r="CE62" i="3"/>
  <c r="CD62" i="3"/>
  <c r="CC62" i="3"/>
  <c r="CB62" i="3"/>
  <c r="CA62" i="3"/>
  <c r="BZ62" i="3"/>
  <c r="BZ26" i="3" s="1"/>
  <c r="BY62" i="3"/>
  <c r="BX62" i="3"/>
  <c r="BW62" i="3"/>
  <c r="BV62" i="3"/>
  <c r="BU62" i="3"/>
  <c r="BT62" i="3"/>
  <c r="BS62" i="3"/>
  <c r="BR62" i="3"/>
  <c r="BQ62" i="3"/>
  <c r="BP62" i="3"/>
  <c r="BO62" i="3"/>
  <c r="BN62" i="3"/>
  <c r="BM62" i="3"/>
  <c r="BL62" i="3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DQ50" i="3"/>
  <c r="DP50" i="3"/>
  <c r="DO50" i="3"/>
  <c r="DN50" i="3"/>
  <c r="DM50" i="3"/>
  <c r="DL50" i="3"/>
  <c r="DK50" i="3"/>
  <c r="DK26" i="3" s="1"/>
  <c r="DJ50" i="3"/>
  <c r="DI50" i="3"/>
  <c r="DH50" i="3"/>
  <c r="DG50" i="3"/>
  <c r="DG26" i="3" s="1"/>
  <c r="DF50" i="3"/>
  <c r="DE50" i="3"/>
  <c r="DD50" i="3"/>
  <c r="DC50" i="3"/>
  <c r="DB50" i="3"/>
  <c r="DA50" i="3"/>
  <c r="CZ50" i="3"/>
  <c r="CY50" i="3"/>
  <c r="CY26" i="3" s="1"/>
  <c r="CX50" i="3"/>
  <c r="CW50" i="3"/>
  <c r="CV50" i="3"/>
  <c r="CU50" i="3"/>
  <c r="CT50" i="3"/>
  <c r="CS50" i="3"/>
  <c r="CR50" i="3"/>
  <c r="CQ50" i="3"/>
  <c r="CP50" i="3"/>
  <c r="CO50" i="3"/>
  <c r="CN50" i="3"/>
  <c r="CM50" i="3"/>
  <c r="CL50" i="3"/>
  <c r="CK50" i="3"/>
  <c r="CJ50" i="3"/>
  <c r="CI50" i="3"/>
  <c r="CH50" i="3"/>
  <c r="CG50" i="3"/>
  <c r="CF50" i="3"/>
  <c r="CF26" i="3" s="1"/>
  <c r="CE50" i="3"/>
  <c r="CD50" i="3"/>
  <c r="CC50" i="3"/>
  <c r="CB50" i="3"/>
  <c r="CA50" i="3"/>
  <c r="BZ50" i="3"/>
  <c r="BY50" i="3"/>
  <c r="BX50" i="3"/>
  <c r="BX26" i="3" s="1"/>
  <c r="BW50" i="3"/>
  <c r="BW26" i="3" s="1"/>
  <c r="BV50" i="3"/>
  <c r="BU50" i="3"/>
  <c r="BT50" i="3"/>
  <c r="BS50" i="3"/>
  <c r="BR50" i="3"/>
  <c r="BQ50" i="3"/>
  <c r="BP50" i="3"/>
  <c r="BO50" i="3"/>
  <c r="BO26" i="3" s="1"/>
  <c r="BN50" i="3"/>
  <c r="BM50" i="3"/>
  <c r="BL50" i="3"/>
  <c r="BK50" i="3"/>
  <c r="BK26" i="3" s="1"/>
  <c r="BJ50" i="3"/>
  <c r="BI50" i="3"/>
  <c r="BH50" i="3"/>
  <c r="BG50" i="3"/>
  <c r="BF50" i="3"/>
  <c r="BE50" i="3"/>
  <c r="BD50" i="3"/>
  <c r="BC50" i="3"/>
  <c r="BC26" i="3" s="1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J26" i="3" s="1"/>
  <c r="AI50" i="3"/>
  <c r="AH50" i="3"/>
  <c r="AG50" i="3"/>
  <c r="AF50" i="3"/>
  <c r="AF36" i="3"/>
  <c r="DQ38" i="3"/>
  <c r="DP38" i="3"/>
  <c r="DO38" i="3"/>
  <c r="DN38" i="3"/>
  <c r="DM38" i="3"/>
  <c r="DL38" i="3"/>
  <c r="DK38" i="3"/>
  <c r="DJ38" i="3"/>
  <c r="DI38" i="3"/>
  <c r="DH38" i="3"/>
  <c r="DG38" i="3"/>
  <c r="DF38" i="3"/>
  <c r="DE38" i="3"/>
  <c r="DD38" i="3"/>
  <c r="DC38" i="3"/>
  <c r="DB38" i="3"/>
  <c r="DA38" i="3"/>
  <c r="CZ38" i="3"/>
  <c r="CY38" i="3"/>
  <c r="CX38" i="3"/>
  <c r="CW38" i="3"/>
  <c r="CV38" i="3"/>
  <c r="CU38" i="3"/>
  <c r="CT38" i="3"/>
  <c r="CS38" i="3"/>
  <c r="CR38" i="3"/>
  <c r="CQ38" i="3"/>
  <c r="CP38" i="3"/>
  <c r="CO38" i="3"/>
  <c r="CN38" i="3"/>
  <c r="CM38" i="3"/>
  <c r="CL38" i="3"/>
  <c r="CK38" i="3"/>
  <c r="CJ38" i="3"/>
  <c r="CI38" i="3"/>
  <c r="CH38" i="3"/>
  <c r="CG38" i="3"/>
  <c r="CF38" i="3"/>
  <c r="CE38" i="3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DQ26" i="3"/>
  <c r="DP26" i="3"/>
  <c r="DM26" i="3"/>
  <c r="DH26" i="3"/>
  <c r="DE26" i="3"/>
  <c r="DD26" i="3"/>
  <c r="DA26" i="3"/>
  <c r="CV26" i="3"/>
  <c r="CU26" i="3"/>
  <c r="CS26" i="3"/>
  <c r="CR26" i="3"/>
  <c r="CO26" i="3"/>
  <c r="CM26" i="3"/>
  <c r="CJ26" i="3"/>
  <c r="CI26" i="3"/>
  <c r="CG26" i="3"/>
  <c r="CC26" i="3"/>
  <c r="CA26" i="3"/>
  <c r="BU26" i="3"/>
  <c r="BT26" i="3"/>
  <c r="BQ26" i="3"/>
  <c r="BL26" i="3"/>
  <c r="BI26" i="3"/>
  <c r="BH26" i="3"/>
  <c r="BE26" i="3"/>
  <c r="AZ26" i="3"/>
  <c r="AY26" i="3"/>
  <c r="AW26" i="3"/>
  <c r="AV26" i="3"/>
  <c r="AS26" i="3"/>
  <c r="AQ26" i="3"/>
  <c r="AN26" i="3"/>
  <c r="AM26" i="3"/>
  <c r="AK26" i="3"/>
  <c r="AG26" i="3"/>
  <c r="AF26" i="3"/>
  <c r="AF27" i="3" s="1"/>
  <c r="AF23" i="3"/>
  <c r="AH26" i="3" l="1"/>
  <c r="AT26" i="3"/>
  <c r="BF26" i="3"/>
  <c r="BR26" i="3"/>
  <c r="CD26" i="3"/>
  <c r="CP26" i="3"/>
  <c r="DB26" i="3"/>
  <c r="DN26" i="3"/>
  <c r="AP26" i="3"/>
  <c r="BB26" i="3"/>
  <c r="BN26" i="3"/>
  <c r="CL26" i="3"/>
  <c r="CX26" i="3"/>
  <c r="DJ26" i="3"/>
  <c r="AG27" i="3"/>
  <c r="AH27" i="3"/>
  <c r="AF29" i="3"/>
  <c r="CW69" i="2"/>
  <c r="CV69" i="2"/>
  <c r="CU69" i="2"/>
  <c r="CT69" i="2"/>
  <c r="CS69" i="2"/>
  <c r="CR69" i="2"/>
  <c r="CQ69" i="2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CW56" i="2"/>
  <c r="CV56" i="2"/>
  <c r="CU56" i="2"/>
  <c r="CT56" i="2"/>
  <c r="CS56" i="2"/>
  <c r="CR56" i="2"/>
  <c r="CR30" i="2" s="1"/>
  <c r="CQ56" i="2"/>
  <c r="CP56" i="2"/>
  <c r="CO56" i="2"/>
  <c r="CN56" i="2"/>
  <c r="CN30" i="2" s="1"/>
  <c r="CM56" i="2"/>
  <c r="CL56" i="2"/>
  <c r="CK56" i="2"/>
  <c r="CJ56" i="2"/>
  <c r="CJ30" i="2" s="1"/>
  <c r="CI56" i="2"/>
  <c r="CH56" i="2"/>
  <c r="CG56" i="2"/>
  <c r="CF56" i="2"/>
  <c r="CE56" i="2"/>
  <c r="CD56" i="2"/>
  <c r="CC56" i="2"/>
  <c r="CB56" i="2"/>
  <c r="CB30" i="2" s="1"/>
  <c r="CA56" i="2"/>
  <c r="BZ56" i="2"/>
  <c r="BY56" i="2"/>
  <c r="BX56" i="2"/>
  <c r="BX30" i="2" s="1"/>
  <c r="BW56" i="2"/>
  <c r="BV56" i="2"/>
  <c r="BU56" i="2"/>
  <c r="BT56" i="2"/>
  <c r="BT30" i="2" s="1"/>
  <c r="BS56" i="2"/>
  <c r="BR56" i="2"/>
  <c r="BQ56" i="2"/>
  <c r="BP56" i="2"/>
  <c r="BO56" i="2"/>
  <c r="BN56" i="2"/>
  <c r="BM56" i="2"/>
  <c r="BL56" i="2"/>
  <c r="BL30" i="2" s="1"/>
  <c r="BK56" i="2"/>
  <c r="BJ56" i="2"/>
  <c r="BI56" i="2"/>
  <c r="BH56" i="2"/>
  <c r="BH30" i="2" s="1"/>
  <c r="BG56" i="2"/>
  <c r="BF56" i="2"/>
  <c r="BE56" i="2"/>
  <c r="BD56" i="2"/>
  <c r="BD30" i="2" s="1"/>
  <c r="BC56" i="2"/>
  <c r="BB56" i="2"/>
  <c r="BA56" i="2"/>
  <c r="AZ56" i="2"/>
  <c r="AY56" i="2"/>
  <c r="AX56" i="2"/>
  <c r="AW56" i="2"/>
  <c r="AV56" i="2"/>
  <c r="AV30" i="2" s="1"/>
  <c r="AU56" i="2"/>
  <c r="AT56" i="2"/>
  <c r="AS56" i="2"/>
  <c r="AR56" i="2"/>
  <c r="AR30" i="2" s="1"/>
  <c r="AQ56" i="2"/>
  <c r="AP56" i="2"/>
  <c r="AO56" i="2"/>
  <c r="AN56" i="2"/>
  <c r="AM56" i="2"/>
  <c r="AL56" i="2"/>
  <c r="AK56" i="2"/>
  <c r="AJ56" i="2"/>
  <c r="AJ30" i="2" s="1"/>
  <c r="AI56" i="2"/>
  <c r="AH56" i="2"/>
  <c r="AG56" i="2"/>
  <c r="AF56" i="2"/>
  <c r="AE56" i="2"/>
  <c r="AD56" i="2"/>
  <c r="AC56" i="2"/>
  <c r="AB56" i="2"/>
  <c r="AB30" i="2" s="1"/>
  <c r="AA56" i="2"/>
  <c r="Z56" i="2"/>
  <c r="Y56" i="2"/>
  <c r="X56" i="2"/>
  <c r="W56" i="2"/>
  <c r="V56" i="2"/>
  <c r="U56" i="2"/>
  <c r="T56" i="2"/>
  <c r="T30" i="2" s="1"/>
  <c r="S56" i="2"/>
  <c r="R56" i="2"/>
  <c r="Q56" i="2"/>
  <c r="P56" i="2"/>
  <c r="O56" i="2"/>
  <c r="N56" i="2"/>
  <c r="M56" i="2"/>
  <c r="L56" i="2"/>
  <c r="CW43" i="2"/>
  <c r="CV43" i="2"/>
  <c r="CU43" i="2"/>
  <c r="CT43" i="2"/>
  <c r="CS43" i="2"/>
  <c r="CR43" i="2"/>
  <c r="CQ43" i="2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O30" i="2" s="1"/>
  <c r="AN43" i="2"/>
  <c r="AM43" i="2"/>
  <c r="AL43" i="2"/>
  <c r="AK43" i="2"/>
  <c r="AK30" i="2" s="1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CW64" i="2"/>
  <c r="CV64" i="2"/>
  <c r="CU64" i="2"/>
  <c r="CT64" i="2"/>
  <c r="CS64" i="2"/>
  <c r="CR64" i="2"/>
  <c r="CQ64" i="2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CW51" i="2"/>
  <c r="CV51" i="2"/>
  <c r="CU51" i="2"/>
  <c r="CT51" i="2"/>
  <c r="CS51" i="2"/>
  <c r="CR51" i="2"/>
  <c r="CQ51" i="2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CW38" i="2"/>
  <c r="CV38" i="2"/>
  <c r="CU38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CW30" i="2"/>
  <c r="CV30" i="2"/>
  <c r="CU30" i="2"/>
  <c r="CS30" i="2"/>
  <c r="CQ30" i="2"/>
  <c r="CO30" i="2"/>
  <c r="CM30" i="2"/>
  <c r="CK30" i="2"/>
  <c r="CI30" i="2"/>
  <c r="CG30" i="2"/>
  <c r="CF30" i="2"/>
  <c r="CE30" i="2"/>
  <c r="CC30" i="2"/>
  <c r="CA30" i="2"/>
  <c r="BY30" i="2"/>
  <c r="BW30" i="2"/>
  <c r="BU30" i="2"/>
  <c r="BS30" i="2"/>
  <c r="BQ30" i="2"/>
  <c r="BP30" i="2"/>
  <c r="BO30" i="2"/>
  <c r="BM30" i="2"/>
  <c r="BK30" i="2"/>
  <c r="BI30" i="2"/>
  <c r="BG30" i="2"/>
  <c r="BE30" i="2"/>
  <c r="BC30" i="2"/>
  <c r="BA30" i="2"/>
  <c r="AZ30" i="2"/>
  <c r="AY30" i="2"/>
  <c r="AW30" i="2"/>
  <c r="AU30" i="2"/>
  <c r="AS30" i="2"/>
  <c r="AQ30" i="2"/>
  <c r="AN30" i="2"/>
  <c r="AM30" i="2"/>
  <c r="AI30" i="2"/>
  <c r="AF30" i="2"/>
  <c r="AE30" i="2"/>
  <c r="AA30" i="2"/>
  <c r="X30" i="2"/>
  <c r="W30" i="2"/>
  <c r="S30" i="2"/>
  <c r="P30" i="2"/>
  <c r="O30" i="2"/>
  <c r="L28" i="2"/>
  <c r="L27" i="2"/>
  <c r="L30" i="2" l="1"/>
  <c r="L32" i="2" s="1"/>
  <c r="M30" i="2"/>
  <c r="Q30" i="2"/>
  <c r="U30" i="2"/>
  <c r="Y30" i="2"/>
  <c r="AC30" i="2"/>
  <c r="AG30" i="2"/>
  <c r="N30" i="2"/>
  <c r="R30" i="2"/>
  <c r="V30" i="2"/>
  <c r="Z30" i="2"/>
  <c r="AD30" i="2"/>
  <c r="AH30" i="2"/>
  <c r="AL30" i="2"/>
  <c r="AP30" i="2"/>
  <c r="AT30" i="2"/>
  <c r="AX30" i="2"/>
  <c r="BB30" i="2"/>
  <c r="BF30" i="2"/>
  <c r="BJ30" i="2"/>
  <c r="BN30" i="2"/>
  <c r="BR30" i="2"/>
  <c r="BV30" i="2"/>
  <c r="BZ30" i="2"/>
  <c r="CD30" i="2"/>
  <c r="CH30" i="2"/>
  <c r="CL30" i="2"/>
  <c r="CP30" i="2"/>
  <c r="CT30" i="2"/>
  <c r="L33" i="2"/>
  <c r="AE35" i="5"/>
  <c r="AP39" i="2" l="1"/>
  <c r="BJ36" i="3" s="1"/>
  <c r="AP52" i="2" l="1"/>
  <c r="AQ39" i="2"/>
  <c r="BK36" i="3" s="1"/>
  <c r="AP80" i="2"/>
  <c r="AP21" i="2"/>
  <c r="AP36" i="2" s="1"/>
  <c r="AP49" i="2" s="1"/>
  <c r="AP62" i="2" s="1"/>
  <c r="B26" i="3"/>
  <c r="I62" i="3"/>
  <c r="I65" i="3" s="1"/>
  <c r="C58" i="3"/>
  <c r="D58" i="3" s="1"/>
  <c r="E58" i="3" s="1"/>
  <c r="F58" i="3" s="1"/>
  <c r="G58" i="3" s="1"/>
  <c r="H58" i="3" s="1"/>
  <c r="I58" i="3" s="1"/>
  <c r="J58" i="3" s="1"/>
  <c r="K58" i="3" s="1"/>
  <c r="L58" i="3" s="1"/>
  <c r="M58" i="3" s="1"/>
  <c r="N58" i="3" s="1"/>
  <c r="O58" i="3" s="1"/>
  <c r="P58" i="3" s="1"/>
  <c r="Q58" i="3" s="1"/>
  <c r="R58" i="3" s="1"/>
  <c r="S58" i="3" s="1"/>
  <c r="T58" i="3" s="1"/>
  <c r="U58" i="3" s="1"/>
  <c r="V58" i="3" s="1"/>
  <c r="W58" i="3" s="1"/>
  <c r="X58" i="3" s="1"/>
  <c r="Y58" i="3" s="1"/>
  <c r="Z58" i="3" s="1"/>
  <c r="AA58" i="3" s="1"/>
  <c r="AB58" i="3" s="1"/>
  <c r="AC58" i="3" s="1"/>
  <c r="AD58" i="3" s="1"/>
  <c r="AE58" i="3" s="1"/>
  <c r="AF58" i="3" s="1"/>
  <c r="AG58" i="3" s="1"/>
  <c r="AH58" i="3" s="1"/>
  <c r="AI58" i="3" s="1"/>
  <c r="AJ58" i="3" s="1"/>
  <c r="AK58" i="3" s="1"/>
  <c r="AL58" i="3" s="1"/>
  <c r="AM58" i="3" s="1"/>
  <c r="AN58" i="3" s="1"/>
  <c r="AO58" i="3" s="1"/>
  <c r="AP58" i="3" s="1"/>
  <c r="AQ58" i="3" s="1"/>
  <c r="AR58" i="3" s="1"/>
  <c r="AS58" i="3" s="1"/>
  <c r="AT58" i="3" s="1"/>
  <c r="AU58" i="3" s="1"/>
  <c r="AV58" i="3" s="1"/>
  <c r="AW58" i="3" s="1"/>
  <c r="AX58" i="3" s="1"/>
  <c r="AY58" i="3" s="1"/>
  <c r="AZ58" i="3" s="1"/>
  <c r="BA58" i="3" s="1"/>
  <c r="BB58" i="3" s="1"/>
  <c r="BC58" i="3" s="1"/>
  <c r="BD58" i="3" s="1"/>
  <c r="BE58" i="3" s="1"/>
  <c r="BF58" i="3" s="1"/>
  <c r="BG58" i="3" s="1"/>
  <c r="BH58" i="3" s="1"/>
  <c r="BI58" i="3" s="1"/>
  <c r="BJ58" i="3" s="1"/>
  <c r="BK58" i="3" s="1"/>
  <c r="BL58" i="3" s="1"/>
  <c r="BM58" i="3" s="1"/>
  <c r="BN58" i="3" s="1"/>
  <c r="BO58" i="3" s="1"/>
  <c r="BP58" i="3" s="1"/>
  <c r="BQ58" i="3" s="1"/>
  <c r="BR58" i="3" s="1"/>
  <c r="BS58" i="3" s="1"/>
  <c r="BT58" i="3" s="1"/>
  <c r="BU58" i="3" s="1"/>
  <c r="BV58" i="3" s="1"/>
  <c r="BW58" i="3" s="1"/>
  <c r="BX58" i="3" s="1"/>
  <c r="BY58" i="3" s="1"/>
  <c r="BZ58" i="3" s="1"/>
  <c r="CA58" i="3" s="1"/>
  <c r="CB58" i="3" s="1"/>
  <c r="CC58" i="3" s="1"/>
  <c r="CD58" i="3" s="1"/>
  <c r="CE58" i="3" s="1"/>
  <c r="CF58" i="3" s="1"/>
  <c r="CG58" i="3" s="1"/>
  <c r="CH58" i="3" s="1"/>
  <c r="CI58" i="3" s="1"/>
  <c r="CJ58" i="3" s="1"/>
  <c r="CK58" i="3" s="1"/>
  <c r="CL58" i="3" s="1"/>
  <c r="CM58" i="3" s="1"/>
  <c r="CN58" i="3" s="1"/>
  <c r="CO58" i="3" s="1"/>
  <c r="CP58" i="3" s="1"/>
  <c r="CQ58" i="3" s="1"/>
  <c r="CR58" i="3" s="1"/>
  <c r="CS58" i="3" s="1"/>
  <c r="CT58" i="3" s="1"/>
  <c r="CU58" i="3" s="1"/>
  <c r="CV58" i="3" s="1"/>
  <c r="CW58" i="3" s="1"/>
  <c r="CX58" i="3" s="1"/>
  <c r="CY58" i="3" s="1"/>
  <c r="CZ58" i="3" s="1"/>
  <c r="DA58" i="3" s="1"/>
  <c r="DB58" i="3" s="1"/>
  <c r="DC58" i="3" s="1"/>
  <c r="DD58" i="3" s="1"/>
  <c r="DE58" i="3" s="1"/>
  <c r="DF58" i="3" s="1"/>
  <c r="DG58" i="3" s="1"/>
  <c r="DH58" i="3" s="1"/>
  <c r="DI58" i="3" s="1"/>
  <c r="DJ58" i="3" s="1"/>
  <c r="DK58" i="3" s="1"/>
  <c r="DL58" i="3" s="1"/>
  <c r="DM58" i="3" s="1"/>
  <c r="DN58" i="3" s="1"/>
  <c r="DO58" i="3" s="1"/>
  <c r="DP58" i="3" s="1"/>
  <c r="DQ58" i="3" s="1"/>
  <c r="C56" i="3"/>
  <c r="D56" i="3" s="1"/>
  <c r="E56" i="3" s="1"/>
  <c r="F56" i="3" s="1"/>
  <c r="G56" i="3" s="1"/>
  <c r="H56" i="3" s="1"/>
  <c r="I56" i="3" s="1"/>
  <c r="J56" i="3" s="1"/>
  <c r="K56" i="3" s="1"/>
  <c r="L56" i="3" s="1"/>
  <c r="M56" i="3" s="1"/>
  <c r="N56" i="3" s="1"/>
  <c r="O56" i="3" s="1"/>
  <c r="P56" i="3" s="1"/>
  <c r="Q56" i="3" s="1"/>
  <c r="R56" i="3" s="1"/>
  <c r="S56" i="3" s="1"/>
  <c r="T56" i="3" s="1"/>
  <c r="U56" i="3" s="1"/>
  <c r="V56" i="3" s="1"/>
  <c r="W56" i="3" s="1"/>
  <c r="X56" i="3" s="1"/>
  <c r="Y56" i="3" s="1"/>
  <c r="Z56" i="3" s="1"/>
  <c r="AA56" i="3" s="1"/>
  <c r="AB56" i="3" s="1"/>
  <c r="AC56" i="3" s="1"/>
  <c r="AD56" i="3" s="1"/>
  <c r="AE56" i="3" s="1"/>
  <c r="AF56" i="3" s="1"/>
  <c r="AG56" i="3" s="1"/>
  <c r="AH56" i="3" s="1"/>
  <c r="AI56" i="3" s="1"/>
  <c r="AJ56" i="3" s="1"/>
  <c r="AK56" i="3" s="1"/>
  <c r="AL56" i="3" s="1"/>
  <c r="AM56" i="3" s="1"/>
  <c r="AN56" i="3" s="1"/>
  <c r="AO56" i="3" s="1"/>
  <c r="AP56" i="3" s="1"/>
  <c r="AQ56" i="3" s="1"/>
  <c r="AR56" i="3" s="1"/>
  <c r="AS56" i="3" s="1"/>
  <c r="AT56" i="3" s="1"/>
  <c r="AU56" i="3" s="1"/>
  <c r="AV56" i="3" s="1"/>
  <c r="AW56" i="3" s="1"/>
  <c r="AX56" i="3" s="1"/>
  <c r="AY56" i="3" s="1"/>
  <c r="AZ56" i="3" s="1"/>
  <c r="BA56" i="3" s="1"/>
  <c r="BB56" i="3" s="1"/>
  <c r="BC56" i="3" s="1"/>
  <c r="BD56" i="3" s="1"/>
  <c r="BE56" i="3" s="1"/>
  <c r="BF56" i="3" s="1"/>
  <c r="BG56" i="3" s="1"/>
  <c r="BH56" i="3" s="1"/>
  <c r="BI56" i="3" s="1"/>
  <c r="BJ56" i="3" s="1"/>
  <c r="BK56" i="3" s="1"/>
  <c r="BL56" i="3" s="1"/>
  <c r="BM56" i="3" s="1"/>
  <c r="BN56" i="3" s="1"/>
  <c r="BO56" i="3" s="1"/>
  <c r="BP56" i="3" s="1"/>
  <c r="BQ56" i="3" s="1"/>
  <c r="BR56" i="3" s="1"/>
  <c r="BS56" i="3" s="1"/>
  <c r="BT56" i="3" s="1"/>
  <c r="BU56" i="3" s="1"/>
  <c r="BV56" i="3" s="1"/>
  <c r="BW56" i="3" s="1"/>
  <c r="BX56" i="3" s="1"/>
  <c r="BY56" i="3" s="1"/>
  <c r="BZ56" i="3" s="1"/>
  <c r="CA56" i="3" s="1"/>
  <c r="CB56" i="3" s="1"/>
  <c r="CC56" i="3" s="1"/>
  <c r="CD56" i="3" s="1"/>
  <c r="CE56" i="3" s="1"/>
  <c r="CF56" i="3" s="1"/>
  <c r="CG56" i="3" s="1"/>
  <c r="CH56" i="3" s="1"/>
  <c r="CI56" i="3" s="1"/>
  <c r="CJ56" i="3" s="1"/>
  <c r="CK56" i="3" s="1"/>
  <c r="CL56" i="3" s="1"/>
  <c r="CM56" i="3" s="1"/>
  <c r="CN56" i="3" s="1"/>
  <c r="CO56" i="3" s="1"/>
  <c r="CP56" i="3" s="1"/>
  <c r="CQ56" i="3" s="1"/>
  <c r="CR56" i="3" s="1"/>
  <c r="CS56" i="3" s="1"/>
  <c r="CT56" i="3" s="1"/>
  <c r="CU56" i="3" s="1"/>
  <c r="CV56" i="3" s="1"/>
  <c r="CW56" i="3" s="1"/>
  <c r="CX56" i="3" s="1"/>
  <c r="CY56" i="3" s="1"/>
  <c r="CZ56" i="3" s="1"/>
  <c r="DA56" i="3" s="1"/>
  <c r="DB56" i="3" s="1"/>
  <c r="DC56" i="3" s="1"/>
  <c r="DD56" i="3" s="1"/>
  <c r="DE56" i="3" s="1"/>
  <c r="DF56" i="3" s="1"/>
  <c r="DG56" i="3" s="1"/>
  <c r="DH56" i="3" s="1"/>
  <c r="DI56" i="3" s="1"/>
  <c r="DJ56" i="3" s="1"/>
  <c r="DK56" i="3" s="1"/>
  <c r="DL56" i="3" s="1"/>
  <c r="DM56" i="3" s="1"/>
  <c r="DN56" i="3" s="1"/>
  <c r="DO56" i="3" s="1"/>
  <c r="DP56" i="3" s="1"/>
  <c r="DQ56" i="3" s="1"/>
  <c r="DR56" i="3" s="1"/>
  <c r="DS56" i="3" s="1"/>
  <c r="I30" i="2"/>
  <c r="H30" i="2"/>
  <c r="G30" i="2"/>
  <c r="F30" i="2"/>
  <c r="E30" i="2"/>
  <c r="D30" i="2"/>
  <c r="C30" i="2"/>
  <c r="B30" i="2"/>
  <c r="B72" i="2"/>
  <c r="C66" i="2" s="1"/>
  <c r="C72" i="2" s="1"/>
  <c r="D66" i="2" s="1"/>
  <c r="D72" i="2" s="1"/>
  <c r="E66" i="2" s="1"/>
  <c r="C71" i="2"/>
  <c r="B71" i="2"/>
  <c r="C70" i="2"/>
  <c r="D70" i="2" s="1"/>
  <c r="E70" i="2" s="1"/>
  <c r="F70" i="2" s="1"/>
  <c r="G70" i="2" s="1"/>
  <c r="H70" i="2" s="1"/>
  <c r="I70" i="2" s="1"/>
  <c r="B68" i="2"/>
  <c r="C68" i="2" s="1"/>
  <c r="AQ52" i="2" l="1"/>
  <c r="AP65" i="2"/>
  <c r="BJ60" i="3" s="1"/>
  <c r="AR39" i="2"/>
  <c r="BL36" i="3" s="1"/>
  <c r="AQ80" i="2"/>
  <c r="AQ21" i="2"/>
  <c r="AQ36" i="2" s="1"/>
  <c r="AQ49" i="2" s="1"/>
  <c r="AQ62" i="2" s="1"/>
  <c r="I61" i="3"/>
  <c r="I63" i="3"/>
  <c r="I64" i="3"/>
  <c r="J62" i="3"/>
  <c r="J65" i="3" s="1"/>
  <c r="E72" i="2"/>
  <c r="F66" i="2" s="1"/>
  <c r="E17" i="2"/>
  <c r="E16" i="2"/>
  <c r="E12" i="7" s="1"/>
  <c r="D10" i="4"/>
  <c r="AR52" i="2" l="1"/>
  <c r="AQ65" i="2"/>
  <c r="BK60" i="3" s="1"/>
  <c r="AS39" i="2"/>
  <c r="BM36" i="3" s="1"/>
  <c r="AR80" i="2"/>
  <c r="AR21" i="2"/>
  <c r="AR36" i="2" s="1"/>
  <c r="AR49" i="2" s="1"/>
  <c r="AR62" i="2" s="1"/>
  <c r="E13" i="7"/>
  <c r="E15" i="3"/>
  <c r="G66" i="2"/>
  <c r="J69" i="2"/>
  <c r="E16" i="3"/>
  <c r="K69" i="2"/>
  <c r="J61" i="3"/>
  <c r="J63" i="3"/>
  <c r="K63" i="3" s="1"/>
  <c r="K62" i="3"/>
  <c r="F72" i="2"/>
  <c r="F39" i="2"/>
  <c r="F52" i="2" s="1"/>
  <c r="F65" i="2" s="1"/>
  <c r="AS52" i="2" l="1"/>
  <c r="AR65" i="2"/>
  <c r="BL60" i="3" s="1"/>
  <c r="AT39" i="2"/>
  <c r="BN36" i="3" s="1"/>
  <c r="AS80" i="2"/>
  <c r="AS21" i="2"/>
  <c r="AS36" i="2" s="1"/>
  <c r="AS49" i="2" s="1"/>
  <c r="AS62" i="2" s="1"/>
  <c r="J70" i="2"/>
  <c r="K70" i="2" s="1"/>
  <c r="L70" i="2" s="1"/>
  <c r="M70" i="2" s="1"/>
  <c r="N70" i="2" s="1"/>
  <c r="O70" i="2" s="1"/>
  <c r="P70" i="2" s="1"/>
  <c r="Q70" i="2" s="1"/>
  <c r="R70" i="2" s="1"/>
  <c r="S70" i="2" s="1"/>
  <c r="T70" i="2" s="1"/>
  <c r="U70" i="2" s="1"/>
  <c r="V70" i="2" s="1"/>
  <c r="W70" i="2" s="1"/>
  <c r="X70" i="2" s="1"/>
  <c r="Y70" i="2" s="1"/>
  <c r="Z70" i="2" s="1"/>
  <c r="AA70" i="2" s="1"/>
  <c r="AB70" i="2" s="1"/>
  <c r="AC70" i="2" s="1"/>
  <c r="AD70" i="2" s="1"/>
  <c r="AE70" i="2" s="1"/>
  <c r="AF70" i="2" s="1"/>
  <c r="AG70" i="2" s="1"/>
  <c r="AH70" i="2" s="1"/>
  <c r="AI70" i="2" s="1"/>
  <c r="AJ70" i="2" s="1"/>
  <c r="AK70" i="2" s="1"/>
  <c r="AL70" i="2" s="1"/>
  <c r="AM70" i="2" s="1"/>
  <c r="AN70" i="2" s="1"/>
  <c r="AO70" i="2" s="1"/>
  <c r="AP70" i="2" s="1"/>
  <c r="AQ70" i="2" s="1"/>
  <c r="AR70" i="2" s="1"/>
  <c r="AS70" i="2" s="1"/>
  <c r="AT70" i="2" s="1"/>
  <c r="AU70" i="2" s="1"/>
  <c r="AV70" i="2" s="1"/>
  <c r="AW70" i="2" s="1"/>
  <c r="AX70" i="2" s="1"/>
  <c r="AY70" i="2" s="1"/>
  <c r="AZ70" i="2" s="1"/>
  <c r="BA70" i="2" s="1"/>
  <c r="BB70" i="2" s="1"/>
  <c r="BC70" i="2" s="1"/>
  <c r="BD70" i="2" s="1"/>
  <c r="BE70" i="2" s="1"/>
  <c r="BF70" i="2" s="1"/>
  <c r="BG70" i="2" s="1"/>
  <c r="BH70" i="2" s="1"/>
  <c r="BI70" i="2" s="1"/>
  <c r="BJ70" i="2" s="1"/>
  <c r="BK70" i="2" s="1"/>
  <c r="BL70" i="2" s="1"/>
  <c r="BM70" i="2" s="1"/>
  <c r="BN70" i="2" s="1"/>
  <c r="BO70" i="2" s="1"/>
  <c r="BP70" i="2" s="1"/>
  <c r="BQ70" i="2" s="1"/>
  <c r="BR70" i="2" s="1"/>
  <c r="BS70" i="2" s="1"/>
  <c r="BT70" i="2" s="1"/>
  <c r="BU70" i="2" s="1"/>
  <c r="BV70" i="2" s="1"/>
  <c r="BW70" i="2" s="1"/>
  <c r="BX70" i="2" s="1"/>
  <c r="BY70" i="2" s="1"/>
  <c r="BZ70" i="2" s="1"/>
  <c r="CA70" i="2" s="1"/>
  <c r="CB70" i="2" s="1"/>
  <c r="CC70" i="2" s="1"/>
  <c r="CD70" i="2" s="1"/>
  <c r="CE70" i="2" s="1"/>
  <c r="CF70" i="2" s="1"/>
  <c r="CG70" i="2" s="1"/>
  <c r="CH70" i="2" s="1"/>
  <c r="CI70" i="2" s="1"/>
  <c r="CJ70" i="2" s="1"/>
  <c r="CK70" i="2" s="1"/>
  <c r="CL70" i="2" s="1"/>
  <c r="CM70" i="2" s="1"/>
  <c r="CN70" i="2" s="1"/>
  <c r="CO70" i="2" s="1"/>
  <c r="CP70" i="2" s="1"/>
  <c r="CQ70" i="2" s="1"/>
  <c r="CR70" i="2" s="1"/>
  <c r="CS70" i="2" s="1"/>
  <c r="CT70" i="2" s="1"/>
  <c r="CU70" i="2" s="1"/>
  <c r="CV70" i="2" s="1"/>
  <c r="CW70" i="2" s="1"/>
  <c r="AB62" i="3"/>
  <c r="AE62" i="3"/>
  <c r="Q59" i="3"/>
  <c r="Q60" i="3" s="1"/>
  <c r="L62" i="3"/>
  <c r="J64" i="3"/>
  <c r="K65" i="3"/>
  <c r="K64" i="3"/>
  <c r="G72" i="2"/>
  <c r="AS65" i="2" l="1"/>
  <c r="BM60" i="3" s="1"/>
  <c r="AT52" i="2"/>
  <c r="AU39" i="2"/>
  <c r="BO36" i="3" s="1"/>
  <c r="AT80" i="2"/>
  <c r="AT21" i="2"/>
  <c r="AT36" i="2" s="1"/>
  <c r="AT49" i="2" s="1"/>
  <c r="AT62" i="2" s="1"/>
  <c r="M62" i="3"/>
  <c r="K61" i="3"/>
  <c r="L65" i="3"/>
  <c r="L64" i="3"/>
  <c r="L63" i="3"/>
  <c r="M63" i="3" s="1"/>
  <c r="H66" i="2"/>
  <c r="D12" i="7"/>
  <c r="D17" i="2"/>
  <c r="D16" i="2"/>
  <c r="D9" i="4"/>
  <c r="D8" i="4"/>
  <c r="AT65" i="2" l="1"/>
  <c r="BN60" i="3" s="1"/>
  <c r="AU52" i="2"/>
  <c r="AV39" i="2"/>
  <c r="BP36" i="3" s="1"/>
  <c r="AU80" i="2"/>
  <c r="AU21" i="2"/>
  <c r="AU36" i="2" s="1"/>
  <c r="AU49" i="2" s="1"/>
  <c r="AU62" i="2" s="1"/>
  <c r="D13" i="7"/>
  <c r="H72" i="2"/>
  <c r="I66" i="2" s="1"/>
  <c r="M65" i="3"/>
  <c r="M64" i="3"/>
  <c r="L61" i="3"/>
  <c r="N62" i="3"/>
  <c r="N63" i="3" s="1"/>
  <c r="AU65" i="2" l="1"/>
  <c r="BO60" i="3" s="1"/>
  <c r="AV52" i="2"/>
  <c r="AW39" i="2"/>
  <c r="BQ36" i="3" s="1"/>
  <c r="AV80" i="2"/>
  <c r="AV21" i="2"/>
  <c r="AV36" i="2" s="1"/>
  <c r="AV49" i="2" s="1"/>
  <c r="AV62" i="2" s="1"/>
  <c r="I72" i="2"/>
  <c r="M61" i="3"/>
  <c r="O62" i="3"/>
  <c r="N65" i="3"/>
  <c r="AO39" i="2"/>
  <c r="BI36" i="3" s="1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L52" i="2" s="1"/>
  <c r="L65" i="2" s="1"/>
  <c r="K39" i="2"/>
  <c r="K52" i="2" s="1"/>
  <c r="J39" i="2"/>
  <c r="J52" i="2" s="1"/>
  <c r="J65" i="2" s="1"/>
  <c r="I39" i="2"/>
  <c r="H39" i="2"/>
  <c r="H52" i="2" s="1"/>
  <c r="H65" i="2" s="1"/>
  <c r="G39" i="2"/>
  <c r="G52" i="2" s="1"/>
  <c r="G65" i="2" s="1"/>
  <c r="E39" i="2"/>
  <c r="E52" i="2" s="1"/>
  <c r="E65" i="2" s="1"/>
  <c r="D39" i="2"/>
  <c r="D52" i="2" s="1"/>
  <c r="D65" i="2" s="1"/>
  <c r="D67" i="2" s="1"/>
  <c r="C39" i="2"/>
  <c r="C52" i="2" s="1"/>
  <c r="C65" i="2" s="1"/>
  <c r="B39" i="2"/>
  <c r="B52" i="2" s="1"/>
  <c r="B65" i="2" s="1"/>
  <c r="C46" i="3"/>
  <c r="D46" i="3" s="1"/>
  <c r="E46" i="3" s="1"/>
  <c r="F46" i="3" s="1"/>
  <c r="G46" i="3" s="1"/>
  <c r="H46" i="3" s="1"/>
  <c r="I46" i="3" s="1"/>
  <c r="J46" i="3" s="1"/>
  <c r="K46" i="3" s="1"/>
  <c r="L46" i="3" s="1"/>
  <c r="M46" i="3" s="1"/>
  <c r="N46" i="3" s="1"/>
  <c r="O46" i="3" s="1"/>
  <c r="P46" i="3" s="1"/>
  <c r="Q46" i="3" s="1"/>
  <c r="R46" i="3" s="1"/>
  <c r="S46" i="3" s="1"/>
  <c r="T46" i="3" s="1"/>
  <c r="U46" i="3" s="1"/>
  <c r="V46" i="3" s="1"/>
  <c r="W46" i="3" s="1"/>
  <c r="X46" i="3" s="1"/>
  <c r="Y46" i="3" s="1"/>
  <c r="Z46" i="3" s="1"/>
  <c r="AA46" i="3" s="1"/>
  <c r="AB46" i="3" s="1"/>
  <c r="AC46" i="3" s="1"/>
  <c r="AD46" i="3" s="1"/>
  <c r="AE46" i="3" s="1"/>
  <c r="AF46" i="3" s="1"/>
  <c r="AG46" i="3" s="1"/>
  <c r="AH46" i="3" s="1"/>
  <c r="AI46" i="3" s="1"/>
  <c r="AJ46" i="3" s="1"/>
  <c r="AK46" i="3" s="1"/>
  <c r="AL46" i="3" s="1"/>
  <c r="AM46" i="3" s="1"/>
  <c r="AN46" i="3" s="1"/>
  <c r="AO46" i="3" s="1"/>
  <c r="AP46" i="3" s="1"/>
  <c r="AQ46" i="3" s="1"/>
  <c r="AR46" i="3" s="1"/>
  <c r="AS46" i="3" s="1"/>
  <c r="AT46" i="3" s="1"/>
  <c r="AU46" i="3" s="1"/>
  <c r="AV46" i="3" s="1"/>
  <c r="AW46" i="3" s="1"/>
  <c r="AX46" i="3" s="1"/>
  <c r="AY46" i="3" s="1"/>
  <c r="AZ46" i="3" s="1"/>
  <c r="BA46" i="3" s="1"/>
  <c r="BB46" i="3" s="1"/>
  <c r="BC46" i="3" s="1"/>
  <c r="BD46" i="3" s="1"/>
  <c r="BE46" i="3" s="1"/>
  <c r="BF46" i="3" s="1"/>
  <c r="BG46" i="3" s="1"/>
  <c r="BH46" i="3" s="1"/>
  <c r="BI46" i="3" s="1"/>
  <c r="BJ46" i="3" s="1"/>
  <c r="BK46" i="3" s="1"/>
  <c r="BL46" i="3" s="1"/>
  <c r="BM46" i="3" s="1"/>
  <c r="BN46" i="3" s="1"/>
  <c r="BO46" i="3" s="1"/>
  <c r="BP46" i="3" s="1"/>
  <c r="BQ46" i="3" s="1"/>
  <c r="BR46" i="3" s="1"/>
  <c r="BS46" i="3" s="1"/>
  <c r="BT46" i="3" s="1"/>
  <c r="BU46" i="3" s="1"/>
  <c r="BV46" i="3" s="1"/>
  <c r="BW46" i="3" s="1"/>
  <c r="BX46" i="3" s="1"/>
  <c r="BY46" i="3" s="1"/>
  <c r="BZ46" i="3" s="1"/>
  <c r="CA46" i="3" s="1"/>
  <c r="CB46" i="3" s="1"/>
  <c r="CC46" i="3" s="1"/>
  <c r="CD46" i="3" s="1"/>
  <c r="CE46" i="3" s="1"/>
  <c r="CF46" i="3" s="1"/>
  <c r="CG46" i="3" s="1"/>
  <c r="CH46" i="3" s="1"/>
  <c r="CI46" i="3" s="1"/>
  <c r="CJ46" i="3" s="1"/>
  <c r="CK46" i="3" s="1"/>
  <c r="CL46" i="3" s="1"/>
  <c r="CM46" i="3" s="1"/>
  <c r="CN46" i="3" s="1"/>
  <c r="CO46" i="3" s="1"/>
  <c r="CP46" i="3" s="1"/>
  <c r="CQ46" i="3" s="1"/>
  <c r="CR46" i="3" s="1"/>
  <c r="CS46" i="3" s="1"/>
  <c r="CT46" i="3" s="1"/>
  <c r="CU46" i="3" s="1"/>
  <c r="CV46" i="3" s="1"/>
  <c r="CW46" i="3" s="1"/>
  <c r="CX46" i="3" s="1"/>
  <c r="CY46" i="3" s="1"/>
  <c r="CZ46" i="3" s="1"/>
  <c r="DA46" i="3" s="1"/>
  <c r="DB46" i="3" s="1"/>
  <c r="DC46" i="3" s="1"/>
  <c r="DD46" i="3" s="1"/>
  <c r="DE46" i="3" s="1"/>
  <c r="DF46" i="3" s="1"/>
  <c r="DG46" i="3" s="1"/>
  <c r="DH46" i="3" s="1"/>
  <c r="DI46" i="3" s="1"/>
  <c r="DJ46" i="3" s="1"/>
  <c r="DK46" i="3" s="1"/>
  <c r="DL46" i="3" s="1"/>
  <c r="DM46" i="3" s="1"/>
  <c r="DN46" i="3" s="1"/>
  <c r="DO46" i="3" s="1"/>
  <c r="DP46" i="3" s="1"/>
  <c r="DQ46" i="3" s="1"/>
  <c r="C44" i="3"/>
  <c r="D44" i="3" s="1"/>
  <c r="E44" i="3" s="1"/>
  <c r="F44" i="3" s="1"/>
  <c r="G44" i="3" s="1"/>
  <c r="H44" i="3" s="1"/>
  <c r="I44" i="3" s="1"/>
  <c r="J44" i="3" s="1"/>
  <c r="K44" i="3" s="1"/>
  <c r="L44" i="3" s="1"/>
  <c r="M44" i="3" s="1"/>
  <c r="N44" i="3" s="1"/>
  <c r="O44" i="3" s="1"/>
  <c r="P44" i="3" s="1"/>
  <c r="Q44" i="3" s="1"/>
  <c r="R44" i="3" s="1"/>
  <c r="S44" i="3" s="1"/>
  <c r="T44" i="3" s="1"/>
  <c r="U44" i="3" s="1"/>
  <c r="V44" i="3" s="1"/>
  <c r="W44" i="3" s="1"/>
  <c r="X44" i="3" s="1"/>
  <c r="Y44" i="3" s="1"/>
  <c r="Z44" i="3" s="1"/>
  <c r="AA44" i="3" s="1"/>
  <c r="AB44" i="3" s="1"/>
  <c r="AC44" i="3" s="1"/>
  <c r="AD44" i="3" s="1"/>
  <c r="AE44" i="3" s="1"/>
  <c r="AF44" i="3" s="1"/>
  <c r="AG44" i="3" s="1"/>
  <c r="AH44" i="3" s="1"/>
  <c r="AI44" i="3" s="1"/>
  <c r="AJ44" i="3" s="1"/>
  <c r="AK44" i="3" s="1"/>
  <c r="AL44" i="3" s="1"/>
  <c r="AM44" i="3" s="1"/>
  <c r="AN44" i="3" s="1"/>
  <c r="AO44" i="3" s="1"/>
  <c r="AP44" i="3" s="1"/>
  <c r="AQ44" i="3" s="1"/>
  <c r="AR44" i="3" s="1"/>
  <c r="AS44" i="3" s="1"/>
  <c r="AT44" i="3" s="1"/>
  <c r="AU44" i="3" s="1"/>
  <c r="AV44" i="3" s="1"/>
  <c r="AW44" i="3" s="1"/>
  <c r="AX44" i="3" s="1"/>
  <c r="AY44" i="3" s="1"/>
  <c r="AZ44" i="3" s="1"/>
  <c r="BA44" i="3" s="1"/>
  <c r="BB44" i="3" s="1"/>
  <c r="BC44" i="3" s="1"/>
  <c r="BD44" i="3" s="1"/>
  <c r="BE44" i="3" s="1"/>
  <c r="BF44" i="3" s="1"/>
  <c r="BG44" i="3" s="1"/>
  <c r="BH44" i="3" s="1"/>
  <c r="BI44" i="3" s="1"/>
  <c r="BJ44" i="3" s="1"/>
  <c r="BK44" i="3" s="1"/>
  <c r="BL44" i="3" s="1"/>
  <c r="BM44" i="3" s="1"/>
  <c r="BN44" i="3" s="1"/>
  <c r="BO44" i="3" s="1"/>
  <c r="BP44" i="3" s="1"/>
  <c r="BQ44" i="3" s="1"/>
  <c r="BR44" i="3" s="1"/>
  <c r="BS44" i="3" s="1"/>
  <c r="BT44" i="3" s="1"/>
  <c r="BU44" i="3" s="1"/>
  <c r="BV44" i="3" s="1"/>
  <c r="BW44" i="3" s="1"/>
  <c r="BX44" i="3" s="1"/>
  <c r="BY44" i="3" s="1"/>
  <c r="BZ44" i="3" s="1"/>
  <c r="CA44" i="3" s="1"/>
  <c r="CB44" i="3" s="1"/>
  <c r="CC44" i="3" s="1"/>
  <c r="CD44" i="3" s="1"/>
  <c r="CE44" i="3" s="1"/>
  <c r="CF44" i="3" s="1"/>
  <c r="CG44" i="3" s="1"/>
  <c r="CH44" i="3" s="1"/>
  <c r="CI44" i="3" s="1"/>
  <c r="CJ44" i="3" s="1"/>
  <c r="CK44" i="3" s="1"/>
  <c r="CL44" i="3" s="1"/>
  <c r="CM44" i="3" s="1"/>
  <c r="CN44" i="3" s="1"/>
  <c r="CO44" i="3" s="1"/>
  <c r="CP44" i="3" s="1"/>
  <c r="CQ44" i="3" s="1"/>
  <c r="CR44" i="3" s="1"/>
  <c r="CS44" i="3" s="1"/>
  <c r="CT44" i="3" s="1"/>
  <c r="CU44" i="3" s="1"/>
  <c r="CV44" i="3" s="1"/>
  <c r="CW44" i="3" s="1"/>
  <c r="CX44" i="3" s="1"/>
  <c r="CY44" i="3" s="1"/>
  <c r="CZ44" i="3" s="1"/>
  <c r="DA44" i="3" s="1"/>
  <c r="DB44" i="3" s="1"/>
  <c r="DC44" i="3" s="1"/>
  <c r="DD44" i="3" s="1"/>
  <c r="DE44" i="3" s="1"/>
  <c r="DF44" i="3" s="1"/>
  <c r="DG44" i="3" s="1"/>
  <c r="DH44" i="3" s="1"/>
  <c r="DI44" i="3" s="1"/>
  <c r="DJ44" i="3" s="1"/>
  <c r="DK44" i="3" s="1"/>
  <c r="DL44" i="3" s="1"/>
  <c r="DM44" i="3" s="1"/>
  <c r="DN44" i="3" s="1"/>
  <c r="DO44" i="3" s="1"/>
  <c r="DP44" i="3" s="1"/>
  <c r="DQ44" i="3" s="1"/>
  <c r="DR44" i="3" s="1"/>
  <c r="DS44" i="3" s="1"/>
  <c r="D16" i="3"/>
  <c r="I47" i="3" s="1"/>
  <c r="D15" i="3"/>
  <c r="C32" i="3"/>
  <c r="D32" i="3" s="1"/>
  <c r="E32" i="3" s="1"/>
  <c r="F32" i="3" s="1"/>
  <c r="G32" i="3" s="1"/>
  <c r="H32" i="3" s="1"/>
  <c r="I32" i="3" s="1"/>
  <c r="J32" i="3" s="1"/>
  <c r="K32" i="3" s="1"/>
  <c r="L32" i="3" s="1"/>
  <c r="M32" i="3" s="1"/>
  <c r="N32" i="3" s="1"/>
  <c r="O32" i="3" s="1"/>
  <c r="P32" i="3" s="1"/>
  <c r="Q32" i="3" s="1"/>
  <c r="R32" i="3" s="1"/>
  <c r="S32" i="3" s="1"/>
  <c r="T32" i="3" s="1"/>
  <c r="U32" i="3" s="1"/>
  <c r="V32" i="3" s="1"/>
  <c r="W32" i="3" s="1"/>
  <c r="X32" i="3" s="1"/>
  <c r="Y32" i="3" s="1"/>
  <c r="Z32" i="3" s="1"/>
  <c r="AA32" i="3" s="1"/>
  <c r="AB32" i="3" s="1"/>
  <c r="AC32" i="3" s="1"/>
  <c r="AD32" i="3" s="1"/>
  <c r="AE32" i="3" s="1"/>
  <c r="AF32" i="3" s="1"/>
  <c r="AG32" i="3" s="1"/>
  <c r="AH32" i="3" s="1"/>
  <c r="AI32" i="3" s="1"/>
  <c r="AJ32" i="3" s="1"/>
  <c r="AK32" i="3" s="1"/>
  <c r="AL32" i="3" s="1"/>
  <c r="AM32" i="3" s="1"/>
  <c r="AN32" i="3" s="1"/>
  <c r="AO32" i="3" s="1"/>
  <c r="AP32" i="3" s="1"/>
  <c r="AQ32" i="3" s="1"/>
  <c r="AR32" i="3" s="1"/>
  <c r="AS32" i="3" s="1"/>
  <c r="AT32" i="3" s="1"/>
  <c r="AU32" i="3" s="1"/>
  <c r="AV32" i="3" s="1"/>
  <c r="AW32" i="3" s="1"/>
  <c r="AX32" i="3" s="1"/>
  <c r="AY32" i="3" s="1"/>
  <c r="AZ32" i="3" s="1"/>
  <c r="BA32" i="3" s="1"/>
  <c r="BB32" i="3" s="1"/>
  <c r="BC32" i="3" s="1"/>
  <c r="BD32" i="3" s="1"/>
  <c r="BE32" i="3" s="1"/>
  <c r="BF32" i="3" s="1"/>
  <c r="BG32" i="3" s="1"/>
  <c r="BH32" i="3" s="1"/>
  <c r="BI32" i="3" s="1"/>
  <c r="BJ32" i="3" s="1"/>
  <c r="BK32" i="3" s="1"/>
  <c r="BL32" i="3" s="1"/>
  <c r="BM32" i="3" s="1"/>
  <c r="BN32" i="3" s="1"/>
  <c r="BO32" i="3" s="1"/>
  <c r="BP32" i="3" s="1"/>
  <c r="BQ32" i="3" s="1"/>
  <c r="BR32" i="3" s="1"/>
  <c r="BS32" i="3" s="1"/>
  <c r="BT32" i="3" s="1"/>
  <c r="BU32" i="3" s="1"/>
  <c r="BV32" i="3" s="1"/>
  <c r="BW32" i="3" s="1"/>
  <c r="BX32" i="3" s="1"/>
  <c r="BY32" i="3" s="1"/>
  <c r="BZ32" i="3" s="1"/>
  <c r="CA32" i="3" s="1"/>
  <c r="CB32" i="3" s="1"/>
  <c r="CC32" i="3" s="1"/>
  <c r="CD32" i="3" s="1"/>
  <c r="CE32" i="3" s="1"/>
  <c r="CF32" i="3" s="1"/>
  <c r="CG32" i="3" s="1"/>
  <c r="CH32" i="3" s="1"/>
  <c r="CI32" i="3" s="1"/>
  <c r="CJ32" i="3" s="1"/>
  <c r="CK32" i="3" s="1"/>
  <c r="CL32" i="3" s="1"/>
  <c r="CM32" i="3" s="1"/>
  <c r="CN32" i="3" s="1"/>
  <c r="CO32" i="3" s="1"/>
  <c r="CP32" i="3" s="1"/>
  <c r="CQ32" i="3" s="1"/>
  <c r="CR32" i="3" s="1"/>
  <c r="CS32" i="3" s="1"/>
  <c r="CT32" i="3" s="1"/>
  <c r="CU32" i="3" s="1"/>
  <c r="CV32" i="3" s="1"/>
  <c r="CW32" i="3" s="1"/>
  <c r="CX32" i="3" s="1"/>
  <c r="CY32" i="3" s="1"/>
  <c r="CZ32" i="3" s="1"/>
  <c r="DA32" i="3" s="1"/>
  <c r="DB32" i="3" s="1"/>
  <c r="DC32" i="3" s="1"/>
  <c r="DD32" i="3" s="1"/>
  <c r="DE32" i="3" s="1"/>
  <c r="DF32" i="3" s="1"/>
  <c r="DG32" i="3" s="1"/>
  <c r="DH32" i="3" s="1"/>
  <c r="DI32" i="3" s="1"/>
  <c r="DJ32" i="3" s="1"/>
  <c r="DK32" i="3" s="1"/>
  <c r="DL32" i="3" s="1"/>
  <c r="DM32" i="3" s="1"/>
  <c r="DN32" i="3" s="1"/>
  <c r="DO32" i="3" s="1"/>
  <c r="DP32" i="3" s="1"/>
  <c r="DQ32" i="3" s="1"/>
  <c r="DR32" i="3" s="1"/>
  <c r="DS32" i="3" s="1"/>
  <c r="C39" i="3"/>
  <c r="B39" i="3"/>
  <c r="C38" i="3"/>
  <c r="C26" i="3" s="1"/>
  <c r="C34" i="3"/>
  <c r="D34" i="3" s="1"/>
  <c r="E34" i="3" s="1"/>
  <c r="F34" i="3" s="1"/>
  <c r="G34" i="3" s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AV34" i="3" s="1"/>
  <c r="AW34" i="3" s="1"/>
  <c r="AX34" i="3" s="1"/>
  <c r="AY34" i="3" s="1"/>
  <c r="AZ34" i="3" s="1"/>
  <c r="BA34" i="3" s="1"/>
  <c r="BB34" i="3" s="1"/>
  <c r="BC34" i="3" s="1"/>
  <c r="BD34" i="3" s="1"/>
  <c r="BE34" i="3" s="1"/>
  <c r="BF34" i="3" s="1"/>
  <c r="BG34" i="3" s="1"/>
  <c r="BH34" i="3" s="1"/>
  <c r="BI34" i="3" s="1"/>
  <c r="BJ34" i="3" s="1"/>
  <c r="BK34" i="3" s="1"/>
  <c r="BL34" i="3" s="1"/>
  <c r="BM34" i="3" s="1"/>
  <c r="BN34" i="3" s="1"/>
  <c r="BO34" i="3" s="1"/>
  <c r="BP34" i="3" s="1"/>
  <c r="BQ34" i="3" s="1"/>
  <c r="BR34" i="3" s="1"/>
  <c r="BS34" i="3" s="1"/>
  <c r="BT34" i="3" s="1"/>
  <c r="BU34" i="3" s="1"/>
  <c r="BV34" i="3" s="1"/>
  <c r="BW34" i="3" s="1"/>
  <c r="BX34" i="3" s="1"/>
  <c r="BY34" i="3" s="1"/>
  <c r="BZ34" i="3" s="1"/>
  <c r="CA34" i="3" s="1"/>
  <c r="CB34" i="3" s="1"/>
  <c r="CC34" i="3" s="1"/>
  <c r="CD34" i="3" s="1"/>
  <c r="CE34" i="3" s="1"/>
  <c r="CF34" i="3" s="1"/>
  <c r="CG34" i="3" s="1"/>
  <c r="CH34" i="3" s="1"/>
  <c r="CI34" i="3" s="1"/>
  <c r="CJ34" i="3" s="1"/>
  <c r="CK34" i="3" s="1"/>
  <c r="CL34" i="3" s="1"/>
  <c r="CM34" i="3" s="1"/>
  <c r="CN34" i="3" s="1"/>
  <c r="CO34" i="3" s="1"/>
  <c r="CP34" i="3" s="1"/>
  <c r="CQ34" i="3" s="1"/>
  <c r="CR34" i="3" s="1"/>
  <c r="CS34" i="3" s="1"/>
  <c r="CT34" i="3" s="1"/>
  <c r="CU34" i="3" s="1"/>
  <c r="CV34" i="3" s="1"/>
  <c r="CW34" i="3" s="1"/>
  <c r="CX34" i="3" s="1"/>
  <c r="CY34" i="3" s="1"/>
  <c r="CZ34" i="3" s="1"/>
  <c r="DA34" i="3" s="1"/>
  <c r="DB34" i="3" s="1"/>
  <c r="DC34" i="3" s="1"/>
  <c r="DD34" i="3" s="1"/>
  <c r="DE34" i="3" s="1"/>
  <c r="DF34" i="3" s="1"/>
  <c r="DG34" i="3" s="1"/>
  <c r="DH34" i="3" s="1"/>
  <c r="DI34" i="3" s="1"/>
  <c r="DJ34" i="3" s="1"/>
  <c r="DK34" i="3" s="1"/>
  <c r="DL34" i="3" s="1"/>
  <c r="DM34" i="3" s="1"/>
  <c r="DN34" i="3" s="1"/>
  <c r="DO34" i="3" s="1"/>
  <c r="DP34" i="3" s="1"/>
  <c r="DQ34" i="3" s="1"/>
  <c r="K56" i="2"/>
  <c r="AE50" i="3" s="1"/>
  <c r="J56" i="2"/>
  <c r="AB50" i="3" s="1"/>
  <c r="D53" i="2"/>
  <c r="C57" i="2"/>
  <c r="D57" i="2" s="1"/>
  <c r="E57" i="2" s="1"/>
  <c r="F57" i="2" s="1"/>
  <c r="G57" i="2" s="1"/>
  <c r="H57" i="2" s="1"/>
  <c r="I57" i="2" s="1"/>
  <c r="B55" i="2"/>
  <c r="B59" i="2"/>
  <c r="C44" i="2"/>
  <c r="D44" i="2" s="1"/>
  <c r="E44" i="2" s="1"/>
  <c r="F44" i="2" s="1"/>
  <c r="G44" i="2" s="1"/>
  <c r="H44" i="2" s="1"/>
  <c r="I44" i="2" s="1"/>
  <c r="S52" i="2" l="1"/>
  <c r="S65" i="2" s="1"/>
  <c r="AM60" i="3" s="1"/>
  <c r="AM36" i="3"/>
  <c r="AA52" i="2"/>
  <c r="AA65" i="2" s="1"/>
  <c r="AU60" i="3" s="1"/>
  <c r="AU36" i="3"/>
  <c r="P52" i="2"/>
  <c r="P65" i="2" s="1"/>
  <c r="AJ60" i="3" s="1"/>
  <c r="AJ36" i="3"/>
  <c r="AB52" i="2"/>
  <c r="AB65" i="2" s="1"/>
  <c r="AV60" i="3" s="1"/>
  <c r="AV36" i="3"/>
  <c r="M52" i="2"/>
  <c r="M65" i="2" s="1"/>
  <c r="AG60" i="3" s="1"/>
  <c r="AG36" i="3"/>
  <c r="Q52" i="2"/>
  <c r="Q65" i="2" s="1"/>
  <c r="AK60" i="3" s="1"/>
  <c r="AK36" i="3"/>
  <c r="U52" i="2"/>
  <c r="U65" i="2" s="1"/>
  <c r="AO60" i="3" s="1"/>
  <c r="AO36" i="3"/>
  <c r="Y52" i="2"/>
  <c r="Y65" i="2" s="1"/>
  <c r="AS60" i="3" s="1"/>
  <c r="AS36" i="3"/>
  <c r="AC52" i="2"/>
  <c r="AC65" i="2" s="1"/>
  <c r="AW60" i="3" s="1"/>
  <c r="AW36" i="3"/>
  <c r="AG52" i="2"/>
  <c r="AG65" i="2" s="1"/>
  <c r="BA60" i="3" s="1"/>
  <c r="BA36" i="3"/>
  <c r="AK52" i="2"/>
  <c r="AK65" i="2" s="1"/>
  <c r="BE60" i="3" s="1"/>
  <c r="BE36" i="3"/>
  <c r="O52" i="2"/>
  <c r="O65" i="2" s="1"/>
  <c r="AI60" i="3" s="1"/>
  <c r="AI36" i="3"/>
  <c r="W52" i="2"/>
  <c r="W65" i="2" s="1"/>
  <c r="AQ60" i="3" s="1"/>
  <c r="AQ36" i="3"/>
  <c r="AE52" i="2"/>
  <c r="AE65" i="2" s="1"/>
  <c r="AY60" i="3" s="1"/>
  <c r="AY36" i="3"/>
  <c r="AI52" i="2"/>
  <c r="AI65" i="2" s="1"/>
  <c r="BC60" i="3" s="1"/>
  <c r="BC36" i="3"/>
  <c r="AM52" i="2"/>
  <c r="AM65" i="2" s="1"/>
  <c r="BG60" i="3" s="1"/>
  <c r="BG36" i="3"/>
  <c r="T52" i="2"/>
  <c r="T65" i="2" s="1"/>
  <c r="AN60" i="3" s="1"/>
  <c r="AN36" i="3"/>
  <c r="X52" i="2"/>
  <c r="X65" i="2" s="1"/>
  <c r="AR60" i="3" s="1"/>
  <c r="AR36" i="3"/>
  <c r="AF52" i="2"/>
  <c r="AF65" i="2" s="1"/>
  <c r="AZ60" i="3" s="1"/>
  <c r="AZ36" i="3"/>
  <c r="AJ52" i="2"/>
  <c r="AJ65" i="2" s="1"/>
  <c r="BD60" i="3" s="1"/>
  <c r="BD36" i="3"/>
  <c r="AN52" i="2"/>
  <c r="AN65" i="2" s="1"/>
  <c r="BH60" i="3" s="1"/>
  <c r="BH36" i="3"/>
  <c r="N52" i="2"/>
  <c r="N65" i="2" s="1"/>
  <c r="AH60" i="3" s="1"/>
  <c r="AH36" i="3"/>
  <c r="R52" i="2"/>
  <c r="R65" i="2" s="1"/>
  <c r="AL60" i="3" s="1"/>
  <c r="AL36" i="3"/>
  <c r="V52" i="2"/>
  <c r="V65" i="2" s="1"/>
  <c r="AP60" i="3" s="1"/>
  <c r="AP36" i="3"/>
  <c r="Z52" i="2"/>
  <c r="Z65" i="2" s="1"/>
  <c r="AT60" i="3" s="1"/>
  <c r="AT36" i="3"/>
  <c r="AD52" i="2"/>
  <c r="AD65" i="2" s="1"/>
  <c r="AX60" i="3" s="1"/>
  <c r="AX36" i="3"/>
  <c r="AH52" i="2"/>
  <c r="AH65" i="2" s="1"/>
  <c r="BB60" i="3" s="1"/>
  <c r="BB36" i="3"/>
  <c r="AL52" i="2"/>
  <c r="AL65" i="2" s="1"/>
  <c r="BF60" i="3" s="1"/>
  <c r="BF36" i="3"/>
  <c r="AO52" i="2"/>
  <c r="AW52" i="2"/>
  <c r="AV65" i="2"/>
  <c r="BP60" i="3" s="1"/>
  <c r="AX39" i="2"/>
  <c r="BR36" i="3" s="1"/>
  <c r="AW80" i="2"/>
  <c r="AW21" i="2"/>
  <c r="AW36" i="2" s="1"/>
  <c r="AW49" i="2" s="1"/>
  <c r="AW62" i="2" s="1"/>
  <c r="D71" i="2"/>
  <c r="D68" i="2"/>
  <c r="E68" i="2" s="1"/>
  <c r="F68" i="2" s="1"/>
  <c r="D54" i="2"/>
  <c r="E67" i="2"/>
  <c r="E71" i="2" s="1"/>
  <c r="F67" i="2"/>
  <c r="F71" i="2" s="1"/>
  <c r="K65" i="2"/>
  <c r="I52" i="2"/>
  <c r="G67" i="2"/>
  <c r="H67" i="2"/>
  <c r="J66" i="2"/>
  <c r="N61" i="3"/>
  <c r="N64" i="3"/>
  <c r="P62" i="3"/>
  <c r="O65" i="3"/>
  <c r="O63" i="3"/>
  <c r="D38" i="3"/>
  <c r="D26" i="3" s="1"/>
  <c r="I48" i="3"/>
  <c r="J57" i="2"/>
  <c r="K57" i="2" s="1"/>
  <c r="L57" i="2" s="1"/>
  <c r="M57" i="2" s="1"/>
  <c r="N57" i="2" s="1"/>
  <c r="O57" i="2" s="1"/>
  <c r="P57" i="2" s="1"/>
  <c r="Q57" i="2" s="1"/>
  <c r="R57" i="2" s="1"/>
  <c r="S57" i="2" s="1"/>
  <c r="T57" i="2" s="1"/>
  <c r="U57" i="2" s="1"/>
  <c r="V57" i="2" s="1"/>
  <c r="W57" i="2" s="1"/>
  <c r="X57" i="2" s="1"/>
  <c r="Y57" i="2" s="1"/>
  <c r="Z57" i="2" s="1"/>
  <c r="AA57" i="2" s="1"/>
  <c r="AB57" i="2" s="1"/>
  <c r="AC57" i="2" s="1"/>
  <c r="AD57" i="2" s="1"/>
  <c r="AE57" i="2" s="1"/>
  <c r="AF57" i="2" s="1"/>
  <c r="AG57" i="2" s="1"/>
  <c r="AH57" i="2" s="1"/>
  <c r="AI57" i="2" s="1"/>
  <c r="AJ57" i="2" s="1"/>
  <c r="AK57" i="2" s="1"/>
  <c r="AL57" i="2" s="1"/>
  <c r="AM57" i="2" s="1"/>
  <c r="AN57" i="2" s="1"/>
  <c r="AO57" i="2" s="1"/>
  <c r="AP57" i="2" s="1"/>
  <c r="AQ57" i="2" s="1"/>
  <c r="AR57" i="2" s="1"/>
  <c r="AS57" i="2" s="1"/>
  <c r="AT57" i="2" s="1"/>
  <c r="AU57" i="2" s="1"/>
  <c r="AV57" i="2" s="1"/>
  <c r="AW57" i="2" s="1"/>
  <c r="AX57" i="2" s="1"/>
  <c r="AY57" i="2" s="1"/>
  <c r="AZ57" i="2" s="1"/>
  <c r="BA57" i="2" s="1"/>
  <c r="BB57" i="2" s="1"/>
  <c r="BC57" i="2" s="1"/>
  <c r="BD57" i="2" s="1"/>
  <c r="BE57" i="2" s="1"/>
  <c r="BF57" i="2" s="1"/>
  <c r="BG57" i="2" s="1"/>
  <c r="BH57" i="2" s="1"/>
  <c r="BI57" i="2" s="1"/>
  <c r="BJ57" i="2" s="1"/>
  <c r="BK57" i="2" s="1"/>
  <c r="BL57" i="2" s="1"/>
  <c r="BM57" i="2" s="1"/>
  <c r="BN57" i="2" s="1"/>
  <c r="BO57" i="2" s="1"/>
  <c r="BP57" i="2" s="1"/>
  <c r="BQ57" i="2" s="1"/>
  <c r="BR57" i="2" s="1"/>
  <c r="BS57" i="2" s="1"/>
  <c r="BT57" i="2" s="1"/>
  <c r="BU57" i="2" s="1"/>
  <c r="BV57" i="2" s="1"/>
  <c r="BW57" i="2" s="1"/>
  <c r="BX57" i="2" s="1"/>
  <c r="BY57" i="2" s="1"/>
  <c r="BZ57" i="2" s="1"/>
  <c r="CA57" i="2" s="1"/>
  <c r="CB57" i="2" s="1"/>
  <c r="CC57" i="2" s="1"/>
  <c r="CD57" i="2" s="1"/>
  <c r="CE57" i="2" s="1"/>
  <c r="CF57" i="2" s="1"/>
  <c r="CG57" i="2" s="1"/>
  <c r="CH57" i="2" s="1"/>
  <c r="CI57" i="2" s="1"/>
  <c r="CJ57" i="2" s="1"/>
  <c r="CK57" i="2" s="1"/>
  <c r="CL57" i="2" s="1"/>
  <c r="CM57" i="2" s="1"/>
  <c r="CN57" i="2" s="1"/>
  <c r="CO57" i="2" s="1"/>
  <c r="CP57" i="2" s="1"/>
  <c r="CQ57" i="2" s="1"/>
  <c r="CR57" i="2" s="1"/>
  <c r="CS57" i="2" s="1"/>
  <c r="CT57" i="2" s="1"/>
  <c r="CU57" i="2" s="1"/>
  <c r="CV57" i="2" s="1"/>
  <c r="CW57" i="2" s="1"/>
  <c r="C58" i="2"/>
  <c r="C53" i="2"/>
  <c r="C59" i="2" s="1"/>
  <c r="C55" i="2"/>
  <c r="B58" i="2"/>
  <c r="AW65" i="2" l="1"/>
  <c r="BQ60" i="3" s="1"/>
  <c r="AX52" i="2"/>
  <c r="AO65" i="2"/>
  <c r="BI60" i="3" s="1"/>
  <c r="AY39" i="2"/>
  <c r="BS36" i="3" s="1"/>
  <c r="AX80" i="2"/>
  <c r="AX21" i="2"/>
  <c r="AX36" i="2" s="1"/>
  <c r="AX49" i="2" s="1"/>
  <c r="AX62" i="2" s="1"/>
  <c r="E38" i="3"/>
  <c r="E26" i="3" s="1"/>
  <c r="I65" i="2"/>
  <c r="G68" i="2"/>
  <c r="H68" i="2" s="1"/>
  <c r="G71" i="2"/>
  <c r="H71" i="2"/>
  <c r="J72" i="2"/>
  <c r="O61" i="3"/>
  <c r="P61" i="3" s="1"/>
  <c r="P65" i="3"/>
  <c r="Q62" i="3"/>
  <c r="P63" i="3"/>
  <c r="O64" i="3"/>
  <c r="D39" i="3"/>
  <c r="F38" i="3"/>
  <c r="F26" i="3" s="1"/>
  <c r="E39" i="3"/>
  <c r="D55" i="2"/>
  <c r="D59" i="2"/>
  <c r="E54" i="2" s="1"/>
  <c r="D58" i="2"/>
  <c r="AY52" i="2" l="1"/>
  <c r="AX65" i="2"/>
  <c r="BR60" i="3" s="1"/>
  <c r="AZ39" i="2"/>
  <c r="BT36" i="3" s="1"/>
  <c r="AY80" i="2"/>
  <c r="AY21" i="2"/>
  <c r="AY36" i="2" s="1"/>
  <c r="AY49" i="2" s="1"/>
  <c r="AY62" i="2" s="1"/>
  <c r="Q63" i="3"/>
  <c r="I67" i="2"/>
  <c r="I71" i="2" s="1"/>
  <c r="J67" i="2"/>
  <c r="K67" i="2"/>
  <c r="K66" i="2"/>
  <c r="Q65" i="3"/>
  <c r="R59" i="3" s="1"/>
  <c r="Q61" i="3"/>
  <c r="P64" i="3"/>
  <c r="R62" i="3"/>
  <c r="F39" i="3"/>
  <c r="G38" i="3"/>
  <c r="G26" i="3" s="1"/>
  <c r="E58" i="2"/>
  <c r="E53" i="2"/>
  <c r="E59" i="2" s="1"/>
  <c r="AZ52" i="2" l="1"/>
  <c r="AY65" i="2"/>
  <c r="BS60" i="3" s="1"/>
  <c r="BA39" i="2"/>
  <c r="BU36" i="3" s="1"/>
  <c r="AZ80" i="2"/>
  <c r="AZ21" i="2"/>
  <c r="AZ36" i="2" s="1"/>
  <c r="AZ49" i="2" s="1"/>
  <c r="AZ62" i="2" s="1"/>
  <c r="J71" i="2"/>
  <c r="I68" i="2"/>
  <c r="J68" i="2" s="1"/>
  <c r="K68" i="2" s="1"/>
  <c r="K71" i="2"/>
  <c r="K72" i="2"/>
  <c r="Q64" i="3"/>
  <c r="R65" i="3"/>
  <c r="S59" i="3" s="1"/>
  <c r="R60" i="3"/>
  <c r="R61" i="3" s="1"/>
  <c r="S62" i="3"/>
  <c r="R63" i="3"/>
  <c r="G39" i="3"/>
  <c r="I50" i="3"/>
  <c r="H38" i="3"/>
  <c r="H26" i="3" s="1"/>
  <c r="E55" i="2"/>
  <c r="F54" i="2"/>
  <c r="F58" i="2" s="1"/>
  <c r="F53" i="2"/>
  <c r="F59" i="2" s="1"/>
  <c r="BA52" i="2" l="1"/>
  <c r="AZ65" i="2"/>
  <c r="BT60" i="3" s="1"/>
  <c r="BB39" i="2"/>
  <c r="BV36" i="3" s="1"/>
  <c r="BA80" i="2"/>
  <c r="BA21" i="2"/>
  <c r="BA36" i="2" s="1"/>
  <c r="BA49" i="2" s="1"/>
  <c r="BA62" i="2" s="1"/>
  <c r="L67" i="2"/>
  <c r="L66" i="2"/>
  <c r="T62" i="3"/>
  <c r="S65" i="3"/>
  <c r="T59" i="3" s="1"/>
  <c r="T60" i="3" s="1"/>
  <c r="S63" i="3"/>
  <c r="R64" i="3"/>
  <c r="H39" i="3"/>
  <c r="J50" i="3"/>
  <c r="I51" i="3"/>
  <c r="I38" i="3"/>
  <c r="F55" i="2"/>
  <c r="G54" i="2"/>
  <c r="G53" i="2"/>
  <c r="G59" i="2" s="1"/>
  <c r="BA65" i="2" l="1"/>
  <c r="BU60" i="3" s="1"/>
  <c r="BB52" i="2"/>
  <c r="BC39" i="2"/>
  <c r="BW36" i="3" s="1"/>
  <c r="BB80" i="2"/>
  <c r="BB21" i="2"/>
  <c r="BB36" i="2" s="1"/>
  <c r="BB49" i="2" s="1"/>
  <c r="BB62" i="2" s="1"/>
  <c r="I39" i="3"/>
  <c r="I26" i="3"/>
  <c r="S60" i="3"/>
  <c r="S61" i="3" s="1"/>
  <c r="T61" i="3" s="1"/>
  <c r="L72" i="2"/>
  <c r="L71" i="2"/>
  <c r="L68" i="2"/>
  <c r="T65" i="3"/>
  <c r="U59" i="3" s="1"/>
  <c r="U60" i="3" s="1"/>
  <c r="T63" i="3"/>
  <c r="U62" i="3"/>
  <c r="J51" i="3"/>
  <c r="K50" i="3"/>
  <c r="J38" i="3"/>
  <c r="J26" i="3" s="1"/>
  <c r="G55" i="2"/>
  <c r="G58" i="2"/>
  <c r="H54" i="2"/>
  <c r="H53" i="2"/>
  <c r="H59" i="2" s="1"/>
  <c r="BB65" i="2" l="1"/>
  <c r="BV60" i="3" s="1"/>
  <c r="BC52" i="2"/>
  <c r="BD39" i="2"/>
  <c r="BX36" i="3" s="1"/>
  <c r="BC80" i="2"/>
  <c r="BC21" i="2"/>
  <c r="BC36" i="2" s="1"/>
  <c r="BC49" i="2" s="1"/>
  <c r="BC62" i="2" s="1"/>
  <c r="U63" i="3"/>
  <c r="K51" i="3"/>
  <c r="S64" i="3"/>
  <c r="M67" i="2"/>
  <c r="M66" i="2"/>
  <c r="V62" i="3"/>
  <c r="V63" i="3" s="1"/>
  <c r="T64" i="3"/>
  <c r="U65" i="3"/>
  <c r="V59" i="3" s="1"/>
  <c r="V60" i="3" s="1"/>
  <c r="U61" i="3"/>
  <c r="I53" i="3"/>
  <c r="J47" i="3" s="1"/>
  <c r="I52" i="3"/>
  <c r="L50" i="3"/>
  <c r="K38" i="3"/>
  <c r="K26" i="3" s="1"/>
  <c r="J39" i="3"/>
  <c r="I54" i="2"/>
  <c r="I53" i="2"/>
  <c r="I59" i="2" s="1"/>
  <c r="J54" i="2" s="1"/>
  <c r="H55" i="2"/>
  <c r="H58" i="2"/>
  <c r="BC65" i="2" l="1"/>
  <c r="BW60" i="3" s="1"/>
  <c r="BD52" i="2"/>
  <c r="BE39" i="2"/>
  <c r="BY36" i="3" s="1"/>
  <c r="BD80" i="2"/>
  <c r="BD21" i="2"/>
  <c r="BD36" i="2" s="1"/>
  <c r="BD49" i="2" s="1"/>
  <c r="BD62" i="2" s="1"/>
  <c r="M72" i="2"/>
  <c r="M71" i="2"/>
  <c r="M68" i="2"/>
  <c r="U64" i="3"/>
  <c r="V65" i="3"/>
  <c r="W59" i="3" s="1"/>
  <c r="W60" i="3" s="1"/>
  <c r="V61" i="3"/>
  <c r="W62" i="3"/>
  <c r="W63" i="3" s="1"/>
  <c r="K39" i="3"/>
  <c r="L39" i="3" s="1"/>
  <c r="I49" i="3"/>
  <c r="M50" i="3"/>
  <c r="L51" i="3"/>
  <c r="J53" i="3"/>
  <c r="K47" i="3" s="1"/>
  <c r="L38" i="3"/>
  <c r="L26" i="3" s="1"/>
  <c r="I58" i="2"/>
  <c r="I55" i="2"/>
  <c r="J53" i="2"/>
  <c r="J59" i="2" s="1"/>
  <c r="K54" i="2" s="1"/>
  <c r="BD65" i="2" l="1"/>
  <c r="BX60" i="3" s="1"/>
  <c r="BE52" i="2"/>
  <c r="BF39" i="2"/>
  <c r="BZ36" i="3" s="1"/>
  <c r="BE80" i="2"/>
  <c r="BE21" i="2"/>
  <c r="BE36" i="2" s="1"/>
  <c r="BE49" i="2" s="1"/>
  <c r="BE62" i="2" s="1"/>
  <c r="N67" i="2"/>
  <c r="N66" i="2"/>
  <c r="V64" i="3"/>
  <c r="X63" i="3"/>
  <c r="W65" i="3"/>
  <c r="X59" i="3" s="1"/>
  <c r="X60" i="3" s="1"/>
  <c r="W61" i="3"/>
  <c r="X62" i="3"/>
  <c r="J48" i="3"/>
  <c r="J52" i="3" s="1"/>
  <c r="M51" i="3"/>
  <c r="N50" i="3"/>
  <c r="K53" i="3"/>
  <c r="L47" i="3" s="1"/>
  <c r="K48" i="3"/>
  <c r="K52" i="3" s="1"/>
  <c r="M38" i="3"/>
  <c r="M26" i="3" s="1"/>
  <c r="K53" i="2"/>
  <c r="K59" i="2" s="1"/>
  <c r="J55" i="2"/>
  <c r="J58" i="2"/>
  <c r="BE65" i="2" l="1"/>
  <c r="BY60" i="3" s="1"/>
  <c r="BF52" i="2"/>
  <c r="BG39" i="2"/>
  <c r="CA36" i="3" s="1"/>
  <c r="BF80" i="2"/>
  <c r="BF21" i="2"/>
  <c r="BF36" i="2" s="1"/>
  <c r="BF49" i="2" s="1"/>
  <c r="BF62" i="2" s="1"/>
  <c r="N72" i="2"/>
  <c r="N71" i="2"/>
  <c r="N68" i="2"/>
  <c r="X65" i="3"/>
  <c r="Y59" i="3" s="1"/>
  <c r="Y60" i="3" s="1"/>
  <c r="X61" i="3"/>
  <c r="W64" i="3"/>
  <c r="Y62" i="3"/>
  <c r="M39" i="3"/>
  <c r="J49" i="3"/>
  <c r="K49" i="3" s="1"/>
  <c r="N51" i="3"/>
  <c r="O50" i="3"/>
  <c r="L53" i="3"/>
  <c r="M47" i="3" s="1"/>
  <c r="L48" i="3"/>
  <c r="L52" i="3" s="1"/>
  <c r="N38" i="3"/>
  <c r="N26" i="3" s="1"/>
  <c r="K55" i="2"/>
  <c r="K58" i="2"/>
  <c r="L54" i="2"/>
  <c r="L53" i="2"/>
  <c r="L59" i="2" s="1"/>
  <c r="BG52" i="2" l="1"/>
  <c r="BF65" i="2"/>
  <c r="BZ60" i="3" s="1"/>
  <c r="BH39" i="2"/>
  <c r="CB36" i="3" s="1"/>
  <c r="BG80" i="2"/>
  <c r="BG21" i="2"/>
  <c r="BG36" i="2" s="1"/>
  <c r="BG49" i="2" s="1"/>
  <c r="BG62" i="2" s="1"/>
  <c r="O67" i="2"/>
  <c r="O66" i="2"/>
  <c r="Z62" i="3"/>
  <c r="X64" i="3"/>
  <c r="Y63" i="3"/>
  <c r="Y65" i="3"/>
  <c r="Z59" i="3" s="1"/>
  <c r="Z60" i="3" s="1"/>
  <c r="Y61" i="3"/>
  <c r="L49" i="3"/>
  <c r="M53" i="3"/>
  <c r="N47" i="3" s="1"/>
  <c r="M48" i="3"/>
  <c r="M52" i="3" s="1"/>
  <c r="P50" i="3"/>
  <c r="O51" i="3"/>
  <c r="O38" i="3"/>
  <c r="O26" i="3" s="1"/>
  <c r="N39" i="3"/>
  <c r="M54" i="2"/>
  <c r="M53" i="2"/>
  <c r="M59" i="2" s="1"/>
  <c r="L55" i="2"/>
  <c r="L58" i="2"/>
  <c r="BH52" i="2" l="1"/>
  <c r="BG65" i="2"/>
  <c r="CA60" i="3" s="1"/>
  <c r="BI39" i="2"/>
  <c r="CC36" i="3" s="1"/>
  <c r="BH80" i="2"/>
  <c r="BH21" i="2"/>
  <c r="BH36" i="2" s="1"/>
  <c r="BH49" i="2" s="1"/>
  <c r="BH62" i="2" s="1"/>
  <c r="O39" i="3"/>
  <c r="O72" i="2"/>
  <c r="O71" i="2"/>
  <c r="O68" i="2"/>
  <c r="AC62" i="3"/>
  <c r="AA62" i="3"/>
  <c r="Z65" i="3"/>
  <c r="AA59" i="3" s="1"/>
  <c r="AA60" i="3" s="1"/>
  <c r="Z61" i="3"/>
  <c r="Y64" i="3"/>
  <c r="Z63" i="3"/>
  <c r="AA63" i="3" s="1"/>
  <c r="AB63" i="3" s="1"/>
  <c r="M49" i="3"/>
  <c r="Q50" i="3"/>
  <c r="P51" i="3"/>
  <c r="N53" i="3"/>
  <c r="O47" i="3" s="1"/>
  <c r="N48" i="3"/>
  <c r="N52" i="3" s="1"/>
  <c r="P38" i="3"/>
  <c r="P26" i="3" s="1"/>
  <c r="M58" i="2"/>
  <c r="M55" i="2"/>
  <c r="N54" i="2"/>
  <c r="N53" i="2"/>
  <c r="N59" i="2" s="1"/>
  <c r="BH65" i="2" l="1"/>
  <c r="CB60" i="3" s="1"/>
  <c r="BI52" i="2"/>
  <c r="BJ39" i="2"/>
  <c r="CD36" i="3" s="1"/>
  <c r="BI80" i="2"/>
  <c r="BI21" i="2"/>
  <c r="BI36" i="2" s="1"/>
  <c r="BI49" i="2" s="1"/>
  <c r="BI62" i="2" s="1"/>
  <c r="AC63" i="3"/>
  <c r="P67" i="2"/>
  <c r="P66" i="2"/>
  <c r="Z64" i="3"/>
  <c r="AD62" i="3"/>
  <c r="AA65" i="3"/>
  <c r="AB59" i="3" s="1"/>
  <c r="AA61" i="3"/>
  <c r="P39" i="3"/>
  <c r="Q51" i="3"/>
  <c r="N49" i="3"/>
  <c r="R50" i="3"/>
  <c r="O53" i="3"/>
  <c r="P47" i="3" s="1"/>
  <c r="O48" i="3"/>
  <c r="O52" i="3" s="1"/>
  <c r="Q38" i="3"/>
  <c r="Q26" i="3" s="1"/>
  <c r="O54" i="2"/>
  <c r="O53" i="2"/>
  <c r="O59" i="2" s="1"/>
  <c r="N55" i="2"/>
  <c r="N58" i="2"/>
  <c r="BI65" i="2" l="1"/>
  <c r="CC60" i="3" s="1"/>
  <c r="BJ52" i="2"/>
  <c r="BK39" i="2"/>
  <c r="CE36" i="3" s="1"/>
  <c r="BJ80" i="2"/>
  <c r="BJ21" i="2"/>
  <c r="BJ36" i="2" s="1"/>
  <c r="BJ49" i="2" s="1"/>
  <c r="BJ62" i="2" s="1"/>
  <c r="Q39" i="3"/>
  <c r="P72" i="2"/>
  <c r="P71" i="2"/>
  <c r="P68" i="2"/>
  <c r="AA64" i="3"/>
  <c r="AB65" i="3"/>
  <c r="AC59" i="3" s="1"/>
  <c r="AC60" i="3" s="1"/>
  <c r="AD63" i="3"/>
  <c r="AE63" i="3" s="1"/>
  <c r="AF63" i="3" s="1"/>
  <c r="AG63" i="3" s="1"/>
  <c r="AH63" i="3" s="1"/>
  <c r="O49" i="3"/>
  <c r="S50" i="3"/>
  <c r="P53" i="3"/>
  <c r="Q47" i="3" s="1"/>
  <c r="P48" i="3"/>
  <c r="P52" i="3" s="1"/>
  <c r="R51" i="3"/>
  <c r="R38" i="3"/>
  <c r="R26" i="3" s="1"/>
  <c r="O55" i="2"/>
  <c r="O58" i="2"/>
  <c r="P53" i="2"/>
  <c r="P59" i="2" s="1"/>
  <c r="P54" i="2"/>
  <c r="BJ65" i="2" l="1"/>
  <c r="CD60" i="3" s="1"/>
  <c r="BK52" i="2"/>
  <c r="AI63" i="3"/>
  <c r="BL39" i="2"/>
  <c r="CF36" i="3" s="1"/>
  <c r="BK80" i="2"/>
  <c r="BK21" i="2"/>
  <c r="BK36" i="2" s="1"/>
  <c r="BK49" i="2" s="1"/>
  <c r="BK62" i="2" s="1"/>
  <c r="AB60" i="3"/>
  <c r="AB64" i="3" s="1"/>
  <c r="Q67" i="2"/>
  <c r="Q66" i="2"/>
  <c r="AC65" i="3"/>
  <c r="AD59" i="3" s="1"/>
  <c r="AD60" i="3" s="1"/>
  <c r="AC64" i="3"/>
  <c r="S51" i="3"/>
  <c r="P49" i="3"/>
  <c r="Q53" i="3"/>
  <c r="R47" i="3" s="1"/>
  <c r="Q48" i="3"/>
  <c r="Q52" i="3" s="1"/>
  <c r="T50" i="3"/>
  <c r="S38" i="3"/>
  <c r="S26" i="3" s="1"/>
  <c r="R39" i="3"/>
  <c r="S39" i="3" s="1"/>
  <c r="P55" i="2"/>
  <c r="P58" i="2"/>
  <c r="Q54" i="2"/>
  <c r="Q53" i="2"/>
  <c r="Q59" i="2" s="1"/>
  <c r="BL52" i="2" l="1"/>
  <c r="BK65" i="2"/>
  <c r="CE60" i="3" s="1"/>
  <c r="BM39" i="2"/>
  <c r="CG36" i="3" s="1"/>
  <c r="BL80" i="2"/>
  <c r="BL21" i="2"/>
  <c r="BL36" i="2" s="1"/>
  <c r="BL49" i="2" s="1"/>
  <c r="BL62" i="2" s="1"/>
  <c r="AB61" i="3"/>
  <c r="AC61" i="3" s="1"/>
  <c r="Q72" i="2"/>
  <c r="Q71" i="2"/>
  <c r="Q68" i="2"/>
  <c r="AD65" i="3"/>
  <c r="AE59" i="3" s="1"/>
  <c r="AD64" i="3"/>
  <c r="AJ63" i="3"/>
  <c r="AK63" i="3" s="1"/>
  <c r="AL63" i="3" s="1"/>
  <c r="AM63" i="3" s="1"/>
  <c r="AN63" i="3" s="1"/>
  <c r="Q49" i="3"/>
  <c r="U50" i="3"/>
  <c r="R53" i="3"/>
  <c r="S47" i="3" s="1"/>
  <c r="R48" i="3"/>
  <c r="R52" i="3" s="1"/>
  <c r="T51" i="3"/>
  <c r="T38" i="3"/>
  <c r="R54" i="2"/>
  <c r="R53" i="2"/>
  <c r="R59" i="2" s="1"/>
  <c r="Q58" i="2"/>
  <c r="Q55" i="2"/>
  <c r="BM52" i="2" l="1"/>
  <c r="BL65" i="2"/>
  <c r="CF60" i="3" s="1"/>
  <c r="BN39" i="2"/>
  <c r="CH36" i="3" s="1"/>
  <c r="BM80" i="2"/>
  <c r="BM21" i="2"/>
  <c r="BM36" i="2" s="1"/>
  <c r="BM49" i="2" s="1"/>
  <c r="BM62" i="2" s="1"/>
  <c r="T39" i="3"/>
  <c r="T26" i="3"/>
  <c r="AO63" i="3"/>
  <c r="R67" i="2"/>
  <c r="R66" i="2"/>
  <c r="AE65" i="3"/>
  <c r="AF59" i="3" s="1"/>
  <c r="AD61" i="3"/>
  <c r="U51" i="3"/>
  <c r="R49" i="3"/>
  <c r="S53" i="3"/>
  <c r="T47" i="3" s="1"/>
  <c r="S48" i="3"/>
  <c r="S52" i="3" s="1"/>
  <c r="V50" i="3"/>
  <c r="U38" i="3"/>
  <c r="U26" i="3" s="1"/>
  <c r="R55" i="2"/>
  <c r="R58" i="2"/>
  <c r="S54" i="2"/>
  <c r="S53" i="2"/>
  <c r="S59" i="2" s="1"/>
  <c r="BN52" i="2" l="1"/>
  <c r="BM65" i="2"/>
  <c r="CG60" i="3" s="1"/>
  <c r="BO39" i="2"/>
  <c r="CI36" i="3" s="1"/>
  <c r="BN80" i="2"/>
  <c r="BN21" i="2"/>
  <c r="BN36" i="2" s="1"/>
  <c r="BN49" i="2" s="1"/>
  <c r="BN62" i="2" s="1"/>
  <c r="AE60" i="3"/>
  <c r="AE64" i="3" s="1"/>
  <c r="R72" i="2"/>
  <c r="R68" i="2"/>
  <c r="R71" i="2"/>
  <c r="AF65" i="3"/>
  <c r="AP63" i="3"/>
  <c r="AQ63" i="3" s="1"/>
  <c r="AR63" i="3" s="1"/>
  <c r="S49" i="3"/>
  <c r="W50" i="3"/>
  <c r="T53" i="3"/>
  <c r="U47" i="3" s="1"/>
  <c r="T48" i="3"/>
  <c r="T52" i="3" s="1"/>
  <c r="V51" i="3"/>
  <c r="V38" i="3"/>
  <c r="V26" i="3" s="1"/>
  <c r="U39" i="3"/>
  <c r="V39" i="3" s="1"/>
  <c r="T54" i="2"/>
  <c r="T53" i="2"/>
  <c r="T59" i="2" s="1"/>
  <c r="S55" i="2"/>
  <c r="S58" i="2"/>
  <c r="AG59" i="3" l="1"/>
  <c r="AF60" i="3"/>
  <c r="AF64" i="3" s="1"/>
  <c r="BN65" i="2"/>
  <c r="CH60" i="3" s="1"/>
  <c r="BO52" i="2"/>
  <c r="BP39" i="2"/>
  <c r="CJ36" i="3" s="1"/>
  <c r="BO80" i="2"/>
  <c r="BO21" i="2"/>
  <c r="BO36" i="2" s="1"/>
  <c r="BO49" i="2" s="1"/>
  <c r="BO62" i="2" s="1"/>
  <c r="S67" i="2"/>
  <c r="S66" i="2"/>
  <c r="AG65" i="3"/>
  <c r="AH59" i="3" s="1"/>
  <c r="AS63" i="3"/>
  <c r="AT63" i="3" s="1"/>
  <c r="AU63" i="3" s="1"/>
  <c r="AE61" i="3"/>
  <c r="AF61" i="3" s="1"/>
  <c r="W51" i="3"/>
  <c r="T49" i="3"/>
  <c r="U53" i="3"/>
  <c r="V47" i="3" s="1"/>
  <c r="U48" i="3"/>
  <c r="U52" i="3" s="1"/>
  <c r="X50" i="3"/>
  <c r="W38" i="3"/>
  <c r="W26" i="3" s="1"/>
  <c r="T58" i="2"/>
  <c r="T55" i="2"/>
  <c r="U54" i="2"/>
  <c r="U53" i="2"/>
  <c r="U59" i="2" s="1"/>
  <c r="AG64" i="3" l="1"/>
  <c r="BO65" i="2"/>
  <c r="CI60" i="3" s="1"/>
  <c r="BP52" i="2"/>
  <c r="BQ39" i="2"/>
  <c r="CK36" i="3" s="1"/>
  <c r="BP80" i="2"/>
  <c r="BP21" i="2"/>
  <c r="BP36" i="2" s="1"/>
  <c r="BP49" i="2" s="1"/>
  <c r="BP62" i="2" s="1"/>
  <c r="AV63" i="3"/>
  <c r="AW63" i="3" s="1"/>
  <c r="AX63" i="3" s="1"/>
  <c r="S72" i="2"/>
  <c r="S68" i="2"/>
  <c r="S71" i="2"/>
  <c r="AG61" i="3"/>
  <c r="AH65" i="3"/>
  <c r="AI59" i="3" s="1"/>
  <c r="X51" i="3"/>
  <c r="U49" i="3"/>
  <c r="Y50" i="3"/>
  <c r="V53" i="3"/>
  <c r="W47" i="3" s="1"/>
  <c r="V48" i="3"/>
  <c r="V52" i="3" s="1"/>
  <c r="X38" i="3"/>
  <c r="X26" i="3" s="1"/>
  <c r="W39" i="3"/>
  <c r="X39" i="3" s="1"/>
  <c r="V54" i="2"/>
  <c r="V53" i="2"/>
  <c r="V59" i="2" s="1"/>
  <c r="U58" i="2"/>
  <c r="U55" i="2"/>
  <c r="BP65" i="2" l="1"/>
  <c r="CJ60" i="3" s="1"/>
  <c r="BQ52" i="2"/>
  <c r="BR39" i="2"/>
  <c r="CL36" i="3" s="1"/>
  <c r="BQ80" i="2"/>
  <c r="BQ21" i="2"/>
  <c r="BQ36" i="2" s="1"/>
  <c r="BQ49" i="2" s="1"/>
  <c r="BQ62" i="2" s="1"/>
  <c r="AH64" i="3"/>
  <c r="T67" i="2"/>
  <c r="T66" i="2"/>
  <c r="AY63" i="3"/>
  <c r="AZ63" i="3" s="1"/>
  <c r="BA63" i="3" s="1"/>
  <c r="AI65" i="3"/>
  <c r="AJ59" i="3" s="1"/>
  <c r="V49" i="3"/>
  <c r="Z50" i="3"/>
  <c r="W53" i="3"/>
  <c r="X47" i="3" s="1"/>
  <c r="W48" i="3"/>
  <c r="W52" i="3" s="1"/>
  <c r="Y51" i="3"/>
  <c r="Y38" i="3"/>
  <c r="Y26" i="3" s="1"/>
  <c r="V55" i="2"/>
  <c r="V58" i="2"/>
  <c r="W54" i="2"/>
  <c r="W53" i="2"/>
  <c r="W59" i="2" s="1"/>
  <c r="AI64" i="3" l="1"/>
  <c r="BR52" i="2"/>
  <c r="BQ65" i="2"/>
  <c r="CK60" i="3" s="1"/>
  <c r="AH61" i="3"/>
  <c r="BB63" i="3"/>
  <c r="BC63" i="3" s="1"/>
  <c r="BD63" i="3" s="1"/>
  <c r="BS39" i="2"/>
  <c r="CM36" i="3" s="1"/>
  <c r="BR80" i="2"/>
  <c r="BR21" i="2"/>
  <c r="BR36" i="2" s="1"/>
  <c r="BR49" i="2" s="1"/>
  <c r="BR62" i="2" s="1"/>
  <c r="T72" i="2"/>
  <c r="T68" i="2"/>
  <c r="T71" i="2"/>
  <c r="AJ65" i="3"/>
  <c r="AK59" i="3" s="1"/>
  <c r="Z51" i="3"/>
  <c r="AC50" i="3"/>
  <c r="W49" i="3"/>
  <c r="X53" i="3"/>
  <c r="Y47" i="3" s="1"/>
  <c r="X48" i="3"/>
  <c r="X52" i="3" s="1"/>
  <c r="AA50" i="3"/>
  <c r="Z38" i="3"/>
  <c r="Z26" i="3" s="1"/>
  <c r="Y39" i="3"/>
  <c r="X54" i="2"/>
  <c r="X53" i="2"/>
  <c r="X59" i="2" s="1"/>
  <c r="W55" i="2"/>
  <c r="W58" i="2"/>
  <c r="AI61" i="3" l="1"/>
  <c r="AJ64" i="3"/>
  <c r="BS52" i="2"/>
  <c r="BR65" i="2"/>
  <c r="CL60" i="3" s="1"/>
  <c r="BT39" i="2"/>
  <c r="CN36" i="3" s="1"/>
  <c r="BS80" i="2"/>
  <c r="BS21" i="2"/>
  <c r="BS36" i="2" s="1"/>
  <c r="BS49" i="2" s="1"/>
  <c r="BS62" i="2" s="1"/>
  <c r="U67" i="2"/>
  <c r="U66" i="2"/>
  <c r="AK65" i="3"/>
  <c r="AL59" i="3" s="1"/>
  <c r="BE63" i="3"/>
  <c r="BF63" i="3" s="1"/>
  <c r="BG63" i="3" s="1"/>
  <c r="AD50" i="3"/>
  <c r="X49" i="3"/>
  <c r="Y53" i="3"/>
  <c r="Z47" i="3" s="1"/>
  <c r="Y48" i="3"/>
  <c r="Y52" i="3" s="1"/>
  <c r="AA51" i="3"/>
  <c r="AB51" i="3" s="1"/>
  <c r="AC51" i="3" s="1"/>
  <c r="AC38" i="3"/>
  <c r="AC26" i="3" s="1"/>
  <c r="AA38" i="3"/>
  <c r="AA26" i="3" s="1"/>
  <c r="Z39" i="3"/>
  <c r="X58" i="2"/>
  <c r="X55" i="2"/>
  <c r="Y54" i="2"/>
  <c r="Y53" i="2"/>
  <c r="Y59" i="2" s="1"/>
  <c r="AJ61" i="3" l="1"/>
  <c r="AK64" i="3"/>
  <c r="BS65" i="2"/>
  <c r="CM60" i="3" s="1"/>
  <c r="BT52" i="2"/>
  <c r="BU39" i="2"/>
  <c r="CO36" i="3" s="1"/>
  <c r="BT80" i="2"/>
  <c r="BT21" i="2"/>
  <c r="BT36" i="2" s="1"/>
  <c r="BT49" i="2" s="1"/>
  <c r="BT62" i="2" s="1"/>
  <c r="BH63" i="3"/>
  <c r="BI63" i="3" s="1"/>
  <c r="BJ63" i="3" s="1"/>
  <c r="U72" i="2"/>
  <c r="U68" i="2"/>
  <c r="U71" i="2"/>
  <c r="AL65" i="3"/>
  <c r="AM59" i="3" s="1"/>
  <c r="AA39" i="3"/>
  <c r="Y49" i="3"/>
  <c r="AD51" i="3"/>
  <c r="AE51" i="3" s="1"/>
  <c r="AF51" i="3" s="1"/>
  <c r="Z53" i="3"/>
  <c r="AA47" i="3" s="1"/>
  <c r="Z48" i="3"/>
  <c r="Z52" i="3" s="1"/>
  <c r="AD38" i="3"/>
  <c r="AD26" i="3" s="1"/>
  <c r="Z54" i="2"/>
  <c r="Z53" i="2"/>
  <c r="Z59" i="2" s="1"/>
  <c r="Y58" i="2"/>
  <c r="Y55" i="2"/>
  <c r="AL64" i="3" l="1"/>
  <c r="BT65" i="2"/>
  <c r="CN60" i="3" s="1"/>
  <c r="BU52" i="2"/>
  <c r="BK63" i="3"/>
  <c r="BL63" i="3" s="1"/>
  <c r="BM63" i="3" s="1"/>
  <c r="BV39" i="2"/>
  <c r="CP36" i="3" s="1"/>
  <c r="BU80" i="2"/>
  <c r="BU21" i="2"/>
  <c r="BU36" i="2" s="1"/>
  <c r="BU49" i="2" s="1"/>
  <c r="BU62" i="2" s="1"/>
  <c r="V67" i="2"/>
  <c r="V66" i="2"/>
  <c r="AK61" i="3"/>
  <c r="AL61" i="3" s="1"/>
  <c r="AM65" i="3"/>
  <c r="AN59" i="3" s="1"/>
  <c r="AG51" i="3"/>
  <c r="AH51" i="3" s="1"/>
  <c r="AI51" i="3" s="1"/>
  <c r="Z49" i="3"/>
  <c r="AA53" i="3"/>
  <c r="AB47" i="3" s="1"/>
  <c r="AA48" i="3"/>
  <c r="AA52" i="3" s="1"/>
  <c r="AI26" i="3"/>
  <c r="Z55" i="2"/>
  <c r="Z58" i="2"/>
  <c r="AA54" i="2"/>
  <c r="AA53" i="2"/>
  <c r="AA59" i="2" s="1"/>
  <c r="AM64" i="3" l="1"/>
  <c r="AI27" i="3"/>
  <c r="AJ27" i="3" s="1"/>
  <c r="AK27" i="3" s="1"/>
  <c r="BU65" i="2"/>
  <c r="CO60" i="3" s="1"/>
  <c r="BV52" i="2"/>
  <c r="BW39" i="2"/>
  <c r="CQ36" i="3" s="1"/>
  <c r="BV80" i="2"/>
  <c r="BV21" i="2"/>
  <c r="BV36" i="2" s="1"/>
  <c r="BV49" i="2" s="1"/>
  <c r="BV62" i="2" s="1"/>
  <c r="V72" i="2"/>
  <c r="V68" i="2"/>
  <c r="V71" i="2"/>
  <c r="AN65" i="3"/>
  <c r="AO59" i="3" s="1"/>
  <c r="BN63" i="3"/>
  <c r="BO63" i="3" s="1"/>
  <c r="BP63" i="3" s="1"/>
  <c r="AA49" i="3"/>
  <c r="AB53" i="3"/>
  <c r="AC47" i="3" s="1"/>
  <c r="AJ51" i="3"/>
  <c r="AK51" i="3" s="1"/>
  <c r="AL51" i="3" s="1"/>
  <c r="AL26" i="3"/>
  <c r="AB54" i="2"/>
  <c r="AB53" i="2"/>
  <c r="AB59" i="2" s="1"/>
  <c r="AA55" i="2"/>
  <c r="AA58" i="2"/>
  <c r="AM61" i="3" l="1"/>
  <c r="AN64" i="3"/>
  <c r="AL27" i="3"/>
  <c r="AM27" i="3" s="1"/>
  <c r="AN27" i="3" s="1"/>
  <c r="BW52" i="2"/>
  <c r="BV65" i="2"/>
  <c r="CP60" i="3" s="1"/>
  <c r="BX39" i="2"/>
  <c r="CR36" i="3" s="1"/>
  <c r="BW80" i="2"/>
  <c r="BW21" i="2"/>
  <c r="BW36" i="2" s="1"/>
  <c r="BW49" i="2" s="1"/>
  <c r="BW62" i="2" s="1"/>
  <c r="BQ63" i="3"/>
  <c r="BR63" i="3" s="1"/>
  <c r="BS63" i="3" s="1"/>
  <c r="AB48" i="3"/>
  <c r="AB52" i="3" s="1"/>
  <c r="W67" i="2"/>
  <c r="W66" i="2"/>
  <c r="AO65" i="3"/>
  <c r="AP59" i="3" s="1"/>
  <c r="AC53" i="3"/>
  <c r="AD47" i="3" s="1"/>
  <c r="AC48" i="3"/>
  <c r="AC52" i="3" s="1"/>
  <c r="AM51" i="3"/>
  <c r="AN51" i="3" s="1"/>
  <c r="AO51" i="3" s="1"/>
  <c r="AP51" i="3" s="1"/>
  <c r="AQ51" i="3" s="1"/>
  <c r="AO26" i="3"/>
  <c r="AB55" i="2"/>
  <c r="AB58" i="2"/>
  <c r="AC54" i="2"/>
  <c r="AC53" i="2"/>
  <c r="AC59" i="2" s="1"/>
  <c r="AO64" i="3" l="1"/>
  <c r="AO27" i="3"/>
  <c r="AP27" i="3" s="1"/>
  <c r="AQ27" i="3" s="1"/>
  <c r="BX52" i="2"/>
  <c r="BW65" i="2"/>
  <c r="CQ60" i="3" s="1"/>
  <c r="BY39" i="2"/>
  <c r="CS36" i="3" s="1"/>
  <c r="BX80" i="2"/>
  <c r="BX21" i="2"/>
  <c r="BX36" i="2" s="1"/>
  <c r="BX49" i="2" s="1"/>
  <c r="BX62" i="2" s="1"/>
  <c r="AN61" i="3"/>
  <c r="W72" i="2"/>
  <c r="W68" i="2"/>
  <c r="W71" i="2"/>
  <c r="AP65" i="3"/>
  <c r="AQ59" i="3" s="1"/>
  <c r="BT63" i="3"/>
  <c r="BU63" i="3" s="1"/>
  <c r="BV63" i="3" s="1"/>
  <c r="BW63" i="3" s="1"/>
  <c r="BX63" i="3" s="1"/>
  <c r="AR51" i="3"/>
  <c r="AB49" i="3"/>
  <c r="AC49" i="3" s="1"/>
  <c r="AD53" i="3"/>
  <c r="AE47" i="3" s="1"/>
  <c r="AD48" i="3"/>
  <c r="AD52" i="3" s="1"/>
  <c r="AR26" i="3"/>
  <c r="AD54" i="2"/>
  <c r="AD53" i="2"/>
  <c r="AD59" i="2" s="1"/>
  <c r="AC58" i="2"/>
  <c r="AC55" i="2"/>
  <c r="AO61" i="3" l="1"/>
  <c r="AP64" i="3"/>
  <c r="AR27" i="3"/>
  <c r="AS27" i="3" s="1"/>
  <c r="AT27" i="3" s="1"/>
  <c r="BY52" i="2"/>
  <c r="BX65" i="2"/>
  <c r="CR60" i="3" s="1"/>
  <c r="BZ39" i="2"/>
  <c r="CT36" i="3" s="1"/>
  <c r="BY80" i="2"/>
  <c r="BY21" i="2"/>
  <c r="BY36" i="2" s="1"/>
  <c r="BY49" i="2" s="1"/>
  <c r="BY62" i="2" s="1"/>
  <c r="BY63" i="3"/>
  <c r="X67" i="2"/>
  <c r="X66" i="2"/>
  <c r="AQ65" i="3"/>
  <c r="AR59" i="3" s="1"/>
  <c r="AS51" i="3"/>
  <c r="AT51" i="3" s="1"/>
  <c r="AU51" i="3" s="1"/>
  <c r="AD49" i="3"/>
  <c r="AE53" i="3"/>
  <c r="AF47" i="3" s="1"/>
  <c r="AU26" i="3"/>
  <c r="AD55" i="2"/>
  <c r="AD58" i="2"/>
  <c r="AE54" i="2"/>
  <c r="AE53" i="2"/>
  <c r="AE59" i="2" s="1"/>
  <c r="AP61" i="3" l="1"/>
  <c r="AU27" i="3"/>
  <c r="AV27" i="3" s="1"/>
  <c r="AW27" i="3" s="1"/>
  <c r="BZ52" i="2"/>
  <c r="BY65" i="2"/>
  <c r="CS60" i="3" s="1"/>
  <c r="CA39" i="2"/>
  <c r="CU36" i="3" s="1"/>
  <c r="BZ80" i="2"/>
  <c r="BZ21" i="2"/>
  <c r="BZ36" i="2" s="1"/>
  <c r="BZ49" i="2" s="1"/>
  <c r="BZ62" i="2" s="1"/>
  <c r="AE48" i="3"/>
  <c r="AE49" i="3" s="1"/>
  <c r="AQ64" i="3"/>
  <c r="X72" i="2"/>
  <c r="X68" i="2"/>
  <c r="X71" i="2"/>
  <c r="AR65" i="3"/>
  <c r="AS59" i="3" s="1"/>
  <c r="BZ63" i="3"/>
  <c r="CA63" i="3" s="1"/>
  <c r="CB63" i="3" s="1"/>
  <c r="CC63" i="3" s="1"/>
  <c r="CD63" i="3" s="1"/>
  <c r="AV51" i="3"/>
  <c r="AW51" i="3" s="1"/>
  <c r="AX51" i="3" s="1"/>
  <c r="AF53" i="3"/>
  <c r="AX26" i="3"/>
  <c r="AF53" i="2"/>
  <c r="AF59" i="2" s="1"/>
  <c r="AF54" i="2"/>
  <c r="AE55" i="2"/>
  <c r="AE58" i="2"/>
  <c r="AR64" i="3" l="1"/>
  <c r="AG47" i="3"/>
  <c r="AF48" i="3"/>
  <c r="AX27" i="3"/>
  <c r="AY27" i="3" s="1"/>
  <c r="AZ27" i="3" s="1"/>
  <c r="CA52" i="2"/>
  <c r="BZ65" i="2"/>
  <c r="CT60" i="3" s="1"/>
  <c r="CB39" i="2"/>
  <c r="CV36" i="3" s="1"/>
  <c r="CA80" i="2"/>
  <c r="CA21" i="2"/>
  <c r="CA36" i="2" s="1"/>
  <c r="CA49" i="2" s="1"/>
  <c r="CA62" i="2" s="1"/>
  <c r="Y67" i="2"/>
  <c r="Y66" i="2"/>
  <c r="AS65" i="3"/>
  <c r="AT59" i="3" s="1"/>
  <c r="CE63" i="3"/>
  <c r="AQ61" i="3"/>
  <c r="AR61" i="3" s="1"/>
  <c r="AY51" i="3"/>
  <c r="AZ51" i="3" s="1"/>
  <c r="BA51" i="3" s="1"/>
  <c r="AF49" i="3"/>
  <c r="AE52" i="3"/>
  <c r="AG53" i="3"/>
  <c r="AH47" i="3" s="1"/>
  <c r="BA26" i="3"/>
  <c r="AG54" i="2"/>
  <c r="AG53" i="2"/>
  <c r="AG59" i="2" s="1"/>
  <c r="AF55" i="2"/>
  <c r="AF58" i="2"/>
  <c r="AS64" i="3" l="1"/>
  <c r="AF24" i="3"/>
  <c r="AF52" i="3"/>
  <c r="AG48" i="3"/>
  <c r="AG52" i="3" s="1"/>
  <c r="BA27" i="3"/>
  <c r="BB27" i="3" s="1"/>
  <c r="BC27" i="3" s="1"/>
  <c r="CB52" i="2"/>
  <c r="CA65" i="2"/>
  <c r="CU60" i="3" s="1"/>
  <c r="CC39" i="2"/>
  <c r="CW36" i="3" s="1"/>
  <c r="CB80" i="2"/>
  <c r="CB21" i="2"/>
  <c r="CB36" i="2" s="1"/>
  <c r="CB49" i="2" s="1"/>
  <c r="CB62" i="2" s="1"/>
  <c r="Y72" i="2"/>
  <c r="Y68" i="2"/>
  <c r="Y71" i="2"/>
  <c r="AS61" i="3"/>
  <c r="AT65" i="3"/>
  <c r="AU59" i="3" s="1"/>
  <c r="CF63" i="3"/>
  <c r="CG63" i="3" s="1"/>
  <c r="CH63" i="3" s="1"/>
  <c r="AH53" i="3"/>
  <c r="AI47" i="3" s="1"/>
  <c r="BB51" i="3"/>
  <c r="BC51" i="3" s="1"/>
  <c r="BD51" i="3" s="1"/>
  <c r="BD26" i="3"/>
  <c r="AG58" i="2"/>
  <c r="AG55" i="2"/>
  <c r="AH54" i="2"/>
  <c r="AH53" i="2"/>
  <c r="AH59" i="2" s="1"/>
  <c r="AF25" i="3" l="1"/>
  <c r="AF28" i="3"/>
  <c r="AG49" i="3"/>
  <c r="AH48" i="3"/>
  <c r="AH52" i="3" s="1"/>
  <c r="BD27" i="3"/>
  <c r="BE27" i="3" s="1"/>
  <c r="BF27" i="3" s="1"/>
  <c r="CC52" i="2"/>
  <c r="CB65" i="2"/>
  <c r="CV60" i="3" s="1"/>
  <c r="CD39" i="2"/>
  <c r="CX36" i="3" s="1"/>
  <c r="CC80" i="2"/>
  <c r="CC21" i="2"/>
  <c r="CC36" i="2" s="1"/>
  <c r="CC49" i="2" s="1"/>
  <c r="CC62" i="2" s="1"/>
  <c r="CI63" i="3"/>
  <c r="CJ63" i="3" s="1"/>
  <c r="CK63" i="3" s="1"/>
  <c r="AT64" i="3"/>
  <c r="Z67" i="2"/>
  <c r="Z66" i="2"/>
  <c r="AU65" i="3"/>
  <c r="AV59" i="3" s="1"/>
  <c r="BE51" i="3"/>
  <c r="BF51" i="3" s="1"/>
  <c r="BG51" i="3" s="1"/>
  <c r="AI53" i="3"/>
  <c r="AJ47" i="3" s="1"/>
  <c r="BG26" i="3"/>
  <c r="AI54" i="2"/>
  <c r="AI53" i="2"/>
  <c r="AI59" i="2" s="1"/>
  <c r="AH55" i="2"/>
  <c r="AH58" i="2"/>
  <c r="AU64" i="3" l="1"/>
  <c r="AI48" i="3"/>
  <c r="AI52" i="3" s="1"/>
  <c r="BG27" i="3"/>
  <c r="BH27" i="3" s="1"/>
  <c r="BI27" i="3" s="1"/>
  <c r="CD52" i="2"/>
  <c r="CC65" i="2"/>
  <c r="CW60" i="3" s="1"/>
  <c r="CE39" i="2"/>
  <c r="CY36" i="3" s="1"/>
  <c r="CD80" i="2"/>
  <c r="CD21" i="2"/>
  <c r="CD36" i="2" s="1"/>
  <c r="CD49" i="2" s="1"/>
  <c r="CD62" i="2" s="1"/>
  <c r="Z72" i="2"/>
  <c r="Z68" i="2"/>
  <c r="Z71" i="2"/>
  <c r="AT61" i="3"/>
  <c r="AV65" i="3"/>
  <c r="AW59" i="3" s="1"/>
  <c r="CL63" i="3"/>
  <c r="CM63" i="3" s="1"/>
  <c r="CN63" i="3" s="1"/>
  <c r="CO63" i="3" s="1"/>
  <c r="CP63" i="3" s="1"/>
  <c r="AH49" i="3"/>
  <c r="AJ53" i="3"/>
  <c r="AK47" i="3" s="1"/>
  <c r="BH51" i="3"/>
  <c r="BI51" i="3" s="1"/>
  <c r="BJ51" i="3" s="1"/>
  <c r="BK51" i="3" s="1"/>
  <c r="BL51" i="3" s="1"/>
  <c r="BJ26" i="3"/>
  <c r="AI55" i="2"/>
  <c r="AI58" i="2"/>
  <c r="AJ54" i="2"/>
  <c r="AJ53" i="2"/>
  <c r="AJ59" i="2" s="1"/>
  <c r="AU61" i="3" l="1"/>
  <c r="AV64" i="3"/>
  <c r="AI49" i="3"/>
  <c r="AJ48" i="3"/>
  <c r="AJ52" i="3" s="1"/>
  <c r="BJ27" i="3"/>
  <c r="BK27" i="3" s="1"/>
  <c r="BL27" i="3" s="1"/>
  <c r="CE52" i="2"/>
  <c r="CD65" i="2"/>
  <c r="CX60" i="3" s="1"/>
  <c r="CF39" i="2"/>
  <c r="CZ36" i="3" s="1"/>
  <c r="CE80" i="2"/>
  <c r="CE21" i="2"/>
  <c r="CE36" i="2" s="1"/>
  <c r="CE49" i="2" s="1"/>
  <c r="CE62" i="2" s="1"/>
  <c r="CQ63" i="3"/>
  <c r="AA67" i="2"/>
  <c r="AA66" i="2"/>
  <c r="AW65" i="3"/>
  <c r="AX59" i="3" s="1"/>
  <c r="BM51" i="3"/>
  <c r="AK53" i="3"/>
  <c r="AL47" i="3" s="1"/>
  <c r="BM26" i="3"/>
  <c r="AK54" i="2"/>
  <c r="AK53" i="2"/>
  <c r="AK59" i="2" s="1"/>
  <c r="AJ55" i="2"/>
  <c r="AJ58" i="2"/>
  <c r="AJ49" i="3" l="1"/>
  <c r="AV61" i="3"/>
  <c r="AW64" i="3"/>
  <c r="AK48" i="3"/>
  <c r="AK52" i="3" s="1"/>
  <c r="BM27" i="3"/>
  <c r="BN27" i="3" s="1"/>
  <c r="BO27" i="3" s="1"/>
  <c r="CE65" i="2"/>
  <c r="CY60" i="3" s="1"/>
  <c r="CF52" i="2"/>
  <c r="CG39" i="2"/>
  <c r="DA36" i="3" s="1"/>
  <c r="CF80" i="2"/>
  <c r="CF21" i="2"/>
  <c r="CF36" i="2" s="1"/>
  <c r="CF49" i="2" s="1"/>
  <c r="CF62" i="2" s="1"/>
  <c r="AA72" i="2"/>
  <c r="AA68" i="2"/>
  <c r="AA71" i="2"/>
  <c r="AX65" i="3"/>
  <c r="AY59" i="3" s="1"/>
  <c r="CR63" i="3"/>
  <c r="CS63" i="3" s="1"/>
  <c r="CT63" i="3" s="1"/>
  <c r="CU63" i="3" s="1"/>
  <c r="CV63" i="3" s="1"/>
  <c r="AL53" i="3"/>
  <c r="AM47" i="3" s="1"/>
  <c r="BN51" i="3"/>
  <c r="BO51" i="3" s="1"/>
  <c r="BP51" i="3" s="1"/>
  <c r="BQ51" i="3" s="1"/>
  <c r="BR51" i="3" s="1"/>
  <c r="BP26" i="3"/>
  <c r="AK58" i="2"/>
  <c r="AK55" i="2"/>
  <c r="AL54" i="2"/>
  <c r="AL53" i="2"/>
  <c r="AL59" i="2" s="1"/>
  <c r="AX64" i="3" l="1"/>
  <c r="AL48" i="3"/>
  <c r="AL52" i="3" s="1"/>
  <c r="BP27" i="3"/>
  <c r="BQ27" i="3" s="1"/>
  <c r="BR27" i="3" s="1"/>
  <c r="CF65" i="2"/>
  <c r="CZ60" i="3" s="1"/>
  <c r="CG52" i="2"/>
  <c r="CH39" i="2"/>
  <c r="DB36" i="3" s="1"/>
  <c r="CG80" i="2"/>
  <c r="CG21" i="2"/>
  <c r="CG36" i="2" s="1"/>
  <c r="CG49" i="2" s="1"/>
  <c r="CG62" i="2" s="1"/>
  <c r="AW61" i="3"/>
  <c r="AX61" i="3" s="1"/>
  <c r="AB67" i="2"/>
  <c r="AB66" i="2"/>
  <c r="AY65" i="3"/>
  <c r="AZ59" i="3" s="1"/>
  <c r="CW63" i="3"/>
  <c r="BS51" i="3"/>
  <c r="AK49" i="3"/>
  <c r="AL49" i="3" s="1"/>
  <c r="AM53" i="3"/>
  <c r="AN47" i="3" s="1"/>
  <c r="BS26" i="3"/>
  <c r="AM54" i="2"/>
  <c r="AM53" i="2"/>
  <c r="AM59" i="2" s="1"/>
  <c r="AL55" i="2"/>
  <c r="AL58" i="2"/>
  <c r="AY64" i="3" l="1"/>
  <c r="AM48" i="3"/>
  <c r="AM52" i="3" s="1"/>
  <c r="BS27" i="3"/>
  <c r="BT27" i="3" s="1"/>
  <c r="BU27" i="3" s="1"/>
  <c r="CH52" i="2"/>
  <c r="CG65" i="2"/>
  <c r="DA60" i="3" s="1"/>
  <c r="CI39" i="2"/>
  <c r="DC36" i="3" s="1"/>
  <c r="CH80" i="2"/>
  <c r="CH21" i="2"/>
  <c r="CH36" i="2" s="1"/>
  <c r="CH49" i="2" s="1"/>
  <c r="CH62" i="2" s="1"/>
  <c r="AB72" i="2"/>
  <c r="AB71" i="2"/>
  <c r="AB68" i="2"/>
  <c r="AZ65" i="3"/>
  <c r="BA59" i="3" s="1"/>
  <c r="AY61" i="3"/>
  <c r="CX63" i="3"/>
  <c r="CY63" i="3" s="1"/>
  <c r="CZ63" i="3" s="1"/>
  <c r="AM49" i="3"/>
  <c r="AN53" i="3"/>
  <c r="AO47" i="3" s="1"/>
  <c r="BT51" i="3"/>
  <c r="BU51" i="3" s="1"/>
  <c r="BV51" i="3" s="1"/>
  <c r="BV26" i="3"/>
  <c r="AM55" i="2"/>
  <c r="AM58" i="2"/>
  <c r="AN54" i="2"/>
  <c r="AN53" i="2"/>
  <c r="AN59" i="2" s="1"/>
  <c r="AN48" i="3" l="1"/>
  <c r="AN52" i="3" s="1"/>
  <c r="BV27" i="3"/>
  <c r="BW27" i="3" s="1"/>
  <c r="BX27" i="3" s="1"/>
  <c r="CI52" i="2"/>
  <c r="CH65" i="2"/>
  <c r="DB60" i="3" s="1"/>
  <c r="CJ39" i="2"/>
  <c r="DD36" i="3" s="1"/>
  <c r="CI80" i="2"/>
  <c r="CI21" i="2"/>
  <c r="CI36" i="2" s="1"/>
  <c r="CI49" i="2" s="1"/>
  <c r="CI62" i="2" s="1"/>
  <c r="BW51" i="3"/>
  <c r="BX51" i="3" s="1"/>
  <c r="BY51" i="3" s="1"/>
  <c r="DA63" i="3"/>
  <c r="DB63" i="3" s="1"/>
  <c r="DC63" i="3" s="1"/>
  <c r="AZ64" i="3"/>
  <c r="AC67" i="2"/>
  <c r="AC66" i="2"/>
  <c r="BA65" i="3"/>
  <c r="BB59" i="3" s="1"/>
  <c r="AO53" i="3"/>
  <c r="AP47" i="3" s="1"/>
  <c r="BY26" i="3"/>
  <c r="AO54" i="2"/>
  <c r="AO53" i="2"/>
  <c r="AO59" i="2" s="1"/>
  <c r="AN55" i="2"/>
  <c r="AN58" i="2"/>
  <c r="BA64" i="3" l="1"/>
  <c r="AO48" i="3"/>
  <c r="AO52" i="3" s="1"/>
  <c r="BY27" i="3"/>
  <c r="BZ27" i="3" s="1"/>
  <c r="CA27" i="3" s="1"/>
  <c r="AP53" i="2"/>
  <c r="AP59" i="2" s="1"/>
  <c r="AP54" i="2"/>
  <c r="AP58" i="2" s="1"/>
  <c r="CJ52" i="2"/>
  <c r="CI65" i="2"/>
  <c r="DC60" i="3" s="1"/>
  <c r="CK39" i="2"/>
  <c r="DE36" i="3" s="1"/>
  <c r="CJ80" i="2"/>
  <c r="CJ21" i="2"/>
  <c r="CJ36" i="2" s="1"/>
  <c r="CJ49" i="2" s="1"/>
  <c r="CJ62" i="2" s="1"/>
  <c r="AC72" i="2"/>
  <c r="AC68" i="2"/>
  <c r="AC71" i="2"/>
  <c r="AZ61" i="3"/>
  <c r="BA61" i="3" s="1"/>
  <c r="BB65" i="3"/>
  <c r="BC59" i="3" s="1"/>
  <c r="DD63" i="3"/>
  <c r="DE63" i="3" s="1"/>
  <c r="DF63" i="3" s="1"/>
  <c r="AN49" i="3"/>
  <c r="AP53" i="3"/>
  <c r="AQ47" i="3" s="1"/>
  <c r="BZ51" i="3"/>
  <c r="CA51" i="3" s="1"/>
  <c r="CB51" i="3" s="1"/>
  <c r="CC51" i="3" s="1"/>
  <c r="CD51" i="3" s="1"/>
  <c r="CB26" i="3"/>
  <c r="AO58" i="2"/>
  <c r="AO55" i="2"/>
  <c r="AP55" i="2" l="1"/>
  <c r="AO49" i="3"/>
  <c r="BB64" i="3"/>
  <c r="AP48" i="3"/>
  <c r="AP52" i="3" s="1"/>
  <c r="CB27" i="3"/>
  <c r="CC27" i="3" s="1"/>
  <c r="CD27" i="3" s="1"/>
  <c r="AQ53" i="2"/>
  <c r="AQ59" i="2" s="1"/>
  <c r="AQ54" i="2"/>
  <c r="AQ58" i="2" s="1"/>
  <c r="CK52" i="2"/>
  <c r="CJ65" i="2"/>
  <c r="DD60" i="3" s="1"/>
  <c r="CL39" i="2"/>
  <c r="DF36" i="3" s="1"/>
  <c r="CK80" i="2"/>
  <c r="CK21" i="2"/>
  <c r="CK36" i="2" s="1"/>
  <c r="CK49" i="2" s="1"/>
  <c r="CK62" i="2" s="1"/>
  <c r="DG63" i="3"/>
  <c r="DH63" i="3" s="1"/>
  <c r="DI63" i="3" s="1"/>
  <c r="AD67" i="2"/>
  <c r="AD66" i="2"/>
  <c r="BC65" i="3"/>
  <c r="BD59" i="3" s="1"/>
  <c r="CE51" i="3"/>
  <c r="AQ53" i="3"/>
  <c r="AR47" i="3" s="1"/>
  <c r="CE26" i="3"/>
  <c r="D35" i="5"/>
  <c r="BB61" i="3" l="1"/>
  <c r="BC64" i="3"/>
  <c r="AP49" i="3"/>
  <c r="AQ48" i="3"/>
  <c r="AQ52" i="3" s="1"/>
  <c r="CE27" i="3"/>
  <c r="CF27" i="3" s="1"/>
  <c r="CG27" i="3" s="1"/>
  <c r="AR53" i="2"/>
  <c r="AR59" i="2" s="1"/>
  <c r="AR54" i="2"/>
  <c r="AR58" i="2" s="1"/>
  <c r="AQ55" i="2"/>
  <c r="CL52" i="2"/>
  <c r="CK65" i="2"/>
  <c r="DE60" i="3" s="1"/>
  <c r="CM39" i="2"/>
  <c r="DG36" i="3" s="1"/>
  <c r="CL80" i="2"/>
  <c r="CL21" i="2"/>
  <c r="CL36" i="2" s="1"/>
  <c r="CL49" i="2" s="1"/>
  <c r="CL62" i="2" s="1"/>
  <c r="AD72" i="2"/>
  <c r="AD71" i="2"/>
  <c r="AD68" i="2"/>
  <c r="BD65" i="3"/>
  <c r="BE59" i="3" s="1"/>
  <c r="DJ63" i="3"/>
  <c r="DK63" i="3" s="1"/>
  <c r="DL63" i="3" s="1"/>
  <c r="AR53" i="3"/>
  <c r="AS47" i="3" s="1"/>
  <c r="CF51" i="3"/>
  <c r="CG51" i="3" s="1"/>
  <c r="CH51" i="3" s="1"/>
  <c r="CI51" i="3" s="1"/>
  <c r="CJ51" i="3" s="1"/>
  <c r="CH26" i="3"/>
  <c r="C25" i="5"/>
  <c r="C10" i="5"/>
  <c r="BD64" i="3" l="1"/>
  <c r="AR48" i="3"/>
  <c r="AR52" i="3" s="1"/>
  <c r="CH27" i="3"/>
  <c r="CI27" i="3" s="1"/>
  <c r="CJ27" i="3" s="1"/>
  <c r="AR55" i="2"/>
  <c r="AS53" i="2"/>
  <c r="AS59" i="2" s="1"/>
  <c r="AS54" i="2"/>
  <c r="AS58" i="2" s="1"/>
  <c r="CM52" i="2"/>
  <c r="CL65" i="2"/>
  <c r="DF60" i="3" s="1"/>
  <c r="CN39" i="2"/>
  <c r="DH36" i="3" s="1"/>
  <c r="CM80" i="2"/>
  <c r="CM21" i="2"/>
  <c r="CM36" i="2" s="1"/>
  <c r="CM49" i="2" s="1"/>
  <c r="CM62" i="2" s="1"/>
  <c r="DM63" i="3"/>
  <c r="DN63" i="3" s="1"/>
  <c r="DO63" i="3" s="1"/>
  <c r="AE67" i="2"/>
  <c r="AE66" i="2"/>
  <c r="BE65" i="3"/>
  <c r="BF59" i="3" s="1"/>
  <c r="BC61" i="3"/>
  <c r="BD61" i="3" s="1"/>
  <c r="AQ49" i="3"/>
  <c r="CK51" i="3"/>
  <c r="AS53" i="3"/>
  <c r="AT47" i="3" s="1"/>
  <c r="CK26" i="3"/>
  <c r="AR49" i="3" l="1"/>
  <c r="BE64" i="3"/>
  <c r="AS48" i="3"/>
  <c r="AS52" i="3" s="1"/>
  <c r="CK27" i="3"/>
  <c r="CL27" i="3" s="1"/>
  <c r="CM27" i="3" s="1"/>
  <c r="AT53" i="2"/>
  <c r="AT59" i="2" s="1"/>
  <c r="AT54" i="2"/>
  <c r="AT58" i="2" s="1"/>
  <c r="AS55" i="2"/>
  <c r="CM65" i="2"/>
  <c r="DG60" i="3" s="1"/>
  <c r="CN52" i="2"/>
  <c r="CO39" i="2"/>
  <c r="DI36" i="3" s="1"/>
  <c r="CN80" i="2"/>
  <c r="CN21" i="2"/>
  <c r="CN36" i="2" s="1"/>
  <c r="CN49" i="2" s="1"/>
  <c r="CN62" i="2" s="1"/>
  <c r="AE72" i="2"/>
  <c r="AE71" i="2"/>
  <c r="AE68" i="2"/>
  <c r="BE61" i="3"/>
  <c r="BF65" i="3"/>
  <c r="BG59" i="3" s="1"/>
  <c r="DP63" i="3"/>
  <c r="DQ63" i="3" s="1"/>
  <c r="CL51" i="3"/>
  <c r="CM51" i="3" s="1"/>
  <c r="CN51" i="3" s="1"/>
  <c r="AT53" i="3"/>
  <c r="AU47" i="3" s="1"/>
  <c r="CN26" i="3"/>
  <c r="B80" i="2"/>
  <c r="B21" i="2"/>
  <c r="B36" i="2" s="1"/>
  <c r="B49" i="2" s="1"/>
  <c r="B62" i="2" s="1"/>
  <c r="AS49" i="3" l="1"/>
  <c r="AT48" i="3"/>
  <c r="CN27" i="3"/>
  <c r="CO27" i="3" s="1"/>
  <c r="CP27" i="3" s="1"/>
  <c r="AT55" i="2"/>
  <c r="AU53" i="2"/>
  <c r="AU59" i="2" s="1"/>
  <c r="AU54" i="2"/>
  <c r="AU58" i="2" s="1"/>
  <c r="CN65" i="2"/>
  <c r="DH60" i="3" s="1"/>
  <c r="CO52" i="2"/>
  <c r="CP39" i="2"/>
  <c r="DJ36" i="3" s="1"/>
  <c r="CO80" i="2"/>
  <c r="CO21" i="2"/>
  <c r="CO36" i="2" s="1"/>
  <c r="CO49" i="2" s="1"/>
  <c r="CO62" i="2" s="1"/>
  <c r="BF64" i="3"/>
  <c r="AF67" i="2"/>
  <c r="AF66" i="2"/>
  <c r="BG65" i="3"/>
  <c r="BH59" i="3" s="1"/>
  <c r="AT52" i="3"/>
  <c r="CO51" i="3"/>
  <c r="CP51" i="3" s="1"/>
  <c r="CQ51" i="3" s="1"/>
  <c r="AU53" i="3"/>
  <c r="AV47" i="3" s="1"/>
  <c r="CQ26" i="3"/>
  <c r="BG64" i="3" l="1"/>
  <c r="AU48" i="3"/>
  <c r="AU52" i="3" s="1"/>
  <c r="CQ27" i="3"/>
  <c r="CR27" i="3" s="1"/>
  <c r="CS27" i="3" s="1"/>
  <c r="AV53" i="2"/>
  <c r="AV59" i="2" s="1"/>
  <c r="AV54" i="2"/>
  <c r="AV58" i="2" s="1"/>
  <c r="AU55" i="2"/>
  <c r="CO65" i="2"/>
  <c r="DI60" i="3" s="1"/>
  <c r="CP52" i="2"/>
  <c r="CQ39" i="2"/>
  <c r="DK36" i="3" s="1"/>
  <c r="CP80" i="2"/>
  <c r="CP21" i="2"/>
  <c r="CP36" i="2" s="1"/>
  <c r="CP49" i="2" s="1"/>
  <c r="CP62" i="2" s="1"/>
  <c r="BF61" i="3"/>
  <c r="BH65" i="3"/>
  <c r="BI59" i="3" s="1"/>
  <c r="AF68" i="2"/>
  <c r="AF71" i="2"/>
  <c r="AF72" i="2"/>
  <c r="CR51" i="3"/>
  <c r="CS51" i="3" s="1"/>
  <c r="CT51" i="3" s="1"/>
  <c r="AT49" i="3"/>
  <c r="AV53" i="3"/>
  <c r="AW47" i="3" s="1"/>
  <c r="CT26" i="3"/>
  <c r="E85" i="2"/>
  <c r="F85" i="2" s="1"/>
  <c r="G85" i="2" s="1"/>
  <c r="H85" i="2" s="1"/>
  <c r="I85" i="2" s="1"/>
  <c r="J85" i="2" s="1"/>
  <c r="K85" i="2" s="1"/>
  <c r="BG61" i="3" l="1"/>
  <c r="BH64" i="3"/>
  <c r="AU49" i="3"/>
  <c r="AV48" i="3"/>
  <c r="AV52" i="3" s="1"/>
  <c r="CT27" i="3"/>
  <c r="CU27" i="3" s="1"/>
  <c r="CV27" i="3" s="1"/>
  <c r="AV55" i="2"/>
  <c r="AW53" i="2"/>
  <c r="AW59" i="2" s="1"/>
  <c r="AW54" i="2"/>
  <c r="AW58" i="2" s="1"/>
  <c r="CP65" i="2"/>
  <c r="DJ60" i="3" s="1"/>
  <c r="CQ52" i="2"/>
  <c r="CR39" i="2"/>
  <c r="DL36" i="3" s="1"/>
  <c r="CQ80" i="2"/>
  <c r="CQ21" i="2"/>
  <c r="CQ36" i="2" s="1"/>
  <c r="CQ49" i="2" s="1"/>
  <c r="CQ62" i="2" s="1"/>
  <c r="AG67" i="2"/>
  <c r="AG66" i="2"/>
  <c r="BI65" i="3"/>
  <c r="BJ59" i="3" s="1"/>
  <c r="CU51" i="3"/>
  <c r="CV51" i="3" s="1"/>
  <c r="CW51" i="3" s="1"/>
  <c r="AW53" i="3"/>
  <c r="AX47" i="3" s="1"/>
  <c r="CW26" i="3"/>
  <c r="CZ26" i="3"/>
  <c r="CT35" i="5"/>
  <c r="CS35" i="5"/>
  <c r="CR35" i="5"/>
  <c r="CQ35" i="5"/>
  <c r="CP35" i="5"/>
  <c r="CO35" i="5"/>
  <c r="CN35" i="5"/>
  <c r="CM35" i="5"/>
  <c r="CL35" i="5"/>
  <c r="CK35" i="5"/>
  <c r="CJ35" i="5"/>
  <c r="CI35" i="5"/>
  <c r="AV49" i="3" l="1"/>
  <c r="BH61" i="3"/>
  <c r="BI64" i="3"/>
  <c r="AW48" i="3"/>
  <c r="AW52" i="3" s="1"/>
  <c r="CW27" i="3"/>
  <c r="CX27" i="3" s="1"/>
  <c r="CY27" i="3" s="1"/>
  <c r="CZ27" i="3" s="1"/>
  <c r="DA27" i="3" s="1"/>
  <c r="DB27" i="3" s="1"/>
  <c r="AX53" i="2"/>
  <c r="AX59" i="2" s="1"/>
  <c r="AX54" i="2"/>
  <c r="AX58" i="2" s="1"/>
  <c r="AW55" i="2"/>
  <c r="CR52" i="2"/>
  <c r="CQ65" i="2"/>
  <c r="DK60" i="3" s="1"/>
  <c r="CS39" i="2"/>
  <c r="DM36" i="3" s="1"/>
  <c r="CR80" i="2"/>
  <c r="CR21" i="2"/>
  <c r="CR36" i="2" s="1"/>
  <c r="CR49" i="2" s="1"/>
  <c r="CR62" i="2" s="1"/>
  <c r="AG68" i="2"/>
  <c r="AG71" i="2"/>
  <c r="AG72" i="2"/>
  <c r="BJ65" i="3"/>
  <c r="BK59" i="3" s="1"/>
  <c r="AX53" i="3"/>
  <c r="AY47" i="3" s="1"/>
  <c r="CX51" i="3"/>
  <c r="CY51" i="3" s="1"/>
  <c r="CZ51" i="3" s="1"/>
  <c r="DC26" i="3"/>
  <c r="M25" i="2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AC25" i="2" s="1"/>
  <c r="AD25" i="2" s="1"/>
  <c r="AE25" i="2" s="1"/>
  <c r="AF25" i="2" s="1"/>
  <c r="AG25" i="2" s="1"/>
  <c r="AH25" i="2" s="1"/>
  <c r="AI25" i="2" s="1"/>
  <c r="AJ25" i="2" s="1"/>
  <c r="AK25" i="2" s="1"/>
  <c r="AL25" i="2" s="1"/>
  <c r="AM25" i="2" s="1"/>
  <c r="AN25" i="2" s="1"/>
  <c r="AO25" i="2" s="1"/>
  <c r="AP25" i="2" s="1"/>
  <c r="AQ25" i="2" s="1"/>
  <c r="AR25" i="2" s="1"/>
  <c r="AS25" i="2" s="1"/>
  <c r="AT25" i="2" s="1"/>
  <c r="AU25" i="2" s="1"/>
  <c r="AV25" i="2" s="1"/>
  <c r="AW25" i="2" s="1"/>
  <c r="AX25" i="2" s="1"/>
  <c r="AY25" i="2" s="1"/>
  <c r="AZ25" i="2" s="1"/>
  <c r="BA25" i="2" s="1"/>
  <c r="BB25" i="2" s="1"/>
  <c r="BC25" i="2" s="1"/>
  <c r="BD25" i="2" s="1"/>
  <c r="BE25" i="2" s="1"/>
  <c r="BF25" i="2" s="1"/>
  <c r="BG25" i="2" s="1"/>
  <c r="BH25" i="2" s="1"/>
  <c r="BI25" i="2" s="1"/>
  <c r="BJ25" i="2" s="1"/>
  <c r="BK25" i="2" s="1"/>
  <c r="BL25" i="2" s="1"/>
  <c r="BM25" i="2" s="1"/>
  <c r="BN25" i="2" s="1"/>
  <c r="BO25" i="2" s="1"/>
  <c r="BP25" i="2" s="1"/>
  <c r="BQ25" i="2" s="1"/>
  <c r="BR25" i="2" s="1"/>
  <c r="BS25" i="2" s="1"/>
  <c r="BT25" i="2" s="1"/>
  <c r="BU25" i="2" s="1"/>
  <c r="BV25" i="2" s="1"/>
  <c r="BW25" i="2" s="1"/>
  <c r="BX25" i="2" s="1"/>
  <c r="BY25" i="2" s="1"/>
  <c r="BZ25" i="2" s="1"/>
  <c r="CA25" i="2" s="1"/>
  <c r="CB25" i="2" s="1"/>
  <c r="CC25" i="2" s="1"/>
  <c r="CD25" i="2" s="1"/>
  <c r="CE25" i="2" s="1"/>
  <c r="CF25" i="2" s="1"/>
  <c r="CG25" i="2" s="1"/>
  <c r="CH25" i="2" s="1"/>
  <c r="CI25" i="2" s="1"/>
  <c r="CJ25" i="2" s="1"/>
  <c r="CK25" i="2" s="1"/>
  <c r="CL25" i="2" s="1"/>
  <c r="CM25" i="2" s="1"/>
  <c r="CN25" i="2" s="1"/>
  <c r="CO25" i="2" s="1"/>
  <c r="CP25" i="2" s="1"/>
  <c r="CQ25" i="2" s="1"/>
  <c r="CR25" i="2" s="1"/>
  <c r="CS25" i="2" s="1"/>
  <c r="CT25" i="2" s="1"/>
  <c r="CU25" i="2" s="1"/>
  <c r="CV25" i="2" s="1"/>
  <c r="CW25" i="2" s="1"/>
  <c r="BJ64" i="3" l="1"/>
  <c r="AX48" i="3"/>
  <c r="AX52" i="3" s="1"/>
  <c r="DC27" i="3"/>
  <c r="DD27" i="3" s="1"/>
  <c r="DE27" i="3" s="1"/>
  <c r="BI61" i="3"/>
  <c r="BJ61" i="3" s="1"/>
  <c r="AX55" i="2"/>
  <c r="AY53" i="2"/>
  <c r="AY59" i="2" s="1"/>
  <c r="AY54" i="2"/>
  <c r="AY58" i="2" s="1"/>
  <c r="CS52" i="2"/>
  <c r="CR65" i="2"/>
  <c r="DL60" i="3" s="1"/>
  <c r="CT39" i="2"/>
  <c r="DN36" i="3" s="1"/>
  <c r="CS80" i="2"/>
  <c r="CS21" i="2"/>
  <c r="CS36" i="2" s="1"/>
  <c r="CS49" i="2" s="1"/>
  <c r="CS62" i="2" s="1"/>
  <c r="AH67" i="2"/>
  <c r="AH66" i="2"/>
  <c r="BK65" i="3"/>
  <c r="BL59" i="3" s="1"/>
  <c r="DA51" i="3"/>
  <c r="DB51" i="3" s="1"/>
  <c r="DC51" i="3" s="1"/>
  <c r="AW49" i="3"/>
  <c r="AY53" i="3"/>
  <c r="AZ47" i="3" s="1"/>
  <c r="DF26" i="3"/>
  <c r="AD80" i="2"/>
  <c r="AX49" i="3" l="1"/>
  <c r="BK64" i="3"/>
  <c r="AY48" i="3"/>
  <c r="AY52" i="3" s="1"/>
  <c r="DF27" i="3"/>
  <c r="DG27" i="3" s="1"/>
  <c r="DH27" i="3" s="1"/>
  <c r="AZ53" i="2"/>
  <c r="AZ59" i="2" s="1"/>
  <c r="AZ54" i="2"/>
  <c r="AZ58" i="2" s="1"/>
  <c r="AY55" i="2"/>
  <c r="CT52" i="2"/>
  <c r="CS65" i="2"/>
  <c r="DM60" i="3" s="1"/>
  <c r="CU39" i="2"/>
  <c r="DO36" i="3" s="1"/>
  <c r="CT80" i="2"/>
  <c r="CT21" i="2"/>
  <c r="CT36" i="2" s="1"/>
  <c r="CT49" i="2" s="1"/>
  <c r="CT62" i="2" s="1"/>
  <c r="AH72" i="2"/>
  <c r="AH68" i="2"/>
  <c r="AH71" i="2"/>
  <c r="BL65" i="3"/>
  <c r="BM59" i="3" s="1"/>
  <c r="BK61" i="3"/>
  <c r="AZ53" i="3"/>
  <c r="BA47" i="3" s="1"/>
  <c r="DD51" i="3"/>
  <c r="DE51" i="3" s="1"/>
  <c r="DF51" i="3" s="1"/>
  <c r="DI26" i="3"/>
  <c r="AE80" i="2"/>
  <c r="AD21" i="2"/>
  <c r="AD36" i="2" s="1"/>
  <c r="AD49" i="2" s="1"/>
  <c r="AD62" i="2" s="1"/>
  <c r="AY49" i="3" l="1"/>
  <c r="AZ48" i="3"/>
  <c r="AZ52" i="3" s="1"/>
  <c r="DI27" i="3"/>
  <c r="DJ27" i="3" s="1"/>
  <c r="DK27" i="3" s="1"/>
  <c r="AZ55" i="2"/>
  <c r="BA53" i="2"/>
  <c r="BA59" i="2" s="1"/>
  <c r="BA54" i="2"/>
  <c r="BA58" i="2" s="1"/>
  <c r="CU52" i="2"/>
  <c r="CT65" i="2"/>
  <c r="DN60" i="3" s="1"/>
  <c r="CV39" i="2"/>
  <c r="DP36" i="3" s="1"/>
  <c r="CU80" i="2"/>
  <c r="CU21" i="2"/>
  <c r="CU36" i="2" s="1"/>
  <c r="CU49" i="2" s="1"/>
  <c r="CU62" i="2" s="1"/>
  <c r="BL64" i="3"/>
  <c r="AI67" i="2"/>
  <c r="AI66" i="2"/>
  <c r="BM65" i="3"/>
  <c r="BN59" i="3" s="1"/>
  <c r="DG51" i="3"/>
  <c r="DH51" i="3" s="1"/>
  <c r="DI51" i="3" s="1"/>
  <c r="BA53" i="3"/>
  <c r="BB47" i="3" s="1"/>
  <c r="DL26" i="3"/>
  <c r="AF80" i="2"/>
  <c r="AE21" i="2"/>
  <c r="AE36" i="2" s="1"/>
  <c r="AE49" i="2" s="1"/>
  <c r="AE62" i="2" s="1"/>
  <c r="BM64" i="3" l="1"/>
  <c r="BA48" i="3"/>
  <c r="BA52" i="3" s="1"/>
  <c r="DL27" i="3"/>
  <c r="DM27" i="3" s="1"/>
  <c r="DN27" i="3" s="1"/>
  <c r="BB53" i="2"/>
  <c r="BB59" i="2" s="1"/>
  <c r="BB54" i="2"/>
  <c r="BB58" i="2" s="1"/>
  <c r="BA55" i="2"/>
  <c r="CV52" i="2"/>
  <c r="CU65" i="2"/>
  <c r="DO60" i="3" s="1"/>
  <c r="BL61" i="3"/>
  <c r="BM61" i="3" s="1"/>
  <c r="CW39" i="2"/>
  <c r="DQ36" i="3" s="1"/>
  <c r="CV80" i="2"/>
  <c r="CV21" i="2"/>
  <c r="CV36" i="2" s="1"/>
  <c r="CV49" i="2" s="1"/>
  <c r="CV62" i="2" s="1"/>
  <c r="AI72" i="2"/>
  <c r="AI71" i="2"/>
  <c r="AI68" i="2"/>
  <c r="BN65" i="3"/>
  <c r="BO59" i="3" s="1"/>
  <c r="AZ49" i="3"/>
  <c r="BB53" i="3"/>
  <c r="BC47" i="3" s="1"/>
  <c r="DJ51" i="3"/>
  <c r="DK51" i="3" s="1"/>
  <c r="DL51" i="3" s="1"/>
  <c r="DO26" i="3"/>
  <c r="AG80" i="2"/>
  <c r="AF21" i="2"/>
  <c r="AF36" i="2" s="1"/>
  <c r="AF49" i="2" s="1"/>
  <c r="AF62" i="2" s="1"/>
  <c r="BA49" i="3" l="1"/>
  <c r="BN64" i="3"/>
  <c r="BB48" i="3"/>
  <c r="BB52" i="3" s="1"/>
  <c r="DO27" i="3"/>
  <c r="DP27" i="3" s="1"/>
  <c r="DQ27" i="3" s="1"/>
  <c r="BB55" i="2"/>
  <c r="BC53" i="2"/>
  <c r="BC59" i="2" s="1"/>
  <c r="BC54" i="2"/>
  <c r="BC58" i="2" s="1"/>
  <c r="CW52" i="2"/>
  <c r="CV65" i="2"/>
  <c r="DP60" i="3" s="1"/>
  <c r="CW80" i="2"/>
  <c r="CW21" i="2"/>
  <c r="CW36" i="2" s="1"/>
  <c r="CW49" i="2" s="1"/>
  <c r="CW62" i="2" s="1"/>
  <c r="AJ67" i="2"/>
  <c r="AJ66" i="2"/>
  <c r="BN61" i="3"/>
  <c r="BO65" i="3"/>
  <c r="BP59" i="3" s="1"/>
  <c r="DM51" i="3"/>
  <c r="DN51" i="3" s="1"/>
  <c r="DO51" i="3" s="1"/>
  <c r="BC53" i="3"/>
  <c r="BD47" i="3" s="1"/>
  <c r="AH80" i="2"/>
  <c r="AG21" i="2"/>
  <c r="AG36" i="2" s="1"/>
  <c r="AG49" i="2" s="1"/>
  <c r="AG62" i="2" s="1"/>
  <c r="CH35" i="5"/>
  <c r="AC80" i="2"/>
  <c r="BO64" i="3" l="1"/>
  <c r="BB49" i="3"/>
  <c r="BC48" i="3"/>
  <c r="BC52" i="3" s="1"/>
  <c r="BD53" i="2"/>
  <c r="BD59" i="2" s="1"/>
  <c r="BD54" i="2"/>
  <c r="BD58" i="2" s="1"/>
  <c r="BC55" i="2"/>
  <c r="CW65" i="2"/>
  <c r="DQ60" i="3" s="1"/>
  <c r="AJ72" i="2"/>
  <c r="AJ71" i="2"/>
  <c r="AJ68" i="2"/>
  <c r="BP65" i="3"/>
  <c r="BQ59" i="3" s="1"/>
  <c r="DP51" i="3"/>
  <c r="DQ51" i="3" s="1"/>
  <c r="BD53" i="3"/>
  <c r="BE47" i="3" s="1"/>
  <c r="AI80" i="2"/>
  <c r="AH21" i="2"/>
  <c r="AH36" i="2" s="1"/>
  <c r="AH49" i="2" s="1"/>
  <c r="AH62" i="2" s="1"/>
  <c r="V80" i="2"/>
  <c r="N80" i="2"/>
  <c r="F80" i="2"/>
  <c r="AA80" i="2"/>
  <c r="S80" i="2"/>
  <c r="K80" i="2"/>
  <c r="C80" i="2"/>
  <c r="Z80" i="2"/>
  <c r="R80" i="2"/>
  <c r="J80" i="2"/>
  <c r="W80" i="2"/>
  <c r="O80" i="2"/>
  <c r="G80" i="2"/>
  <c r="Y80" i="2"/>
  <c r="U80" i="2"/>
  <c r="Q80" i="2"/>
  <c r="M80" i="2"/>
  <c r="I80" i="2"/>
  <c r="E80" i="2"/>
  <c r="AB80" i="2"/>
  <c r="X80" i="2"/>
  <c r="T80" i="2"/>
  <c r="P80" i="2"/>
  <c r="L80" i="2"/>
  <c r="H80" i="2"/>
  <c r="D80" i="2"/>
  <c r="BP64" i="3" l="1"/>
  <c r="BD48" i="3"/>
  <c r="BD52" i="3" s="1"/>
  <c r="BD55" i="2"/>
  <c r="BE53" i="2"/>
  <c r="BE59" i="2" s="1"/>
  <c r="BE54" i="2"/>
  <c r="BE58" i="2" s="1"/>
  <c r="BO61" i="3"/>
  <c r="AK67" i="2"/>
  <c r="AK66" i="2"/>
  <c r="BQ65" i="3"/>
  <c r="BR59" i="3" s="1"/>
  <c r="BC49" i="3"/>
  <c r="BE53" i="3"/>
  <c r="BF47" i="3" s="1"/>
  <c r="AJ80" i="2"/>
  <c r="AI21" i="2"/>
  <c r="AI36" i="2" s="1"/>
  <c r="AI49" i="2" s="1"/>
  <c r="AI62" i="2" s="1"/>
  <c r="BD49" i="3" l="1"/>
  <c r="BP61" i="3"/>
  <c r="BQ61" i="3" s="1"/>
  <c r="BQ64" i="3"/>
  <c r="BE48" i="3"/>
  <c r="BE52" i="3" s="1"/>
  <c r="BF53" i="2"/>
  <c r="BF59" i="2" s="1"/>
  <c r="BF54" i="2"/>
  <c r="BF58" i="2" s="1"/>
  <c r="BE55" i="2"/>
  <c r="AK72" i="2"/>
  <c r="AK68" i="2"/>
  <c r="AK71" i="2"/>
  <c r="BR65" i="3"/>
  <c r="BS59" i="3" s="1"/>
  <c r="BF53" i="3"/>
  <c r="BG47" i="3" s="1"/>
  <c r="AK80" i="2"/>
  <c r="AJ21" i="2"/>
  <c r="AJ36" i="2" s="1"/>
  <c r="AJ49" i="2" s="1"/>
  <c r="AJ62" i="2" s="1"/>
  <c r="C21" i="2"/>
  <c r="C36" i="2" s="1"/>
  <c r="C49" i="2" s="1"/>
  <c r="C62" i="2" s="1"/>
  <c r="C17" i="2"/>
  <c r="B40" i="2" s="1"/>
  <c r="B27" i="2" s="1"/>
  <c r="C16" i="2"/>
  <c r="M35" i="5"/>
  <c r="C9" i="7"/>
  <c r="C7" i="7"/>
  <c r="C5" i="7"/>
  <c r="C3" i="7"/>
  <c r="J35" i="5"/>
  <c r="B22" i="5"/>
  <c r="B5" i="5" s="1"/>
  <c r="B9" i="3"/>
  <c r="C22" i="3"/>
  <c r="D22" i="3" s="1"/>
  <c r="C31" i="2"/>
  <c r="D31" i="2" s="1"/>
  <c r="E31" i="2" s="1"/>
  <c r="C1" i="2"/>
  <c r="B1" i="3" s="1"/>
  <c r="B1" i="5"/>
  <c r="B19" i="5" s="1"/>
  <c r="CG35" i="5"/>
  <c r="CF35" i="5"/>
  <c r="CE35" i="5"/>
  <c r="CD35" i="5"/>
  <c r="CC35" i="5"/>
  <c r="CB35" i="5"/>
  <c r="CA35" i="5"/>
  <c r="BZ35" i="5"/>
  <c r="BY35" i="5"/>
  <c r="BX35" i="5"/>
  <c r="BW35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L35" i="5"/>
  <c r="K35" i="5"/>
  <c r="I35" i="5"/>
  <c r="H35" i="5"/>
  <c r="G35" i="5"/>
  <c r="B27" i="3"/>
  <c r="B4" i="5" s="1"/>
  <c r="B26" i="5"/>
  <c r="B11" i="5" s="1"/>
  <c r="B28" i="5"/>
  <c r="C28" i="5" s="1"/>
  <c r="D28" i="5" s="1"/>
  <c r="B7" i="3"/>
  <c r="B12" i="3"/>
  <c r="B5" i="3"/>
  <c r="BE49" i="3" l="1"/>
  <c r="BF48" i="3"/>
  <c r="BF52" i="3" s="1"/>
  <c r="BF55" i="2"/>
  <c r="BG53" i="2"/>
  <c r="BG59" i="2" s="1"/>
  <c r="BG54" i="2"/>
  <c r="BG58" i="2" s="1"/>
  <c r="BR64" i="3"/>
  <c r="AL67" i="2"/>
  <c r="AL66" i="2"/>
  <c r="BS65" i="3"/>
  <c r="BT59" i="3" s="1"/>
  <c r="BG53" i="3"/>
  <c r="BH47" i="3" s="1"/>
  <c r="D14" i="5"/>
  <c r="E28" i="5"/>
  <c r="F28" i="5" s="1"/>
  <c r="G28" i="5" s="1"/>
  <c r="H28" i="5" s="1"/>
  <c r="I28" i="5" s="1"/>
  <c r="J28" i="5" s="1"/>
  <c r="K28" i="5" s="1"/>
  <c r="L28" i="5" s="1"/>
  <c r="M28" i="5" s="1"/>
  <c r="N28" i="5" s="1"/>
  <c r="O28" i="5" s="1"/>
  <c r="P28" i="5" s="1"/>
  <c r="Q28" i="5" s="1"/>
  <c r="R28" i="5" s="1"/>
  <c r="S28" i="5" s="1"/>
  <c r="T28" i="5" s="1"/>
  <c r="U28" i="5" s="1"/>
  <c r="V28" i="5" s="1"/>
  <c r="W28" i="5" s="1"/>
  <c r="X28" i="5" s="1"/>
  <c r="Y28" i="5" s="1"/>
  <c r="Z28" i="5" s="1"/>
  <c r="AA28" i="5" s="1"/>
  <c r="AB28" i="5" s="1"/>
  <c r="AC28" i="5" s="1"/>
  <c r="AD28" i="5" s="1"/>
  <c r="AE28" i="5" s="1"/>
  <c r="AF28" i="5" s="1"/>
  <c r="AG28" i="5" s="1"/>
  <c r="AH28" i="5" s="1"/>
  <c r="AI28" i="5" s="1"/>
  <c r="AJ28" i="5" s="1"/>
  <c r="AK28" i="5" s="1"/>
  <c r="AL28" i="5" s="1"/>
  <c r="AM28" i="5" s="1"/>
  <c r="AN28" i="5" s="1"/>
  <c r="AO28" i="5" s="1"/>
  <c r="AP28" i="5" s="1"/>
  <c r="AQ28" i="5" s="1"/>
  <c r="AR28" i="5" s="1"/>
  <c r="AS28" i="5" s="1"/>
  <c r="AT28" i="5" s="1"/>
  <c r="AU28" i="5" s="1"/>
  <c r="AV28" i="5" s="1"/>
  <c r="AW28" i="5" s="1"/>
  <c r="AX28" i="5" s="1"/>
  <c r="AY28" i="5" s="1"/>
  <c r="AZ28" i="5" s="1"/>
  <c r="BA28" i="5" s="1"/>
  <c r="BB28" i="5" s="1"/>
  <c r="BC28" i="5" s="1"/>
  <c r="BD28" i="5" s="1"/>
  <c r="BE28" i="5" s="1"/>
  <c r="BF28" i="5" s="1"/>
  <c r="BG28" i="5" s="1"/>
  <c r="BH28" i="5" s="1"/>
  <c r="BI28" i="5" s="1"/>
  <c r="BJ28" i="5" s="1"/>
  <c r="BK28" i="5" s="1"/>
  <c r="BL28" i="5" s="1"/>
  <c r="BM28" i="5" s="1"/>
  <c r="BN28" i="5" s="1"/>
  <c r="BO28" i="5" s="1"/>
  <c r="BP28" i="5" s="1"/>
  <c r="BQ28" i="5" s="1"/>
  <c r="BR28" i="5" s="1"/>
  <c r="BS28" i="5" s="1"/>
  <c r="BT28" i="5" s="1"/>
  <c r="BU28" i="5" s="1"/>
  <c r="BV28" i="5" s="1"/>
  <c r="BW28" i="5" s="1"/>
  <c r="BX28" i="5" s="1"/>
  <c r="BY28" i="5" s="1"/>
  <c r="BZ28" i="5" s="1"/>
  <c r="CA28" i="5" s="1"/>
  <c r="CB28" i="5" s="1"/>
  <c r="CC28" i="5" s="1"/>
  <c r="CD28" i="5" s="1"/>
  <c r="CE28" i="5" s="1"/>
  <c r="CF28" i="5" s="1"/>
  <c r="CG28" i="5" s="1"/>
  <c r="CH28" i="5" s="1"/>
  <c r="CI28" i="5" s="1"/>
  <c r="CJ28" i="5" s="1"/>
  <c r="CK28" i="5" s="1"/>
  <c r="CL28" i="5" s="1"/>
  <c r="CM28" i="5" s="1"/>
  <c r="CN28" i="5" s="1"/>
  <c r="CO28" i="5" s="1"/>
  <c r="CP28" i="5" s="1"/>
  <c r="CQ28" i="5" s="1"/>
  <c r="CR28" i="5" s="1"/>
  <c r="CS28" i="5" s="1"/>
  <c r="CT28" i="5" s="1"/>
  <c r="CU28" i="5" s="1"/>
  <c r="E9" i="2"/>
  <c r="E10" i="2"/>
  <c r="B6" i="5"/>
  <c r="C16" i="3"/>
  <c r="B12" i="5"/>
  <c r="AL80" i="2"/>
  <c r="AK21" i="2"/>
  <c r="AK36" i="2" s="1"/>
  <c r="AK49" i="2" s="1"/>
  <c r="AK62" i="2" s="1"/>
  <c r="C12" i="7"/>
  <c r="B33" i="2"/>
  <c r="C1" i="7"/>
  <c r="D1" i="5"/>
  <c r="D19" i="5" s="1"/>
  <c r="E22" i="3"/>
  <c r="E1" i="5" s="1"/>
  <c r="E19" i="5" s="1"/>
  <c r="C1" i="5"/>
  <c r="C19" i="5" s="1"/>
  <c r="C13" i="7"/>
  <c r="C14" i="7" s="1"/>
  <c r="D14" i="7" s="1"/>
  <c r="E14" i="7" s="1"/>
  <c r="E21" i="2"/>
  <c r="E36" i="2" s="1"/>
  <c r="E49" i="2" s="1"/>
  <c r="E62" i="2" s="1"/>
  <c r="D21" i="2"/>
  <c r="D36" i="2" s="1"/>
  <c r="D49" i="2" s="1"/>
  <c r="D62" i="2" s="1"/>
  <c r="C18" i="2"/>
  <c r="D18" i="2" s="1"/>
  <c r="C15" i="3"/>
  <c r="C27" i="3"/>
  <c r="C14" i="5"/>
  <c r="B14" i="5"/>
  <c r="BS64" i="3" l="1"/>
  <c r="BG48" i="3"/>
  <c r="BG52" i="3" s="1"/>
  <c r="BH53" i="2"/>
  <c r="BH59" i="2" s="1"/>
  <c r="BH54" i="2"/>
  <c r="BH58" i="2" s="1"/>
  <c r="BG55" i="2"/>
  <c r="E18" i="2"/>
  <c r="AL72" i="2"/>
  <c r="AL71" i="2"/>
  <c r="AL68" i="2"/>
  <c r="BR61" i="3"/>
  <c r="BS61" i="3" s="1"/>
  <c r="BT65" i="3"/>
  <c r="BU59" i="3" s="1"/>
  <c r="BF49" i="3"/>
  <c r="BH53" i="3"/>
  <c r="BI47" i="3" s="1"/>
  <c r="B41" i="2"/>
  <c r="B28" i="2" s="1"/>
  <c r="B22" i="2" s="1"/>
  <c r="J43" i="2"/>
  <c r="K43" i="2"/>
  <c r="B35" i="3"/>
  <c r="B46" i="2"/>
  <c r="C41" i="2" s="1"/>
  <c r="C28" i="2" s="1"/>
  <c r="E14" i="5"/>
  <c r="CV28" i="5"/>
  <c r="CU14" i="5"/>
  <c r="C17" i="3"/>
  <c r="D17" i="3" s="1"/>
  <c r="E17" i="3" s="1"/>
  <c r="AM80" i="2"/>
  <c r="AL21" i="2"/>
  <c r="AL36" i="2" s="1"/>
  <c r="AL49" i="2" s="1"/>
  <c r="AL62" i="2" s="1"/>
  <c r="F22" i="3"/>
  <c r="F1" i="5" s="1"/>
  <c r="F19" i="5" s="1"/>
  <c r="F21" i="2"/>
  <c r="F36" i="2" s="1"/>
  <c r="F49" i="2" s="1"/>
  <c r="F62" i="2" s="1"/>
  <c r="C4" i="5"/>
  <c r="D27" i="3"/>
  <c r="BT64" i="3" l="1"/>
  <c r="BG49" i="3"/>
  <c r="BH48" i="3"/>
  <c r="BH52" i="3" s="1"/>
  <c r="BH55" i="2"/>
  <c r="BI53" i="2"/>
  <c r="BI59" i="2" s="1"/>
  <c r="BI54" i="2"/>
  <c r="BI58" i="2" s="1"/>
  <c r="B32" i="2"/>
  <c r="K30" i="2"/>
  <c r="AE38" i="3"/>
  <c r="AE26" i="3" s="1"/>
  <c r="J30" i="2"/>
  <c r="AB38" i="3"/>
  <c r="AB26" i="3" s="1"/>
  <c r="B23" i="3"/>
  <c r="B29" i="3" s="1"/>
  <c r="AM67" i="2"/>
  <c r="AM66" i="2"/>
  <c r="BT61" i="3"/>
  <c r="BU65" i="3"/>
  <c r="BV59" i="3" s="1"/>
  <c r="BI53" i="3"/>
  <c r="BJ47" i="3" s="1"/>
  <c r="B36" i="3"/>
  <c r="B41" i="3"/>
  <c r="C40" i="2"/>
  <c r="C27" i="2" s="1"/>
  <c r="C22" i="2" s="1"/>
  <c r="CW28" i="5"/>
  <c r="CV14" i="5"/>
  <c r="B81" i="2"/>
  <c r="B3" i="5"/>
  <c r="B7" i="5" s="1"/>
  <c r="B29" i="2"/>
  <c r="D10" i="5" s="1"/>
  <c r="E10" i="5" s="1"/>
  <c r="AN80" i="2"/>
  <c r="AM21" i="2"/>
  <c r="AM36" i="2" s="1"/>
  <c r="AM49" i="2" s="1"/>
  <c r="AM62" i="2" s="1"/>
  <c r="G22" i="3"/>
  <c r="H22" i="3" s="1"/>
  <c r="C21" i="5"/>
  <c r="C22" i="5" s="1"/>
  <c r="C5" i="5" s="1"/>
  <c r="G21" i="2"/>
  <c r="G36" i="2" s="1"/>
  <c r="G49" i="2" s="1"/>
  <c r="G62" i="2" s="1"/>
  <c r="F14" i="5"/>
  <c r="E27" i="3"/>
  <c r="D4" i="5"/>
  <c r="G14" i="5"/>
  <c r="BH49" i="3" l="1"/>
  <c r="BI48" i="3"/>
  <c r="BI52" i="3" s="1"/>
  <c r="BJ53" i="2"/>
  <c r="BJ59" i="2" s="1"/>
  <c r="BJ54" i="2"/>
  <c r="BJ58" i="2" s="1"/>
  <c r="BI55" i="2"/>
  <c r="B24" i="3"/>
  <c r="B25" i="3" s="1"/>
  <c r="B9" i="5" s="1"/>
  <c r="B13" i="5" s="1"/>
  <c r="BU64" i="3"/>
  <c r="AM72" i="2"/>
  <c r="AM68" i="2"/>
  <c r="AM71" i="2"/>
  <c r="BV65" i="3"/>
  <c r="BW59" i="3" s="1"/>
  <c r="BJ53" i="3"/>
  <c r="BK47" i="3" s="1"/>
  <c r="C46" i="2"/>
  <c r="D41" i="2" s="1"/>
  <c r="D28" i="2" s="1"/>
  <c r="AB39" i="3"/>
  <c r="AC39" i="3" s="1"/>
  <c r="AD39" i="3" s="1"/>
  <c r="AE39" i="3" s="1"/>
  <c r="AF39" i="3" s="1"/>
  <c r="AG39" i="3" s="1"/>
  <c r="AH39" i="3" s="1"/>
  <c r="AI39" i="3" s="1"/>
  <c r="AJ39" i="3" s="1"/>
  <c r="AK39" i="3" s="1"/>
  <c r="AL39" i="3" s="1"/>
  <c r="AM39" i="3" s="1"/>
  <c r="AN39" i="3" s="1"/>
  <c r="AO39" i="3" s="1"/>
  <c r="AP39" i="3" s="1"/>
  <c r="AQ39" i="3" s="1"/>
  <c r="AR39" i="3" s="1"/>
  <c r="AS39" i="3" s="1"/>
  <c r="AT39" i="3" s="1"/>
  <c r="AU39" i="3" s="1"/>
  <c r="AV39" i="3" s="1"/>
  <c r="AW39" i="3" s="1"/>
  <c r="AX39" i="3" s="1"/>
  <c r="AY39" i="3" s="1"/>
  <c r="AZ39" i="3" s="1"/>
  <c r="BA39" i="3" s="1"/>
  <c r="BB39" i="3" s="1"/>
  <c r="BC39" i="3" s="1"/>
  <c r="BD39" i="3" s="1"/>
  <c r="BE39" i="3" s="1"/>
  <c r="BF39" i="3" s="1"/>
  <c r="BG39" i="3" s="1"/>
  <c r="BH39" i="3" s="1"/>
  <c r="BI39" i="3" s="1"/>
  <c r="BJ39" i="3" s="1"/>
  <c r="BK39" i="3" s="1"/>
  <c r="BL39" i="3" s="1"/>
  <c r="BM39" i="3" s="1"/>
  <c r="BN39" i="3" s="1"/>
  <c r="BO39" i="3" s="1"/>
  <c r="BP39" i="3" s="1"/>
  <c r="BQ39" i="3" s="1"/>
  <c r="BR39" i="3" s="1"/>
  <c r="BS39" i="3" s="1"/>
  <c r="BT39" i="3" s="1"/>
  <c r="BU39" i="3" s="1"/>
  <c r="BV39" i="3" s="1"/>
  <c r="BW39" i="3" s="1"/>
  <c r="BX39" i="3" s="1"/>
  <c r="BY39" i="3" s="1"/>
  <c r="BZ39" i="3" s="1"/>
  <c r="CA39" i="3" s="1"/>
  <c r="CB39" i="3" s="1"/>
  <c r="CC39" i="3" s="1"/>
  <c r="CD39" i="3" s="1"/>
  <c r="CE39" i="3" s="1"/>
  <c r="CF39" i="3" s="1"/>
  <c r="CG39" i="3" s="1"/>
  <c r="CH39" i="3" s="1"/>
  <c r="CI39" i="3" s="1"/>
  <c r="CJ39" i="3" s="1"/>
  <c r="CK39" i="3" s="1"/>
  <c r="CL39" i="3" s="1"/>
  <c r="CM39" i="3" s="1"/>
  <c r="CN39" i="3" s="1"/>
  <c r="CO39" i="3" s="1"/>
  <c r="CP39" i="3" s="1"/>
  <c r="CQ39" i="3" s="1"/>
  <c r="CR39" i="3" s="1"/>
  <c r="CS39" i="3" s="1"/>
  <c r="CT39" i="3" s="1"/>
  <c r="CU39" i="3" s="1"/>
  <c r="CV39" i="3" s="1"/>
  <c r="CW39" i="3" s="1"/>
  <c r="CX39" i="3" s="1"/>
  <c r="CY39" i="3" s="1"/>
  <c r="CZ39" i="3" s="1"/>
  <c r="DA39" i="3" s="1"/>
  <c r="DB39" i="3" s="1"/>
  <c r="DC39" i="3" s="1"/>
  <c r="DD39" i="3" s="1"/>
  <c r="DE39" i="3" s="1"/>
  <c r="DF39" i="3" s="1"/>
  <c r="DG39" i="3" s="1"/>
  <c r="DH39" i="3" s="1"/>
  <c r="DI39" i="3" s="1"/>
  <c r="DJ39" i="3" s="1"/>
  <c r="DK39" i="3" s="1"/>
  <c r="DL39" i="3" s="1"/>
  <c r="DM39" i="3" s="1"/>
  <c r="DN39" i="3" s="1"/>
  <c r="DO39" i="3" s="1"/>
  <c r="DP39" i="3" s="1"/>
  <c r="DQ39" i="3" s="1"/>
  <c r="B37" i="3"/>
  <c r="B40" i="3"/>
  <c r="F10" i="5"/>
  <c r="CX28" i="5"/>
  <c r="CW14" i="5"/>
  <c r="G1" i="5"/>
  <c r="G19" i="5" s="1"/>
  <c r="C26" i="5"/>
  <c r="AO80" i="2"/>
  <c r="AN21" i="2"/>
  <c r="AN36" i="2" s="1"/>
  <c r="AN49" i="2" s="1"/>
  <c r="AN62" i="2" s="1"/>
  <c r="D21" i="5"/>
  <c r="D22" i="5" s="1"/>
  <c r="D5" i="5" s="1"/>
  <c r="C6" i="5"/>
  <c r="I22" i="3"/>
  <c r="H1" i="5"/>
  <c r="H19" i="5" s="1"/>
  <c r="H21" i="2"/>
  <c r="H36" i="2" s="1"/>
  <c r="H49" i="2" s="1"/>
  <c r="H62" i="2" s="1"/>
  <c r="E4" i="5"/>
  <c r="F27" i="3"/>
  <c r="C35" i="3" s="1"/>
  <c r="C23" i="3" s="1"/>
  <c r="H14" i="5"/>
  <c r="BV64" i="3" l="1"/>
  <c r="BJ48" i="3"/>
  <c r="BJ52" i="3" s="1"/>
  <c r="BJ55" i="2"/>
  <c r="BK53" i="2"/>
  <c r="BK59" i="2" s="1"/>
  <c r="BK54" i="2"/>
  <c r="BK58" i="2" s="1"/>
  <c r="BU61" i="3"/>
  <c r="AN67" i="2"/>
  <c r="AN66" i="2"/>
  <c r="BW65" i="3"/>
  <c r="BX59" i="3" s="1"/>
  <c r="BI49" i="3"/>
  <c r="C36" i="3"/>
  <c r="C24" i="3" s="1"/>
  <c r="C41" i="3"/>
  <c r="D35" i="3" s="1"/>
  <c r="BK53" i="3"/>
  <c r="BL47" i="3" s="1"/>
  <c r="D40" i="2"/>
  <c r="D27" i="2" s="1"/>
  <c r="CY28" i="5"/>
  <c r="CX14" i="5"/>
  <c r="B28" i="3"/>
  <c r="C11" i="5"/>
  <c r="AO21" i="2"/>
  <c r="AO36" i="2" s="1"/>
  <c r="AO49" i="2" s="1"/>
  <c r="AO62" i="2" s="1"/>
  <c r="E21" i="5"/>
  <c r="E22" i="5" s="1"/>
  <c r="E5" i="5" s="1"/>
  <c r="D6" i="5"/>
  <c r="J22" i="3"/>
  <c r="I1" i="5"/>
  <c r="I19" i="5" s="1"/>
  <c r="I21" i="2"/>
  <c r="I36" i="2" s="1"/>
  <c r="I49" i="2" s="1"/>
  <c r="I62" i="2" s="1"/>
  <c r="G27" i="3"/>
  <c r="F4" i="5"/>
  <c r="I14" i="5"/>
  <c r="BV61" i="3" l="1"/>
  <c r="BW64" i="3"/>
  <c r="BJ49" i="3"/>
  <c r="BK48" i="3"/>
  <c r="BK52" i="3" s="1"/>
  <c r="BL53" i="2"/>
  <c r="BL59" i="2" s="1"/>
  <c r="BL54" i="2"/>
  <c r="BL58" i="2" s="1"/>
  <c r="BK55" i="2"/>
  <c r="AN68" i="2"/>
  <c r="AN71" i="2"/>
  <c r="AN72" i="2"/>
  <c r="D23" i="3"/>
  <c r="D29" i="3" s="1"/>
  <c r="BX65" i="3"/>
  <c r="BY59" i="3" s="1"/>
  <c r="BW61" i="3"/>
  <c r="D36" i="3"/>
  <c r="C40" i="3"/>
  <c r="D41" i="3"/>
  <c r="E35" i="3" s="1"/>
  <c r="E23" i="3" s="1"/>
  <c r="C37" i="3"/>
  <c r="C29" i="3"/>
  <c r="C3" i="5"/>
  <c r="C7" i="5" s="1"/>
  <c r="BL53" i="3"/>
  <c r="BM47" i="3" s="1"/>
  <c r="D46" i="2"/>
  <c r="CZ28" i="5"/>
  <c r="CY14" i="5"/>
  <c r="C12" i="5"/>
  <c r="C33" i="2"/>
  <c r="F21" i="5"/>
  <c r="F22" i="5" s="1"/>
  <c r="E6" i="5"/>
  <c r="J1" i="5"/>
  <c r="J19" i="5" s="1"/>
  <c r="K22" i="3"/>
  <c r="J21" i="2"/>
  <c r="J36" i="2" s="1"/>
  <c r="J49" i="2" s="1"/>
  <c r="J62" i="2" s="1"/>
  <c r="H27" i="3"/>
  <c r="G4" i="5"/>
  <c r="J14" i="5"/>
  <c r="BX64" i="3" l="1"/>
  <c r="BK49" i="3"/>
  <c r="BL48" i="3"/>
  <c r="BL52" i="3" s="1"/>
  <c r="BL55" i="2"/>
  <c r="BM53" i="2"/>
  <c r="BM59" i="2" s="1"/>
  <c r="BM54" i="2"/>
  <c r="BM58" i="2" s="1"/>
  <c r="D3" i="5"/>
  <c r="D7" i="5" s="1"/>
  <c r="AO67" i="2"/>
  <c r="AO66" i="2"/>
  <c r="D40" i="3"/>
  <c r="D24" i="3"/>
  <c r="D28" i="3" s="1"/>
  <c r="BY65" i="3"/>
  <c r="BZ59" i="3" s="1"/>
  <c r="E29" i="3"/>
  <c r="E36" i="3"/>
  <c r="D37" i="3"/>
  <c r="C25" i="3"/>
  <c r="C9" i="5" s="1"/>
  <c r="C13" i="5" s="1"/>
  <c r="C28" i="3"/>
  <c r="E41" i="3"/>
  <c r="F35" i="3" s="1"/>
  <c r="F23" i="3" s="1"/>
  <c r="BM53" i="3"/>
  <c r="BN47" i="3" s="1"/>
  <c r="E41" i="2"/>
  <c r="E28" i="2" s="1"/>
  <c r="E40" i="2"/>
  <c r="E27" i="2" s="1"/>
  <c r="C45" i="2"/>
  <c r="DA28" i="5"/>
  <c r="CZ14" i="5"/>
  <c r="C29" i="2"/>
  <c r="C32" i="2"/>
  <c r="F5" i="5"/>
  <c r="K1" i="5"/>
  <c r="K19" i="5" s="1"/>
  <c r="L22" i="3"/>
  <c r="K21" i="2"/>
  <c r="K36" i="2" s="1"/>
  <c r="K49" i="2" s="1"/>
  <c r="K62" i="2" s="1"/>
  <c r="H4" i="5"/>
  <c r="K14" i="5"/>
  <c r="BY64" i="3" l="1"/>
  <c r="BM48" i="3"/>
  <c r="BM52" i="3" s="1"/>
  <c r="BN53" i="2"/>
  <c r="BN59" i="2" s="1"/>
  <c r="BN54" i="2"/>
  <c r="BN58" i="2" s="1"/>
  <c r="BM55" i="2"/>
  <c r="BX61" i="3"/>
  <c r="BY61" i="3" s="1"/>
  <c r="AO71" i="2"/>
  <c r="AO68" i="2"/>
  <c r="AO72" i="2"/>
  <c r="E37" i="3"/>
  <c r="E40" i="3"/>
  <c r="E24" i="3"/>
  <c r="BZ65" i="3"/>
  <c r="CA59" i="3" s="1"/>
  <c r="C81" i="2"/>
  <c r="F3" i="5"/>
  <c r="F7" i="5" s="1"/>
  <c r="F36" i="3"/>
  <c r="F40" i="3" s="1"/>
  <c r="E3" i="5"/>
  <c r="E7" i="5" s="1"/>
  <c r="BL49" i="3"/>
  <c r="BM49" i="3" s="1"/>
  <c r="F41" i="3"/>
  <c r="G35" i="3" s="1"/>
  <c r="G23" i="3" s="1"/>
  <c r="D25" i="3"/>
  <c r="BN53" i="3"/>
  <c r="BO47" i="3" s="1"/>
  <c r="E46" i="2"/>
  <c r="E22" i="2"/>
  <c r="G10" i="5"/>
  <c r="H10" i="5" s="1"/>
  <c r="I10" i="5" s="1"/>
  <c r="DB28" i="5"/>
  <c r="DA14" i="5"/>
  <c r="D26" i="5"/>
  <c r="D33" i="2"/>
  <c r="G21" i="5"/>
  <c r="G22" i="5" s="1"/>
  <c r="G5" i="5" s="1"/>
  <c r="F6" i="5"/>
  <c r="L1" i="5"/>
  <c r="L19" i="5" s="1"/>
  <c r="M22" i="3"/>
  <c r="L21" i="2"/>
  <c r="L36" i="2" s="1"/>
  <c r="L49" i="2" s="1"/>
  <c r="L62" i="2" s="1"/>
  <c r="L14" i="5"/>
  <c r="BZ64" i="3" l="1"/>
  <c r="BN48" i="3"/>
  <c r="BN52" i="3" s="1"/>
  <c r="AP66" i="2"/>
  <c r="AP72" i="2" s="1"/>
  <c r="AP67" i="2"/>
  <c r="AP71" i="2" s="1"/>
  <c r="BN55" i="2"/>
  <c r="BO53" i="2"/>
  <c r="BO59" i="2" s="1"/>
  <c r="BO54" i="2"/>
  <c r="BO58" i="2" s="1"/>
  <c r="E25" i="3"/>
  <c r="E9" i="5" s="1"/>
  <c r="F37" i="3"/>
  <c r="F24" i="3"/>
  <c r="D9" i="5"/>
  <c r="BZ61" i="3"/>
  <c r="CA65" i="3"/>
  <c r="CB59" i="3" s="1"/>
  <c r="F29" i="3"/>
  <c r="G41" i="3"/>
  <c r="H35" i="3" s="1"/>
  <c r="H23" i="3" s="1"/>
  <c r="BO53" i="3"/>
  <c r="BP47" i="3" s="1"/>
  <c r="F41" i="2"/>
  <c r="F28" i="2" s="1"/>
  <c r="F40" i="2"/>
  <c r="F27" i="2" s="1"/>
  <c r="B45" i="2"/>
  <c r="B42" i="2"/>
  <c r="C42" i="2" s="1"/>
  <c r="D45" i="2"/>
  <c r="DC28" i="5"/>
  <c r="DB14" i="5"/>
  <c r="E28" i="3"/>
  <c r="D11" i="5"/>
  <c r="E26" i="5" s="1"/>
  <c r="G3" i="5"/>
  <c r="G7" i="5" s="1"/>
  <c r="D29" i="2"/>
  <c r="J10" i="5" s="1"/>
  <c r="K10" i="5" s="1"/>
  <c r="L10" i="5" s="1"/>
  <c r="D32" i="2"/>
  <c r="G29" i="3"/>
  <c r="H21" i="5"/>
  <c r="H22" i="5" s="1"/>
  <c r="G6" i="5"/>
  <c r="M1" i="5"/>
  <c r="M19" i="5" s="1"/>
  <c r="N22" i="3"/>
  <c r="M21" i="2"/>
  <c r="M36" i="2" s="1"/>
  <c r="M49" i="2" s="1"/>
  <c r="M62" i="2" s="1"/>
  <c r="M14" i="5"/>
  <c r="AP68" i="2" l="1"/>
  <c r="BN49" i="3"/>
  <c r="BO48" i="3"/>
  <c r="BO52" i="3" s="1"/>
  <c r="AQ66" i="2"/>
  <c r="AQ72" i="2" s="1"/>
  <c r="AQ67" i="2"/>
  <c r="AQ71" i="2" s="1"/>
  <c r="BP53" i="2"/>
  <c r="BP59" i="2" s="1"/>
  <c r="BP54" i="2"/>
  <c r="BP58" i="2" s="1"/>
  <c r="BO55" i="2"/>
  <c r="D81" i="2"/>
  <c r="CA64" i="3"/>
  <c r="CB65" i="3"/>
  <c r="CC59" i="3" s="1"/>
  <c r="H41" i="3"/>
  <c r="I35" i="3" s="1"/>
  <c r="I41" i="3" s="1"/>
  <c r="J35" i="3" s="1"/>
  <c r="J23" i="3" s="1"/>
  <c r="J3" i="5" s="1"/>
  <c r="H36" i="3"/>
  <c r="H24" i="3" s="1"/>
  <c r="G36" i="3"/>
  <c r="BP53" i="3"/>
  <c r="BQ47" i="3" s="1"/>
  <c r="F46" i="2"/>
  <c r="F22" i="2"/>
  <c r="G23" i="2" s="1"/>
  <c r="D42" i="2"/>
  <c r="DD28" i="5"/>
  <c r="DC14" i="5"/>
  <c r="D13" i="5"/>
  <c r="F25" i="3"/>
  <c r="D12" i="5"/>
  <c r="F28" i="3"/>
  <c r="H3" i="5"/>
  <c r="H29" i="3"/>
  <c r="H5" i="5"/>
  <c r="O22" i="3"/>
  <c r="N1" i="5"/>
  <c r="N19" i="5" s="1"/>
  <c r="N21" i="2"/>
  <c r="N36" i="2" s="1"/>
  <c r="N49" i="2" s="1"/>
  <c r="N62" i="2" s="1"/>
  <c r="N14" i="5"/>
  <c r="CB64" i="3" l="1"/>
  <c r="BP48" i="3"/>
  <c r="BP52" i="3" s="1"/>
  <c r="AR66" i="2"/>
  <c r="AR72" i="2" s="1"/>
  <c r="AR67" i="2"/>
  <c r="AR71" i="2" s="1"/>
  <c r="AQ68" i="2"/>
  <c r="BP55" i="2"/>
  <c r="BQ53" i="2"/>
  <c r="BQ59" i="2" s="1"/>
  <c r="BQ54" i="2"/>
  <c r="BQ58" i="2" s="1"/>
  <c r="I23" i="3"/>
  <c r="I3" i="5" s="1"/>
  <c r="G24" i="3"/>
  <c r="G25" i="3" s="1"/>
  <c r="H25" i="3" s="1"/>
  <c r="I36" i="3"/>
  <c r="I24" i="3" s="1"/>
  <c r="CA61" i="3"/>
  <c r="CC65" i="3"/>
  <c r="CD59" i="3" s="1"/>
  <c r="G40" i="3"/>
  <c r="H40" i="3"/>
  <c r="G37" i="3"/>
  <c r="H37" i="3" s="1"/>
  <c r="BO49" i="3"/>
  <c r="BQ53" i="3"/>
  <c r="BR47" i="3" s="1"/>
  <c r="G41" i="2"/>
  <c r="G28" i="2" s="1"/>
  <c r="G40" i="2"/>
  <c r="G27" i="2" s="1"/>
  <c r="J36" i="3"/>
  <c r="J24" i="3" s="1"/>
  <c r="J41" i="3"/>
  <c r="K35" i="3" s="1"/>
  <c r="K23" i="3" s="1"/>
  <c r="K3" i="5" s="1"/>
  <c r="F9" i="5"/>
  <c r="DE28" i="5"/>
  <c r="DD14" i="5"/>
  <c r="E11" i="5"/>
  <c r="F26" i="5" s="1"/>
  <c r="H28" i="3"/>
  <c r="E33" i="2"/>
  <c r="H7" i="5"/>
  <c r="H6" i="5"/>
  <c r="P22" i="3"/>
  <c r="O1" i="5"/>
  <c r="O19" i="5" s="1"/>
  <c r="O21" i="2"/>
  <c r="O36" i="2" s="1"/>
  <c r="O49" i="2" s="1"/>
  <c r="O62" i="2" s="1"/>
  <c r="O14" i="5"/>
  <c r="BP49" i="3" l="1"/>
  <c r="AR68" i="2"/>
  <c r="CB61" i="3"/>
  <c r="CC64" i="3"/>
  <c r="BQ48" i="3"/>
  <c r="BQ52" i="3" s="1"/>
  <c r="AS66" i="2"/>
  <c r="AS72" i="2" s="1"/>
  <c r="AS67" i="2"/>
  <c r="AS71" i="2" s="1"/>
  <c r="BR53" i="2"/>
  <c r="BR59" i="2" s="1"/>
  <c r="BR54" i="2"/>
  <c r="BR58" i="2" s="1"/>
  <c r="BQ55" i="2"/>
  <c r="I40" i="3"/>
  <c r="I37" i="3"/>
  <c r="J37" i="3" s="1"/>
  <c r="I25" i="3"/>
  <c r="G28" i="3"/>
  <c r="CD65" i="3"/>
  <c r="CE59" i="3" s="1"/>
  <c r="BQ49" i="3"/>
  <c r="J40" i="3"/>
  <c r="BR53" i="3"/>
  <c r="BS47" i="3" s="1"/>
  <c r="K36" i="3"/>
  <c r="K24" i="3" s="1"/>
  <c r="K41" i="3"/>
  <c r="L35" i="3" s="1"/>
  <c r="L23" i="3" s="1"/>
  <c r="L3" i="5" s="1"/>
  <c r="G46" i="2"/>
  <c r="G22" i="2"/>
  <c r="DF28" i="5"/>
  <c r="DE14" i="5"/>
  <c r="E13" i="5"/>
  <c r="E12" i="5"/>
  <c r="H9" i="5"/>
  <c r="G9" i="5"/>
  <c r="E29" i="2"/>
  <c r="E32" i="2"/>
  <c r="Q22" i="3"/>
  <c r="P1" i="5"/>
  <c r="P19" i="5" s="1"/>
  <c r="P21" i="2"/>
  <c r="P36" i="2" s="1"/>
  <c r="P49" i="2" s="1"/>
  <c r="P62" i="2" s="1"/>
  <c r="P14" i="5"/>
  <c r="CC61" i="3" l="1"/>
  <c r="BR48" i="3"/>
  <c r="BR52" i="3" s="1"/>
  <c r="AT66" i="2"/>
  <c r="AT72" i="2" s="1"/>
  <c r="AT67" i="2"/>
  <c r="AT71" i="2" s="1"/>
  <c r="AS68" i="2"/>
  <c r="BR55" i="2"/>
  <c r="BS53" i="2"/>
  <c r="BS59" i="2" s="1"/>
  <c r="BS54" i="2"/>
  <c r="BS58" i="2" s="1"/>
  <c r="K37" i="3"/>
  <c r="CD64" i="3"/>
  <c r="CE65" i="3"/>
  <c r="CF59" i="3" s="1"/>
  <c r="E81" i="2"/>
  <c r="K40" i="3"/>
  <c r="BS53" i="3"/>
  <c r="BT47" i="3" s="1"/>
  <c r="H41" i="2"/>
  <c r="H28" i="2" s="1"/>
  <c r="H40" i="2"/>
  <c r="H27" i="2" s="1"/>
  <c r="L36" i="3"/>
  <c r="L24" i="3" s="1"/>
  <c r="L41" i="3"/>
  <c r="M35" i="3" s="1"/>
  <c r="M23" i="3" s="1"/>
  <c r="M3" i="5" s="1"/>
  <c r="E45" i="2"/>
  <c r="E42" i="2"/>
  <c r="F11" i="5"/>
  <c r="G26" i="5" s="1"/>
  <c r="M10" i="5"/>
  <c r="N10" i="5" s="1"/>
  <c r="O10" i="5" s="1"/>
  <c r="DG28" i="5"/>
  <c r="DF14" i="5"/>
  <c r="F13" i="5"/>
  <c r="Q1" i="5"/>
  <c r="Q19" i="5" s="1"/>
  <c r="R22" i="3"/>
  <c r="Q21" i="2"/>
  <c r="Q36" i="2" s="1"/>
  <c r="Q49" i="2" s="1"/>
  <c r="Q62" i="2" s="1"/>
  <c r="Q14" i="5"/>
  <c r="AT68" i="2" l="1"/>
  <c r="CE64" i="3"/>
  <c r="BS48" i="3"/>
  <c r="BS52" i="3" s="1"/>
  <c r="AU66" i="2"/>
  <c r="AU72" i="2" s="1"/>
  <c r="AU67" i="2"/>
  <c r="AU71" i="2" s="1"/>
  <c r="BT53" i="2"/>
  <c r="BT59" i="2" s="1"/>
  <c r="BT54" i="2"/>
  <c r="BT58" i="2" s="1"/>
  <c r="BS55" i="2"/>
  <c r="CD61" i="3"/>
  <c r="CF65" i="3"/>
  <c r="CG59" i="3" s="1"/>
  <c r="BR49" i="3"/>
  <c r="L40" i="3"/>
  <c r="BT53" i="3"/>
  <c r="BU47" i="3" s="1"/>
  <c r="M36" i="3"/>
  <c r="M24" i="3" s="1"/>
  <c r="M41" i="3"/>
  <c r="N35" i="3" s="1"/>
  <c r="N23" i="3" s="1"/>
  <c r="N3" i="5" s="1"/>
  <c r="H46" i="2"/>
  <c r="H22" i="2"/>
  <c r="L37" i="3"/>
  <c r="F12" i="5"/>
  <c r="DH28" i="5"/>
  <c r="DG14" i="5"/>
  <c r="F29" i="2"/>
  <c r="P10" i="5" s="1"/>
  <c r="Q10" i="5" s="1"/>
  <c r="R10" i="5" s="1"/>
  <c r="F32" i="2"/>
  <c r="R1" i="5"/>
  <c r="R19" i="5" s="1"/>
  <c r="S22" i="3"/>
  <c r="F31" i="2"/>
  <c r="R21" i="2"/>
  <c r="R36" i="2" s="1"/>
  <c r="R49" i="2" s="1"/>
  <c r="R62" i="2" s="1"/>
  <c r="F33" i="2"/>
  <c r="R14" i="5"/>
  <c r="CE61" i="3" l="1"/>
  <c r="CF64" i="3"/>
  <c r="BS49" i="3"/>
  <c r="BT48" i="3"/>
  <c r="BT52" i="3" s="1"/>
  <c r="AV66" i="2"/>
  <c r="AV72" i="2" s="1"/>
  <c r="AV67" i="2"/>
  <c r="AV71" i="2" s="1"/>
  <c r="AU68" i="2"/>
  <c r="BT55" i="2"/>
  <c r="BU53" i="2"/>
  <c r="BU59" i="2" s="1"/>
  <c r="BU54" i="2"/>
  <c r="BU58" i="2" s="1"/>
  <c r="M37" i="3"/>
  <c r="CG65" i="3"/>
  <c r="CH59" i="3" s="1"/>
  <c r="M40" i="3"/>
  <c r="BU53" i="3"/>
  <c r="BV47" i="3" s="1"/>
  <c r="I41" i="2"/>
  <c r="I28" i="2" s="1"/>
  <c r="I40" i="2"/>
  <c r="I27" i="2" s="1"/>
  <c r="N36" i="3"/>
  <c r="N24" i="3" s="1"/>
  <c r="N41" i="3"/>
  <c r="O35" i="3" s="1"/>
  <c r="O23" i="3" s="1"/>
  <c r="O3" i="5" s="1"/>
  <c r="DI28" i="5"/>
  <c r="DH14" i="5"/>
  <c r="F81" i="2"/>
  <c r="T22" i="3"/>
  <c r="S1" i="5"/>
  <c r="S19" i="5" s="1"/>
  <c r="G32" i="2"/>
  <c r="G81" i="2" s="1"/>
  <c r="S21" i="2"/>
  <c r="S36" i="2" s="1"/>
  <c r="S49" i="2" s="1"/>
  <c r="S62" i="2" s="1"/>
  <c r="S14" i="5"/>
  <c r="AV68" i="2" l="1"/>
  <c r="BT49" i="3"/>
  <c r="CF61" i="3"/>
  <c r="CG64" i="3"/>
  <c r="BU48" i="3"/>
  <c r="AW66" i="2"/>
  <c r="AW72" i="2" s="1"/>
  <c r="AW67" i="2"/>
  <c r="AW71" i="2" s="1"/>
  <c r="BV53" i="2"/>
  <c r="BV59" i="2" s="1"/>
  <c r="BV54" i="2"/>
  <c r="BV58" i="2" s="1"/>
  <c r="BU55" i="2"/>
  <c r="CH65" i="3"/>
  <c r="CI59" i="3" s="1"/>
  <c r="N40" i="3"/>
  <c r="BU52" i="3"/>
  <c r="BV53" i="3"/>
  <c r="BW47" i="3" s="1"/>
  <c r="O36" i="3"/>
  <c r="O24" i="3" s="1"/>
  <c r="O41" i="3"/>
  <c r="P35" i="3" s="1"/>
  <c r="P23" i="3" s="1"/>
  <c r="P3" i="5" s="1"/>
  <c r="I46" i="2"/>
  <c r="J41" i="2" s="1"/>
  <c r="J28" i="2" s="1"/>
  <c r="I22" i="2"/>
  <c r="N37" i="3"/>
  <c r="F45" i="2"/>
  <c r="F42" i="2"/>
  <c r="DJ28" i="5"/>
  <c r="DI14" i="5"/>
  <c r="G11" i="5"/>
  <c r="G29" i="2"/>
  <c r="S10" i="5" s="1"/>
  <c r="T10" i="5" s="1"/>
  <c r="U10" i="5" s="1"/>
  <c r="T1" i="5"/>
  <c r="T19" i="5" s="1"/>
  <c r="U22" i="3"/>
  <c r="T21" i="2"/>
  <c r="T36" i="2" s="1"/>
  <c r="T49" i="2" s="1"/>
  <c r="T62" i="2" s="1"/>
  <c r="G31" i="2"/>
  <c r="G33" i="2"/>
  <c r="T14" i="5"/>
  <c r="CH64" i="3" l="1"/>
  <c r="BV48" i="3"/>
  <c r="BV52" i="3" s="1"/>
  <c r="AX66" i="2"/>
  <c r="AX72" i="2" s="1"/>
  <c r="AX67" i="2"/>
  <c r="AX71" i="2" s="1"/>
  <c r="AW68" i="2"/>
  <c r="BV55" i="2"/>
  <c r="BW53" i="2"/>
  <c r="BW59" i="2" s="1"/>
  <c r="BW54" i="2"/>
  <c r="BW58" i="2" s="1"/>
  <c r="O37" i="3"/>
  <c r="CG61" i="3"/>
  <c r="CH61" i="3" s="1"/>
  <c r="CI65" i="3"/>
  <c r="CJ59" i="3" s="1"/>
  <c r="BU49" i="3"/>
  <c r="O40" i="3"/>
  <c r="BW53" i="3"/>
  <c r="BX47" i="3" s="1"/>
  <c r="P36" i="3"/>
  <c r="P41" i="3"/>
  <c r="Q35" i="3" s="1"/>
  <c r="Q23" i="3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AU3" i="5" s="1"/>
  <c r="AV3" i="5" s="1"/>
  <c r="AW3" i="5" s="1"/>
  <c r="AX3" i="5" s="1"/>
  <c r="AY3" i="5" s="1"/>
  <c r="AZ3" i="5" s="1"/>
  <c r="BA3" i="5" s="1"/>
  <c r="BB3" i="5" s="1"/>
  <c r="BC3" i="5" s="1"/>
  <c r="BD3" i="5" s="1"/>
  <c r="BE3" i="5" s="1"/>
  <c r="BF3" i="5" s="1"/>
  <c r="BG3" i="5" s="1"/>
  <c r="BH3" i="5" s="1"/>
  <c r="BI3" i="5" s="1"/>
  <c r="BJ3" i="5" s="1"/>
  <c r="BK3" i="5" s="1"/>
  <c r="BL3" i="5" s="1"/>
  <c r="BM3" i="5" s="1"/>
  <c r="BN3" i="5" s="1"/>
  <c r="BO3" i="5" s="1"/>
  <c r="BP3" i="5" s="1"/>
  <c r="BQ3" i="5" s="1"/>
  <c r="BR3" i="5" s="1"/>
  <c r="BS3" i="5" s="1"/>
  <c r="BT3" i="5" s="1"/>
  <c r="BU3" i="5" s="1"/>
  <c r="BV3" i="5" s="1"/>
  <c r="BW3" i="5" s="1"/>
  <c r="BX3" i="5" s="1"/>
  <c r="BY3" i="5" s="1"/>
  <c r="BZ3" i="5" s="1"/>
  <c r="CA3" i="5" s="1"/>
  <c r="CB3" i="5" s="1"/>
  <c r="CC3" i="5" s="1"/>
  <c r="CD3" i="5" s="1"/>
  <c r="CE3" i="5" s="1"/>
  <c r="CF3" i="5" s="1"/>
  <c r="CG3" i="5" s="1"/>
  <c r="CH3" i="5" s="1"/>
  <c r="CI3" i="5" s="1"/>
  <c r="CJ3" i="5" s="1"/>
  <c r="CK3" i="5" s="1"/>
  <c r="CL3" i="5" s="1"/>
  <c r="CM3" i="5" s="1"/>
  <c r="CN3" i="5" s="1"/>
  <c r="CO3" i="5" s="1"/>
  <c r="CP3" i="5" s="1"/>
  <c r="CQ3" i="5" s="1"/>
  <c r="CR3" i="5" s="1"/>
  <c r="CS3" i="5" s="1"/>
  <c r="CT3" i="5" s="1"/>
  <c r="CU3" i="5" s="1"/>
  <c r="CV3" i="5" s="1"/>
  <c r="CW3" i="5" s="1"/>
  <c r="CX3" i="5" s="1"/>
  <c r="CY3" i="5" s="1"/>
  <c r="CZ3" i="5" s="1"/>
  <c r="DA3" i="5" s="1"/>
  <c r="J40" i="2"/>
  <c r="J27" i="2" s="1"/>
  <c r="H32" i="2"/>
  <c r="DK28" i="5"/>
  <c r="DJ14" i="5"/>
  <c r="G13" i="5"/>
  <c r="H26" i="5"/>
  <c r="G12" i="5"/>
  <c r="V22" i="3"/>
  <c r="U1" i="5"/>
  <c r="U19" i="5" s="1"/>
  <c r="U21" i="2"/>
  <c r="U36" i="2" s="1"/>
  <c r="U49" i="2" s="1"/>
  <c r="U62" i="2" s="1"/>
  <c r="U14" i="5"/>
  <c r="AX68" i="2" l="1"/>
  <c r="BV49" i="3"/>
  <c r="CI64" i="3"/>
  <c r="BW48" i="3"/>
  <c r="BW52" i="3" s="1"/>
  <c r="AY66" i="2"/>
  <c r="AY72" i="2" s="1"/>
  <c r="AY67" i="2"/>
  <c r="AY71" i="2" s="1"/>
  <c r="BX53" i="2"/>
  <c r="BX59" i="2" s="1"/>
  <c r="BX54" i="2"/>
  <c r="BX58" i="2" s="1"/>
  <c r="BW55" i="2"/>
  <c r="P37" i="3"/>
  <c r="P24" i="3"/>
  <c r="CI61" i="3"/>
  <c r="CJ65" i="3"/>
  <c r="CK59" i="3" s="1"/>
  <c r="H81" i="2"/>
  <c r="P40" i="3"/>
  <c r="BX53" i="3"/>
  <c r="BY47" i="3" s="1"/>
  <c r="Q36" i="3"/>
  <c r="Q24" i="3" s="1"/>
  <c r="Q41" i="3"/>
  <c r="R35" i="3" s="1"/>
  <c r="R23" i="3" s="1"/>
  <c r="G42" i="2"/>
  <c r="G45" i="2"/>
  <c r="DL28" i="5"/>
  <c r="DK14" i="5"/>
  <c r="H11" i="5"/>
  <c r="DB3" i="5"/>
  <c r="I27" i="3"/>
  <c r="I29" i="3"/>
  <c r="V1" i="5"/>
  <c r="V19" i="5" s="1"/>
  <c r="W22" i="3"/>
  <c r="V21" i="2"/>
  <c r="V36" i="2" s="1"/>
  <c r="V49" i="2" s="1"/>
  <c r="V62" i="2" s="1"/>
  <c r="H29" i="2"/>
  <c r="V10" i="5" s="1"/>
  <c r="W10" i="5" s="1"/>
  <c r="X10" i="5" s="1"/>
  <c r="V14" i="5"/>
  <c r="BW49" i="3" l="1"/>
  <c r="BX48" i="3"/>
  <c r="BX52" i="3" s="1"/>
  <c r="AZ66" i="2"/>
  <c r="AZ72" i="2" s="1"/>
  <c r="AZ67" i="2"/>
  <c r="AZ71" i="2" s="1"/>
  <c r="AY68" i="2"/>
  <c r="BX55" i="2"/>
  <c r="BY53" i="2"/>
  <c r="BY59" i="2" s="1"/>
  <c r="BY54" i="2"/>
  <c r="BY58" i="2" s="1"/>
  <c r="CJ64" i="3"/>
  <c r="CK65" i="3"/>
  <c r="CL59" i="3" s="1"/>
  <c r="Q40" i="3"/>
  <c r="BY53" i="3"/>
  <c r="BZ47" i="3" s="1"/>
  <c r="R36" i="3"/>
  <c r="R24" i="3" s="1"/>
  <c r="R41" i="3"/>
  <c r="S35" i="3" s="1"/>
  <c r="S23" i="3" s="1"/>
  <c r="Q37" i="3"/>
  <c r="DM28" i="5"/>
  <c r="DL14" i="5"/>
  <c r="H13" i="5"/>
  <c r="I26" i="5"/>
  <c r="I11" i="5" s="1"/>
  <c r="H12" i="5"/>
  <c r="DC3" i="5"/>
  <c r="J27" i="3"/>
  <c r="I4" i="5"/>
  <c r="X22" i="3"/>
  <c r="W1" i="5"/>
  <c r="W19" i="5" s="1"/>
  <c r="W21" i="2"/>
  <c r="W36" i="2" s="1"/>
  <c r="W49" i="2" s="1"/>
  <c r="W62" i="2" s="1"/>
  <c r="H31" i="2"/>
  <c r="H33" i="2"/>
  <c r="W14" i="5"/>
  <c r="AZ68" i="2" l="1"/>
  <c r="CK64" i="3"/>
  <c r="BY48" i="3"/>
  <c r="BY52" i="3" s="1"/>
  <c r="BA66" i="2"/>
  <c r="BA72" i="2" s="1"/>
  <c r="BA67" i="2"/>
  <c r="BA71" i="2" s="1"/>
  <c r="BZ53" i="2"/>
  <c r="BZ59" i="2" s="1"/>
  <c r="BZ54" i="2"/>
  <c r="BZ58" i="2" s="1"/>
  <c r="BY55" i="2"/>
  <c r="CJ61" i="3"/>
  <c r="CL65" i="3"/>
  <c r="CM59" i="3" s="1"/>
  <c r="BX49" i="3"/>
  <c r="BY49" i="3" s="1"/>
  <c r="R40" i="3"/>
  <c r="BZ53" i="3"/>
  <c r="CA47" i="3" s="1"/>
  <c r="S36" i="3"/>
  <c r="S24" i="3" s="1"/>
  <c r="S41" i="3"/>
  <c r="T35" i="3" s="1"/>
  <c r="T23" i="3" s="1"/>
  <c r="R37" i="3"/>
  <c r="I32" i="2"/>
  <c r="DN28" i="5"/>
  <c r="DM14" i="5"/>
  <c r="J26" i="5"/>
  <c r="DD3" i="5"/>
  <c r="J4" i="5"/>
  <c r="I28" i="3"/>
  <c r="J29" i="3"/>
  <c r="I21" i="5"/>
  <c r="I22" i="5" s="1"/>
  <c r="I5" i="5" s="1"/>
  <c r="I7" i="5" s="1"/>
  <c r="I12" i="5"/>
  <c r="Y22" i="3"/>
  <c r="X1" i="5"/>
  <c r="X19" i="5" s="1"/>
  <c r="X21" i="2"/>
  <c r="X36" i="2" s="1"/>
  <c r="X49" i="2" s="1"/>
  <c r="X62" i="2" s="1"/>
  <c r="X14" i="5"/>
  <c r="CK61" i="3" l="1"/>
  <c r="CL64" i="3"/>
  <c r="BZ48" i="3"/>
  <c r="BZ52" i="3" s="1"/>
  <c r="BB66" i="2"/>
  <c r="BB72" i="2" s="1"/>
  <c r="BB67" i="2"/>
  <c r="BB71" i="2" s="1"/>
  <c r="BA68" i="2"/>
  <c r="BZ55" i="2"/>
  <c r="CA53" i="2"/>
  <c r="CA59" i="2" s="1"/>
  <c r="CA54" i="2"/>
  <c r="CA58" i="2" s="1"/>
  <c r="CM65" i="3"/>
  <c r="CN59" i="3" s="1"/>
  <c r="CL61" i="3"/>
  <c r="I81" i="2"/>
  <c r="S40" i="3"/>
  <c r="CA53" i="3"/>
  <c r="CB47" i="3" s="1"/>
  <c r="T36" i="3"/>
  <c r="T24" i="3" s="1"/>
  <c r="T41" i="3"/>
  <c r="U35" i="3" s="1"/>
  <c r="U23" i="3" s="1"/>
  <c r="S37" i="3"/>
  <c r="H42" i="2"/>
  <c r="H45" i="2"/>
  <c r="DN14" i="5"/>
  <c r="DO28" i="5"/>
  <c r="DE3" i="5"/>
  <c r="I6" i="5"/>
  <c r="I9" i="5"/>
  <c r="I13" i="5" s="1"/>
  <c r="J28" i="3"/>
  <c r="J21" i="5"/>
  <c r="J22" i="5" s="1"/>
  <c r="J5" i="5" s="1"/>
  <c r="J7" i="5" s="1"/>
  <c r="Z22" i="3"/>
  <c r="Y1" i="5"/>
  <c r="Y19" i="5" s="1"/>
  <c r="Y21" i="2"/>
  <c r="Y36" i="2" s="1"/>
  <c r="Y49" i="2" s="1"/>
  <c r="Y62" i="2" s="1"/>
  <c r="I29" i="2"/>
  <c r="Y10" i="5" s="1"/>
  <c r="Z10" i="5" s="1"/>
  <c r="AA10" i="5" s="1"/>
  <c r="Y14" i="5"/>
  <c r="BB68" i="2" l="1"/>
  <c r="BZ49" i="3"/>
  <c r="CA48" i="3"/>
  <c r="CA52" i="3" s="1"/>
  <c r="BC66" i="2"/>
  <c r="BC72" i="2" s="1"/>
  <c r="BC67" i="2"/>
  <c r="BC71" i="2" s="1"/>
  <c r="CB53" i="2"/>
  <c r="CB59" i="2" s="1"/>
  <c r="CB54" i="2"/>
  <c r="CB58" i="2" s="1"/>
  <c r="CA55" i="2"/>
  <c r="CM64" i="3"/>
  <c r="CN65" i="3"/>
  <c r="CO59" i="3" s="1"/>
  <c r="T37" i="3"/>
  <c r="T40" i="3"/>
  <c r="CB53" i="3"/>
  <c r="CC47" i="3" s="1"/>
  <c r="U36" i="3"/>
  <c r="U24" i="3" s="1"/>
  <c r="U41" i="3"/>
  <c r="V35" i="3" s="1"/>
  <c r="V23" i="3" s="1"/>
  <c r="DP28" i="5"/>
  <c r="DO14" i="5"/>
  <c r="DF3" i="5"/>
  <c r="J6" i="5"/>
  <c r="J25" i="3"/>
  <c r="K25" i="3" s="1"/>
  <c r="J11" i="5"/>
  <c r="K26" i="5" s="1"/>
  <c r="Z1" i="5"/>
  <c r="Z19" i="5" s="1"/>
  <c r="AA22" i="3"/>
  <c r="Z21" i="2"/>
  <c r="Z36" i="2" s="1"/>
  <c r="Z49" i="2" s="1"/>
  <c r="Z62" i="2" s="1"/>
  <c r="I31" i="2"/>
  <c r="I33" i="2"/>
  <c r="Z14" i="5"/>
  <c r="CN64" i="3" l="1"/>
  <c r="CB48" i="3"/>
  <c r="CB52" i="3" s="1"/>
  <c r="CB55" i="2"/>
  <c r="BD66" i="2"/>
  <c r="BD72" i="2" s="1"/>
  <c r="BD67" i="2"/>
  <c r="BD71" i="2" s="1"/>
  <c r="BC68" i="2"/>
  <c r="BD68" i="2" s="1"/>
  <c r="CC53" i="2"/>
  <c r="CC59" i="2" s="1"/>
  <c r="CC54" i="2"/>
  <c r="CC58" i="2" s="1"/>
  <c r="CM61" i="3"/>
  <c r="CN61" i="3" s="1"/>
  <c r="CO65" i="3"/>
  <c r="CP59" i="3" s="1"/>
  <c r="CA49" i="3"/>
  <c r="CB49" i="3" s="1"/>
  <c r="U40" i="3"/>
  <c r="CC53" i="3"/>
  <c r="CD47" i="3" s="1"/>
  <c r="U37" i="3"/>
  <c r="V36" i="3"/>
  <c r="V24" i="3" s="1"/>
  <c r="V41" i="3"/>
  <c r="W35" i="3" s="1"/>
  <c r="W23" i="3" s="1"/>
  <c r="DP14" i="5"/>
  <c r="DQ28" i="5"/>
  <c r="DQ14" i="5" s="1"/>
  <c r="DG3" i="5"/>
  <c r="J9" i="5"/>
  <c r="J13" i="5" s="1"/>
  <c r="J12" i="5"/>
  <c r="AB22" i="3"/>
  <c r="AA1" i="5"/>
  <c r="AA19" i="5" s="1"/>
  <c r="AA21" i="2"/>
  <c r="AA36" i="2" s="1"/>
  <c r="AA49" i="2" s="1"/>
  <c r="AA62" i="2" s="1"/>
  <c r="AA14" i="5"/>
  <c r="CO64" i="3" l="1"/>
  <c r="CC48" i="3"/>
  <c r="CC52" i="3" s="1"/>
  <c r="BE66" i="2"/>
  <c r="BE72" i="2" s="1"/>
  <c r="BE67" i="2"/>
  <c r="BE71" i="2" s="1"/>
  <c r="CD53" i="2"/>
  <c r="CD59" i="2" s="1"/>
  <c r="CD54" i="2"/>
  <c r="CD58" i="2" s="1"/>
  <c r="CC55" i="2"/>
  <c r="CP65" i="3"/>
  <c r="CQ59" i="3" s="1"/>
  <c r="CO61" i="3"/>
  <c r="V40" i="3"/>
  <c r="CD53" i="3"/>
  <c r="CE47" i="3" s="1"/>
  <c r="W36" i="3"/>
  <c r="W24" i="3" s="1"/>
  <c r="W41" i="3"/>
  <c r="X35" i="3" s="1"/>
  <c r="X23" i="3" s="1"/>
  <c r="V37" i="3"/>
  <c r="I45" i="2"/>
  <c r="I42" i="2"/>
  <c r="DH3" i="5"/>
  <c r="K27" i="3"/>
  <c r="K29" i="3"/>
  <c r="AC22" i="3"/>
  <c r="AB1" i="5"/>
  <c r="AB19" i="5" s="1"/>
  <c r="AC21" i="2"/>
  <c r="AC36" i="2" s="1"/>
  <c r="AC49" i="2" s="1"/>
  <c r="AC62" i="2" s="1"/>
  <c r="AB21" i="2"/>
  <c r="AB36" i="2" s="1"/>
  <c r="AB49" i="2" s="1"/>
  <c r="AB62" i="2" s="1"/>
  <c r="J29" i="2"/>
  <c r="AB10" i="5" s="1"/>
  <c r="AC10" i="5" s="1"/>
  <c r="AD10" i="5" s="1"/>
  <c r="AB14" i="5"/>
  <c r="CC49" i="3" l="1"/>
  <c r="CD48" i="3"/>
  <c r="CD52" i="3" s="1"/>
  <c r="BF66" i="2"/>
  <c r="BF72" i="2" s="1"/>
  <c r="BF67" i="2"/>
  <c r="BF71" i="2" s="1"/>
  <c r="BE68" i="2"/>
  <c r="CD55" i="2"/>
  <c r="CE53" i="2"/>
  <c r="CE59" i="2" s="1"/>
  <c r="CE54" i="2"/>
  <c r="CE58" i="2" s="1"/>
  <c r="CP64" i="3"/>
  <c r="CQ65" i="3"/>
  <c r="CR59" i="3" s="1"/>
  <c r="W37" i="3"/>
  <c r="W40" i="3"/>
  <c r="CE53" i="3"/>
  <c r="CF47" i="3" s="1"/>
  <c r="X36" i="3"/>
  <c r="X24" i="3" s="1"/>
  <c r="X41" i="3"/>
  <c r="Y35" i="3" s="1"/>
  <c r="Y23" i="3" s="1"/>
  <c r="J44" i="2"/>
  <c r="K44" i="2" s="1"/>
  <c r="L44" i="2" s="1"/>
  <c r="M44" i="2" s="1"/>
  <c r="N44" i="2" s="1"/>
  <c r="O44" i="2" s="1"/>
  <c r="P44" i="2" s="1"/>
  <c r="Q44" i="2" s="1"/>
  <c r="R44" i="2" s="1"/>
  <c r="S44" i="2" s="1"/>
  <c r="T44" i="2" s="1"/>
  <c r="U44" i="2" s="1"/>
  <c r="V44" i="2" s="1"/>
  <c r="W44" i="2" s="1"/>
  <c r="X44" i="2" s="1"/>
  <c r="Y44" i="2" s="1"/>
  <c r="Z44" i="2" s="1"/>
  <c r="AA44" i="2" s="1"/>
  <c r="AB44" i="2" s="1"/>
  <c r="AC44" i="2" s="1"/>
  <c r="AD44" i="2" s="1"/>
  <c r="AE44" i="2" s="1"/>
  <c r="AF44" i="2" s="1"/>
  <c r="AG44" i="2" s="1"/>
  <c r="AH44" i="2" s="1"/>
  <c r="AI44" i="2" s="1"/>
  <c r="AJ44" i="2" s="1"/>
  <c r="AK44" i="2" s="1"/>
  <c r="AL44" i="2" s="1"/>
  <c r="AM44" i="2" s="1"/>
  <c r="AN44" i="2" s="1"/>
  <c r="AO44" i="2" s="1"/>
  <c r="AP44" i="2" s="1"/>
  <c r="AQ44" i="2" s="1"/>
  <c r="AR44" i="2" s="1"/>
  <c r="AS44" i="2" s="1"/>
  <c r="AT44" i="2" s="1"/>
  <c r="AU44" i="2" s="1"/>
  <c r="AV44" i="2" s="1"/>
  <c r="AW44" i="2" s="1"/>
  <c r="AX44" i="2" s="1"/>
  <c r="AY44" i="2" s="1"/>
  <c r="AZ44" i="2" s="1"/>
  <c r="BA44" i="2" s="1"/>
  <c r="BB44" i="2" s="1"/>
  <c r="BC44" i="2" s="1"/>
  <c r="BD44" i="2" s="1"/>
  <c r="BE44" i="2" s="1"/>
  <c r="BF44" i="2" s="1"/>
  <c r="BG44" i="2" s="1"/>
  <c r="BH44" i="2" s="1"/>
  <c r="BI44" i="2" s="1"/>
  <c r="BJ44" i="2" s="1"/>
  <c r="BK44" i="2" s="1"/>
  <c r="BL44" i="2" s="1"/>
  <c r="BM44" i="2" s="1"/>
  <c r="BN44" i="2" s="1"/>
  <c r="BO44" i="2" s="1"/>
  <c r="BP44" i="2" s="1"/>
  <c r="BQ44" i="2" s="1"/>
  <c r="BR44" i="2" s="1"/>
  <c r="BS44" i="2" s="1"/>
  <c r="BT44" i="2" s="1"/>
  <c r="BU44" i="2" s="1"/>
  <c r="BV44" i="2" s="1"/>
  <c r="BW44" i="2" s="1"/>
  <c r="BX44" i="2" s="1"/>
  <c r="BY44" i="2" s="1"/>
  <c r="BZ44" i="2" s="1"/>
  <c r="CA44" i="2" s="1"/>
  <c r="CB44" i="2" s="1"/>
  <c r="CC44" i="2" s="1"/>
  <c r="CD44" i="2" s="1"/>
  <c r="CE44" i="2" s="1"/>
  <c r="CF44" i="2" s="1"/>
  <c r="CG44" i="2" s="1"/>
  <c r="CH44" i="2" s="1"/>
  <c r="CI44" i="2" s="1"/>
  <c r="CJ44" i="2" s="1"/>
  <c r="CK44" i="2" s="1"/>
  <c r="CL44" i="2" s="1"/>
  <c r="CM44" i="2" s="1"/>
  <c r="CN44" i="2" s="1"/>
  <c r="CO44" i="2" s="1"/>
  <c r="CP44" i="2" s="1"/>
  <c r="CQ44" i="2" s="1"/>
  <c r="CR44" i="2" s="1"/>
  <c r="CS44" i="2" s="1"/>
  <c r="CT44" i="2" s="1"/>
  <c r="CU44" i="2" s="1"/>
  <c r="CV44" i="2" s="1"/>
  <c r="CW44" i="2" s="1"/>
  <c r="J46" i="2"/>
  <c r="K41" i="2" s="1"/>
  <c r="K28" i="2" s="1"/>
  <c r="J32" i="2"/>
  <c r="J81" i="2" s="1"/>
  <c r="DI3" i="5"/>
  <c r="K4" i="5"/>
  <c r="L27" i="3"/>
  <c r="K11" i="5"/>
  <c r="L26" i="5" s="1"/>
  <c r="AD22" i="3"/>
  <c r="AC1" i="5"/>
  <c r="AC19" i="5" s="1"/>
  <c r="J31" i="2"/>
  <c r="J33" i="2"/>
  <c r="AC14" i="5"/>
  <c r="BF68" i="2" l="1"/>
  <c r="CQ64" i="3"/>
  <c r="CE48" i="3"/>
  <c r="CE52" i="3" s="1"/>
  <c r="BG66" i="2"/>
  <c r="BG72" i="2" s="1"/>
  <c r="BG67" i="2"/>
  <c r="BG71" i="2" s="1"/>
  <c r="CF53" i="2"/>
  <c r="CF59" i="2" s="1"/>
  <c r="CF54" i="2"/>
  <c r="CF58" i="2" s="1"/>
  <c r="CE55" i="2"/>
  <c r="CP61" i="3"/>
  <c r="CQ61" i="3" s="1"/>
  <c r="CR65" i="3"/>
  <c r="CS59" i="3" s="1"/>
  <c r="CD49" i="3"/>
  <c r="X40" i="3"/>
  <c r="X37" i="3"/>
  <c r="CF53" i="3"/>
  <c r="CG47" i="3" s="1"/>
  <c r="Y36" i="3"/>
  <c r="Y24" i="3" s="1"/>
  <c r="Y41" i="3"/>
  <c r="Z35" i="3" s="1"/>
  <c r="Z23" i="3" s="1"/>
  <c r="K32" i="2"/>
  <c r="K81" i="2" s="1"/>
  <c r="K40" i="2"/>
  <c r="K27" i="2" s="1"/>
  <c r="DJ3" i="5"/>
  <c r="K21" i="5"/>
  <c r="K22" i="5" s="1"/>
  <c r="K5" i="5" s="1"/>
  <c r="K7" i="5" s="1"/>
  <c r="L4" i="5"/>
  <c r="M27" i="3"/>
  <c r="K28" i="3"/>
  <c r="L29" i="3"/>
  <c r="K12" i="5"/>
  <c r="AD1" i="5"/>
  <c r="AD19" i="5" s="1"/>
  <c r="AE22" i="3"/>
  <c r="AD14" i="5"/>
  <c r="CR64" i="3" l="1"/>
  <c r="CE49" i="3"/>
  <c r="CF48" i="3"/>
  <c r="CF52" i="3" s="1"/>
  <c r="BH66" i="2"/>
  <c r="BH72" i="2" s="1"/>
  <c r="BH67" i="2"/>
  <c r="BH71" i="2" s="1"/>
  <c r="BG68" i="2"/>
  <c r="CF55" i="2"/>
  <c r="CG53" i="2"/>
  <c r="CG59" i="2" s="1"/>
  <c r="CG54" i="2"/>
  <c r="CG58" i="2" s="1"/>
  <c r="CR61" i="3"/>
  <c r="CS65" i="3"/>
  <c r="CT59" i="3" s="1"/>
  <c r="Y40" i="3"/>
  <c r="CG53" i="3"/>
  <c r="CH47" i="3" s="1"/>
  <c r="K46" i="2"/>
  <c r="L41" i="2" s="1"/>
  <c r="Z36" i="3"/>
  <c r="Z24" i="3" s="1"/>
  <c r="Z41" i="3"/>
  <c r="AA35" i="3" s="1"/>
  <c r="AA23" i="3" s="1"/>
  <c r="Y37" i="3"/>
  <c r="L40" i="2"/>
  <c r="J45" i="2"/>
  <c r="J42" i="2"/>
  <c r="DK3" i="5"/>
  <c r="K6" i="5"/>
  <c r="M29" i="3"/>
  <c r="L28" i="3"/>
  <c r="N27" i="3"/>
  <c r="N4" i="5" s="1"/>
  <c r="M4" i="5"/>
  <c r="K9" i="5"/>
  <c r="K13" i="5" s="1"/>
  <c r="L21" i="5"/>
  <c r="L22" i="5" s="1"/>
  <c r="L5" i="5" s="1"/>
  <c r="L7" i="5" s="1"/>
  <c r="AF22" i="3"/>
  <c r="AE1" i="5"/>
  <c r="AE19" i="5" s="1"/>
  <c r="K29" i="2"/>
  <c r="AE14" i="5"/>
  <c r="BH68" i="2" l="1"/>
  <c r="CF49" i="3"/>
  <c r="CG48" i="3"/>
  <c r="CG52" i="3" s="1"/>
  <c r="BI66" i="2"/>
  <c r="BI72" i="2" s="1"/>
  <c r="BI67" i="2"/>
  <c r="BI71" i="2" s="1"/>
  <c r="CH53" i="2"/>
  <c r="CH59" i="2" s="1"/>
  <c r="CH54" i="2"/>
  <c r="CH58" i="2" s="1"/>
  <c r="CG55" i="2"/>
  <c r="AE10" i="5"/>
  <c r="L29" i="2"/>
  <c r="CS64" i="3"/>
  <c r="CT65" i="3"/>
  <c r="CU59" i="3" s="1"/>
  <c r="Z40" i="3"/>
  <c r="CH53" i="3"/>
  <c r="CI47" i="3" s="1"/>
  <c r="AA36" i="3"/>
  <c r="AA24" i="3" s="1"/>
  <c r="AA41" i="3"/>
  <c r="AB35" i="3" s="1"/>
  <c r="AB23" i="3" s="1"/>
  <c r="L46" i="2"/>
  <c r="M41" i="2" s="1"/>
  <c r="M28" i="2" s="1"/>
  <c r="M32" i="2" s="1"/>
  <c r="Z37" i="3"/>
  <c r="DL3" i="5"/>
  <c r="M28" i="3"/>
  <c r="L6" i="5"/>
  <c r="L25" i="3"/>
  <c r="M25" i="3" s="1"/>
  <c r="M21" i="5"/>
  <c r="M22" i="5" s="1"/>
  <c r="M5" i="5" s="1"/>
  <c r="M7" i="5" s="1"/>
  <c r="N29" i="3"/>
  <c r="N28" i="3"/>
  <c r="L11" i="5"/>
  <c r="M26" i="5" s="1"/>
  <c r="AF1" i="5"/>
  <c r="AF19" i="5" s="1"/>
  <c r="AG22" i="3"/>
  <c r="K31" i="2"/>
  <c r="L31" i="2" s="1"/>
  <c r="M31" i="2" s="1"/>
  <c r="N31" i="2" s="1"/>
  <c r="O31" i="2" s="1"/>
  <c r="P31" i="2" s="1"/>
  <c r="Q31" i="2" s="1"/>
  <c r="R31" i="2" s="1"/>
  <c r="S31" i="2" s="1"/>
  <c r="T31" i="2" s="1"/>
  <c r="U31" i="2" s="1"/>
  <c r="V31" i="2" s="1"/>
  <c r="W31" i="2" s="1"/>
  <c r="X31" i="2" s="1"/>
  <c r="Y31" i="2" s="1"/>
  <c r="Z31" i="2" s="1"/>
  <c r="AA31" i="2" s="1"/>
  <c r="AB31" i="2" s="1"/>
  <c r="AC31" i="2" s="1"/>
  <c r="AD31" i="2" s="1"/>
  <c r="AE31" i="2" s="1"/>
  <c r="AF31" i="2" s="1"/>
  <c r="AG31" i="2" s="1"/>
  <c r="AH31" i="2" s="1"/>
  <c r="AI31" i="2" s="1"/>
  <c r="AJ31" i="2" s="1"/>
  <c r="AK31" i="2" s="1"/>
  <c r="AL31" i="2" s="1"/>
  <c r="AM31" i="2" s="1"/>
  <c r="AN31" i="2" s="1"/>
  <c r="AO31" i="2" s="1"/>
  <c r="AP31" i="2" s="1"/>
  <c r="AQ31" i="2" s="1"/>
  <c r="AR31" i="2" s="1"/>
  <c r="AS31" i="2" s="1"/>
  <c r="AT31" i="2" s="1"/>
  <c r="AU31" i="2" s="1"/>
  <c r="AV31" i="2" s="1"/>
  <c r="AW31" i="2" s="1"/>
  <c r="AX31" i="2" s="1"/>
  <c r="AY31" i="2" s="1"/>
  <c r="AZ31" i="2" s="1"/>
  <c r="BA31" i="2" s="1"/>
  <c r="BB31" i="2" s="1"/>
  <c r="BC31" i="2" s="1"/>
  <c r="BD31" i="2" s="1"/>
  <c r="BE31" i="2" s="1"/>
  <c r="BF31" i="2" s="1"/>
  <c r="BG31" i="2" s="1"/>
  <c r="BH31" i="2" s="1"/>
  <c r="BI31" i="2" s="1"/>
  <c r="BJ31" i="2" s="1"/>
  <c r="BK31" i="2" s="1"/>
  <c r="BL31" i="2" s="1"/>
  <c r="BM31" i="2" s="1"/>
  <c r="BN31" i="2" s="1"/>
  <c r="BO31" i="2" s="1"/>
  <c r="BP31" i="2" s="1"/>
  <c r="BQ31" i="2" s="1"/>
  <c r="BR31" i="2" s="1"/>
  <c r="BS31" i="2" s="1"/>
  <c r="BT31" i="2" s="1"/>
  <c r="BU31" i="2" s="1"/>
  <c r="BV31" i="2" s="1"/>
  <c r="BW31" i="2" s="1"/>
  <c r="BX31" i="2" s="1"/>
  <c r="BY31" i="2" s="1"/>
  <c r="BZ31" i="2" s="1"/>
  <c r="CA31" i="2" s="1"/>
  <c r="CB31" i="2" s="1"/>
  <c r="CC31" i="2" s="1"/>
  <c r="CD31" i="2" s="1"/>
  <c r="CE31" i="2" s="1"/>
  <c r="CF31" i="2" s="1"/>
  <c r="CG31" i="2" s="1"/>
  <c r="CH31" i="2" s="1"/>
  <c r="CI31" i="2" s="1"/>
  <c r="CJ31" i="2" s="1"/>
  <c r="CK31" i="2" s="1"/>
  <c r="CL31" i="2" s="1"/>
  <c r="CM31" i="2" s="1"/>
  <c r="CN31" i="2" s="1"/>
  <c r="CO31" i="2" s="1"/>
  <c r="CP31" i="2" s="1"/>
  <c r="CQ31" i="2" s="1"/>
  <c r="CR31" i="2" s="1"/>
  <c r="CS31" i="2" s="1"/>
  <c r="CT31" i="2" s="1"/>
  <c r="CU31" i="2" s="1"/>
  <c r="CV31" i="2" s="1"/>
  <c r="CW31" i="2" s="1"/>
  <c r="K33" i="2"/>
  <c r="AF14" i="5"/>
  <c r="CT64" i="3" l="1"/>
  <c r="CH48" i="3"/>
  <c r="CH52" i="3" s="1"/>
  <c r="BJ66" i="2"/>
  <c r="BJ72" i="2" s="1"/>
  <c r="BJ67" i="2"/>
  <c r="BJ71" i="2" s="1"/>
  <c r="BI68" i="2"/>
  <c r="CH55" i="2"/>
  <c r="CI53" i="2"/>
  <c r="CI59" i="2" s="1"/>
  <c r="CI54" i="2"/>
  <c r="M29" i="2"/>
  <c r="AA37" i="3"/>
  <c r="CS61" i="3"/>
  <c r="CU65" i="3"/>
  <c r="CV59" i="3" s="1"/>
  <c r="CG49" i="3"/>
  <c r="AA40" i="3"/>
  <c r="CI53" i="3"/>
  <c r="CJ47" i="3" s="1"/>
  <c r="M40" i="2"/>
  <c r="AB41" i="3"/>
  <c r="AC35" i="3" s="1"/>
  <c r="AC23" i="3" s="1"/>
  <c r="DM3" i="5"/>
  <c r="M9" i="5"/>
  <c r="L9" i="5"/>
  <c r="L13" i="5" s="1"/>
  <c r="N21" i="5"/>
  <c r="N22" i="5" s="1"/>
  <c r="N5" i="5" s="1"/>
  <c r="M6" i="5"/>
  <c r="L12" i="5"/>
  <c r="AG1" i="5"/>
  <c r="AG19" i="5" s="1"/>
  <c r="AH22" i="3"/>
  <c r="AG14" i="5"/>
  <c r="BJ68" i="2" l="1"/>
  <c r="CT61" i="3"/>
  <c r="CU64" i="3"/>
  <c r="CH49" i="3"/>
  <c r="CI48" i="3"/>
  <c r="CI52" i="3" s="1"/>
  <c r="BK66" i="2"/>
  <c r="BK72" i="2" s="1"/>
  <c r="BK67" i="2"/>
  <c r="BK71" i="2" s="1"/>
  <c r="CI55" i="2"/>
  <c r="CI58" i="2"/>
  <c r="CJ53" i="2"/>
  <c r="CJ59" i="2" s="1"/>
  <c r="CJ54" i="2"/>
  <c r="M46" i="2"/>
  <c r="N41" i="2" s="1"/>
  <c r="N28" i="2" s="1"/>
  <c r="N32" i="2" s="1"/>
  <c r="M27" i="2"/>
  <c r="M33" i="2" s="1"/>
  <c r="CV65" i="3"/>
  <c r="CW59" i="3" s="1"/>
  <c r="AB36" i="3"/>
  <c r="AB24" i="3" s="1"/>
  <c r="CJ53" i="3"/>
  <c r="CK47" i="3" s="1"/>
  <c r="N40" i="2"/>
  <c r="N27" i="2" s="1"/>
  <c r="N33" i="2" s="1"/>
  <c r="AC36" i="3"/>
  <c r="AC24" i="3" s="1"/>
  <c r="AC41" i="3"/>
  <c r="AD35" i="3" s="1"/>
  <c r="AD23" i="3" s="1"/>
  <c r="K42" i="2"/>
  <c r="K45" i="2"/>
  <c r="DN3" i="5"/>
  <c r="N25" i="3"/>
  <c r="N9" i="5" s="1"/>
  <c r="N7" i="5"/>
  <c r="N6" i="5"/>
  <c r="AH1" i="5"/>
  <c r="AH19" i="5" s="1"/>
  <c r="AI22" i="3"/>
  <c r="AF10" i="5"/>
  <c r="AH14" i="5"/>
  <c r="CU61" i="3" l="1"/>
  <c r="CV64" i="3"/>
  <c r="CI49" i="3"/>
  <c r="CJ48" i="3"/>
  <c r="CJ52" i="3" s="1"/>
  <c r="BL66" i="2"/>
  <c r="BL72" i="2" s="1"/>
  <c r="BL67" i="2"/>
  <c r="BL71" i="2" s="1"/>
  <c r="BK68" i="2"/>
  <c r="N29" i="2"/>
  <c r="CJ58" i="2"/>
  <c r="CJ55" i="2"/>
  <c r="CK53" i="2"/>
  <c r="CK59" i="2" s="1"/>
  <c r="CK54" i="2"/>
  <c r="CW65" i="3"/>
  <c r="CX59" i="3" s="1"/>
  <c r="AB37" i="3"/>
  <c r="AC37" i="3" s="1"/>
  <c r="AB40" i="3"/>
  <c r="AC40" i="3"/>
  <c r="CK53" i="3"/>
  <c r="CL47" i="3" s="1"/>
  <c r="AD36" i="3"/>
  <c r="AD24" i="3" s="1"/>
  <c r="AD41" i="3"/>
  <c r="AE35" i="3" s="1"/>
  <c r="AE23" i="3" s="1"/>
  <c r="N46" i="2"/>
  <c r="DO3" i="5"/>
  <c r="M11" i="5"/>
  <c r="AJ22" i="3"/>
  <c r="AI1" i="5"/>
  <c r="AI19" i="5" s="1"/>
  <c r="AI14" i="5"/>
  <c r="BL68" i="2" l="1"/>
  <c r="CW64" i="3"/>
  <c r="CK48" i="3"/>
  <c r="CK52" i="3" s="1"/>
  <c r="BM66" i="2"/>
  <c r="BM72" i="2" s="1"/>
  <c r="BM67" i="2"/>
  <c r="BM71" i="2" s="1"/>
  <c r="CK55" i="2"/>
  <c r="CK58" i="2"/>
  <c r="CL53" i="2"/>
  <c r="CL59" i="2" s="1"/>
  <c r="CL54" i="2"/>
  <c r="CV61" i="3"/>
  <c r="CW61" i="3" s="1"/>
  <c r="CX65" i="3"/>
  <c r="CY59" i="3" s="1"/>
  <c r="CJ49" i="3"/>
  <c r="AD40" i="3"/>
  <c r="AD37" i="3"/>
  <c r="CL53" i="3"/>
  <c r="CM47" i="3" s="1"/>
  <c r="O41" i="2"/>
  <c r="O28" i="2" s="1"/>
  <c r="O40" i="2"/>
  <c r="O27" i="2" s="1"/>
  <c r="O33" i="2" s="1"/>
  <c r="AE41" i="3"/>
  <c r="AF35" i="3" s="1"/>
  <c r="M13" i="5"/>
  <c r="N26" i="5"/>
  <c r="DP3" i="5"/>
  <c r="M12" i="5"/>
  <c r="AJ1" i="5"/>
  <c r="AJ19" i="5" s="1"/>
  <c r="AK22" i="3"/>
  <c r="AJ14" i="5"/>
  <c r="CK49" i="3" l="1"/>
  <c r="CX64" i="3"/>
  <c r="CL48" i="3"/>
  <c r="CL52" i="3" s="1"/>
  <c r="BN66" i="2"/>
  <c r="BN72" i="2" s="1"/>
  <c r="BN67" i="2"/>
  <c r="BN71" i="2" s="1"/>
  <c r="BM68" i="2"/>
  <c r="CL58" i="2"/>
  <c r="CL55" i="2"/>
  <c r="CM53" i="2"/>
  <c r="CM59" i="2" s="1"/>
  <c r="CM54" i="2"/>
  <c r="O32" i="2"/>
  <c r="O29" i="2"/>
  <c r="AG10" i="5"/>
  <c r="CX61" i="3"/>
  <c r="CY65" i="3"/>
  <c r="CZ59" i="3" s="1"/>
  <c r="CM53" i="3"/>
  <c r="CN47" i="3" s="1"/>
  <c r="AF41" i="3"/>
  <c r="AG35" i="3" s="1"/>
  <c r="AG23" i="3" s="1"/>
  <c r="AG29" i="3" s="1"/>
  <c r="O46" i="2"/>
  <c r="AE36" i="3"/>
  <c r="AE24" i="3" s="1"/>
  <c r="L45" i="2"/>
  <c r="L42" i="2"/>
  <c r="DQ3" i="5"/>
  <c r="AL22" i="3"/>
  <c r="AK1" i="5"/>
  <c r="AK19" i="5" s="1"/>
  <c r="AK14" i="5"/>
  <c r="CL49" i="3" l="1"/>
  <c r="BN68" i="2"/>
  <c r="CY64" i="3"/>
  <c r="CM48" i="3"/>
  <c r="CM52" i="3" s="1"/>
  <c r="BO66" i="2"/>
  <c r="BO72" i="2" s="1"/>
  <c r="BO67" i="2"/>
  <c r="BO71" i="2" s="1"/>
  <c r="CM58" i="2"/>
  <c r="CM55" i="2"/>
  <c r="CN53" i="2"/>
  <c r="CN59" i="2" s="1"/>
  <c r="CN54" i="2"/>
  <c r="CZ65" i="3"/>
  <c r="DA59" i="3" s="1"/>
  <c r="AF40" i="3"/>
  <c r="CN53" i="3"/>
  <c r="CO47" i="3" s="1"/>
  <c r="P41" i="2"/>
  <c r="P28" i="2" s="1"/>
  <c r="P32" i="2" s="1"/>
  <c r="P40" i="2"/>
  <c r="P27" i="2" s="1"/>
  <c r="P33" i="2" s="1"/>
  <c r="AG24" i="3"/>
  <c r="AG41" i="3"/>
  <c r="AH35" i="3" s="1"/>
  <c r="AH23" i="3" s="1"/>
  <c r="AH29" i="3" s="1"/>
  <c r="AE40" i="3"/>
  <c r="AE37" i="3"/>
  <c r="AF37" i="3" s="1"/>
  <c r="N11" i="5"/>
  <c r="AL1" i="5"/>
  <c r="AL19" i="5" s="1"/>
  <c r="AM22" i="3"/>
  <c r="AL14" i="5"/>
  <c r="CZ64" i="3" l="1"/>
  <c r="CN48" i="3"/>
  <c r="CN52" i="3" s="1"/>
  <c r="AG28" i="3"/>
  <c r="AG25" i="3"/>
  <c r="BP66" i="2"/>
  <c r="BP72" i="2" s="1"/>
  <c r="BP67" i="2"/>
  <c r="BP71" i="2" s="1"/>
  <c r="BO68" i="2"/>
  <c r="CN58" i="2"/>
  <c r="CN55" i="2"/>
  <c r="CO53" i="2"/>
  <c r="CO59" i="2" s="1"/>
  <c r="CO54" i="2"/>
  <c r="P29" i="2"/>
  <c r="CY61" i="3"/>
  <c r="CZ61" i="3" s="1"/>
  <c r="DA65" i="3"/>
  <c r="DB59" i="3" s="1"/>
  <c r="CM49" i="3"/>
  <c r="CN49" i="3" s="1"/>
  <c r="AG40" i="3"/>
  <c r="CO53" i="3"/>
  <c r="CP47" i="3" s="1"/>
  <c r="AG37" i="3"/>
  <c r="AH41" i="3"/>
  <c r="AI35" i="3" s="1"/>
  <c r="AI23" i="3" s="1"/>
  <c r="AI29" i="3" s="1"/>
  <c r="P46" i="2"/>
  <c r="N13" i="5"/>
  <c r="O26" i="5"/>
  <c r="N12" i="5"/>
  <c r="AN22" i="3"/>
  <c r="AM1" i="5"/>
  <c r="AM19" i="5" s="1"/>
  <c r="AM14" i="5"/>
  <c r="BP68" i="2" l="1"/>
  <c r="DA64" i="3"/>
  <c r="CO48" i="3"/>
  <c r="CO52" i="3" s="1"/>
  <c r="BQ66" i="2"/>
  <c r="BQ72" i="2" s="1"/>
  <c r="BQ67" i="2"/>
  <c r="BQ71" i="2" s="1"/>
  <c r="CO58" i="2"/>
  <c r="CO55" i="2"/>
  <c r="CP53" i="2"/>
  <c r="CP59" i="2" s="1"/>
  <c r="CP54" i="2"/>
  <c r="AH10" i="5"/>
  <c r="DA61" i="3"/>
  <c r="DB65" i="3"/>
  <c r="DC59" i="3" s="1"/>
  <c r="CP53" i="3"/>
  <c r="CQ47" i="3" s="1"/>
  <c r="Q41" i="2"/>
  <c r="Q28" i="2" s="1"/>
  <c r="Q32" i="2" s="1"/>
  <c r="Q40" i="2"/>
  <c r="Q27" i="2" s="1"/>
  <c r="Q33" i="2" s="1"/>
  <c r="AI24" i="3"/>
  <c r="AI28" i="3" s="1"/>
  <c r="AI41" i="3"/>
  <c r="AJ35" i="3" s="1"/>
  <c r="AJ23" i="3" s="1"/>
  <c r="AJ29" i="3" s="1"/>
  <c r="AH24" i="3"/>
  <c r="AH28" i="3" s="1"/>
  <c r="M45" i="2"/>
  <c r="M42" i="2"/>
  <c r="O27" i="3"/>
  <c r="O29" i="3"/>
  <c r="AO22" i="3"/>
  <c r="AN1" i="5"/>
  <c r="AN19" i="5" s="1"/>
  <c r="AN14" i="5"/>
  <c r="CO49" i="3" l="1"/>
  <c r="DB64" i="3"/>
  <c r="CP48" i="3"/>
  <c r="CP52" i="3" s="1"/>
  <c r="AH25" i="3"/>
  <c r="AI25" i="3" s="1"/>
  <c r="BR66" i="2"/>
  <c r="BR72" i="2" s="1"/>
  <c r="BR67" i="2"/>
  <c r="BR71" i="2" s="1"/>
  <c r="BQ68" i="2"/>
  <c r="CP55" i="2"/>
  <c r="CP58" i="2"/>
  <c r="CQ53" i="2"/>
  <c r="CQ59" i="2" s="1"/>
  <c r="CQ54" i="2"/>
  <c r="Q29" i="2"/>
  <c r="DC65" i="3"/>
  <c r="DD59" i="3" s="1"/>
  <c r="AI40" i="3"/>
  <c r="CQ53" i="3"/>
  <c r="CR47" i="3" s="1"/>
  <c r="Q46" i="2"/>
  <c r="AH40" i="3"/>
  <c r="AH37" i="3"/>
  <c r="AI37" i="3" s="1"/>
  <c r="AJ24" i="3"/>
  <c r="AJ28" i="3" s="1"/>
  <c r="AJ41" i="3"/>
  <c r="AK35" i="3" s="1"/>
  <c r="AK23" i="3" s="1"/>
  <c r="AK29" i="3" s="1"/>
  <c r="P27" i="3"/>
  <c r="O4" i="5"/>
  <c r="O11" i="5"/>
  <c r="P26" i="5" s="1"/>
  <c r="AP22" i="3"/>
  <c r="AO1" i="5"/>
  <c r="AO19" i="5" s="1"/>
  <c r="AO14" i="5"/>
  <c r="BR68" i="2" l="1"/>
  <c r="DC64" i="3"/>
  <c r="CQ48" i="3"/>
  <c r="CQ52" i="3" s="1"/>
  <c r="AJ25" i="3"/>
  <c r="BS66" i="2"/>
  <c r="BS72" i="2" s="1"/>
  <c r="BS67" i="2"/>
  <c r="BS71" i="2" s="1"/>
  <c r="CQ58" i="2"/>
  <c r="CQ55" i="2"/>
  <c r="CR53" i="2"/>
  <c r="CR59" i="2" s="1"/>
  <c r="CR54" i="2"/>
  <c r="DB61" i="3"/>
  <c r="DC61" i="3" s="1"/>
  <c r="DD65" i="3"/>
  <c r="DE59" i="3" s="1"/>
  <c r="CP49" i="3"/>
  <c r="AJ40" i="3"/>
  <c r="CR53" i="3"/>
  <c r="CS47" i="3" s="1"/>
  <c r="AK41" i="3"/>
  <c r="AL35" i="3" s="1"/>
  <c r="AL23" i="3" s="1"/>
  <c r="AL29" i="3" s="1"/>
  <c r="R41" i="2"/>
  <c r="R28" i="2" s="1"/>
  <c r="R40" i="2"/>
  <c r="R27" i="2" s="1"/>
  <c r="R33" i="2" s="1"/>
  <c r="AJ37" i="3"/>
  <c r="P4" i="5"/>
  <c r="Q27" i="3"/>
  <c r="O28" i="3"/>
  <c r="O25" i="3"/>
  <c r="P25" i="3" s="1"/>
  <c r="P29" i="3"/>
  <c r="O12" i="5"/>
  <c r="O21" i="5"/>
  <c r="O22" i="5" s="1"/>
  <c r="O5" i="5" s="1"/>
  <c r="O7" i="5" s="1"/>
  <c r="AQ22" i="3"/>
  <c r="AP1" i="5"/>
  <c r="AP19" i="5" s="1"/>
  <c r="AP14" i="5"/>
  <c r="DD64" i="3" l="1"/>
  <c r="CQ49" i="3"/>
  <c r="CR48" i="3"/>
  <c r="CR52" i="3" s="1"/>
  <c r="BT66" i="2"/>
  <c r="BT72" i="2" s="1"/>
  <c r="BT67" i="2"/>
  <c r="BT71" i="2" s="1"/>
  <c r="BS68" i="2"/>
  <c r="CR58" i="2"/>
  <c r="CR55" i="2"/>
  <c r="CS53" i="2"/>
  <c r="CS59" i="2" s="1"/>
  <c r="CS54" i="2"/>
  <c r="R32" i="2"/>
  <c r="R29" i="2"/>
  <c r="AI10" i="5"/>
  <c r="DD61" i="3"/>
  <c r="DE65" i="3"/>
  <c r="DF59" i="3" s="1"/>
  <c r="AK24" i="3"/>
  <c r="AK28" i="3" s="1"/>
  <c r="CS53" i="3"/>
  <c r="CT47" i="3" s="1"/>
  <c r="AL24" i="3"/>
  <c r="AL28" i="3" s="1"/>
  <c r="AL41" i="3"/>
  <c r="AM35" i="3" s="1"/>
  <c r="AM23" i="3" s="1"/>
  <c r="AM29" i="3" s="1"/>
  <c r="R46" i="2"/>
  <c r="N45" i="2"/>
  <c r="N42" i="2"/>
  <c r="Q25" i="3"/>
  <c r="P28" i="3"/>
  <c r="O6" i="5"/>
  <c r="Q29" i="3"/>
  <c r="Q4" i="5"/>
  <c r="R27" i="3"/>
  <c r="P21" i="5"/>
  <c r="P22" i="5" s="1"/>
  <c r="P5" i="5" s="1"/>
  <c r="P7" i="5" s="1"/>
  <c r="O9" i="5"/>
  <c r="O13" i="5" s="1"/>
  <c r="AR22" i="3"/>
  <c r="AQ1" i="5"/>
  <c r="AQ19" i="5" s="1"/>
  <c r="AQ14" i="5"/>
  <c r="BT68" i="2" l="1"/>
  <c r="CR49" i="3"/>
  <c r="CS48" i="3"/>
  <c r="CS52" i="3" s="1"/>
  <c r="AK25" i="3"/>
  <c r="AL25" i="3" s="1"/>
  <c r="BU66" i="2"/>
  <c r="BU72" i="2" s="1"/>
  <c r="BU67" i="2"/>
  <c r="BU71" i="2" s="1"/>
  <c r="CS55" i="2"/>
  <c r="CS58" i="2"/>
  <c r="CT53" i="2"/>
  <c r="CT59" i="2" s="1"/>
  <c r="CT54" i="2"/>
  <c r="DE64" i="3"/>
  <c r="DF65" i="3"/>
  <c r="DG59" i="3" s="1"/>
  <c r="AL40" i="3"/>
  <c r="AK40" i="3"/>
  <c r="AK37" i="3"/>
  <c r="AL37" i="3" s="1"/>
  <c r="CT53" i="3"/>
  <c r="CU47" i="3" s="1"/>
  <c r="S41" i="2"/>
  <c r="S28" i="2" s="1"/>
  <c r="S32" i="2" s="1"/>
  <c r="S40" i="2"/>
  <c r="S27" i="2" s="1"/>
  <c r="S33" i="2" s="1"/>
  <c r="AM24" i="3"/>
  <c r="AM28" i="3" s="1"/>
  <c r="AM41" i="3"/>
  <c r="AN35" i="3" s="1"/>
  <c r="AN23" i="3" s="1"/>
  <c r="AN29" i="3" s="1"/>
  <c r="Q28" i="3"/>
  <c r="P6" i="5"/>
  <c r="Q21" i="5"/>
  <c r="Q22" i="5" s="1"/>
  <c r="Q5" i="5" s="1"/>
  <c r="Q7" i="5" s="1"/>
  <c r="R29" i="3"/>
  <c r="S27" i="3"/>
  <c r="R4" i="5"/>
  <c r="P11" i="5"/>
  <c r="AS22" i="3"/>
  <c r="AR1" i="5"/>
  <c r="AR19" i="5" s="1"/>
  <c r="AR14" i="5"/>
  <c r="DF64" i="3" l="1"/>
  <c r="CT48" i="3"/>
  <c r="CT52" i="3" s="1"/>
  <c r="AM25" i="3"/>
  <c r="BV66" i="2"/>
  <c r="BV72" i="2" s="1"/>
  <c r="BV67" i="2"/>
  <c r="BV71" i="2" s="1"/>
  <c r="BU68" i="2"/>
  <c r="CT58" i="2"/>
  <c r="CT55" i="2"/>
  <c r="CU53" i="2"/>
  <c r="CU59" i="2" s="1"/>
  <c r="CU54" i="2"/>
  <c r="S29" i="2"/>
  <c r="DE61" i="3"/>
  <c r="DG65" i="3"/>
  <c r="DH59" i="3" s="1"/>
  <c r="CS49" i="3"/>
  <c r="AM40" i="3"/>
  <c r="CU53" i="3"/>
  <c r="CV47" i="3" s="1"/>
  <c r="S46" i="2"/>
  <c r="AN41" i="3"/>
  <c r="AO35" i="3" s="1"/>
  <c r="AO23" i="3" s="1"/>
  <c r="AO29" i="3" s="1"/>
  <c r="AM37" i="3"/>
  <c r="P12" i="5"/>
  <c r="Q26" i="5"/>
  <c r="R28" i="3"/>
  <c r="Q6" i="5"/>
  <c r="T27" i="3"/>
  <c r="S4" i="5"/>
  <c r="S29" i="3"/>
  <c r="P9" i="5"/>
  <c r="P13" i="5" s="1"/>
  <c r="R21" i="5"/>
  <c r="R22" i="5" s="1"/>
  <c r="R5" i="5" s="1"/>
  <c r="R7" i="5" s="1"/>
  <c r="AT22" i="3"/>
  <c r="AS1" i="5"/>
  <c r="AS19" i="5" s="1"/>
  <c r="AS14" i="5"/>
  <c r="BV68" i="2" l="1"/>
  <c r="DF61" i="3"/>
  <c r="DG64" i="3"/>
  <c r="CT49" i="3"/>
  <c r="CU48" i="3"/>
  <c r="CU52" i="3" s="1"/>
  <c r="BW66" i="2"/>
  <c r="BW72" i="2" s="1"/>
  <c r="BW67" i="2"/>
  <c r="BW71" i="2" s="1"/>
  <c r="CU55" i="2"/>
  <c r="CU58" i="2"/>
  <c r="CV53" i="2"/>
  <c r="CV59" i="2" s="1"/>
  <c r="CV54" i="2"/>
  <c r="AJ10" i="5"/>
  <c r="DH65" i="3"/>
  <c r="DI59" i="3" s="1"/>
  <c r="AN24" i="3"/>
  <c r="AN28" i="3" s="1"/>
  <c r="CV53" i="3"/>
  <c r="CW47" i="3" s="1"/>
  <c r="T41" i="2"/>
  <c r="T28" i="2" s="1"/>
  <c r="T40" i="2"/>
  <c r="T27" i="2" s="1"/>
  <c r="T33" i="2" s="1"/>
  <c r="AO24" i="3"/>
  <c r="AO28" i="3" s="1"/>
  <c r="AO41" i="3"/>
  <c r="AP35" i="3" s="1"/>
  <c r="AP23" i="3" s="1"/>
  <c r="AP29" i="3" s="1"/>
  <c r="O42" i="2"/>
  <c r="O45" i="2"/>
  <c r="S28" i="3"/>
  <c r="R6" i="5"/>
  <c r="T29" i="3"/>
  <c r="S21" i="5"/>
  <c r="S22" i="5" s="1"/>
  <c r="S5" i="5" s="1"/>
  <c r="S7" i="5" s="1"/>
  <c r="Q9" i="5"/>
  <c r="R25" i="3"/>
  <c r="T4" i="5"/>
  <c r="U27" i="3"/>
  <c r="AT1" i="5"/>
  <c r="AT19" i="5" s="1"/>
  <c r="AU22" i="3"/>
  <c r="AT14" i="5"/>
  <c r="DG61" i="3" l="1"/>
  <c r="CU49" i="3"/>
  <c r="CV48" i="3"/>
  <c r="CV52" i="3" s="1"/>
  <c r="AN25" i="3"/>
  <c r="AO25" i="3" s="1"/>
  <c r="BX66" i="2"/>
  <c r="BX72" i="2" s="1"/>
  <c r="BX67" i="2"/>
  <c r="BX71" i="2" s="1"/>
  <c r="BW68" i="2"/>
  <c r="BX68" i="2" s="1"/>
  <c r="CV58" i="2"/>
  <c r="CV55" i="2"/>
  <c r="CW53" i="2"/>
  <c r="CW59" i="2" s="1"/>
  <c r="CW54" i="2"/>
  <c r="T32" i="2"/>
  <c r="T29" i="2"/>
  <c r="DH64" i="3"/>
  <c r="DI65" i="3"/>
  <c r="DJ59" i="3" s="1"/>
  <c r="AO40" i="3"/>
  <c r="AN40" i="3"/>
  <c r="AN37" i="3"/>
  <c r="AO37" i="3" s="1"/>
  <c r="CW53" i="3"/>
  <c r="CX47" i="3" s="1"/>
  <c r="AP24" i="3"/>
  <c r="AP28" i="3" s="1"/>
  <c r="AP41" i="3"/>
  <c r="AQ35" i="3" s="1"/>
  <c r="AQ23" i="3" s="1"/>
  <c r="AQ29" i="3" s="1"/>
  <c r="T46" i="2"/>
  <c r="T28" i="3"/>
  <c r="T21" i="5"/>
  <c r="T22" i="5" s="1"/>
  <c r="T5" i="5" s="1"/>
  <c r="T7" i="5" s="1"/>
  <c r="R9" i="5"/>
  <c r="S25" i="3"/>
  <c r="U29" i="3"/>
  <c r="U4" i="5"/>
  <c r="V27" i="3"/>
  <c r="S6" i="5"/>
  <c r="Q11" i="5"/>
  <c r="AV22" i="3"/>
  <c r="AU1" i="5"/>
  <c r="AU19" i="5" s="1"/>
  <c r="AU14" i="5"/>
  <c r="DI64" i="3" l="1"/>
  <c r="CW48" i="3"/>
  <c r="CW52" i="3" s="1"/>
  <c r="AP25" i="3"/>
  <c r="BY66" i="2"/>
  <c r="BY72" i="2" s="1"/>
  <c r="BY67" i="2"/>
  <c r="BY71" i="2" s="1"/>
  <c r="CW58" i="2"/>
  <c r="CW55" i="2"/>
  <c r="DH61" i="3"/>
  <c r="DJ65" i="3"/>
  <c r="DK59" i="3" s="1"/>
  <c r="CV49" i="3"/>
  <c r="CW49" i="3" s="1"/>
  <c r="AP40" i="3"/>
  <c r="CX53" i="3"/>
  <c r="CY47" i="3" s="1"/>
  <c r="AQ41" i="3"/>
  <c r="AR35" i="3" s="1"/>
  <c r="AR23" i="3" s="1"/>
  <c r="AR29" i="3" s="1"/>
  <c r="U41" i="2"/>
  <c r="U28" i="2" s="1"/>
  <c r="U32" i="2" s="1"/>
  <c r="U40" i="2"/>
  <c r="U27" i="2" s="1"/>
  <c r="U33" i="2" s="1"/>
  <c r="AP37" i="3"/>
  <c r="Q13" i="5"/>
  <c r="R26" i="5"/>
  <c r="U28" i="3"/>
  <c r="T6" i="5"/>
  <c r="Q12" i="5"/>
  <c r="U21" i="5"/>
  <c r="U22" i="5" s="1"/>
  <c r="U5" i="5" s="1"/>
  <c r="U7" i="5" s="1"/>
  <c r="V29" i="3"/>
  <c r="V4" i="5"/>
  <c r="W27" i="3"/>
  <c r="T25" i="3"/>
  <c r="S9" i="5"/>
  <c r="AV1" i="5"/>
  <c r="AV19" i="5" s="1"/>
  <c r="AW22" i="3"/>
  <c r="AV14" i="5"/>
  <c r="DI61" i="3" l="1"/>
  <c r="DJ64" i="3"/>
  <c r="CX48" i="3"/>
  <c r="CX52" i="3" s="1"/>
  <c r="BZ66" i="2"/>
  <c r="BZ72" i="2" s="1"/>
  <c r="BZ67" i="2"/>
  <c r="BZ71" i="2" s="1"/>
  <c r="BY68" i="2"/>
  <c r="U29" i="2"/>
  <c r="AK10" i="5"/>
  <c r="DK65" i="3"/>
  <c r="DL59" i="3" s="1"/>
  <c r="CY53" i="3"/>
  <c r="CZ47" i="3" s="1"/>
  <c r="AQ24" i="3"/>
  <c r="AQ28" i="3" s="1"/>
  <c r="U46" i="2"/>
  <c r="AR24" i="3"/>
  <c r="AR28" i="3" s="1"/>
  <c r="AR41" i="3"/>
  <c r="AS35" i="3" s="1"/>
  <c r="AS23" i="3" s="1"/>
  <c r="AS29" i="3" s="1"/>
  <c r="P42" i="2"/>
  <c r="P45" i="2"/>
  <c r="V28" i="3"/>
  <c r="U6" i="5"/>
  <c r="U25" i="3"/>
  <c r="T9" i="5"/>
  <c r="X27" i="3"/>
  <c r="W4" i="5"/>
  <c r="V21" i="5"/>
  <c r="V22" i="5" s="1"/>
  <c r="V5" i="5" s="1"/>
  <c r="V7" i="5" s="1"/>
  <c r="W29" i="3"/>
  <c r="AX22" i="3"/>
  <c r="AW1" i="5"/>
  <c r="AW19" i="5" s="1"/>
  <c r="AW14" i="5"/>
  <c r="BZ68" i="2" l="1"/>
  <c r="DJ61" i="3"/>
  <c r="DK64" i="3"/>
  <c r="CX49" i="3"/>
  <c r="CY48" i="3"/>
  <c r="CY52" i="3" s="1"/>
  <c r="AQ25" i="3"/>
  <c r="AR25" i="3" s="1"/>
  <c r="CA66" i="2"/>
  <c r="CA72" i="2" s="1"/>
  <c r="CA67" i="2"/>
  <c r="CA71" i="2" s="1"/>
  <c r="DL65" i="3"/>
  <c r="DM59" i="3" s="1"/>
  <c r="AQ40" i="3"/>
  <c r="AR40" i="3"/>
  <c r="AQ37" i="3"/>
  <c r="AR37" i="3" s="1"/>
  <c r="CZ53" i="3"/>
  <c r="DA47" i="3" s="1"/>
  <c r="V41" i="2"/>
  <c r="V28" i="2" s="1"/>
  <c r="V32" i="2" s="1"/>
  <c r="V40" i="2"/>
  <c r="V27" i="2" s="1"/>
  <c r="V33" i="2" s="1"/>
  <c r="AS24" i="3"/>
  <c r="AS28" i="3" s="1"/>
  <c r="AS41" i="3"/>
  <c r="AT35" i="3" s="1"/>
  <c r="AT23" i="3" s="1"/>
  <c r="AT29" i="3" s="1"/>
  <c r="W28" i="3"/>
  <c r="V25" i="3"/>
  <c r="W25" i="3" s="1"/>
  <c r="U9" i="5"/>
  <c r="W21" i="5"/>
  <c r="W22" i="5" s="1"/>
  <c r="W5" i="5" s="1"/>
  <c r="W7" i="5" s="1"/>
  <c r="X29" i="3"/>
  <c r="Y27" i="3"/>
  <c r="X4" i="5"/>
  <c r="V6" i="5"/>
  <c r="R11" i="5"/>
  <c r="AX1" i="5"/>
  <c r="AX19" i="5" s="1"/>
  <c r="AY22" i="3"/>
  <c r="AX14" i="5"/>
  <c r="DL64" i="3" l="1"/>
  <c r="CZ48" i="3"/>
  <c r="CZ52" i="3" s="1"/>
  <c r="AS25" i="3"/>
  <c r="CB66" i="2"/>
  <c r="CB72" i="2" s="1"/>
  <c r="CB67" i="2"/>
  <c r="CB71" i="2" s="1"/>
  <c r="CA68" i="2"/>
  <c r="V29" i="2"/>
  <c r="DK61" i="3"/>
  <c r="DL61" i="3" s="1"/>
  <c r="DM65" i="3"/>
  <c r="DN59" i="3" s="1"/>
  <c r="CY49" i="3"/>
  <c r="AS40" i="3"/>
  <c r="DA53" i="3"/>
  <c r="DB47" i="3" s="1"/>
  <c r="AS37" i="3"/>
  <c r="AT41" i="3"/>
  <c r="AU35" i="3" s="1"/>
  <c r="AU23" i="3" s="1"/>
  <c r="AU29" i="3" s="1"/>
  <c r="V46" i="2"/>
  <c r="R13" i="5"/>
  <c r="S26" i="5"/>
  <c r="X28" i="3"/>
  <c r="Z27" i="3"/>
  <c r="Y4" i="5"/>
  <c r="Y29" i="3"/>
  <c r="V9" i="5"/>
  <c r="R12" i="5"/>
  <c r="X21" i="5"/>
  <c r="X22" i="5" s="1"/>
  <c r="X5" i="5" s="1"/>
  <c r="X7" i="5" s="1"/>
  <c r="W6" i="5"/>
  <c r="AY1" i="5"/>
  <c r="AY19" i="5" s="1"/>
  <c r="AZ22" i="3"/>
  <c r="AY14" i="5"/>
  <c r="CB68" i="2" l="1"/>
  <c r="DM64" i="3"/>
  <c r="CZ49" i="3"/>
  <c r="DA48" i="3"/>
  <c r="DA52" i="3" s="1"/>
  <c r="CC66" i="2"/>
  <c r="CC72" i="2" s="1"/>
  <c r="CC67" i="2"/>
  <c r="CC71" i="2" s="1"/>
  <c r="AL10" i="5"/>
  <c r="DM61" i="3"/>
  <c r="DN65" i="3"/>
  <c r="DO59" i="3" s="1"/>
  <c r="AT24" i="3"/>
  <c r="AT28" i="3" s="1"/>
  <c r="DB53" i="3"/>
  <c r="DC47" i="3" s="1"/>
  <c r="W41" i="2"/>
  <c r="W28" i="2" s="1"/>
  <c r="W32" i="2" s="1"/>
  <c r="W40" i="2"/>
  <c r="W27" i="2" s="1"/>
  <c r="W33" i="2" s="1"/>
  <c r="AU24" i="3"/>
  <c r="AU28" i="3" s="1"/>
  <c r="AU41" i="3"/>
  <c r="AV35" i="3" s="1"/>
  <c r="AV23" i="3" s="1"/>
  <c r="AV29" i="3" s="1"/>
  <c r="Q45" i="2"/>
  <c r="Q42" i="2"/>
  <c r="Y28" i="3"/>
  <c r="X6" i="5"/>
  <c r="Z29" i="3"/>
  <c r="W9" i="5"/>
  <c r="X25" i="3"/>
  <c r="Y25" i="3" s="1"/>
  <c r="Z25" i="3" s="1"/>
  <c r="Y21" i="5"/>
  <c r="Y22" i="5" s="1"/>
  <c r="Y5" i="5" s="1"/>
  <c r="Y7" i="5" s="1"/>
  <c r="Z4" i="5"/>
  <c r="AA27" i="3"/>
  <c r="AZ1" i="5"/>
  <c r="AZ19" i="5" s="1"/>
  <c r="BA22" i="3"/>
  <c r="AZ14" i="5"/>
  <c r="DA49" i="3" l="1"/>
  <c r="DB48" i="3"/>
  <c r="DB52" i="3" s="1"/>
  <c r="AT25" i="3"/>
  <c r="AU25" i="3" s="1"/>
  <c r="CD66" i="2"/>
  <c r="CD72" i="2" s="1"/>
  <c r="CD67" i="2"/>
  <c r="CD71" i="2" s="1"/>
  <c r="CC68" i="2"/>
  <c r="W29" i="2"/>
  <c r="DN64" i="3"/>
  <c r="DO65" i="3"/>
  <c r="DP59" i="3" s="1"/>
  <c r="AU40" i="3"/>
  <c r="AT40" i="3"/>
  <c r="AT37" i="3"/>
  <c r="AU37" i="3" s="1"/>
  <c r="DC53" i="3"/>
  <c r="DD47" i="3" s="1"/>
  <c r="W46" i="2"/>
  <c r="AV24" i="3"/>
  <c r="AV28" i="3" s="1"/>
  <c r="AV41" i="3"/>
  <c r="AW35" i="3" s="1"/>
  <c r="AW23" i="3" s="1"/>
  <c r="AW29" i="3" s="1"/>
  <c r="AA25" i="3"/>
  <c r="Z28" i="3"/>
  <c r="Y6" i="5"/>
  <c r="AA4" i="5"/>
  <c r="AB27" i="3"/>
  <c r="Z21" i="5"/>
  <c r="Z22" i="5" s="1"/>
  <c r="Z5" i="5" s="1"/>
  <c r="Z7" i="5" s="1"/>
  <c r="AA29" i="3"/>
  <c r="X9" i="5"/>
  <c r="S11" i="5"/>
  <c r="BB22" i="3"/>
  <c r="BA1" i="5"/>
  <c r="BA19" i="5" s="1"/>
  <c r="BA14" i="5"/>
  <c r="CD68" i="2" l="1"/>
  <c r="DO64" i="3"/>
  <c r="DC48" i="3"/>
  <c r="DC52" i="3" s="1"/>
  <c r="AV25" i="3"/>
  <c r="CE66" i="2"/>
  <c r="CE72" i="2" s="1"/>
  <c r="CE67" i="2"/>
  <c r="CE71" i="2" s="1"/>
  <c r="DN61" i="3"/>
  <c r="DO61" i="3" s="1"/>
  <c r="DP65" i="3"/>
  <c r="DQ59" i="3" s="1"/>
  <c r="DB49" i="3"/>
  <c r="AV40" i="3"/>
  <c r="DD53" i="3"/>
  <c r="DE47" i="3" s="1"/>
  <c r="AV37" i="3"/>
  <c r="X41" i="2"/>
  <c r="X28" i="2" s="1"/>
  <c r="X32" i="2" s="1"/>
  <c r="X40" i="2"/>
  <c r="X27" i="2" s="1"/>
  <c r="X33" i="2" s="1"/>
  <c r="AW41" i="3"/>
  <c r="AX35" i="3" s="1"/>
  <c r="AX23" i="3" s="1"/>
  <c r="AX29" i="3" s="1"/>
  <c r="S13" i="5"/>
  <c r="T26" i="5"/>
  <c r="AA28" i="3"/>
  <c r="S12" i="5"/>
  <c r="Z6" i="5"/>
  <c r="Y9" i="5"/>
  <c r="AC27" i="3"/>
  <c r="AB4" i="5"/>
  <c r="AB29" i="3"/>
  <c r="AA21" i="5"/>
  <c r="AA22" i="5" s="1"/>
  <c r="AA5" i="5" s="1"/>
  <c r="AA7" i="5" s="1"/>
  <c r="BB1" i="5"/>
  <c r="BB19" i="5" s="1"/>
  <c r="BC22" i="3"/>
  <c r="BB14" i="5"/>
  <c r="DP64" i="3" l="1"/>
  <c r="DC49" i="3"/>
  <c r="DD48" i="3"/>
  <c r="DD52" i="3" s="1"/>
  <c r="CF66" i="2"/>
  <c r="CF72" i="2" s="1"/>
  <c r="CF67" i="2"/>
  <c r="CF71" i="2" s="1"/>
  <c r="CE68" i="2"/>
  <c r="CF68" i="2" s="1"/>
  <c r="X29" i="2"/>
  <c r="AM10" i="5"/>
  <c r="DP61" i="3"/>
  <c r="DQ65" i="3"/>
  <c r="DE53" i="3"/>
  <c r="DF47" i="3" s="1"/>
  <c r="X46" i="2"/>
  <c r="AX24" i="3"/>
  <c r="AX28" i="3" s="1"/>
  <c r="AX41" i="3"/>
  <c r="AY35" i="3" s="1"/>
  <c r="AY23" i="3" s="1"/>
  <c r="AY29" i="3" s="1"/>
  <c r="AW24" i="3"/>
  <c r="AW28" i="3" s="1"/>
  <c r="R45" i="2"/>
  <c r="R42" i="2"/>
  <c r="AB25" i="3"/>
  <c r="AA6" i="5"/>
  <c r="AB22" i="5"/>
  <c r="AB5" i="5" s="1"/>
  <c r="AB7" i="5" s="1"/>
  <c r="AD27" i="3"/>
  <c r="AC4" i="5"/>
  <c r="Z9" i="5"/>
  <c r="BD22" i="3"/>
  <c r="BC1" i="5"/>
  <c r="BC19" i="5" s="1"/>
  <c r="BC14" i="5"/>
  <c r="DD49" i="3" l="1"/>
  <c r="DE48" i="3"/>
  <c r="DE52" i="3" s="1"/>
  <c r="AW25" i="3"/>
  <c r="AX25" i="3" s="1"/>
  <c r="CG66" i="2"/>
  <c r="CG72" i="2" s="1"/>
  <c r="CG67" i="2"/>
  <c r="CG71" i="2" s="1"/>
  <c r="DQ64" i="3"/>
  <c r="DQ61" i="3"/>
  <c r="AX40" i="3"/>
  <c r="DF53" i="3"/>
  <c r="DG47" i="3" s="1"/>
  <c r="Y41" i="2"/>
  <c r="Y28" i="2" s="1"/>
  <c r="Y32" i="2" s="1"/>
  <c r="Y40" i="2"/>
  <c r="Y27" i="2" s="1"/>
  <c r="Y33" i="2" s="1"/>
  <c r="AY24" i="3"/>
  <c r="AY28" i="3" s="1"/>
  <c r="AY41" i="3"/>
  <c r="AZ35" i="3" s="1"/>
  <c r="AZ23" i="3" s="1"/>
  <c r="AZ29" i="3" s="1"/>
  <c r="AW40" i="3"/>
  <c r="AW37" i="3"/>
  <c r="AX37" i="3" s="1"/>
  <c r="AC29" i="3"/>
  <c r="AC25" i="3"/>
  <c r="AB28" i="3"/>
  <c r="AC28" i="3"/>
  <c r="AB6" i="5"/>
  <c r="AC22" i="5"/>
  <c r="AC5" i="5" s="1"/>
  <c r="AC7" i="5" s="1"/>
  <c r="AD4" i="5"/>
  <c r="AE27" i="3"/>
  <c r="AA9" i="5"/>
  <c r="T11" i="5"/>
  <c r="BE22" i="3"/>
  <c r="BD1" i="5"/>
  <c r="BD19" i="5" s="1"/>
  <c r="BD14" i="5"/>
  <c r="DF48" i="3" l="1"/>
  <c r="DF52" i="3" s="1"/>
  <c r="AY25" i="3"/>
  <c r="CH66" i="2"/>
  <c r="CH72" i="2" s="1"/>
  <c r="CH67" i="2"/>
  <c r="CH71" i="2" s="1"/>
  <c r="CG68" i="2"/>
  <c r="Y29" i="2"/>
  <c r="DE49" i="3"/>
  <c r="AY40" i="3"/>
  <c r="AY37" i="3"/>
  <c r="DG53" i="3"/>
  <c r="DH47" i="3" s="1"/>
  <c r="AZ41" i="3"/>
  <c r="BA35" i="3" s="1"/>
  <c r="BA23" i="3" s="1"/>
  <c r="BA29" i="3" s="1"/>
  <c r="Y46" i="2"/>
  <c r="AD29" i="3"/>
  <c r="AE29" i="3" s="1"/>
  <c r="T13" i="5"/>
  <c r="U26" i="5"/>
  <c r="AD28" i="3"/>
  <c r="T12" i="5"/>
  <c r="AC6" i="5"/>
  <c r="AB9" i="5"/>
  <c r="AE4" i="5"/>
  <c r="AD22" i="5"/>
  <c r="AD5" i="5" s="1"/>
  <c r="AD7" i="5" s="1"/>
  <c r="BF22" i="3"/>
  <c r="BE1" i="5"/>
  <c r="BE19" i="5" s="1"/>
  <c r="BE14" i="5"/>
  <c r="CH68" i="2" l="1"/>
  <c r="DF49" i="3"/>
  <c r="DG48" i="3"/>
  <c r="DG52" i="3" s="1"/>
  <c r="CI66" i="2"/>
  <c r="CI72" i="2" s="1"/>
  <c r="CI67" i="2"/>
  <c r="CI71" i="2" s="1"/>
  <c r="AN10" i="5"/>
  <c r="AZ24" i="3"/>
  <c r="AZ28" i="3" s="1"/>
  <c r="DH53" i="3"/>
  <c r="DI47" i="3" s="1"/>
  <c r="Z41" i="2"/>
  <c r="Z28" i="2" s="1"/>
  <c r="Z32" i="2" s="1"/>
  <c r="Z40" i="2"/>
  <c r="Z27" i="2" s="1"/>
  <c r="Z33" i="2" s="1"/>
  <c r="BA24" i="3"/>
  <c r="BA28" i="3" s="1"/>
  <c r="BA41" i="3"/>
  <c r="BB35" i="3" s="1"/>
  <c r="BB23" i="3" s="1"/>
  <c r="BB29" i="3" s="1"/>
  <c r="S42" i="2"/>
  <c r="S45" i="2"/>
  <c r="AE28" i="3"/>
  <c r="AE22" i="5"/>
  <c r="AE5" i="5" s="1"/>
  <c r="AF4" i="5"/>
  <c r="AD25" i="3"/>
  <c r="AC9" i="5"/>
  <c r="AD6" i="5"/>
  <c r="BG22" i="3"/>
  <c r="BF1" i="5"/>
  <c r="BF19" i="5" s="1"/>
  <c r="BF14" i="5"/>
  <c r="DG49" i="3" l="1"/>
  <c r="DH48" i="3"/>
  <c r="AZ25" i="3"/>
  <c r="BA25" i="3" s="1"/>
  <c r="CJ66" i="2"/>
  <c r="CJ72" i="2" s="1"/>
  <c r="CJ67" i="2"/>
  <c r="CJ71" i="2" s="1"/>
  <c r="CI68" i="2"/>
  <c r="Z29" i="2"/>
  <c r="AE7" i="5"/>
  <c r="AF22" i="5"/>
  <c r="AF5" i="5" s="1"/>
  <c r="BA40" i="3"/>
  <c r="AZ40" i="3"/>
  <c r="AZ37" i="3"/>
  <c r="BA37" i="3" s="1"/>
  <c r="DH52" i="3"/>
  <c r="DI53" i="3"/>
  <c r="DJ47" i="3" s="1"/>
  <c r="BB24" i="3"/>
  <c r="BB28" i="3" s="1"/>
  <c r="BB41" i="3"/>
  <c r="BC35" i="3" s="1"/>
  <c r="BC23" i="3" s="1"/>
  <c r="BC29" i="3" s="1"/>
  <c r="Z46" i="2"/>
  <c r="AE6" i="5"/>
  <c r="AE25" i="3"/>
  <c r="AD9" i="5"/>
  <c r="AG4" i="5"/>
  <c r="U11" i="5"/>
  <c r="BH22" i="3"/>
  <c r="BG1" i="5"/>
  <c r="BG19" i="5" s="1"/>
  <c r="BG14" i="5"/>
  <c r="CJ68" i="2" l="1"/>
  <c r="DI48" i="3"/>
  <c r="DI52" i="3" s="1"/>
  <c r="BB25" i="3"/>
  <c r="CK66" i="2"/>
  <c r="CK72" i="2" s="1"/>
  <c r="CK67" i="2"/>
  <c r="CK71" i="2" s="1"/>
  <c r="AF7" i="5"/>
  <c r="AG22" i="5"/>
  <c r="AG5" i="5" s="1"/>
  <c r="DH49" i="3"/>
  <c r="BB40" i="3"/>
  <c r="DJ53" i="3"/>
  <c r="DK47" i="3" s="1"/>
  <c r="AA41" i="2"/>
  <c r="AA28" i="2" s="1"/>
  <c r="AA32" i="2" s="1"/>
  <c r="AA40" i="2"/>
  <c r="AA27" i="2" s="1"/>
  <c r="AA33" i="2" s="1"/>
  <c r="BB37" i="3"/>
  <c r="BC41" i="3"/>
  <c r="BD35" i="3" s="1"/>
  <c r="BD23" i="3" s="1"/>
  <c r="BD29" i="3" s="1"/>
  <c r="U13" i="5"/>
  <c r="V26" i="5"/>
  <c r="U12" i="5"/>
  <c r="AF6" i="5"/>
  <c r="AH4" i="5"/>
  <c r="AE9" i="5"/>
  <c r="BI22" i="3"/>
  <c r="BH1" i="5"/>
  <c r="BH19" i="5" s="1"/>
  <c r="BH14" i="5"/>
  <c r="DI49" i="3" l="1"/>
  <c r="DJ48" i="3"/>
  <c r="DJ52" i="3" s="1"/>
  <c r="CL66" i="2"/>
  <c r="CL72" i="2" s="1"/>
  <c r="CL67" i="2"/>
  <c r="CL71" i="2" s="1"/>
  <c r="CK68" i="2"/>
  <c r="AA29" i="2"/>
  <c r="AO10" i="5"/>
  <c r="AG7" i="5"/>
  <c r="AH22" i="5"/>
  <c r="AH5" i="5" s="1"/>
  <c r="DK53" i="3"/>
  <c r="DL47" i="3" s="1"/>
  <c r="BC24" i="3"/>
  <c r="BC28" i="3" s="1"/>
  <c r="BD24" i="3"/>
  <c r="BD28" i="3" s="1"/>
  <c r="BD41" i="3"/>
  <c r="BE35" i="3" s="1"/>
  <c r="BE23" i="3" s="1"/>
  <c r="BE29" i="3" s="1"/>
  <c r="AA46" i="2"/>
  <c r="T45" i="2"/>
  <c r="T42" i="2"/>
  <c r="AG6" i="5"/>
  <c r="AF9" i="5"/>
  <c r="AI4" i="5"/>
  <c r="BJ22" i="3"/>
  <c r="BI1" i="5"/>
  <c r="BI19" i="5" s="1"/>
  <c r="BI14" i="5"/>
  <c r="CL68" i="2" l="1"/>
  <c r="DJ49" i="3"/>
  <c r="DK48" i="3"/>
  <c r="DK52" i="3" s="1"/>
  <c r="BC25" i="3"/>
  <c r="BD25" i="3" s="1"/>
  <c r="CM66" i="2"/>
  <c r="CM72" i="2" s="1"/>
  <c r="CM67" i="2"/>
  <c r="CM71" i="2" s="1"/>
  <c r="AG9" i="5"/>
  <c r="AH7" i="5"/>
  <c r="AI22" i="5"/>
  <c r="AI5" i="5" s="1"/>
  <c r="BC40" i="3"/>
  <c r="BD40" i="3"/>
  <c r="DL53" i="3"/>
  <c r="DM47" i="3" s="1"/>
  <c r="AB41" i="2"/>
  <c r="AB28" i="2" s="1"/>
  <c r="AB32" i="2" s="1"/>
  <c r="AB40" i="2"/>
  <c r="AB27" i="2" s="1"/>
  <c r="AB33" i="2" s="1"/>
  <c r="BE24" i="3"/>
  <c r="BE28" i="3" s="1"/>
  <c r="BE41" i="3"/>
  <c r="BF35" i="3" s="1"/>
  <c r="BF23" i="3" s="1"/>
  <c r="BF29" i="3" s="1"/>
  <c r="BC37" i="3"/>
  <c r="BD37" i="3" s="1"/>
  <c r="AH6" i="5"/>
  <c r="AJ4" i="5"/>
  <c r="V11" i="5"/>
  <c r="BJ1" i="5"/>
  <c r="BJ19" i="5" s="1"/>
  <c r="BK22" i="3"/>
  <c r="BJ14" i="5"/>
  <c r="DL48" i="3" l="1"/>
  <c r="DL52" i="3" s="1"/>
  <c r="BE25" i="3"/>
  <c r="CN66" i="2"/>
  <c r="CN72" i="2" s="1"/>
  <c r="CN67" i="2"/>
  <c r="CN71" i="2" s="1"/>
  <c r="CM68" i="2"/>
  <c r="AB29" i="2"/>
  <c r="AI7" i="5"/>
  <c r="AJ22" i="5"/>
  <c r="AJ5" i="5" s="1"/>
  <c r="DK49" i="3"/>
  <c r="DL49" i="3" s="1"/>
  <c r="BE40" i="3"/>
  <c r="DM53" i="3"/>
  <c r="DN47" i="3" s="1"/>
  <c r="BE37" i="3"/>
  <c r="BF41" i="3"/>
  <c r="BG35" i="3" s="1"/>
  <c r="BG23" i="3" s="1"/>
  <c r="BG29" i="3" s="1"/>
  <c r="AB46" i="2"/>
  <c r="V13" i="5"/>
  <c r="W26" i="5"/>
  <c r="AI6" i="5"/>
  <c r="V12" i="5"/>
  <c r="AK4" i="5"/>
  <c r="AH9" i="5"/>
  <c r="BL22" i="3"/>
  <c r="BK1" i="5"/>
  <c r="BK19" i="5" s="1"/>
  <c r="BK14" i="5"/>
  <c r="CN68" i="2" l="1"/>
  <c r="DM48" i="3"/>
  <c r="DM52" i="3" s="1"/>
  <c r="CO66" i="2"/>
  <c r="CO72" i="2" s="1"/>
  <c r="CO67" i="2"/>
  <c r="CO71" i="2" s="1"/>
  <c r="AP10" i="5"/>
  <c r="AK22" i="5"/>
  <c r="AK5" i="5" s="1"/>
  <c r="AJ7" i="5"/>
  <c r="DN53" i="3"/>
  <c r="DO47" i="3" s="1"/>
  <c r="BF24" i="3"/>
  <c r="BF28" i="3" s="1"/>
  <c r="AC41" i="2"/>
  <c r="AC28" i="2" s="1"/>
  <c r="AC32" i="2" s="1"/>
  <c r="AC40" i="2"/>
  <c r="AC27" i="2" s="1"/>
  <c r="AC33" i="2" s="1"/>
  <c r="BG24" i="3"/>
  <c r="BG28" i="3" s="1"/>
  <c r="BG41" i="3"/>
  <c r="BH35" i="3" s="1"/>
  <c r="BH23" i="3" s="1"/>
  <c r="BH29" i="3" s="1"/>
  <c r="U45" i="2"/>
  <c r="U42" i="2"/>
  <c r="AJ6" i="5"/>
  <c r="AI9" i="5"/>
  <c r="AL4" i="5"/>
  <c r="BL1" i="5"/>
  <c r="BL19" i="5" s="1"/>
  <c r="BM22" i="3"/>
  <c r="BL14" i="5"/>
  <c r="DM49" i="3" l="1"/>
  <c r="DN48" i="3"/>
  <c r="DN52" i="3" s="1"/>
  <c r="BF25" i="3"/>
  <c r="BG25" i="3" s="1"/>
  <c r="CP66" i="2"/>
  <c r="CP72" i="2" s="1"/>
  <c r="CP67" i="2"/>
  <c r="CP71" i="2" s="1"/>
  <c r="CO68" i="2"/>
  <c r="AC29" i="2"/>
  <c r="AJ9" i="5"/>
  <c r="AK7" i="5"/>
  <c r="AL22" i="5"/>
  <c r="AL5" i="5" s="1"/>
  <c r="BG40" i="3"/>
  <c r="DO53" i="3"/>
  <c r="DP47" i="3" s="1"/>
  <c r="BF40" i="3"/>
  <c r="BF37" i="3"/>
  <c r="BG37" i="3" s="1"/>
  <c r="BH24" i="3"/>
  <c r="BH28" i="3" s="1"/>
  <c r="BH41" i="3"/>
  <c r="BI35" i="3" s="1"/>
  <c r="BI23" i="3" s="1"/>
  <c r="BI29" i="3" s="1"/>
  <c r="AC46" i="2"/>
  <c r="AK6" i="5"/>
  <c r="AM4" i="5"/>
  <c r="W11" i="5"/>
  <c r="BN22" i="3"/>
  <c r="BM1" i="5"/>
  <c r="BM19" i="5" s="1"/>
  <c r="BM14" i="5"/>
  <c r="DO48" i="3" l="1"/>
  <c r="DO52" i="3" s="1"/>
  <c r="BH25" i="3"/>
  <c r="CP68" i="2"/>
  <c r="CQ66" i="2"/>
  <c r="CQ72" i="2" s="1"/>
  <c r="CQ67" i="2"/>
  <c r="CQ71" i="2" s="1"/>
  <c r="AL7" i="5"/>
  <c r="AM22" i="5"/>
  <c r="AM5" i="5" s="1"/>
  <c r="DN49" i="3"/>
  <c r="BH40" i="3"/>
  <c r="BH37" i="3"/>
  <c r="DP53" i="3"/>
  <c r="DQ47" i="3" s="1"/>
  <c r="AD41" i="2"/>
  <c r="AD28" i="2" s="1"/>
  <c r="AD32" i="2" s="1"/>
  <c r="AD40" i="2"/>
  <c r="AD27" i="2" s="1"/>
  <c r="AD33" i="2" s="1"/>
  <c r="BI41" i="3"/>
  <c r="BJ35" i="3" s="1"/>
  <c r="BJ23" i="3" s="1"/>
  <c r="BJ29" i="3" s="1"/>
  <c r="W13" i="5"/>
  <c r="X26" i="5"/>
  <c r="AL6" i="5"/>
  <c r="W12" i="5"/>
  <c r="AK9" i="5"/>
  <c r="AN4" i="5"/>
  <c r="BN1" i="5"/>
  <c r="BN19" i="5" s="1"/>
  <c r="BO22" i="3"/>
  <c r="BN14" i="5"/>
  <c r="DO49" i="3" l="1"/>
  <c r="DP48" i="3"/>
  <c r="DP52" i="3" s="1"/>
  <c r="CR66" i="2"/>
  <c r="CR72" i="2" s="1"/>
  <c r="CR67" i="2"/>
  <c r="CR71" i="2" s="1"/>
  <c r="CQ68" i="2"/>
  <c r="AD29" i="2"/>
  <c r="AL9" i="5"/>
  <c r="AN21" i="5"/>
  <c r="AN22" i="5" s="1"/>
  <c r="AN5" i="5" s="1"/>
  <c r="AQ10" i="5"/>
  <c r="AM7" i="5"/>
  <c r="DQ53" i="3"/>
  <c r="BI24" i="3"/>
  <c r="BI28" i="3" s="1"/>
  <c r="BJ24" i="3"/>
  <c r="BJ28" i="3" s="1"/>
  <c r="BJ41" i="3"/>
  <c r="BK35" i="3" s="1"/>
  <c r="BK23" i="3" s="1"/>
  <c r="BK29" i="3" s="1"/>
  <c r="AD46" i="2"/>
  <c r="V45" i="2"/>
  <c r="V42" i="2"/>
  <c r="AM6" i="5"/>
  <c r="AO4" i="5"/>
  <c r="BO1" i="5"/>
  <c r="BO19" i="5" s="1"/>
  <c r="BP22" i="3"/>
  <c r="BO14" i="5"/>
  <c r="DP49" i="3" l="1"/>
  <c r="CR68" i="2"/>
  <c r="DQ48" i="3"/>
  <c r="DQ52" i="3" s="1"/>
  <c r="BI25" i="3"/>
  <c r="BJ25" i="3" s="1"/>
  <c r="CS66" i="2"/>
  <c r="CS72" i="2" s="1"/>
  <c r="CS67" i="2"/>
  <c r="CS71" i="2" s="1"/>
  <c r="AM9" i="5"/>
  <c r="AN7" i="5"/>
  <c r="AO21" i="5"/>
  <c r="AO22" i="5" s="1"/>
  <c r="AO5" i="5" s="1"/>
  <c r="BJ40" i="3"/>
  <c r="BI40" i="3"/>
  <c r="BI37" i="3"/>
  <c r="BJ37" i="3" s="1"/>
  <c r="AE41" i="2"/>
  <c r="AE28" i="2" s="1"/>
  <c r="AE32" i="2" s="1"/>
  <c r="AE40" i="2"/>
  <c r="AE27" i="2" s="1"/>
  <c r="AE33" i="2" s="1"/>
  <c r="BK24" i="3"/>
  <c r="BK28" i="3" s="1"/>
  <c r="BK41" i="3"/>
  <c r="BL35" i="3" s="1"/>
  <c r="BL23" i="3" s="1"/>
  <c r="BL29" i="3" s="1"/>
  <c r="AN6" i="5"/>
  <c r="AP4" i="5"/>
  <c r="X11" i="5"/>
  <c r="BP1" i="5"/>
  <c r="BP19" i="5" s="1"/>
  <c r="BQ22" i="3"/>
  <c r="BP14" i="5"/>
  <c r="DQ49" i="3" l="1"/>
  <c r="BK25" i="3"/>
  <c r="CT66" i="2"/>
  <c r="CT72" i="2" s="1"/>
  <c r="CT67" i="2"/>
  <c r="CT71" i="2" s="1"/>
  <c r="CS68" i="2"/>
  <c r="AE29" i="2"/>
  <c r="AO7" i="5"/>
  <c r="AP21" i="5"/>
  <c r="AP22" i="5" s="1"/>
  <c r="AP5" i="5" s="1"/>
  <c r="BK40" i="3"/>
  <c r="AE46" i="2"/>
  <c r="BL41" i="3"/>
  <c r="BM35" i="3" s="1"/>
  <c r="BM23" i="3" s="1"/>
  <c r="BM29" i="3" s="1"/>
  <c r="BK37" i="3"/>
  <c r="X13" i="5"/>
  <c r="Y26" i="5"/>
  <c r="X12" i="5"/>
  <c r="AO6" i="5"/>
  <c r="AQ4" i="5"/>
  <c r="AN9" i="5"/>
  <c r="BR22" i="3"/>
  <c r="BQ1" i="5"/>
  <c r="BQ19" i="5" s="1"/>
  <c r="BQ14" i="5"/>
  <c r="CT68" i="2" l="1"/>
  <c r="CU66" i="2"/>
  <c r="CU72" i="2" s="1"/>
  <c r="CU67" i="2"/>
  <c r="CU71" i="2" s="1"/>
  <c r="AO9" i="5"/>
  <c r="AR10" i="5"/>
  <c r="AQ21" i="5"/>
  <c r="AQ22" i="5" s="1"/>
  <c r="AQ5" i="5" s="1"/>
  <c r="AP7" i="5"/>
  <c r="BM24" i="3"/>
  <c r="BM28" i="3" s="1"/>
  <c r="BM41" i="3"/>
  <c r="BN35" i="3" s="1"/>
  <c r="BN23" i="3" s="1"/>
  <c r="BN29" i="3" s="1"/>
  <c r="BL24" i="3"/>
  <c r="BL28" i="3" s="1"/>
  <c r="AF41" i="2"/>
  <c r="AF28" i="2" s="1"/>
  <c r="AF32" i="2" s="1"/>
  <c r="AF40" i="2"/>
  <c r="AF27" i="2" s="1"/>
  <c r="AF33" i="2" s="1"/>
  <c r="W42" i="2"/>
  <c r="W45" i="2"/>
  <c r="AP6" i="5"/>
  <c r="BR1" i="5"/>
  <c r="BR19" i="5" s="1"/>
  <c r="BS22" i="3"/>
  <c r="BR14" i="5"/>
  <c r="BL25" i="3" l="1"/>
  <c r="BM25" i="3" s="1"/>
  <c r="CV66" i="2"/>
  <c r="CV72" i="2" s="1"/>
  <c r="CV67" i="2"/>
  <c r="CV71" i="2" s="1"/>
  <c r="CU68" i="2"/>
  <c r="AF29" i="2"/>
  <c r="AQ7" i="5"/>
  <c r="BL40" i="3"/>
  <c r="BM40" i="3"/>
  <c r="BL37" i="3"/>
  <c r="BM37" i="3" s="1"/>
  <c r="AF46" i="2"/>
  <c r="BN24" i="3"/>
  <c r="BN28" i="3" s="1"/>
  <c r="BN41" i="3"/>
  <c r="BO35" i="3" s="1"/>
  <c r="BO23" i="3" s="1"/>
  <c r="BO29" i="3" s="1"/>
  <c r="AQ6" i="5"/>
  <c r="AP9" i="5"/>
  <c r="Y11" i="5"/>
  <c r="BT22" i="3"/>
  <c r="BS1" i="5"/>
  <c r="BS19" i="5" s="1"/>
  <c r="BS14" i="5"/>
  <c r="CV68" i="2" l="1"/>
  <c r="BN25" i="3"/>
  <c r="CW66" i="2"/>
  <c r="CW72" i="2" s="1"/>
  <c r="CW67" i="2"/>
  <c r="CW71" i="2" s="1"/>
  <c r="AQ9" i="5"/>
  <c r="AR4" i="5"/>
  <c r="AR21" i="5" s="1"/>
  <c r="AR22" i="5" s="1"/>
  <c r="AR5" i="5" s="1"/>
  <c r="AR7" i="5" s="1"/>
  <c r="BN40" i="3"/>
  <c r="BN37" i="3"/>
  <c r="BO41" i="3"/>
  <c r="BP35" i="3" s="1"/>
  <c r="BP23" i="3" s="1"/>
  <c r="BP29" i="3" s="1"/>
  <c r="AG41" i="2"/>
  <c r="AG28" i="2" s="1"/>
  <c r="AG32" i="2" s="1"/>
  <c r="AG40" i="2"/>
  <c r="AG27" i="2" s="1"/>
  <c r="AG33" i="2" s="1"/>
  <c r="Y13" i="5"/>
  <c r="Z26" i="5"/>
  <c r="Y12" i="5"/>
  <c r="BU22" i="3"/>
  <c r="BT1" i="5"/>
  <c r="BT19" i="5" s="1"/>
  <c r="BT14" i="5"/>
  <c r="CW68" i="2" l="1"/>
  <c r="AR6" i="5"/>
  <c r="AG29" i="2"/>
  <c r="AS10" i="5"/>
  <c r="AR9" i="5"/>
  <c r="AG46" i="2"/>
  <c r="BO24" i="3"/>
  <c r="BO28" i="3" s="1"/>
  <c r="BP24" i="3"/>
  <c r="BP28" i="3" s="1"/>
  <c r="BP41" i="3"/>
  <c r="BQ35" i="3" s="1"/>
  <c r="BQ23" i="3" s="1"/>
  <c r="BQ29" i="3" s="1"/>
  <c r="X42" i="2"/>
  <c r="X45" i="2"/>
  <c r="BV22" i="3"/>
  <c r="BU1" i="5"/>
  <c r="BU19" i="5" s="1"/>
  <c r="BU14" i="5"/>
  <c r="BO25" i="3" l="1"/>
  <c r="BP25" i="3" s="1"/>
  <c r="BP40" i="3"/>
  <c r="AH41" i="2"/>
  <c r="AH28" i="2" s="1"/>
  <c r="AH32" i="2" s="1"/>
  <c r="AH40" i="2"/>
  <c r="AH27" i="2" s="1"/>
  <c r="AH33" i="2" s="1"/>
  <c r="BQ24" i="3"/>
  <c r="BQ28" i="3" s="1"/>
  <c r="BQ41" i="3"/>
  <c r="BR35" i="3" s="1"/>
  <c r="BR23" i="3" s="1"/>
  <c r="BR29" i="3" s="1"/>
  <c r="BO40" i="3"/>
  <c r="BO37" i="3"/>
  <c r="BP37" i="3" s="1"/>
  <c r="Z11" i="5"/>
  <c r="BW22" i="3"/>
  <c r="BV1" i="5"/>
  <c r="BV19" i="5" s="1"/>
  <c r="BV14" i="5"/>
  <c r="BQ25" i="3" l="1"/>
  <c r="AH29" i="2"/>
  <c r="BQ40" i="3"/>
  <c r="BQ37" i="3"/>
  <c r="BR41" i="3"/>
  <c r="BS35" i="3" s="1"/>
  <c r="BS23" i="3" s="1"/>
  <c r="BS29" i="3" s="1"/>
  <c r="AH46" i="2"/>
  <c r="Z13" i="5"/>
  <c r="AA26" i="5"/>
  <c r="Z12" i="5"/>
  <c r="BX22" i="3"/>
  <c r="BW1" i="5"/>
  <c r="BW19" i="5" s="1"/>
  <c r="BW14" i="5"/>
  <c r="AS4" i="5" l="1"/>
  <c r="AT10" i="5"/>
  <c r="BS24" i="3"/>
  <c r="BS28" i="3" s="1"/>
  <c r="BS41" i="3"/>
  <c r="BT35" i="3" s="1"/>
  <c r="BT23" i="3" s="1"/>
  <c r="BT29" i="3" s="1"/>
  <c r="BR24" i="3"/>
  <c r="BR28" i="3" s="1"/>
  <c r="AI41" i="2"/>
  <c r="AI28" i="2" s="1"/>
  <c r="AI32" i="2" s="1"/>
  <c r="AI40" i="2"/>
  <c r="AI27" i="2" s="1"/>
  <c r="AI33" i="2" s="1"/>
  <c r="Y45" i="2"/>
  <c r="Y42" i="2"/>
  <c r="BY22" i="3"/>
  <c r="BX1" i="5"/>
  <c r="BX19" i="5" s="1"/>
  <c r="BX14" i="5"/>
  <c r="BR25" i="3" l="1"/>
  <c r="BS25" i="3" s="1"/>
  <c r="AI29" i="2"/>
  <c r="AS21" i="5"/>
  <c r="AS22" i="5" s="1"/>
  <c r="BS40" i="3"/>
  <c r="BT24" i="3"/>
  <c r="BT28" i="3" s="1"/>
  <c r="BT41" i="3"/>
  <c r="BU35" i="3" s="1"/>
  <c r="BU23" i="3" s="1"/>
  <c r="BU29" i="3" s="1"/>
  <c r="AI46" i="2"/>
  <c r="BR40" i="3"/>
  <c r="BR37" i="3"/>
  <c r="BS37" i="3" s="1"/>
  <c r="AA11" i="5"/>
  <c r="BZ22" i="3"/>
  <c r="BY1" i="5"/>
  <c r="BY19" i="5" s="1"/>
  <c r="BY14" i="5"/>
  <c r="BT25" i="3" l="1"/>
  <c r="AS5" i="5"/>
  <c r="AS9" i="5"/>
  <c r="AT4" i="5"/>
  <c r="BT40" i="3"/>
  <c r="AJ41" i="2"/>
  <c r="AJ28" i="2" s="1"/>
  <c r="AJ32" i="2" s="1"/>
  <c r="AJ40" i="2"/>
  <c r="AJ27" i="2" s="1"/>
  <c r="AJ33" i="2" s="1"/>
  <c r="BT37" i="3"/>
  <c r="BU41" i="3"/>
  <c r="BV35" i="3" s="1"/>
  <c r="BV23" i="3" s="1"/>
  <c r="BV29" i="3" s="1"/>
  <c r="AA13" i="5"/>
  <c r="AB26" i="5"/>
  <c r="AA12" i="5"/>
  <c r="BZ1" i="5"/>
  <c r="BZ19" i="5" s="1"/>
  <c r="CA22" i="3"/>
  <c r="BZ14" i="5"/>
  <c r="AJ29" i="2" l="1"/>
  <c r="AU10" i="5"/>
  <c r="AT21" i="5"/>
  <c r="AT22" i="5" s="1"/>
  <c r="AT5" i="5" s="1"/>
  <c r="AT7" i="5" s="1"/>
  <c r="AS7" i="5"/>
  <c r="AS6" i="5"/>
  <c r="AJ46" i="2"/>
  <c r="BV24" i="3"/>
  <c r="BV28" i="3" s="1"/>
  <c r="BV41" i="3"/>
  <c r="BW35" i="3" s="1"/>
  <c r="BW23" i="3" s="1"/>
  <c r="BW29" i="3" s="1"/>
  <c r="BU24" i="3"/>
  <c r="BU28" i="3" s="1"/>
  <c r="Z45" i="2"/>
  <c r="Z42" i="2"/>
  <c r="CA1" i="5"/>
  <c r="CA19" i="5" s="1"/>
  <c r="CB22" i="3"/>
  <c r="CA14" i="5"/>
  <c r="BU25" i="3" l="1"/>
  <c r="BV25" i="3" s="1"/>
  <c r="AT9" i="5"/>
  <c r="AT6" i="5"/>
  <c r="BV40" i="3"/>
  <c r="BU40" i="3"/>
  <c r="BW24" i="3"/>
  <c r="BW28" i="3" s="1"/>
  <c r="BW41" i="3"/>
  <c r="BX35" i="3" s="1"/>
  <c r="BX23" i="3" s="1"/>
  <c r="BX29" i="3" s="1"/>
  <c r="AK41" i="2"/>
  <c r="AK28" i="2" s="1"/>
  <c r="AK32" i="2" s="1"/>
  <c r="AK40" i="2"/>
  <c r="AK27" i="2" s="1"/>
  <c r="AK33" i="2" s="1"/>
  <c r="BU37" i="3"/>
  <c r="BV37" i="3" s="1"/>
  <c r="AB11" i="5"/>
  <c r="CB1" i="5"/>
  <c r="CB19" i="5" s="1"/>
  <c r="CC22" i="3"/>
  <c r="CB14" i="5"/>
  <c r="BW25" i="3" l="1"/>
  <c r="AK29" i="2"/>
  <c r="BW40" i="3"/>
  <c r="BW37" i="3"/>
  <c r="AK46" i="2"/>
  <c r="BX41" i="3"/>
  <c r="BY35" i="3" s="1"/>
  <c r="BY23" i="3" s="1"/>
  <c r="BY29" i="3" s="1"/>
  <c r="AB13" i="5"/>
  <c r="AC26" i="5"/>
  <c r="AB12" i="5"/>
  <c r="CD22" i="3"/>
  <c r="CC1" i="5"/>
  <c r="CC19" i="5" s="1"/>
  <c r="CC14" i="5"/>
  <c r="AU4" i="5" l="1"/>
  <c r="AV10" i="5"/>
  <c r="BX24" i="3"/>
  <c r="BX28" i="3" s="1"/>
  <c r="AL41" i="2"/>
  <c r="AL28" i="2" s="1"/>
  <c r="AL32" i="2" s="1"/>
  <c r="AL40" i="2"/>
  <c r="AL27" i="2" s="1"/>
  <c r="AL33" i="2" s="1"/>
  <c r="BY24" i="3"/>
  <c r="BY28" i="3" s="1"/>
  <c r="BY41" i="3"/>
  <c r="BZ35" i="3" s="1"/>
  <c r="BZ23" i="3" s="1"/>
  <c r="BZ29" i="3" s="1"/>
  <c r="AA42" i="2"/>
  <c r="AA45" i="2"/>
  <c r="CD1" i="5"/>
  <c r="CD19" i="5" s="1"/>
  <c r="CE22" i="3"/>
  <c r="CD14" i="5"/>
  <c r="BX25" i="3" l="1"/>
  <c r="BY25" i="3" s="1"/>
  <c r="AL29" i="2"/>
  <c r="AU21" i="5"/>
  <c r="AU22" i="5" s="1"/>
  <c r="AU5" i="5" s="1"/>
  <c r="AU7" i="5" s="1"/>
  <c r="BY40" i="3"/>
  <c r="BZ24" i="3"/>
  <c r="BZ28" i="3" s="1"/>
  <c r="BZ41" i="3"/>
  <c r="CA35" i="3" s="1"/>
  <c r="CA23" i="3" s="1"/>
  <c r="CA29" i="3" s="1"/>
  <c r="AL46" i="2"/>
  <c r="BX40" i="3"/>
  <c r="BX37" i="3"/>
  <c r="BY37" i="3" s="1"/>
  <c r="AC11" i="5"/>
  <c r="CE1" i="5"/>
  <c r="CE19" i="5" s="1"/>
  <c r="CF22" i="3"/>
  <c r="CE14" i="5"/>
  <c r="BZ25" i="3" l="1"/>
  <c r="AU9" i="5"/>
  <c r="AU6" i="5"/>
  <c r="AV4" i="5"/>
  <c r="BZ40" i="3"/>
  <c r="BZ37" i="3"/>
  <c r="CA41" i="3"/>
  <c r="CB35" i="3" s="1"/>
  <c r="CB23" i="3" s="1"/>
  <c r="CB29" i="3" s="1"/>
  <c r="AM41" i="2"/>
  <c r="AM28" i="2" s="1"/>
  <c r="AM32" i="2" s="1"/>
  <c r="AM40" i="2"/>
  <c r="AM27" i="2" s="1"/>
  <c r="AM33" i="2" s="1"/>
  <c r="AC13" i="5"/>
  <c r="AD26" i="5"/>
  <c r="AC12" i="5"/>
  <c r="CF1" i="5"/>
  <c r="CF19" i="5" s="1"/>
  <c r="CG22" i="3"/>
  <c r="CF14" i="5"/>
  <c r="AM29" i="2" l="1"/>
  <c r="AV21" i="5"/>
  <c r="AV22" i="5" s="1"/>
  <c r="AW10" i="5"/>
  <c r="CA24" i="3"/>
  <c r="CA28" i="3" s="1"/>
  <c r="AM46" i="2"/>
  <c r="CB24" i="3"/>
  <c r="CB28" i="3" s="1"/>
  <c r="CB41" i="3"/>
  <c r="CC35" i="3" s="1"/>
  <c r="CC23" i="3" s="1"/>
  <c r="CC29" i="3" s="1"/>
  <c r="AB45" i="2"/>
  <c r="AB42" i="2"/>
  <c r="CG1" i="5"/>
  <c r="CG19" i="5" s="1"/>
  <c r="CH22" i="3"/>
  <c r="CG14" i="5"/>
  <c r="CA25" i="3" l="1"/>
  <c r="CB25" i="3" s="1"/>
  <c r="AV9" i="5"/>
  <c r="AV5" i="5"/>
  <c r="CB40" i="3"/>
  <c r="CA40" i="3"/>
  <c r="CA37" i="3"/>
  <c r="CB37" i="3" s="1"/>
  <c r="CC24" i="3"/>
  <c r="CC28" i="3" s="1"/>
  <c r="CC41" i="3"/>
  <c r="CD35" i="3" s="1"/>
  <c r="CD23" i="3" s="1"/>
  <c r="CD29" i="3" s="1"/>
  <c r="AN41" i="2"/>
  <c r="AN28" i="2" s="1"/>
  <c r="AN32" i="2" s="1"/>
  <c r="AN40" i="2"/>
  <c r="AN27" i="2" s="1"/>
  <c r="AN33" i="2" s="1"/>
  <c r="AC45" i="2"/>
  <c r="AC42" i="2"/>
  <c r="CH1" i="5"/>
  <c r="CH19" i="5" s="1"/>
  <c r="CI22" i="3"/>
  <c r="AD11" i="5"/>
  <c r="CH14" i="5"/>
  <c r="CC25" i="3" l="1"/>
  <c r="AN29" i="2"/>
  <c r="AV7" i="5"/>
  <c r="AV6" i="5"/>
  <c r="CC40" i="3"/>
  <c r="CC37" i="3"/>
  <c r="AN46" i="2"/>
  <c r="CD41" i="3"/>
  <c r="CE35" i="3" s="1"/>
  <c r="CE23" i="3" s="1"/>
  <c r="CE29" i="3" s="1"/>
  <c r="AD45" i="2"/>
  <c r="AD42" i="2"/>
  <c r="AD13" i="5"/>
  <c r="AE26" i="5"/>
  <c r="AD12" i="5"/>
  <c r="CI1" i="5"/>
  <c r="CI19" i="5" s="1"/>
  <c r="CJ22" i="3"/>
  <c r="CI14" i="5"/>
  <c r="AX10" i="5" l="1"/>
  <c r="AW4" i="5"/>
  <c r="CE24" i="3"/>
  <c r="CE28" i="3" s="1"/>
  <c r="CE41" i="3"/>
  <c r="CF35" i="3" s="1"/>
  <c r="CF23" i="3" s="1"/>
  <c r="CF29" i="3" s="1"/>
  <c r="CD24" i="3"/>
  <c r="CD28" i="3" s="1"/>
  <c r="AO41" i="2"/>
  <c r="AO28" i="2" s="1"/>
  <c r="AO32" i="2" s="1"/>
  <c r="AO40" i="2"/>
  <c r="AO27" i="2" s="1"/>
  <c r="AO33" i="2" s="1"/>
  <c r="AE42" i="2"/>
  <c r="AE45" i="2"/>
  <c r="AE11" i="5"/>
  <c r="CK22" i="3"/>
  <c r="CJ1" i="5"/>
  <c r="CJ19" i="5" s="1"/>
  <c r="CJ14" i="5"/>
  <c r="CD25" i="3" l="1"/>
  <c r="CE25" i="3" s="1"/>
  <c r="AO29" i="2"/>
  <c r="AW21" i="5"/>
  <c r="AW22" i="5" s="1"/>
  <c r="AW5" i="5" s="1"/>
  <c r="AW7" i="5" s="1"/>
  <c r="AE12" i="5"/>
  <c r="AF26" i="5"/>
  <c r="CE40" i="3"/>
  <c r="CF24" i="3"/>
  <c r="CF28" i="3" s="1"/>
  <c r="CF41" i="3"/>
  <c r="CG35" i="3" s="1"/>
  <c r="CG23" i="3" s="1"/>
  <c r="CG29" i="3" s="1"/>
  <c r="CD40" i="3"/>
  <c r="CD37" i="3"/>
  <c r="CE37" i="3" s="1"/>
  <c r="AO46" i="2"/>
  <c r="AF45" i="2"/>
  <c r="AF42" i="2"/>
  <c r="AE13" i="5"/>
  <c r="CL22" i="3"/>
  <c r="CK1" i="5"/>
  <c r="CK19" i="5" s="1"/>
  <c r="CK14" i="5"/>
  <c r="CF25" i="3" l="1"/>
  <c r="AP40" i="2"/>
  <c r="AP41" i="2"/>
  <c r="AW6" i="5"/>
  <c r="AW9" i="5"/>
  <c r="AX4" i="5"/>
  <c r="CF40" i="3"/>
  <c r="CF37" i="3"/>
  <c r="CG41" i="3"/>
  <c r="CH35" i="3" s="1"/>
  <c r="CH23" i="3" s="1"/>
  <c r="CH29" i="3" s="1"/>
  <c r="AG45" i="2"/>
  <c r="AG42" i="2"/>
  <c r="AF11" i="5"/>
  <c r="CM22" i="3"/>
  <c r="CL1" i="5"/>
  <c r="CL19" i="5" s="1"/>
  <c r="CL14" i="5"/>
  <c r="AP27" i="2" l="1"/>
  <c r="AP33" i="2" s="1"/>
  <c r="AP46" i="2"/>
  <c r="AP45" i="2"/>
  <c r="AP28" i="2"/>
  <c r="AY10" i="5"/>
  <c r="AX21" i="5"/>
  <c r="AX22" i="5" s="1"/>
  <c r="CH24" i="3"/>
  <c r="CH28" i="3" s="1"/>
  <c r="CH41" i="3"/>
  <c r="CI35" i="3" s="1"/>
  <c r="CI23" i="3" s="1"/>
  <c r="CI29" i="3" s="1"/>
  <c r="CG24" i="3"/>
  <c r="CG28" i="3" s="1"/>
  <c r="AH45" i="2"/>
  <c r="AH42" i="2"/>
  <c r="AF13" i="5"/>
  <c r="AG26" i="5"/>
  <c r="AF12" i="5"/>
  <c r="CN22" i="3"/>
  <c r="CM1" i="5"/>
  <c r="CM19" i="5" s="1"/>
  <c r="CM14" i="5"/>
  <c r="CG25" i="3" l="1"/>
  <c r="CH25" i="3" s="1"/>
  <c r="AP32" i="2"/>
  <c r="AP29" i="2"/>
  <c r="AX9" i="5"/>
  <c r="AQ40" i="2"/>
  <c r="AQ41" i="2"/>
  <c r="AX5" i="5"/>
  <c r="CH40" i="3"/>
  <c r="CG40" i="3"/>
  <c r="CG37" i="3"/>
  <c r="CH37" i="3" s="1"/>
  <c r="CI24" i="3"/>
  <c r="CI28" i="3" s="1"/>
  <c r="CI41" i="3"/>
  <c r="CJ35" i="3" s="1"/>
  <c r="CJ23" i="3" s="1"/>
  <c r="CJ29" i="3" s="1"/>
  <c r="AI42" i="2"/>
  <c r="AI45" i="2"/>
  <c r="AG11" i="5"/>
  <c r="CO22" i="3"/>
  <c r="CN1" i="5"/>
  <c r="CN19" i="5" s="1"/>
  <c r="CN14" i="5"/>
  <c r="CI25" i="3" l="1"/>
  <c r="AQ45" i="2"/>
  <c r="AQ28" i="2"/>
  <c r="AQ32" i="2" s="1"/>
  <c r="AQ46" i="2"/>
  <c r="AQ27" i="2"/>
  <c r="AQ33" i="2" s="1"/>
  <c r="AQ29" i="2"/>
  <c r="AX7" i="5"/>
  <c r="AX6" i="5"/>
  <c r="CI40" i="3"/>
  <c r="CI37" i="3"/>
  <c r="CJ41" i="3"/>
  <c r="CK35" i="3" s="1"/>
  <c r="CK23" i="3" s="1"/>
  <c r="CK29" i="3" s="1"/>
  <c r="AJ42" i="2"/>
  <c r="AJ45" i="2"/>
  <c r="AG13" i="5"/>
  <c r="AH26" i="5"/>
  <c r="AG12" i="5"/>
  <c r="CP22" i="3"/>
  <c r="CO1" i="5"/>
  <c r="CO19" i="5" s="1"/>
  <c r="CO14" i="5"/>
  <c r="AR40" i="2" l="1"/>
  <c r="AR41" i="2"/>
  <c r="AY4" i="5"/>
  <c r="AZ10" i="5"/>
  <c r="CK24" i="3"/>
  <c r="CK28" i="3" s="1"/>
  <c r="CK41" i="3"/>
  <c r="CL35" i="3" s="1"/>
  <c r="CL23" i="3" s="1"/>
  <c r="CL29" i="3" s="1"/>
  <c r="CJ24" i="3"/>
  <c r="CJ28" i="3" s="1"/>
  <c r="AK45" i="2"/>
  <c r="AK42" i="2"/>
  <c r="AH11" i="5"/>
  <c r="CQ22" i="3"/>
  <c r="CP1" i="5"/>
  <c r="CP19" i="5" s="1"/>
  <c r="CP14" i="5"/>
  <c r="CJ25" i="3" l="1"/>
  <c r="CK25" i="3" s="1"/>
  <c r="AR45" i="2"/>
  <c r="AR28" i="2"/>
  <c r="AR46" i="2"/>
  <c r="AR27" i="2"/>
  <c r="AR33" i="2" s="1"/>
  <c r="AY21" i="5"/>
  <c r="AY22" i="5" s="1"/>
  <c r="CK40" i="3"/>
  <c r="CJ40" i="3"/>
  <c r="CJ37" i="3"/>
  <c r="CK37" i="3" s="1"/>
  <c r="CL24" i="3"/>
  <c r="CL28" i="3" s="1"/>
  <c r="CL41" i="3"/>
  <c r="CM35" i="3" s="1"/>
  <c r="CM23" i="3" s="1"/>
  <c r="CM29" i="3" s="1"/>
  <c r="AL45" i="2"/>
  <c r="AL42" i="2"/>
  <c r="AH13" i="5"/>
  <c r="AI26" i="5"/>
  <c r="AH12" i="5"/>
  <c r="CR22" i="3"/>
  <c r="CQ1" i="5"/>
  <c r="CQ19" i="5" s="1"/>
  <c r="CQ14" i="5"/>
  <c r="CL25" i="3" l="1"/>
  <c r="AR32" i="2"/>
  <c r="AR29" i="2"/>
  <c r="AS40" i="2"/>
  <c r="AS41" i="2"/>
  <c r="AY5" i="5"/>
  <c r="AZ4" i="5"/>
  <c r="AY9" i="5"/>
  <c r="CL40" i="3"/>
  <c r="CL37" i="3"/>
  <c r="CM41" i="3"/>
  <c r="CN35" i="3" s="1"/>
  <c r="CN23" i="3" s="1"/>
  <c r="CN29" i="3" s="1"/>
  <c r="AM42" i="2"/>
  <c r="AM45" i="2"/>
  <c r="AI11" i="5"/>
  <c r="CS22" i="3"/>
  <c r="CR1" i="5"/>
  <c r="CR19" i="5" s="1"/>
  <c r="CR14" i="5"/>
  <c r="AS46" i="2" l="1"/>
  <c r="AS27" i="2"/>
  <c r="AS33" i="2" s="1"/>
  <c r="AS45" i="2"/>
  <c r="AS28" i="2"/>
  <c r="AS32" i="2" s="1"/>
  <c r="BA10" i="5"/>
  <c r="AZ21" i="5"/>
  <c r="AZ22" i="5" s="1"/>
  <c r="AZ5" i="5" s="1"/>
  <c r="AZ7" i="5" s="1"/>
  <c r="AY7" i="5"/>
  <c r="AY6" i="5"/>
  <c r="CN24" i="3"/>
  <c r="CN28" i="3" s="1"/>
  <c r="CN41" i="3"/>
  <c r="CO35" i="3" s="1"/>
  <c r="CO23" i="3" s="1"/>
  <c r="CO29" i="3" s="1"/>
  <c r="CM24" i="3"/>
  <c r="CM28" i="3" s="1"/>
  <c r="AO45" i="2"/>
  <c r="AN45" i="2"/>
  <c r="AN42" i="2"/>
  <c r="AO42" i="2" s="1"/>
  <c r="AP42" i="2" s="1"/>
  <c r="AQ42" i="2" s="1"/>
  <c r="AR42" i="2" s="1"/>
  <c r="AS42" i="2" s="1"/>
  <c r="AI13" i="5"/>
  <c r="AJ26" i="5"/>
  <c r="AI12" i="5"/>
  <c r="CT22" i="3"/>
  <c r="CU22" i="3" s="1"/>
  <c r="CS1" i="5"/>
  <c r="CS19" i="5" s="1"/>
  <c r="CS14" i="5"/>
  <c r="CM25" i="3" l="1"/>
  <c r="CN25" i="3" s="1"/>
  <c r="AS29" i="2"/>
  <c r="AT40" i="2"/>
  <c r="AT41" i="2"/>
  <c r="AZ9" i="5"/>
  <c r="AZ6" i="5"/>
  <c r="CV22" i="3"/>
  <c r="CU1" i="5"/>
  <c r="CU19" i="5" s="1"/>
  <c r="CN40" i="3"/>
  <c r="CM40" i="3"/>
  <c r="CM37" i="3"/>
  <c r="CN37" i="3" s="1"/>
  <c r="CO24" i="3"/>
  <c r="CO28" i="3" s="1"/>
  <c r="CO41" i="3"/>
  <c r="CP35" i="3" s="1"/>
  <c r="CP23" i="3" s="1"/>
  <c r="CP29" i="3" s="1"/>
  <c r="AJ11" i="5"/>
  <c r="CT1" i="5"/>
  <c r="CT19" i="5" s="1"/>
  <c r="CT14" i="5"/>
  <c r="CO25" i="3" l="1"/>
  <c r="AT45" i="2"/>
  <c r="AT28" i="2"/>
  <c r="AT32" i="2" s="1"/>
  <c r="AT42" i="2"/>
  <c r="AT46" i="2"/>
  <c r="AT27" i="2"/>
  <c r="AT33" i="2" s="1"/>
  <c r="CW22" i="3"/>
  <c r="CV1" i="5"/>
  <c r="CV19" i="5" s="1"/>
  <c r="CO40" i="3"/>
  <c r="CP41" i="3"/>
  <c r="CQ35" i="3" s="1"/>
  <c r="CQ23" i="3" s="1"/>
  <c r="CQ29" i="3" s="1"/>
  <c r="CO37" i="3"/>
  <c r="AJ13" i="5"/>
  <c r="AK26" i="5"/>
  <c r="AJ12" i="5"/>
  <c r="AU40" i="2" l="1"/>
  <c r="AU41" i="2"/>
  <c r="AU42" i="2" s="1"/>
  <c r="AT29" i="2"/>
  <c r="BA4" i="5"/>
  <c r="BB10" i="5"/>
  <c r="CX22" i="3"/>
  <c r="CW1" i="5"/>
  <c r="CW19" i="5" s="1"/>
  <c r="CQ24" i="3"/>
  <c r="CQ28" i="3" s="1"/>
  <c r="CQ41" i="3"/>
  <c r="CR35" i="3" s="1"/>
  <c r="CR23" i="3" s="1"/>
  <c r="CR29" i="3" s="1"/>
  <c r="CP24" i="3"/>
  <c r="CP28" i="3" s="1"/>
  <c r="AK11" i="5"/>
  <c r="CP25" i="3" l="1"/>
  <c r="CQ25" i="3" s="1"/>
  <c r="AU45" i="2"/>
  <c r="AU28" i="2"/>
  <c r="AU32" i="2" s="1"/>
  <c r="AU46" i="2"/>
  <c r="AU27" i="2"/>
  <c r="AU33" i="2" s="1"/>
  <c r="BA21" i="5"/>
  <c r="BA22" i="5" s="1"/>
  <c r="CY22" i="3"/>
  <c r="CX1" i="5"/>
  <c r="CX19" i="5" s="1"/>
  <c r="CP40" i="3"/>
  <c r="CQ40" i="3"/>
  <c r="CR24" i="3"/>
  <c r="CR28" i="3" s="1"/>
  <c r="CR41" i="3"/>
  <c r="CS35" i="3" s="1"/>
  <c r="CS23" i="3" s="1"/>
  <c r="CS29" i="3" s="1"/>
  <c r="CP37" i="3"/>
  <c r="CQ37" i="3" s="1"/>
  <c r="AK13" i="5"/>
  <c r="AL26" i="5"/>
  <c r="AK12" i="5"/>
  <c r="CR25" i="3" l="1"/>
  <c r="AU29" i="2"/>
  <c r="AV40" i="2"/>
  <c r="AV41" i="2"/>
  <c r="BA9" i="5"/>
  <c r="BB4" i="5"/>
  <c r="BA5" i="5"/>
  <c r="CZ22" i="3"/>
  <c r="CY1" i="5"/>
  <c r="CY19" i="5" s="1"/>
  <c r="CR40" i="3"/>
  <c r="CR37" i="3"/>
  <c r="CS41" i="3"/>
  <c r="CT35" i="3" s="1"/>
  <c r="CT23" i="3" s="1"/>
  <c r="CT29" i="3" s="1"/>
  <c r="AL11" i="5"/>
  <c r="AV45" i="2" l="1"/>
  <c r="AV28" i="2"/>
  <c r="AV42" i="2"/>
  <c r="AV46" i="2"/>
  <c r="AV27" i="2"/>
  <c r="AV33" i="2" s="1"/>
  <c r="BB21" i="5"/>
  <c r="BB22" i="5" s="1"/>
  <c r="BC10" i="5"/>
  <c r="BA7" i="5"/>
  <c r="BA6" i="5"/>
  <c r="DA22" i="3"/>
  <c r="CZ1" i="5"/>
  <c r="CZ19" i="5" s="1"/>
  <c r="CT24" i="3"/>
  <c r="CT28" i="3" s="1"/>
  <c r="CT41" i="3"/>
  <c r="CU35" i="3" s="1"/>
  <c r="CU23" i="3" s="1"/>
  <c r="CU29" i="3" s="1"/>
  <c r="CS24" i="3"/>
  <c r="CS28" i="3" s="1"/>
  <c r="AL13" i="5"/>
  <c r="AM26" i="5"/>
  <c r="AL12" i="5"/>
  <c r="CS25" i="3" l="1"/>
  <c r="CT25" i="3" s="1"/>
  <c r="AW40" i="2"/>
  <c r="AW41" i="2"/>
  <c r="AW42" i="2" s="1"/>
  <c r="AV32" i="2"/>
  <c r="AV29" i="2"/>
  <c r="BB5" i="5"/>
  <c r="DB22" i="3"/>
  <c r="DA1" i="5"/>
  <c r="DA19" i="5" s="1"/>
  <c r="CT40" i="3"/>
  <c r="CS40" i="3"/>
  <c r="CS37" i="3"/>
  <c r="CT37" i="3" s="1"/>
  <c r="CU24" i="3"/>
  <c r="CU28" i="3" s="1"/>
  <c r="CU41" i="3"/>
  <c r="CV35" i="3" s="1"/>
  <c r="CV23" i="3" s="1"/>
  <c r="CV29" i="3" s="1"/>
  <c r="AM11" i="5"/>
  <c r="AN25" i="5" s="1"/>
  <c r="CU25" i="3" l="1"/>
  <c r="AW45" i="2"/>
  <c r="AW28" i="2"/>
  <c r="AW32" i="2" s="1"/>
  <c r="AW46" i="2"/>
  <c r="AW27" i="2"/>
  <c r="AW33" i="2" s="1"/>
  <c r="BB7" i="5"/>
  <c r="BB6" i="5"/>
  <c r="BC4" i="5"/>
  <c r="BB9" i="5"/>
  <c r="DC22" i="3"/>
  <c r="DB1" i="5"/>
  <c r="DB19" i="5" s="1"/>
  <c r="CU40" i="3"/>
  <c r="CV41" i="3"/>
  <c r="CW35" i="3" s="1"/>
  <c r="CW23" i="3" s="1"/>
  <c r="CW29" i="3" s="1"/>
  <c r="CU37" i="3"/>
  <c r="AM13" i="5"/>
  <c r="AN26" i="5"/>
  <c r="AM12" i="5"/>
  <c r="AX40" i="2" l="1"/>
  <c r="AX41" i="2"/>
  <c r="AW29" i="2"/>
  <c r="BD10" i="5"/>
  <c r="BC21" i="5"/>
  <c r="BC22" i="5" s="1"/>
  <c r="DD22" i="3"/>
  <c r="DC1" i="5"/>
  <c r="DC19" i="5" s="1"/>
  <c r="CW24" i="3"/>
  <c r="CW28" i="3" s="1"/>
  <c r="CW41" i="3"/>
  <c r="CX35" i="3" s="1"/>
  <c r="CX23" i="3" s="1"/>
  <c r="CX29" i="3" s="1"/>
  <c r="CV24" i="3"/>
  <c r="CV28" i="3" s="1"/>
  <c r="AN11" i="5"/>
  <c r="AO25" i="5" s="1"/>
  <c r="CV25" i="3" l="1"/>
  <c r="CW25" i="3" s="1"/>
  <c r="AX45" i="2"/>
  <c r="AX28" i="2"/>
  <c r="AX32" i="2" s="1"/>
  <c r="AX42" i="2"/>
  <c r="AX46" i="2"/>
  <c r="AX27" i="2"/>
  <c r="AX33" i="2" s="1"/>
  <c r="BC5" i="5"/>
  <c r="DE22" i="3"/>
  <c r="DD1" i="5"/>
  <c r="DD19" i="5" s="1"/>
  <c r="CV40" i="3"/>
  <c r="CW40" i="3"/>
  <c r="CX24" i="3"/>
  <c r="CX28" i="3" s="1"/>
  <c r="CX41" i="3"/>
  <c r="CY35" i="3" s="1"/>
  <c r="CY23" i="3" s="1"/>
  <c r="CY29" i="3" s="1"/>
  <c r="CV37" i="3"/>
  <c r="CW37" i="3" s="1"/>
  <c r="AN13" i="5"/>
  <c r="AO26" i="5"/>
  <c r="AN12" i="5"/>
  <c r="CX25" i="3" l="1"/>
  <c r="AX29" i="2"/>
  <c r="AY40" i="2"/>
  <c r="AY41" i="2"/>
  <c r="AY42" i="2" s="1"/>
  <c r="BC7" i="5"/>
  <c r="BC6" i="5"/>
  <c r="BC9" i="5"/>
  <c r="BD4" i="5"/>
  <c r="DF22" i="3"/>
  <c r="DE1" i="5"/>
  <c r="DE19" i="5" s="1"/>
  <c r="CX40" i="3"/>
  <c r="CX37" i="3"/>
  <c r="CY41" i="3"/>
  <c r="CZ35" i="3" s="1"/>
  <c r="CZ23" i="3" s="1"/>
  <c r="CZ29" i="3" s="1"/>
  <c r="AO11" i="5"/>
  <c r="AP25" i="5" s="1"/>
  <c r="AY45" i="2" l="1"/>
  <c r="AY28" i="2"/>
  <c r="AY46" i="2"/>
  <c r="AY27" i="2"/>
  <c r="AY33" i="2" s="1"/>
  <c r="BE10" i="5"/>
  <c r="BD21" i="5"/>
  <c r="BD22" i="5" s="1"/>
  <c r="DF1" i="5"/>
  <c r="DF19" i="5" s="1"/>
  <c r="DG22" i="3"/>
  <c r="CZ24" i="3"/>
  <c r="CZ28" i="3" s="1"/>
  <c r="CZ41" i="3"/>
  <c r="DA35" i="3" s="1"/>
  <c r="DA23" i="3" s="1"/>
  <c r="DA29" i="3" s="1"/>
  <c r="CY24" i="3"/>
  <c r="CY28" i="3" s="1"/>
  <c r="AO13" i="5"/>
  <c r="AP26" i="5"/>
  <c r="AO12" i="5"/>
  <c r="CY25" i="3" l="1"/>
  <c r="CZ25" i="3" s="1"/>
  <c r="AZ40" i="2"/>
  <c r="AZ41" i="2"/>
  <c r="AY32" i="2"/>
  <c r="AY29" i="2"/>
  <c r="BD9" i="5"/>
  <c r="BD5" i="5"/>
  <c r="DH22" i="3"/>
  <c r="DG1" i="5"/>
  <c r="DG19" i="5" s="1"/>
  <c r="CZ40" i="3"/>
  <c r="DA24" i="3"/>
  <c r="DA28" i="3" s="1"/>
  <c r="DA41" i="3"/>
  <c r="DB35" i="3" s="1"/>
  <c r="DB23" i="3" s="1"/>
  <c r="DB29" i="3" s="1"/>
  <c r="CY40" i="3"/>
  <c r="CY37" i="3"/>
  <c r="CZ37" i="3" s="1"/>
  <c r="AP11" i="5"/>
  <c r="AQ25" i="5" s="1"/>
  <c r="DA25" i="3" l="1"/>
  <c r="AZ45" i="2"/>
  <c r="AZ28" i="2"/>
  <c r="AZ32" i="2" s="1"/>
  <c r="AZ42" i="2"/>
  <c r="AZ46" i="2"/>
  <c r="AZ27" i="2"/>
  <c r="AZ33" i="2" s="1"/>
  <c r="BD7" i="5"/>
  <c r="BD6" i="5"/>
  <c r="DI22" i="3"/>
  <c r="DH1" i="5"/>
  <c r="DH19" i="5" s="1"/>
  <c r="DA40" i="3"/>
  <c r="DA37" i="3"/>
  <c r="DB41" i="3"/>
  <c r="DC35" i="3" s="1"/>
  <c r="DC23" i="3" s="1"/>
  <c r="DC29" i="3" s="1"/>
  <c r="AP13" i="5"/>
  <c r="AQ26" i="5"/>
  <c r="AP12" i="5"/>
  <c r="BA40" i="2" l="1"/>
  <c r="BA41" i="2"/>
  <c r="AZ29" i="2"/>
  <c r="BE4" i="5"/>
  <c r="BF10" i="5"/>
  <c r="DJ22" i="3"/>
  <c r="DI1" i="5"/>
  <c r="DI19" i="5" s="1"/>
  <c r="DB24" i="3"/>
  <c r="DB28" i="3" s="1"/>
  <c r="DC24" i="3"/>
  <c r="DC28" i="3" s="1"/>
  <c r="DC41" i="3"/>
  <c r="DD35" i="3" s="1"/>
  <c r="DD23" i="3" s="1"/>
  <c r="DD29" i="3" s="1"/>
  <c r="AQ11" i="5"/>
  <c r="AR25" i="5" s="1"/>
  <c r="DB25" i="3" l="1"/>
  <c r="DC25" i="3" s="1"/>
  <c r="BA46" i="2"/>
  <c r="BA27" i="2"/>
  <c r="BA33" i="2" s="1"/>
  <c r="BA45" i="2"/>
  <c r="BA28" i="2"/>
  <c r="BA32" i="2" s="1"/>
  <c r="BA42" i="2"/>
  <c r="BE21" i="5"/>
  <c r="BE22" i="5" s="1"/>
  <c r="DK22" i="3"/>
  <c r="DJ1" i="5"/>
  <c r="DJ19" i="5" s="1"/>
  <c r="DC40" i="3"/>
  <c r="DB40" i="3"/>
  <c r="DB37" i="3"/>
  <c r="DC37" i="3" s="1"/>
  <c r="DD24" i="3"/>
  <c r="DD28" i="3" s="1"/>
  <c r="DD41" i="3"/>
  <c r="DE35" i="3" s="1"/>
  <c r="DE23" i="3" s="1"/>
  <c r="DE29" i="3" s="1"/>
  <c r="AQ13" i="5"/>
  <c r="AR26" i="5"/>
  <c r="AQ12" i="5"/>
  <c r="BA29" i="2" l="1"/>
  <c r="DD25" i="3"/>
  <c r="BB40" i="2"/>
  <c r="BB41" i="2"/>
  <c r="BE5" i="5"/>
  <c r="BE9" i="5"/>
  <c r="BF4" i="5"/>
  <c r="DL22" i="3"/>
  <c r="DK1" i="5"/>
  <c r="DK19" i="5" s="1"/>
  <c r="DD40" i="3"/>
  <c r="DD37" i="3"/>
  <c r="DE41" i="3"/>
  <c r="DF35" i="3" s="1"/>
  <c r="DF23" i="3" s="1"/>
  <c r="DF29" i="3" s="1"/>
  <c r="AR11" i="5"/>
  <c r="AS25" i="5" s="1"/>
  <c r="BB45" i="2" l="1"/>
  <c r="BB28" i="2"/>
  <c r="BB46" i="2"/>
  <c r="BB27" i="2"/>
  <c r="BB33" i="2" s="1"/>
  <c r="BB42" i="2"/>
  <c r="BG10" i="5"/>
  <c r="BF21" i="5"/>
  <c r="BF22" i="5" s="1"/>
  <c r="BE7" i="5"/>
  <c r="BE6" i="5"/>
  <c r="DM22" i="3"/>
  <c r="DL1" i="5"/>
  <c r="DL19" i="5" s="1"/>
  <c r="DE24" i="3"/>
  <c r="DE28" i="3" s="1"/>
  <c r="DF24" i="3"/>
  <c r="DF28" i="3" s="1"/>
  <c r="DF41" i="3"/>
  <c r="DG35" i="3" s="1"/>
  <c r="DG23" i="3" s="1"/>
  <c r="DG29" i="3" s="1"/>
  <c r="AR13" i="5"/>
  <c r="AS26" i="5"/>
  <c r="AR12" i="5"/>
  <c r="DE25" i="3" l="1"/>
  <c r="DF25" i="3" s="1"/>
  <c r="BB32" i="2"/>
  <c r="BB29" i="2"/>
  <c r="BC40" i="2"/>
  <c r="BC41" i="2"/>
  <c r="BF9" i="5"/>
  <c r="BF5" i="5"/>
  <c r="DN22" i="3"/>
  <c r="DM1" i="5"/>
  <c r="DM19" i="5" s="1"/>
  <c r="DF40" i="3"/>
  <c r="DE40" i="3"/>
  <c r="DE37" i="3"/>
  <c r="DF37" i="3" s="1"/>
  <c r="DG24" i="3"/>
  <c r="DG28" i="3" s="1"/>
  <c r="DG41" i="3"/>
  <c r="DH35" i="3" s="1"/>
  <c r="DH23" i="3" s="1"/>
  <c r="DH29" i="3" s="1"/>
  <c r="AS11" i="5"/>
  <c r="AT25" i="5" s="1"/>
  <c r="DG25" i="3" l="1"/>
  <c r="BC45" i="2"/>
  <c r="BC28" i="2"/>
  <c r="BC32" i="2" s="1"/>
  <c r="BC46" i="2"/>
  <c r="BC27" i="2"/>
  <c r="BC33" i="2" s="1"/>
  <c r="BC42" i="2"/>
  <c r="BF7" i="5"/>
  <c r="BF6" i="5"/>
  <c r="DO22" i="3"/>
  <c r="DN1" i="5"/>
  <c r="DN19" i="5" s="1"/>
  <c r="DG40" i="3"/>
  <c r="DG37" i="3"/>
  <c r="DH41" i="3"/>
  <c r="DI35" i="3" s="1"/>
  <c r="DI23" i="3" s="1"/>
  <c r="DI29" i="3" s="1"/>
  <c r="AS13" i="5"/>
  <c r="AT26" i="5"/>
  <c r="AS12" i="5"/>
  <c r="BC29" i="2" l="1"/>
  <c r="BD40" i="2"/>
  <c r="BD41" i="2"/>
  <c r="BD42" i="2" s="1"/>
  <c r="BG4" i="5"/>
  <c r="BH10" i="5"/>
  <c r="DP22" i="3"/>
  <c r="DO1" i="5"/>
  <c r="DO19" i="5" s="1"/>
  <c r="DH24" i="3"/>
  <c r="DH28" i="3" s="1"/>
  <c r="DI24" i="3"/>
  <c r="DI28" i="3" s="1"/>
  <c r="DI41" i="3"/>
  <c r="DJ35" i="3" s="1"/>
  <c r="DJ23" i="3" s="1"/>
  <c r="DJ29" i="3" s="1"/>
  <c r="AT11" i="5"/>
  <c r="AU25" i="5" s="1"/>
  <c r="DH25" i="3" l="1"/>
  <c r="DI25" i="3" s="1"/>
  <c r="BD45" i="2"/>
  <c r="BD28" i="2"/>
  <c r="BD46" i="2"/>
  <c r="BD27" i="2"/>
  <c r="BD33" i="2" s="1"/>
  <c r="BG21" i="5"/>
  <c r="BG22" i="5" s="1"/>
  <c r="DQ22" i="3"/>
  <c r="DQ1" i="5" s="1"/>
  <c r="DQ19" i="5" s="1"/>
  <c r="DP1" i="5"/>
  <c r="DP19" i="5" s="1"/>
  <c r="DI40" i="3"/>
  <c r="DH40" i="3"/>
  <c r="DH37" i="3"/>
  <c r="DI37" i="3" s="1"/>
  <c r="DJ24" i="3"/>
  <c r="DJ28" i="3" s="1"/>
  <c r="DJ41" i="3"/>
  <c r="DK35" i="3" s="1"/>
  <c r="DK23" i="3" s="1"/>
  <c r="DK29" i="3" s="1"/>
  <c r="AT13" i="5"/>
  <c r="AU26" i="5"/>
  <c r="AT12" i="5"/>
  <c r="DJ25" i="3" l="1"/>
  <c r="BD32" i="2"/>
  <c r="BD29" i="2"/>
  <c r="BE40" i="2"/>
  <c r="BE41" i="2"/>
  <c r="BG5" i="5"/>
  <c r="BG9" i="5"/>
  <c r="BH4" i="5"/>
  <c r="DJ40" i="3"/>
  <c r="DK41" i="3"/>
  <c r="DL35" i="3" s="1"/>
  <c r="DL23" i="3" s="1"/>
  <c r="DL29" i="3" s="1"/>
  <c r="DJ37" i="3"/>
  <c r="AU11" i="5"/>
  <c r="AV25" i="5" s="1"/>
  <c r="BE45" i="2" l="1"/>
  <c r="BE28" i="2"/>
  <c r="BE32" i="2" s="1"/>
  <c r="BE42" i="2"/>
  <c r="BE46" i="2"/>
  <c r="BE27" i="2"/>
  <c r="BE33" i="2" s="1"/>
  <c r="BI10" i="5"/>
  <c r="BH21" i="5"/>
  <c r="BH22" i="5" s="1"/>
  <c r="BG7" i="5"/>
  <c r="BG6" i="5"/>
  <c r="DL24" i="3"/>
  <c r="DL28" i="3" s="1"/>
  <c r="DL41" i="3"/>
  <c r="DM35" i="3" s="1"/>
  <c r="DM23" i="3" s="1"/>
  <c r="DM29" i="3" s="1"/>
  <c r="DK24" i="3"/>
  <c r="DK28" i="3" s="1"/>
  <c r="AU13" i="5"/>
  <c r="AV26" i="5"/>
  <c r="AU12" i="5"/>
  <c r="DK25" i="3" l="1"/>
  <c r="DL25" i="3" s="1"/>
  <c r="BE29" i="2"/>
  <c r="BF40" i="2"/>
  <c r="BF41" i="2"/>
  <c r="BF42" i="2" s="1"/>
  <c r="BH5" i="5"/>
  <c r="BH9" i="5"/>
  <c r="DK40" i="3"/>
  <c r="DL40" i="3"/>
  <c r="DM24" i="3"/>
  <c r="DM28" i="3" s="1"/>
  <c r="DM41" i="3"/>
  <c r="DN35" i="3" s="1"/>
  <c r="DN23" i="3" s="1"/>
  <c r="DN29" i="3" s="1"/>
  <c r="DK37" i="3"/>
  <c r="DL37" i="3" s="1"/>
  <c r="AV11" i="5"/>
  <c r="AW25" i="5" s="1"/>
  <c r="DM25" i="3" l="1"/>
  <c r="BF46" i="2"/>
  <c r="BF27" i="2"/>
  <c r="BF33" i="2" s="1"/>
  <c r="BF45" i="2"/>
  <c r="BF28" i="2"/>
  <c r="BH7" i="5"/>
  <c r="BH6" i="5"/>
  <c r="DM40" i="3"/>
  <c r="DM37" i="3"/>
  <c r="DN41" i="3"/>
  <c r="DO35" i="3" s="1"/>
  <c r="DO23" i="3" s="1"/>
  <c r="DO29" i="3" s="1"/>
  <c r="AV13" i="5"/>
  <c r="AW26" i="5"/>
  <c r="AV12" i="5"/>
  <c r="BG40" i="2" l="1"/>
  <c r="BG41" i="2"/>
  <c r="BF32" i="2"/>
  <c r="BF29" i="2"/>
  <c r="BI4" i="5"/>
  <c r="BJ10" i="5"/>
  <c r="DO24" i="3"/>
  <c r="DO28" i="3" s="1"/>
  <c r="DO41" i="3"/>
  <c r="DP35" i="3" s="1"/>
  <c r="DP23" i="3" s="1"/>
  <c r="DP29" i="3" s="1"/>
  <c r="DN24" i="3"/>
  <c r="DN28" i="3" s="1"/>
  <c r="AW11" i="5"/>
  <c r="AX25" i="5" s="1"/>
  <c r="DN25" i="3" l="1"/>
  <c r="DO25" i="3" s="1"/>
  <c r="BG45" i="2"/>
  <c r="BG28" i="2"/>
  <c r="BG32" i="2" s="1"/>
  <c r="BG42" i="2"/>
  <c r="BG46" i="2"/>
  <c r="BG27" i="2"/>
  <c r="BG33" i="2" s="1"/>
  <c r="BI21" i="5"/>
  <c r="BI22" i="5" s="1"/>
  <c r="DO40" i="3"/>
  <c r="DP24" i="3"/>
  <c r="DP28" i="3" s="1"/>
  <c r="DP41" i="3"/>
  <c r="DQ35" i="3" s="1"/>
  <c r="DQ23" i="3" s="1"/>
  <c r="DQ29" i="3" s="1"/>
  <c r="DN40" i="3"/>
  <c r="DN37" i="3"/>
  <c r="DO37" i="3" s="1"/>
  <c r="AW13" i="5"/>
  <c r="AX26" i="5"/>
  <c r="AW12" i="5"/>
  <c r="DP25" i="3" l="1"/>
  <c r="BH40" i="2"/>
  <c r="BH41" i="2"/>
  <c r="BG29" i="2"/>
  <c r="BI9" i="5"/>
  <c r="BI5" i="5"/>
  <c r="BJ4" i="5"/>
  <c r="DP40" i="3"/>
  <c r="DP37" i="3"/>
  <c r="DQ41" i="3"/>
  <c r="DQ24" i="3" s="1"/>
  <c r="DQ28" i="3" s="1"/>
  <c r="AX11" i="5"/>
  <c r="AY25" i="5" s="1"/>
  <c r="DQ25" i="3" l="1"/>
  <c r="BH45" i="2"/>
  <c r="BH28" i="2"/>
  <c r="BH32" i="2" s="1"/>
  <c r="BH46" i="2"/>
  <c r="BH27" i="2"/>
  <c r="BH33" i="2" s="1"/>
  <c r="BH42" i="2"/>
  <c r="BJ21" i="5"/>
  <c r="BJ22" i="5" s="1"/>
  <c r="BI7" i="5"/>
  <c r="BI6" i="5"/>
  <c r="BK10" i="5"/>
  <c r="DQ37" i="3"/>
  <c r="DQ40" i="3"/>
  <c r="AX13" i="5"/>
  <c r="AY26" i="5"/>
  <c r="AX12" i="5"/>
  <c r="BI40" i="2" l="1"/>
  <c r="BI41" i="2"/>
  <c r="BH29" i="2"/>
  <c r="BJ5" i="5"/>
  <c r="BJ9" i="5"/>
  <c r="AY11" i="5"/>
  <c r="AZ25" i="5" s="1"/>
  <c r="BI45" i="2" l="1"/>
  <c r="BI28" i="2"/>
  <c r="BI32" i="2" s="1"/>
  <c r="BI46" i="2"/>
  <c r="BI27" i="2"/>
  <c r="BI33" i="2" s="1"/>
  <c r="BI42" i="2"/>
  <c r="BJ7" i="5"/>
  <c r="BJ6" i="5"/>
  <c r="AY13" i="5"/>
  <c r="AZ26" i="5"/>
  <c r="AY12" i="5"/>
  <c r="BJ40" i="2" l="1"/>
  <c r="BJ41" i="2"/>
  <c r="BJ42" i="2" s="1"/>
  <c r="BI29" i="2"/>
  <c r="BK4" i="5"/>
  <c r="BL10" i="5"/>
  <c r="AZ11" i="5"/>
  <c r="BA25" i="5" s="1"/>
  <c r="BJ28" i="2" l="1"/>
  <c r="BJ32" i="2" s="1"/>
  <c r="BJ45" i="2"/>
  <c r="BJ46" i="2"/>
  <c r="BJ27" i="2"/>
  <c r="BJ33" i="2" s="1"/>
  <c r="BK21" i="5"/>
  <c r="BK22" i="5" s="1"/>
  <c r="AZ13" i="5"/>
  <c r="BA26" i="5"/>
  <c r="AZ12" i="5"/>
  <c r="BJ29" i="2" l="1"/>
  <c r="BK40" i="2"/>
  <c r="BK41" i="2"/>
  <c r="BK5" i="5"/>
  <c r="BK9" i="5"/>
  <c r="BL4" i="5"/>
  <c r="BA11" i="5"/>
  <c r="BB25" i="5" s="1"/>
  <c r="BK45" i="2" l="1"/>
  <c r="BK28" i="2"/>
  <c r="BK32" i="2" s="1"/>
  <c r="BK42" i="2"/>
  <c r="BK46" i="2"/>
  <c r="BK27" i="2"/>
  <c r="BK33" i="2" s="1"/>
  <c r="BL21" i="5"/>
  <c r="BL22" i="5" s="1"/>
  <c r="BK7" i="5"/>
  <c r="BK6" i="5"/>
  <c r="BM10" i="5"/>
  <c r="BA13" i="5"/>
  <c r="BB26" i="5"/>
  <c r="BA12" i="5"/>
  <c r="BK29" i="2" l="1"/>
  <c r="BL40" i="2"/>
  <c r="BL41" i="2"/>
  <c r="BL42" i="2" s="1"/>
  <c r="BL9" i="5"/>
  <c r="BL5" i="5"/>
  <c r="BB11" i="5"/>
  <c r="BC25" i="5" s="1"/>
  <c r="BL45" i="2" l="1"/>
  <c r="BL28" i="2"/>
  <c r="BL46" i="2"/>
  <c r="BL27" i="2"/>
  <c r="BL33" i="2" s="1"/>
  <c r="BL7" i="5"/>
  <c r="BL6" i="5"/>
  <c r="BB13" i="5"/>
  <c r="BC26" i="5"/>
  <c r="BB12" i="5"/>
  <c r="BM40" i="2" l="1"/>
  <c r="BM41" i="2"/>
  <c r="BL32" i="2"/>
  <c r="BL29" i="2"/>
  <c r="BM4" i="5"/>
  <c r="BN10" i="5"/>
  <c r="BC11" i="5"/>
  <c r="BD25" i="5" s="1"/>
  <c r="BM45" i="2" l="1"/>
  <c r="BM28" i="2"/>
  <c r="BM32" i="2" s="1"/>
  <c r="BM42" i="2"/>
  <c r="BM46" i="2"/>
  <c r="BM27" i="2"/>
  <c r="BM33" i="2" s="1"/>
  <c r="BM21" i="5"/>
  <c r="BM22" i="5" s="1"/>
  <c r="BD26" i="5"/>
  <c r="BC12" i="5"/>
  <c r="BC13" i="5"/>
  <c r="BN40" i="2" l="1"/>
  <c r="BN41" i="2"/>
  <c r="BM29" i="2"/>
  <c r="BN4" i="5"/>
  <c r="BM5" i="5"/>
  <c r="BM9" i="5"/>
  <c r="BD11" i="5"/>
  <c r="BE25" i="5" s="1"/>
  <c r="BN45" i="2" l="1"/>
  <c r="BN28" i="2"/>
  <c r="BN32" i="2" s="1"/>
  <c r="BN46" i="2"/>
  <c r="BN27" i="2"/>
  <c r="BN33" i="2" s="1"/>
  <c r="BN42" i="2"/>
  <c r="BN21" i="5"/>
  <c r="BN22" i="5" s="1"/>
  <c r="BM7" i="5"/>
  <c r="BM6" i="5"/>
  <c r="BO10" i="5"/>
  <c r="BD12" i="5"/>
  <c r="BE26" i="5"/>
  <c r="BD13" i="5"/>
  <c r="BO40" i="2" l="1"/>
  <c r="BO41" i="2"/>
  <c r="BO42" i="2" s="1"/>
  <c r="BN29" i="2"/>
  <c r="BN5" i="5"/>
  <c r="BE11" i="5"/>
  <c r="BF25" i="5" s="1"/>
  <c r="BO46" i="2" l="1"/>
  <c r="BO27" i="2"/>
  <c r="BO33" i="2" s="1"/>
  <c r="BO45" i="2"/>
  <c r="BO28" i="2"/>
  <c r="BO32" i="2" s="1"/>
  <c r="BO4" i="5"/>
  <c r="BO21" i="5" s="1"/>
  <c r="BO22" i="5" s="1"/>
  <c r="BN9" i="5"/>
  <c r="BN7" i="5"/>
  <c r="BN6" i="5"/>
  <c r="BF26" i="5"/>
  <c r="BE13" i="5"/>
  <c r="BE12" i="5"/>
  <c r="BO29" i="2" l="1"/>
  <c r="BP40" i="2"/>
  <c r="BP41" i="2"/>
  <c r="BP10" i="5"/>
  <c r="BO5" i="5"/>
  <c r="BF11" i="5"/>
  <c r="BG25" i="5" s="1"/>
  <c r="BP28" i="2" l="1"/>
  <c r="BP45" i="2"/>
  <c r="BP42" i="2"/>
  <c r="BP46" i="2"/>
  <c r="BP27" i="2"/>
  <c r="BP33" i="2" s="1"/>
  <c r="BO7" i="5"/>
  <c r="BO6" i="5"/>
  <c r="BG26" i="5"/>
  <c r="BF13" i="5"/>
  <c r="BF12" i="5"/>
  <c r="BQ40" i="2" l="1"/>
  <c r="BQ41" i="2"/>
  <c r="BP32" i="2"/>
  <c r="BP29" i="2"/>
  <c r="BP4" i="5"/>
  <c r="BO9" i="5"/>
  <c r="BG11" i="5"/>
  <c r="BH25" i="5" s="1"/>
  <c r="BQ45" i="2" l="1"/>
  <c r="BQ28" i="2"/>
  <c r="BQ32" i="2" s="1"/>
  <c r="BQ42" i="2"/>
  <c r="BQ46" i="2"/>
  <c r="BQ27" i="2"/>
  <c r="BQ33" i="2" s="1"/>
  <c r="BQ10" i="5"/>
  <c r="BP21" i="5"/>
  <c r="BP22" i="5" s="1"/>
  <c r="BH26" i="5"/>
  <c r="BG13" i="5"/>
  <c r="BG12" i="5"/>
  <c r="BQ29" i="2" l="1"/>
  <c r="BR40" i="2"/>
  <c r="BR41" i="2"/>
  <c r="BP5" i="5"/>
  <c r="BH11" i="5"/>
  <c r="BI25" i="5" s="1"/>
  <c r="BR45" i="2" l="1"/>
  <c r="BR28" i="2"/>
  <c r="BR46" i="2"/>
  <c r="BR27" i="2"/>
  <c r="BR33" i="2" s="1"/>
  <c r="BR42" i="2"/>
  <c r="BQ4" i="5"/>
  <c r="BQ21" i="5" s="1"/>
  <c r="BQ22" i="5" s="1"/>
  <c r="BP9" i="5"/>
  <c r="BP7" i="5"/>
  <c r="BP6" i="5"/>
  <c r="BI26" i="5"/>
  <c r="BH13" i="5"/>
  <c r="BH12" i="5"/>
  <c r="BS40" i="2" l="1"/>
  <c r="BS41" i="2"/>
  <c r="BR32" i="2"/>
  <c r="BR29" i="2"/>
  <c r="BR10" i="5"/>
  <c r="BQ5" i="5"/>
  <c r="BI11" i="5"/>
  <c r="BJ25" i="5" s="1"/>
  <c r="BS46" i="2" l="1"/>
  <c r="BS27" i="2"/>
  <c r="BS33" i="2" s="1"/>
  <c r="BS45" i="2"/>
  <c r="BS28" i="2"/>
  <c r="BS32" i="2" s="1"/>
  <c r="BS42" i="2"/>
  <c r="BQ7" i="5"/>
  <c r="BQ6" i="5"/>
  <c r="BJ26" i="5"/>
  <c r="BI12" i="5"/>
  <c r="BI13" i="5"/>
  <c r="BS29" i="2" l="1"/>
  <c r="BT40" i="2"/>
  <c r="BT41" i="2"/>
  <c r="BR4" i="5"/>
  <c r="BQ9" i="5"/>
  <c r="BJ11" i="5"/>
  <c r="BK25" i="5" s="1"/>
  <c r="BT46" i="2" l="1"/>
  <c r="BT27" i="2"/>
  <c r="BT33" i="2" s="1"/>
  <c r="BT45" i="2"/>
  <c r="BT28" i="2"/>
  <c r="BT32" i="2" s="1"/>
  <c r="BT42" i="2"/>
  <c r="BS10" i="5"/>
  <c r="BR21" i="5"/>
  <c r="BR22" i="5" s="1"/>
  <c r="BK26" i="5"/>
  <c r="BJ12" i="5"/>
  <c r="BJ13" i="5"/>
  <c r="BT29" i="2" l="1"/>
  <c r="BU40" i="2"/>
  <c r="BU41" i="2"/>
  <c r="BR5" i="5"/>
  <c r="BK11" i="5"/>
  <c r="BL25" i="5" s="1"/>
  <c r="BU45" i="2" l="1"/>
  <c r="BU28" i="2"/>
  <c r="BU46" i="2"/>
  <c r="BU27" i="2"/>
  <c r="BU33" i="2" s="1"/>
  <c r="BU42" i="2"/>
  <c r="BR9" i="5"/>
  <c r="BS4" i="5"/>
  <c r="BS21" i="5" s="1"/>
  <c r="BS22" i="5" s="1"/>
  <c r="BR7" i="5"/>
  <c r="BR6" i="5"/>
  <c r="BL26" i="5"/>
  <c r="BK13" i="5"/>
  <c r="BK12" i="5"/>
  <c r="BV40" i="2" l="1"/>
  <c r="BV41" i="2"/>
  <c r="BU32" i="2"/>
  <c r="BU29" i="2"/>
  <c r="BS5" i="5"/>
  <c r="BT10" i="5"/>
  <c r="BL11" i="5"/>
  <c r="BM25" i="5" s="1"/>
  <c r="BV46" i="2" l="1"/>
  <c r="BV27" i="2"/>
  <c r="BV33" i="2" s="1"/>
  <c r="BV45" i="2"/>
  <c r="BV28" i="2"/>
  <c r="BV32" i="2" s="1"/>
  <c r="BV42" i="2"/>
  <c r="BS7" i="5"/>
  <c r="BS6" i="5"/>
  <c r="BM26" i="5"/>
  <c r="BL13" i="5"/>
  <c r="BL12" i="5"/>
  <c r="BV29" i="2" l="1"/>
  <c r="BW40" i="2"/>
  <c r="BW41" i="2"/>
  <c r="BT4" i="5"/>
  <c r="BS9" i="5"/>
  <c r="BM11" i="5"/>
  <c r="BN25" i="5" s="1"/>
  <c r="BW46" i="2" l="1"/>
  <c r="BW27" i="2"/>
  <c r="BW33" i="2" s="1"/>
  <c r="BW45" i="2"/>
  <c r="BW28" i="2"/>
  <c r="BW32" i="2" s="1"/>
  <c r="BW42" i="2"/>
  <c r="BU10" i="5"/>
  <c r="BT21" i="5"/>
  <c r="BT22" i="5" s="1"/>
  <c r="BN26" i="5"/>
  <c r="BM12" i="5"/>
  <c r="BM13" i="5"/>
  <c r="BW29" i="2" l="1"/>
  <c r="BX40" i="2"/>
  <c r="BX41" i="2"/>
  <c r="BX42" i="2" s="1"/>
  <c r="BT5" i="5"/>
  <c r="BN11" i="5"/>
  <c r="BO25" i="5" s="1"/>
  <c r="BX45" i="2" l="1"/>
  <c r="BX28" i="2"/>
  <c r="BX46" i="2"/>
  <c r="BX27" i="2"/>
  <c r="BX33" i="2" s="1"/>
  <c r="BT9" i="5"/>
  <c r="BU4" i="5"/>
  <c r="BU21" i="5" s="1"/>
  <c r="BU22" i="5" s="1"/>
  <c r="BT7" i="5"/>
  <c r="BT6" i="5"/>
  <c r="BO26" i="5"/>
  <c r="BN12" i="5"/>
  <c r="BN13" i="5"/>
  <c r="BY40" i="2" l="1"/>
  <c r="BY41" i="2"/>
  <c r="BX32" i="2"/>
  <c r="BX29" i="2"/>
  <c r="BU5" i="5"/>
  <c r="BU6" i="5" s="1"/>
  <c r="BO11" i="5"/>
  <c r="BP25" i="5" s="1"/>
  <c r="BY45" i="2" l="1"/>
  <c r="BY28" i="2"/>
  <c r="BY32" i="2" s="1"/>
  <c r="BY42" i="2"/>
  <c r="BY46" i="2"/>
  <c r="BY27" i="2"/>
  <c r="BY33" i="2" s="1"/>
  <c r="BV10" i="5"/>
  <c r="BU7" i="5"/>
  <c r="BP26" i="5"/>
  <c r="BO12" i="5"/>
  <c r="BO13" i="5"/>
  <c r="BZ40" i="2" l="1"/>
  <c r="BZ41" i="2"/>
  <c r="BY29" i="2"/>
  <c r="BU9" i="5"/>
  <c r="BV4" i="5"/>
  <c r="BP11" i="5"/>
  <c r="BQ25" i="5" s="1"/>
  <c r="BZ45" i="2" l="1"/>
  <c r="BZ28" i="2"/>
  <c r="BZ32" i="2" s="1"/>
  <c r="BZ46" i="2"/>
  <c r="BZ27" i="2"/>
  <c r="BZ33" i="2" s="1"/>
  <c r="BZ42" i="2"/>
  <c r="BW10" i="5"/>
  <c r="BV21" i="5"/>
  <c r="BV22" i="5" s="1"/>
  <c r="BQ26" i="5"/>
  <c r="BP12" i="5"/>
  <c r="BP13" i="5"/>
  <c r="CA40" i="2" l="1"/>
  <c r="CA41" i="2"/>
  <c r="CA42" i="2" s="1"/>
  <c r="BZ29" i="2"/>
  <c r="BV9" i="5"/>
  <c r="BV5" i="5"/>
  <c r="BQ11" i="5"/>
  <c r="BR25" i="5" s="1"/>
  <c r="CA45" i="2" l="1"/>
  <c r="CA28" i="2"/>
  <c r="CA32" i="2" s="1"/>
  <c r="CA46" i="2"/>
  <c r="CA27" i="2"/>
  <c r="CA33" i="2" s="1"/>
  <c r="BV7" i="5"/>
  <c r="BV6" i="5"/>
  <c r="BR26" i="5"/>
  <c r="BQ12" i="5"/>
  <c r="BQ13" i="5"/>
  <c r="CA29" i="2" l="1"/>
  <c r="CB40" i="2"/>
  <c r="CB41" i="2"/>
  <c r="BW4" i="5"/>
  <c r="BR11" i="5"/>
  <c r="BS25" i="5" s="1"/>
  <c r="CB45" i="2" l="1"/>
  <c r="CB28" i="2"/>
  <c r="CB42" i="2"/>
  <c r="CB46" i="2"/>
  <c r="CB27" i="2"/>
  <c r="CB33" i="2" s="1"/>
  <c r="BW21" i="5"/>
  <c r="BW22" i="5" s="1"/>
  <c r="BX10" i="5"/>
  <c r="BS26" i="5"/>
  <c r="BR13" i="5"/>
  <c r="BR12" i="5"/>
  <c r="CC40" i="2" l="1"/>
  <c r="CC41" i="2"/>
  <c r="CB32" i="2"/>
  <c r="CB29" i="2"/>
  <c r="BW9" i="5"/>
  <c r="BX4" i="5"/>
  <c r="BW5" i="5"/>
  <c r="BS11" i="5"/>
  <c r="BT25" i="5" s="1"/>
  <c r="CC45" i="2" l="1"/>
  <c r="CC28" i="2"/>
  <c r="CC32" i="2" s="1"/>
  <c r="CC42" i="2"/>
  <c r="CC46" i="2"/>
  <c r="CC27" i="2"/>
  <c r="CC33" i="2" s="1"/>
  <c r="BX21" i="5"/>
  <c r="BX22" i="5" s="1"/>
  <c r="BW7" i="5"/>
  <c r="BW6" i="5"/>
  <c r="BY10" i="5"/>
  <c r="BT26" i="5"/>
  <c r="BS12" i="5"/>
  <c r="BS13" i="5"/>
  <c r="CD40" i="2" l="1"/>
  <c r="CD41" i="2"/>
  <c r="CC29" i="2"/>
  <c r="BX5" i="5"/>
  <c r="BT11" i="5"/>
  <c r="BU25" i="5" s="1"/>
  <c r="CD45" i="2" l="1"/>
  <c r="CD28" i="2"/>
  <c r="CD32" i="2" s="1"/>
  <c r="CD46" i="2"/>
  <c r="CD27" i="2"/>
  <c r="CD33" i="2" s="1"/>
  <c r="CD42" i="2"/>
  <c r="BX7" i="5"/>
  <c r="BX6" i="5"/>
  <c r="BY4" i="5"/>
  <c r="BX9" i="5"/>
  <c r="BU26" i="5"/>
  <c r="BT12" i="5"/>
  <c r="BT13" i="5"/>
  <c r="CE40" i="2" l="1"/>
  <c r="CE41" i="2"/>
  <c r="CD29" i="2"/>
  <c r="BZ10" i="5"/>
  <c r="BY21" i="5"/>
  <c r="BY22" i="5" s="1"/>
  <c r="BU11" i="5"/>
  <c r="BV25" i="5" s="1"/>
  <c r="CE45" i="2" l="1"/>
  <c r="CE28" i="2"/>
  <c r="CE32" i="2" s="1"/>
  <c r="CE42" i="2"/>
  <c r="CE46" i="2"/>
  <c r="CE27" i="2"/>
  <c r="CE33" i="2" s="1"/>
  <c r="BY5" i="5"/>
  <c r="BY9" i="5"/>
  <c r="BV26" i="5"/>
  <c r="BU13" i="5"/>
  <c r="BU12" i="5"/>
  <c r="CF40" i="2" l="1"/>
  <c r="CF41" i="2"/>
  <c r="CF42" i="2" s="1"/>
  <c r="CE29" i="2"/>
  <c r="BY7" i="5"/>
  <c r="BY6" i="5"/>
  <c r="BV11" i="5"/>
  <c r="BW25" i="5" s="1"/>
  <c r="CF45" i="2" l="1"/>
  <c r="CF28" i="2"/>
  <c r="CF32" i="2" s="1"/>
  <c r="CF46" i="2"/>
  <c r="CF27" i="2"/>
  <c r="CF33" i="2" s="1"/>
  <c r="CA10" i="5"/>
  <c r="BZ4" i="5"/>
  <c r="BW26" i="5"/>
  <c r="BV13" i="5"/>
  <c r="BV12" i="5"/>
  <c r="CF29" i="2" l="1"/>
  <c r="CG40" i="2"/>
  <c r="CG41" i="2"/>
  <c r="BZ21" i="5"/>
  <c r="BZ22" i="5" s="1"/>
  <c r="BW11" i="5"/>
  <c r="BX25" i="5" s="1"/>
  <c r="CG45" i="2" l="1"/>
  <c r="CG28" i="2"/>
  <c r="CG32" i="2" s="1"/>
  <c r="CG42" i="2"/>
  <c r="CG46" i="2"/>
  <c r="CG27" i="2"/>
  <c r="CG33" i="2" s="1"/>
  <c r="BZ9" i="5"/>
  <c r="CA4" i="5"/>
  <c r="BZ5" i="5"/>
  <c r="BX26" i="5"/>
  <c r="BW12" i="5"/>
  <c r="BW13" i="5"/>
  <c r="CG29" i="2" l="1"/>
  <c r="CH40" i="2"/>
  <c r="CH41" i="2"/>
  <c r="CH42" i="2" s="1"/>
  <c r="CA21" i="5"/>
  <c r="CA22" i="5" s="1"/>
  <c r="BZ7" i="5"/>
  <c r="BZ6" i="5"/>
  <c r="CB10" i="5"/>
  <c r="BX11" i="5"/>
  <c r="BY25" i="5" s="1"/>
  <c r="CH45" i="2" l="1"/>
  <c r="CH28" i="2"/>
  <c r="CH46" i="2"/>
  <c r="CH27" i="2"/>
  <c r="CH33" i="2" s="1"/>
  <c r="CA5" i="5"/>
  <c r="BY26" i="5"/>
  <c r="BX13" i="5"/>
  <c r="BX12" i="5"/>
  <c r="CI40" i="2" l="1"/>
  <c r="CI41" i="2"/>
  <c r="CH32" i="2"/>
  <c r="CH29" i="2"/>
  <c r="CA7" i="5"/>
  <c r="CA6" i="5"/>
  <c r="CA9" i="5"/>
  <c r="CB4" i="5"/>
  <c r="CB21" i="5" s="1"/>
  <c r="CB22" i="5" s="1"/>
  <c r="BY11" i="5"/>
  <c r="BZ25" i="5" s="1"/>
  <c r="CI45" i="2" l="1"/>
  <c r="CI28" i="2"/>
  <c r="CI32" i="2" s="1"/>
  <c r="CI42" i="2"/>
  <c r="CI46" i="2"/>
  <c r="CI27" i="2"/>
  <c r="CI33" i="2" s="1"/>
  <c r="CB5" i="5"/>
  <c r="CB6" i="5" s="1"/>
  <c r="CC10" i="5"/>
  <c r="BZ26" i="5"/>
  <c r="BY13" i="5"/>
  <c r="BY12" i="5"/>
  <c r="CB9" i="5" l="1"/>
  <c r="CJ40" i="2"/>
  <c r="CJ41" i="2"/>
  <c r="CJ42" i="2" s="1"/>
  <c r="CI29" i="2"/>
  <c r="CB7" i="5"/>
  <c r="BZ11" i="5"/>
  <c r="CA25" i="5" s="1"/>
  <c r="CJ45" i="2" l="1"/>
  <c r="CJ28" i="2"/>
  <c r="CJ32" i="2" s="1"/>
  <c r="CJ46" i="2"/>
  <c r="CJ27" i="2"/>
  <c r="CJ33" i="2" s="1"/>
  <c r="CA26" i="5"/>
  <c r="BZ12" i="5"/>
  <c r="BZ13" i="5"/>
  <c r="CK40" i="2" l="1"/>
  <c r="CK41" i="2"/>
  <c r="CJ29" i="2"/>
  <c r="CC4" i="5"/>
  <c r="CD10" i="5"/>
  <c r="CA11" i="5"/>
  <c r="CB25" i="5" s="1"/>
  <c r="CK45" i="2" l="1"/>
  <c r="CK28" i="2"/>
  <c r="CK32" i="2" s="1"/>
  <c r="CK42" i="2"/>
  <c r="CK46" i="2"/>
  <c r="CK27" i="2"/>
  <c r="CK33" i="2" s="1"/>
  <c r="CC21" i="5"/>
  <c r="CC22" i="5" s="1"/>
  <c r="CB26" i="5"/>
  <c r="CA12" i="5"/>
  <c r="CA13" i="5"/>
  <c r="CL40" i="2" l="1"/>
  <c r="CL41" i="2"/>
  <c r="CK29" i="2"/>
  <c r="CC5" i="5"/>
  <c r="CC9" i="5"/>
  <c r="CD4" i="5"/>
  <c r="CB11" i="5"/>
  <c r="CC25" i="5" s="1"/>
  <c r="CL45" i="2" l="1"/>
  <c r="CL28" i="2"/>
  <c r="CL32" i="2" s="1"/>
  <c r="CL46" i="2"/>
  <c r="CL27" i="2"/>
  <c r="CL33" i="2" s="1"/>
  <c r="CL42" i="2"/>
  <c r="CD21" i="5"/>
  <c r="CD22" i="5" s="1"/>
  <c r="CC7" i="5"/>
  <c r="CC6" i="5"/>
  <c r="CE10" i="5"/>
  <c r="CC26" i="5"/>
  <c r="CB13" i="5"/>
  <c r="CB12" i="5"/>
  <c r="CM40" i="2" l="1"/>
  <c r="CM41" i="2"/>
  <c r="CM42" i="2" s="1"/>
  <c r="CL29" i="2"/>
  <c r="CD5" i="5"/>
  <c r="CC11" i="5"/>
  <c r="CD25" i="5" s="1"/>
  <c r="CM46" i="2" l="1"/>
  <c r="CM27" i="2"/>
  <c r="CM33" i="2" s="1"/>
  <c r="CM45" i="2"/>
  <c r="CM28" i="2"/>
  <c r="CM32" i="2" s="1"/>
  <c r="CE4" i="5"/>
  <c r="CD7" i="5"/>
  <c r="CD6" i="5"/>
  <c r="CD9" i="5"/>
  <c r="CD26" i="5"/>
  <c r="CC12" i="5"/>
  <c r="CC13" i="5"/>
  <c r="CM29" i="2" l="1"/>
  <c r="CN40" i="2"/>
  <c r="CN41" i="2"/>
  <c r="CE21" i="5"/>
  <c r="CE22" i="5" s="1"/>
  <c r="CF10" i="5"/>
  <c r="CD11" i="5"/>
  <c r="CE25" i="5" s="1"/>
  <c r="CN45" i="2" l="1"/>
  <c r="CN28" i="2"/>
  <c r="CN42" i="2"/>
  <c r="CN46" i="2"/>
  <c r="CN27" i="2"/>
  <c r="CN33" i="2" s="1"/>
  <c r="CE5" i="5"/>
  <c r="CE26" i="5"/>
  <c r="CD12" i="5"/>
  <c r="CD13" i="5"/>
  <c r="CO40" i="2" l="1"/>
  <c r="CO41" i="2"/>
  <c r="CO42" i="2" s="1"/>
  <c r="CN32" i="2"/>
  <c r="CN29" i="2"/>
  <c r="CE9" i="5"/>
  <c r="CF4" i="5"/>
  <c r="CE7" i="5"/>
  <c r="CE6" i="5"/>
  <c r="CE11" i="5"/>
  <c r="CF25" i="5" s="1"/>
  <c r="CO45" i="2" l="1"/>
  <c r="CO28" i="2"/>
  <c r="CO32" i="2" s="1"/>
  <c r="CO46" i="2"/>
  <c r="CO27" i="2"/>
  <c r="CO33" i="2" s="1"/>
  <c r="CF21" i="5"/>
  <c r="CF22" i="5" s="1"/>
  <c r="CG10" i="5"/>
  <c r="CF26" i="5"/>
  <c r="CE12" i="5"/>
  <c r="CE13" i="5"/>
  <c r="CO29" i="2" l="1"/>
  <c r="CP40" i="2"/>
  <c r="CP41" i="2"/>
  <c r="CF5" i="5"/>
  <c r="CF11" i="5"/>
  <c r="CG25" i="5" s="1"/>
  <c r="CP45" i="2" l="1"/>
  <c r="CP28" i="2"/>
  <c r="CP42" i="2"/>
  <c r="CP46" i="2"/>
  <c r="CP27" i="2"/>
  <c r="CP33" i="2" s="1"/>
  <c r="CF9" i="5"/>
  <c r="CF13" i="5" s="1"/>
  <c r="CG4" i="5"/>
  <c r="CF7" i="5"/>
  <c r="CF6" i="5"/>
  <c r="CG26" i="5"/>
  <c r="CF12" i="5"/>
  <c r="CQ40" i="2" l="1"/>
  <c r="CQ41" i="2"/>
  <c r="CQ42" i="2" s="1"/>
  <c r="CP32" i="2"/>
  <c r="CP29" i="2"/>
  <c r="CG21" i="5"/>
  <c r="CG22" i="5" s="1"/>
  <c r="CH10" i="5"/>
  <c r="CG11" i="5"/>
  <c r="CQ45" i="2" l="1"/>
  <c r="CQ28" i="2"/>
  <c r="CQ32" i="2" s="1"/>
  <c r="CQ46" i="2"/>
  <c r="CQ27" i="2"/>
  <c r="CQ33" i="2" s="1"/>
  <c r="CH25" i="5"/>
  <c r="CH26" i="5" s="1"/>
  <c r="CG5" i="5"/>
  <c r="CG12" i="5"/>
  <c r="CQ29" i="2" l="1"/>
  <c r="CR40" i="2"/>
  <c r="CR41" i="2"/>
  <c r="CG9" i="5"/>
  <c r="CG13" i="5" s="1"/>
  <c r="CH4" i="5"/>
  <c r="CH21" i="5" s="1"/>
  <c r="CH22" i="5" s="1"/>
  <c r="CH5" i="5" s="1"/>
  <c r="CH7" i="5" s="1"/>
  <c r="CG7" i="5"/>
  <c r="CG6" i="5"/>
  <c r="CH11" i="5"/>
  <c r="CR45" i="2" l="1"/>
  <c r="CR28" i="2"/>
  <c r="CR42" i="2"/>
  <c r="CR46" i="2"/>
  <c r="CR27" i="2"/>
  <c r="CR33" i="2" s="1"/>
  <c r="CH6" i="5"/>
  <c r="CI10" i="5"/>
  <c r="CI25" i="5" s="1"/>
  <c r="CI26" i="5" s="1"/>
  <c r="CH12" i="5"/>
  <c r="CS40" i="2" l="1"/>
  <c r="CS41" i="2"/>
  <c r="CR32" i="2"/>
  <c r="CR29" i="2"/>
  <c r="CH9" i="5"/>
  <c r="CH13" i="5" s="1"/>
  <c r="CI11" i="5"/>
  <c r="CS45" i="2" l="1"/>
  <c r="CS28" i="2"/>
  <c r="CS32" i="2" s="1"/>
  <c r="CS46" i="2"/>
  <c r="CS27" i="2"/>
  <c r="CS33" i="2" s="1"/>
  <c r="CS42" i="2"/>
  <c r="CI12" i="5"/>
  <c r="CT40" i="2" l="1"/>
  <c r="CT41" i="2"/>
  <c r="CT42" i="2" s="1"/>
  <c r="CS29" i="2"/>
  <c r="CJ10" i="5"/>
  <c r="CJ25" i="5" s="1"/>
  <c r="CJ26" i="5" s="1"/>
  <c r="CJ11" i="5" s="1"/>
  <c r="CI4" i="5"/>
  <c r="CT45" i="2" l="1"/>
  <c r="CT28" i="2"/>
  <c r="CT32" i="2" s="1"/>
  <c r="CT46" i="2"/>
  <c r="CT27" i="2"/>
  <c r="CT33" i="2" s="1"/>
  <c r="CI21" i="5"/>
  <c r="CI22" i="5" s="1"/>
  <c r="CI5" i="5" s="1"/>
  <c r="CI7" i="5" s="1"/>
  <c r="CJ12" i="5"/>
  <c r="CT29" i="2" l="1"/>
  <c r="CU40" i="2"/>
  <c r="CU41" i="2"/>
  <c r="CI6" i="5"/>
  <c r="CJ4" i="5"/>
  <c r="CI9" i="5"/>
  <c r="CI13" i="5" s="1"/>
  <c r="CU46" i="2" l="1"/>
  <c r="CU27" i="2"/>
  <c r="CU33" i="2" s="1"/>
  <c r="CU45" i="2"/>
  <c r="CU28" i="2"/>
  <c r="CU42" i="2"/>
  <c r="CK10" i="5"/>
  <c r="CK25" i="5" s="1"/>
  <c r="CK26" i="5" s="1"/>
  <c r="CK11" i="5" s="1"/>
  <c r="CJ21" i="5"/>
  <c r="CJ22" i="5" s="1"/>
  <c r="CJ5" i="5" s="1"/>
  <c r="CJ7" i="5" s="1"/>
  <c r="CU32" i="2" l="1"/>
  <c r="CU29" i="2"/>
  <c r="CV40" i="2"/>
  <c r="CV41" i="2"/>
  <c r="CV42" i="2" s="1"/>
  <c r="CK12" i="5"/>
  <c r="CJ6" i="5"/>
  <c r="CV46" i="2" l="1"/>
  <c r="CV27" i="2"/>
  <c r="CV33" i="2" s="1"/>
  <c r="CV45" i="2"/>
  <c r="CV28" i="2"/>
  <c r="CV32" i="2" s="1"/>
  <c r="CJ9" i="5"/>
  <c r="CJ13" i="5" s="1"/>
  <c r="CK4" i="5"/>
  <c r="CV29" i="2" l="1"/>
  <c r="CW40" i="2"/>
  <c r="CW41" i="2"/>
  <c r="CK21" i="5"/>
  <c r="CK22" i="5" s="1"/>
  <c r="CK5" i="5" s="1"/>
  <c r="CK7" i="5" s="1"/>
  <c r="CL10" i="5"/>
  <c r="CW45" i="2" l="1"/>
  <c r="CW28" i="2"/>
  <c r="CW32" i="2" s="1"/>
  <c r="CW42" i="2"/>
  <c r="CW46" i="2"/>
  <c r="CW27" i="2"/>
  <c r="CW33" i="2" s="1"/>
  <c r="CK6" i="5"/>
  <c r="CL25" i="5"/>
  <c r="CL26" i="5" s="1"/>
  <c r="CW29" i="2" l="1"/>
  <c r="CK9" i="5"/>
  <c r="CK13" i="5" s="1"/>
  <c r="CL4" i="5"/>
  <c r="CL11" i="5"/>
  <c r="CM10" i="5" l="1"/>
  <c r="CL21" i="5"/>
  <c r="CL22" i="5" s="1"/>
  <c r="CL5" i="5" s="1"/>
  <c r="CL7" i="5" s="1"/>
  <c r="CL12" i="5"/>
  <c r="CL6" i="5" l="1"/>
  <c r="CM25" i="5"/>
  <c r="CM26" i="5" s="1"/>
  <c r="CM4" i="5" l="1"/>
  <c r="CL9" i="5"/>
  <c r="CL13" i="5" s="1"/>
  <c r="CM11" i="5"/>
  <c r="CN10" i="5" l="1"/>
  <c r="CN25" i="5" s="1"/>
  <c r="CN26" i="5" s="1"/>
  <c r="CM21" i="5"/>
  <c r="CM22" i="5" s="1"/>
  <c r="CM5" i="5" s="1"/>
  <c r="CM7" i="5" s="1"/>
  <c r="CM12" i="5"/>
  <c r="CM6" i="5" l="1"/>
  <c r="CN11" i="5"/>
  <c r="CN12" i="5" s="1"/>
  <c r="CM9" i="5" l="1"/>
  <c r="CM13" i="5" s="1"/>
  <c r="CN4" i="5"/>
  <c r="CO10" i="5" l="1"/>
  <c r="CN21" i="5"/>
  <c r="CN22" i="5" s="1"/>
  <c r="CN5" i="5" s="1"/>
  <c r="CN7" i="5" s="1"/>
  <c r="CN6" i="5" l="1"/>
  <c r="CN9" i="5"/>
  <c r="CN13" i="5" s="1"/>
  <c r="CO25" i="5"/>
  <c r="CO26" i="5" s="1"/>
  <c r="CO11" i="5" l="1"/>
  <c r="CP10" i="5" l="1"/>
  <c r="CP25" i="5" s="1"/>
  <c r="CP26" i="5" s="1"/>
  <c r="CO12" i="5"/>
  <c r="CO4" i="5"/>
  <c r="CO21" i="5" l="1"/>
  <c r="CO22" i="5" s="1"/>
  <c r="CO5" i="5" s="1"/>
  <c r="CO7" i="5" s="1"/>
  <c r="CP11" i="5"/>
  <c r="CP12" i="5" s="1"/>
  <c r="CP4" i="5" l="1"/>
  <c r="CO9" i="5"/>
  <c r="CO13" i="5" s="1"/>
  <c r="CO6" i="5"/>
  <c r="CP21" i="5" l="1"/>
  <c r="CP22" i="5" s="1"/>
  <c r="CP5" i="5" s="1"/>
  <c r="CP7" i="5" s="1"/>
  <c r="CQ10" i="5"/>
  <c r="CP9" i="5" l="1"/>
  <c r="CP13" i="5" s="1"/>
  <c r="CP6" i="5"/>
  <c r="CQ25" i="5"/>
  <c r="CQ26" i="5" s="1"/>
  <c r="CQ11" i="5" l="1"/>
  <c r="CQ12" i="5" l="1"/>
  <c r="CR10" i="5"/>
  <c r="CQ4" i="5"/>
  <c r="CQ21" i="5" l="1"/>
  <c r="CQ22" i="5" s="1"/>
  <c r="CQ5" i="5" s="1"/>
  <c r="CQ7" i="5" s="1"/>
  <c r="CR25" i="5"/>
  <c r="CR26" i="5" s="1"/>
  <c r="CQ6" i="5" l="1"/>
  <c r="CR4" i="5"/>
  <c r="CQ9" i="5"/>
  <c r="CQ13" i="5" s="1"/>
  <c r="CR11" i="5"/>
  <c r="CS10" i="5" l="1"/>
  <c r="CR21" i="5"/>
  <c r="CR22" i="5" s="1"/>
  <c r="CR5" i="5" s="1"/>
  <c r="CR7" i="5" s="1"/>
  <c r="CR12" i="5"/>
  <c r="CR6" i="5" l="1"/>
  <c r="CS25" i="5"/>
  <c r="CS26" i="5" s="1"/>
  <c r="CR9" i="5" l="1"/>
  <c r="CR13" i="5" s="1"/>
  <c r="CS4" i="5"/>
  <c r="CS11" i="5"/>
  <c r="CT10" i="5" l="1"/>
  <c r="CT25" i="5" s="1"/>
  <c r="CT26" i="5" s="1"/>
  <c r="CS21" i="5"/>
  <c r="CS22" i="5" s="1"/>
  <c r="CS5" i="5" s="1"/>
  <c r="CS7" i="5" s="1"/>
  <c r="CS12" i="5"/>
  <c r="CS6" i="5" l="1"/>
  <c r="CT11" i="5"/>
  <c r="CT12" i="5" s="1"/>
  <c r="CS9" i="5" l="1"/>
  <c r="CS13" i="5" s="1"/>
  <c r="CT4" i="5"/>
  <c r="CU10" i="5" l="1"/>
  <c r="CT21" i="5"/>
  <c r="CT22" i="5" s="1"/>
  <c r="CT5" i="5" s="1"/>
  <c r="CT7" i="5" s="1"/>
  <c r="CT6" i="5" l="1"/>
  <c r="CT9" i="5"/>
  <c r="CT13" i="5" s="1"/>
  <c r="CU25" i="5"/>
  <c r="CU26" i="5" s="1"/>
  <c r="CU11" i="5" l="1"/>
  <c r="CU4" i="5" l="1"/>
  <c r="CV10" i="5"/>
  <c r="CU12" i="5"/>
  <c r="CV25" i="5" l="1"/>
  <c r="CV26" i="5" s="1"/>
  <c r="CU21" i="5"/>
  <c r="CU22" i="5" s="1"/>
  <c r="CU5" i="5" s="1"/>
  <c r="CU7" i="5" s="1"/>
  <c r="CU9" i="5" l="1"/>
  <c r="CU13" i="5" s="1"/>
  <c r="CV4" i="5"/>
  <c r="CU6" i="5"/>
  <c r="CV11" i="5"/>
  <c r="CV12" i="5" l="1"/>
  <c r="CV21" i="5"/>
  <c r="CV22" i="5" s="1"/>
  <c r="CV5" i="5" s="1"/>
  <c r="CV7" i="5" s="1"/>
  <c r="CW10" i="5"/>
  <c r="CW25" i="5" s="1"/>
  <c r="CW26" i="5" s="1"/>
  <c r="CW11" i="5" l="1"/>
  <c r="CW12" i="5" s="1"/>
  <c r="CV6" i="5"/>
  <c r="CV9" i="5"/>
  <c r="CV13" i="5" s="1"/>
  <c r="CW4" i="5" l="1"/>
  <c r="CX10" i="5"/>
  <c r="CW21" i="5" l="1"/>
  <c r="CW22" i="5" s="1"/>
  <c r="CW5" i="5" s="1"/>
  <c r="CW7" i="5" s="1"/>
  <c r="CX25" i="5"/>
  <c r="CX26" i="5" s="1"/>
  <c r="CW6" i="5" l="1"/>
  <c r="CW9" i="5"/>
  <c r="CW13" i="5" s="1"/>
  <c r="CX4" i="5"/>
  <c r="CX11" i="5"/>
  <c r="CX12" i="5" l="1"/>
  <c r="CY10" i="5"/>
  <c r="CY25" i="5" s="1"/>
  <c r="CY26" i="5" s="1"/>
  <c r="CX21" i="5"/>
  <c r="CX22" i="5" s="1"/>
  <c r="CX5" i="5" s="1"/>
  <c r="CX7" i="5" s="1"/>
  <c r="CY11" i="5" l="1"/>
  <c r="CY12" i="5" s="1"/>
  <c r="CX6" i="5"/>
  <c r="CY4" i="5" l="1"/>
  <c r="CX9" i="5"/>
  <c r="CX13" i="5" s="1"/>
  <c r="CY21" i="5" l="1"/>
  <c r="CY22" i="5" s="1"/>
  <c r="CY5" i="5" s="1"/>
  <c r="CY7" i="5" s="1"/>
  <c r="CZ10" i="5"/>
  <c r="CY6" i="5" l="1"/>
  <c r="CZ25" i="5"/>
  <c r="CZ26" i="5" s="1"/>
  <c r="CZ11" i="5" l="1"/>
  <c r="CZ4" i="5"/>
  <c r="CY9" i="5"/>
  <c r="CY13" i="5" s="1"/>
  <c r="CZ12" i="5" l="1"/>
  <c r="CZ21" i="5"/>
  <c r="CZ22" i="5" s="1"/>
  <c r="CZ5" i="5" s="1"/>
  <c r="CZ7" i="5" s="1"/>
  <c r="DA10" i="5"/>
  <c r="CZ6" i="5" l="1"/>
  <c r="DA25" i="5"/>
  <c r="DA26" i="5" s="1"/>
  <c r="CZ9" i="5" l="1"/>
  <c r="CZ13" i="5" s="1"/>
  <c r="DA11" i="5"/>
  <c r="DA4" i="5"/>
  <c r="DA21" i="5" l="1"/>
  <c r="DA22" i="5" s="1"/>
  <c r="DA5" i="5" s="1"/>
  <c r="DA7" i="5" s="1"/>
  <c r="DA12" i="5"/>
  <c r="DB10" i="5"/>
  <c r="DB25" i="5" s="1"/>
  <c r="DB26" i="5" s="1"/>
  <c r="DB11" i="5" l="1"/>
  <c r="DB12" i="5" s="1"/>
  <c r="DA6" i="5"/>
  <c r="DA9" i="5"/>
  <c r="DA13" i="5" s="1"/>
  <c r="DC10" i="5" l="1"/>
  <c r="DB4" i="5"/>
  <c r="DC25" i="5" l="1"/>
  <c r="DC26" i="5" s="1"/>
  <c r="DB21" i="5"/>
  <c r="DB22" i="5" s="1"/>
  <c r="DB5" i="5" s="1"/>
  <c r="DB7" i="5" s="1"/>
  <c r="DB9" i="5" l="1"/>
  <c r="DB13" i="5" s="1"/>
  <c r="DC11" i="5"/>
  <c r="DB6" i="5"/>
  <c r="DC4" i="5"/>
  <c r="DC12" i="5" l="1"/>
  <c r="DC21" i="5"/>
  <c r="DC22" i="5" s="1"/>
  <c r="DC5" i="5" s="1"/>
  <c r="DC7" i="5" s="1"/>
  <c r="DD10" i="5"/>
  <c r="DC6" i="5" l="1"/>
  <c r="DC9" i="5"/>
  <c r="DC13" i="5" s="1"/>
  <c r="DD25" i="5"/>
  <c r="DD26" i="5" s="1"/>
  <c r="DD11" i="5" l="1"/>
  <c r="DD4" i="5" l="1"/>
  <c r="DE10" i="5"/>
  <c r="DE25" i="5" s="1"/>
  <c r="DE26" i="5" s="1"/>
  <c r="DD12" i="5"/>
  <c r="DE11" i="5" l="1"/>
  <c r="DE12" i="5" s="1"/>
  <c r="DD21" i="5"/>
  <c r="DD22" i="5" s="1"/>
  <c r="DD5" i="5" s="1"/>
  <c r="DD7" i="5" s="1"/>
  <c r="DD6" i="5" l="1"/>
  <c r="DE4" i="5"/>
  <c r="DD9" i="5"/>
  <c r="DD13" i="5" s="1"/>
  <c r="DF10" i="5" l="1"/>
  <c r="DE21" i="5"/>
  <c r="DE22" i="5" s="1"/>
  <c r="DE5" i="5" s="1"/>
  <c r="DE7" i="5" s="1"/>
  <c r="DE6" i="5" l="1"/>
  <c r="DF25" i="5"/>
  <c r="DF26" i="5" s="1"/>
  <c r="DF4" i="5" l="1"/>
  <c r="DE9" i="5"/>
  <c r="DE13" i="5" s="1"/>
  <c r="DF11" i="5"/>
  <c r="DF21" i="5" l="1"/>
  <c r="DF22" i="5" s="1"/>
  <c r="DF5" i="5" s="1"/>
  <c r="DF7" i="5" s="1"/>
  <c r="DG10" i="5"/>
  <c r="DF12" i="5"/>
  <c r="DF6" i="5" l="1"/>
  <c r="DG25" i="5"/>
  <c r="DG26" i="5" s="1"/>
  <c r="DF9" i="5" l="1"/>
  <c r="DF13" i="5" s="1"/>
  <c r="DG4" i="5"/>
  <c r="DG11" i="5"/>
  <c r="DH10" i="5" l="1"/>
  <c r="DH25" i="5" s="1"/>
  <c r="DH26" i="5" s="1"/>
  <c r="DG12" i="5"/>
  <c r="DG21" i="5"/>
  <c r="DG22" i="5" s="1"/>
  <c r="DG5" i="5" s="1"/>
  <c r="DG7" i="5" s="1"/>
  <c r="DG6" i="5" l="1"/>
  <c r="DH11" i="5"/>
  <c r="DG9" i="5"/>
  <c r="DG13" i="5" s="1"/>
  <c r="DH12" i="5" l="1"/>
  <c r="DI10" i="5" l="1"/>
  <c r="DH4" i="5"/>
  <c r="DH21" i="5" l="1"/>
  <c r="DH22" i="5" s="1"/>
  <c r="DH5" i="5" s="1"/>
  <c r="DH7" i="5" s="1"/>
  <c r="DI25" i="5"/>
  <c r="DI26" i="5" s="1"/>
  <c r="DH6" i="5" l="1"/>
  <c r="DI11" i="5"/>
  <c r="DH9" i="5"/>
  <c r="DH13" i="5" s="1"/>
  <c r="DI4" i="5"/>
  <c r="DI21" i="5" l="1"/>
  <c r="DI22" i="5" s="1"/>
  <c r="DI5" i="5" s="1"/>
  <c r="DI7" i="5" s="1"/>
  <c r="DI12" i="5"/>
  <c r="DJ10" i="5"/>
  <c r="DI9" i="5" l="1"/>
  <c r="DI13" i="5" s="1"/>
  <c r="DI6" i="5"/>
  <c r="DJ25" i="5"/>
  <c r="DJ26" i="5" s="1"/>
  <c r="DJ11" i="5" l="1"/>
  <c r="DJ12" i="5" l="1"/>
  <c r="DK10" i="5"/>
  <c r="DJ4" i="5"/>
  <c r="DJ21" i="5" l="1"/>
  <c r="DJ22" i="5" s="1"/>
  <c r="DJ5" i="5" s="1"/>
  <c r="DJ7" i="5" s="1"/>
  <c r="DK25" i="5"/>
  <c r="DK26" i="5" s="1"/>
  <c r="DJ6" i="5" l="1"/>
  <c r="DK4" i="5"/>
  <c r="DJ9" i="5"/>
  <c r="DJ13" i="5" s="1"/>
  <c r="DK11" i="5"/>
  <c r="DK21" i="5" l="1"/>
  <c r="DK22" i="5" s="1"/>
  <c r="DK5" i="5" s="1"/>
  <c r="DK7" i="5" s="1"/>
  <c r="DK12" i="5"/>
  <c r="DL10" i="5"/>
  <c r="DK6" i="5" l="1"/>
  <c r="DL25" i="5"/>
  <c r="DL26" i="5" s="1"/>
  <c r="DL11" i="5" l="1"/>
  <c r="DK9" i="5"/>
  <c r="DK13" i="5" s="1"/>
  <c r="DL4" i="5"/>
  <c r="DL12" i="5" l="1"/>
  <c r="DL21" i="5"/>
  <c r="DL22" i="5" s="1"/>
  <c r="DL5" i="5" s="1"/>
  <c r="DL7" i="5" s="1"/>
  <c r="DM10" i="5"/>
  <c r="DL9" i="5" l="1"/>
  <c r="DL13" i="5" s="1"/>
  <c r="DL6" i="5"/>
  <c r="DM25" i="5"/>
  <c r="DM26" i="5" s="1"/>
  <c r="DM11" i="5" l="1"/>
  <c r="DM12" i="5" l="1"/>
  <c r="DM4" i="5"/>
  <c r="DN10" i="5"/>
  <c r="DM21" i="5" l="1"/>
  <c r="DM22" i="5" s="1"/>
  <c r="DM5" i="5" s="1"/>
  <c r="DM7" i="5" s="1"/>
  <c r="DN25" i="5"/>
  <c r="DN26" i="5" s="1"/>
  <c r="DM6" i="5" l="1"/>
  <c r="DN4" i="5"/>
  <c r="DM9" i="5"/>
  <c r="DM13" i="5" s="1"/>
  <c r="DN11" i="5"/>
  <c r="DN12" i="5" l="1"/>
  <c r="DN21" i="5"/>
  <c r="DN22" i="5" s="1"/>
  <c r="DN5" i="5" s="1"/>
  <c r="DN7" i="5" s="1"/>
  <c r="DO10" i="5"/>
  <c r="DN9" i="5" l="1"/>
  <c r="DN13" i="5" s="1"/>
  <c r="DN6" i="5"/>
  <c r="DO25" i="5"/>
  <c r="DO26" i="5" s="1"/>
  <c r="DO11" i="5" l="1"/>
  <c r="DO4" i="5" l="1"/>
  <c r="DO12" i="5"/>
  <c r="DP10" i="5"/>
  <c r="DO21" i="5" l="1"/>
  <c r="DO22" i="5" s="1"/>
  <c r="DO5" i="5" s="1"/>
  <c r="DO7" i="5" s="1"/>
  <c r="DP25" i="5"/>
  <c r="DP26" i="5" s="1"/>
  <c r="DO6" i="5" l="1"/>
  <c r="DO9" i="5"/>
  <c r="DO13" i="5" s="1"/>
  <c r="DP4" i="5"/>
  <c r="DP11" i="5"/>
  <c r="DP9" i="5" l="1"/>
  <c r="DP13" i="5" s="1"/>
  <c r="DP12" i="5"/>
  <c r="DP21" i="5"/>
  <c r="DP22" i="5" s="1"/>
  <c r="DP5" i="5" s="1"/>
  <c r="DP7" i="5" s="1"/>
  <c r="DQ10" i="5"/>
  <c r="DP6" i="5" l="1"/>
  <c r="A16" i="7" a="1"/>
  <c r="DQ25" i="5"/>
  <c r="DQ26" i="5" s="1"/>
  <c r="DQ11" i="5" s="1"/>
  <c r="DQ12" i="5" s="1"/>
  <c r="G16" i="7" l="1"/>
  <c r="G23" i="7"/>
  <c r="D28" i="7"/>
  <c r="C33" i="7"/>
  <c r="H37" i="7"/>
  <c r="E42" i="7"/>
  <c r="E47" i="7"/>
  <c r="C52" i="7"/>
  <c r="H56" i="7"/>
  <c r="H60" i="7"/>
  <c r="D64" i="7"/>
  <c r="H67" i="7"/>
  <c r="D71" i="7"/>
  <c r="A74" i="7"/>
  <c r="F76" i="7"/>
  <c r="D79" i="7"/>
  <c r="H81" i="7"/>
  <c r="H83" i="7"/>
  <c r="H85" i="7"/>
  <c r="H87" i="7"/>
  <c r="H89" i="7"/>
  <c r="H91" i="7"/>
  <c r="D22" i="7"/>
  <c r="E27" i="7"/>
  <c r="D32" i="7"/>
  <c r="A37" i="7"/>
  <c r="G41" i="7"/>
  <c r="E46" i="7"/>
  <c r="C51" i="7"/>
  <c r="H55" i="7"/>
  <c r="C60" i="7"/>
  <c r="G63" i="7"/>
  <c r="C67" i="7"/>
  <c r="H70" i="7"/>
  <c r="E73" i="7"/>
  <c r="B76" i="7"/>
  <c r="H78" i="7"/>
  <c r="E81" i="7"/>
  <c r="E83" i="7"/>
  <c r="E85" i="7"/>
  <c r="E87" i="7"/>
  <c r="E89" i="7"/>
  <c r="E91" i="7"/>
  <c r="D24" i="7"/>
  <c r="G33" i="7"/>
  <c r="C43" i="7"/>
  <c r="H52" i="7"/>
  <c r="C61" i="7"/>
  <c r="D68" i="7"/>
  <c r="D74" i="7"/>
  <c r="F79" i="7"/>
  <c r="B84" i="7"/>
  <c r="B88" i="7"/>
  <c r="B92" i="7"/>
  <c r="B94" i="7"/>
  <c r="B96" i="7"/>
  <c r="B98" i="7"/>
  <c r="B100" i="7"/>
  <c r="B102" i="7"/>
  <c r="B104" i="7"/>
  <c r="B106" i="7"/>
  <c r="B108" i="7"/>
  <c r="B110" i="7"/>
  <c r="B112" i="7"/>
  <c r="D21" i="7"/>
  <c r="G31" i="7"/>
  <c r="C41" i="7"/>
  <c r="E50" i="7"/>
  <c r="G59" i="7"/>
  <c r="H66" i="7"/>
  <c r="B73" i="7"/>
  <c r="E78" i="7"/>
  <c r="C83" i="7"/>
  <c r="C87" i="7"/>
  <c r="C91" i="7"/>
  <c r="G93" i="7"/>
  <c r="G95" i="7"/>
  <c r="G97" i="7"/>
  <c r="G99" i="7"/>
  <c r="G101" i="7"/>
  <c r="G103" i="7"/>
  <c r="G105" i="7"/>
  <c r="G107" i="7"/>
  <c r="D18" i="7"/>
  <c r="H24" i="7"/>
  <c r="G29" i="7"/>
  <c r="D34" i="7"/>
  <c r="A39" i="7"/>
  <c r="H43" i="7"/>
  <c r="E48" i="7"/>
  <c r="C53" i="7"/>
  <c r="C58" i="7"/>
  <c r="G61" i="7"/>
  <c r="C65" i="7"/>
  <c r="H68" i="7"/>
  <c r="A72" i="7"/>
  <c r="F74" i="7"/>
  <c r="D77" i="7"/>
  <c r="A80" i="7"/>
  <c r="D82" i="7"/>
  <c r="D84" i="7"/>
  <c r="D86" i="7"/>
  <c r="D88" i="7"/>
  <c r="D90" i="7"/>
  <c r="H16" i="7"/>
  <c r="H23" i="7"/>
  <c r="H28" i="7"/>
  <c r="E33" i="7"/>
  <c r="C38" i="7"/>
  <c r="A43" i="7"/>
  <c r="G47" i="7"/>
  <c r="D52" i="7"/>
  <c r="C57" i="7"/>
  <c r="A61" i="7"/>
  <c r="E64" i="7"/>
  <c r="C68" i="7"/>
  <c r="E71" i="7"/>
  <c r="B74" i="7"/>
  <c r="H76" i="7"/>
  <c r="E79" i="7"/>
  <c r="A82" i="7"/>
  <c r="A84" i="7"/>
  <c r="A86" i="7"/>
  <c r="A88" i="7"/>
  <c r="A90" i="7"/>
  <c r="A92" i="7"/>
  <c r="E26" i="7"/>
  <c r="C36" i="7"/>
  <c r="G45" i="7"/>
  <c r="A55" i="7"/>
  <c r="A63" i="7"/>
  <c r="C70" i="7"/>
  <c r="F75" i="7"/>
  <c r="A81" i="7"/>
  <c r="B85" i="7"/>
  <c r="B89" i="7"/>
  <c r="F92" i="7"/>
  <c r="F94" i="7"/>
  <c r="F96" i="7"/>
  <c r="F98" i="7"/>
  <c r="F100" i="7"/>
  <c r="F102" i="7"/>
  <c r="F104" i="7"/>
  <c r="F106" i="7"/>
  <c r="F108" i="7"/>
  <c r="F110" i="7"/>
  <c r="F112" i="7"/>
  <c r="E24" i="7"/>
  <c r="C34" i="7"/>
  <c r="E43" i="7"/>
  <c r="A53" i="7"/>
  <c r="E61" i="7"/>
  <c r="E68" i="7"/>
  <c r="E74" i="7"/>
  <c r="H79" i="7"/>
  <c r="C84" i="7"/>
  <c r="C88" i="7"/>
  <c r="C92" i="7"/>
  <c r="C94" i="7"/>
  <c r="C96" i="7"/>
  <c r="C98" i="7"/>
  <c r="C100" i="7"/>
  <c r="C102" i="7"/>
  <c r="C104" i="7"/>
  <c r="C106" i="7"/>
  <c r="H19" i="7"/>
  <c r="C26" i="7"/>
  <c r="H30" i="7"/>
  <c r="E35" i="7"/>
  <c r="D40" i="7"/>
  <c r="A45" i="7"/>
  <c r="G49" i="7"/>
  <c r="E54" i="7"/>
  <c r="A59" i="7"/>
  <c r="E62" i="7"/>
  <c r="C66" i="7"/>
  <c r="G69" i="7"/>
  <c r="F72" i="7"/>
  <c r="D75" i="7"/>
  <c r="A78" i="7"/>
  <c r="F80" i="7"/>
  <c r="H82" i="7"/>
  <c r="H84" i="7"/>
  <c r="H86" i="7"/>
  <c r="H88" i="7"/>
  <c r="H90" i="7"/>
  <c r="G18" i="7"/>
  <c r="C25" i="7"/>
  <c r="H29" i="7"/>
  <c r="E34" i="7"/>
  <c r="E39" i="7"/>
  <c r="C44" i="7"/>
  <c r="H48" i="7"/>
  <c r="G53" i="7"/>
  <c r="D58" i="7"/>
  <c r="H61" i="7"/>
  <c r="E65" i="7"/>
  <c r="A69" i="7"/>
  <c r="B72" i="7"/>
  <c r="H74" i="7"/>
  <c r="E77" i="7"/>
  <c r="B80" i="7"/>
  <c r="E82" i="7"/>
  <c r="E84" i="7"/>
  <c r="E86" i="7"/>
  <c r="E88" i="7"/>
  <c r="E90" i="7"/>
  <c r="D17" i="7"/>
  <c r="A29" i="7"/>
  <c r="E38" i="7"/>
  <c r="H47" i="7"/>
  <c r="E57" i="7"/>
  <c r="H64" i="7"/>
  <c r="F71" i="7"/>
  <c r="A77" i="7"/>
  <c r="B82" i="7"/>
  <c r="B86" i="7"/>
  <c r="B90" i="7"/>
  <c r="B93" i="7"/>
  <c r="B95" i="7"/>
  <c r="B97" i="7"/>
  <c r="B99" i="7"/>
  <c r="B101" i="7"/>
  <c r="B103" i="7"/>
  <c r="B105" i="7"/>
  <c r="B107" i="7"/>
  <c r="B109" i="7"/>
  <c r="B111" i="7"/>
  <c r="B113" i="7"/>
  <c r="A27" i="7"/>
  <c r="D36" i="7"/>
  <c r="H45" i="7"/>
  <c r="E55" i="7"/>
  <c r="C63" i="7"/>
  <c r="D70" i="7"/>
  <c r="H75" i="7"/>
  <c r="B81" i="7"/>
  <c r="C85" i="7"/>
  <c r="C89" i="7"/>
  <c r="G92" i="7"/>
  <c r="G94" i="7"/>
  <c r="G96" i="7"/>
  <c r="G98" i="7"/>
  <c r="G100" i="7"/>
  <c r="G102" i="7"/>
  <c r="G104" i="7"/>
  <c r="G106" i="7"/>
  <c r="G108" i="7"/>
  <c r="A16" i="7"/>
  <c r="H21" i="7"/>
  <c r="C27" i="7"/>
  <c r="H31" i="7"/>
  <c r="H36" i="7"/>
  <c r="E41" i="7"/>
  <c r="C46" i="7"/>
  <c r="A51" i="7"/>
  <c r="G55" i="7"/>
  <c r="H59" i="7"/>
  <c r="E63" i="7"/>
  <c r="A67" i="7"/>
  <c r="E70" i="7"/>
  <c r="D73" i="7"/>
  <c r="A76" i="7"/>
  <c r="F78" i="7"/>
  <c r="D81" i="7"/>
  <c r="D83" i="7"/>
  <c r="D85" i="7"/>
  <c r="D87" i="7"/>
  <c r="D89" i="7"/>
  <c r="D91" i="7"/>
  <c r="G20" i="7"/>
  <c r="D26" i="7"/>
  <c r="A31" i="7"/>
  <c r="H35" i="7"/>
  <c r="E40" i="7"/>
  <c r="C45" i="7"/>
  <c r="C50" i="7"/>
  <c r="H54" i="7"/>
  <c r="C59" i="7"/>
  <c r="H62" i="7"/>
  <c r="D66" i="7"/>
  <c r="H69" i="7"/>
  <c r="H72" i="7"/>
  <c r="E75" i="7"/>
  <c r="B78" i="7"/>
  <c r="H80" i="7"/>
  <c r="A83" i="7"/>
  <c r="A85" i="7"/>
  <c r="A87" i="7"/>
  <c r="A89" i="7"/>
  <c r="A91" i="7"/>
  <c r="H20" i="7"/>
  <c r="E31" i="7"/>
  <c r="H40" i="7"/>
  <c r="D50" i="7"/>
  <c r="E59" i="7"/>
  <c r="E66" i="7"/>
  <c r="A73" i="7"/>
  <c r="D78" i="7"/>
  <c r="B83" i="7"/>
  <c r="B87" i="7"/>
  <c r="B91" i="7"/>
  <c r="F93" i="7"/>
  <c r="F95" i="7"/>
  <c r="F97" i="7"/>
  <c r="F99" i="7"/>
  <c r="F101" i="7"/>
  <c r="F103" i="7"/>
  <c r="F105" i="7"/>
  <c r="F107" i="7"/>
  <c r="F109" i="7"/>
  <c r="F111" i="7"/>
  <c r="H17" i="7"/>
  <c r="C29" i="7"/>
  <c r="H38" i="7"/>
  <c r="D48" i="7"/>
  <c r="G57" i="7"/>
  <c r="A65" i="7"/>
  <c r="H71" i="7"/>
  <c r="B77" i="7"/>
  <c r="C82" i="7"/>
  <c r="C86" i="7"/>
  <c r="C90" i="7"/>
  <c r="C93" i="7"/>
  <c r="C95" i="7"/>
  <c r="C97" i="7"/>
  <c r="C99" i="7"/>
  <c r="C101" i="7"/>
  <c r="C103" i="7"/>
  <c r="C105" i="7"/>
  <c r="C107" i="7"/>
  <c r="G109" i="7"/>
  <c r="G111" i="7"/>
  <c r="G113" i="7"/>
  <c r="H27" i="7"/>
  <c r="C37" i="7"/>
  <c r="H46" i="7"/>
  <c r="D56" i="7"/>
  <c r="H63" i="7"/>
  <c r="A71" i="7"/>
  <c r="D76" i="7"/>
  <c r="F81" i="7"/>
  <c r="F85" i="7"/>
  <c r="F89" i="7"/>
  <c r="H92" i="7"/>
  <c r="H94" i="7"/>
  <c r="H96" i="7"/>
  <c r="H98" i="7"/>
  <c r="H100" i="7"/>
  <c r="H102" i="7"/>
  <c r="H104" i="7"/>
  <c r="H106" i="7"/>
  <c r="H108" i="7"/>
  <c r="H110" i="7"/>
  <c r="H112" i="7"/>
  <c r="E30" i="7"/>
  <c r="H65" i="7"/>
  <c r="G86" i="7"/>
  <c r="E97" i="7"/>
  <c r="E105" i="7"/>
  <c r="E113" i="7"/>
  <c r="G115" i="7"/>
  <c r="E56" i="7"/>
  <c r="A95" i="7"/>
  <c r="A111" i="7"/>
  <c r="H32" i="7"/>
  <c r="G67" i="7"/>
  <c r="G87" i="7"/>
  <c r="A98" i="7"/>
  <c r="A106" i="7"/>
  <c r="F113" i="7"/>
  <c r="H115" i="7"/>
  <c r="C64" i="7"/>
  <c r="A97" i="7"/>
  <c r="A113" i="7"/>
  <c r="C35" i="7"/>
  <c r="E69" i="7"/>
  <c r="G88" i="7"/>
  <c r="E98" i="7"/>
  <c r="E106" i="7"/>
  <c r="A114" i="7"/>
  <c r="A116" i="7"/>
  <c r="F116" i="7"/>
  <c r="C75" i="7"/>
  <c r="A66" i="7"/>
  <c r="D54" i="7"/>
  <c r="C40" i="7"/>
  <c r="H25" i="7"/>
  <c r="B67" i="7"/>
  <c r="B59" i="7"/>
  <c r="G48" i="7"/>
  <c r="A38" i="7"/>
  <c r="D27" i="7"/>
  <c r="B57" i="7"/>
  <c r="B49" i="7"/>
  <c r="B41" i="7"/>
  <c r="B33" i="7"/>
  <c r="B25" i="7"/>
  <c r="B17" i="7"/>
  <c r="A17" i="7"/>
  <c r="G54" i="7"/>
  <c r="C22" i="7"/>
  <c r="F37" i="7"/>
  <c r="E21" i="7"/>
  <c r="G74" i="7"/>
  <c r="D65" i="7"/>
  <c r="E53" i="7"/>
  <c r="C39" i="7"/>
  <c r="A25" i="7"/>
  <c r="F66" i="7"/>
  <c r="F58" i="7"/>
  <c r="A48" i="7"/>
  <c r="D37" i="7"/>
  <c r="G26" i="7"/>
  <c r="F56" i="7"/>
  <c r="C110" i="7"/>
  <c r="C112" i="7"/>
  <c r="D19" i="7"/>
  <c r="C30" i="7"/>
  <c r="G39" i="7"/>
  <c r="C49" i="7"/>
  <c r="E58" i="7"/>
  <c r="G65" i="7"/>
  <c r="D72" i="7"/>
  <c r="F77" i="7"/>
  <c r="F82" i="7"/>
  <c r="F86" i="7"/>
  <c r="F90" i="7"/>
  <c r="D93" i="7"/>
  <c r="D95" i="7"/>
  <c r="D97" i="7"/>
  <c r="D99" i="7"/>
  <c r="D101" i="7"/>
  <c r="D103" i="7"/>
  <c r="D105" i="7"/>
  <c r="D107" i="7"/>
  <c r="D109" i="7"/>
  <c r="D111" i="7"/>
  <c r="D113" i="7"/>
  <c r="H39" i="7"/>
  <c r="E72" i="7"/>
  <c r="G90" i="7"/>
  <c r="E99" i="7"/>
  <c r="E107" i="7"/>
  <c r="C114" i="7"/>
  <c r="C116" i="7"/>
  <c r="B71" i="7"/>
  <c r="A99" i="7"/>
  <c r="F114" i="7"/>
  <c r="D42" i="7"/>
  <c r="H73" i="7"/>
  <c r="G91" i="7"/>
  <c r="A100" i="7"/>
  <c r="A108" i="7"/>
  <c r="D114" i="7"/>
  <c r="D116" i="7"/>
  <c r="E76" i="7"/>
  <c r="A101" i="7"/>
  <c r="B115" i="7"/>
  <c r="H44" i="7"/>
  <c r="B75" i="7"/>
  <c r="E92" i="7"/>
  <c r="E100" i="7"/>
  <c r="E108" i="7"/>
  <c r="E114" i="7"/>
  <c r="E116" i="7"/>
  <c r="C81" i="7"/>
  <c r="C73" i="7"/>
  <c r="D63" i="7"/>
  <c r="H50" i="7"/>
  <c r="E36" i="7"/>
  <c r="G21" i="7"/>
  <c r="B65" i="7"/>
  <c r="G56" i="7"/>
  <c r="A46" i="7"/>
  <c r="D35" i="7"/>
  <c r="G24" i="7"/>
  <c r="B55" i="7"/>
  <c r="B47" i="7"/>
  <c r="B39" i="7"/>
  <c r="B31" i="7"/>
  <c r="B23" i="7"/>
  <c r="A23" i="7"/>
  <c r="C55" i="7"/>
  <c r="G46" i="7"/>
  <c r="F55" i="7"/>
  <c r="F31" i="7"/>
  <c r="G80" i="7"/>
  <c r="G72" i="7"/>
  <c r="G62" i="7"/>
  <c r="H49" i="7"/>
  <c r="G35" i="7"/>
  <c r="D20" i="7"/>
  <c r="F64" i="7"/>
  <c r="A56" i="7"/>
  <c r="D45" i="7"/>
  <c r="G34" i="7"/>
  <c r="A24" i="7"/>
  <c r="F54" i="7"/>
  <c r="C108" i="7"/>
  <c r="G110" i="7"/>
  <c r="G112" i="7"/>
  <c r="G22" i="7"/>
  <c r="E32" i="7"/>
  <c r="C42" i="7"/>
  <c r="E51" i="7"/>
  <c r="D60" i="7"/>
  <c r="E67" i="7"/>
  <c r="F73" i="7"/>
  <c r="A79" i="7"/>
  <c r="F83" i="7"/>
  <c r="F87" i="7"/>
  <c r="F91" i="7"/>
  <c r="H93" i="7"/>
  <c r="H95" i="7"/>
  <c r="H97" i="7"/>
  <c r="H99" i="7"/>
  <c r="H101" i="7"/>
  <c r="H103" i="7"/>
  <c r="H105" i="7"/>
  <c r="H107" i="7"/>
  <c r="H109" i="7"/>
  <c r="H111" i="7"/>
  <c r="H113" i="7"/>
  <c r="E49" i="7"/>
  <c r="H77" i="7"/>
  <c r="E93" i="7"/>
  <c r="E101" i="7"/>
  <c r="E109" i="7"/>
  <c r="G114" i="7"/>
  <c r="G116" i="7"/>
  <c r="G81" i="7"/>
  <c r="A103" i="7"/>
  <c r="F115" i="7"/>
  <c r="H51" i="7"/>
  <c r="B79" i="7"/>
  <c r="A94" i="7"/>
  <c r="A102" i="7"/>
  <c r="A110" i="7"/>
  <c r="H114" i="7"/>
  <c r="H116" i="7"/>
  <c r="G85" i="7"/>
  <c r="A105" i="7"/>
  <c r="B116" i="7"/>
  <c r="C54" i="7"/>
  <c r="E80" i="7"/>
  <c r="E94" i="7"/>
  <c r="E102" i="7"/>
  <c r="E110" i="7"/>
  <c r="A115" i="7"/>
  <c r="A47" i="7"/>
  <c r="C79" i="7"/>
  <c r="C71" i="7"/>
  <c r="G60" i="7"/>
  <c r="C47" i="7"/>
  <c r="A33" i="7"/>
  <c r="D16" i="7"/>
  <c r="B63" i="7"/>
  <c r="A54" i="7"/>
  <c r="D43" i="7"/>
  <c r="G32" i="7"/>
  <c r="C21" i="7"/>
  <c r="B53" i="7"/>
  <c r="B45" i="7"/>
  <c r="B37" i="7"/>
  <c r="B29" i="7"/>
  <c r="B21" i="7"/>
  <c r="A21" i="7"/>
  <c r="F69" i="7"/>
  <c r="G38" i="7"/>
  <c r="F49" i="7"/>
  <c r="F25" i="7"/>
  <c r="G78" i="7"/>
  <c r="G70" i="7"/>
  <c r="A60" i="7"/>
  <c r="D46" i="7"/>
  <c r="C32" i="7"/>
  <c r="F70" i="7"/>
  <c r="F62" i="7"/>
  <c r="D53" i="7"/>
  <c r="G42" i="7"/>
  <c r="A32" i="7"/>
  <c r="C109" i="7"/>
  <c r="C111" i="7"/>
  <c r="C113" i="7"/>
  <c r="E25" i="7"/>
  <c r="A35" i="7"/>
  <c r="D44" i="7"/>
  <c r="H53" i="7"/>
  <c r="C62" i="7"/>
  <c r="C69" i="7"/>
  <c r="A75" i="7"/>
  <c r="D80" i="7"/>
  <c r="F84" i="7"/>
  <c r="F88" i="7"/>
  <c r="D92" i="7"/>
  <c r="D94" i="7"/>
  <c r="D96" i="7"/>
  <c r="D98" i="7"/>
  <c r="D100" i="7"/>
  <c r="D102" i="7"/>
  <c r="D104" i="7"/>
  <c r="D106" i="7"/>
  <c r="D108" i="7"/>
  <c r="D110" i="7"/>
  <c r="D112" i="7"/>
  <c r="G19" i="7"/>
  <c r="H58" i="7"/>
  <c r="G82" i="7"/>
  <c r="E95" i="7"/>
  <c r="E103" i="7"/>
  <c r="E111" i="7"/>
  <c r="C115" i="7"/>
  <c r="C28" i="7"/>
  <c r="G89" i="7"/>
  <c r="A107" i="7"/>
  <c r="D23" i="7"/>
  <c r="E60" i="7"/>
  <c r="G83" i="7"/>
  <c r="A96" i="7"/>
  <c r="A104" i="7"/>
  <c r="A112" i="7"/>
  <c r="D115" i="7"/>
  <c r="G37" i="7"/>
  <c r="A93" i="7"/>
  <c r="A109" i="7"/>
  <c r="G25" i="7"/>
  <c r="D62" i="7"/>
  <c r="G84" i="7"/>
  <c r="E96" i="7"/>
  <c r="E104" i="7"/>
  <c r="E112" i="7"/>
  <c r="E115" i="7"/>
  <c r="B114" i="7"/>
  <c r="C77" i="7"/>
  <c r="G68" i="7"/>
  <c r="H57" i="7"/>
  <c r="G43" i="7"/>
  <c r="E29" i="7"/>
  <c r="B69" i="7"/>
  <c r="B61" i="7"/>
  <c r="D51" i="7"/>
  <c r="G40" i="7"/>
  <c r="A30" i="7"/>
  <c r="C17" i="7"/>
  <c r="B51" i="7"/>
  <c r="B43" i="7"/>
  <c r="B35" i="7"/>
  <c r="B27" i="7"/>
  <c r="B19" i="7"/>
  <c r="A19" i="7"/>
  <c r="F61" i="7"/>
  <c r="G30" i="7"/>
  <c r="F43" i="7"/>
  <c r="F19" i="7"/>
  <c r="G76" i="7"/>
  <c r="A68" i="7"/>
  <c r="A57" i="7"/>
  <c r="H42" i="7"/>
  <c r="E28" i="7"/>
  <c r="F68" i="7"/>
  <c r="F60" i="7"/>
  <c r="G50" i="7"/>
  <c r="A40" i="7"/>
  <c r="D29" i="7"/>
  <c r="C16" i="7"/>
  <c r="F50" i="7"/>
  <c r="F48" i="7"/>
  <c r="F40" i="7"/>
  <c r="F32" i="7"/>
  <c r="F24" i="7"/>
  <c r="F16" i="7"/>
  <c r="E16" i="7"/>
  <c r="H22" i="7"/>
  <c r="A44" i="7"/>
  <c r="F53" i="7"/>
  <c r="F29" i="7"/>
  <c r="C80" i="7"/>
  <c r="C72" i="7"/>
  <c r="A62" i="7"/>
  <c r="A49" i="7"/>
  <c r="H34" i="7"/>
  <c r="H18" i="7"/>
  <c r="B64" i="7"/>
  <c r="D55" i="7"/>
  <c r="G44" i="7"/>
  <c r="A34" i="7"/>
  <c r="C23" i="7"/>
  <c r="B54" i="7"/>
  <c r="B46" i="7"/>
  <c r="B38" i="7"/>
  <c r="B30" i="7"/>
  <c r="B22" i="7"/>
  <c r="A18" i="7"/>
  <c r="G73" i="7"/>
  <c r="A64" i="7"/>
  <c r="E44" i="7"/>
  <c r="D30" i="7"/>
  <c r="F63" i="7"/>
  <c r="D33" i="7"/>
  <c r="F45" i="7"/>
  <c r="F21" i="7"/>
  <c r="D49" i="7"/>
  <c r="E17" i="7"/>
  <c r="F46" i="7"/>
  <c r="F38" i="7"/>
  <c r="F30" i="7"/>
  <c r="F22" i="7"/>
  <c r="E22" i="7"/>
  <c r="B18" i="7"/>
  <c r="F65" i="7"/>
  <c r="A36" i="7"/>
  <c r="F47" i="7"/>
  <c r="F23" i="7"/>
  <c r="C78" i="7"/>
  <c r="A70" i="7"/>
  <c r="D59" i="7"/>
  <c r="E45" i="7"/>
  <c r="C31" i="7"/>
  <c r="B70" i="7"/>
  <c r="B62" i="7"/>
  <c r="G52" i="7"/>
  <c r="A42" i="7"/>
  <c r="D31" i="7"/>
  <c r="C19" i="7"/>
  <c r="B52" i="7"/>
  <c r="B44" i="7"/>
  <c r="B36" i="7"/>
  <c r="B28" i="7"/>
  <c r="B20" i="7"/>
  <c r="G79" i="7"/>
  <c r="G71" i="7"/>
  <c r="G58" i="7"/>
  <c r="A41" i="7"/>
  <c r="H26" i="7"/>
  <c r="D57" i="7"/>
  <c r="D25" i="7"/>
  <c r="F39" i="7"/>
  <c r="E23" i="7"/>
  <c r="F57" i="7"/>
  <c r="C20" i="7"/>
  <c r="F44" i="7"/>
  <c r="F36" i="7"/>
  <c r="F28" i="7"/>
  <c r="F20" i="7"/>
  <c r="E20" i="7"/>
  <c r="A20" i="7"/>
  <c r="F59" i="7"/>
  <c r="A28" i="7"/>
  <c r="F41" i="7"/>
  <c r="F17" i="7"/>
  <c r="C76" i="7"/>
  <c r="D67" i="7"/>
  <c r="C56" i="7"/>
  <c r="H41" i="7"/>
  <c r="G27" i="7"/>
  <c r="B68" i="7"/>
  <c r="B60" i="7"/>
  <c r="A50" i="7"/>
  <c r="D39" i="7"/>
  <c r="G28" i="7"/>
  <c r="B58" i="7"/>
  <c r="B50" i="7"/>
  <c r="B42" i="7"/>
  <c r="B34" i="7"/>
  <c r="B26" i="7"/>
  <c r="B16" i="7"/>
  <c r="G77" i="7"/>
  <c r="D69" i="7"/>
  <c r="G51" i="7"/>
  <c r="E37" i="7"/>
  <c r="G17" i="7"/>
  <c r="F33" i="7"/>
  <c r="F52" i="7"/>
  <c r="F42" i="7"/>
  <c r="F34" i="7"/>
  <c r="F26" i="7"/>
  <c r="F18" i="7"/>
  <c r="E18" i="7"/>
  <c r="D61" i="7"/>
  <c r="A52" i="7"/>
  <c r="C18" i="7"/>
  <c r="F35" i="7"/>
  <c r="E19" i="7"/>
  <c r="C74" i="7"/>
  <c r="G64" i="7"/>
  <c r="E52" i="7"/>
  <c r="D38" i="7"/>
  <c r="C24" i="7"/>
  <c r="B66" i="7"/>
  <c r="A58" i="7"/>
  <c r="D47" i="7"/>
  <c r="G36" i="7"/>
  <c r="A26" i="7"/>
  <c r="B56" i="7"/>
  <c r="B48" i="7"/>
  <c r="B40" i="7"/>
  <c r="B32" i="7"/>
  <c r="B24" i="7"/>
  <c r="A22" i="7"/>
  <c r="G75" i="7"/>
  <c r="G66" i="7"/>
  <c r="C48" i="7"/>
  <c r="H33" i="7"/>
  <c r="F67" i="7"/>
  <c r="D41" i="7"/>
  <c r="F51" i="7"/>
  <c r="F27" i="7"/>
  <c r="DQ4" i="5"/>
  <c r="DQ21" i="5" l="1"/>
  <c r="DQ22" i="5" s="1"/>
  <c r="DQ5" i="5" s="1"/>
  <c r="DQ7" i="5" s="1"/>
  <c r="DQ6" i="5" l="1"/>
  <c r="DQ9" i="5"/>
  <c r="DQ13" i="5" s="1"/>
  <c r="DQ30" i="3"/>
</calcChain>
</file>

<file path=xl/comments1.xml><?xml version="1.0" encoding="utf-8"?>
<comments xmlns="http://schemas.openxmlformats.org/spreadsheetml/2006/main">
  <authors>
    <author>Mokaddim Jashim Bhuiyan</author>
    <author>Md. Abir Chowdhury</author>
  </authors>
  <commentList>
    <comment ref="AL31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RTGS of BDT 2,500,000. Rest of the amount assigned to MCML additional</t>
        </r>
      </text>
    </comment>
    <comment ref="AQ31" authorId="1" shapeId="0">
      <text>
        <r>
          <rPr>
            <b/>
            <sz val="9"/>
            <color indexed="81"/>
            <rFont val="Tahoma"/>
            <family val="2"/>
          </rPr>
          <t>Md. Abir Chowdhury:</t>
        </r>
        <r>
          <rPr>
            <sz val="9"/>
            <color indexed="81"/>
            <rFont val="Tahoma"/>
            <family val="2"/>
          </rPr>
          <t xml:space="preserve">
Partiallly adjusted on MCML Additional </t>
        </r>
      </text>
    </comment>
    <comment ref="AR31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Cheque worth BDT 17,709,240 submitted and valued. Rest of the amount assigned to MCML (Additional)</t>
        </r>
      </text>
    </comment>
    <comment ref="AS31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Cheque worth BDT 17,157,741 submitted and valued. Rest of the amount assigned to MCML (Additional)</t>
        </r>
      </text>
    </comment>
    <comment ref="AE32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Dec'19 Interest</t>
        </r>
      </text>
    </comment>
    <comment ref="AF32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Jan'20 Interest</t>
        </r>
      </text>
    </comment>
    <comment ref="AJ32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Feb'20 Interest</t>
        </r>
      </text>
    </comment>
    <comment ref="AM32" authorId="1" shapeId="0">
      <text>
        <r>
          <rPr>
            <b/>
            <sz val="9"/>
            <color indexed="81"/>
            <rFont val="Tahoma"/>
            <family val="2"/>
          </rPr>
          <t>Md. Abir Chowdhury:</t>
        </r>
        <r>
          <rPr>
            <sz val="9"/>
            <color indexed="81"/>
            <rFont val="Tahoma"/>
            <family val="2"/>
          </rPr>
          <t xml:space="preserve">
Mar'20 Interest 
</t>
        </r>
      </text>
    </comment>
    <comment ref="AN32" authorId="1" shapeId="0">
      <text>
        <r>
          <rPr>
            <b/>
            <sz val="9"/>
            <color indexed="81"/>
            <rFont val="Tahoma"/>
            <family val="2"/>
          </rPr>
          <t>Md. Abir Chowdhury:</t>
        </r>
        <r>
          <rPr>
            <sz val="9"/>
            <color indexed="81"/>
            <rFont val="Tahoma"/>
            <family val="2"/>
          </rPr>
          <t xml:space="preserve">
Apr'20 Interest 
</t>
        </r>
      </text>
    </comment>
    <comment ref="AO32" authorId="1" shapeId="0">
      <text>
        <r>
          <rPr>
            <b/>
            <sz val="9"/>
            <color indexed="81"/>
            <rFont val="Tahoma"/>
            <family val="2"/>
          </rPr>
          <t>Md. Abir Chowdhury:</t>
        </r>
        <r>
          <rPr>
            <sz val="9"/>
            <color indexed="81"/>
            <rFont val="Tahoma"/>
            <family val="2"/>
          </rPr>
          <t xml:space="preserve">
May'20 Interest (Partial) 
</t>
        </r>
      </text>
    </comment>
    <comment ref="AP32" authorId="1" shapeId="0">
      <text>
        <r>
          <rPr>
            <b/>
            <sz val="9"/>
            <color indexed="81"/>
            <rFont val="Tahoma"/>
            <family val="2"/>
          </rPr>
          <t>Md. Abir Chowdhury:</t>
        </r>
        <r>
          <rPr>
            <sz val="9"/>
            <color indexed="81"/>
            <rFont val="Tahoma"/>
            <family val="2"/>
          </rPr>
          <t xml:space="preserve">
May'20 Interest (Remaining)</t>
        </r>
      </text>
    </comment>
    <comment ref="AQ32" authorId="1" shapeId="0">
      <text>
        <r>
          <rPr>
            <b/>
            <sz val="9"/>
            <color indexed="81"/>
            <rFont val="Tahoma"/>
            <family val="2"/>
          </rPr>
          <t>Md. Abir Chowdhury:</t>
        </r>
        <r>
          <rPr>
            <sz val="9"/>
            <color indexed="81"/>
            <rFont val="Tahoma"/>
            <family val="2"/>
          </rPr>
          <t xml:space="preserve">
Jun'20 Interest </t>
        </r>
      </text>
    </comment>
    <comment ref="AR32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Jul'20 Interest</t>
        </r>
      </text>
    </comment>
    <comment ref="AS32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Aug'20 Interest</t>
        </r>
      </text>
    </comment>
    <comment ref="AE33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Dec'19 Principal (Partial)</t>
        </r>
      </text>
    </comment>
    <comment ref="AG33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Dec'19 Principal (Partial)</t>
        </r>
      </text>
    </comment>
    <comment ref="AH33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Dec'19 Principal (Remaining)</t>
        </r>
      </text>
    </comment>
    <comment ref="AI33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Jan'20 Principal </t>
        </r>
      </text>
    </comment>
    <comment ref="AJ33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Feb'20 Principal (Partial)</t>
        </r>
      </text>
    </comment>
    <comment ref="AK33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Feb'20 Principal (Partial)</t>
        </r>
      </text>
    </comment>
    <comment ref="AL33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Feb'20 Principal (Remaining)</t>
        </r>
      </text>
    </comment>
    <comment ref="AE34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Dec'19 LPC</t>
        </r>
      </text>
    </comment>
    <comment ref="AI34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Overdue LPC</t>
        </r>
      </text>
    </comment>
    <comment ref="AJ34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Feb'20 LPC</t>
        </r>
      </text>
    </comment>
    <comment ref="AO34" authorId="1" shapeId="0">
      <text>
        <r>
          <rPr>
            <b/>
            <sz val="9"/>
            <color indexed="81"/>
            <rFont val="Tahoma"/>
            <family val="2"/>
          </rPr>
          <t>Md. Abir Chowdhury:</t>
        </r>
        <r>
          <rPr>
            <sz val="9"/>
            <color indexed="81"/>
            <rFont val="Tahoma"/>
            <family val="2"/>
          </rPr>
          <t xml:space="preserve">
Jun'20 LPC </t>
        </r>
      </text>
    </comment>
    <comment ref="AR34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Jul'20 LPC</t>
        </r>
      </text>
    </comment>
    <comment ref="AS34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Aug'20 LPC</t>
        </r>
      </text>
    </comment>
  </commentList>
</comments>
</file>

<file path=xl/comments2.xml><?xml version="1.0" encoding="utf-8"?>
<comments xmlns="http://schemas.openxmlformats.org/spreadsheetml/2006/main">
  <authors>
    <author>Mokaddim Jashim Bhuiyan</author>
  </authors>
  <commentList>
    <comment ref="L25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Beginning of Monthly Installment Payment</t>
        </r>
      </text>
    </comment>
  </commentList>
</comments>
</file>

<file path=xl/sharedStrings.xml><?xml version="1.0" encoding="utf-8"?>
<sst xmlns="http://schemas.openxmlformats.org/spreadsheetml/2006/main" count="174" uniqueCount="83">
  <si>
    <t>Project name:</t>
  </si>
  <si>
    <t>Assumptions:</t>
  </si>
  <si>
    <t>Loan Amount</t>
  </si>
  <si>
    <t>Interest Rate</t>
  </si>
  <si>
    <t>Financial Close</t>
  </si>
  <si>
    <t>Opening Balance</t>
  </si>
  <si>
    <t>Interest Payment</t>
  </si>
  <si>
    <t>Principal Payment</t>
  </si>
  <si>
    <t>Total Debt Service</t>
  </si>
  <si>
    <t>Closing Balance</t>
  </si>
  <si>
    <t>Repayment Period</t>
  </si>
  <si>
    <t>Repayment Date</t>
  </si>
  <si>
    <t>Cumulative interest</t>
  </si>
  <si>
    <t>Cumulative repayment</t>
  </si>
  <si>
    <t>Months</t>
  </si>
  <si>
    <t>Borrower:</t>
  </si>
  <si>
    <t>Currency:</t>
  </si>
  <si>
    <t xml:space="preserve">Type </t>
  </si>
  <si>
    <t>Disbursement Number</t>
  </si>
  <si>
    <t>Disbursement Date</t>
  </si>
  <si>
    <t>Disbursement</t>
  </si>
  <si>
    <t>Cumulative Disbursement</t>
  </si>
  <si>
    <t>Principal</t>
  </si>
  <si>
    <t>Opening balance</t>
  </si>
  <si>
    <t>Repayment due</t>
  </si>
  <si>
    <t xml:space="preserve">Loan Repayment </t>
  </si>
  <si>
    <t>Repayment overdue</t>
  </si>
  <si>
    <t>Loan outstanding</t>
  </si>
  <si>
    <t>Interest</t>
  </si>
  <si>
    <t>Interest accrued</t>
  </si>
  <si>
    <t>Interest due</t>
  </si>
  <si>
    <t>interest received</t>
  </si>
  <si>
    <t>Interest overdue</t>
  </si>
  <si>
    <t>Interest receivable</t>
  </si>
  <si>
    <t>LD and others</t>
  </si>
  <si>
    <t>Repayment receipts:</t>
  </si>
  <si>
    <t>Repayment received</t>
  </si>
  <si>
    <t>Repayment received (cumulative)</t>
  </si>
  <si>
    <t>LD/others</t>
  </si>
  <si>
    <t>LD/others (cumulative)</t>
  </si>
  <si>
    <t>Interest receipts:</t>
  </si>
  <si>
    <t>Interest received</t>
  </si>
  <si>
    <t>Interest received (cumulative)</t>
  </si>
  <si>
    <t xml:space="preserve"> </t>
  </si>
  <si>
    <t>BDT</t>
  </si>
  <si>
    <t>Tenor</t>
  </si>
  <si>
    <t>Interest calculation</t>
  </si>
  <si>
    <t>days basis</t>
  </si>
  <si>
    <t>Number of installments</t>
  </si>
  <si>
    <t>Drawdown</t>
  </si>
  <si>
    <t xml:space="preserve"> days basis</t>
  </si>
  <si>
    <t>Actual Payment date</t>
  </si>
  <si>
    <t>Actual Payment amount:</t>
  </si>
  <si>
    <t>LPC</t>
  </si>
  <si>
    <t>Total</t>
  </si>
  <si>
    <t>Maturity date</t>
  </si>
  <si>
    <t>months</t>
  </si>
  <si>
    <t>Payment frequency</t>
  </si>
  <si>
    <t>Period</t>
  </si>
  <si>
    <t>Expected Interest Rate</t>
  </si>
  <si>
    <t>Agreement signing date</t>
  </si>
  <si>
    <t>Average Installment Size</t>
  </si>
  <si>
    <t>Drawdown (IDCOL)</t>
  </si>
  <si>
    <t>Moratorium period (Principal)</t>
  </si>
  <si>
    <t>Source</t>
  </si>
  <si>
    <t>Level principal</t>
  </si>
  <si>
    <t>Annual Monitoring Fee</t>
  </si>
  <si>
    <t>Date</t>
  </si>
  <si>
    <t>Amount (BDT)</t>
  </si>
  <si>
    <t>*If payment date is not a business day, then payment date shall be immediately the preceeding business day.</t>
  </si>
  <si>
    <t>Meghna Cement Mills Limited (MCML)</t>
  </si>
  <si>
    <t>IDCOL Loan</t>
  </si>
  <si>
    <t>Source :</t>
  </si>
  <si>
    <t>Quarterly</t>
  </si>
  <si>
    <t>10 years</t>
  </si>
  <si>
    <t>Quarterly Interest Rate</t>
  </si>
  <si>
    <t>Cumulative</t>
  </si>
  <si>
    <t>Disbursement-1</t>
  </si>
  <si>
    <t>Disbursement-2</t>
  </si>
  <si>
    <t>Cumulative Accrual</t>
  </si>
  <si>
    <t>JICA BD P90</t>
  </si>
  <si>
    <t>IDCOL Current Account/JICA BD P90</t>
  </si>
  <si>
    <t>Disbursement-3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</si>
</sst>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0.00000%"/>
    <numFmt numFmtId="167" formatCode="[$-409]dd\-mmm\-yy;@"/>
  </numFmts>
  <fonts count="21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0"/>
      <color indexed="12"/>
      <name val="Book Antiqua"/>
      <family val="1"/>
    </font>
    <font>
      <b/>
      <sz val="11"/>
      <name val="Book Antiqua"/>
      <family val="1"/>
    </font>
    <font>
      <sz val="11"/>
      <name val="Book Antiqua"/>
      <family val="1"/>
    </font>
    <font>
      <b/>
      <sz val="14"/>
      <color indexed="10"/>
      <name val="Book Antiqua"/>
      <family val="1"/>
    </font>
    <font>
      <sz val="14"/>
      <color indexed="1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sz val="10"/>
      <color indexed="10"/>
      <name val="Book Antiqua"/>
      <family val="1"/>
    </font>
    <font>
      <sz val="10"/>
      <color indexed="8"/>
      <name val="Book Antiqua"/>
      <family val="1"/>
    </font>
    <font>
      <sz val="10"/>
      <color rgb="FFFF0000"/>
      <name val="Book Antiqua"/>
      <family val="1"/>
    </font>
    <font>
      <i/>
      <sz val="10"/>
      <name val="Times New Roman"/>
      <family val="1"/>
    </font>
    <font>
      <b/>
      <sz val="14"/>
      <color rgb="FF0070C0"/>
      <name val="Times New Roman"/>
      <family val="1"/>
    </font>
    <font>
      <sz val="10"/>
      <color theme="1"/>
      <name val="Book Antiqu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8">
    <xf numFmtId="0" fontId="0" fillId="0" borderId="0" xfId="0"/>
    <xf numFmtId="3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Protection="1">
      <protection locked="0"/>
    </xf>
    <xf numFmtId="3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0" xfId="0" applyFont="1" applyFill="1" applyBorder="1" applyAlignment="1" applyProtection="1">
      <alignment horizontal="right"/>
      <protection locked="0"/>
    </xf>
    <xf numFmtId="0" fontId="2" fillId="0" borderId="1" xfId="0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165" fontId="2" fillId="0" borderId="0" xfId="1" applyNumberFormat="1" applyFont="1" applyFill="1" applyBorder="1" applyProtection="1">
      <protection locked="0"/>
    </xf>
    <xf numFmtId="3" fontId="2" fillId="0" borderId="0" xfId="0" applyNumberFormat="1" applyFont="1" applyFill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5" fillId="0" borderId="0" xfId="0" applyFont="1" applyFill="1" applyBorder="1" applyProtection="1">
      <protection locked="0"/>
    </xf>
    <xf numFmtId="164" fontId="5" fillId="0" borderId="0" xfId="0" applyNumberFormat="1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Protection="1">
      <protection locked="0"/>
    </xf>
    <xf numFmtId="0" fontId="2" fillId="2" borderId="2" xfId="0" applyFont="1" applyFill="1" applyBorder="1" applyAlignment="1" applyProtection="1">
      <alignment horizontal="right"/>
      <protection locked="0"/>
    </xf>
    <xf numFmtId="3" fontId="2" fillId="0" borderId="0" xfId="0" applyNumberFormat="1" applyFont="1" applyFill="1" applyBorder="1" applyAlignment="1" applyProtection="1">
      <protection locked="0"/>
    </xf>
    <xf numFmtId="3" fontId="2" fillId="0" borderId="1" xfId="0" applyNumberFormat="1" applyFont="1" applyFill="1" applyBorder="1" applyAlignment="1" applyProtection="1">
      <protection locked="0"/>
    </xf>
    <xf numFmtId="0" fontId="7" fillId="0" borderId="0" xfId="0" applyFont="1" applyFill="1" applyBorder="1" applyProtection="1">
      <protection locked="0"/>
    </xf>
    <xf numFmtId="0" fontId="8" fillId="0" borderId="0" xfId="0" applyFont="1" applyFill="1" applyBorder="1" applyProtection="1">
      <protection locked="0"/>
    </xf>
    <xf numFmtId="0" fontId="9" fillId="0" borderId="0" xfId="0" applyFont="1" applyFill="1" applyBorder="1" applyProtection="1">
      <protection locked="0"/>
    </xf>
    <xf numFmtId="0" fontId="10" fillId="0" borderId="0" xfId="0" applyFont="1" applyFill="1" applyBorder="1" applyProtection="1">
      <protection locked="0"/>
    </xf>
    <xf numFmtId="0" fontId="11" fillId="0" borderId="0" xfId="0" applyFont="1" applyFill="1" applyBorder="1" applyProtection="1">
      <protection locked="0"/>
    </xf>
    <xf numFmtId="0" fontId="12" fillId="0" borderId="0" xfId="0" applyFont="1" applyFill="1" applyBorder="1" applyProtection="1">
      <protection locked="0"/>
    </xf>
    <xf numFmtId="0" fontId="12" fillId="0" borderId="0" xfId="0" applyFont="1"/>
    <xf numFmtId="10" fontId="11" fillId="0" borderId="0" xfId="0" applyNumberFormat="1" applyFont="1" applyFill="1" applyBorder="1" applyAlignment="1" applyProtection="1">
      <alignment horizontal="center"/>
      <protection locked="0"/>
    </xf>
    <xf numFmtId="3" fontId="12" fillId="0" borderId="0" xfId="0" applyNumberFormat="1" applyFont="1" applyFill="1" applyBorder="1" applyAlignment="1" applyProtection="1">
      <alignment horizontal="right"/>
      <protection locked="0"/>
    </xf>
    <xf numFmtId="3" fontId="12" fillId="0" borderId="0" xfId="0" applyNumberFormat="1" applyFont="1" applyFill="1" applyBorder="1" applyAlignment="1" applyProtection="1">
      <alignment horizontal="center"/>
      <protection locked="0"/>
    </xf>
    <xf numFmtId="0" fontId="6" fillId="2" borderId="2" xfId="0" applyFont="1" applyFill="1" applyBorder="1" applyProtection="1">
      <protection locked="0"/>
    </xf>
    <xf numFmtId="164" fontId="6" fillId="2" borderId="2" xfId="0" applyNumberFormat="1" applyFont="1" applyFill="1" applyBorder="1" applyAlignment="1" applyProtection="1">
      <alignment horizontal="right"/>
      <protection locked="0"/>
    </xf>
    <xf numFmtId="3" fontId="12" fillId="0" borderId="0" xfId="0" applyNumberFormat="1" applyFont="1" applyFill="1" applyBorder="1" applyProtection="1">
      <protection locked="0"/>
    </xf>
    <xf numFmtId="43" fontId="12" fillId="0" borderId="0" xfId="1" applyFont="1"/>
    <xf numFmtId="3" fontId="12" fillId="0" borderId="0" xfId="0" applyNumberFormat="1" applyFont="1" applyFill="1" applyBorder="1" applyAlignment="1" applyProtection="1">
      <protection locked="0"/>
    </xf>
    <xf numFmtId="0" fontId="12" fillId="0" borderId="1" xfId="0" applyFont="1" applyFill="1" applyBorder="1" applyProtection="1">
      <protection locked="0"/>
    </xf>
    <xf numFmtId="3" fontId="12" fillId="0" borderId="1" xfId="0" applyNumberFormat="1" applyFont="1" applyFill="1" applyBorder="1" applyAlignment="1" applyProtection="1">
      <protection locked="0"/>
    </xf>
    <xf numFmtId="0" fontId="12" fillId="0" borderId="0" xfId="0" applyFont="1" applyFill="1" applyBorder="1" applyAlignment="1" applyProtection="1">
      <alignment horizontal="right"/>
      <protection locked="0"/>
    </xf>
    <xf numFmtId="4" fontId="12" fillId="0" borderId="0" xfId="0" applyNumberFormat="1" applyFont="1" applyFill="1" applyBorder="1" applyProtection="1">
      <protection locked="0"/>
    </xf>
    <xf numFmtId="0" fontId="12" fillId="0" borderId="0" xfId="0" applyFont="1" applyAlignment="1">
      <alignment horizontal="left"/>
    </xf>
    <xf numFmtId="0" fontId="11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1" fillId="0" borderId="0" xfId="0" applyFont="1" applyAlignment="1">
      <alignment horizontal="left"/>
    </xf>
    <xf numFmtId="43" fontId="13" fillId="0" borderId="0" xfId="1" applyFont="1"/>
    <xf numFmtId="0" fontId="12" fillId="0" borderId="0" xfId="0" applyFont="1" applyAlignment="1">
      <alignment horizontal="right"/>
    </xf>
    <xf numFmtId="15" fontId="12" fillId="0" borderId="0" xfId="0" applyNumberFormat="1" applyFont="1"/>
    <xf numFmtId="4" fontId="12" fillId="0" borderId="0" xfId="0" applyNumberFormat="1" applyFont="1"/>
    <xf numFmtId="0" fontId="14" fillId="0" borderId="0" xfId="0" applyFont="1" applyFill="1" applyBorder="1" applyProtection="1">
      <protection locked="0"/>
    </xf>
    <xf numFmtId="3" fontId="14" fillId="0" borderId="0" xfId="0" applyNumberFormat="1" applyFont="1" applyFill="1" applyBorder="1" applyAlignment="1" applyProtection="1">
      <alignment horizontal="right"/>
      <protection locked="0"/>
    </xf>
    <xf numFmtId="1" fontId="12" fillId="0" borderId="0" xfId="0" applyNumberFormat="1" applyFont="1" applyFill="1" applyBorder="1" applyProtection="1">
      <protection locked="0"/>
    </xf>
    <xf numFmtId="1" fontId="12" fillId="0" borderId="0" xfId="0" applyNumberFormat="1" applyFont="1" applyFill="1" applyBorder="1" applyAlignment="1" applyProtection="1">
      <alignment horizontal="right"/>
      <protection locked="0"/>
    </xf>
    <xf numFmtId="1" fontId="12" fillId="0" borderId="0" xfId="0" applyNumberFormat="1" applyFont="1"/>
    <xf numFmtId="1" fontId="2" fillId="0" borderId="0" xfId="0" applyNumberFormat="1" applyFont="1" applyFill="1" applyBorder="1" applyAlignment="1" applyProtection="1">
      <alignment horizontal="right"/>
      <protection locked="0"/>
    </xf>
    <xf numFmtId="164" fontId="2" fillId="0" borderId="0" xfId="0" applyNumberFormat="1" applyFont="1" applyFill="1" applyBorder="1" applyAlignment="1" applyProtection="1">
      <alignment horizontal="right"/>
      <protection locked="0"/>
    </xf>
    <xf numFmtId="0" fontId="12" fillId="0" borderId="0" xfId="0" applyFont="1" applyFill="1"/>
    <xf numFmtId="0" fontId="14" fillId="0" borderId="0" xfId="0" applyFont="1" applyFill="1"/>
    <xf numFmtId="1" fontId="12" fillId="0" borderId="0" xfId="0" applyNumberFormat="1" applyFont="1" applyFill="1"/>
    <xf numFmtId="166" fontId="12" fillId="0" borderId="0" xfId="0" applyNumberFormat="1" applyFont="1" applyFill="1" applyBorder="1" applyAlignment="1" applyProtection="1">
      <alignment horizontal="right"/>
      <protection locked="0"/>
    </xf>
    <xf numFmtId="164" fontId="5" fillId="0" borderId="0" xfId="0" applyNumberFormat="1" applyFont="1" applyFill="1" applyBorder="1" applyAlignment="1" applyProtection="1">
      <alignment horizontal="right"/>
      <protection locked="0"/>
    </xf>
    <xf numFmtId="3" fontId="2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right"/>
      <protection locked="0"/>
    </xf>
    <xf numFmtId="3" fontId="5" fillId="0" borderId="0" xfId="0" applyNumberFormat="1" applyFont="1" applyFill="1" applyBorder="1" applyAlignment="1"/>
    <xf numFmtId="3" fontId="5" fillId="2" borderId="2" xfId="0" applyNumberFormat="1" applyFont="1" applyFill="1" applyBorder="1" applyAlignment="1"/>
    <xf numFmtId="164" fontId="5" fillId="2" borderId="2" xfId="0" applyNumberFormat="1" applyFont="1" applyFill="1" applyBorder="1" applyAlignment="1" applyProtection="1">
      <alignment horizontal="right"/>
      <protection locked="0"/>
    </xf>
    <xf numFmtId="3" fontId="5" fillId="0" borderId="5" xfId="0" applyNumberFormat="1" applyFont="1" applyFill="1" applyBorder="1" applyAlignment="1"/>
    <xf numFmtId="164" fontId="5" fillId="0" borderId="5" xfId="0" applyNumberFormat="1" applyFont="1" applyFill="1" applyBorder="1" applyAlignment="1" applyProtection="1">
      <alignment horizontal="right"/>
      <protection locked="0"/>
    </xf>
    <xf numFmtId="3" fontId="5" fillId="0" borderId="6" xfId="0" applyNumberFormat="1" applyFont="1" applyFill="1" applyBorder="1" applyAlignment="1"/>
    <xf numFmtId="164" fontId="5" fillId="0" borderId="6" xfId="0" applyNumberFormat="1" applyFont="1" applyFill="1" applyBorder="1" applyAlignment="1" applyProtection="1">
      <alignment horizontal="right"/>
      <protection locked="0"/>
    </xf>
    <xf numFmtId="3" fontId="2" fillId="0" borderId="5" xfId="0" applyNumberFormat="1" applyFont="1" applyFill="1" applyBorder="1" applyAlignment="1" applyProtection="1">
      <alignment horizontal="right"/>
      <protection locked="0"/>
    </xf>
    <xf numFmtId="3" fontId="2" fillId="0" borderId="5" xfId="0" applyNumberFormat="1" applyFont="1" applyFill="1" applyBorder="1" applyProtection="1">
      <protection locked="0"/>
    </xf>
    <xf numFmtId="3" fontId="2" fillId="0" borderId="6" xfId="0" applyNumberFormat="1" applyFont="1" applyFill="1" applyBorder="1" applyAlignment="1" applyProtection="1">
      <alignment horizontal="right"/>
      <protection locked="0"/>
    </xf>
    <xf numFmtId="3" fontId="2" fillId="0" borderId="6" xfId="0" applyNumberFormat="1" applyFont="1" applyFill="1" applyBorder="1" applyProtection="1">
      <protection locked="0"/>
    </xf>
    <xf numFmtId="164" fontId="2" fillId="0" borderId="4" xfId="0" applyNumberFormat="1" applyFont="1" applyFill="1" applyBorder="1" applyAlignment="1" applyProtection="1">
      <alignment horizontal="right"/>
      <protection locked="0"/>
    </xf>
    <xf numFmtId="3" fontId="2" fillId="0" borderId="4" xfId="0" applyNumberFormat="1" applyFont="1" applyFill="1" applyBorder="1" applyAlignment="1" applyProtection="1">
      <alignment horizontal="right"/>
      <protection locked="0"/>
    </xf>
    <xf numFmtId="9" fontId="2" fillId="0" borderId="4" xfId="2" applyFont="1" applyFill="1" applyBorder="1" applyAlignment="1" applyProtection="1">
      <alignment horizontal="right"/>
      <protection locked="0"/>
    </xf>
    <xf numFmtId="0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4" xfId="0" applyNumberFormat="1" applyFont="1" applyFill="1" applyBorder="1" applyAlignment="1" applyProtection="1">
      <alignment horizontal="right"/>
      <protection locked="0"/>
    </xf>
    <xf numFmtId="41" fontId="2" fillId="0" borderId="4" xfId="1" applyNumberFormat="1" applyFont="1" applyFill="1" applyBorder="1" applyAlignment="1" applyProtection="1">
      <alignment horizontal="right"/>
      <protection locked="0"/>
    </xf>
    <xf numFmtId="9" fontId="2" fillId="0" borderId="4" xfId="0" applyNumberFormat="1" applyFont="1" applyFill="1" applyBorder="1" applyAlignment="1" applyProtection="1">
      <alignment horizontal="right"/>
      <protection locked="0"/>
    </xf>
    <xf numFmtId="0" fontId="12" fillId="0" borderId="0" xfId="0" applyFont="1" applyAlignment="1">
      <alignment horizontal="center"/>
    </xf>
    <xf numFmtId="43" fontId="12" fillId="0" borderId="0" xfId="1" applyFont="1" applyAlignment="1">
      <alignment horizontal="center"/>
    </xf>
    <xf numFmtId="4" fontId="12" fillId="0" borderId="0" xfId="0" applyNumberFormat="1" applyFont="1" applyAlignment="1">
      <alignment horizontal="center"/>
    </xf>
    <xf numFmtId="164" fontId="2" fillId="2" borderId="6" xfId="0" applyNumberFormat="1" applyFont="1" applyFill="1" applyBorder="1" applyAlignment="1" applyProtection="1">
      <alignment horizontal="right"/>
      <protection locked="0"/>
    </xf>
    <xf numFmtId="0" fontId="2" fillId="2" borderId="6" xfId="0" applyFont="1" applyFill="1" applyBorder="1" applyProtection="1">
      <protection locked="0"/>
    </xf>
    <xf numFmtId="43" fontId="15" fillId="0" borderId="0" xfId="1" applyFont="1"/>
    <xf numFmtId="0" fontId="15" fillId="0" borderId="0" xfId="0" applyFont="1"/>
    <xf numFmtId="0" fontId="11" fillId="3" borderId="7" xfId="0" applyFont="1" applyFill="1" applyBorder="1"/>
    <xf numFmtId="0" fontId="11" fillId="3" borderId="8" xfId="0" applyFont="1" applyFill="1" applyBorder="1" applyAlignment="1">
      <alignment horizontal="center"/>
    </xf>
    <xf numFmtId="164" fontId="12" fillId="0" borderId="0" xfId="0" applyNumberFormat="1" applyFont="1"/>
    <xf numFmtId="164" fontId="12" fillId="0" borderId="2" xfId="1" applyNumberFormat="1" applyFont="1" applyBorder="1"/>
    <xf numFmtId="164" fontId="12" fillId="0" borderId="4" xfId="0" applyNumberFormat="1" applyFont="1" applyFill="1" applyBorder="1" applyAlignment="1" applyProtection="1">
      <alignment horizontal="right"/>
      <protection locked="0"/>
    </xf>
    <xf numFmtId="3" fontId="12" fillId="0" borderId="4" xfId="0" applyNumberFormat="1" applyFont="1" applyFill="1" applyBorder="1" applyAlignment="1" applyProtection="1">
      <alignment horizontal="right"/>
      <protection locked="0"/>
    </xf>
    <xf numFmtId="164" fontId="12" fillId="0" borderId="0" xfId="0" applyNumberFormat="1" applyFont="1" applyFill="1" applyBorder="1" applyAlignment="1" applyProtection="1">
      <alignment horizontal="right"/>
      <protection locked="0"/>
    </xf>
    <xf numFmtId="9" fontId="12" fillId="0" borderId="4" xfId="2" applyFont="1" applyFill="1" applyBorder="1" applyAlignment="1" applyProtection="1">
      <alignment horizontal="right"/>
      <protection locked="0"/>
    </xf>
    <xf numFmtId="3" fontId="11" fillId="0" borderId="0" xfId="0" applyNumberFormat="1" applyFont="1" applyFill="1" applyBorder="1" applyAlignment="1"/>
    <xf numFmtId="0" fontId="12" fillId="0" borderId="0" xfId="0" applyNumberFormat="1" applyFont="1" applyFill="1" applyBorder="1" applyAlignment="1" applyProtection="1">
      <alignment horizontal="right"/>
      <protection locked="0"/>
    </xf>
    <xf numFmtId="0" fontId="12" fillId="0" borderId="4" xfId="0" applyNumberFormat="1" applyFont="1" applyFill="1" applyBorder="1" applyAlignment="1" applyProtection="1">
      <alignment horizontal="right"/>
      <protection locked="0"/>
    </xf>
    <xf numFmtId="164" fontId="11" fillId="0" borderId="0" xfId="0" applyNumberFormat="1" applyFont="1" applyFill="1" applyBorder="1" applyAlignment="1" applyProtection="1">
      <alignment horizontal="right"/>
      <protection locked="0"/>
    </xf>
    <xf numFmtId="0" fontId="11" fillId="0" borderId="0" xfId="0" applyNumberFormat="1" applyFont="1" applyFill="1" applyBorder="1" applyAlignment="1" applyProtection="1">
      <alignment horizontal="right"/>
      <protection locked="0"/>
    </xf>
    <xf numFmtId="3" fontId="11" fillId="0" borderId="2" xfId="0" applyNumberFormat="1" applyFont="1" applyFill="1" applyBorder="1" applyAlignment="1"/>
    <xf numFmtId="164" fontId="11" fillId="0" borderId="2" xfId="0" applyNumberFormat="1" applyFont="1" applyFill="1" applyBorder="1" applyAlignment="1" applyProtection="1">
      <alignment horizontal="right"/>
      <protection locked="0"/>
    </xf>
    <xf numFmtId="3" fontId="11" fillId="0" borderId="5" xfId="0" applyNumberFormat="1" applyFont="1" applyFill="1" applyBorder="1" applyAlignment="1"/>
    <xf numFmtId="164" fontId="11" fillId="0" borderId="5" xfId="0" applyNumberFormat="1" applyFont="1" applyFill="1" applyBorder="1" applyAlignment="1" applyProtection="1">
      <alignment horizontal="right"/>
      <protection locked="0"/>
    </xf>
    <xf numFmtId="3" fontId="12" fillId="0" borderId="5" xfId="0" applyNumberFormat="1" applyFont="1" applyFill="1" applyBorder="1" applyAlignment="1" applyProtection="1">
      <alignment horizontal="right"/>
      <protection locked="0"/>
    </xf>
    <xf numFmtId="3" fontId="11" fillId="0" borderId="6" xfId="0" applyNumberFormat="1" applyFont="1" applyFill="1" applyBorder="1" applyAlignment="1"/>
    <xf numFmtId="164" fontId="11" fillId="0" borderId="6" xfId="0" applyNumberFormat="1" applyFont="1" applyFill="1" applyBorder="1" applyAlignment="1" applyProtection="1">
      <alignment horizontal="right"/>
      <protection locked="0"/>
    </xf>
    <xf numFmtId="3" fontId="12" fillId="0" borderId="6" xfId="0" applyNumberFormat="1" applyFont="1" applyFill="1" applyBorder="1" applyAlignment="1" applyProtection="1">
      <alignment horizontal="right"/>
      <protection locked="0"/>
    </xf>
    <xf numFmtId="164" fontId="12" fillId="0" borderId="0" xfId="0" applyNumberFormat="1" applyFont="1" applyFill="1"/>
    <xf numFmtId="165" fontId="12" fillId="0" borderId="4" xfId="1" applyNumberFormat="1" applyFont="1" applyFill="1" applyBorder="1"/>
    <xf numFmtId="0" fontId="12" fillId="0" borderId="0" xfId="0" applyFont="1" applyFill="1" applyBorder="1"/>
    <xf numFmtId="43" fontId="12" fillId="0" borderId="0" xfId="1" applyFont="1" applyBorder="1"/>
    <xf numFmtId="164" fontId="2" fillId="2" borderId="2" xfId="0" applyNumberFormat="1" applyFont="1" applyFill="1" applyBorder="1" applyAlignment="1" applyProtection="1">
      <alignment horizontal="right"/>
      <protection locked="0"/>
    </xf>
    <xf numFmtId="0" fontId="5" fillId="0" borderId="1" xfId="0" applyFont="1" applyFill="1" applyBorder="1" applyProtection="1">
      <protection locked="0"/>
    </xf>
    <xf numFmtId="10" fontId="2" fillId="0" borderId="1" xfId="0" applyNumberFormat="1" applyFont="1" applyFill="1" applyBorder="1" applyAlignment="1" applyProtection="1">
      <alignment horizontal="right"/>
      <protection locked="0"/>
    </xf>
    <xf numFmtId="164" fontId="12" fillId="0" borderId="4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left"/>
    </xf>
    <xf numFmtId="164" fontId="2" fillId="0" borderId="0" xfId="0" applyNumberFormat="1" applyFont="1" applyFill="1" applyBorder="1" applyProtection="1">
      <protection locked="0"/>
    </xf>
    <xf numFmtId="164" fontId="2" fillId="2" borderId="2" xfId="0" applyNumberFormat="1" applyFont="1" applyFill="1" applyBorder="1" applyProtection="1">
      <protection locked="0"/>
    </xf>
    <xf numFmtId="10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11" xfId="0" applyNumberFormat="1" applyFont="1" applyFill="1" applyBorder="1" applyAlignment="1" applyProtection="1">
      <alignment horizontal="right"/>
      <protection locked="0"/>
    </xf>
    <xf numFmtId="15" fontId="12" fillId="0" borderId="0" xfId="0" applyNumberFormat="1" applyFont="1" applyFill="1" applyAlignment="1">
      <alignment horizontal="center"/>
    </xf>
    <xf numFmtId="164" fontId="2" fillId="0" borderId="4" xfId="0" applyNumberFormat="1" applyFont="1" applyFill="1" applyBorder="1" applyAlignment="1" applyProtection="1">
      <alignment horizontal="right" vertical="center"/>
      <protection locked="0"/>
    </xf>
    <xf numFmtId="164" fontId="2" fillId="0" borderId="4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43" fontId="12" fillId="0" borderId="0" xfId="1" applyNumberFormat="1" applyFont="1"/>
    <xf numFmtId="165" fontId="2" fillId="0" borderId="0" xfId="1" applyNumberFormat="1" applyFont="1" applyFill="1" applyBorder="1" applyAlignment="1" applyProtection="1">
      <alignment horizontal="right"/>
      <protection locked="0"/>
    </xf>
    <xf numFmtId="164" fontId="5" fillId="0" borderId="0" xfId="0" applyNumberFormat="1" applyFont="1" applyFill="1" applyBorder="1" applyProtection="1">
      <protection locked="0"/>
    </xf>
    <xf numFmtId="0" fontId="16" fillId="0" borderId="0" xfId="0" applyFont="1" applyFill="1" applyBorder="1" applyProtection="1">
      <protection locked="0"/>
    </xf>
    <xf numFmtId="0" fontId="12" fillId="0" borderId="10" xfId="0" applyFont="1" applyBorder="1" applyAlignment="1">
      <alignment horizontal="right"/>
    </xf>
    <xf numFmtId="0" fontId="12" fillId="0" borderId="0" xfId="0" applyFont="1" applyFill="1" applyAlignment="1">
      <alignment horizontal="center"/>
    </xf>
    <xf numFmtId="43" fontId="12" fillId="0" borderId="0" xfId="1" applyFont="1" applyFill="1" applyAlignment="1">
      <alignment horizontal="center"/>
    </xf>
    <xf numFmtId="4" fontId="12" fillId="0" borderId="0" xfId="0" applyNumberFormat="1" applyFont="1" applyFill="1" applyAlignment="1">
      <alignment horizontal="center"/>
    </xf>
    <xf numFmtId="0" fontId="12" fillId="0" borderId="0" xfId="0" applyFont="1" applyFill="1" applyAlignment="1">
      <alignment horizontal="center" vertical="center"/>
    </xf>
    <xf numFmtId="15" fontId="12" fillId="0" borderId="0" xfId="0" applyNumberFormat="1" applyFont="1" applyFill="1"/>
    <xf numFmtId="0" fontId="11" fillId="0" borderId="0" xfId="0" applyFont="1" applyFill="1" applyBorder="1"/>
    <xf numFmtId="0" fontId="11" fillId="0" borderId="0" xfId="0" applyFont="1" applyFill="1" applyBorder="1" applyAlignment="1">
      <alignment horizontal="center"/>
    </xf>
    <xf numFmtId="3" fontId="12" fillId="0" borderId="0" xfId="0" applyNumberFormat="1" applyFont="1" applyFill="1"/>
    <xf numFmtId="164" fontId="11" fillId="4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43" fontId="12" fillId="0" borderId="12" xfId="1" applyFont="1" applyBorder="1"/>
    <xf numFmtId="43" fontId="12" fillId="0" borderId="13" xfId="1" applyFont="1" applyBorder="1"/>
    <xf numFmtId="164" fontId="12" fillId="0" borderId="4" xfId="1" applyNumberFormat="1" applyFont="1" applyFill="1" applyBorder="1"/>
    <xf numFmtId="0" fontId="2" fillId="2" borderId="2" xfId="0" applyFont="1" applyFill="1" applyBorder="1" applyProtection="1">
      <protection locked="0"/>
    </xf>
    <xf numFmtId="0" fontId="17" fillId="0" borderId="0" xfId="0" applyFont="1" applyFill="1" applyBorder="1" applyProtection="1">
      <protection locked="0"/>
    </xf>
    <xf numFmtId="0" fontId="5" fillId="0" borderId="0" xfId="0" applyNumberFormat="1" applyFont="1" applyFill="1" applyBorder="1" applyAlignment="1" applyProtection="1">
      <alignment horizontal="center"/>
      <protection locked="0"/>
    </xf>
    <xf numFmtId="0" fontId="3" fillId="0" borderId="1" xfId="0" applyFont="1" applyFill="1" applyBorder="1" applyProtection="1">
      <protection locked="0"/>
    </xf>
    <xf numFmtId="10" fontId="4" fillId="0" borderId="1" xfId="0" applyNumberFormat="1" applyFont="1" applyFill="1" applyBorder="1" applyAlignment="1" applyProtection="1">
      <alignment horizontal="right"/>
      <protection locked="0"/>
    </xf>
    <xf numFmtId="0" fontId="12" fillId="0" borderId="0" xfId="0" applyFont="1" applyAlignment="1">
      <alignment horizontal="left" vertical="center"/>
    </xf>
    <xf numFmtId="0" fontId="11" fillId="3" borderId="8" xfId="0" applyFont="1" applyFill="1" applyBorder="1"/>
    <xf numFmtId="43" fontId="18" fillId="0" borderId="0" xfId="1" applyFont="1"/>
    <xf numFmtId="164" fontId="12" fillId="0" borderId="4" xfId="1" applyNumberFormat="1" applyFont="1" applyBorder="1"/>
    <xf numFmtId="0" fontId="2" fillId="2" borderId="2" xfId="0" applyFont="1" applyFill="1" applyBorder="1" applyProtection="1">
      <protection locked="0"/>
    </xf>
    <xf numFmtId="167" fontId="2" fillId="2" borderId="2" xfId="0" applyNumberFormat="1" applyFont="1" applyFill="1" applyBorder="1" applyAlignment="1" applyProtection="1">
      <alignment horizontal="right"/>
      <protection locked="0"/>
    </xf>
    <xf numFmtId="165" fontId="2" fillId="5" borderId="0" xfId="1" applyNumberFormat="1" applyFont="1" applyFill="1" applyBorder="1" applyProtection="1">
      <protection locked="0"/>
    </xf>
    <xf numFmtId="4" fontId="1" fillId="0" borderId="0" xfId="0" applyNumberFormat="1" applyFont="1" applyAlignment="1">
      <alignment vertical="center" wrapText="1"/>
    </xf>
    <xf numFmtId="43" fontId="12" fillId="0" borderId="0" xfId="0" applyNumberFormat="1" applyFont="1" applyFill="1"/>
    <xf numFmtId="15" fontId="1" fillId="0" borderId="0" xfId="0" applyNumberFormat="1" applyFont="1" applyAlignment="1">
      <alignment vertical="center" wrapText="1"/>
    </xf>
    <xf numFmtId="3" fontId="2" fillId="6" borderId="0" xfId="0" applyNumberFormat="1" applyFont="1" applyFill="1" applyBorder="1" applyProtection="1">
      <protection locked="0"/>
    </xf>
    <xf numFmtId="165" fontId="2" fillId="6" borderId="0" xfId="1" applyNumberFormat="1" applyFont="1" applyFill="1" applyBorder="1" applyProtection="1">
      <protection locked="0"/>
    </xf>
    <xf numFmtId="3" fontId="2" fillId="6" borderId="0" xfId="0" applyNumberFormat="1" applyFont="1" applyFill="1" applyBorder="1" applyAlignment="1" applyProtection="1">
      <alignment horizontal="right"/>
      <protection locked="0"/>
    </xf>
    <xf numFmtId="3" fontId="2" fillId="6" borderId="0" xfId="0" applyNumberFormat="1" applyFont="1" applyFill="1" applyBorder="1" applyAlignment="1" applyProtection="1">
      <protection locked="0"/>
    </xf>
    <xf numFmtId="3" fontId="2" fillId="6" borderId="1" xfId="0" applyNumberFormat="1" applyFont="1" applyFill="1" applyBorder="1" applyAlignment="1" applyProtection="1">
      <protection locked="0"/>
    </xf>
    <xf numFmtId="3" fontId="12" fillId="6" borderId="0" xfId="0" applyNumberFormat="1" applyFont="1" applyFill="1" applyBorder="1" applyProtection="1">
      <protection locked="0"/>
    </xf>
    <xf numFmtId="3" fontId="12" fillId="6" borderId="0" xfId="0" applyNumberFormat="1" applyFont="1" applyFill="1" applyBorder="1" applyAlignment="1" applyProtection="1">
      <alignment horizontal="right"/>
      <protection locked="0"/>
    </xf>
    <xf numFmtId="3" fontId="14" fillId="6" borderId="0" xfId="0" applyNumberFormat="1" applyFont="1" applyFill="1" applyBorder="1" applyAlignment="1" applyProtection="1">
      <alignment horizontal="right"/>
      <protection locked="0"/>
    </xf>
    <xf numFmtId="3" fontId="12" fillId="6" borderId="0" xfId="0" applyNumberFormat="1" applyFont="1" applyFill="1" applyBorder="1" applyAlignment="1" applyProtection="1">
      <protection locked="0"/>
    </xf>
    <xf numFmtId="3" fontId="12" fillId="6" borderId="1" xfId="0" applyNumberFormat="1" applyFont="1" applyFill="1" applyBorder="1" applyAlignment="1" applyProtection="1">
      <protection locked="0"/>
    </xf>
    <xf numFmtId="43" fontId="12" fillId="0" borderId="14" xfId="1" applyFont="1" applyBorder="1"/>
    <xf numFmtId="43" fontId="12" fillId="0" borderId="15" xfId="1" applyFont="1" applyBorder="1"/>
    <xf numFmtId="43" fontId="12" fillId="0" borderId="16" xfId="1" applyFont="1" applyBorder="1"/>
    <xf numFmtId="43" fontId="12" fillId="0" borderId="17" xfId="1" applyFont="1" applyBorder="1"/>
    <xf numFmtId="43" fontId="11" fillId="0" borderId="16" xfId="1" applyFont="1" applyBorder="1"/>
    <xf numFmtId="0" fontId="12" fillId="0" borderId="0" xfId="0" applyFont="1" applyBorder="1"/>
    <xf numFmtId="0" fontId="12" fillId="0" borderId="14" xfId="0" applyFont="1" applyBorder="1"/>
    <xf numFmtId="43" fontId="12" fillId="0" borderId="6" xfId="1" applyFont="1" applyBorder="1"/>
    <xf numFmtId="43" fontId="11" fillId="0" borderId="12" xfId="1" applyFont="1" applyBorder="1"/>
    <xf numFmtId="165" fontId="12" fillId="0" borderId="0" xfId="0" applyNumberFormat="1" applyFont="1"/>
    <xf numFmtId="43" fontId="12" fillId="0" borderId="0" xfId="0" applyNumberFormat="1" applyFont="1"/>
    <xf numFmtId="43" fontId="12" fillId="0" borderId="14" xfId="0" applyNumberFormat="1" applyFont="1" applyBorder="1"/>
    <xf numFmtId="43" fontId="12" fillId="0" borderId="16" xfId="0" applyNumberFormat="1" applyFont="1" applyBorder="1"/>
    <xf numFmtId="0" fontId="12" fillId="0" borderId="16" xfId="0" applyFont="1" applyBorder="1"/>
    <xf numFmtId="164" fontId="12" fillId="0" borderId="10" xfId="1" applyNumberFormat="1" applyFont="1" applyBorder="1" applyAlignment="1">
      <alignment horizontal="center"/>
    </xf>
    <xf numFmtId="164" fontId="12" fillId="0" borderId="3" xfId="1" applyNumberFormat="1" applyFont="1" applyBorder="1" applyAlignment="1">
      <alignment horizontal="center"/>
    </xf>
    <xf numFmtId="164" fontId="12" fillId="0" borderId="2" xfId="1" applyNumberFormat="1" applyFont="1" applyBorder="1" applyAlignment="1">
      <alignment horizontal="center"/>
    </xf>
    <xf numFmtId="164" fontId="12" fillId="0" borderId="10" xfId="1" applyNumberFormat="1" applyFont="1" applyFill="1" applyBorder="1" applyAlignment="1">
      <alignment horizontal="center"/>
    </xf>
    <xf numFmtId="164" fontId="12" fillId="0" borderId="2" xfId="1" applyNumberFormat="1" applyFont="1" applyFill="1" applyBorder="1" applyAlignment="1">
      <alignment horizontal="center"/>
    </xf>
    <xf numFmtId="164" fontId="12" fillId="0" borderId="3" xfId="1" applyNumberFormat="1" applyFont="1" applyFill="1" applyBorder="1" applyAlignment="1">
      <alignment horizontal="center"/>
    </xf>
    <xf numFmtId="0" fontId="2" fillId="2" borderId="2" xfId="0" applyFont="1" applyFill="1" applyBorder="1" applyProtection="1"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showGridLines="0" workbookViewId="0">
      <selection activeCell="B10" sqref="B10"/>
    </sheetView>
  </sheetViews>
  <sheetFormatPr defaultColWidth="9.140625" defaultRowHeight="13.5" x14ac:dyDescent="0.25"/>
  <cols>
    <col min="1" max="1" width="21.5703125" style="23" customWidth="1"/>
    <col min="2" max="2" width="21.42578125" style="23" customWidth="1"/>
    <col min="3" max="3" width="17.42578125" style="23" customWidth="1"/>
    <col min="4" max="4" width="24.5703125" style="23" bestFit="1" customWidth="1"/>
    <col min="5" max="5" width="33.42578125" style="23" customWidth="1"/>
    <col min="6" max="6" width="9.28515625" style="23" bestFit="1" customWidth="1"/>
    <col min="7" max="7" width="17.5703125" style="23" customWidth="1"/>
    <col min="8" max="8" width="18.85546875" style="23" customWidth="1"/>
    <col min="9" max="9" width="15" style="23" customWidth="1"/>
    <col min="10" max="10" width="19.28515625" style="23" customWidth="1"/>
    <col min="11" max="11" width="22" style="23" customWidth="1"/>
    <col min="12" max="16384" width="9.140625" style="23"/>
  </cols>
  <sheetData>
    <row r="1" spans="1:11" x14ac:dyDescent="0.25">
      <c r="A1" s="43" t="s">
        <v>15</v>
      </c>
      <c r="B1" s="23" t="s">
        <v>70</v>
      </c>
    </row>
    <row r="2" spans="1:11" x14ac:dyDescent="0.25">
      <c r="A2" s="43" t="s">
        <v>16</v>
      </c>
      <c r="B2" s="23" t="s">
        <v>44</v>
      </c>
    </row>
    <row r="3" spans="1:11" x14ac:dyDescent="0.25">
      <c r="A3" s="43" t="s">
        <v>17</v>
      </c>
      <c r="B3" s="23" t="s">
        <v>71</v>
      </c>
    </row>
    <row r="4" spans="1:11" x14ac:dyDescent="0.25">
      <c r="A4" s="43" t="s">
        <v>72</v>
      </c>
      <c r="B4" s="147" t="s">
        <v>80</v>
      </c>
    </row>
    <row r="6" spans="1:11" ht="14.25" thickBot="1" x14ac:dyDescent="0.3">
      <c r="G6" s="53"/>
      <c r="H6" s="53"/>
      <c r="I6" s="53"/>
      <c r="J6" s="53"/>
      <c r="K6" s="53"/>
    </row>
    <row r="7" spans="1:11" ht="15.75" thickBot="1" x14ac:dyDescent="0.35">
      <c r="A7" s="85" t="s">
        <v>18</v>
      </c>
      <c r="B7" s="86" t="s">
        <v>19</v>
      </c>
      <c r="C7" s="86" t="s">
        <v>20</v>
      </c>
      <c r="D7" s="148" t="s">
        <v>21</v>
      </c>
      <c r="E7" s="122" t="s">
        <v>64</v>
      </c>
      <c r="G7" s="134"/>
      <c r="H7" s="135"/>
      <c r="I7" s="135"/>
      <c r="J7" s="134"/>
      <c r="K7" s="135"/>
    </row>
    <row r="8" spans="1:11" x14ac:dyDescent="0.25">
      <c r="A8" s="78">
        <v>1</v>
      </c>
      <c r="B8" s="119">
        <v>42935</v>
      </c>
      <c r="C8" s="79">
        <v>123820000</v>
      </c>
      <c r="D8" s="80">
        <f>C8</f>
        <v>123820000</v>
      </c>
      <c r="E8" s="123" t="s">
        <v>81</v>
      </c>
      <c r="F8" s="44"/>
      <c r="G8" s="129"/>
      <c r="H8" s="119"/>
      <c r="I8" s="130"/>
      <c r="J8" s="131"/>
      <c r="K8" s="132"/>
    </row>
    <row r="9" spans="1:11" x14ac:dyDescent="0.25">
      <c r="A9" s="78">
        <v>2</v>
      </c>
      <c r="B9" s="119">
        <v>43151</v>
      </c>
      <c r="C9" s="79">
        <v>950080000</v>
      </c>
      <c r="D9" s="80">
        <f>D8+C9</f>
        <v>1073900000</v>
      </c>
      <c r="E9" s="123" t="s">
        <v>81</v>
      </c>
      <c r="F9" s="44"/>
      <c r="G9" s="129"/>
      <c r="H9" s="119"/>
      <c r="I9" s="130"/>
      <c r="J9" s="131"/>
      <c r="K9" s="132"/>
    </row>
    <row r="10" spans="1:11" x14ac:dyDescent="0.25">
      <c r="A10" s="78">
        <v>3</v>
      </c>
      <c r="B10" s="119">
        <v>43382</v>
      </c>
      <c r="C10" s="79">
        <v>196100000</v>
      </c>
      <c r="D10" s="80">
        <f>D9+C10</f>
        <v>1270000000</v>
      </c>
      <c r="E10" s="123" t="s">
        <v>81</v>
      </c>
      <c r="G10" s="129"/>
      <c r="H10" s="119"/>
      <c r="I10" s="130"/>
      <c r="J10" s="131"/>
      <c r="K10" s="132"/>
    </row>
    <row r="11" spans="1:11" x14ac:dyDescent="0.25">
      <c r="A11" s="78"/>
      <c r="B11" s="119"/>
      <c r="C11" s="79"/>
      <c r="D11" s="80"/>
      <c r="E11" s="123"/>
      <c r="G11" s="129"/>
      <c r="H11" s="119"/>
      <c r="I11" s="130"/>
      <c r="J11" s="131"/>
      <c r="K11" s="132"/>
    </row>
    <row r="12" spans="1:11" x14ac:dyDescent="0.25">
      <c r="B12" s="44"/>
      <c r="C12" s="30"/>
      <c r="D12" s="45"/>
      <c r="G12" s="133"/>
      <c r="H12" s="53"/>
      <c r="I12" s="53"/>
      <c r="J12" s="53"/>
      <c r="K12" s="53"/>
    </row>
    <row r="13" spans="1:11" x14ac:dyDescent="0.25">
      <c r="B13" s="44"/>
      <c r="C13" s="30"/>
      <c r="D13" s="45"/>
      <c r="G13" s="44"/>
    </row>
    <row r="14" spans="1:11" x14ac:dyDescent="0.25">
      <c r="B14" s="44"/>
      <c r="C14" s="30"/>
      <c r="D14" s="45"/>
      <c r="G14" s="44"/>
    </row>
    <row r="15" spans="1:11" x14ac:dyDescent="0.25">
      <c r="B15" s="44"/>
      <c r="C15" s="30"/>
      <c r="D15" s="45"/>
      <c r="G15" s="44"/>
    </row>
    <row r="16" spans="1:11" x14ac:dyDescent="0.25">
      <c r="B16" s="44"/>
      <c r="C16" s="30"/>
      <c r="D16" s="45"/>
      <c r="E16" s="23" t="s">
        <v>43</v>
      </c>
      <c r="G16" s="44"/>
    </row>
    <row r="17" spans="7:7" x14ac:dyDescent="0.25">
      <c r="G17" s="44"/>
    </row>
    <row r="18" spans="7:7" x14ac:dyDescent="0.25">
      <c r="G18" s="44"/>
    </row>
    <row r="19" spans="7:7" x14ac:dyDescent="0.25">
      <c r="G19" s="44"/>
    </row>
    <row r="20" spans="7:7" x14ac:dyDescent="0.25">
      <c r="G20" s="44"/>
    </row>
    <row r="21" spans="7:7" x14ac:dyDescent="0.25">
      <c r="G21" s="44"/>
    </row>
    <row r="22" spans="7:7" x14ac:dyDescent="0.25">
      <c r="G22" s="4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R42"/>
  <sheetViews>
    <sheetView showGridLines="0" tabSelected="1" zoomScaleNormal="100" workbookViewId="0">
      <pane xSplit="1" ySplit="1" topLeftCell="AJ2" activePane="bottomRight" state="frozen"/>
      <selection activeCell="B31" sqref="B31"/>
      <selection pane="topRight" activeCell="B31" sqref="B31"/>
      <selection pane="bottomLeft" activeCell="B31" sqref="B31"/>
      <selection pane="bottomRight" activeCell="AM27" sqref="AM27"/>
    </sheetView>
  </sheetViews>
  <sheetFormatPr defaultColWidth="9.140625" defaultRowHeight="13.5" x14ac:dyDescent="0.25"/>
  <cols>
    <col min="1" max="1" width="30.140625" style="36" bestFit="1" customWidth="1"/>
    <col min="2" max="2" width="14.5703125" style="23" bestFit="1" customWidth="1"/>
    <col min="3" max="4" width="16" style="23" bestFit="1" customWidth="1"/>
    <col min="5" max="8" width="15.5703125" style="23" bestFit="1" customWidth="1"/>
    <col min="9" max="69" width="16.28515625" style="23" bestFit="1" customWidth="1"/>
    <col min="70" max="85" width="17.28515625" style="23" bestFit="1" customWidth="1"/>
    <col min="86" max="88" width="17.28515625" style="23" customWidth="1"/>
    <col min="89" max="90" width="17.28515625" style="23" bestFit="1" customWidth="1"/>
    <col min="91" max="92" width="17.28515625" style="23" customWidth="1"/>
    <col min="93" max="93" width="17.28515625" style="23" bestFit="1" customWidth="1"/>
    <col min="94" max="98" width="17.28515625" style="23" customWidth="1"/>
    <col min="99" max="121" width="16.28515625" style="23" bestFit="1" customWidth="1"/>
    <col min="122" max="16384" width="9.140625" style="23"/>
  </cols>
  <sheetData>
    <row r="1" spans="1:121" ht="15" x14ac:dyDescent="0.3">
      <c r="B1" s="28">
        <f>'Accrual_MCML '!B22</f>
        <v>42948</v>
      </c>
      <c r="C1" s="28">
        <f>'Accrual_MCML '!C22</f>
        <v>42979</v>
      </c>
      <c r="D1" s="28">
        <f>'Accrual_MCML '!D22</f>
        <v>43009</v>
      </c>
      <c r="E1" s="28">
        <f>'Accrual_MCML '!E22</f>
        <v>43040</v>
      </c>
      <c r="F1" s="28">
        <f>'Accrual_MCML '!F22</f>
        <v>43070</v>
      </c>
      <c r="G1" s="28">
        <f>'Accrual_MCML '!G22</f>
        <v>43101</v>
      </c>
      <c r="H1" s="28">
        <f>'Accrual_MCML '!H22</f>
        <v>43132</v>
      </c>
      <c r="I1" s="28">
        <f>'Accrual_MCML '!I22</f>
        <v>43160</v>
      </c>
      <c r="J1" s="28">
        <f>'Accrual_MCML '!J22</f>
        <v>43191</v>
      </c>
      <c r="K1" s="28">
        <f>'Accrual_MCML '!K22</f>
        <v>43221</v>
      </c>
      <c r="L1" s="28">
        <f>'Accrual_MCML '!L22</f>
        <v>43252</v>
      </c>
      <c r="M1" s="28">
        <f>'Accrual_MCML '!M22</f>
        <v>43282</v>
      </c>
      <c r="N1" s="28">
        <f>'Accrual_MCML '!N22</f>
        <v>43313</v>
      </c>
      <c r="O1" s="28">
        <f>'Accrual_MCML '!O22</f>
        <v>43344</v>
      </c>
      <c r="P1" s="28">
        <f>'Accrual_MCML '!P22</f>
        <v>43374</v>
      </c>
      <c r="Q1" s="28">
        <f>'Accrual_MCML '!Q22</f>
        <v>43405</v>
      </c>
      <c r="R1" s="28">
        <f>'Accrual_MCML '!R22</f>
        <v>43435</v>
      </c>
      <c r="S1" s="28">
        <f>'Accrual_MCML '!S22</f>
        <v>43466</v>
      </c>
      <c r="T1" s="28">
        <f>'Accrual_MCML '!T22</f>
        <v>43497</v>
      </c>
      <c r="U1" s="28">
        <f>'Accrual_MCML '!U22</f>
        <v>43525</v>
      </c>
      <c r="V1" s="28">
        <f>'Accrual_MCML '!V22</f>
        <v>43556</v>
      </c>
      <c r="W1" s="28">
        <f>'Accrual_MCML '!W22</f>
        <v>43586</v>
      </c>
      <c r="X1" s="28">
        <f>'Accrual_MCML '!X22</f>
        <v>43617</v>
      </c>
      <c r="Y1" s="28">
        <f>'Accrual_MCML '!Y22</f>
        <v>43647</v>
      </c>
      <c r="Z1" s="28">
        <f>'Accrual_MCML '!Z22</f>
        <v>43678</v>
      </c>
      <c r="AA1" s="28">
        <f>'Accrual_MCML '!AA22</f>
        <v>43709</v>
      </c>
      <c r="AB1" s="28">
        <f>'Accrual_MCML '!AB22</f>
        <v>43739</v>
      </c>
      <c r="AC1" s="28">
        <f>'Accrual_MCML '!AC22</f>
        <v>43770</v>
      </c>
      <c r="AD1" s="28">
        <f>'Accrual_MCML '!AD22</f>
        <v>43800</v>
      </c>
      <c r="AE1" s="28">
        <f>'Accrual_MCML '!AE22</f>
        <v>43831</v>
      </c>
      <c r="AF1" s="28">
        <f>'Accrual_MCML '!AF22</f>
        <v>43862</v>
      </c>
      <c r="AG1" s="28">
        <f>'Accrual_MCML '!AG22</f>
        <v>43891</v>
      </c>
      <c r="AH1" s="28">
        <f>'Accrual_MCML '!AH22</f>
        <v>43922</v>
      </c>
      <c r="AI1" s="28">
        <f>'Accrual_MCML '!AI22</f>
        <v>43952</v>
      </c>
      <c r="AJ1" s="28">
        <f>'Accrual_MCML '!AJ22</f>
        <v>43983</v>
      </c>
      <c r="AK1" s="28">
        <f>'Accrual_MCML '!AK22</f>
        <v>44013</v>
      </c>
      <c r="AL1" s="28">
        <f>'Accrual_MCML '!AL22</f>
        <v>44044</v>
      </c>
      <c r="AM1" s="28">
        <f>'Accrual_MCML '!AM22</f>
        <v>44075</v>
      </c>
      <c r="AN1" s="28">
        <f>'Accrual_MCML '!AN22</f>
        <v>44105</v>
      </c>
      <c r="AO1" s="28">
        <f>'Accrual_MCML '!AO22</f>
        <v>44136</v>
      </c>
      <c r="AP1" s="28">
        <f>'Accrual_MCML '!AP22</f>
        <v>44166</v>
      </c>
      <c r="AQ1" s="28">
        <f>'Accrual_MCML '!AQ22</f>
        <v>44197</v>
      </c>
      <c r="AR1" s="28">
        <f>'Accrual_MCML '!AR22</f>
        <v>44228</v>
      </c>
      <c r="AS1" s="28">
        <f>'Accrual_MCML '!AS22</f>
        <v>44256</v>
      </c>
      <c r="AT1" s="28">
        <f>'Accrual_MCML '!AT22</f>
        <v>44287</v>
      </c>
      <c r="AU1" s="28">
        <f>'Accrual_MCML '!AU22</f>
        <v>44317</v>
      </c>
      <c r="AV1" s="28">
        <f>'Accrual_MCML '!AV22</f>
        <v>44348</v>
      </c>
      <c r="AW1" s="28">
        <f>'Accrual_MCML '!AW22</f>
        <v>44378</v>
      </c>
      <c r="AX1" s="28">
        <f>'Accrual_MCML '!AX22</f>
        <v>44409</v>
      </c>
      <c r="AY1" s="28">
        <f>'Accrual_MCML '!AY22</f>
        <v>44440</v>
      </c>
      <c r="AZ1" s="28">
        <f>'Accrual_MCML '!AZ22</f>
        <v>44470</v>
      </c>
      <c r="BA1" s="28">
        <f>'Accrual_MCML '!BA22</f>
        <v>44501</v>
      </c>
      <c r="BB1" s="28">
        <f>'Accrual_MCML '!BB22</f>
        <v>44531</v>
      </c>
      <c r="BC1" s="28">
        <f>'Accrual_MCML '!BC22</f>
        <v>44562</v>
      </c>
      <c r="BD1" s="28">
        <f>'Accrual_MCML '!BD22</f>
        <v>44593</v>
      </c>
      <c r="BE1" s="28">
        <f>'Accrual_MCML '!BE22</f>
        <v>44621</v>
      </c>
      <c r="BF1" s="28">
        <f>'Accrual_MCML '!BF22</f>
        <v>44652</v>
      </c>
      <c r="BG1" s="28">
        <f>'Accrual_MCML '!BG22</f>
        <v>44682</v>
      </c>
      <c r="BH1" s="28">
        <f>'Accrual_MCML '!BH22</f>
        <v>44713</v>
      </c>
      <c r="BI1" s="28">
        <f>'Accrual_MCML '!BI22</f>
        <v>44743</v>
      </c>
      <c r="BJ1" s="28">
        <f>'Accrual_MCML '!BJ22</f>
        <v>44774</v>
      </c>
      <c r="BK1" s="28">
        <f>'Accrual_MCML '!BK22</f>
        <v>44805</v>
      </c>
      <c r="BL1" s="28">
        <f>'Accrual_MCML '!BL22</f>
        <v>44835</v>
      </c>
      <c r="BM1" s="28">
        <f>'Accrual_MCML '!BM22</f>
        <v>44866</v>
      </c>
      <c r="BN1" s="28">
        <f>'Accrual_MCML '!BN22</f>
        <v>44896</v>
      </c>
      <c r="BO1" s="28">
        <f>'Accrual_MCML '!BO22</f>
        <v>44927</v>
      </c>
      <c r="BP1" s="28">
        <f>'Accrual_MCML '!BP22</f>
        <v>44958</v>
      </c>
      <c r="BQ1" s="28">
        <f>'Accrual_MCML '!BQ22</f>
        <v>44986</v>
      </c>
      <c r="BR1" s="28">
        <f>'Accrual_MCML '!BR22</f>
        <v>45017</v>
      </c>
      <c r="BS1" s="28">
        <f>'Accrual_MCML '!BS22</f>
        <v>45047</v>
      </c>
      <c r="BT1" s="28">
        <f>'Accrual_MCML '!BT22</f>
        <v>45078</v>
      </c>
      <c r="BU1" s="28">
        <f>'Accrual_MCML '!BU22</f>
        <v>45108</v>
      </c>
      <c r="BV1" s="28">
        <f>'Accrual_MCML '!BV22</f>
        <v>45139</v>
      </c>
      <c r="BW1" s="28">
        <f>'Accrual_MCML '!BW22</f>
        <v>45170</v>
      </c>
      <c r="BX1" s="28">
        <f>'Accrual_MCML '!BX22</f>
        <v>45200</v>
      </c>
      <c r="BY1" s="28">
        <f>'Accrual_MCML '!BY22</f>
        <v>45231</v>
      </c>
      <c r="BZ1" s="28">
        <f>'Accrual_MCML '!BZ22</f>
        <v>45261</v>
      </c>
      <c r="CA1" s="28">
        <f>'Accrual_MCML '!CA22</f>
        <v>45292</v>
      </c>
      <c r="CB1" s="28">
        <f>'Accrual_MCML '!CB22</f>
        <v>45323</v>
      </c>
      <c r="CC1" s="28">
        <f>'Accrual_MCML '!CC22</f>
        <v>45352</v>
      </c>
      <c r="CD1" s="28">
        <f>'Accrual_MCML '!CD22</f>
        <v>45383</v>
      </c>
      <c r="CE1" s="28">
        <f>'Accrual_MCML '!CE22</f>
        <v>45413</v>
      </c>
      <c r="CF1" s="28">
        <f>'Accrual_MCML '!CF22</f>
        <v>45444</v>
      </c>
      <c r="CG1" s="28">
        <f>'Accrual_MCML '!CG22</f>
        <v>45474</v>
      </c>
      <c r="CH1" s="28">
        <f>'Accrual_MCML '!CH22</f>
        <v>45505</v>
      </c>
      <c r="CI1" s="28">
        <f>'Accrual_MCML '!CI22</f>
        <v>45536</v>
      </c>
      <c r="CJ1" s="28">
        <f>'Accrual_MCML '!CJ22</f>
        <v>45566</v>
      </c>
      <c r="CK1" s="28">
        <f>'Accrual_MCML '!CK22</f>
        <v>45597</v>
      </c>
      <c r="CL1" s="28">
        <f>'Accrual_MCML '!CL22</f>
        <v>45627</v>
      </c>
      <c r="CM1" s="28">
        <f>'Accrual_MCML '!CM22</f>
        <v>45658</v>
      </c>
      <c r="CN1" s="28">
        <f>'Accrual_MCML '!CN22</f>
        <v>45689</v>
      </c>
      <c r="CO1" s="28">
        <f>'Accrual_MCML '!CO22</f>
        <v>45717</v>
      </c>
      <c r="CP1" s="28">
        <f>'Accrual_MCML '!CP22</f>
        <v>45748</v>
      </c>
      <c r="CQ1" s="28">
        <f>'Accrual_MCML '!CQ22</f>
        <v>45778</v>
      </c>
      <c r="CR1" s="28">
        <f>'Accrual_MCML '!CR22</f>
        <v>45809</v>
      </c>
      <c r="CS1" s="28">
        <f>'Accrual_MCML '!CS22</f>
        <v>45839</v>
      </c>
      <c r="CT1" s="28">
        <f>'Accrual_MCML '!CT22</f>
        <v>45870</v>
      </c>
      <c r="CU1" s="28">
        <f>'Accrual_MCML '!CU22</f>
        <v>45901</v>
      </c>
      <c r="CV1" s="28">
        <f>'Accrual_MCML '!CV22</f>
        <v>45931</v>
      </c>
      <c r="CW1" s="28">
        <f>'Accrual_MCML '!CW22</f>
        <v>45962</v>
      </c>
      <c r="CX1" s="28">
        <f>'Accrual_MCML '!CX22</f>
        <v>45992</v>
      </c>
      <c r="CY1" s="28">
        <f>'Accrual_MCML '!CY22</f>
        <v>46023</v>
      </c>
      <c r="CZ1" s="28">
        <f>'Accrual_MCML '!CZ22</f>
        <v>46054</v>
      </c>
      <c r="DA1" s="28">
        <f>'Accrual_MCML '!DA22</f>
        <v>46082</v>
      </c>
      <c r="DB1" s="28">
        <f>'Accrual_MCML '!DB22</f>
        <v>46113</v>
      </c>
      <c r="DC1" s="28">
        <f>'Accrual_MCML '!DC22</f>
        <v>46143</v>
      </c>
      <c r="DD1" s="28">
        <f>'Accrual_MCML '!DD22</f>
        <v>46174</v>
      </c>
      <c r="DE1" s="28">
        <f>'Accrual_MCML '!DE22</f>
        <v>46204</v>
      </c>
      <c r="DF1" s="28">
        <f>'Accrual_MCML '!DF22</f>
        <v>46235</v>
      </c>
      <c r="DG1" s="28">
        <f>'Accrual_MCML '!DG22</f>
        <v>46266</v>
      </c>
      <c r="DH1" s="28">
        <f>'Accrual_MCML '!DH22</f>
        <v>46296</v>
      </c>
      <c r="DI1" s="28">
        <f>'Accrual_MCML '!DI22</f>
        <v>46327</v>
      </c>
      <c r="DJ1" s="28">
        <f>'Accrual_MCML '!DJ22</f>
        <v>46357</v>
      </c>
      <c r="DK1" s="28">
        <f>'Accrual_MCML '!DK22</f>
        <v>46388</v>
      </c>
      <c r="DL1" s="28">
        <f>'Accrual_MCML '!DL22</f>
        <v>46419</v>
      </c>
      <c r="DM1" s="28">
        <f>'Accrual_MCML '!DM22</f>
        <v>46447</v>
      </c>
      <c r="DN1" s="28">
        <f>'Accrual_MCML '!DN22</f>
        <v>46478</v>
      </c>
      <c r="DO1" s="28">
        <f>'Accrual_MCML '!DO22</f>
        <v>46508</v>
      </c>
      <c r="DP1" s="28">
        <f>'Accrual_MCML '!DP22</f>
        <v>46539</v>
      </c>
      <c r="DQ1" s="28">
        <f>'Accrual_MCML '!DQ22</f>
        <v>46569</v>
      </c>
    </row>
    <row r="2" spans="1:121" ht="15" x14ac:dyDescent="0.3">
      <c r="A2" s="37" t="s">
        <v>22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</row>
    <row r="3" spans="1:121" x14ac:dyDescent="0.25">
      <c r="A3" s="38" t="s">
        <v>23</v>
      </c>
      <c r="B3" s="30">
        <f>'Accrual_MCML '!B23</f>
        <v>123820000</v>
      </c>
      <c r="C3" s="30">
        <f>'Accrual_MCML '!C23</f>
        <v>123820000</v>
      </c>
      <c r="D3" s="30">
        <f>'Accrual_MCML '!D23</f>
        <v>123820000</v>
      </c>
      <c r="E3" s="30">
        <f>'Accrual_MCML '!E23</f>
        <v>123820000</v>
      </c>
      <c r="F3" s="30">
        <f>'Accrual_MCML '!F23</f>
        <v>123820000</v>
      </c>
      <c r="G3" s="30">
        <f>'Accrual_MCML '!G23</f>
        <v>123820000</v>
      </c>
      <c r="H3" s="30">
        <f>'Accrual_MCML '!H23</f>
        <v>123820000</v>
      </c>
      <c r="I3" s="30">
        <f>'Accrual_MCML '!I23</f>
        <v>1073900000</v>
      </c>
      <c r="J3" s="30">
        <f>'Accrual_MCML '!J23</f>
        <v>1073900000</v>
      </c>
      <c r="K3" s="30">
        <f>'Accrual_MCML '!K23</f>
        <v>1073900000</v>
      </c>
      <c r="L3" s="30">
        <f>'Accrual_MCML '!L23</f>
        <v>1073900000</v>
      </c>
      <c r="M3" s="30">
        <f>'Accrual_MCML '!M23</f>
        <v>1073900000</v>
      </c>
      <c r="N3" s="30">
        <f>'Accrual_MCML '!N23</f>
        <v>1073900000</v>
      </c>
      <c r="O3" s="30">
        <f>'Accrual_MCML '!O23</f>
        <v>1073900000</v>
      </c>
      <c r="P3" s="30">
        <f>'Accrual_MCML '!P23</f>
        <v>1073900000</v>
      </c>
      <c r="Q3" s="30">
        <f>'Accrual_MCML '!Q23</f>
        <v>1270000000</v>
      </c>
      <c r="R3" s="30">
        <f t="shared" ref="R3:BU3" si="0">Q3</f>
        <v>1270000000</v>
      </c>
      <c r="S3" s="30">
        <f t="shared" si="0"/>
        <v>1270000000</v>
      </c>
      <c r="T3" s="30">
        <f t="shared" si="0"/>
        <v>1270000000</v>
      </c>
      <c r="U3" s="30">
        <f t="shared" si="0"/>
        <v>1270000000</v>
      </c>
      <c r="V3" s="30">
        <f t="shared" si="0"/>
        <v>1270000000</v>
      </c>
      <c r="W3" s="30">
        <f t="shared" si="0"/>
        <v>1270000000</v>
      </c>
      <c r="X3" s="30">
        <f t="shared" si="0"/>
        <v>1270000000</v>
      </c>
      <c r="Y3" s="30">
        <f t="shared" si="0"/>
        <v>1270000000</v>
      </c>
      <c r="Z3" s="30">
        <f t="shared" si="0"/>
        <v>1270000000</v>
      </c>
      <c r="AA3" s="30">
        <f t="shared" si="0"/>
        <v>1270000000</v>
      </c>
      <c r="AB3" s="30">
        <f t="shared" si="0"/>
        <v>1270000000</v>
      </c>
      <c r="AC3" s="30">
        <f t="shared" si="0"/>
        <v>1270000000</v>
      </c>
      <c r="AD3" s="30">
        <f t="shared" si="0"/>
        <v>1270000000</v>
      </c>
      <c r="AE3" s="30">
        <f t="shared" si="0"/>
        <v>1270000000</v>
      </c>
      <c r="AF3" s="30">
        <f t="shared" si="0"/>
        <v>1270000000</v>
      </c>
      <c r="AG3" s="30">
        <f t="shared" si="0"/>
        <v>1270000000</v>
      </c>
      <c r="AH3" s="30">
        <f t="shared" si="0"/>
        <v>1270000000</v>
      </c>
      <c r="AI3" s="30">
        <f t="shared" si="0"/>
        <v>1270000000</v>
      </c>
      <c r="AJ3" s="30">
        <f t="shared" si="0"/>
        <v>1270000000</v>
      </c>
      <c r="AK3" s="30">
        <f t="shared" si="0"/>
        <v>1270000000</v>
      </c>
      <c r="AL3" s="30">
        <f t="shared" si="0"/>
        <v>1270000000</v>
      </c>
      <c r="AM3" s="30">
        <f t="shared" si="0"/>
        <v>1270000000</v>
      </c>
      <c r="AN3" s="30">
        <f t="shared" si="0"/>
        <v>1270000000</v>
      </c>
      <c r="AO3" s="30">
        <f t="shared" si="0"/>
        <v>1270000000</v>
      </c>
      <c r="AP3" s="30">
        <f t="shared" si="0"/>
        <v>1270000000</v>
      </c>
      <c r="AQ3" s="30">
        <f t="shared" si="0"/>
        <v>1270000000</v>
      </c>
      <c r="AR3" s="30">
        <f t="shared" si="0"/>
        <v>1270000000</v>
      </c>
      <c r="AS3" s="30">
        <f t="shared" si="0"/>
        <v>1270000000</v>
      </c>
      <c r="AT3" s="30">
        <f t="shared" si="0"/>
        <v>1270000000</v>
      </c>
      <c r="AU3" s="30">
        <f t="shared" si="0"/>
        <v>1270000000</v>
      </c>
      <c r="AV3" s="30">
        <f t="shared" si="0"/>
        <v>1270000000</v>
      </c>
      <c r="AW3" s="30">
        <f t="shared" si="0"/>
        <v>1270000000</v>
      </c>
      <c r="AX3" s="30">
        <f t="shared" si="0"/>
        <v>1270000000</v>
      </c>
      <c r="AY3" s="30">
        <f t="shared" si="0"/>
        <v>1270000000</v>
      </c>
      <c r="AZ3" s="30">
        <f t="shared" si="0"/>
        <v>1270000000</v>
      </c>
      <c r="BA3" s="30">
        <f t="shared" si="0"/>
        <v>1270000000</v>
      </c>
      <c r="BB3" s="30">
        <f t="shared" si="0"/>
        <v>1270000000</v>
      </c>
      <c r="BC3" s="30">
        <f t="shared" si="0"/>
        <v>1270000000</v>
      </c>
      <c r="BD3" s="30">
        <f t="shared" si="0"/>
        <v>1270000000</v>
      </c>
      <c r="BE3" s="30">
        <f t="shared" si="0"/>
        <v>1270000000</v>
      </c>
      <c r="BF3" s="30">
        <f t="shared" si="0"/>
        <v>1270000000</v>
      </c>
      <c r="BG3" s="30">
        <f t="shared" si="0"/>
        <v>1270000000</v>
      </c>
      <c r="BH3" s="30">
        <f t="shared" si="0"/>
        <v>1270000000</v>
      </c>
      <c r="BI3" s="30">
        <f t="shared" si="0"/>
        <v>1270000000</v>
      </c>
      <c r="BJ3" s="30">
        <f t="shared" si="0"/>
        <v>1270000000</v>
      </c>
      <c r="BK3" s="30">
        <f t="shared" si="0"/>
        <v>1270000000</v>
      </c>
      <c r="BL3" s="30">
        <f t="shared" si="0"/>
        <v>1270000000</v>
      </c>
      <c r="BM3" s="30">
        <f t="shared" si="0"/>
        <v>1270000000</v>
      </c>
      <c r="BN3" s="30">
        <f t="shared" si="0"/>
        <v>1270000000</v>
      </c>
      <c r="BO3" s="30">
        <f t="shared" si="0"/>
        <v>1270000000</v>
      </c>
      <c r="BP3" s="30">
        <f t="shared" si="0"/>
        <v>1270000000</v>
      </c>
      <c r="BQ3" s="30">
        <f t="shared" si="0"/>
        <v>1270000000</v>
      </c>
      <c r="BR3" s="30">
        <f t="shared" si="0"/>
        <v>1270000000</v>
      </c>
      <c r="BS3" s="30">
        <f t="shared" si="0"/>
        <v>1270000000</v>
      </c>
      <c r="BT3" s="30">
        <f t="shared" si="0"/>
        <v>1270000000</v>
      </c>
      <c r="BU3" s="30">
        <f t="shared" si="0"/>
        <v>1270000000</v>
      </c>
      <c r="BV3" s="30">
        <f t="shared" ref="BV3:CS3" si="1">BU3</f>
        <v>1270000000</v>
      </c>
      <c r="BW3" s="30">
        <f t="shared" si="1"/>
        <v>1270000000</v>
      </c>
      <c r="BX3" s="30">
        <f t="shared" si="1"/>
        <v>1270000000</v>
      </c>
      <c r="BY3" s="30">
        <f t="shared" si="1"/>
        <v>1270000000</v>
      </c>
      <c r="BZ3" s="30">
        <f t="shared" si="1"/>
        <v>1270000000</v>
      </c>
      <c r="CA3" s="30">
        <f t="shared" si="1"/>
        <v>1270000000</v>
      </c>
      <c r="CB3" s="30">
        <f t="shared" si="1"/>
        <v>1270000000</v>
      </c>
      <c r="CC3" s="30">
        <f t="shared" si="1"/>
        <v>1270000000</v>
      </c>
      <c r="CD3" s="30">
        <f t="shared" si="1"/>
        <v>1270000000</v>
      </c>
      <c r="CE3" s="30">
        <f t="shared" si="1"/>
        <v>1270000000</v>
      </c>
      <c r="CF3" s="30">
        <f t="shared" si="1"/>
        <v>1270000000</v>
      </c>
      <c r="CG3" s="30">
        <f t="shared" si="1"/>
        <v>1270000000</v>
      </c>
      <c r="CH3" s="30">
        <f t="shared" si="1"/>
        <v>1270000000</v>
      </c>
      <c r="CI3" s="30">
        <f t="shared" si="1"/>
        <v>1270000000</v>
      </c>
      <c r="CJ3" s="30">
        <f t="shared" si="1"/>
        <v>1270000000</v>
      </c>
      <c r="CK3" s="30">
        <f t="shared" si="1"/>
        <v>1270000000</v>
      </c>
      <c r="CL3" s="30">
        <f t="shared" si="1"/>
        <v>1270000000</v>
      </c>
      <c r="CM3" s="30">
        <f t="shared" si="1"/>
        <v>1270000000</v>
      </c>
      <c r="CN3" s="30">
        <f t="shared" si="1"/>
        <v>1270000000</v>
      </c>
      <c r="CO3" s="30">
        <f t="shared" si="1"/>
        <v>1270000000</v>
      </c>
      <c r="CP3" s="30">
        <f t="shared" si="1"/>
        <v>1270000000</v>
      </c>
      <c r="CQ3" s="30">
        <f t="shared" si="1"/>
        <v>1270000000</v>
      </c>
      <c r="CR3" s="30">
        <f>CQ3</f>
        <v>1270000000</v>
      </c>
      <c r="CS3" s="30">
        <f t="shared" si="1"/>
        <v>1270000000</v>
      </c>
      <c r="CT3" s="124">
        <f>CS3</f>
        <v>1270000000</v>
      </c>
      <c r="CU3" s="124">
        <f t="shared" ref="CU3:DQ3" si="2">CT3</f>
        <v>1270000000</v>
      </c>
      <c r="CV3" s="124">
        <f t="shared" si="2"/>
        <v>1270000000</v>
      </c>
      <c r="CW3" s="124">
        <f t="shared" si="2"/>
        <v>1270000000</v>
      </c>
      <c r="CX3" s="124">
        <f t="shared" si="2"/>
        <v>1270000000</v>
      </c>
      <c r="CY3" s="124">
        <f t="shared" si="2"/>
        <v>1270000000</v>
      </c>
      <c r="CZ3" s="124">
        <f t="shared" si="2"/>
        <v>1270000000</v>
      </c>
      <c r="DA3" s="124">
        <f t="shared" si="2"/>
        <v>1270000000</v>
      </c>
      <c r="DB3" s="124">
        <f t="shared" si="2"/>
        <v>1270000000</v>
      </c>
      <c r="DC3" s="124">
        <f t="shared" si="2"/>
        <v>1270000000</v>
      </c>
      <c r="DD3" s="124">
        <f t="shared" si="2"/>
        <v>1270000000</v>
      </c>
      <c r="DE3" s="124">
        <f t="shared" si="2"/>
        <v>1270000000</v>
      </c>
      <c r="DF3" s="124">
        <f t="shared" si="2"/>
        <v>1270000000</v>
      </c>
      <c r="DG3" s="124">
        <f t="shared" si="2"/>
        <v>1270000000</v>
      </c>
      <c r="DH3" s="124">
        <f t="shared" si="2"/>
        <v>1270000000</v>
      </c>
      <c r="DI3" s="124">
        <f t="shared" si="2"/>
        <v>1270000000</v>
      </c>
      <c r="DJ3" s="124">
        <f t="shared" si="2"/>
        <v>1270000000</v>
      </c>
      <c r="DK3" s="124">
        <f t="shared" si="2"/>
        <v>1270000000</v>
      </c>
      <c r="DL3" s="124">
        <f t="shared" si="2"/>
        <v>1270000000</v>
      </c>
      <c r="DM3" s="124">
        <f t="shared" si="2"/>
        <v>1270000000</v>
      </c>
      <c r="DN3" s="124">
        <f t="shared" si="2"/>
        <v>1270000000</v>
      </c>
      <c r="DO3" s="124">
        <f t="shared" si="2"/>
        <v>1270000000</v>
      </c>
      <c r="DP3" s="124">
        <f t="shared" si="2"/>
        <v>1270000000</v>
      </c>
      <c r="DQ3" s="124">
        <f t="shared" si="2"/>
        <v>1270000000</v>
      </c>
    </row>
    <row r="4" spans="1:121" x14ac:dyDescent="0.25">
      <c r="A4" s="38" t="s">
        <v>24</v>
      </c>
      <c r="B4" s="30">
        <f>'Accrual_MCML '!B27</f>
        <v>0</v>
      </c>
      <c r="C4" s="30">
        <f>'Accrual_MCML '!C27</f>
        <v>0</v>
      </c>
      <c r="D4" s="30">
        <f>'Accrual_MCML '!D27</f>
        <v>0</v>
      </c>
      <c r="E4" s="30">
        <f>'Accrual_MCML '!E27</f>
        <v>0</v>
      </c>
      <c r="F4" s="30">
        <f>'Accrual_MCML '!F27</f>
        <v>0</v>
      </c>
      <c r="G4" s="30">
        <f>'Accrual_MCML '!G27</f>
        <v>0</v>
      </c>
      <c r="H4" s="30">
        <f>'Accrual_MCML '!H27</f>
        <v>0</v>
      </c>
      <c r="I4" s="30">
        <f>'Accrual_MCML '!I27</f>
        <v>0</v>
      </c>
      <c r="J4" s="30">
        <f>'Accrual_MCML '!J27</f>
        <v>0</v>
      </c>
      <c r="K4" s="30">
        <f>'Accrual_MCML '!K27</f>
        <v>0</v>
      </c>
      <c r="L4" s="30">
        <f>'Accrual_MCML '!L27</f>
        <v>0</v>
      </c>
      <c r="M4" s="30">
        <f>'Accrual_MCML '!M27</f>
        <v>0</v>
      </c>
      <c r="N4" s="30">
        <f>'Accrual_MCML '!N27</f>
        <v>0</v>
      </c>
      <c r="O4" s="30">
        <f>'Accrual_MCML '!O27</f>
        <v>0</v>
      </c>
      <c r="P4" s="30">
        <f>'Accrual_MCML '!P27</f>
        <v>0</v>
      </c>
      <c r="Q4" s="30">
        <f>'Accrual_MCML '!Q27</f>
        <v>0</v>
      </c>
      <c r="R4" s="30">
        <f>'Accrual_MCML '!R27</f>
        <v>0</v>
      </c>
      <c r="S4" s="30">
        <f>'Accrual_MCML '!S27</f>
        <v>0</v>
      </c>
      <c r="T4" s="30">
        <f>'Accrual_MCML '!T27</f>
        <v>0</v>
      </c>
      <c r="U4" s="30">
        <f>'Accrual_MCML '!U27</f>
        <v>0</v>
      </c>
      <c r="V4" s="30">
        <f>'Accrual_MCML '!V27</f>
        <v>0</v>
      </c>
      <c r="W4" s="30">
        <f>'Accrual_MCML '!W27</f>
        <v>0</v>
      </c>
      <c r="X4" s="30">
        <f>'Accrual_MCML '!X27</f>
        <v>0</v>
      </c>
      <c r="Y4" s="30">
        <f>'Accrual_MCML '!Y27</f>
        <v>0</v>
      </c>
      <c r="Z4" s="30">
        <f>'Accrual_MCML '!Z27</f>
        <v>0</v>
      </c>
      <c r="AA4" s="30">
        <f>'Accrual_MCML '!AA27</f>
        <v>0</v>
      </c>
      <c r="AB4" s="30">
        <f>'Accrual_MCML '!AB27</f>
        <v>39687500</v>
      </c>
      <c r="AC4" s="30">
        <f>'Accrual_MCML '!AC27</f>
        <v>39687500</v>
      </c>
      <c r="AD4" s="30">
        <f>'Accrual_MCML '!AD27</f>
        <v>39687500</v>
      </c>
      <c r="AE4" s="30">
        <f>'Accrual_MCML '!AE27</f>
        <v>79375000</v>
      </c>
      <c r="AF4" s="30">
        <f>'Accrual_MCML '!AF27</f>
        <v>90740734.029597893</v>
      </c>
      <c r="AG4" s="30">
        <f>'Accrual_MCML '!AG27</f>
        <v>102144353.83929445</v>
      </c>
      <c r="AH4" s="30">
        <f>'Accrual_MCML '!AH27</f>
        <v>113585985.71502332</v>
      </c>
      <c r="AI4" s="30">
        <f>'Accrual_MCML '!AI27</f>
        <v>125065756.3636713</v>
      </c>
      <c r="AJ4" s="30">
        <f>'Accrual_MCML '!AJ27</f>
        <v>136583792.91448143</v>
      </c>
      <c r="AK4" s="30">
        <f>'Accrual_MCML '!AK27</f>
        <v>148140222.92046094</v>
      </c>
      <c r="AL4" s="30">
        <f>'Accrual_MCML '!AL27</f>
        <v>159735174.35979369</v>
      </c>
      <c r="AM4" s="30">
        <f>'Accrual_MCML '!AM27</f>
        <v>171368775.63725758</v>
      </c>
      <c r="AN4" s="30">
        <f>'Accrual_MCML '!AN27</f>
        <v>183041155.58564633</v>
      </c>
      <c r="AO4" s="30">
        <f>'Accrual_MCML '!AO27</f>
        <v>194752443.46719638</v>
      </c>
      <c r="AP4" s="30">
        <f>'Accrual_MCML '!AP27</f>
        <v>206502768.97501826</v>
      </c>
      <c r="AQ4" s="30">
        <f>'Accrual_MCML '!AQ27</f>
        <v>218292262.23453289</v>
      </c>
      <c r="AR4" s="30">
        <f>'Accrual_MCML '!AR27</f>
        <v>230121053.80491257</v>
      </c>
      <c r="AS4" s="30">
        <f>'Accrual_MCML '!AS27</f>
        <v>241989274.68052682</v>
      </c>
      <c r="AT4" s="30">
        <f>'Accrual_MCML '!AT27</f>
        <v>253897056.29239315</v>
      </c>
      <c r="AU4" s="30">
        <f>'Accrual_MCML '!AU27</f>
        <v>265844530.50963235</v>
      </c>
      <c r="AV4" s="30">
        <f>'Accrual_MCML '!AV27</f>
        <v>277831829.64092904</v>
      </c>
      <c r="AW4" s="30">
        <f>'Accrual_MCML '!AW27</f>
        <v>289859086.43599671</v>
      </c>
      <c r="AX4" s="30">
        <f>'Accrual_MCML '!AX27</f>
        <v>301926434.08704793</v>
      </c>
      <c r="AY4" s="30">
        <f>'Accrual_MCML '!AY27</f>
        <v>314034006.23026931</v>
      </c>
      <c r="AZ4" s="30">
        <f>'Accrual_MCML '!AZ27</f>
        <v>326181936.94730145</v>
      </c>
      <c r="BA4" s="30">
        <f>'Accrual_MCML '!BA27</f>
        <v>338370360.76672369</v>
      </c>
      <c r="BB4" s="30">
        <f>'Accrual_MCML '!BB27</f>
        <v>350599412.66554397</v>
      </c>
      <c r="BC4" s="30">
        <f>'Accrual_MCML '!BC27</f>
        <v>362869228.07069367</v>
      </c>
      <c r="BD4" s="30">
        <f>'Accrual_MCML '!BD27</f>
        <v>375179942.86052722</v>
      </c>
      <c r="BE4" s="30">
        <f>'Accrual_MCML '!BE27</f>
        <v>387531693.36632687</v>
      </c>
      <c r="BF4" s="30">
        <f>'Accrual_MCML '!BF27</f>
        <v>399924616.3738125</v>
      </c>
      <c r="BG4" s="30">
        <f>'Accrual_MCML '!BG27</f>
        <v>412358849.12465644</v>
      </c>
      <c r="BH4" s="30">
        <f>'Accrual_MCML '!BH27</f>
        <v>424834529.31800318</v>
      </c>
      <c r="BI4" s="30">
        <f>'Accrual_MCML '!BI27</f>
        <v>437351795.11199439</v>
      </c>
      <c r="BJ4" s="30">
        <f>'Accrual_MCML '!BJ27</f>
        <v>449910785.12529892</v>
      </c>
      <c r="BK4" s="30">
        <f>'Accrual_MCML '!BK27</f>
        <v>462511638.43864781</v>
      </c>
      <c r="BL4" s="30">
        <f>'Accrual_MCML '!BL27</f>
        <v>475154494.59637451</v>
      </c>
      <c r="BM4" s="30">
        <f>'Accrual_MCML '!BM27</f>
        <v>487839493.60796034</v>
      </c>
      <c r="BN4" s="30">
        <f>'Accrual_MCML '!BN27</f>
        <v>500566775.94958478</v>
      </c>
      <c r="BO4" s="30">
        <f>'Accrual_MCML '!BO27</f>
        <v>513336482.56568128</v>
      </c>
      <c r="BP4" s="30">
        <f>'Accrual_MCML '!BP27</f>
        <v>526148754.87049812</v>
      </c>
      <c r="BQ4" s="30">
        <f>'Accrual_MCML '!BQ27</f>
        <v>539003734.74966431</v>
      </c>
      <c r="BR4" s="30">
        <f>'Accrual_MCML '!BR27</f>
        <v>551901564.56176102</v>
      </c>
      <c r="BS4" s="30">
        <f>'Accrual_MCML '!BS27</f>
        <v>564842387.13989806</v>
      </c>
      <c r="BT4" s="30">
        <f>'Accrual_MCML '!BT27</f>
        <v>577826345.79329562</v>
      </c>
      <c r="BU4" s="30">
        <f>'Accrual_MCML '!BU27</f>
        <v>590853584.30887115</v>
      </c>
      <c r="BV4" s="30">
        <f>'Accrual_MCML '!BV27</f>
        <v>603924246.95283198</v>
      </c>
      <c r="BW4" s="30">
        <f>'Accrual_MCML '!BW27</f>
        <v>617038478.47227263</v>
      </c>
      <c r="BX4" s="30">
        <f>'Accrual_MCML '!BX27</f>
        <v>630196424.09677815</v>
      </c>
      <c r="BY4" s="30">
        <f>'Accrual_MCML '!BY27</f>
        <v>643398229.54003203</v>
      </c>
      <c r="BZ4" s="30">
        <f>'Accrual_MCML '!BZ27</f>
        <v>656644041.00143003</v>
      </c>
      <c r="CA4" s="30">
        <f>'Accrual_MCML '!CA27</f>
        <v>669934005.16769934</v>
      </c>
      <c r="CB4" s="30">
        <f>'Accrual_MCML '!CB27</f>
        <v>683268269.21452284</v>
      </c>
      <c r="CC4" s="30">
        <f>'Accrual_MCML '!CC27</f>
        <v>696646980.80816913</v>
      </c>
      <c r="CD4" s="30">
        <f>'Accrual_MCML '!CD27</f>
        <v>710070288.10712755</v>
      </c>
      <c r="CE4" s="30">
        <f>'Accrual_MCML '!CE27</f>
        <v>723538339.76374924</v>
      </c>
      <c r="CF4" s="30">
        <f>'Accrual_MCML '!CF27</f>
        <v>737051284.92589295</v>
      </c>
      <c r="CG4" s="30">
        <f>'Accrual_MCML '!CG27</f>
        <v>750609273.23857713</v>
      </c>
      <c r="CH4" s="30">
        <f>'Accrual_MCML '!CH27</f>
        <v>764212454.84563696</v>
      </c>
      <c r="CI4" s="30">
        <f>'Accrual_MCML '!CI27</f>
        <v>777860980.39138699</v>
      </c>
      <c r="CJ4" s="30">
        <f>'Accrual_MCML '!CJ27</f>
        <v>791555001.02228951</v>
      </c>
      <c r="CK4" s="30">
        <f>'Accrual_MCML '!CK27</f>
        <v>805294668.38862836</v>
      </c>
      <c r="CL4" s="30">
        <f>'Accrual_MCML '!CL27</f>
        <v>819080134.64618838</v>
      </c>
      <c r="CM4" s="30">
        <f>'Accrual_MCML '!CM27</f>
        <v>832911552.45794022</v>
      </c>
      <c r="CN4" s="30">
        <f>'Accrual_MCML '!CN27</f>
        <v>846789074.99573123</v>
      </c>
      <c r="CO4" s="30">
        <f>'Accrual_MCML '!CO27</f>
        <v>860712855.94198155</v>
      </c>
      <c r="CP4" s="30">
        <f>'Accrual_MCML '!CP27</f>
        <v>874683049.49138606</v>
      </c>
      <c r="CQ4" s="30">
        <f>'Accrual_MCML '!CQ27</f>
        <v>888699810.35262191</v>
      </c>
      <c r="CR4" s="30">
        <f>'Accrual_MCML '!CR27</f>
        <v>902763293.75006187</v>
      </c>
      <c r="CS4" s="30">
        <f>'Accrual_MCML '!CS27</f>
        <v>916873655.42549336</v>
      </c>
      <c r="CT4" s="124">
        <f>'Accrual_MCML '!CT27</f>
        <v>931031051.63984287</v>
      </c>
      <c r="CU4" s="124">
        <f>'Accrual_MCML '!CU27</f>
        <v>945235639.17490685</v>
      </c>
      <c r="CV4" s="124">
        <f>'Accrual_MCML '!CV27</f>
        <v>959487575.33508778</v>
      </c>
      <c r="CW4" s="124">
        <f>'Accrual_MCML '!CW27</f>
        <v>973787017.94913602</v>
      </c>
      <c r="CX4" s="124">
        <f>'Accrual_MCML '!CX27</f>
        <v>988134125.3718977</v>
      </c>
      <c r="CY4" s="124">
        <f>'Accrual_MCML '!CY27</f>
        <v>1002529056.4860686</v>
      </c>
      <c r="CZ4" s="124">
        <f>'Accrual_MCML '!CZ27</f>
        <v>1016971970.7039534</v>
      </c>
      <c r="DA4" s="124">
        <f>'Accrual_MCML '!DA27</f>
        <v>1031463027.9692311</v>
      </c>
      <c r="DB4" s="124">
        <f>'Accrual_MCML '!DB27</f>
        <v>1046002388.7587265</v>
      </c>
      <c r="DC4" s="124">
        <f>'Accrual_MCML '!DC27</f>
        <v>1060590214.0841868</v>
      </c>
      <c r="DD4" s="124">
        <f>'Accrual_MCML '!DD27</f>
        <v>1075226665.4940653</v>
      </c>
      <c r="DE4" s="124">
        <f>'Accrual_MCML '!DE27</f>
        <v>1089911905.07531</v>
      </c>
      <c r="DF4" s="124">
        <f>'Accrual_MCML '!DF27</f>
        <v>1104646095.4551589</v>
      </c>
      <c r="DG4" s="124">
        <f>'Accrual_MCML '!DG27</f>
        <v>1119429399.8029406</v>
      </c>
      <c r="DH4" s="124">
        <f>'Accrual_MCML '!DH27</f>
        <v>1134261981.8318815</v>
      </c>
      <c r="DI4" s="124">
        <f>'Accrual_MCML '!DI27</f>
        <v>1149144005.8009191</v>
      </c>
      <c r="DJ4" s="124">
        <f>'Accrual_MCML '!DJ27</f>
        <v>1164075636.51652</v>
      </c>
      <c r="DK4" s="124">
        <f>'Accrual_MCML '!DK27</f>
        <v>1179057039.3345063</v>
      </c>
      <c r="DL4" s="124">
        <f>'Accrual_MCML '!DL27</f>
        <v>1194088380.1618857</v>
      </c>
      <c r="DM4" s="124">
        <f>'Accrual_MCML '!DM27</f>
        <v>1209169825.4586899</v>
      </c>
      <c r="DN4" s="124">
        <f>'Accrual_MCML '!DN27</f>
        <v>1224301542.2398169</v>
      </c>
      <c r="DO4" s="124">
        <f>'Accrual_MCML '!DO27</f>
        <v>1239483698.0768809</v>
      </c>
      <c r="DP4" s="124">
        <f>'Accrual_MCML '!DP27</f>
        <v>1254716461.1000683</v>
      </c>
      <c r="DQ4" s="124">
        <f>'Accrual_MCML '!DQ27</f>
        <v>1269999999.9999998</v>
      </c>
    </row>
    <row r="5" spans="1:121" x14ac:dyDescent="0.25">
      <c r="A5" s="38" t="s">
        <v>25</v>
      </c>
      <c r="B5" s="30">
        <f t="shared" ref="B5:BD5" si="3">B22</f>
        <v>0</v>
      </c>
      <c r="C5" s="30">
        <f t="shared" si="3"/>
        <v>0</v>
      </c>
      <c r="D5" s="30">
        <f t="shared" si="3"/>
        <v>0</v>
      </c>
      <c r="E5" s="30">
        <f t="shared" si="3"/>
        <v>0</v>
      </c>
      <c r="F5" s="30">
        <f t="shared" si="3"/>
        <v>0</v>
      </c>
      <c r="G5" s="30">
        <f t="shared" si="3"/>
        <v>0</v>
      </c>
      <c r="H5" s="30">
        <f t="shared" si="3"/>
        <v>0</v>
      </c>
      <c r="I5" s="30">
        <f t="shared" si="3"/>
        <v>0</v>
      </c>
      <c r="J5" s="30">
        <f t="shared" si="3"/>
        <v>0</v>
      </c>
      <c r="K5" s="30">
        <f t="shared" si="3"/>
        <v>0</v>
      </c>
      <c r="L5" s="30">
        <f t="shared" si="3"/>
        <v>0</v>
      </c>
      <c r="M5" s="30">
        <f t="shared" si="3"/>
        <v>0</v>
      </c>
      <c r="N5" s="30">
        <f t="shared" si="3"/>
        <v>0</v>
      </c>
      <c r="O5" s="30">
        <f t="shared" si="3"/>
        <v>0</v>
      </c>
      <c r="P5" s="30">
        <f t="shared" si="3"/>
        <v>0</v>
      </c>
      <c r="Q5" s="30">
        <f t="shared" si="3"/>
        <v>0</v>
      </c>
      <c r="R5" s="30">
        <f t="shared" si="3"/>
        <v>0</v>
      </c>
      <c r="S5" s="30">
        <f t="shared" si="3"/>
        <v>0</v>
      </c>
      <c r="T5" s="30">
        <f t="shared" si="3"/>
        <v>0</v>
      </c>
      <c r="U5" s="30">
        <f t="shared" si="3"/>
        <v>0</v>
      </c>
      <c r="V5" s="30">
        <f t="shared" si="3"/>
        <v>0</v>
      </c>
      <c r="W5" s="30">
        <f t="shared" si="3"/>
        <v>0</v>
      </c>
      <c r="X5" s="30">
        <f t="shared" si="3"/>
        <v>0</v>
      </c>
      <c r="Y5" s="30">
        <f t="shared" si="3"/>
        <v>0</v>
      </c>
      <c r="Z5" s="30">
        <f t="shared" si="3"/>
        <v>0</v>
      </c>
      <c r="AA5" s="30">
        <f t="shared" si="3"/>
        <v>0</v>
      </c>
      <c r="AB5" s="30">
        <f t="shared" si="3"/>
        <v>39687500</v>
      </c>
      <c r="AC5" s="30">
        <f t="shared" si="3"/>
        <v>39687500</v>
      </c>
      <c r="AD5" s="30">
        <f t="shared" si="3"/>
        <v>39687500</v>
      </c>
      <c r="AE5" s="30">
        <f t="shared" si="3"/>
        <v>79375000</v>
      </c>
      <c r="AF5" s="30">
        <f t="shared" si="3"/>
        <v>90740734</v>
      </c>
      <c r="AG5" s="30">
        <f t="shared" si="3"/>
        <v>102144354</v>
      </c>
      <c r="AH5" s="30">
        <f t="shared" si="3"/>
        <v>102144354</v>
      </c>
      <c r="AI5" s="30">
        <f t="shared" si="3"/>
        <v>102144354</v>
      </c>
      <c r="AJ5" s="30">
        <f t="shared" si="3"/>
        <v>102144354</v>
      </c>
      <c r="AK5" s="30">
        <f t="shared" si="3"/>
        <v>102144354</v>
      </c>
      <c r="AL5" s="30">
        <f t="shared" si="3"/>
        <v>102144354</v>
      </c>
      <c r="AM5" s="30">
        <f t="shared" si="3"/>
        <v>102144354</v>
      </c>
      <c r="AN5" s="30">
        <f t="shared" si="3"/>
        <v>183041155.58564633</v>
      </c>
      <c r="AO5" s="30">
        <f t="shared" si="3"/>
        <v>194752443.46719638</v>
      </c>
      <c r="AP5" s="30">
        <f t="shared" si="3"/>
        <v>206502768.97501826</v>
      </c>
      <c r="AQ5" s="30">
        <f t="shared" si="3"/>
        <v>218292262.23453289</v>
      </c>
      <c r="AR5" s="30">
        <f t="shared" si="3"/>
        <v>230121053.80491257</v>
      </c>
      <c r="AS5" s="30">
        <f t="shared" si="3"/>
        <v>241989274.68052682</v>
      </c>
      <c r="AT5" s="30">
        <f t="shared" si="3"/>
        <v>253897056.29239315</v>
      </c>
      <c r="AU5" s="30">
        <f t="shared" si="3"/>
        <v>265844530.50963235</v>
      </c>
      <c r="AV5" s="30">
        <f t="shared" si="3"/>
        <v>277831829.64092904</v>
      </c>
      <c r="AW5" s="30">
        <f t="shared" si="3"/>
        <v>289859086.43599671</v>
      </c>
      <c r="AX5" s="30">
        <f t="shared" si="3"/>
        <v>301926434.08704793</v>
      </c>
      <c r="AY5" s="30">
        <f t="shared" si="3"/>
        <v>314034006.23026931</v>
      </c>
      <c r="AZ5" s="30">
        <f t="shared" si="3"/>
        <v>326181936.94730145</v>
      </c>
      <c r="BA5" s="30">
        <f t="shared" si="3"/>
        <v>338370360.76672369</v>
      </c>
      <c r="BB5" s="30">
        <f t="shared" si="3"/>
        <v>350599412.66554397</v>
      </c>
      <c r="BC5" s="30">
        <f t="shared" si="3"/>
        <v>362869228.07069367</v>
      </c>
      <c r="BD5" s="30">
        <f t="shared" si="3"/>
        <v>375179942.86052722</v>
      </c>
      <c r="BE5" s="30">
        <f t="shared" ref="BE5:BS5" si="4">BE22</f>
        <v>387531693.36632687</v>
      </c>
      <c r="BF5" s="30">
        <f t="shared" si="4"/>
        <v>399924616.3738125</v>
      </c>
      <c r="BG5" s="30">
        <f t="shared" si="4"/>
        <v>412358849.12465644</v>
      </c>
      <c r="BH5" s="30">
        <f t="shared" si="4"/>
        <v>424834529.31800318</v>
      </c>
      <c r="BI5" s="30">
        <f t="shared" si="4"/>
        <v>437351795.11199439</v>
      </c>
      <c r="BJ5" s="30">
        <f t="shared" si="4"/>
        <v>449910785.12529892</v>
      </c>
      <c r="BK5" s="30">
        <f t="shared" si="4"/>
        <v>462511638.43864781</v>
      </c>
      <c r="BL5" s="30">
        <f t="shared" si="4"/>
        <v>475154494.59637451</v>
      </c>
      <c r="BM5" s="30">
        <f t="shared" si="4"/>
        <v>487839493.60796034</v>
      </c>
      <c r="BN5" s="30">
        <f t="shared" si="4"/>
        <v>500566775.94958478</v>
      </c>
      <c r="BO5" s="30">
        <f t="shared" si="4"/>
        <v>513336482.56568128</v>
      </c>
      <c r="BP5" s="30">
        <f t="shared" si="4"/>
        <v>526148754.87049812</v>
      </c>
      <c r="BQ5" s="30">
        <f t="shared" si="4"/>
        <v>539003734.74966431</v>
      </c>
      <c r="BR5" s="30">
        <f t="shared" si="4"/>
        <v>551901564.56176102</v>
      </c>
      <c r="BS5" s="30">
        <f t="shared" si="4"/>
        <v>564842387.13989806</v>
      </c>
      <c r="BT5" s="30">
        <f t="shared" ref="BT5:CF5" si="5">BT22</f>
        <v>577826345.79329562</v>
      </c>
      <c r="BU5" s="30">
        <f t="shared" si="5"/>
        <v>590853584.30887115</v>
      </c>
      <c r="BV5" s="30">
        <f t="shared" si="5"/>
        <v>603924246.95283198</v>
      </c>
      <c r="BW5" s="30">
        <f t="shared" si="5"/>
        <v>617038478.47227263</v>
      </c>
      <c r="BX5" s="30">
        <f t="shared" si="5"/>
        <v>630196424.09677815</v>
      </c>
      <c r="BY5" s="30">
        <f t="shared" si="5"/>
        <v>643398229.54003203</v>
      </c>
      <c r="BZ5" s="30">
        <f t="shared" si="5"/>
        <v>656644041.00143003</v>
      </c>
      <c r="CA5" s="30">
        <f t="shared" si="5"/>
        <v>669934005.16769934</v>
      </c>
      <c r="CB5" s="30">
        <f t="shared" si="5"/>
        <v>683268269.21452284</v>
      </c>
      <c r="CC5" s="30">
        <f t="shared" si="5"/>
        <v>696646980.80816913</v>
      </c>
      <c r="CD5" s="30">
        <f t="shared" si="5"/>
        <v>710070288.10712755</v>
      </c>
      <c r="CE5" s="30">
        <f t="shared" si="5"/>
        <v>723538339.76374924</v>
      </c>
      <c r="CF5" s="30">
        <f t="shared" si="5"/>
        <v>737051284.92589295</v>
      </c>
      <c r="CG5" s="30">
        <f>CG22</f>
        <v>750609273.23857713</v>
      </c>
      <c r="CH5" s="30">
        <f>CH22</f>
        <v>764212454.84563696</v>
      </c>
      <c r="CI5" s="30">
        <f t="shared" ref="CI5:CT5" si="6">CI22</f>
        <v>777860980.39138699</v>
      </c>
      <c r="CJ5" s="30">
        <f t="shared" si="6"/>
        <v>791555001.02228951</v>
      </c>
      <c r="CK5" s="30">
        <f t="shared" si="6"/>
        <v>805294668.38862836</v>
      </c>
      <c r="CL5" s="30">
        <f t="shared" si="6"/>
        <v>819080134.64618838</v>
      </c>
      <c r="CM5" s="30">
        <f t="shared" si="6"/>
        <v>832911552.45794022</v>
      </c>
      <c r="CN5" s="30">
        <f t="shared" si="6"/>
        <v>846789074.99573123</v>
      </c>
      <c r="CO5" s="30">
        <f t="shared" si="6"/>
        <v>860712855.94198155</v>
      </c>
      <c r="CP5" s="30">
        <f t="shared" si="6"/>
        <v>874683049.49138606</v>
      </c>
      <c r="CQ5" s="30">
        <f t="shared" si="6"/>
        <v>888699810.35262191</v>
      </c>
      <c r="CR5" s="30">
        <f t="shared" si="6"/>
        <v>902763293.75006187</v>
      </c>
      <c r="CS5" s="30">
        <f t="shared" si="6"/>
        <v>916873655.42549336</v>
      </c>
      <c r="CT5" s="124">
        <f t="shared" si="6"/>
        <v>931031051.63984287</v>
      </c>
      <c r="CU5" s="124">
        <f t="shared" ref="CU5:DQ5" si="7">CU22</f>
        <v>945235639.17490685</v>
      </c>
      <c r="CV5" s="124">
        <f t="shared" si="7"/>
        <v>959487575.33508778</v>
      </c>
      <c r="CW5" s="124">
        <f t="shared" si="7"/>
        <v>973787017.94913602</v>
      </c>
      <c r="CX5" s="124">
        <f t="shared" si="7"/>
        <v>988134125.3718977</v>
      </c>
      <c r="CY5" s="124">
        <f t="shared" si="7"/>
        <v>1002529056.4860686</v>
      </c>
      <c r="CZ5" s="124">
        <f t="shared" si="7"/>
        <v>1016971970.7039534</v>
      </c>
      <c r="DA5" s="124">
        <f t="shared" si="7"/>
        <v>1031463027.9692311</v>
      </c>
      <c r="DB5" s="124">
        <f t="shared" si="7"/>
        <v>1046002388.7587265</v>
      </c>
      <c r="DC5" s="124">
        <f t="shared" si="7"/>
        <v>1060590214.0841868</v>
      </c>
      <c r="DD5" s="124">
        <f t="shared" si="7"/>
        <v>1075226665.4940653</v>
      </c>
      <c r="DE5" s="124">
        <f t="shared" si="7"/>
        <v>1089911905.07531</v>
      </c>
      <c r="DF5" s="124">
        <f t="shared" si="7"/>
        <v>1104646095.4551589</v>
      </c>
      <c r="DG5" s="124">
        <f t="shared" si="7"/>
        <v>1119429399.8029406</v>
      </c>
      <c r="DH5" s="124">
        <f t="shared" si="7"/>
        <v>1134261981.8318815</v>
      </c>
      <c r="DI5" s="124">
        <f t="shared" si="7"/>
        <v>1149144005.8009191</v>
      </c>
      <c r="DJ5" s="124">
        <f t="shared" si="7"/>
        <v>1164075636.51652</v>
      </c>
      <c r="DK5" s="124">
        <f t="shared" si="7"/>
        <v>1179057039.3345063</v>
      </c>
      <c r="DL5" s="124">
        <f t="shared" si="7"/>
        <v>1194088380.1618857</v>
      </c>
      <c r="DM5" s="124">
        <f t="shared" si="7"/>
        <v>1209169825.4586899</v>
      </c>
      <c r="DN5" s="124">
        <f t="shared" si="7"/>
        <v>1224301542.2398169</v>
      </c>
      <c r="DO5" s="124">
        <f t="shared" si="7"/>
        <v>1239483698.0768809</v>
      </c>
      <c r="DP5" s="124">
        <f t="shared" si="7"/>
        <v>1254716461.1000683</v>
      </c>
      <c r="DQ5" s="124">
        <f t="shared" si="7"/>
        <v>1269999999.9999998</v>
      </c>
    </row>
    <row r="6" spans="1:121" x14ac:dyDescent="0.25">
      <c r="A6" s="38" t="s">
        <v>26</v>
      </c>
      <c r="B6" s="30">
        <f t="shared" ref="B6:BD6" si="8">IF((B4-B5)&gt;0,(B4-B5),0)</f>
        <v>0</v>
      </c>
      <c r="C6" s="30">
        <f t="shared" si="8"/>
        <v>0</v>
      </c>
      <c r="D6" s="30">
        <f t="shared" si="8"/>
        <v>0</v>
      </c>
      <c r="E6" s="30">
        <f t="shared" si="8"/>
        <v>0</v>
      </c>
      <c r="F6" s="30">
        <f t="shared" si="8"/>
        <v>0</v>
      </c>
      <c r="G6" s="30">
        <f t="shared" si="8"/>
        <v>0</v>
      </c>
      <c r="H6" s="30">
        <f t="shared" si="8"/>
        <v>0</v>
      </c>
      <c r="I6" s="30">
        <f t="shared" si="8"/>
        <v>0</v>
      </c>
      <c r="J6" s="30">
        <f t="shared" si="8"/>
        <v>0</v>
      </c>
      <c r="K6" s="30">
        <f t="shared" si="8"/>
        <v>0</v>
      </c>
      <c r="L6" s="30">
        <f t="shared" si="8"/>
        <v>0</v>
      </c>
      <c r="M6" s="30">
        <f t="shared" si="8"/>
        <v>0</v>
      </c>
      <c r="N6" s="30">
        <f t="shared" si="8"/>
        <v>0</v>
      </c>
      <c r="O6" s="30">
        <f t="shared" si="8"/>
        <v>0</v>
      </c>
      <c r="P6" s="30">
        <f t="shared" si="8"/>
        <v>0</v>
      </c>
      <c r="Q6" s="30">
        <f t="shared" si="8"/>
        <v>0</v>
      </c>
      <c r="R6" s="30">
        <f t="shared" si="8"/>
        <v>0</v>
      </c>
      <c r="S6" s="30">
        <f t="shared" si="8"/>
        <v>0</v>
      </c>
      <c r="T6" s="30">
        <f t="shared" si="8"/>
        <v>0</v>
      </c>
      <c r="U6" s="30">
        <f t="shared" si="8"/>
        <v>0</v>
      </c>
      <c r="V6" s="30">
        <f t="shared" si="8"/>
        <v>0</v>
      </c>
      <c r="W6" s="30">
        <f t="shared" si="8"/>
        <v>0</v>
      </c>
      <c r="X6" s="30">
        <f t="shared" si="8"/>
        <v>0</v>
      </c>
      <c r="Y6" s="30">
        <f t="shared" si="8"/>
        <v>0</v>
      </c>
      <c r="Z6" s="30">
        <f t="shared" si="8"/>
        <v>0</v>
      </c>
      <c r="AA6" s="30">
        <f t="shared" si="8"/>
        <v>0</v>
      </c>
      <c r="AB6" s="30">
        <f t="shared" si="8"/>
        <v>0</v>
      </c>
      <c r="AC6" s="30">
        <f t="shared" si="8"/>
        <v>0</v>
      </c>
      <c r="AD6" s="30">
        <f t="shared" si="8"/>
        <v>0</v>
      </c>
      <c r="AE6" s="30">
        <f t="shared" si="8"/>
        <v>0</v>
      </c>
      <c r="AF6" s="30">
        <f t="shared" si="8"/>
        <v>2.9597893357276917E-2</v>
      </c>
      <c r="AG6" s="30">
        <f t="shared" si="8"/>
        <v>0</v>
      </c>
      <c r="AH6" s="30">
        <f t="shared" si="8"/>
        <v>11441631.715023324</v>
      </c>
      <c r="AI6" s="30">
        <f t="shared" si="8"/>
        <v>22921402.363671303</v>
      </c>
      <c r="AJ6" s="30">
        <f t="shared" si="8"/>
        <v>34439438.914481431</v>
      </c>
      <c r="AK6" s="30">
        <f t="shared" si="8"/>
        <v>45995868.920460939</v>
      </c>
      <c r="AL6" s="30">
        <f t="shared" si="8"/>
        <v>57590820.359793693</v>
      </c>
      <c r="AM6" s="30">
        <f t="shared" si="8"/>
        <v>69224421.637257576</v>
      </c>
      <c r="AN6" s="30">
        <f t="shared" si="8"/>
        <v>0</v>
      </c>
      <c r="AO6" s="30">
        <f t="shared" si="8"/>
        <v>0</v>
      </c>
      <c r="AP6" s="30">
        <f t="shared" si="8"/>
        <v>0</v>
      </c>
      <c r="AQ6" s="30">
        <f t="shared" si="8"/>
        <v>0</v>
      </c>
      <c r="AR6" s="30">
        <f t="shared" si="8"/>
        <v>0</v>
      </c>
      <c r="AS6" s="30">
        <f t="shared" si="8"/>
        <v>0</v>
      </c>
      <c r="AT6" s="30">
        <f t="shared" si="8"/>
        <v>0</v>
      </c>
      <c r="AU6" s="30">
        <f t="shared" si="8"/>
        <v>0</v>
      </c>
      <c r="AV6" s="30">
        <f t="shared" si="8"/>
        <v>0</v>
      </c>
      <c r="AW6" s="30">
        <f t="shared" si="8"/>
        <v>0</v>
      </c>
      <c r="AX6" s="30">
        <f t="shared" si="8"/>
        <v>0</v>
      </c>
      <c r="AY6" s="30">
        <f t="shared" si="8"/>
        <v>0</v>
      </c>
      <c r="AZ6" s="30">
        <f t="shared" si="8"/>
        <v>0</v>
      </c>
      <c r="BA6" s="30">
        <f t="shared" si="8"/>
        <v>0</v>
      </c>
      <c r="BB6" s="30">
        <f t="shared" si="8"/>
        <v>0</v>
      </c>
      <c r="BC6" s="30">
        <f t="shared" si="8"/>
        <v>0</v>
      </c>
      <c r="BD6" s="30">
        <f t="shared" si="8"/>
        <v>0</v>
      </c>
      <c r="BE6" s="30">
        <f t="shared" ref="BE6:BT6" si="9">IF((BE4-BE5)&gt;0,(BE4-BE5),0)</f>
        <v>0</v>
      </c>
      <c r="BF6" s="30">
        <f t="shared" si="9"/>
        <v>0</v>
      </c>
      <c r="BG6" s="30">
        <f t="shared" si="9"/>
        <v>0</v>
      </c>
      <c r="BH6" s="30">
        <f t="shared" si="9"/>
        <v>0</v>
      </c>
      <c r="BI6" s="30">
        <f t="shared" si="9"/>
        <v>0</v>
      </c>
      <c r="BJ6" s="30">
        <f t="shared" si="9"/>
        <v>0</v>
      </c>
      <c r="BK6" s="30">
        <f t="shared" si="9"/>
        <v>0</v>
      </c>
      <c r="BL6" s="30">
        <f t="shared" si="9"/>
        <v>0</v>
      </c>
      <c r="BM6" s="30">
        <f t="shared" si="9"/>
        <v>0</v>
      </c>
      <c r="BN6" s="30">
        <f t="shared" si="9"/>
        <v>0</v>
      </c>
      <c r="BO6" s="30">
        <f t="shared" si="9"/>
        <v>0</v>
      </c>
      <c r="BP6" s="30">
        <f t="shared" si="9"/>
        <v>0</v>
      </c>
      <c r="BQ6" s="30">
        <f t="shared" si="9"/>
        <v>0</v>
      </c>
      <c r="BR6" s="30">
        <f t="shared" si="9"/>
        <v>0</v>
      </c>
      <c r="BS6" s="30">
        <f t="shared" si="9"/>
        <v>0</v>
      </c>
      <c r="BT6" s="30">
        <f t="shared" si="9"/>
        <v>0</v>
      </c>
      <c r="BU6" s="30">
        <f t="shared" ref="BU6:CF6" si="10">IF((BU4-BU5)&gt;0,(BU4-BU5),0)</f>
        <v>0</v>
      </c>
      <c r="BV6" s="30">
        <f t="shared" si="10"/>
        <v>0</v>
      </c>
      <c r="BW6" s="30">
        <f t="shared" si="10"/>
        <v>0</v>
      </c>
      <c r="BX6" s="30">
        <f t="shared" si="10"/>
        <v>0</v>
      </c>
      <c r="BY6" s="30">
        <f t="shared" si="10"/>
        <v>0</v>
      </c>
      <c r="BZ6" s="30">
        <f t="shared" si="10"/>
        <v>0</v>
      </c>
      <c r="CA6" s="30">
        <f t="shared" si="10"/>
        <v>0</v>
      </c>
      <c r="CB6" s="30">
        <f t="shared" si="10"/>
        <v>0</v>
      </c>
      <c r="CC6" s="30">
        <f t="shared" si="10"/>
        <v>0</v>
      </c>
      <c r="CD6" s="30">
        <f t="shared" si="10"/>
        <v>0</v>
      </c>
      <c r="CE6" s="30">
        <f t="shared" si="10"/>
        <v>0</v>
      </c>
      <c r="CF6" s="30">
        <f t="shared" si="10"/>
        <v>0</v>
      </c>
      <c r="CG6" s="30">
        <f>IF((CG4-CG5)&gt;0,(CG4-CG5),0)</f>
        <v>0</v>
      </c>
      <c r="CH6" s="30">
        <f>IF((CH4-CH5)&gt;0,(CH4-CH5),0)</f>
        <v>0</v>
      </c>
      <c r="CI6" s="30">
        <f t="shared" ref="CI6:CT6" si="11">IF((CI4-CI5)&gt;0,(CI4-CI5),0)</f>
        <v>0</v>
      </c>
      <c r="CJ6" s="30">
        <f t="shared" si="11"/>
        <v>0</v>
      </c>
      <c r="CK6" s="30">
        <f t="shared" si="11"/>
        <v>0</v>
      </c>
      <c r="CL6" s="30">
        <f t="shared" si="11"/>
        <v>0</v>
      </c>
      <c r="CM6" s="30">
        <f t="shared" si="11"/>
        <v>0</v>
      </c>
      <c r="CN6" s="30">
        <f t="shared" si="11"/>
        <v>0</v>
      </c>
      <c r="CO6" s="30">
        <f t="shared" si="11"/>
        <v>0</v>
      </c>
      <c r="CP6" s="30">
        <f t="shared" si="11"/>
        <v>0</v>
      </c>
      <c r="CQ6" s="30">
        <f t="shared" si="11"/>
        <v>0</v>
      </c>
      <c r="CR6" s="30">
        <f t="shared" si="11"/>
        <v>0</v>
      </c>
      <c r="CS6" s="30">
        <f t="shared" si="11"/>
        <v>0</v>
      </c>
      <c r="CT6" s="30">
        <f t="shared" si="11"/>
        <v>0</v>
      </c>
      <c r="CU6" s="30">
        <f t="shared" ref="CU6:DQ6" si="12">IF((CU4-CU5)&gt;0,(CU4-CU5),0)</f>
        <v>0</v>
      </c>
      <c r="CV6" s="30">
        <f t="shared" si="12"/>
        <v>0</v>
      </c>
      <c r="CW6" s="30">
        <f t="shared" si="12"/>
        <v>0</v>
      </c>
      <c r="CX6" s="30">
        <f t="shared" si="12"/>
        <v>0</v>
      </c>
      <c r="CY6" s="30">
        <f t="shared" si="12"/>
        <v>0</v>
      </c>
      <c r="CZ6" s="30">
        <f t="shared" si="12"/>
        <v>0</v>
      </c>
      <c r="DA6" s="30">
        <f t="shared" si="12"/>
        <v>0</v>
      </c>
      <c r="DB6" s="30">
        <f t="shared" si="12"/>
        <v>0</v>
      </c>
      <c r="DC6" s="30">
        <f t="shared" si="12"/>
        <v>0</v>
      </c>
      <c r="DD6" s="30">
        <f t="shared" si="12"/>
        <v>0</v>
      </c>
      <c r="DE6" s="30">
        <f t="shared" si="12"/>
        <v>0</v>
      </c>
      <c r="DF6" s="30">
        <f t="shared" si="12"/>
        <v>0</v>
      </c>
      <c r="DG6" s="30">
        <f t="shared" si="12"/>
        <v>0</v>
      </c>
      <c r="DH6" s="30">
        <f t="shared" si="12"/>
        <v>0</v>
      </c>
      <c r="DI6" s="30">
        <f t="shared" si="12"/>
        <v>0</v>
      </c>
      <c r="DJ6" s="30">
        <f t="shared" si="12"/>
        <v>0</v>
      </c>
      <c r="DK6" s="30">
        <f t="shared" si="12"/>
        <v>0</v>
      </c>
      <c r="DL6" s="30">
        <f t="shared" si="12"/>
        <v>0</v>
      </c>
      <c r="DM6" s="30">
        <f t="shared" si="12"/>
        <v>0</v>
      </c>
      <c r="DN6" s="30">
        <f t="shared" si="12"/>
        <v>0</v>
      </c>
      <c r="DO6" s="30">
        <f t="shared" si="12"/>
        <v>0</v>
      </c>
      <c r="DP6" s="30">
        <f t="shared" si="12"/>
        <v>0</v>
      </c>
      <c r="DQ6" s="30">
        <f t="shared" si="12"/>
        <v>0</v>
      </c>
    </row>
    <row r="7" spans="1:121" x14ac:dyDescent="0.25">
      <c r="A7" s="38" t="s">
        <v>27</v>
      </c>
      <c r="B7" s="30">
        <f t="shared" ref="B7:BD7" si="13">B3-B5</f>
        <v>123820000</v>
      </c>
      <c r="C7" s="30">
        <f t="shared" si="13"/>
        <v>123820000</v>
      </c>
      <c r="D7" s="30">
        <f t="shared" si="13"/>
        <v>123820000</v>
      </c>
      <c r="E7" s="30">
        <f t="shared" si="13"/>
        <v>123820000</v>
      </c>
      <c r="F7" s="30">
        <f t="shared" si="13"/>
        <v>123820000</v>
      </c>
      <c r="G7" s="30">
        <f t="shared" si="13"/>
        <v>123820000</v>
      </c>
      <c r="H7" s="30">
        <f t="shared" si="13"/>
        <v>123820000</v>
      </c>
      <c r="I7" s="30">
        <f t="shared" si="13"/>
        <v>1073900000</v>
      </c>
      <c r="J7" s="30">
        <f t="shared" si="13"/>
        <v>1073900000</v>
      </c>
      <c r="K7" s="30">
        <f t="shared" si="13"/>
        <v>1073900000</v>
      </c>
      <c r="L7" s="30">
        <f t="shared" si="13"/>
        <v>1073900000</v>
      </c>
      <c r="M7" s="30">
        <f t="shared" si="13"/>
        <v>1073900000</v>
      </c>
      <c r="N7" s="30">
        <f t="shared" si="13"/>
        <v>1073900000</v>
      </c>
      <c r="O7" s="30">
        <f t="shared" si="13"/>
        <v>1073900000</v>
      </c>
      <c r="P7" s="30">
        <f t="shared" si="13"/>
        <v>1073900000</v>
      </c>
      <c r="Q7" s="30">
        <f t="shared" si="13"/>
        <v>1270000000</v>
      </c>
      <c r="R7" s="30">
        <f t="shared" si="13"/>
        <v>1270000000</v>
      </c>
      <c r="S7" s="30">
        <f t="shared" si="13"/>
        <v>1270000000</v>
      </c>
      <c r="T7" s="30">
        <f t="shared" si="13"/>
        <v>1270000000</v>
      </c>
      <c r="U7" s="30">
        <f t="shared" si="13"/>
        <v>1270000000</v>
      </c>
      <c r="V7" s="30">
        <f t="shared" si="13"/>
        <v>1270000000</v>
      </c>
      <c r="W7" s="30">
        <f t="shared" si="13"/>
        <v>1270000000</v>
      </c>
      <c r="X7" s="30">
        <f t="shared" si="13"/>
        <v>1270000000</v>
      </c>
      <c r="Y7" s="30">
        <f t="shared" si="13"/>
        <v>1270000000</v>
      </c>
      <c r="Z7" s="30">
        <f t="shared" si="13"/>
        <v>1270000000</v>
      </c>
      <c r="AA7" s="30">
        <f t="shared" si="13"/>
        <v>1270000000</v>
      </c>
      <c r="AB7" s="30">
        <f t="shared" si="13"/>
        <v>1230312500</v>
      </c>
      <c r="AC7" s="30">
        <f t="shared" si="13"/>
        <v>1230312500</v>
      </c>
      <c r="AD7" s="30">
        <f t="shared" si="13"/>
        <v>1230312500</v>
      </c>
      <c r="AE7" s="30">
        <f t="shared" si="13"/>
        <v>1190625000</v>
      </c>
      <c r="AF7" s="30">
        <f t="shared" si="13"/>
        <v>1179259266</v>
      </c>
      <c r="AG7" s="30">
        <f t="shared" si="13"/>
        <v>1167855646</v>
      </c>
      <c r="AH7" s="30">
        <f t="shared" si="13"/>
        <v>1167855646</v>
      </c>
      <c r="AI7" s="30">
        <f t="shared" si="13"/>
        <v>1167855646</v>
      </c>
      <c r="AJ7" s="30">
        <f t="shared" si="13"/>
        <v>1167855646</v>
      </c>
      <c r="AK7" s="30">
        <f t="shared" si="13"/>
        <v>1167855646</v>
      </c>
      <c r="AL7" s="30">
        <f t="shared" si="13"/>
        <v>1167855646</v>
      </c>
      <c r="AM7" s="30">
        <f t="shared" si="13"/>
        <v>1167855646</v>
      </c>
      <c r="AN7" s="30">
        <f t="shared" si="13"/>
        <v>1086958844.4143536</v>
      </c>
      <c r="AO7" s="30">
        <f t="shared" si="13"/>
        <v>1075247556.5328035</v>
      </c>
      <c r="AP7" s="30">
        <f t="shared" si="13"/>
        <v>1063497231.0249817</v>
      </c>
      <c r="AQ7" s="30">
        <f t="shared" si="13"/>
        <v>1051707737.7654672</v>
      </c>
      <c r="AR7" s="30">
        <f t="shared" si="13"/>
        <v>1039878946.1950874</v>
      </c>
      <c r="AS7" s="30">
        <f t="shared" si="13"/>
        <v>1028010725.3194731</v>
      </c>
      <c r="AT7" s="30">
        <f t="shared" si="13"/>
        <v>1016102943.7076068</v>
      </c>
      <c r="AU7" s="30">
        <f t="shared" si="13"/>
        <v>1004155469.4903677</v>
      </c>
      <c r="AV7" s="30">
        <f t="shared" si="13"/>
        <v>992168170.35907102</v>
      </c>
      <c r="AW7" s="30">
        <f t="shared" si="13"/>
        <v>980140913.56400323</v>
      </c>
      <c r="AX7" s="30">
        <f t="shared" si="13"/>
        <v>968073565.91295207</v>
      </c>
      <c r="AY7" s="30">
        <f t="shared" si="13"/>
        <v>955965993.76973069</v>
      </c>
      <c r="AZ7" s="30">
        <f t="shared" si="13"/>
        <v>943818063.05269861</v>
      </c>
      <c r="BA7" s="30">
        <f t="shared" si="13"/>
        <v>931629639.23327637</v>
      </c>
      <c r="BB7" s="30">
        <f t="shared" si="13"/>
        <v>919400587.33445597</v>
      </c>
      <c r="BC7" s="30">
        <f t="shared" si="13"/>
        <v>907130771.92930627</v>
      </c>
      <c r="BD7" s="30">
        <f t="shared" si="13"/>
        <v>894820057.13947272</v>
      </c>
      <c r="BE7" s="30">
        <f t="shared" ref="BE7:BS7" si="14">BE3-BE5</f>
        <v>882468306.63367319</v>
      </c>
      <c r="BF7" s="30">
        <f t="shared" si="14"/>
        <v>870075383.62618756</v>
      </c>
      <c r="BG7" s="30">
        <f t="shared" si="14"/>
        <v>857641150.87534356</v>
      </c>
      <c r="BH7" s="30">
        <f t="shared" si="14"/>
        <v>845165470.68199682</v>
      </c>
      <c r="BI7" s="30">
        <f t="shared" si="14"/>
        <v>832648204.88800561</v>
      </c>
      <c r="BJ7" s="30">
        <f t="shared" si="14"/>
        <v>820089214.87470102</v>
      </c>
      <c r="BK7" s="30">
        <f t="shared" si="14"/>
        <v>807488361.56135225</v>
      </c>
      <c r="BL7" s="30">
        <f t="shared" si="14"/>
        <v>794845505.40362549</v>
      </c>
      <c r="BM7" s="30">
        <f t="shared" si="14"/>
        <v>782160506.39203966</v>
      </c>
      <c r="BN7" s="30">
        <f t="shared" si="14"/>
        <v>769433224.05041528</v>
      </c>
      <c r="BO7" s="30">
        <f t="shared" si="14"/>
        <v>756663517.43431878</v>
      </c>
      <c r="BP7" s="30">
        <f t="shared" si="14"/>
        <v>743851245.12950182</v>
      </c>
      <c r="BQ7" s="30">
        <f t="shared" si="14"/>
        <v>730996265.25033569</v>
      </c>
      <c r="BR7" s="30">
        <f t="shared" si="14"/>
        <v>718098435.43823898</v>
      </c>
      <c r="BS7" s="30">
        <f t="shared" si="14"/>
        <v>705157612.86010194</v>
      </c>
      <c r="BT7" s="30">
        <f t="shared" ref="BT7:CF7" si="15">BT3-BT5</f>
        <v>692173654.20670438</v>
      </c>
      <c r="BU7" s="30">
        <f t="shared" si="15"/>
        <v>679146415.69112885</v>
      </c>
      <c r="BV7" s="30">
        <f t="shared" si="15"/>
        <v>666075753.04716802</v>
      </c>
      <c r="BW7" s="30">
        <f t="shared" si="15"/>
        <v>652961521.52772737</v>
      </c>
      <c r="BX7" s="30">
        <f t="shared" si="15"/>
        <v>639803575.90322185</v>
      </c>
      <c r="BY7" s="30">
        <f t="shared" si="15"/>
        <v>626601770.45996797</v>
      </c>
      <c r="BZ7" s="30">
        <f t="shared" si="15"/>
        <v>613355958.99856997</v>
      </c>
      <c r="CA7" s="30">
        <f t="shared" si="15"/>
        <v>600065994.83230066</v>
      </c>
      <c r="CB7" s="30">
        <f t="shared" si="15"/>
        <v>586731730.78547716</v>
      </c>
      <c r="CC7" s="30">
        <f t="shared" si="15"/>
        <v>573353019.19183087</v>
      </c>
      <c r="CD7" s="30">
        <f t="shared" si="15"/>
        <v>559929711.89287245</v>
      </c>
      <c r="CE7" s="30">
        <f t="shared" si="15"/>
        <v>546461660.23625076</v>
      </c>
      <c r="CF7" s="30">
        <f t="shared" si="15"/>
        <v>532948715.07410705</v>
      </c>
      <c r="CG7" s="30">
        <f>CG3-CG5</f>
        <v>519390726.76142287</v>
      </c>
      <c r="CH7" s="30">
        <f>CH3-CH5</f>
        <v>505787545.15436304</v>
      </c>
      <c r="CI7" s="30">
        <f t="shared" ref="CI7:CT7" si="16">CI3-CI5</f>
        <v>492139019.60861301</v>
      </c>
      <c r="CJ7" s="30">
        <f t="shared" si="16"/>
        <v>478444998.97771049</v>
      </c>
      <c r="CK7" s="30">
        <f t="shared" si="16"/>
        <v>464705331.61137164</v>
      </c>
      <c r="CL7" s="30">
        <f t="shared" si="16"/>
        <v>450919865.35381162</v>
      </c>
      <c r="CM7" s="30">
        <f t="shared" si="16"/>
        <v>437088447.54205978</v>
      </c>
      <c r="CN7" s="30">
        <f t="shared" si="16"/>
        <v>423210925.00426877</v>
      </c>
      <c r="CO7" s="30">
        <f t="shared" si="16"/>
        <v>409287144.05801845</v>
      </c>
      <c r="CP7" s="30">
        <f t="shared" si="16"/>
        <v>395316950.50861394</v>
      </c>
      <c r="CQ7" s="30">
        <f t="shared" si="16"/>
        <v>381300189.64737809</v>
      </c>
      <c r="CR7" s="30">
        <f t="shared" si="16"/>
        <v>367236706.24993813</v>
      </c>
      <c r="CS7" s="30">
        <f t="shared" si="16"/>
        <v>353126344.57450664</v>
      </c>
      <c r="CT7" s="30">
        <f t="shared" si="16"/>
        <v>338968948.36015713</v>
      </c>
      <c r="CU7" s="30">
        <f t="shared" ref="CU7:DQ7" si="17">CU3-CU5</f>
        <v>324764360.82509315</v>
      </c>
      <c r="CV7" s="30">
        <f t="shared" si="17"/>
        <v>310512424.66491222</v>
      </c>
      <c r="CW7" s="30">
        <f t="shared" si="17"/>
        <v>296212982.05086398</v>
      </c>
      <c r="CX7" s="30">
        <f t="shared" si="17"/>
        <v>281865874.6281023</v>
      </c>
      <c r="CY7" s="30">
        <f t="shared" si="17"/>
        <v>267470943.51393139</v>
      </c>
      <c r="CZ7" s="30">
        <f t="shared" si="17"/>
        <v>253028029.29604661</v>
      </c>
      <c r="DA7" s="30">
        <f t="shared" si="17"/>
        <v>238536972.03076887</v>
      </c>
      <c r="DB7" s="30">
        <f t="shared" si="17"/>
        <v>223997611.24127352</v>
      </c>
      <c r="DC7" s="30">
        <f t="shared" si="17"/>
        <v>209409785.91581321</v>
      </c>
      <c r="DD7" s="30">
        <f t="shared" si="17"/>
        <v>194773334.50593472</v>
      </c>
      <c r="DE7" s="30">
        <f t="shared" si="17"/>
        <v>180088094.92469001</v>
      </c>
      <c r="DF7" s="30">
        <f t="shared" si="17"/>
        <v>165353904.54484105</v>
      </c>
      <c r="DG7" s="30">
        <f t="shared" si="17"/>
        <v>150570600.19705939</v>
      </c>
      <c r="DH7" s="30">
        <f t="shared" si="17"/>
        <v>135738018.16811848</v>
      </c>
      <c r="DI7" s="30">
        <f t="shared" si="17"/>
        <v>120855994.19908094</v>
      </c>
      <c r="DJ7" s="30">
        <f t="shared" si="17"/>
        <v>105924363.48347998</v>
      </c>
      <c r="DK7" s="30">
        <f t="shared" si="17"/>
        <v>90942960.665493727</v>
      </c>
      <c r="DL7" s="30">
        <f t="shared" si="17"/>
        <v>75911619.838114262</v>
      </c>
      <c r="DM7" s="30">
        <f t="shared" si="17"/>
        <v>60830174.541310072</v>
      </c>
      <c r="DN7" s="30">
        <f t="shared" si="17"/>
        <v>45698457.760183096</v>
      </c>
      <c r="DO7" s="30">
        <f t="shared" si="17"/>
        <v>30516301.923119068</v>
      </c>
      <c r="DP7" s="30">
        <f t="shared" si="17"/>
        <v>15283538.899931669</v>
      </c>
      <c r="DQ7" s="30">
        <f t="shared" si="17"/>
        <v>0</v>
      </c>
    </row>
    <row r="8" spans="1:121" ht="15" x14ac:dyDescent="0.3">
      <c r="A8" s="37" t="s">
        <v>28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</row>
    <row r="9" spans="1:121" x14ac:dyDescent="0.25">
      <c r="A9" s="39" t="s">
        <v>29</v>
      </c>
      <c r="B9" s="30">
        <f>'Accrual_MCML '!B25</f>
        <v>312989.4444444445</v>
      </c>
      <c r="C9" s="30">
        <f>'Accrual_MCML '!C25</f>
        <v>1059348.888888889</v>
      </c>
      <c r="D9" s="30">
        <f>'Accrual_MCML '!D25</f>
        <v>1781632.2222222225</v>
      </c>
      <c r="E9" s="30">
        <f>'Accrual_MCML '!E25</f>
        <v>2527991.666666667</v>
      </c>
      <c r="F9" s="30">
        <f>'Accrual_MCML '!F25</f>
        <v>3250275.0000000005</v>
      </c>
      <c r="G9" s="30">
        <f>'Accrual_MCML '!G25</f>
        <v>3810904.444444445</v>
      </c>
      <c r="H9" s="30">
        <f>'Accrual_MCML '!H25</f>
        <v>4237395.555555556</v>
      </c>
      <c r="I9" s="30">
        <f>'Accrual_MCML '!I25</f>
        <v>6285253.333333334</v>
      </c>
      <c r="J9" s="30">
        <f>'Accrual_MCML '!J25</f>
        <v>11092668.888888888</v>
      </c>
      <c r="K9" s="30">
        <f>'Accrual_MCML '!K25</f>
        <v>14672335.555555556</v>
      </c>
      <c r="L9" s="30">
        <f>'Accrual_MCML '!L25</f>
        <v>18371324.444444444</v>
      </c>
      <c r="M9" s="30">
        <f>'Accrual_MCML '!M25</f>
        <v>21950991.111111112</v>
      </c>
      <c r="N9" s="30">
        <f>'Accrual_MCML '!N25</f>
        <v>25649980</v>
      </c>
      <c r="O9" s="30">
        <f>'Accrual_MCML '!O25</f>
        <v>29348968.888888888</v>
      </c>
      <c r="P9" s="30">
        <f>'Accrual_MCML '!P25</f>
        <v>32928635.555555556</v>
      </c>
      <c r="Q9" s="30">
        <f>'Accrual_MCML '!Q25</f>
        <v>37504627.222222224</v>
      </c>
      <c r="R9" s="30">
        <f>'Accrual_MCML '!R25</f>
        <v>42228210.55555556</v>
      </c>
      <c r="S9" s="30">
        <f>'Accrual_MCML '!S25</f>
        <v>46798755.000000007</v>
      </c>
      <c r="T9" s="30">
        <f>'Accrual_MCML '!T25</f>
        <v>51173199.444444448</v>
      </c>
      <c r="U9" s="30">
        <f>'Accrual_MCML '!U25</f>
        <v>55124310.55555556</v>
      </c>
      <c r="V9" s="30">
        <f>'Accrual_MCML '!V25</f>
        <v>59498755</v>
      </c>
      <c r="W9" s="30">
        <f>'Accrual_MCML '!W25</f>
        <v>63732088.333333336</v>
      </c>
      <c r="X9" s="30">
        <f>'Accrual_MCML '!X25</f>
        <v>68106532.777777776</v>
      </c>
      <c r="Y9" s="30">
        <f>'Accrual_MCML '!Y25</f>
        <v>72339866.111111104</v>
      </c>
      <c r="Z9" s="30">
        <f>'Accrual_MCML '!Z25</f>
        <v>76714310.555555552</v>
      </c>
      <c r="AA9" s="30">
        <f>'Accrual_MCML '!AA25</f>
        <v>81088755</v>
      </c>
      <c r="AB9" s="30">
        <f>'Accrual_MCML '!AB25</f>
        <v>85251532.777777776</v>
      </c>
      <c r="AC9" s="30">
        <f>'Accrual_MCML '!AC25</f>
        <v>89489275.833333328</v>
      </c>
      <c r="AD9" s="30">
        <f>'Accrual_MCML '!AD25</f>
        <v>93590317.5</v>
      </c>
      <c r="AE9" s="30">
        <f>'Accrual_MCML '!AE25</f>
        <v>97753095.277777776</v>
      </c>
      <c r="AF9" s="30">
        <f>'Accrual_MCML '!AF25</f>
        <v>101832668.33572187</v>
      </c>
      <c r="AG9" s="30">
        <f>'Accrual_MCML '!AG25</f>
        <v>105610963.57754152</v>
      </c>
      <c r="AH9" s="30">
        <f>'Accrual_MCML '!AH25</f>
        <v>109611965.49855201</v>
      </c>
      <c r="AI9" s="30">
        <f>'Accrual_MCML '!AI25</f>
        <v>113446270.39834878</v>
      </c>
      <c r="AJ9" s="30">
        <f>'Accrual_MCML '!AJ25</f>
        <v>117366896.71999452</v>
      </c>
      <c r="AK9" s="30">
        <f>'Accrual_MCML '!AK25</f>
        <v>121124405.97915784</v>
      </c>
      <c r="AL9" s="30">
        <f>'Accrual_MCML '!AL25</f>
        <v>124966688.08082418</v>
      </c>
      <c r="AM9" s="30">
        <f>'Accrual_MCML '!AM25</f>
        <v>128766373.76644358</v>
      </c>
      <c r="AN9" s="30">
        <f>'Accrual_MCML '!AN25</f>
        <v>132407726.9499667</v>
      </c>
      <c r="AO9" s="30">
        <f>'Accrual_MCML '!AO25</f>
        <v>136129574.98139542</v>
      </c>
      <c r="AP9" s="30">
        <f>'Accrual_MCML '!AP25</f>
        <v>139692844.03560197</v>
      </c>
      <c r="AQ9" s="30">
        <f>'Accrual_MCML '!AQ25</f>
        <v>143333732.1218645</v>
      </c>
      <c r="AR9" s="30">
        <f>'Accrual_MCML '!AR25</f>
        <v>146933937.72342372</v>
      </c>
      <c r="AS9" s="30">
        <f>'Accrual_MCML '!AS25</f>
        <v>150150654.99022415</v>
      </c>
      <c r="AT9" s="30">
        <f>'Accrual_MCML '!AT25</f>
        <v>153669088.34550214</v>
      </c>
      <c r="AU9" s="30">
        <f>'Accrual_MCML '!AU25</f>
        <v>157034858.20369685</v>
      </c>
      <c r="AV9" s="30">
        <f>'Accrual_MCML '!AV25</f>
        <v>160470973.25580454</v>
      </c>
      <c r="AW9" s="30">
        <f>'Accrual_MCML '!AW25</f>
        <v>163756818.70047688</v>
      </c>
      <c r="AX9" s="30">
        <f>'Accrual_MCML '!AX25</f>
        <v>167110065.7460787</v>
      </c>
      <c r="AY9" s="30">
        <f>'Accrual_MCML '!AY25</f>
        <v>170421671.50350833</v>
      </c>
      <c r="AZ9" s="30">
        <f>'Accrual_MCML '!AZ25</f>
        <v>173586628.49479938</v>
      </c>
      <c r="BA9" s="30">
        <f>'Accrual_MCML '!BA25</f>
        <v>176814534.800322</v>
      </c>
      <c r="BB9" s="30">
        <f>'Accrual_MCML '!BB25</f>
        <v>179898226.39439058</v>
      </c>
      <c r="BC9" s="30">
        <f>'Accrual_MCML '!BC25</f>
        <v>183041874.32166621</v>
      </c>
      <c r="BD9" s="30">
        <f>'Accrual_MCML '!BD25</f>
        <v>186143182.29704192</v>
      </c>
      <c r="BE9" s="30">
        <f>'Accrual_MCML '!BE25</f>
        <v>188907853.08513349</v>
      </c>
      <c r="BF9" s="30">
        <f>'Accrual_MCML '!BF25</f>
        <v>191924057.28674644</v>
      </c>
      <c r="BG9" s="30">
        <f>'Accrual_MCML '!BG25</f>
        <v>194802203.26283222</v>
      </c>
      <c r="BH9" s="30">
        <f>'Accrual_MCML '!BH25</f>
        <v>197732735.38659319</v>
      </c>
      <c r="BI9" s="30">
        <f>'Accrual_MCML '!BI25</f>
        <v>200527700.70523274</v>
      </c>
      <c r="BJ9" s="30">
        <f>'Accrual_MCML '!BJ25</f>
        <v>203371988.65204406</v>
      </c>
      <c r="BK9" s="30">
        <f>'Accrual_MCML '!BK25</f>
        <v>206172938.78035393</v>
      </c>
      <c r="BL9" s="30">
        <f>'Accrual_MCML '!BL25</f>
        <v>208842090.46350026</v>
      </c>
      <c r="BM9" s="30">
        <f>'Accrual_MCML '!BM25</f>
        <v>211555931.09509087</v>
      </c>
      <c r="BN9" s="30">
        <f>'Accrual_MCML '!BN25</f>
        <v>214140506.50334588</v>
      </c>
      <c r="BO9" s="30">
        <f>'Accrual_MCML '!BO25</f>
        <v>216766655.94035578</v>
      </c>
      <c r="BP9" s="30">
        <f>'Accrual_MCML '!BP25</f>
        <v>219348740.43049821</v>
      </c>
      <c r="BQ9" s="30">
        <f>'Accrual_MCML '!BQ25</f>
        <v>221642947.66886684</v>
      </c>
      <c r="BR9" s="30">
        <f>'Accrual_MCML '!BR25</f>
        <v>224136461.12619516</v>
      </c>
      <c r="BS9" s="30">
        <f>'Accrual_MCML '!BS25</f>
        <v>226507116.6708504</v>
      </c>
      <c r="BT9" s="30">
        <f>'Accrual_MCML '!BT25</f>
        <v>228911467.63768989</v>
      </c>
      <c r="BU9" s="30">
        <f>'Accrual_MCML '!BU25</f>
        <v>231195553.61657342</v>
      </c>
      <c r="BV9" s="30">
        <f>'Accrual_MCML '!BV25</f>
        <v>233510146.68562651</v>
      </c>
      <c r="BW9" s="30">
        <f>'Accrual_MCML '!BW25</f>
        <v>235779636.2865856</v>
      </c>
      <c r="BX9" s="30">
        <f>'Accrual_MCML '!BX25</f>
        <v>237932782.78834558</v>
      </c>
      <c r="BY9" s="30">
        <f>'Accrual_MCML '!BY25</f>
        <v>240111613.91728607</v>
      </c>
      <c r="BZ9" s="30">
        <f>'Accrual_MCML '!BZ25</f>
        <v>242176738.37622124</v>
      </c>
      <c r="CA9" s="30">
        <f>'Accrual_MCML '!CA25</f>
        <v>244264305.63601336</v>
      </c>
      <c r="CB9" s="30">
        <f>'Accrual_MCML '!CB25</f>
        <v>246306012.67501396</v>
      </c>
      <c r="CC9" s="30">
        <f>'Accrual_MCML '!CC25</f>
        <v>248174294.84377775</v>
      </c>
      <c r="CD9" s="30">
        <f>'Accrual_MCML '!CD25</f>
        <v>250123822.32942936</v>
      </c>
      <c r="CE9" s="30">
        <f>'Accrual_MCML '!CE25</f>
        <v>251966311.49946049</v>
      </c>
      <c r="CF9" s="30">
        <f>'Accrual_MCML '!CF25</f>
        <v>253823043.8771902</v>
      </c>
      <c r="CG9" s="30">
        <f>'Accrual_MCML '!CG25</f>
        <v>255575436.50377023</v>
      </c>
      <c r="CH9" s="30">
        <f>'Accrual_MCML '!CH25</f>
        <v>257338754.10846847</v>
      </c>
      <c r="CI9" s="30">
        <f>'Accrual_MCML '!CI25</f>
        <v>259055130.66019154</v>
      </c>
      <c r="CJ9" s="30">
        <f>'Accrual_MCML '!CJ25</f>
        <v>260671249.13332087</v>
      </c>
      <c r="CK9" s="30">
        <f>'Accrual_MCML '!CK25</f>
        <v>262293273.64699656</v>
      </c>
      <c r="CL9" s="30">
        <f>'Accrual_MCML '!CL25</f>
        <v>263817783.92346546</v>
      </c>
      <c r="CM9" s="30">
        <f>'Accrual_MCML '!CM25</f>
        <v>265344826.33715084</v>
      </c>
      <c r="CN9" s="30">
        <f>'Accrual_MCML '!CN25</f>
        <v>266824140.11389101</v>
      </c>
      <c r="CO9" s="30">
        <f>'Accrual_MCML '!CO25</f>
        <v>268119137.11021012</v>
      </c>
      <c r="CP9" s="30">
        <f>'Accrual_MCML '!CP25</f>
        <v>269502515.79637218</v>
      </c>
      <c r="CQ9" s="30">
        <f>'Accrual_MCML '!CQ25</f>
        <v>270795320.2787587</v>
      </c>
      <c r="CR9" s="30">
        <f>'Accrual_MCML '!CR25</f>
        <v>272082123.24112672</v>
      </c>
      <c r="CS9" s="30">
        <f>'Accrual_MCML '!CS25</f>
        <v>273281160.5078702</v>
      </c>
      <c r="CT9" s="30">
        <f>'Accrual_MCML '!CT25</f>
        <v>274470742.83522195</v>
      </c>
      <c r="CU9" s="30">
        <f>'Accrual_MCML '!CU25</f>
        <v>275611471.65867406</v>
      </c>
      <c r="CV9" s="30">
        <f>'Accrual_MCML '!CV25</f>
        <v>276668682.75269514</v>
      </c>
      <c r="CW9" s="30">
        <f>'Accrual_MCML '!CW25</f>
        <v>277711215.49049217</v>
      </c>
      <c r="CX9" s="30">
        <f>'Accrual_MCML '!CX25</f>
        <v>278673086.12857682</v>
      </c>
      <c r="CY9" s="30">
        <f>'Accrual_MCML '!CY25</f>
        <v>279616767.04908019</v>
      </c>
      <c r="CZ9" s="30">
        <f>'Accrual_MCML '!CZ25</f>
        <v>280510774.79432774</v>
      </c>
      <c r="DA9" s="30">
        <f>'Accrual_MCML '!DA25</f>
        <v>281275431.46305835</v>
      </c>
      <c r="DB9" s="30">
        <f>'Accrual_MCML '!DB25</f>
        <v>282069595.57411748</v>
      </c>
      <c r="DC9" s="30">
        <f>'Accrual_MCML '!DC25</f>
        <v>282790320.36656535</v>
      </c>
      <c r="DD9" s="30">
        <f>'Accrual_MCML '!DD25</f>
        <v>283483974.10983449</v>
      </c>
      <c r="DE9" s="30">
        <f>'Accrual_MCML '!DE25</f>
        <v>284107111.4655987</v>
      </c>
      <c r="DF9" s="30">
        <f>'Accrual_MCML '!DF25</f>
        <v>284699583.65517735</v>
      </c>
      <c r="DG9" s="30">
        <f>'Accrual_MCML '!DG25</f>
        <v>285241211.97373044</v>
      </c>
      <c r="DH9" s="30">
        <f>'Accrual_MCML '!DH25</f>
        <v>285716744.93966919</v>
      </c>
      <c r="DI9" s="30">
        <f>'Accrual_MCML '!DI25</f>
        <v>286156176.51252896</v>
      </c>
      <c r="DJ9" s="30">
        <f>'Accrual_MCML '!DJ25</f>
        <v>286532484.70525372</v>
      </c>
      <c r="DK9" s="30">
        <f>'Accrual_MCML '!DK25</f>
        <v>286869037.08526284</v>
      </c>
      <c r="DL9" s="30">
        <f>'Accrual_MCML '!DL25</f>
        <v>287153892.52821445</v>
      </c>
      <c r="DM9" s="30">
        <f>'Accrual_MCML '!DM25</f>
        <v>287366601.98613799</v>
      </c>
      <c r="DN9" s="30">
        <f>'Accrual_MCML '!DN25</f>
        <v>287547546.01119369</v>
      </c>
      <c r="DO9" s="30">
        <f>'Accrual_MCML '!DO25</f>
        <v>287672883.70446175</v>
      </c>
      <c r="DP9" s="30">
        <f>'Accrual_MCML '!DP25</f>
        <v>287749222.41426426</v>
      </c>
      <c r="DQ9" s="30">
        <f>'Accrual_MCML '!DQ25</f>
        <v>287772996.80810863</v>
      </c>
    </row>
    <row r="10" spans="1:121" x14ac:dyDescent="0.25">
      <c r="A10" s="38" t="s">
        <v>30</v>
      </c>
      <c r="B10" s="30">
        <v>0</v>
      </c>
      <c r="C10" s="30">
        <f>B10</f>
        <v>0</v>
      </c>
      <c r="D10" s="30">
        <f>MCML_Loan!$B$29</f>
        <v>1372338.3333333335</v>
      </c>
      <c r="E10" s="30">
        <f>D10</f>
        <v>1372338.3333333335</v>
      </c>
      <c r="F10" s="30">
        <f>E10</f>
        <v>1372338.3333333335</v>
      </c>
      <c r="G10" s="30">
        <f>MCML_Loan!$C$29</f>
        <v>3563264.444444445</v>
      </c>
      <c r="H10" s="30">
        <f t="shared" ref="H10:AD10" si="18">G10</f>
        <v>3563264.444444445</v>
      </c>
      <c r="I10" s="30">
        <f t="shared" si="18"/>
        <v>3563264.444444445</v>
      </c>
      <c r="J10" s="30">
        <f>MCML_Loan!$D$29</f>
        <v>9064191.1111111119</v>
      </c>
      <c r="K10" s="30">
        <f t="shared" si="18"/>
        <v>9064191.1111111119</v>
      </c>
      <c r="L10" s="30">
        <f t="shared" si="18"/>
        <v>9064191.1111111119</v>
      </c>
      <c r="M10" s="30">
        <f>MCML_Loan!$E$29</f>
        <v>19922513.333333336</v>
      </c>
      <c r="N10" s="30">
        <f t="shared" si="18"/>
        <v>19922513.333333336</v>
      </c>
      <c r="O10" s="30">
        <f t="shared" si="18"/>
        <v>19922513.333333336</v>
      </c>
      <c r="P10" s="30">
        <f>MCML_Loan!$F$29</f>
        <v>30780835.55555556</v>
      </c>
      <c r="Q10" s="30">
        <f t="shared" si="18"/>
        <v>30780835.55555556</v>
      </c>
      <c r="R10" s="30">
        <f t="shared" si="18"/>
        <v>30780835.55555556</v>
      </c>
      <c r="S10" s="30">
        <f>MCML_Loan!$G$29</f>
        <v>44117643.888888896</v>
      </c>
      <c r="T10" s="30">
        <f t="shared" si="18"/>
        <v>44117643.888888896</v>
      </c>
      <c r="U10" s="30">
        <f t="shared" si="18"/>
        <v>44117643.888888896</v>
      </c>
      <c r="V10" s="30">
        <f>MCML_Loan!$H$29</f>
        <v>56958755.000000007</v>
      </c>
      <c r="W10" s="30">
        <f t="shared" si="18"/>
        <v>56958755.000000007</v>
      </c>
      <c r="X10" s="30">
        <f t="shared" si="18"/>
        <v>56958755.000000007</v>
      </c>
      <c r="Y10" s="30">
        <f>MCML_Loan!$I$29</f>
        <v>69799866.111111119</v>
      </c>
      <c r="Z10" s="30">
        <f t="shared" si="18"/>
        <v>69799866.111111119</v>
      </c>
      <c r="AA10" s="30">
        <f t="shared" si="18"/>
        <v>69799866.111111119</v>
      </c>
      <c r="AB10" s="30">
        <f>MCML_Loan!$J$29</f>
        <v>83064310.555555567</v>
      </c>
      <c r="AC10" s="30">
        <f t="shared" si="18"/>
        <v>83064310.555555567</v>
      </c>
      <c r="AD10" s="30">
        <f t="shared" si="18"/>
        <v>83064310.555555567</v>
      </c>
      <c r="AE10" s="30">
        <f>MCML_Loan!$K$29</f>
        <v>95504136.944444448</v>
      </c>
      <c r="AF10" s="30">
        <f>MCML_Loan!$L$29</f>
        <v>99605178.611111119</v>
      </c>
      <c r="AG10" s="30">
        <f>MCML_Loan!$M$29</f>
        <v>103405014.02368242</v>
      </c>
      <c r="AH10" s="30">
        <f>MCML_Loan!$N$29</f>
        <v>107427627.91601373</v>
      </c>
      <c r="AI10" s="30">
        <f>MCML_Loan!$O$29</f>
        <v>111410831.74299532</v>
      </c>
      <c r="AJ10" s="30">
        <f>MCML_Loan!$P$29</f>
        <v>115100064.30582349</v>
      </c>
      <c r="AK10" s="30">
        <f>MCML_Loan!$Q$29</f>
        <v>119129988.59768312</v>
      </c>
      <c r="AL10" s="30">
        <f>MCML_Loan!$R$29</f>
        <v>122869521.18794824</v>
      </c>
      <c r="AM10" s="30">
        <f>MCML_Loan!$S$29</f>
        <v>126447041.18167779</v>
      </c>
      <c r="AN10" s="30">
        <f>MCML_Loan!$T$29</f>
        <v>130475355.67100784</v>
      </c>
      <c r="AO10" s="30">
        <f>MCML_Loan!$U$29</f>
        <v>134098551.81905569</v>
      </c>
      <c r="AP10" s="30">
        <f>MCML_Loan!$V$29</f>
        <v>137802182.29155758</v>
      </c>
      <c r="AQ10" s="30">
        <f>MCML_Loan!$W$29</f>
        <v>141347173.06164086</v>
      </c>
      <c r="AR10" s="30">
        <f>MCML_Loan!$X$29</f>
        <v>144969721.93616635</v>
      </c>
      <c r="AS10" s="30">
        <f>MCML_Loan!$Y$29</f>
        <v>148551527.19528276</v>
      </c>
      <c r="AT10" s="30">
        <f>MCML_Loan!$Z$29</f>
        <v>151749782.78516555</v>
      </c>
      <c r="AU10" s="30">
        <f>MCML_Loan!$AA$29</f>
        <v>155249692.92460287</v>
      </c>
      <c r="AV10" s="30">
        <f>MCML_Loan!$AB$29</f>
        <v>158596877.82290408</v>
      </c>
      <c r="AW10" s="30">
        <f>MCML_Loan!$AC$29</f>
        <v>162014345.96525198</v>
      </c>
      <c r="AX10" s="30">
        <f>MCML_Loan!$AD$29</f>
        <v>165281482.34379867</v>
      </c>
      <c r="AY10" s="30">
        <f>MCML_Loan!$AE$29</f>
        <v>168615957.95972106</v>
      </c>
      <c r="AZ10" s="30">
        <f>MCML_Loan!$AF$29</f>
        <v>171908729.71603903</v>
      </c>
      <c r="BA10" s="30">
        <f>MCML_Loan!$AG$29</f>
        <v>175054789.92621469</v>
      </c>
      <c r="BB10" s="30">
        <f>MCML_Loan!$AH$29</f>
        <v>178263736.46135154</v>
      </c>
      <c r="BC10" s="30">
        <f>MCML_Loan!$AI$29</f>
        <v>181328405.08579972</v>
      </c>
      <c r="BD10" s="30">
        <f>MCML_Loan!$AJ$29</f>
        <v>184452966.63355622</v>
      </c>
      <c r="BE10" s="30">
        <f>MCML_Loan!$AK$29</f>
        <v>187535124.60814774</v>
      </c>
      <c r="BF10" s="30">
        <f>MCML_Loan!$AL$29</f>
        <v>190280581.56211916</v>
      </c>
      <c r="BG10" s="30">
        <f>MCML_Loan!$AM$29</f>
        <v>193277507.88349825</v>
      </c>
      <c r="BH10" s="30">
        <f>MCML_Loan!$AN$29</f>
        <v>196136311.71974939</v>
      </c>
      <c r="BI10" s="30">
        <f>MCML_Loan!$AO$29</f>
        <v>199047437.22987628</v>
      </c>
      <c r="BJ10" s="30">
        <f>MCML_Loan!$AP$29</f>
        <v>201822931.24616963</v>
      </c>
      <c r="BK10" s="30">
        <f>MCML_Loan!$AQ$29</f>
        <v>204647682.98629358</v>
      </c>
      <c r="BL10" s="30">
        <f>MCML_Loan!$AR$29</f>
        <v>207429031.78722712</v>
      </c>
      <c r="BM10" s="30">
        <f>MCML_Loan!$AS$29</f>
        <v>210078516.8052392</v>
      </c>
      <c r="BN10" s="30">
        <f>MCML_Loan!$AT$29</f>
        <v>212772625.21614513</v>
      </c>
      <c r="BO10" s="30">
        <f>MCML_Loan!$AU$29</f>
        <v>215337402.62964651</v>
      </c>
      <c r="BP10" s="30">
        <f>MCML_Loan!$AV$29</f>
        <v>217943688.07858694</v>
      </c>
      <c r="BQ10" s="30">
        <f>MCML_Loan!$AW$29</f>
        <v>220505842.36736634</v>
      </c>
      <c r="BR10" s="30">
        <f>MCML_Loan!$AX$29</f>
        <v>222780052.9703674</v>
      </c>
      <c r="BS10" s="30">
        <f>MCML_Loan!$AY$29</f>
        <v>225253503.13687688</v>
      </c>
      <c r="BT10" s="30">
        <f>MCML_Loan!$AZ$29</f>
        <v>227604028.51307723</v>
      </c>
      <c r="BU10" s="30">
        <f>MCML_Loan!$BA$29</f>
        <v>229988182.21090031</v>
      </c>
      <c r="BV10" s="30">
        <f>MCML_Loan!$BB$29</f>
        <v>232252003.59653741</v>
      </c>
      <c r="BW10" s="30">
        <f>MCML_Loan!$BC$29</f>
        <v>234546264.52369988</v>
      </c>
      <c r="BX10" s="30">
        <f>MCML_Loan!$BD$29</f>
        <v>236795354.20896205</v>
      </c>
      <c r="BY10" s="30">
        <f>MCML_Loan!$BE$29</f>
        <v>238928032.79530612</v>
      </c>
      <c r="BZ10" s="30">
        <f>MCML_Loan!$BF$29</f>
        <v>241086327.782446</v>
      </c>
      <c r="CA10" s="30">
        <f>MCML_Loan!$BG$29</f>
        <v>243130847.64577457</v>
      </c>
      <c r="CB10" s="30">
        <f>MCML_Loan!$BH$29</f>
        <v>245197741.62797472</v>
      </c>
      <c r="CC10" s="30">
        <f>MCML_Loan!$BI$29</f>
        <v>247218706.47845802</v>
      </c>
      <c r="CD10" s="30">
        <f>MCML_Loan!$BJ$29</f>
        <v>249066177.31807613</v>
      </c>
      <c r="CE10" s="30">
        <f>MCML_Loan!$BK$29</f>
        <v>250994824.10348493</v>
      </c>
      <c r="CF10" s="30">
        <f>MCML_Loan!$BL$29</f>
        <v>252816362.9709391</v>
      </c>
      <c r="CG10" s="30">
        <f>MCML_Loan!$BM$29</f>
        <v>254652075.21174991</v>
      </c>
      <c r="CH10" s="30">
        <f>MCML_Loan!$BN$29</f>
        <v>256383377.63428798</v>
      </c>
      <c r="CI10" s="30">
        <f>MCML_Loan!$BO$29</f>
        <v>258125534.73426414</v>
      </c>
      <c r="CJ10" s="30">
        <f>MCML_Loan!$BP$29</f>
        <v>259820680.24624935</v>
      </c>
      <c r="CK10" s="30">
        <f>MCML_Loan!$BQ$29</f>
        <v>261415496.90950838</v>
      </c>
      <c r="CL10" s="30">
        <f>MCML_Loan!$BR$29</f>
        <v>263016148.60728088</v>
      </c>
      <c r="CM10" s="30">
        <f>MCML_Loan!$BS$29</f>
        <v>264519214.82512692</v>
      </c>
      <c r="CN10" s="30">
        <f>MCML_Loan!$BT$29</f>
        <v>266024741.699994</v>
      </c>
      <c r="CO10" s="30">
        <f>MCML_Loan!$BU$29</f>
        <v>267482468.21945316</v>
      </c>
      <c r="CP10" s="30">
        <f>MCML_Loan!$BV$29</f>
        <v>268755806.00096697</v>
      </c>
      <c r="CQ10" s="30">
        <f>MCML_Loan!$BW$29</f>
        <v>270117453.27494109</v>
      </c>
      <c r="CR10" s="30">
        <f>MCML_Loan!$BX$29</f>
        <v>271388453.90709901</v>
      </c>
      <c r="CS10" s="30">
        <f>MCML_Loan!$BY$29</f>
        <v>272653380.33973771</v>
      </c>
      <c r="CT10" s="30">
        <f>MCML_Loan!$BZ$29</f>
        <v>273830468.15498608</v>
      </c>
      <c r="CU10" s="30">
        <f>MCML_Loan!$CA$29</f>
        <v>274998027.86600441</v>
      </c>
      <c r="CV10" s="30">
        <f>MCML_Loan!$CB$29</f>
        <v>276116660.66440195</v>
      </c>
      <c r="CW10" s="30">
        <f>MCML_Loan!$CC$29</f>
        <v>277151702.07995164</v>
      </c>
      <c r="CX10" s="30">
        <f>MCML_Loan!$CD$29</f>
        <v>278171991.24034905</v>
      </c>
      <c r="CY10" s="30">
        <f>MCML_Loan!$CE$29</f>
        <v>279111544.15577608</v>
      </c>
      <c r="CZ10" s="30">
        <f>MCML_Loan!$CF$29</f>
        <v>280032832.96121293</v>
      </c>
      <c r="DA10" s="30">
        <f>MCML_Loan!$CG$29</f>
        <v>280904373.95101041</v>
      </c>
      <c r="DB10" s="30">
        <f>MCML_Loan!$CH$29</f>
        <v>281646488.97510612</v>
      </c>
      <c r="DC10" s="30">
        <f>MCML_Loan!$CI$29</f>
        <v>282418036.30271494</v>
      </c>
      <c r="DD10" s="30">
        <f>MCML_Loan!$CJ$29</f>
        <v>283116068.92243433</v>
      </c>
      <c r="DE10" s="30">
        <f>MCML_Loan!$CK$29</f>
        <v>283786954.85239923</v>
      </c>
      <c r="DF10" s="30">
        <f>MCML_Loan!$CL$29</f>
        <v>284387248.50214821</v>
      </c>
      <c r="DG10" s="30">
        <f>MCML_Loan!$CM$29</f>
        <v>284956800.84002489</v>
      </c>
      <c r="DH10" s="30">
        <f>MCML_Loan!$CN$29</f>
        <v>285475432.90737033</v>
      </c>
      <c r="DI10" s="30">
        <f>MCML_Loan!$CO$29</f>
        <v>285927892.96793073</v>
      </c>
      <c r="DJ10" s="30">
        <f>MCML_Loan!$CP$29</f>
        <v>286344174.72572756</v>
      </c>
      <c r="DK10" s="30">
        <f>MCML_Loan!$CQ$29</f>
        <v>286697255.93733919</v>
      </c>
      <c r="DL10" s="30">
        <f>MCML_Loan!$CR$29</f>
        <v>287010503.91296476</v>
      </c>
      <c r="DM10" s="30">
        <f>MCML_Loan!$CS$29</f>
        <v>287271977.27018493</v>
      </c>
      <c r="DN10" s="30">
        <f>MCML_Loan!$CT$29</f>
        <v>287461226.70209122</v>
      </c>
      <c r="DO10" s="30">
        <f>MCML_Loan!$CU$29</f>
        <v>287618632.50104296</v>
      </c>
      <c r="DP10" s="30">
        <f>MCML_Loan!$CV$29</f>
        <v>287720353.50745338</v>
      </c>
      <c r="DQ10" s="30">
        <f>MCML_Loan!$CW$29</f>
        <v>287772996.80810869</v>
      </c>
    </row>
    <row r="11" spans="1:121" x14ac:dyDescent="0.25">
      <c r="A11" s="38" t="s">
        <v>31</v>
      </c>
      <c r="B11" s="30">
        <f>B26</f>
        <v>0</v>
      </c>
      <c r="C11" s="30">
        <f>C26</f>
        <v>0</v>
      </c>
      <c r="D11" s="30">
        <f>D26</f>
        <v>1372338</v>
      </c>
      <c r="E11" s="30">
        <f>E26</f>
        <v>1372338</v>
      </c>
      <c r="F11" s="30">
        <f>F26</f>
        <v>1372338</v>
      </c>
      <c r="G11" s="30">
        <f t="shared" ref="G11:M11" si="19">G26</f>
        <v>3563264</v>
      </c>
      <c r="H11" s="30">
        <f t="shared" si="19"/>
        <v>3563264</v>
      </c>
      <c r="I11" s="30">
        <f t="shared" si="19"/>
        <v>3563264</v>
      </c>
      <c r="J11" s="30">
        <f t="shared" si="19"/>
        <v>9064196</v>
      </c>
      <c r="K11" s="30">
        <f t="shared" si="19"/>
        <v>9064196</v>
      </c>
      <c r="L11" s="30">
        <f t="shared" si="19"/>
        <v>9064196</v>
      </c>
      <c r="M11" s="30">
        <f t="shared" si="19"/>
        <v>19922518</v>
      </c>
      <c r="N11" s="30">
        <f t="shared" ref="N11:AR11" si="20">N26</f>
        <v>19922518</v>
      </c>
      <c r="O11" s="30">
        <f t="shared" si="20"/>
        <v>19922518</v>
      </c>
      <c r="P11" s="30">
        <f t="shared" si="20"/>
        <v>30780840</v>
      </c>
      <c r="Q11" s="30">
        <f t="shared" si="20"/>
        <v>30780840</v>
      </c>
      <c r="R11" s="30">
        <f t="shared" si="20"/>
        <v>30780840</v>
      </c>
      <c r="S11" s="30">
        <f t="shared" si="20"/>
        <v>44117652</v>
      </c>
      <c r="T11" s="30">
        <f t="shared" si="20"/>
        <v>44117652</v>
      </c>
      <c r="U11" s="30">
        <f t="shared" si="20"/>
        <v>44117652</v>
      </c>
      <c r="V11" s="30">
        <f t="shared" si="20"/>
        <v>56958763</v>
      </c>
      <c r="W11" s="30">
        <f t="shared" si="20"/>
        <v>56958763</v>
      </c>
      <c r="X11" s="30">
        <f t="shared" si="20"/>
        <v>56958763</v>
      </c>
      <c r="Y11" s="30">
        <f t="shared" si="20"/>
        <v>69799874</v>
      </c>
      <c r="Z11" s="30">
        <f t="shared" si="20"/>
        <v>69799874</v>
      </c>
      <c r="AA11" s="30">
        <f t="shared" si="20"/>
        <v>69799874</v>
      </c>
      <c r="AB11" s="30">
        <f t="shared" si="20"/>
        <v>83064318</v>
      </c>
      <c r="AC11" s="30">
        <f t="shared" si="20"/>
        <v>83064318</v>
      </c>
      <c r="AD11" s="30">
        <f t="shared" si="20"/>
        <v>83064318</v>
      </c>
      <c r="AE11" s="30">
        <f t="shared" si="20"/>
        <v>95504144</v>
      </c>
      <c r="AF11" s="30">
        <f t="shared" si="20"/>
        <v>99605186</v>
      </c>
      <c r="AG11" s="30">
        <f t="shared" si="20"/>
        <v>103405021</v>
      </c>
      <c r="AH11" s="30">
        <f t="shared" si="20"/>
        <v>107427637</v>
      </c>
      <c r="AI11" s="30">
        <f t="shared" si="20"/>
        <v>111410841</v>
      </c>
      <c r="AJ11" s="30">
        <f t="shared" si="20"/>
        <v>115100074</v>
      </c>
      <c r="AK11" s="30">
        <f t="shared" si="20"/>
        <v>119129998</v>
      </c>
      <c r="AL11" s="30">
        <f t="shared" si="20"/>
        <v>122869533</v>
      </c>
      <c r="AM11" s="30">
        <f t="shared" si="20"/>
        <v>126447053</v>
      </c>
      <c r="AN11" s="30">
        <f t="shared" si="20"/>
        <v>130475355.67100784</v>
      </c>
      <c r="AO11" s="30">
        <f t="shared" si="20"/>
        <v>134098551.81905569</v>
      </c>
      <c r="AP11" s="30">
        <f t="shared" si="20"/>
        <v>137802182.29155758</v>
      </c>
      <c r="AQ11" s="30">
        <f t="shared" si="20"/>
        <v>141347173.06164086</v>
      </c>
      <c r="AR11" s="30">
        <f t="shared" si="20"/>
        <v>144969721.93616635</v>
      </c>
      <c r="AS11" s="30">
        <f t="shared" ref="AS11:BX11" si="21">AS26</f>
        <v>148551527.19528276</v>
      </c>
      <c r="AT11" s="30">
        <f t="shared" si="21"/>
        <v>151749782.78516555</v>
      </c>
      <c r="AU11" s="30">
        <f t="shared" si="21"/>
        <v>155249692.92460287</v>
      </c>
      <c r="AV11" s="30">
        <f t="shared" si="21"/>
        <v>158596877.82290408</v>
      </c>
      <c r="AW11" s="30">
        <f t="shared" si="21"/>
        <v>162014345.96525198</v>
      </c>
      <c r="AX11" s="30">
        <f t="shared" si="21"/>
        <v>165281482.34379867</v>
      </c>
      <c r="AY11" s="30">
        <f t="shared" si="21"/>
        <v>168615957.95972106</v>
      </c>
      <c r="AZ11" s="30">
        <f t="shared" si="21"/>
        <v>171908729.71603903</v>
      </c>
      <c r="BA11" s="30">
        <f t="shared" si="21"/>
        <v>175054789.92621469</v>
      </c>
      <c r="BB11" s="30">
        <f t="shared" si="21"/>
        <v>178263736.46135154</v>
      </c>
      <c r="BC11" s="30">
        <f t="shared" si="21"/>
        <v>181328405.08579972</v>
      </c>
      <c r="BD11" s="30">
        <f t="shared" si="21"/>
        <v>184452966.63355622</v>
      </c>
      <c r="BE11" s="30">
        <f t="shared" si="21"/>
        <v>187535124.60814774</v>
      </c>
      <c r="BF11" s="30">
        <f t="shared" si="21"/>
        <v>190280581.56211916</v>
      </c>
      <c r="BG11" s="30">
        <f t="shared" si="21"/>
        <v>193277507.88349825</v>
      </c>
      <c r="BH11" s="30">
        <f t="shared" si="21"/>
        <v>196136311.71974939</v>
      </c>
      <c r="BI11" s="30">
        <f t="shared" si="21"/>
        <v>199047437.22987628</v>
      </c>
      <c r="BJ11" s="30">
        <f t="shared" si="21"/>
        <v>201822931.24616963</v>
      </c>
      <c r="BK11" s="30">
        <f t="shared" si="21"/>
        <v>204647682.98629358</v>
      </c>
      <c r="BL11" s="30">
        <f t="shared" si="21"/>
        <v>207429031.78722712</v>
      </c>
      <c r="BM11" s="30">
        <f t="shared" si="21"/>
        <v>210078516.8052392</v>
      </c>
      <c r="BN11" s="30">
        <f t="shared" si="21"/>
        <v>212772625.21614513</v>
      </c>
      <c r="BO11" s="30">
        <f t="shared" si="21"/>
        <v>215337402.62964651</v>
      </c>
      <c r="BP11" s="30">
        <f t="shared" si="21"/>
        <v>217943688.07858694</v>
      </c>
      <c r="BQ11" s="30">
        <f t="shared" si="21"/>
        <v>220505842.36736634</v>
      </c>
      <c r="BR11" s="30">
        <f t="shared" si="21"/>
        <v>222780052.9703674</v>
      </c>
      <c r="BS11" s="30">
        <f t="shared" si="21"/>
        <v>225253503.13687688</v>
      </c>
      <c r="BT11" s="30">
        <f t="shared" si="21"/>
        <v>227604028.51307723</v>
      </c>
      <c r="BU11" s="30">
        <f t="shared" si="21"/>
        <v>229988182.21090031</v>
      </c>
      <c r="BV11" s="30">
        <f t="shared" si="21"/>
        <v>232252003.59653741</v>
      </c>
      <c r="BW11" s="30">
        <f t="shared" si="21"/>
        <v>234546264.52369988</v>
      </c>
      <c r="BX11" s="30">
        <f t="shared" si="21"/>
        <v>236795354.20896205</v>
      </c>
      <c r="BY11" s="30">
        <f t="shared" ref="BY11:CF11" si="22">BY26</f>
        <v>238928032.79530612</v>
      </c>
      <c r="BZ11" s="30">
        <f t="shared" si="22"/>
        <v>241086327.782446</v>
      </c>
      <c r="CA11" s="30">
        <f t="shared" si="22"/>
        <v>243130847.64577457</v>
      </c>
      <c r="CB11" s="30">
        <f t="shared" si="22"/>
        <v>245197741.62797472</v>
      </c>
      <c r="CC11" s="30">
        <f t="shared" si="22"/>
        <v>247218706.47845802</v>
      </c>
      <c r="CD11" s="30">
        <f t="shared" si="22"/>
        <v>249066177.31807613</v>
      </c>
      <c r="CE11" s="30">
        <f t="shared" si="22"/>
        <v>250994824.10348493</v>
      </c>
      <c r="CF11" s="30">
        <f t="shared" si="22"/>
        <v>252816362.9709391</v>
      </c>
      <c r="CG11" s="30">
        <f>CG26</f>
        <v>254652075.21174991</v>
      </c>
      <c r="CH11" s="30">
        <f>CH26</f>
        <v>256383377.63428798</v>
      </c>
      <c r="CI11" s="30">
        <f t="shared" ref="CI11:CT11" si="23">CI26</f>
        <v>258125534.73426414</v>
      </c>
      <c r="CJ11" s="30">
        <f t="shared" si="23"/>
        <v>259820680.24624935</v>
      </c>
      <c r="CK11" s="30">
        <f t="shared" si="23"/>
        <v>261415496.90950838</v>
      </c>
      <c r="CL11" s="30">
        <f t="shared" si="23"/>
        <v>263016148.60728088</v>
      </c>
      <c r="CM11" s="30">
        <f t="shared" si="23"/>
        <v>264519214.82512692</v>
      </c>
      <c r="CN11" s="30">
        <f t="shared" si="23"/>
        <v>266024741.699994</v>
      </c>
      <c r="CO11" s="30">
        <f t="shared" si="23"/>
        <v>267482468.21945316</v>
      </c>
      <c r="CP11" s="30">
        <f t="shared" si="23"/>
        <v>268755806.00096697</v>
      </c>
      <c r="CQ11" s="30">
        <f t="shared" si="23"/>
        <v>270117453.27494109</v>
      </c>
      <c r="CR11" s="30">
        <f t="shared" si="23"/>
        <v>271388453.90709901</v>
      </c>
      <c r="CS11" s="30">
        <f t="shared" si="23"/>
        <v>272653380.33973771</v>
      </c>
      <c r="CT11" s="30">
        <f t="shared" si="23"/>
        <v>273830468.15498608</v>
      </c>
      <c r="CU11" s="30">
        <f t="shared" ref="CU11:DQ11" si="24">CU26</f>
        <v>274998027.86600441</v>
      </c>
      <c r="CV11" s="30">
        <f t="shared" si="24"/>
        <v>276116660.66440195</v>
      </c>
      <c r="CW11" s="30">
        <f t="shared" si="24"/>
        <v>277151702.07995164</v>
      </c>
      <c r="CX11" s="30">
        <f t="shared" si="24"/>
        <v>278171991.24034905</v>
      </c>
      <c r="CY11" s="30">
        <f t="shared" si="24"/>
        <v>279111544.15577608</v>
      </c>
      <c r="CZ11" s="30">
        <f t="shared" si="24"/>
        <v>280032832.96121293</v>
      </c>
      <c r="DA11" s="30">
        <f t="shared" si="24"/>
        <v>280904373.95101041</v>
      </c>
      <c r="DB11" s="30">
        <f t="shared" si="24"/>
        <v>281646488.97510612</v>
      </c>
      <c r="DC11" s="30">
        <f t="shared" si="24"/>
        <v>282418036.30271494</v>
      </c>
      <c r="DD11" s="30">
        <f t="shared" si="24"/>
        <v>283116068.92243433</v>
      </c>
      <c r="DE11" s="30">
        <f t="shared" si="24"/>
        <v>283786954.85239923</v>
      </c>
      <c r="DF11" s="30">
        <f t="shared" si="24"/>
        <v>284387248.50214821</v>
      </c>
      <c r="DG11" s="30">
        <f t="shared" si="24"/>
        <v>284956800.84002489</v>
      </c>
      <c r="DH11" s="30">
        <f t="shared" si="24"/>
        <v>285475432.90737033</v>
      </c>
      <c r="DI11" s="30">
        <f t="shared" si="24"/>
        <v>285927892.96793073</v>
      </c>
      <c r="DJ11" s="30">
        <f t="shared" si="24"/>
        <v>286344174.72572756</v>
      </c>
      <c r="DK11" s="30">
        <f t="shared" si="24"/>
        <v>286697255.93733919</v>
      </c>
      <c r="DL11" s="30">
        <f t="shared" si="24"/>
        <v>287010503.91296476</v>
      </c>
      <c r="DM11" s="30">
        <f t="shared" si="24"/>
        <v>287271977.27018493</v>
      </c>
      <c r="DN11" s="30">
        <f t="shared" si="24"/>
        <v>287461226.70209122</v>
      </c>
      <c r="DO11" s="30">
        <f t="shared" si="24"/>
        <v>287618632.50104296</v>
      </c>
      <c r="DP11" s="30">
        <f t="shared" si="24"/>
        <v>287720353.50745338</v>
      </c>
      <c r="DQ11" s="30">
        <f t="shared" si="24"/>
        <v>287772996.80810869</v>
      </c>
    </row>
    <row r="12" spans="1:121" x14ac:dyDescent="0.25">
      <c r="A12" s="38" t="s">
        <v>32</v>
      </c>
      <c r="B12" s="30">
        <f>IF((B10-B11)&gt;0,(B10-B11),0)</f>
        <v>0</v>
      </c>
      <c r="C12" s="30">
        <f>IF((C10-C11)&gt;0,(C10-C11),0)</f>
        <v>0</v>
      </c>
      <c r="D12" s="30">
        <f t="shared" ref="D12:BO12" si="25">IF((D10-D11)&gt;0,(D10-D11),0)</f>
        <v>0.33333333348855376</v>
      </c>
      <c r="E12" s="30">
        <f t="shared" si="25"/>
        <v>0.33333333348855376</v>
      </c>
      <c r="F12" s="30">
        <f t="shared" si="25"/>
        <v>0.33333333348855376</v>
      </c>
      <c r="G12" s="30">
        <f t="shared" si="25"/>
        <v>0.44444444496184587</v>
      </c>
      <c r="H12" s="30">
        <f t="shared" si="25"/>
        <v>0.44444444496184587</v>
      </c>
      <c r="I12" s="30">
        <f t="shared" si="25"/>
        <v>0.44444444496184587</v>
      </c>
      <c r="J12" s="30">
        <f t="shared" si="25"/>
        <v>0</v>
      </c>
      <c r="K12" s="30">
        <f t="shared" si="25"/>
        <v>0</v>
      </c>
      <c r="L12" s="30">
        <f t="shared" si="25"/>
        <v>0</v>
      </c>
      <c r="M12" s="30">
        <f t="shared" si="25"/>
        <v>0</v>
      </c>
      <c r="N12" s="30">
        <f t="shared" si="25"/>
        <v>0</v>
      </c>
      <c r="O12" s="30">
        <f t="shared" si="25"/>
        <v>0</v>
      </c>
      <c r="P12" s="30">
        <f t="shared" si="25"/>
        <v>0</v>
      </c>
      <c r="Q12" s="30">
        <f t="shared" si="25"/>
        <v>0</v>
      </c>
      <c r="R12" s="30">
        <f t="shared" si="25"/>
        <v>0</v>
      </c>
      <c r="S12" s="30">
        <f t="shared" si="25"/>
        <v>0</v>
      </c>
      <c r="T12" s="30">
        <f t="shared" si="25"/>
        <v>0</v>
      </c>
      <c r="U12" s="30">
        <f t="shared" si="25"/>
        <v>0</v>
      </c>
      <c r="V12" s="30">
        <f t="shared" si="25"/>
        <v>0</v>
      </c>
      <c r="W12" s="30">
        <f t="shared" si="25"/>
        <v>0</v>
      </c>
      <c r="X12" s="30">
        <f t="shared" si="25"/>
        <v>0</v>
      </c>
      <c r="Y12" s="30">
        <f t="shared" si="25"/>
        <v>0</v>
      </c>
      <c r="Z12" s="30">
        <f t="shared" si="25"/>
        <v>0</v>
      </c>
      <c r="AA12" s="30">
        <f t="shared" si="25"/>
        <v>0</v>
      </c>
      <c r="AB12" s="30">
        <f t="shared" si="25"/>
        <v>0</v>
      </c>
      <c r="AC12" s="30">
        <f t="shared" si="25"/>
        <v>0</v>
      </c>
      <c r="AD12" s="30">
        <f t="shared" si="25"/>
        <v>0</v>
      </c>
      <c r="AE12" s="30">
        <f t="shared" si="25"/>
        <v>0</v>
      </c>
      <c r="AF12" s="30">
        <f t="shared" si="25"/>
        <v>0</v>
      </c>
      <c r="AG12" s="30">
        <f t="shared" si="25"/>
        <v>0</v>
      </c>
      <c r="AH12" s="30">
        <f t="shared" si="25"/>
        <v>0</v>
      </c>
      <c r="AI12" s="30">
        <f t="shared" si="25"/>
        <v>0</v>
      </c>
      <c r="AJ12" s="30">
        <f t="shared" si="25"/>
        <v>0</v>
      </c>
      <c r="AK12" s="30">
        <f t="shared" si="25"/>
        <v>0</v>
      </c>
      <c r="AL12" s="30">
        <f t="shared" si="25"/>
        <v>0</v>
      </c>
      <c r="AM12" s="30">
        <f t="shared" si="25"/>
        <v>0</v>
      </c>
      <c r="AN12" s="30">
        <f t="shared" si="25"/>
        <v>0</v>
      </c>
      <c r="AO12" s="30">
        <f t="shared" si="25"/>
        <v>0</v>
      </c>
      <c r="AP12" s="30">
        <f t="shared" si="25"/>
        <v>0</v>
      </c>
      <c r="AQ12" s="30">
        <f t="shared" si="25"/>
        <v>0</v>
      </c>
      <c r="AR12" s="30">
        <f t="shared" si="25"/>
        <v>0</v>
      </c>
      <c r="AS12" s="30">
        <f t="shared" si="25"/>
        <v>0</v>
      </c>
      <c r="AT12" s="30">
        <f t="shared" si="25"/>
        <v>0</v>
      </c>
      <c r="AU12" s="30">
        <f t="shared" si="25"/>
        <v>0</v>
      </c>
      <c r="AV12" s="30">
        <f t="shared" si="25"/>
        <v>0</v>
      </c>
      <c r="AW12" s="30">
        <f t="shared" si="25"/>
        <v>0</v>
      </c>
      <c r="AX12" s="30">
        <f t="shared" si="25"/>
        <v>0</v>
      </c>
      <c r="AY12" s="30">
        <f t="shared" si="25"/>
        <v>0</v>
      </c>
      <c r="AZ12" s="30">
        <f t="shared" si="25"/>
        <v>0</v>
      </c>
      <c r="BA12" s="30">
        <f t="shared" si="25"/>
        <v>0</v>
      </c>
      <c r="BB12" s="30">
        <f t="shared" si="25"/>
        <v>0</v>
      </c>
      <c r="BC12" s="30">
        <f t="shared" si="25"/>
        <v>0</v>
      </c>
      <c r="BD12" s="30">
        <f t="shared" si="25"/>
        <v>0</v>
      </c>
      <c r="BE12" s="30">
        <f t="shared" si="25"/>
        <v>0</v>
      </c>
      <c r="BF12" s="30">
        <f t="shared" si="25"/>
        <v>0</v>
      </c>
      <c r="BG12" s="30">
        <f t="shared" si="25"/>
        <v>0</v>
      </c>
      <c r="BH12" s="30">
        <f t="shared" si="25"/>
        <v>0</v>
      </c>
      <c r="BI12" s="30">
        <f t="shared" si="25"/>
        <v>0</v>
      </c>
      <c r="BJ12" s="30">
        <f t="shared" si="25"/>
        <v>0</v>
      </c>
      <c r="BK12" s="30">
        <f t="shared" si="25"/>
        <v>0</v>
      </c>
      <c r="BL12" s="30">
        <f t="shared" si="25"/>
        <v>0</v>
      </c>
      <c r="BM12" s="30">
        <f t="shared" si="25"/>
        <v>0</v>
      </c>
      <c r="BN12" s="30">
        <f t="shared" si="25"/>
        <v>0</v>
      </c>
      <c r="BO12" s="30">
        <f t="shared" si="25"/>
        <v>0</v>
      </c>
      <c r="BP12" s="30">
        <f t="shared" ref="BP12:CF12" si="26">IF((BP10-BP11)&gt;0,(BP10-BP11),0)</f>
        <v>0</v>
      </c>
      <c r="BQ12" s="30">
        <f t="shared" si="26"/>
        <v>0</v>
      </c>
      <c r="BR12" s="30">
        <f t="shared" si="26"/>
        <v>0</v>
      </c>
      <c r="BS12" s="30">
        <f t="shared" si="26"/>
        <v>0</v>
      </c>
      <c r="BT12" s="30">
        <f t="shared" si="26"/>
        <v>0</v>
      </c>
      <c r="BU12" s="30">
        <f t="shared" si="26"/>
        <v>0</v>
      </c>
      <c r="BV12" s="30">
        <f t="shared" si="26"/>
        <v>0</v>
      </c>
      <c r="BW12" s="30">
        <f t="shared" si="26"/>
        <v>0</v>
      </c>
      <c r="BX12" s="30">
        <f t="shared" si="26"/>
        <v>0</v>
      </c>
      <c r="BY12" s="30">
        <f t="shared" si="26"/>
        <v>0</v>
      </c>
      <c r="BZ12" s="30">
        <f t="shared" si="26"/>
        <v>0</v>
      </c>
      <c r="CA12" s="30">
        <f t="shared" si="26"/>
        <v>0</v>
      </c>
      <c r="CB12" s="30">
        <f t="shared" si="26"/>
        <v>0</v>
      </c>
      <c r="CC12" s="30">
        <f t="shared" si="26"/>
        <v>0</v>
      </c>
      <c r="CD12" s="30">
        <f t="shared" si="26"/>
        <v>0</v>
      </c>
      <c r="CE12" s="30">
        <f t="shared" si="26"/>
        <v>0</v>
      </c>
      <c r="CF12" s="30">
        <f t="shared" si="26"/>
        <v>0</v>
      </c>
      <c r="CG12" s="30">
        <f>IF((CG10-CG11)&gt;0,(CG10-CG11),0)</f>
        <v>0</v>
      </c>
      <c r="CH12" s="30">
        <f>IF((CH10-CH11)&gt;0,(CH10-CH11),0)</f>
        <v>0</v>
      </c>
      <c r="CI12" s="30">
        <f t="shared" ref="CI12:CT12" si="27">IF((CI10-CI11)&gt;0,(CI10-CI11),0)</f>
        <v>0</v>
      </c>
      <c r="CJ12" s="30">
        <f t="shared" si="27"/>
        <v>0</v>
      </c>
      <c r="CK12" s="30">
        <f t="shared" si="27"/>
        <v>0</v>
      </c>
      <c r="CL12" s="30">
        <f t="shared" si="27"/>
        <v>0</v>
      </c>
      <c r="CM12" s="30">
        <f t="shared" si="27"/>
        <v>0</v>
      </c>
      <c r="CN12" s="30">
        <f t="shared" si="27"/>
        <v>0</v>
      </c>
      <c r="CO12" s="30">
        <f t="shared" si="27"/>
        <v>0</v>
      </c>
      <c r="CP12" s="30">
        <f t="shared" si="27"/>
        <v>0</v>
      </c>
      <c r="CQ12" s="30">
        <f t="shared" si="27"/>
        <v>0</v>
      </c>
      <c r="CR12" s="30">
        <f t="shared" si="27"/>
        <v>0</v>
      </c>
      <c r="CS12" s="30">
        <f t="shared" si="27"/>
        <v>0</v>
      </c>
      <c r="CT12" s="30">
        <f t="shared" si="27"/>
        <v>0</v>
      </c>
      <c r="CU12" s="30">
        <f t="shared" ref="CU12:DQ12" si="28">IF((CU10-CU11)&gt;0,(CU10-CU11),0)</f>
        <v>0</v>
      </c>
      <c r="CV12" s="30">
        <f t="shared" si="28"/>
        <v>0</v>
      </c>
      <c r="CW12" s="30">
        <f t="shared" si="28"/>
        <v>0</v>
      </c>
      <c r="CX12" s="30">
        <f t="shared" si="28"/>
        <v>0</v>
      </c>
      <c r="CY12" s="30">
        <f t="shared" si="28"/>
        <v>0</v>
      </c>
      <c r="CZ12" s="30">
        <f t="shared" si="28"/>
        <v>0</v>
      </c>
      <c r="DA12" s="30">
        <f t="shared" si="28"/>
        <v>0</v>
      </c>
      <c r="DB12" s="30">
        <f t="shared" si="28"/>
        <v>0</v>
      </c>
      <c r="DC12" s="30">
        <f t="shared" si="28"/>
        <v>0</v>
      </c>
      <c r="DD12" s="30">
        <f t="shared" si="28"/>
        <v>0</v>
      </c>
      <c r="DE12" s="30">
        <f t="shared" si="28"/>
        <v>0</v>
      </c>
      <c r="DF12" s="30">
        <f t="shared" si="28"/>
        <v>0</v>
      </c>
      <c r="DG12" s="30">
        <f t="shared" si="28"/>
        <v>0</v>
      </c>
      <c r="DH12" s="30">
        <f t="shared" si="28"/>
        <v>0</v>
      </c>
      <c r="DI12" s="30">
        <f t="shared" si="28"/>
        <v>0</v>
      </c>
      <c r="DJ12" s="30">
        <f t="shared" si="28"/>
        <v>0</v>
      </c>
      <c r="DK12" s="30">
        <f t="shared" si="28"/>
        <v>0</v>
      </c>
      <c r="DL12" s="30">
        <f t="shared" si="28"/>
        <v>0</v>
      </c>
      <c r="DM12" s="30">
        <f t="shared" si="28"/>
        <v>0</v>
      </c>
      <c r="DN12" s="30">
        <f t="shared" si="28"/>
        <v>0</v>
      </c>
      <c r="DO12" s="30">
        <f t="shared" si="28"/>
        <v>0</v>
      </c>
      <c r="DP12" s="30">
        <f t="shared" si="28"/>
        <v>0</v>
      </c>
      <c r="DQ12" s="30">
        <f t="shared" si="28"/>
        <v>0</v>
      </c>
    </row>
    <row r="13" spans="1:121" x14ac:dyDescent="0.25">
      <c r="A13" s="38" t="s">
        <v>33</v>
      </c>
      <c r="B13" s="30">
        <f>B9-B11</f>
        <v>312989.4444444445</v>
      </c>
      <c r="C13" s="30">
        <f t="shared" ref="C13:BN13" si="29">C9-C11</f>
        <v>1059348.888888889</v>
      </c>
      <c r="D13" s="30">
        <f t="shared" si="29"/>
        <v>409294.22222222248</v>
      </c>
      <c r="E13" s="30">
        <f t="shared" si="29"/>
        <v>1155653.666666667</v>
      </c>
      <c r="F13" s="30">
        <f t="shared" si="29"/>
        <v>1877937.0000000005</v>
      </c>
      <c r="G13" s="30">
        <f t="shared" si="29"/>
        <v>247640.44444444496</v>
      </c>
      <c r="H13" s="30">
        <f t="shared" si="29"/>
        <v>674131.55555555597</v>
      </c>
      <c r="I13" s="30">
        <f t="shared" si="29"/>
        <v>2721989.333333334</v>
      </c>
      <c r="J13" s="30">
        <f t="shared" si="29"/>
        <v>2028472.8888888881</v>
      </c>
      <c r="K13" s="30">
        <f t="shared" si="29"/>
        <v>5608139.555555556</v>
      </c>
      <c r="L13" s="30">
        <f t="shared" si="29"/>
        <v>9307128.444444444</v>
      </c>
      <c r="M13" s="30">
        <f t="shared" si="29"/>
        <v>2028473.1111111119</v>
      </c>
      <c r="N13" s="30">
        <f t="shared" si="29"/>
        <v>5727462</v>
      </c>
      <c r="O13" s="30">
        <f t="shared" si="29"/>
        <v>9426450.8888888881</v>
      </c>
      <c r="P13" s="30">
        <f t="shared" si="29"/>
        <v>2147795.555555556</v>
      </c>
      <c r="Q13" s="30">
        <f t="shared" si="29"/>
        <v>6723787.2222222239</v>
      </c>
      <c r="R13" s="30">
        <f t="shared" si="29"/>
        <v>11447370.55555556</v>
      </c>
      <c r="S13" s="30">
        <f t="shared" si="29"/>
        <v>2681103.0000000075</v>
      </c>
      <c r="T13" s="30">
        <f t="shared" si="29"/>
        <v>7055547.4444444478</v>
      </c>
      <c r="U13" s="30">
        <f t="shared" si="29"/>
        <v>11006658.55555556</v>
      </c>
      <c r="V13" s="30">
        <f t="shared" si="29"/>
        <v>2539992</v>
      </c>
      <c r="W13" s="30">
        <f t="shared" si="29"/>
        <v>6773325.3333333358</v>
      </c>
      <c r="X13" s="30">
        <f t="shared" si="29"/>
        <v>11147769.777777776</v>
      </c>
      <c r="Y13" s="30">
        <f t="shared" si="29"/>
        <v>2539992.1111111045</v>
      </c>
      <c r="Z13" s="30">
        <f t="shared" si="29"/>
        <v>6914436.5555555522</v>
      </c>
      <c r="AA13" s="30">
        <f t="shared" si="29"/>
        <v>11288881</v>
      </c>
      <c r="AB13" s="30">
        <f t="shared" si="29"/>
        <v>2187214.7777777761</v>
      </c>
      <c r="AC13" s="30">
        <f t="shared" si="29"/>
        <v>6424957.8333333284</v>
      </c>
      <c r="AD13" s="30">
        <f t="shared" si="29"/>
        <v>10525999.5</v>
      </c>
      <c r="AE13" s="30">
        <f t="shared" si="29"/>
        <v>2248951.2777777761</v>
      </c>
      <c r="AF13" s="30">
        <f t="shared" si="29"/>
        <v>2227482.3357218653</v>
      </c>
      <c r="AG13" s="30">
        <f t="shared" si="29"/>
        <v>2205942.5775415152</v>
      </c>
      <c r="AH13" s="30">
        <f t="shared" si="29"/>
        <v>2184328.4985520095</v>
      </c>
      <c r="AI13" s="30">
        <f t="shared" si="29"/>
        <v>2035429.3983487785</v>
      </c>
      <c r="AJ13" s="30">
        <f t="shared" si="29"/>
        <v>2266822.7199945152</v>
      </c>
      <c r="AK13" s="30">
        <f t="shared" si="29"/>
        <v>1994407.9791578352</v>
      </c>
      <c r="AL13" s="30">
        <f t="shared" si="29"/>
        <v>2097155.0808241814</v>
      </c>
      <c r="AM13" s="30">
        <f t="shared" si="29"/>
        <v>2319320.7664435804</v>
      </c>
      <c r="AN13" s="30">
        <f t="shared" si="29"/>
        <v>1932371.2789588571</v>
      </c>
      <c r="AO13" s="30">
        <f t="shared" si="29"/>
        <v>2031023.1623397321</v>
      </c>
      <c r="AP13" s="30">
        <f t="shared" si="29"/>
        <v>1890661.7440443933</v>
      </c>
      <c r="AQ13" s="30">
        <f t="shared" si="29"/>
        <v>1986559.060223639</v>
      </c>
      <c r="AR13" s="30">
        <f t="shared" si="29"/>
        <v>1964215.7872573733</v>
      </c>
      <c r="AS13" s="30">
        <f t="shared" si="29"/>
        <v>1599127.7949413955</v>
      </c>
      <c r="AT13" s="30">
        <f t="shared" si="29"/>
        <v>1919305.5603365898</v>
      </c>
      <c r="AU13" s="30">
        <f t="shared" si="29"/>
        <v>1785165.2790939808</v>
      </c>
      <c r="AV13" s="30">
        <f t="shared" si="29"/>
        <v>1874095.4329004586</v>
      </c>
      <c r="AW13" s="30">
        <f t="shared" si="29"/>
        <v>1742472.7352249026</v>
      </c>
      <c r="AX13" s="30">
        <f t="shared" si="29"/>
        <v>1828583.4022800326</v>
      </c>
      <c r="AY13" s="30">
        <f t="shared" si="29"/>
        <v>1805713.5437872708</v>
      </c>
      <c r="AZ13" s="30">
        <f t="shared" si="29"/>
        <v>1677898.7787603438</v>
      </c>
      <c r="BA13" s="30">
        <f t="shared" si="29"/>
        <v>1759744.8741073012</v>
      </c>
      <c r="BB13" s="30">
        <f t="shared" si="29"/>
        <v>1634489.9330390394</v>
      </c>
      <c r="BC13" s="30">
        <f t="shared" si="29"/>
        <v>1713469.235866487</v>
      </c>
      <c r="BD13" s="30">
        <f t="shared" si="29"/>
        <v>1690215.6634857059</v>
      </c>
      <c r="BE13" s="30">
        <f t="shared" si="29"/>
        <v>1372728.4769857526</v>
      </c>
      <c r="BF13" s="30">
        <f t="shared" si="29"/>
        <v>1643475.7246272862</v>
      </c>
      <c r="BG13" s="30">
        <f t="shared" si="29"/>
        <v>1524695.3793339729</v>
      </c>
      <c r="BH13" s="30">
        <f t="shared" si="29"/>
        <v>1596423.6668438017</v>
      </c>
      <c r="BI13" s="30">
        <f t="shared" si="29"/>
        <v>1480263.4753564596</v>
      </c>
      <c r="BJ13" s="30">
        <f t="shared" si="29"/>
        <v>1549057.4058744311</v>
      </c>
      <c r="BK13" s="30">
        <f t="shared" si="29"/>
        <v>1525255.7940603495</v>
      </c>
      <c r="BL13" s="30">
        <f t="shared" si="29"/>
        <v>1413058.6762731373</v>
      </c>
      <c r="BM13" s="30">
        <f t="shared" si="29"/>
        <v>1477414.2898516655</v>
      </c>
      <c r="BN13" s="30">
        <f t="shared" si="29"/>
        <v>1367881.2872007489</v>
      </c>
      <c r="BO13" s="30">
        <f t="shared" ref="BO13:CF13" si="30">BO9-BO11</f>
        <v>1429253.3107092679</v>
      </c>
      <c r="BP13" s="30">
        <f t="shared" si="30"/>
        <v>1405052.3519112766</v>
      </c>
      <c r="BQ13" s="30">
        <f t="shared" si="30"/>
        <v>1137105.3015004992</v>
      </c>
      <c r="BR13" s="30">
        <f t="shared" si="30"/>
        <v>1356408.1558277607</v>
      </c>
      <c r="BS13" s="30">
        <f t="shared" si="30"/>
        <v>1253613.533973515</v>
      </c>
      <c r="BT13" s="30">
        <f t="shared" si="30"/>
        <v>1307439.1246126592</v>
      </c>
      <c r="BU13" s="30">
        <f t="shared" si="30"/>
        <v>1207371.4056731164</v>
      </c>
      <c r="BV13" s="30">
        <f t="shared" si="30"/>
        <v>1258143.0890890956</v>
      </c>
      <c r="BW13" s="30">
        <f t="shared" si="30"/>
        <v>1233371.7628857195</v>
      </c>
      <c r="BX13" s="30">
        <f t="shared" si="30"/>
        <v>1137428.5793835223</v>
      </c>
      <c r="BY13" s="30">
        <f t="shared" si="30"/>
        <v>1183581.1219799519</v>
      </c>
      <c r="BZ13" s="30">
        <f t="shared" si="30"/>
        <v>1090410.5937752426</v>
      </c>
      <c r="CA13" s="30">
        <f t="shared" si="30"/>
        <v>1133457.9902387857</v>
      </c>
      <c r="CB13" s="30">
        <f t="shared" si="30"/>
        <v>1108271.0470392406</v>
      </c>
      <c r="CC13" s="30">
        <f t="shared" si="30"/>
        <v>955588.36531972885</v>
      </c>
      <c r="CD13" s="30">
        <f t="shared" si="30"/>
        <v>1057645.0113532245</v>
      </c>
      <c r="CE13" s="30">
        <f t="shared" si="30"/>
        <v>971487.39597555995</v>
      </c>
      <c r="CF13" s="30">
        <f t="shared" si="30"/>
        <v>1006680.9062511027</v>
      </c>
      <c r="CG13" s="30">
        <f>CG9-CG11</f>
        <v>923361.29202032089</v>
      </c>
      <c r="CH13" s="30">
        <f>CH9-CH11</f>
        <v>955376.47418048978</v>
      </c>
      <c r="CI13" s="30">
        <f t="shared" ref="CI13:CT13" si="31">CI9-CI11</f>
        <v>929595.92592740059</v>
      </c>
      <c r="CJ13" s="30">
        <f t="shared" si="31"/>
        <v>850568.88707152009</v>
      </c>
      <c r="CK13" s="30">
        <f t="shared" si="31"/>
        <v>877776.7374881804</v>
      </c>
      <c r="CL13" s="30">
        <f t="shared" si="31"/>
        <v>801635.31618458033</v>
      </c>
      <c r="CM13" s="30">
        <f t="shared" si="31"/>
        <v>825611.51202392578</v>
      </c>
      <c r="CN13" s="30">
        <f t="shared" si="31"/>
        <v>799398.4138970077</v>
      </c>
      <c r="CO13" s="30">
        <f t="shared" si="31"/>
        <v>636668.89075696468</v>
      </c>
      <c r="CP13" s="30">
        <f t="shared" si="31"/>
        <v>746709.79540520906</v>
      </c>
      <c r="CQ13" s="30">
        <f t="shared" si="31"/>
        <v>677867.00381761789</v>
      </c>
      <c r="CR13" s="30">
        <f t="shared" si="31"/>
        <v>693669.33402770758</v>
      </c>
      <c r="CS13" s="30">
        <f t="shared" si="31"/>
        <v>627780.16813248396</v>
      </c>
      <c r="CT13" s="30">
        <f t="shared" si="31"/>
        <v>640274.68023586273</v>
      </c>
      <c r="CU13" s="30">
        <f t="shared" ref="CU13:DQ13" si="32">CU9-CU11</f>
        <v>613443.79266965389</v>
      </c>
      <c r="CV13" s="30">
        <f t="shared" si="32"/>
        <v>552022.08829319477</v>
      </c>
      <c r="CW13" s="30">
        <f t="shared" si="32"/>
        <v>559513.41054052114</v>
      </c>
      <c r="CX13" s="30">
        <f t="shared" si="32"/>
        <v>501094.88822776079</v>
      </c>
      <c r="CY13" s="30">
        <f t="shared" si="32"/>
        <v>505222.89330410957</v>
      </c>
      <c r="CZ13" s="30">
        <f t="shared" si="32"/>
        <v>477941.83311480284</v>
      </c>
      <c r="DA13" s="30">
        <f t="shared" si="32"/>
        <v>371057.51204794645</v>
      </c>
      <c r="DB13" s="30">
        <f t="shared" si="32"/>
        <v>423106.5990113616</v>
      </c>
      <c r="DC13" s="30">
        <f t="shared" si="32"/>
        <v>372284.06385040283</v>
      </c>
      <c r="DD13" s="30">
        <f t="shared" si="32"/>
        <v>367905.18740016222</v>
      </c>
      <c r="DE13" s="30">
        <f t="shared" si="32"/>
        <v>320156.61319947243</v>
      </c>
      <c r="DF13" s="30">
        <f t="shared" si="32"/>
        <v>312335.15302914381</v>
      </c>
      <c r="DG13" s="30">
        <f t="shared" si="32"/>
        <v>284411.13370555639</v>
      </c>
      <c r="DH13" s="30">
        <f t="shared" si="32"/>
        <v>241312.03229886293</v>
      </c>
      <c r="DI13" s="30">
        <f t="shared" si="32"/>
        <v>228283.54459822178</v>
      </c>
      <c r="DJ13" s="30">
        <f t="shared" si="32"/>
        <v>188309.97952616215</v>
      </c>
      <c r="DK13" s="30">
        <f t="shared" si="32"/>
        <v>171781.14792364836</v>
      </c>
      <c r="DL13" s="30">
        <f t="shared" si="32"/>
        <v>143388.61524969339</v>
      </c>
      <c r="DM13" s="30">
        <f t="shared" si="32"/>
        <v>94624.715953052044</v>
      </c>
      <c r="DN13" s="30">
        <f t="shared" si="32"/>
        <v>86319.309102475643</v>
      </c>
      <c r="DO13" s="30">
        <f t="shared" si="32"/>
        <v>54251.203418791294</v>
      </c>
      <c r="DP13" s="30">
        <f t="shared" si="32"/>
        <v>28868.906810879707</v>
      </c>
      <c r="DQ13" s="30">
        <f t="shared" si="32"/>
        <v>0</v>
      </c>
    </row>
    <row r="14" spans="1:121" x14ac:dyDescent="0.25">
      <c r="A14" s="38" t="s">
        <v>34</v>
      </c>
      <c r="B14" s="30">
        <f t="shared" ref="B14:BD14" si="33">B28</f>
        <v>0</v>
      </c>
      <c r="C14" s="30">
        <f t="shared" si="33"/>
        <v>0</v>
      </c>
      <c r="D14" s="30">
        <f t="shared" si="33"/>
        <v>0</v>
      </c>
      <c r="E14" s="30">
        <f t="shared" si="33"/>
        <v>0</v>
      </c>
      <c r="F14" s="30">
        <f t="shared" si="33"/>
        <v>0</v>
      </c>
      <c r="G14" s="30">
        <f t="shared" si="33"/>
        <v>0</v>
      </c>
      <c r="H14" s="30">
        <f t="shared" si="33"/>
        <v>0</v>
      </c>
      <c r="I14" s="30">
        <f t="shared" si="33"/>
        <v>0</v>
      </c>
      <c r="J14" s="30">
        <f t="shared" si="33"/>
        <v>13693</v>
      </c>
      <c r="K14" s="30">
        <f t="shared" si="33"/>
        <v>13693</v>
      </c>
      <c r="L14" s="30">
        <f t="shared" si="33"/>
        <v>13693</v>
      </c>
      <c r="M14" s="30">
        <f t="shared" si="33"/>
        <v>13693</v>
      </c>
      <c r="N14" s="30">
        <f t="shared" si="33"/>
        <v>13693</v>
      </c>
      <c r="O14" s="30">
        <f t="shared" si="33"/>
        <v>13693</v>
      </c>
      <c r="P14" s="30">
        <f t="shared" si="33"/>
        <v>13693</v>
      </c>
      <c r="Q14" s="30">
        <f t="shared" si="33"/>
        <v>13693</v>
      </c>
      <c r="R14" s="30">
        <f t="shared" si="33"/>
        <v>13693</v>
      </c>
      <c r="S14" s="30">
        <f t="shared" si="33"/>
        <v>13693</v>
      </c>
      <c r="T14" s="30">
        <f t="shared" si="33"/>
        <v>13693</v>
      </c>
      <c r="U14" s="30">
        <f t="shared" si="33"/>
        <v>13693</v>
      </c>
      <c r="V14" s="30">
        <f t="shared" si="33"/>
        <v>44812</v>
      </c>
      <c r="W14" s="30">
        <f t="shared" si="33"/>
        <v>44812</v>
      </c>
      <c r="X14" s="30">
        <f t="shared" si="33"/>
        <v>44812</v>
      </c>
      <c r="Y14" s="30">
        <f t="shared" si="33"/>
        <v>44812</v>
      </c>
      <c r="Z14" s="30">
        <f t="shared" si="33"/>
        <v>44812</v>
      </c>
      <c r="AA14" s="30">
        <f t="shared" si="33"/>
        <v>44812</v>
      </c>
      <c r="AB14" s="30">
        <f t="shared" si="33"/>
        <v>44812</v>
      </c>
      <c r="AC14" s="30">
        <f t="shared" si="33"/>
        <v>44812</v>
      </c>
      <c r="AD14" s="30">
        <f t="shared" si="33"/>
        <v>44812</v>
      </c>
      <c r="AE14" s="30">
        <f t="shared" si="33"/>
        <v>71288</v>
      </c>
      <c r="AF14" s="30">
        <f t="shared" si="33"/>
        <v>206495</v>
      </c>
      <c r="AG14" s="30">
        <f t="shared" si="33"/>
        <v>380176</v>
      </c>
      <c r="AH14" s="30">
        <f t="shared" si="33"/>
        <v>380176</v>
      </c>
      <c r="AI14" s="30">
        <f t="shared" si="33"/>
        <v>380176</v>
      </c>
      <c r="AJ14" s="30">
        <f t="shared" si="33"/>
        <v>380176</v>
      </c>
      <c r="AK14" s="30">
        <f t="shared" si="33"/>
        <v>856261</v>
      </c>
      <c r="AL14" s="30">
        <f t="shared" si="33"/>
        <v>1128496</v>
      </c>
      <c r="AM14" s="30">
        <f t="shared" si="33"/>
        <v>1443659</v>
      </c>
      <c r="AN14" s="30">
        <f t="shared" si="33"/>
        <v>1443659</v>
      </c>
      <c r="AO14" s="30">
        <f t="shared" si="33"/>
        <v>1443659</v>
      </c>
      <c r="AP14" s="30">
        <f t="shared" si="33"/>
        <v>1443659</v>
      </c>
      <c r="AQ14" s="30">
        <f t="shared" si="33"/>
        <v>1443659</v>
      </c>
      <c r="AR14" s="30">
        <f t="shared" si="33"/>
        <v>1443659</v>
      </c>
      <c r="AS14" s="30">
        <f t="shared" si="33"/>
        <v>1443659</v>
      </c>
      <c r="AT14" s="30">
        <f t="shared" si="33"/>
        <v>1443659</v>
      </c>
      <c r="AU14" s="30">
        <f t="shared" si="33"/>
        <v>1443659</v>
      </c>
      <c r="AV14" s="30">
        <f t="shared" si="33"/>
        <v>1443659</v>
      </c>
      <c r="AW14" s="30">
        <f t="shared" si="33"/>
        <v>1443659</v>
      </c>
      <c r="AX14" s="30">
        <f t="shared" si="33"/>
        <v>1443659</v>
      </c>
      <c r="AY14" s="30">
        <f t="shared" si="33"/>
        <v>1443659</v>
      </c>
      <c r="AZ14" s="30">
        <f t="shared" si="33"/>
        <v>1443659</v>
      </c>
      <c r="BA14" s="30">
        <f t="shared" si="33"/>
        <v>1443659</v>
      </c>
      <c r="BB14" s="30">
        <f t="shared" si="33"/>
        <v>1443659</v>
      </c>
      <c r="BC14" s="30">
        <f t="shared" si="33"/>
        <v>1443659</v>
      </c>
      <c r="BD14" s="30">
        <f t="shared" si="33"/>
        <v>1443659</v>
      </c>
      <c r="BE14" s="30">
        <f t="shared" ref="BE14:BS14" si="34">BE28</f>
        <v>1443659</v>
      </c>
      <c r="BF14" s="30">
        <f t="shared" si="34"/>
        <v>1443659</v>
      </c>
      <c r="BG14" s="30">
        <f t="shared" si="34"/>
        <v>1443659</v>
      </c>
      <c r="BH14" s="30">
        <f t="shared" si="34"/>
        <v>1443659</v>
      </c>
      <c r="BI14" s="30">
        <f t="shared" si="34"/>
        <v>1443659</v>
      </c>
      <c r="BJ14" s="30">
        <f t="shared" si="34"/>
        <v>1443659</v>
      </c>
      <c r="BK14" s="30">
        <f t="shared" si="34"/>
        <v>1443659</v>
      </c>
      <c r="BL14" s="30">
        <f t="shared" si="34"/>
        <v>1443659</v>
      </c>
      <c r="BM14" s="30">
        <f t="shared" si="34"/>
        <v>1443659</v>
      </c>
      <c r="BN14" s="30">
        <f t="shared" si="34"/>
        <v>1443659</v>
      </c>
      <c r="BO14" s="30">
        <f t="shared" si="34"/>
        <v>1443659</v>
      </c>
      <c r="BP14" s="30">
        <f t="shared" si="34"/>
        <v>1443659</v>
      </c>
      <c r="BQ14" s="30">
        <f t="shared" si="34"/>
        <v>1443659</v>
      </c>
      <c r="BR14" s="30">
        <f t="shared" si="34"/>
        <v>1443659</v>
      </c>
      <c r="BS14" s="30">
        <f t="shared" si="34"/>
        <v>1443659</v>
      </c>
      <c r="BT14" s="30">
        <f t="shared" ref="BT14:CF14" si="35">BT28</f>
        <v>1443659</v>
      </c>
      <c r="BU14" s="30">
        <f t="shared" si="35"/>
        <v>1443659</v>
      </c>
      <c r="BV14" s="30">
        <f t="shared" si="35"/>
        <v>1443659</v>
      </c>
      <c r="BW14" s="30">
        <f t="shared" si="35"/>
        <v>1443659</v>
      </c>
      <c r="BX14" s="30">
        <f t="shared" si="35"/>
        <v>1443659</v>
      </c>
      <c r="BY14" s="30">
        <f t="shared" si="35"/>
        <v>1443659</v>
      </c>
      <c r="BZ14" s="30">
        <f t="shared" si="35"/>
        <v>1443659</v>
      </c>
      <c r="CA14" s="30">
        <f t="shared" si="35"/>
        <v>1443659</v>
      </c>
      <c r="CB14" s="30">
        <f t="shared" si="35"/>
        <v>1443659</v>
      </c>
      <c r="CC14" s="30">
        <f t="shared" si="35"/>
        <v>1443659</v>
      </c>
      <c r="CD14" s="30">
        <f t="shared" si="35"/>
        <v>1443659</v>
      </c>
      <c r="CE14" s="30">
        <f t="shared" si="35"/>
        <v>1443659</v>
      </c>
      <c r="CF14" s="30">
        <f t="shared" si="35"/>
        <v>1443659</v>
      </c>
      <c r="CG14" s="30">
        <f>CG28</f>
        <v>1443659</v>
      </c>
      <c r="CH14" s="30">
        <f>CH28</f>
        <v>1443659</v>
      </c>
      <c r="CI14" s="30">
        <f t="shared" ref="CI14:CT14" si="36">CI28</f>
        <v>1443659</v>
      </c>
      <c r="CJ14" s="30">
        <f t="shared" si="36"/>
        <v>1443659</v>
      </c>
      <c r="CK14" s="30">
        <f t="shared" si="36"/>
        <v>1443659</v>
      </c>
      <c r="CL14" s="30">
        <f t="shared" si="36"/>
        <v>1443659</v>
      </c>
      <c r="CM14" s="30">
        <f t="shared" si="36"/>
        <v>1443659</v>
      </c>
      <c r="CN14" s="30">
        <f t="shared" si="36"/>
        <v>1443659</v>
      </c>
      <c r="CO14" s="30">
        <f t="shared" si="36"/>
        <v>1443659</v>
      </c>
      <c r="CP14" s="30">
        <f t="shared" si="36"/>
        <v>1443659</v>
      </c>
      <c r="CQ14" s="30">
        <f t="shared" si="36"/>
        <v>1443659</v>
      </c>
      <c r="CR14" s="30">
        <f t="shared" si="36"/>
        <v>1443659</v>
      </c>
      <c r="CS14" s="30">
        <f t="shared" si="36"/>
        <v>1443659</v>
      </c>
      <c r="CT14" s="30">
        <f t="shared" si="36"/>
        <v>1443659</v>
      </c>
      <c r="CU14" s="30">
        <f t="shared" ref="CU14:DQ14" si="37">CU28</f>
        <v>1443659</v>
      </c>
      <c r="CV14" s="30">
        <f t="shared" si="37"/>
        <v>1443659</v>
      </c>
      <c r="CW14" s="30">
        <f t="shared" si="37"/>
        <v>1443659</v>
      </c>
      <c r="CX14" s="30">
        <f t="shared" si="37"/>
        <v>1443659</v>
      </c>
      <c r="CY14" s="30">
        <f t="shared" si="37"/>
        <v>1443659</v>
      </c>
      <c r="CZ14" s="30">
        <f t="shared" si="37"/>
        <v>1443659</v>
      </c>
      <c r="DA14" s="30">
        <f t="shared" si="37"/>
        <v>1443659</v>
      </c>
      <c r="DB14" s="30">
        <f t="shared" si="37"/>
        <v>1443659</v>
      </c>
      <c r="DC14" s="30">
        <f t="shared" si="37"/>
        <v>1443659</v>
      </c>
      <c r="DD14" s="30">
        <f t="shared" si="37"/>
        <v>1443659</v>
      </c>
      <c r="DE14" s="30">
        <f t="shared" si="37"/>
        <v>1443659</v>
      </c>
      <c r="DF14" s="30">
        <f t="shared" si="37"/>
        <v>1443659</v>
      </c>
      <c r="DG14" s="30">
        <f t="shared" si="37"/>
        <v>1443659</v>
      </c>
      <c r="DH14" s="30">
        <f t="shared" si="37"/>
        <v>1443659</v>
      </c>
      <c r="DI14" s="30">
        <f t="shared" si="37"/>
        <v>1443659</v>
      </c>
      <c r="DJ14" s="30">
        <f t="shared" si="37"/>
        <v>1443659</v>
      </c>
      <c r="DK14" s="30">
        <f t="shared" si="37"/>
        <v>1443659</v>
      </c>
      <c r="DL14" s="30">
        <f t="shared" si="37"/>
        <v>1443659</v>
      </c>
      <c r="DM14" s="30">
        <f t="shared" si="37"/>
        <v>1443659</v>
      </c>
      <c r="DN14" s="30">
        <f t="shared" si="37"/>
        <v>1443659</v>
      </c>
      <c r="DO14" s="30">
        <f t="shared" si="37"/>
        <v>1443659</v>
      </c>
      <c r="DP14" s="30">
        <f t="shared" si="37"/>
        <v>1443659</v>
      </c>
      <c r="DQ14" s="30">
        <f t="shared" si="37"/>
        <v>1443659</v>
      </c>
    </row>
    <row r="15" spans="1:121" x14ac:dyDescent="0.25">
      <c r="A15" s="4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</row>
    <row r="16" spans="1:121" x14ac:dyDescent="0.25">
      <c r="A16" s="4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</row>
    <row r="17" spans="1:122" x14ac:dyDescent="0.25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</row>
    <row r="18" spans="1:122" x14ac:dyDescent="0.25"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</row>
    <row r="19" spans="1:122" ht="15" x14ac:dyDescent="0.3">
      <c r="B19" s="28">
        <f>B1</f>
        <v>42948</v>
      </c>
      <c r="C19" s="28">
        <f t="shared" ref="C19:BN19" si="38">C1</f>
        <v>42979</v>
      </c>
      <c r="D19" s="28">
        <f t="shared" si="38"/>
        <v>43009</v>
      </c>
      <c r="E19" s="28">
        <f t="shared" si="38"/>
        <v>43040</v>
      </c>
      <c r="F19" s="28">
        <f t="shared" si="38"/>
        <v>43070</v>
      </c>
      <c r="G19" s="28">
        <f t="shared" si="38"/>
        <v>43101</v>
      </c>
      <c r="H19" s="28">
        <f t="shared" si="38"/>
        <v>43132</v>
      </c>
      <c r="I19" s="28">
        <f t="shared" si="38"/>
        <v>43160</v>
      </c>
      <c r="J19" s="28">
        <f t="shared" si="38"/>
        <v>43191</v>
      </c>
      <c r="K19" s="28">
        <f t="shared" si="38"/>
        <v>43221</v>
      </c>
      <c r="L19" s="28">
        <f t="shared" si="38"/>
        <v>43252</v>
      </c>
      <c r="M19" s="28">
        <f t="shared" si="38"/>
        <v>43282</v>
      </c>
      <c r="N19" s="28">
        <f t="shared" si="38"/>
        <v>43313</v>
      </c>
      <c r="O19" s="28">
        <f t="shared" si="38"/>
        <v>43344</v>
      </c>
      <c r="P19" s="28">
        <f t="shared" si="38"/>
        <v>43374</v>
      </c>
      <c r="Q19" s="28">
        <f t="shared" si="38"/>
        <v>43405</v>
      </c>
      <c r="R19" s="28">
        <f t="shared" si="38"/>
        <v>43435</v>
      </c>
      <c r="S19" s="28">
        <f t="shared" si="38"/>
        <v>43466</v>
      </c>
      <c r="T19" s="28">
        <f t="shared" si="38"/>
        <v>43497</v>
      </c>
      <c r="U19" s="28">
        <f t="shared" si="38"/>
        <v>43525</v>
      </c>
      <c r="V19" s="28">
        <f t="shared" si="38"/>
        <v>43556</v>
      </c>
      <c r="W19" s="28">
        <f t="shared" si="38"/>
        <v>43586</v>
      </c>
      <c r="X19" s="28">
        <f t="shared" si="38"/>
        <v>43617</v>
      </c>
      <c r="Y19" s="28">
        <f t="shared" si="38"/>
        <v>43647</v>
      </c>
      <c r="Z19" s="28">
        <f t="shared" si="38"/>
        <v>43678</v>
      </c>
      <c r="AA19" s="28">
        <f t="shared" si="38"/>
        <v>43709</v>
      </c>
      <c r="AB19" s="28">
        <f t="shared" si="38"/>
        <v>43739</v>
      </c>
      <c r="AC19" s="28">
        <f t="shared" si="38"/>
        <v>43770</v>
      </c>
      <c r="AD19" s="28">
        <f t="shared" si="38"/>
        <v>43800</v>
      </c>
      <c r="AE19" s="28">
        <f t="shared" si="38"/>
        <v>43831</v>
      </c>
      <c r="AF19" s="28">
        <f t="shared" si="38"/>
        <v>43862</v>
      </c>
      <c r="AG19" s="28">
        <f t="shared" si="38"/>
        <v>43891</v>
      </c>
      <c r="AH19" s="28">
        <f t="shared" si="38"/>
        <v>43922</v>
      </c>
      <c r="AI19" s="28">
        <f t="shared" si="38"/>
        <v>43952</v>
      </c>
      <c r="AJ19" s="28">
        <f t="shared" si="38"/>
        <v>43983</v>
      </c>
      <c r="AK19" s="28">
        <f t="shared" si="38"/>
        <v>44013</v>
      </c>
      <c r="AL19" s="28">
        <f t="shared" si="38"/>
        <v>44044</v>
      </c>
      <c r="AM19" s="28">
        <f t="shared" si="38"/>
        <v>44075</v>
      </c>
      <c r="AN19" s="28">
        <f t="shared" si="38"/>
        <v>44105</v>
      </c>
      <c r="AO19" s="28">
        <f t="shared" si="38"/>
        <v>44136</v>
      </c>
      <c r="AP19" s="28">
        <f t="shared" si="38"/>
        <v>44166</v>
      </c>
      <c r="AQ19" s="28">
        <f t="shared" si="38"/>
        <v>44197</v>
      </c>
      <c r="AR19" s="28">
        <f t="shared" si="38"/>
        <v>44228</v>
      </c>
      <c r="AS19" s="28">
        <f t="shared" si="38"/>
        <v>44256</v>
      </c>
      <c r="AT19" s="28">
        <f t="shared" si="38"/>
        <v>44287</v>
      </c>
      <c r="AU19" s="28">
        <f t="shared" si="38"/>
        <v>44317</v>
      </c>
      <c r="AV19" s="28">
        <f t="shared" si="38"/>
        <v>44348</v>
      </c>
      <c r="AW19" s="28">
        <f t="shared" si="38"/>
        <v>44378</v>
      </c>
      <c r="AX19" s="28">
        <f t="shared" si="38"/>
        <v>44409</v>
      </c>
      <c r="AY19" s="28">
        <f t="shared" si="38"/>
        <v>44440</v>
      </c>
      <c r="AZ19" s="28">
        <f t="shared" si="38"/>
        <v>44470</v>
      </c>
      <c r="BA19" s="28">
        <f t="shared" si="38"/>
        <v>44501</v>
      </c>
      <c r="BB19" s="28">
        <f t="shared" si="38"/>
        <v>44531</v>
      </c>
      <c r="BC19" s="28">
        <f t="shared" si="38"/>
        <v>44562</v>
      </c>
      <c r="BD19" s="28">
        <f t="shared" si="38"/>
        <v>44593</v>
      </c>
      <c r="BE19" s="28">
        <f t="shared" si="38"/>
        <v>44621</v>
      </c>
      <c r="BF19" s="28">
        <f t="shared" si="38"/>
        <v>44652</v>
      </c>
      <c r="BG19" s="28">
        <f t="shared" si="38"/>
        <v>44682</v>
      </c>
      <c r="BH19" s="28">
        <f t="shared" si="38"/>
        <v>44713</v>
      </c>
      <c r="BI19" s="28">
        <f t="shared" si="38"/>
        <v>44743</v>
      </c>
      <c r="BJ19" s="28">
        <f t="shared" si="38"/>
        <v>44774</v>
      </c>
      <c r="BK19" s="28">
        <f t="shared" si="38"/>
        <v>44805</v>
      </c>
      <c r="BL19" s="28">
        <f t="shared" si="38"/>
        <v>44835</v>
      </c>
      <c r="BM19" s="28">
        <f t="shared" si="38"/>
        <v>44866</v>
      </c>
      <c r="BN19" s="28">
        <f t="shared" si="38"/>
        <v>44896</v>
      </c>
      <c r="BO19" s="28">
        <f t="shared" ref="BO19:CT19" si="39">BO1</f>
        <v>44927</v>
      </c>
      <c r="BP19" s="28">
        <f t="shared" si="39"/>
        <v>44958</v>
      </c>
      <c r="BQ19" s="28">
        <f t="shared" si="39"/>
        <v>44986</v>
      </c>
      <c r="BR19" s="28">
        <f t="shared" si="39"/>
        <v>45017</v>
      </c>
      <c r="BS19" s="28">
        <f t="shared" si="39"/>
        <v>45047</v>
      </c>
      <c r="BT19" s="28">
        <f t="shared" si="39"/>
        <v>45078</v>
      </c>
      <c r="BU19" s="28">
        <f t="shared" si="39"/>
        <v>45108</v>
      </c>
      <c r="BV19" s="28">
        <f t="shared" si="39"/>
        <v>45139</v>
      </c>
      <c r="BW19" s="28">
        <f t="shared" si="39"/>
        <v>45170</v>
      </c>
      <c r="BX19" s="28">
        <f t="shared" si="39"/>
        <v>45200</v>
      </c>
      <c r="BY19" s="28">
        <f t="shared" si="39"/>
        <v>45231</v>
      </c>
      <c r="BZ19" s="28">
        <f t="shared" si="39"/>
        <v>45261</v>
      </c>
      <c r="CA19" s="28">
        <f t="shared" si="39"/>
        <v>45292</v>
      </c>
      <c r="CB19" s="28">
        <f t="shared" si="39"/>
        <v>45323</v>
      </c>
      <c r="CC19" s="28">
        <f t="shared" si="39"/>
        <v>45352</v>
      </c>
      <c r="CD19" s="28">
        <f t="shared" si="39"/>
        <v>45383</v>
      </c>
      <c r="CE19" s="28">
        <f t="shared" si="39"/>
        <v>45413</v>
      </c>
      <c r="CF19" s="28">
        <f t="shared" si="39"/>
        <v>45444</v>
      </c>
      <c r="CG19" s="28">
        <f t="shared" si="39"/>
        <v>45474</v>
      </c>
      <c r="CH19" s="28">
        <f t="shared" si="39"/>
        <v>45505</v>
      </c>
      <c r="CI19" s="28">
        <f t="shared" si="39"/>
        <v>45536</v>
      </c>
      <c r="CJ19" s="28">
        <f t="shared" si="39"/>
        <v>45566</v>
      </c>
      <c r="CK19" s="28">
        <f t="shared" si="39"/>
        <v>45597</v>
      </c>
      <c r="CL19" s="28">
        <f t="shared" si="39"/>
        <v>45627</v>
      </c>
      <c r="CM19" s="28">
        <f t="shared" si="39"/>
        <v>45658</v>
      </c>
      <c r="CN19" s="28">
        <f t="shared" si="39"/>
        <v>45689</v>
      </c>
      <c r="CO19" s="28">
        <f t="shared" si="39"/>
        <v>45717</v>
      </c>
      <c r="CP19" s="28">
        <f t="shared" si="39"/>
        <v>45748</v>
      </c>
      <c r="CQ19" s="28">
        <f t="shared" si="39"/>
        <v>45778</v>
      </c>
      <c r="CR19" s="28">
        <f t="shared" si="39"/>
        <v>45809</v>
      </c>
      <c r="CS19" s="28">
        <f t="shared" si="39"/>
        <v>45839</v>
      </c>
      <c r="CT19" s="28">
        <f t="shared" si="39"/>
        <v>45870</v>
      </c>
      <c r="CU19" s="28">
        <f t="shared" ref="CU19:DQ19" si="40">CU1</f>
        <v>45901</v>
      </c>
      <c r="CV19" s="28">
        <f t="shared" si="40"/>
        <v>45931</v>
      </c>
      <c r="CW19" s="28">
        <f t="shared" si="40"/>
        <v>45962</v>
      </c>
      <c r="CX19" s="28">
        <f t="shared" si="40"/>
        <v>45992</v>
      </c>
      <c r="CY19" s="28">
        <f t="shared" si="40"/>
        <v>46023</v>
      </c>
      <c r="CZ19" s="28">
        <f t="shared" si="40"/>
        <v>46054</v>
      </c>
      <c r="DA19" s="28">
        <f t="shared" si="40"/>
        <v>46082</v>
      </c>
      <c r="DB19" s="28">
        <f t="shared" si="40"/>
        <v>46113</v>
      </c>
      <c r="DC19" s="28">
        <f t="shared" si="40"/>
        <v>46143</v>
      </c>
      <c r="DD19" s="28">
        <f t="shared" si="40"/>
        <v>46174</v>
      </c>
      <c r="DE19" s="28">
        <f t="shared" si="40"/>
        <v>46204</v>
      </c>
      <c r="DF19" s="28">
        <f t="shared" si="40"/>
        <v>46235</v>
      </c>
      <c r="DG19" s="28">
        <f t="shared" si="40"/>
        <v>46266</v>
      </c>
      <c r="DH19" s="28">
        <f t="shared" si="40"/>
        <v>46296</v>
      </c>
      <c r="DI19" s="28">
        <f t="shared" si="40"/>
        <v>46327</v>
      </c>
      <c r="DJ19" s="28">
        <f t="shared" si="40"/>
        <v>46357</v>
      </c>
      <c r="DK19" s="28">
        <f t="shared" si="40"/>
        <v>46388</v>
      </c>
      <c r="DL19" s="28">
        <f t="shared" si="40"/>
        <v>46419</v>
      </c>
      <c r="DM19" s="28">
        <f t="shared" si="40"/>
        <v>46447</v>
      </c>
      <c r="DN19" s="28">
        <f t="shared" si="40"/>
        <v>46478</v>
      </c>
      <c r="DO19" s="28">
        <f t="shared" si="40"/>
        <v>46508</v>
      </c>
      <c r="DP19" s="28">
        <f t="shared" si="40"/>
        <v>46539</v>
      </c>
      <c r="DQ19" s="28">
        <f t="shared" si="40"/>
        <v>46569</v>
      </c>
    </row>
    <row r="20" spans="1:122" ht="15" x14ac:dyDescent="0.3">
      <c r="A20" s="41" t="s">
        <v>35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</row>
    <row r="21" spans="1:122" x14ac:dyDescent="0.25">
      <c r="A21" s="38" t="s">
        <v>36</v>
      </c>
      <c r="B21" s="42">
        <v>0</v>
      </c>
      <c r="C21" s="42">
        <f t="shared" ref="C21:N21" si="41">C4-B5</f>
        <v>0</v>
      </c>
      <c r="D21" s="42">
        <f t="shared" si="41"/>
        <v>0</v>
      </c>
      <c r="E21" s="42">
        <f t="shared" si="41"/>
        <v>0</v>
      </c>
      <c r="F21" s="42">
        <f t="shared" si="41"/>
        <v>0</v>
      </c>
      <c r="G21" s="42">
        <f t="shared" si="41"/>
        <v>0</v>
      </c>
      <c r="H21" s="42">
        <f t="shared" si="41"/>
        <v>0</v>
      </c>
      <c r="I21" s="42">
        <f t="shared" si="41"/>
        <v>0</v>
      </c>
      <c r="J21" s="42">
        <f t="shared" si="41"/>
        <v>0</v>
      </c>
      <c r="K21" s="42">
        <f t="shared" si="41"/>
        <v>0</v>
      </c>
      <c r="L21" s="42">
        <f t="shared" si="41"/>
        <v>0</v>
      </c>
      <c r="M21" s="42">
        <f t="shared" si="41"/>
        <v>0</v>
      </c>
      <c r="N21" s="42">
        <f t="shared" si="41"/>
        <v>0</v>
      </c>
      <c r="O21" s="42">
        <f>O4-N5</f>
        <v>0</v>
      </c>
      <c r="P21" s="42">
        <f>P4-O5</f>
        <v>0</v>
      </c>
      <c r="Q21" s="42">
        <f t="shared" ref="Q21:AA21" si="42">Q4-P5</f>
        <v>0</v>
      </c>
      <c r="R21" s="42">
        <f t="shared" si="42"/>
        <v>0</v>
      </c>
      <c r="S21" s="42">
        <f t="shared" si="42"/>
        <v>0</v>
      </c>
      <c r="T21" s="42">
        <f t="shared" si="42"/>
        <v>0</v>
      </c>
      <c r="U21" s="42">
        <f t="shared" si="42"/>
        <v>0</v>
      </c>
      <c r="V21" s="42">
        <f t="shared" si="42"/>
        <v>0</v>
      </c>
      <c r="W21" s="42">
        <f t="shared" si="42"/>
        <v>0</v>
      </c>
      <c r="X21" s="42">
        <f t="shared" si="42"/>
        <v>0</v>
      </c>
      <c r="Y21" s="42">
        <f t="shared" si="42"/>
        <v>0</v>
      </c>
      <c r="Z21" s="42">
        <f t="shared" si="42"/>
        <v>0</v>
      </c>
      <c r="AA21" s="42">
        <f t="shared" si="42"/>
        <v>0</v>
      </c>
      <c r="AB21" s="149">
        <v>39687500</v>
      </c>
      <c r="AC21" s="42"/>
      <c r="AD21" s="42"/>
      <c r="AE21" s="149">
        <f>12533698+15898958+11254844</f>
        <v>39687500</v>
      </c>
      <c r="AF21" s="30">
        <v>11365734</v>
      </c>
      <c r="AG21" s="30">
        <f>5270699+5170991+961930</f>
        <v>11403620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f t="shared" ref="AN21" si="43">AN4-AM5</f>
        <v>80896801.585646331</v>
      </c>
      <c r="AO21" s="42">
        <f t="shared" ref="AO21" si="44">AO4-AN5</f>
        <v>11711287.881550044</v>
      </c>
      <c r="AP21" s="42">
        <f t="shared" ref="AP21" si="45">AP4-AO5</f>
        <v>11750325.507821888</v>
      </c>
      <c r="AQ21" s="42">
        <f t="shared" ref="AQ21" si="46">AQ4-AP5</f>
        <v>11789493.25951463</v>
      </c>
      <c r="AR21" s="42">
        <f t="shared" ref="AR21" si="47">AR4-AQ5</f>
        <v>11828791.570379674</v>
      </c>
      <c r="AS21" s="42">
        <f t="shared" ref="AS21" si="48">AS4-AR5</f>
        <v>11868220.875614256</v>
      </c>
      <c r="AT21" s="42">
        <f t="shared" ref="AT21" si="49">AT4-AS5</f>
        <v>11907781.611866325</v>
      </c>
      <c r="AU21" s="42">
        <f t="shared" ref="AU21" si="50">AU4-AT5</f>
        <v>11947474.217239201</v>
      </c>
      <c r="AV21" s="42">
        <f t="shared" ref="AV21" si="51">AV4-AU5</f>
        <v>11987299.131296694</v>
      </c>
      <c r="AW21" s="42">
        <f t="shared" ref="AW21" si="52">AW4-AV5</f>
        <v>12027256.795067668</v>
      </c>
      <c r="AX21" s="42">
        <f t="shared" ref="AX21" si="53">AX4-AW5</f>
        <v>12067347.651051223</v>
      </c>
      <c r="AY21" s="42">
        <f t="shared" ref="AY21" si="54">AY4-AX5</f>
        <v>12107572.143221378</v>
      </c>
      <c r="AZ21" s="42">
        <f t="shared" ref="AZ21" si="55">AZ4-AY5</f>
        <v>12147930.717032135</v>
      </c>
      <c r="BA21" s="42">
        <f t="shared" ref="BA21" si="56">BA4-AZ5</f>
        <v>12188423.819422245</v>
      </c>
      <c r="BB21" s="42">
        <f t="shared" ref="BB21" si="57">BB4-BA5</f>
        <v>12229051.898820281</v>
      </c>
      <c r="BC21" s="42">
        <f t="shared" ref="BC21" si="58">BC4-BB5</f>
        <v>12269815.405149698</v>
      </c>
      <c r="BD21" s="42">
        <f t="shared" ref="BD21" si="59">BD4-BC5</f>
        <v>12310714.789833546</v>
      </c>
      <c r="BE21" s="42">
        <f t="shared" ref="BE21" si="60">BE4-BD5</f>
        <v>12351750.505799651</v>
      </c>
      <c r="BF21" s="42">
        <f t="shared" ref="BF21" si="61">BF4-BE5</f>
        <v>12392923.007485628</v>
      </c>
      <c r="BG21" s="42">
        <f t="shared" ref="BG21" si="62">BG4-BF5</f>
        <v>12434232.750843942</v>
      </c>
      <c r="BH21" s="42">
        <f t="shared" ref="BH21" si="63">BH4-BG5</f>
        <v>12475680.193346739</v>
      </c>
      <c r="BI21" s="42">
        <f t="shared" ref="BI21" si="64">BI4-BH5</f>
        <v>12517265.793991208</v>
      </c>
      <c r="BJ21" s="42">
        <f t="shared" ref="BJ21" si="65">BJ4-BI5</f>
        <v>12558990.013304532</v>
      </c>
      <c r="BK21" s="42">
        <f t="shared" ref="BK21" si="66">BK4-BJ5</f>
        <v>12600853.313348889</v>
      </c>
      <c r="BL21" s="42">
        <f t="shared" ref="BL21" si="67">BL4-BK5</f>
        <v>12642856.157726705</v>
      </c>
      <c r="BM21" s="42">
        <f t="shared" ref="BM21" si="68">BM4-BL5</f>
        <v>12684999.011585832</v>
      </c>
      <c r="BN21" s="42">
        <f t="shared" ref="BN21" si="69">BN4-BM5</f>
        <v>12727282.341624439</v>
      </c>
      <c r="BO21" s="42">
        <f t="shared" ref="BO21" si="70">BO4-BN5</f>
        <v>12769706.616096497</v>
      </c>
      <c r="BP21" s="42">
        <f t="shared" ref="BP21" si="71">BP4-BO5</f>
        <v>12812272.304816842</v>
      </c>
      <c r="BQ21" s="42">
        <f t="shared" ref="BQ21" si="72">BQ4-BP5</f>
        <v>12854979.879166186</v>
      </c>
      <c r="BR21" s="42">
        <f t="shared" ref="BR21" si="73">BR4-BQ5</f>
        <v>12897829.812096715</v>
      </c>
      <c r="BS21" s="42">
        <f t="shared" ref="BS21" si="74">BS4-BR5</f>
        <v>12940822.57813704</v>
      </c>
      <c r="BT21" s="42">
        <f t="shared" ref="BT21" si="75">BT4-BS5</f>
        <v>12983958.65339756</v>
      </c>
      <c r="BU21" s="42">
        <f t="shared" ref="BU21" si="76">BU4-BT5</f>
        <v>13027238.515575528</v>
      </c>
      <c r="BV21" s="42">
        <f t="shared" ref="BV21" si="77">BV4-BU5</f>
        <v>13070662.643960834</v>
      </c>
      <c r="BW21" s="42">
        <f t="shared" ref="BW21" si="78">BW4-BV5</f>
        <v>13114231.519440651</v>
      </c>
      <c r="BX21" s="42">
        <f t="shared" ref="BX21" si="79">BX4-BW5</f>
        <v>13157945.62450552</v>
      </c>
      <c r="BY21" s="42">
        <f t="shared" ref="BY21" si="80">BY4-BX5</f>
        <v>13201805.443253875</v>
      </c>
      <c r="BZ21" s="42">
        <f t="shared" ref="BZ21" si="81">BZ4-BY5</f>
        <v>13245811.461398005</v>
      </c>
      <c r="CA21" s="42">
        <f t="shared" ref="CA21" si="82">CA4-BZ5</f>
        <v>13289964.166269302</v>
      </c>
      <c r="CB21" s="42">
        <f t="shared" ref="CB21" si="83">CB4-CA5</f>
        <v>13334264.046823502</v>
      </c>
      <c r="CC21" s="42">
        <f t="shared" ref="CC21" si="84">CC4-CB5</f>
        <v>13378711.593646288</v>
      </c>
      <c r="CD21" s="42">
        <f t="shared" ref="CD21" si="85">CD4-CC5</f>
        <v>13423307.298958421</v>
      </c>
      <c r="CE21" s="42">
        <f t="shared" ref="CE21" si="86">CE4-CD5</f>
        <v>13468051.656621695</v>
      </c>
      <c r="CF21" s="42">
        <f t="shared" ref="CF21" si="87">CF4-CE5</f>
        <v>13512945.162143707</v>
      </c>
      <c r="CG21" s="42">
        <f t="shared" ref="CG21" si="88">CG4-CF5</f>
        <v>13557988.312684178</v>
      </c>
      <c r="CH21" s="42">
        <f t="shared" ref="CH21" si="89">CH4-CG5</f>
        <v>13603181.607059836</v>
      </c>
      <c r="CI21" s="42">
        <f t="shared" ref="CI21" si="90">CI4-CH5</f>
        <v>13648525.545750022</v>
      </c>
      <c r="CJ21" s="42">
        <f t="shared" ref="CJ21" si="91">CJ4-CI5</f>
        <v>13694020.630902529</v>
      </c>
      <c r="CK21" s="42">
        <f t="shared" ref="CK21" si="92">CK4-CJ5</f>
        <v>13739667.366338849</v>
      </c>
      <c r="CL21" s="42">
        <f t="shared" ref="CL21" si="93">CL4-CK5</f>
        <v>13785466.257560015</v>
      </c>
      <c r="CM21" s="42">
        <f t="shared" ref="CM21" si="94">CM4-CL5</f>
        <v>13831417.811751842</v>
      </c>
      <c r="CN21" s="42">
        <f t="shared" ref="CN21" si="95">CN4-CM5</f>
        <v>13877522.537791014</v>
      </c>
      <c r="CO21" s="42">
        <f t="shared" ref="CO21" si="96">CO4-CN5</f>
        <v>13923780.946250319</v>
      </c>
      <c r="CP21" s="42">
        <f t="shared" ref="CP21" si="97">CP4-CO5</f>
        <v>13970193.549404502</v>
      </c>
      <c r="CQ21" s="42">
        <f t="shared" ref="CQ21" si="98">CQ4-CP5</f>
        <v>14016760.861235857</v>
      </c>
      <c r="CR21" s="42">
        <f t="shared" ref="CR21" si="99">CR4-CQ5</f>
        <v>14063483.397439957</v>
      </c>
      <c r="CS21" s="42">
        <f t="shared" ref="CS21" si="100">CS4-CR5</f>
        <v>14110361.67543149</v>
      </c>
      <c r="CT21" s="42">
        <f t="shared" ref="CT21" si="101">CT4-CS5</f>
        <v>14157396.214349508</v>
      </c>
      <c r="CU21" s="42">
        <f t="shared" ref="CU21" si="102">CU4-CT5</f>
        <v>14204587.535063982</v>
      </c>
      <c r="CV21" s="42">
        <f t="shared" ref="CV21" si="103">CV4-CU5</f>
        <v>14251936.160180926</v>
      </c>
      <c r="CW21" s="42">
        <f t="shared" ref="CW21" si="104">CW4-CV5</f>
        <v>14299442.614048243</v>
      </c>
      <c r="CX21" s="42">
        <f t="shared" ref="CX21" si="105">CX4-CW5</f>
        <v>14347107.422761679</v>
      </c>
      <c r="CY21" s="42">
        <f t="shared" ref="CY21" si="106">CY4-CX5</f>
        <v>14394931.114170909</v>
      </c>
      <c r="CZ21" s="42">
        <f t="shared" ref="CZ21" si="107">CZ4-CY5</f>
        <v>14442914.217884779</v>
      </c>
      <c r="DA21" s="42">
        <f t="shared" ref="DA21" si="108">DA4-CZ5</f>
        <v>14491057.265277743</v>
      </c>
      <c r="DB21" s="42">
        <f t="shared" ref="DB21" si="109">DB4-DA5</f>
        <v>14539360.789495349</v>
      </c>
      <c r="DC21" s="42">
        <f t="shared" ref="DC21" si="110">DC4-DB5</f>
        <v>14587825.325460315</v>
      </c>
      <c r="DD21" s="42">
        <f t="shared" ref="DD21" si="111">DD4-DC5</f>
        <v>14636451.409878492</v>
      </c>
      <c r="DE21" s="42">
        <f t="shared" ref="DE21" si="112">DE4-DD5</f>
        <v>14685239.581244707</v>
      </c>
      <c r="DF21" s="42">
        <f t="shared" ref="DF21" si="113">DF4-DE5</f>
        <v>14734190.379848957</v>
      </c>
      <c r="DG21" s="42">
        <f t="shared" ref="DG21" si="114">DG4-DF5</f>
        <v>14783304.347781658</v>
      </c>
      <c r="DH21" s="42">
        <f t="shared" ref="DH21" si="115">DH4-DG5</f>
        <v>14832582.028940916</v>
      </c>
      <c r="DI21" s="42">
        <f t="shared" ref="DI21" si="116">DI4-DH5</f>
        <v>14882023.969037533</v>
      </c>
      <c r="DJ21" s="42">
        <f t="shared" ref="DJ21" si="117">DJ4-DI5</f>
        <v>14931630.715600967</v>
      </c>
      <c r="DK21" s="42">
        <f t="shared" ref="DK21" si="118">DK4-DJ5</f>
        <v>14981402.81798625</v>
      </c>
      <c r="DL21" s="42">
        <f t="shared" ref="DL21" si="119">DL4-DK5</f>
        <v>15031340.827379465</v>
      </c>
      <c r="DM21" s="42">
        <f t="shared" ref="DM21" si="120">DM4-DL5</f>
        <v>15081445.29680419</v>
      </c>
      <c r="DN21" s="42">
        <f t="shared" ref="DN21" si="121">DN4-DM5</f>
        <v>15131716.781126976</v>
      </c>
      <c r="DO21" s="42">
        <f t="shared" ref="DO21" si="122">DO4-DN5</f>
        <v>15182155.837064028</v>
      </c>
      <c r="DP21" s="42">
        <f t="shared" ref="DP21" si="123">DP4-DO5</f>
        <v>15232763.023187399</v>
      </c>
      <c r="DQ21" s="42">
        <f t="shared" ref="DQ21" si="124">DQ4-DP5</f>
        <v>15283538.899931431</v>
      </c>
    </row>
    <row r="22" spans="1:122" x14ac:dyDescent="0.25">
      <c r="A22" s="38" t="s">
        <v>37</v>
      </c>
      <c r="B22" s="30">
        <f>B21</f>
        <v>0</v>
      </c>
      <c r="C22" s="30">
        <f t="shared" ref="C22:BD22" si="125">B22+C21</f>
        <v>0</v>
      </c>
      <c r="D22" s="30">
        <f t="shared" si="125"/>
        <v>0</v>
      </c>
      <c r="E22" s="30">
        <f t="shared" si="125"/>
        <v>0</v>
      </c>
      <c r="F22" s="30">
        <f t="shared" si="125"/>
        <v>0</v>
      </c>
      <c r="G22" s="30">
        <f t="shared" si="125"/>
        <v>0</v>
      </c>
      <c r="H22" s="30">
        <f t="shared" si="125"/>
        <v>0</v>
      </c>
      <c r="I22" s="30">
        <f t="shared" si="125"/>
        <v>0</v>
      </c>
      <c r="J22" s="30">
        <f t="shared" si="125"/>
        <v>0</v>
      </c>
      <c r="K22" s="30">
        <f t="shared" si="125"/>
        <v>0</v>
      </c>
      <c r="L22" s="30">
        <f t="shared" si="125"/>
        <v>0</v>
      </c>
      <c r="M22" s="30">
        <f t="shared" si="125"/>
        <v>0</v>
      </c>
      <c r="N22" s="30">
        <f t="shared" si="125"/>
        <v>0</v>
      </c>
      <c r="O22" s="30">
        <f t="shared" si="125"/>
        <v>0</v>
      </c>
      <c r="P22" s="30">
        <f t="shared" si="125"/>
        <v>0</v>
      </c>
      <c r="Q22" s="30">
        <f t="shared" si="125"/>
        <v>0</v>
      </c>
      <c r="R22" s="30">
        <f t="shared" si="125"/>
        <v>0</v>
      </c>
      <c r="S22" s="30">
        <f t="shared" si="125"/>
        <v>0</v>
      </c>
      <c r="T22" s="30">
        <f t="shared" si="125"/>
        <v>0</v>
      </c>
      <c r="U22" s="30">
        <f t="shared" si="125"/>
        <v>0</v>
      </c>
      <c r="V22" s="30">
        <f t="shared" si="125"/>
        <v>0</v>
      </c>
      <c r="W22" s="30">
        <f t="shared" si="125"/>
        <v>0</v>
      </c>
      <c r="X22" s="30">
        <f t="shared" si="125"/>
        <v>0</v>
      </c>
      <c r="Y22" s="30">
        <f t="shared" si="125"/>
        <v>0</v>
      </c>
      <c r="Z22" s="30">
        <f t="shared" si="125"/>
        <v>0</v>
      </c>
      <c r="AA22" s="30">
        <f t="shared" si="125"/>
        <v>0</v>
      </c>
      <c r="AB22" s="30">
        <f t="shared" si="125"/>
        <v>39687500</v>
      </c>
      <c r="AC22" s="30">
        <f t="shared" si="125"/>
        <v>39687500</v>
      </c>
      <c r="AD22" s="30">
        <f t="shared" si="125"/>
        <v>39687500</v>
      </c>
      <c r="AE22" s="30">
        <f t="shared" si="125"/>
        <v>79375000</v>
      </c>
      <c r="AF22" s="30">
        <f t="shared" si="125"/>
        <v>90740734</v>
      </c>
      <c r="AG22" s="30">
        <f t="shared" si="125"/>
        <v>102144354</v>
      </c>
      <c r="AH22" s="30">
        <f t="shared" si="125"/>
        <v>102144354</v>
      </c>
      <c r="AI22" s="30">
        <f t="shared" si="125"/>
        <v>102144354</v>
      </c>
      <c r="AJ22" s="30">
        <f t="shared" si="125"/>
        <v>102144354</v>
      </c>
      <c r="AK22" s="30">
        <f t="shared" si="125"/>
        <v>102144354</v>
      </c>
      <c r="AL22" s="30">
        <f t="shared" si="125"/>
        <v>102144354</v>
      </c>
      <c r="AM22" s="30">
        <f t="shared" si="125"/>
        <v>102144354</v>
      </c>
      <c r="AN22" s="30">
        <f t="shared" si="125"/>
        <v>183041155.58564633</v>
      </c>
      <c r="AO22" s="30">
        <f t="shared" si="125"/>
        <v>194752443.46719638</v>
      </c>
      <c r="AP22" s="30">
        <f t="shared" si="125"/>
        <v>206502768.97501826</v>
      </c>
      <c r="AQ22" s="30">
        <f t="shared" si="125"/>
        <v>218292262.23453289</v>
      </c>
      <c r="AR22" s="30">
        <f t="shared" si="125"/>
        <v>230121053.80491257</v>
      </c>
      <c r="AS22" s="30">
        <f t="shared" si="125"/>
        <v>241989274.68052682</v>
      </c>
      <c r="AT22" s="30">
        <f t="shared" si="125"/>
        <v>253897056.29239315</v>
      </c>
      <c r="AU22" s="30">
        <f t="shared" si="125"/>
        <v>265844530.50963235</v>
      </c>
      <c r="AV22" s="30">
        <f t="shared" si="125"/>
        <v>277831829.64092904</v>
      </c>
      <c r="AW22" s="30">
        <f t="shared" si="125"/>
        <v>289859086.43599671</v>
      </c>
      <c r="AX22" s="30">
        <f t="shared" si="125"/>
        <v>301926434.08704793</v>
      </c>
      <c r="AY22" s="30">
        <f t="shared" si="125"/>
        <v>314034006.23026931</v>
      </c>
      <c r="AZ22" s="30">
        <f t="shared" si="125"/>
        <v>326181936.94730145</v>
      </c>
      <c r="BA22" s="30">
        <f t="shared" si="125"/>
        <v>338370360.76672369</v>
      </c>
      <c r="BB22" s="30">
        <f t="shared" si="125"/>
        <v>350599412.66554397</v>
      </c>
      <c r="BC22" s="30">
        <f t="shared" si="125"/>
        <v>362869228.07069367</v>
      </c>
      <c r="BD22" s="30">
        <f t="shared" si="125"/>
        <v>375179942.86052722</v>
      </c>
      <c r="BE22" s="30">
        <f t="shared" ref="BE22:BT22" si="126">BD22+BE21</f>
        <v>387531693.36632687</v>
      </c>
      <c r="BF22" s="30">
        <f t="shared" si="126"/>
        <v>399924616.3738125</v>
      </c>
      <c r="BG22" s="30">
        <f t="shared" si="126"/>
        <v>412358849.12465644</v>
      </c>
      <c r="BH22" s="30">
        <f t="shared" si="126"/>
        <v>424834529.31800318</v>
      </c>
      <c r="BI22" s="30">
        <f t="shared" si="126"/>
        <v>437351795.11199439</v>
      </c>
      <c r="BJ22" s="30">
        <f t="shared" si="126"/>
        <v>449910785.12529892</v>
      </c>
      <c r="BK22" s="30">
        <f t="shared" si="126"/>
        <v>462511638.43864781</v>
      </c>
      <c r="BL22" s="30">
        <f t="shared" si="126"/>
        <v>475154494.59637451</v>
      </c>
      <c r="BM22" s="30">
        <f t="shared" si="126"/>
        <v>487839493.60796034</v>
      </c>
      <c r="BN22" s="30">
        <f t="shared" si="126"/>
        <v>500566775.94958478</v>
      </c>
      <c r="BO22" s="30">
        <f t="shared" si="126"/>
        <v>513336482.56568128</v>
      </c>
      <c r="BP22" s="30">
        <f t="shared" si="126"/>
        <v>526148754.87049812</v>
      </c>
      <c r="BQ22" s="30">
        <f t="shared" si="126"/>
        <v>539003734.74966431</v>
      </c>
      <c r="BR22" s="30">
        <f t="shared" si="126"/>
        <v>551901564.56176102</v>
      </c>
      <c r="BS22" s="30">
        <f t="shared" si="126"/>
        <v>564842387.13989806</v>
      </c>
      <c r="BT22" s="30">
        <f t="shared" si="126"/>
        <v>577826345.79329562</v>
      </c>
      <c r="BU22" s="30">
        <f t="shared" ref="BU22:CF22" si="127">BT22+BU21</f>
        <v>590853584.30887115</v>
      </c>
      <c r="BV22" s="30">
        <f t="shared" si="127"/>
        <v>603924246.95283198</v>
      </c>
      <c r="BW22" s="30">
        <f t="shared" si="127"/>
        <v>617038478.47227263</v>
      </c>
      <c r="BX22" s="30">
        <f t="shared" si="127"/>
        <v>630196424.09677815</v>
      </c>
      <c r="BY22" s="30">
        <f t="shared" si="127"/>
        <v>643398229.54003203</v>
      </c>
      <c r="BZ22" s="30">
        <f t="shared" si="127"/>
        <v>656644041.00143003</v>
      </c>
      <c r="CA22" s="30">
        <f t="shared" si="127"/>
        <v>669934005.16769934</v>
      </c>
      <c r="CB22" s="30">
        <f t="shared" si="127"/>
        <v>683268269.21452284</v>
      </c>
      <c r="CC22" s="30">
        <f t="shared" si="127"/>
        <v>696646980.80816913</v>
      </c>
      <c r="CD22" s="30">
        <f t="shared" si="127"/>
        <v>710070288.10712755</v>
      </c>
      <c r="CE22" s="30">
        <f t="shared" si="127"/>
        <v>723538339.76374924</v>
      </c>
      <c r="CF22" s="30">
        <f t="shared" si="127"/>
        <v>737051284.92589295</v>
      </c>
      <c r="CG22" s="30">
        <f>CF22+CG21</f>
        <v>750609273.23857713</v>
      </c>
      <c r="CH22" s="30">
        <f>CG22+CH21</f>
        <v>764212454.84563696</v>
      </c>
      <c r="CI22" s="30">
        <f t="shared" ref="CI22:CT22" si="128">CH22+CI21</f>
        <v>777860980.39138699</v>
      </c>
      <c r="CJ22" s="30">
        <f t="shared" si="128"/>
        <v>791555001.02228951</v>
      </c>
      <c r="CK22" s="30">
        <f t="shared" si="128"/>
        <v>805294668.38862836</v>
      </c>
      <c r="CL22" s="30">
        <f t="shared" si="128"/>
        <v>819080134.64618838</v>
      </c>
      <c r="CM22" s="30">
        <f t="shared" si="128"/>
        <v>832911552.45794022</v>
      </c>
      <c r="CN22" s="30">
        <f t="shared" si="128"/>
        <v>846789074.99573123</v>
      </c>
      <c r="CO22" s="30">
        <f t="shared" si="128"/>
        <v>860712855.94198155</v>
      </c>
      <c r="CP22" s="30">
        <f t="shared" si="128"/>
        <v>874683049.49138606</v>
      </c>
      <c r="CQ22" s="30">
        <f t="shared" si="128"/>
        <v>888699810.35262191</v>
      </c>
      <c r="CR22" s="30">
        <f t="shared" si="128"/>
        <v>902763293.75006187</v>
      </c>
      <c r="CS22" s="30">
        <f t="shared" si="128"/>
        <v>916873655.42549336</v>
      </c>
      <c r="CT22" s="30">
        <f t="shared" si="128"/>
        <v>931031051.63984287</v>
      </c>
      <c r="CU22" s="30">
        <f t="shared" ref="CU22" si="129">CT22+CU21</f>
        <v>945235639.17490685</v>
      </c>
      <c r="CV22" s="30">
        <f t="shared" ref="CV22" si="130">CU22+CV21</f>
        <v>959487575.33508778</v>
      </c>
      <c r="CW22" s="30">
        <f t="shared" ref="CW22" si="131">CV22+CW21</f>
        <v>973787017.94913602</v>
      </c>
      <c r="CX22" s="30">
        <f t="shared" ref="CX22" si="132">CW22+CX21</f>
        <v>988134125.3718977</v>
      </c>
      <c r="CY22" s="30">
        <f t="shared" ref="CY22" si="133">CX22+CY21</f>
        <v>1002529056.4860686</v>
      </c>
      <c r="CZ22" s="30">
        <f t="shared" ref="CZ22" si="134">CY22+CZ21</f>
        <v>1016971970.7039534</v>
      </c>
      <c r="DA22" s="30">
        <f t="shared" ref="DA22" si="135">CZ22+DA21</f>
        <v>1031463027.9692311</v>
      </c>
      <c r="DB22" s="30">
        <f t="shared" ref="DB22" si="136">DA22+DB21</f>
        <v>1046002388.7587265</v>
      </c>
      <c r="DC22" s="30">
        <f t="shared" ref="DC22" si="137">DB22+DC21</f>
        <v>1060590214.0841868</v>
      </c>
      <c r="DD22" s="30">
        <f t="shared" ref="DD22" si="138">DC22+DD21</f>
        <v>1075226665.4940653</v>
      </c>
      <c r="DE22" s="30">
        <f t="shared" ref="DE22" si="139">DD22+DE21</f>
        <v>1089911905.07531</v>
      </c>
      <c r="DF22" s="30">
        <f t="shared" ref="DF22" si="140">DE22+DF21</f>
        <v>1104646095.4551589</v>
      </c>
      <c r="DG22" s="30">
        <f t="shared" ref="DG22" si="141">DF22+DG21</f>
        <v>1119429399.8029406</v>
      </c>
      <c r="DH22" s="30">
        <f t="shared" ref="DH22" si="142">DG22+DH21</f>
        <v>1134261981.8318815</v>
      </c>
      <c r="DI22" s="30">
        <f t="shared" ref="DI22" si="143">DH22+DI21</f>
        <v>1149144005.8009191</v>
      </c>
      <c r="DJ22" s="30">
        <f t="shared" ref="DJ22" si="144">DI22+DJ21</f>
        <v>1164075636.51652</v>
      </c>
      <c r="DK22" s="30">
        <f t="shared" ref="DK22" si="145">DJ22+DK21</f>
        <v>1179057039.3345063</v>
      </c>
      <c r="DL22" s="30">
        <f t="shared" ref="DL22" si="146">DK22+DL21</f>
        <v>1194088380.1618857</v>
      </c>
      <c r="DM22" s="30">
        <f t="shared" ref="DM22" si="147">DL22+DM21</f>
        <v>1209169825.4586899</v>
      </c>
      <c r="DN22" s="30">
        <f t="shared" ref="DN22" si="148">DM22+DN21</f>
        <v>1224301542.2398169</v>
      </c>
      <c r="DO22" s="30">
        <f t="shared" ref="DO22" si="149">DN22+DO21</f>
        <v>1239483698.0768809</v>
      </c>
      <c r="DP22" s="30">
        <f t="shared" ref="DP22" si="150">DO22+DP21</f>
        <v>1254716461.1000683</v>
      </c>
      <c r="DQ22" s="30">
        <f t="shared" ref="DQ22" si="151">DP22+DQ21</f>
        <v>1269999999.9999998</v>
      </c>
    </row>
    <row r="23" spans="1:122" x14ac:dyDescent="0.25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</row>
    <row r="24" spans="1:122" ht="15" x14ac:dyDescent="0.3">
      <c r="A24" s="41" t="s">
        <v>40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</row>
    <row r="25" spans="1:122" s="84" customFormat="1" x14ac:dyDescent="0.25">
      <c r="A25" s="38" t="s">
        <v>41</v>
      </c>
      <c r="B25" s="83">
        <v>0</v>
      </c>
      <c r="C25" s="83">
        <f t="shared" ref="C25" si="152">C10-B11</f>
        <v>0</v>
      </c>
      <c r="D25" s="30">
        <v>1372338</v>
      </c>
      <c r="E25" s="83"/>
      <c r="F25" s="83"/>
      <c r="G25" s="30">
        <v>2190926</v>
      </c>
      <c r="H25" s="83"/>
      <c r="I25" s="83"/>
      <c r="J25" s="149">
        <v>5500932</v>
      </c>
      <c r="K25" s="83"/>
      <c r="L25" s="83"/>
      <c r="M25" s="30">
        <v>10858322</v>
      </c>
      <c r="N25" s="83"/>
      <c r="O25" s="83"/>
      <c r="P25" s="149">
        <v>10858322</v>
      </c>
      <c r="Q25" s="83"/>
      <c r="R25" s="83"/>
      <c r="S25" s="149">
        <v>13336812</v>
      </c>
      <c r="T25" s="83"/>
      <c r="U25" s="83"/>
      <c r="V25" s="30">
        <v>12841111</v>
      </c>
      <c r="W25" s="83"/>
      <c r="X25" s="83"/>
      <c r="Y25" s="149">
        <v>12841111</v>
      </c>
      <c r="Z25" s="83"/>
      <c r="AA25" s="83"/>
      <c r="AB25" s="149">
        <v>13264444</v>
      </c>
      <c r="AC25" s="83"/>
      <c r="AD25" s="83"/>
      <c r="AE25" s="149">
        <v>12439826</v>
      </c>
      <c r="AF25" s="149">
        <v>4101042</v>
      </c>
      <c r="AG25" s="30">
        <v>3799835</v>
      </c>
      <c r="AH25" s="30">
        <v>4022616</v>
      </c>
      <c r="AI25" s="30">
        <v>3983204</v>
      </c>
      <c r="AJ25" s="30">
        <f>1518095+2171138</f>
        <v>3689233</v>
      </c>
      <c r="AK25" s="177">
        <v>4029924</v>
      </c>
      <c r="AL25" s="149">
        <v>3739535</v>
      </c>
      <c r="AM25" s="149">
        <v>3577520</v>
      </c>
      <c r="AN25" s="83">
        <f t="shared" ref="AN25" si="153">AN10-AM11</f>
        <v>4028302.6710078418</v>
      </c>
      <c r="AO25" s="83">
        <f t="shared" ref="AO25" si="154">AO10-AN11</f>
        <v>3623196.1480478495</v>
      </c>
      <c r="AP25" s="83">
        <f t="shared" ref="AP25" si="155">AP10-AO11</f>
        <v>3703630.4725018889</v>
      </c>
      <c r="AQ25" s="83">
        <f t="shared" ref="AQ25" si="156">AQ10-AP11</f>
        <v>3544990.7700832784</v>
      </c>
      <c r="AR25" s="83">
        <f t="shared" ref="AR25" si="157">AR10-AQ11</f>
        <v>3622548.8745254874</v>
      </c>
      <c r="AS25" s="83">
        <f t="shared" ref="AS25" si="158">AS10-AR11</f>
        <v>3581805.2591164112</v>
      </c>
      <c r="AT25" s="83">
        <f t="shared" ref="AT25" si="159">AT10-AS11</f>
        <v>3198255.589882791</v>
      </c>
      <c r="AU25" s="83">
        <f t="shared" ref="AU25" si="160">AU10-AT11</f>
        <v>3499910.1394373178</v>
      </c>
      <c r="AV25" s="83">
        <f t="shared" ref="AV25" si="161">AV10-AU11</f>
        <v>3347184.898301214</v>
      </c>
      <c r="AW25" s="83">
        <f t="shared" ref="AW25" si="162">AW10-AV11</f>
        <v>3417468.1423479021</v>
      </c>
      <c r="AX25" s="83">
        <f t="shared" ref="AX25" si="163">AX10-AW11</f>
        <v>3267136.378546685</v>
      </c>
      <c r="AY25" s="83">
        <f t="shared" ref="AY25" si="164">AY10-AX11</f>
        <v>3334475.6159223914</v>
      </c>
      <c r="AZ25" s="83">
        <f t="shared" ref="AZ25" si="165">AZ10-AY11</f>
        <v>3292771.7563179731</v>
      </c>
      <c r="BA25" s="83">
        <f t="shared" ref="BA25" si="166">BA10-AZ11</f>
        <v>3146060.2101756632</v>
      </c>
      <c r="BB25" s="83">
        <f t="shared" ref="BB25" si="167">BB10-BA11</f>
        <v>3208946.5351368487</v>
      </c>
      <c r="BC25" s="83">
        <f t="shared" ref="BC25" si="168">BC10-BB11</f>
        <v>3064668.6244481802</v>
      </c>
      <c r="BD25" s="83">
        <f t="shared" ref="BD25" si="169">BD10-BC11</f>
        <v>3124561.5477564931</v>
      </c>
      <c r="BE25" s="83">
        <f t="shared" ref="BE25" si="170">BE10-BD11</f>
        <v>3082157.9745915234</v>
      </c>
      <c r="BF25" s="83">
        <f t="shared" ref="BF25" si="171">BF10-BE11</f>
        <v>2745456.9539714158</v>
      </c>
      <c r="BG25" s="83">
        <f t="shared" ref="BG25" si="172">BG10-BF11</f>
        <v>2996926.3213790953</v>
      </c>
      <c r="BH25" s="83">
        <f t="shared" ref="BH25" si="173">BH10-BG11</f>
        <v>2858803.8362511396</v>
      </c>
      <c r="BI25" s="83">
        <f t="shared" ref="BI25" si="174">BI10-BH11</f>
        <v>2911125.5101268888</v>
      </c>
      <c r="BJ25" s="83">
        <f t="shared" ref="BJ25" si="175">BJ10-BI11</f>
        <v>2775494.0162933469</v>
      </c>
      <c r="BK25" s="83">
        <f t="shared" ref="BK25" si="176">BK10-BJ11</f>
        <v>2824751.7401239574</v>
      </c>
      <c r="BL25" s="83">
        <f t="shared" ref="BL25" si="177">BL10-BK11</f>
        <v>2781348.8009335399</v>
      </c>
      <c r="BM25" s="83">
        <f t="shared" ref="BM25" si="178">BM10-BL11</f>
        <v>2649485.0180120766</v>
      </c>
      <c r="BN25" s="83">
        <f t="shared" ref="BN25" si="179">BN10-BM11</f>
        <v>2694108.4109059274</v>
      </c>
      <c r="BO25" s="83">
        <f t="shared" ref="BO25" si="180">BO10-BN11</f>
        <v>2564777.4135013819</v>
      </c>
      <c r="BP25" s="83">
        <f t="shared" ref="BP25" si="181">BP10-BO11</f>
        <v>2606285.4489404261</v>
      </c>
      <c r="BQ25" s="83">
        <f t="shared" ref="BQ25" si="182">BQ10-BP11</f>
        <v>2562154.2887794077</v>
      </c>
      <c r="BR25" s="83">
        <f t="shared" ref="BR25" si="183">BR10-BQ11</f>
        <v>2274210.6030010581</v>
      </c>
      <c r="BS25" s="83">
        <f t="shared" ref="BS25" si="184">BS10-BR11</f>
        <v>2473450.1665094793</v>
      </c>
      <c r="BT25" s="83">
        <f t="shared" ref="BT25" si="185">BT10-BS11</f>
        <v>2350525.3762003481</v>
      </c>
      <c r="BU25" s="83">
        <f t="shared" ref="BU25" si="186">BU10-BT11</f>
        <v>2384153.6978230774</v>
      </c>
      <c r="BV25" s="83">
        <f t="shared" ref="BV25" si="187">BV10-BU11</f>
        <v>2263821.3856371045</v>
      </c>
      <c r="BW25" s="83">
        <f t="shared" ref="BW25" si="188">BW10-BV11</f>
        <v>2294260.9271624684</v>
      </c>
      <c r="BX25" s="83">
        <f t="shared" ref="BX25" si="189">BX10-BW11</f>
        <v>2249089.6852621734</v>
      </c>
      <c r="BY25" s="83">
        <f t="shared" ref="BY25" si="190">BY10-BX11</f>
        <v>2132678.5863440633</v>
      </c>
      <c r="BZ25" s="83">
        <f t="shared" ref="BZ25" si="191">BZ10-BY11</f>
        <v>2158294.9871398807</v>
      </c>
      <c r="CA25" s="83">
        <f t="shared" ref="CA25" si="192">CA10-BZ11</f>
        <v>2044519.8633285761</v>
      </c>
      <c r="CB25" s="83">
        <f t="shared" ref="CB25" si="193">CB10-CA11</f>
        <v>2066893.9822001457</v>
      </c>
      <c r="CC25" s="83">
        <f t="shared" ref="CC25" si="194">CC10-CB11</f>
        <v>2020964.8504832983</v>
      </c>
      <c r="CD25" s="83">
        <f t="shared" ref="CD25" si="195">CD10-CC11</f>
        <v>1847470.8396181166</v>
      </c>
      <c r="CE25" s="83">
        <f t="shared" ref="CE25" si="196">CE10-CD11</f>
        <v>1928646.7854087949</v>
      </c>
      <c r="CF25" s="83">
        <f t="shared" ref="CF25" si="197">CF10-CE11</f>
        <v>1821538.8674541712</v>
      </c>
      <c r="CG25" s="83">
        <f t="shared" ref="CG25" si="198">CG10-CF11</f>
        <v>1835712.2408108115</v>
      </c>
      <c r="CH25" s="83">
        <f t="shared" ref="CH25" si="199">CH10-CG11</f>
        <v>1731302.4225380719</v>
      </c>
      <c r="CI25" s="83">
        <f t="shared" ref="CI25" si="200">CI10-CH11</f>
        <v>1742157.0999761522</v>
      </c>
      <c r="CJ25" s="83">
        <f t="shared" ref="CJ25" si="201">CJ10-CI11</f>
        <v>1695145.5119852126</v>
      </c>
      <c r="CK25" s="83">
        <f t="shared" ref="CK25" si="202">CK10-CJ11</f>
        <v>1594816.6632590294</v>
      </c>
      <c r="CL25" s="83">
        <f t="shared" ref="CL25" si="203">CL10-CK11</f>
        <v>1600651.6977725029</v>
      </c>
      <c r="CM25" s="83">
        <f t="shared" ref="CM25" si="204">CM10-CL11</f>
        <v>1503066.217846036</v>
      </c>
      <c r="CN25" s="83">
        <f t="shared" ref="CN25" si="205">CN10-CM11</f>
        <v>1505526.8748670816</v>
      </c>
      <c r="CO25" s="83">
        <f t="shared" ref="CO25" si="206">CO10-CN11</f>
        <v>1457726.5194591582</v>
      </c>
      <c r="CP25" s="83">
        <f t="shared" ref="CP25" si="207">CP10-CO11</f>
        <v>1273337.7815138102</v>
      </c>
      <c r="CQ25" s="83">
        <f t="shared" ref="CQ25" si="208">CQ10-CP11</f>
        <v>1361647.2739741206</v>
      </c>
      <c r="CR25" s="83">
        <f t="shared" ref="CR25" si="209">CR10-CQ11</f>
        <v>1271000.6321579218</v>
      </c>
      <c r="CS25" s="83">
        <f t="shared" ref="CS25" si="210">CS10-CR11</f>
        <v>1264926.4326387048</v>
      </c>
      <c r="CT25" s="83">
        <f t="shared" ref="CT25" si="211">CT10-CS11</f>
        <v>1177087.8152483702</v>
      </c>
      <c r="CU25" s="83">
        <f t="shared" ref="CU25" si="212">CU10-CT11</f>
        <v>1167559.7110183239</v>
      </c>
      <c r="CV25" s="83">
        <f t="shared" ref="CV25" si="213">CV10-CU11</f>
        <v>1118632.798397541</v>
      </c>
      <c r="CW25" s="83">
        <f t="shared" ref="CW25" si="214">CW10-CV11</f>
        <v>1035041.4155496955</v>
      </c>
      <c r="CX25" s="83">
        <f t="shared" ref="CX25" si="215">CX10-CW11</f>
        <v>1020289.1603974104</v>
      </c>
      <c r="CY25" s="83">
        <f t="shared" ref="CY25" si="216">CY10-CX11</f>
        <v>939552.91542702913</v>
      </c>
      <c r="CZ25" s="83">
        <f t="shared" ref="CZ25" si="217">CZ10-CY11</f>
        <v>921288.80543684959</v>
      </c>
      <c r="DA25" s="83">
        <f t="shared" ref="DA25" si="218">DA10-CZ11</f>
        <v>871540.98979747295</v>
      </c>
      <c r="DB25" s="83">
        <f t="shared" ref="DB25" si="219">DB10-DA11</f>
        <v>742115.02409571409</v>
      </c>
      <c r="DC25" s="83">
        <f t="shared" ref="DC25" si="220">DC10-DB11</f>
        <v>771547.32760882378</v>
      </c>
      <c r="DD25" s="83">
        <f t="shared" ref="DD25" si="221">DD10-DC11</f>
        <v>698032.6197193861</v>
      </c>
      <c r="DE25" s="83">
        <f t="shared" ref="DE25" si="222">DE10-DD11</f>
        <v>670885.92996490002</v>
      </c>
      <c r="DF25" s="83">
        <f t="shared" ref="DF25" si="223">DF10-DE11</f>
        <v>600293.649748981</v>
      </c>
      <c r="DG25" s="83">
        <f t="shared" ref="DG25" si="224">DG10-DF11</f>
        <v>569552.33787667751</v>
      </c>
      <c r="DH25" s="83">
        <f t="shared" ref="DH25" si="225">DH10-DG11</f>
        <v>518632.06734544039</v>
      </c>
      <c r="DI25" s="83">
        <f t="shared" ref="DI25" si="226">DI10-DH11</f>
        <v>452460.06056040525</v>
      </c>
      <c r="DJ25" s="83">
        <f t="shared" ref="DJ25" si="227">DJ10-DI11</f>
        <v>416281.75779682398</v>
      </c>
      <c r="DK25" s="83">
        <f t="shared" ref="DK25" si="228">DK10-DJ11</f>
        <v>353081.21161162853</v>
      </c>
      <c r="DL25" s="83">
        <f t="shared" ref="DL25" si="229">DL10-DK11</f>
        <v>313247.97562557459</v>
      </c>
      <c r="DM25" s="83">
        <f t="shared" ref="DM25" si="230">DM10-DL11</f>
        <v>261473.35722017288</v>
      </c>
      <c r="DN25" s="83">
        <f t="shared" ref="DN25" si="231">DN10-DM11</f>
        <v>189249.4319062829</v>
      </c>
      <c r="DO25" s="83">
        <f t="shared" ref="DO25" si="232">DO10-DN11</f>
        <v>157405.79895174503</v>
      </c>
      <c r="DP25" s="83">
        <f t="shared" ref="DP25" si="233">DP10-DO11</f>
        <v>101721.00641041994</v>
      </c>
      <c r="DQ25" s="83">
        <f t="shared" ref="DQ25" si="234">DQ10-DP11</f>
        <v>52643.300655305386</v>
      </c>
    </row>
    <row r="26" spans="1:122" x14ac:dyDescent="0.25">
      <c r="A26" s="38" t="s">
        <v>42</v>
      </c>
      <c r="B26" s="30">
        <f>B25</f>
        <v>0</v>
      </c>
      <c r="C26" s="30">
        <f>B26+C25</f>
        <v>0</v>
      </c>
      <c r="D26" s="30">
        <f>C26+D25</f>
        <v>1372338</v>
      </c>
      <c r="E26" s="30">
        <f t="shared" ref="E26:BP26" si="235">D26+E25</f>
        <v>1372338</v>
      </c>
      <c r="F26" s="30">
        <f t="shared" si="235"/>
        <v>1372338</v>
      </c>
      <c r="G26" s="30">
        <f t="shared" si="235"/>
        <v>3563264</v>
      </c>
      <c r="H26" s="30">
        <f t="shared" si="235"/>
        <v>3563264</v>
      </c>
      <c r="I26" s="30">
        <f t="shared" si="235"/>
        <v>3563264</v>
      </c>
      <c r="J26" s="30">
        <f t="shared" si="235"/>
        <v>9064196</v>
      </c>
      <c r="K26" s="30">
        <f t="shared" si="235"/>
        <v>9064196</v>
      </c>
      <c r="L26" s="30">
        <f t="shared" si="235"/>
        <v>9064196</v>
      </c>
      <c r="M26" s="30">
        <f t="shared" si="235"/>
        <v>19922518</v>
      </c>
      <c r="N26" s="30">
        <f t="shared" si="235"/>
        <v>19922518</v>
      </c>
      <c r="O26" s="30">
        <f t="shared" si="235"/>
        <v>19922518</v>
      </c>
      <c r="P26" s="30">
        <f t="shared" si="235"/>
        <v>30780840</v>
      </c>
      <c r="Q26" s="30">
        <f t="shared" si="235"/>
        <v>30780840</v>
      </c>
      <c r="R26" s="30">
        <f t="shared" si="235"/>
        <v>30780840</v>
      </c>
      <c r="S26" s="30">
        <f t="shared" si="235"/>
        <v>44117652</v>
      </c>
      <c r="T26" s="30">
        <f t="shared" si="235"/>
        <v>44117652</v>
      </c>
      <c r="U26" s="30">
        <f t="shared" si="235"/>
        <v>44117652</v>
      </c>
      <c r="V26" s="30">
        <f t="shared" si="235"/>
        <v>56958763</v>
      </c>
      <c r="W26" s="30">
        <f t="shared" si="235"/>
        <v>56958763</v>
      </c>
      <c r="X26" s="30">
        <f t="shared" si="235"/>
        <v>56958763</v>
      </c>
      <c r="Y26" s="30">
        <f t="shared" si="235"/>
        <v>69799874</v>
      </c>
      <c r="Z26" s="30">
        <f t="shared" si="235"/>
        <v>69799874</v>
      </c>
      <c r="AA26" s="30">
        <f t="shared" si="235"/>
        <v>69799874</v>
      </c>
      <c r="AB26" s="30">
        <f t="shared" si="235"/>
        <v>83064318</v>
      </c>
      <c r="AC26" s="30">
        <f t="shared" si="235"/>
        <v>83064318</v>
      </c>
      <c r="AD26" s="30">
        <f t="shared" si="235"/>
        <v>83064318</v>
      </c>
      <c r="AE26" s="30">
        <f t="shared" si="235"/>
        <v>95504144</v>
      </c>
      <c r="AF26" s="30">
        <f t="shared" si="235"/>
        <v>99605186</v>
      </c>
      <c r="AG26" s="30">
        <f t="shared" si="235"/>
        <v>103405021</v>
      </c>
      <c r="AH26" s="30">
        <f t="shared" si="235"/>
        <v>107427637</v>
      </c>
      <c r="AI26" s="30">
        <f t="shared" si="235"/>
        <v>111410841</v>
      </c>
      <c r="AJ26" s="30">
        <f t="shared" si="235"/>
        <v>115100074</v>
      </c>
      <c r="AK26" s="30">
        <f t="shared" si="235"/>
        <v>119129998</v>
      </c>
      <c r="AL26" s="30">
        <f t="shared" si="235"/>
        <v>122869533</v>
      </c>
      <c r="AM26" s="30">
        <f t="shared" si="235"/>
        <v>126447053</v>
      </c>
      <c r="AN26" s="30">
        <f t="shared" si="235"/>
        <v>130475355.67100784</v>
      </c>
      <c r="AO26" s="30">
        <f t="shared" si="235"/>
        <v>134098551.81905569</v>
      </c>
      <c r="AP26" s="30">
        <f t="shared" si="235"/>
        <v>137802182.29155758</v>
      </c>
      <c r="AQ26" s="30">
        <f t="shared" si="235"/>
        <v>141347173.06164086</v>
      </c>
      <c r="AR26" s="30">
        <f t="shared" si="235"/>
        <v>144969721.93616635</v>
      </c>
      <c r="AS26" s="30">
        <f t="shared" si="235"/>
        <v>148551527.19528276</v>
      </c>
      <c r="AT26" s="30">
        <f t="shared" si="235"/>
        <v>151749782.78516555</v>
      </c>
      <c r="AU26" s="30">
        <f t="shared" si="235"/>
        <v>155249692.92460287</v>
      </c>
      <c r="AV26" s="30">
        <f t="shared" si="235"/>
        <v>158596877.82290408</v>
      </c>
      <c r="AW26" s="30">
        <f t="shared" si="235"/>
        <v>162014345.96525198</v>
      </c>
      <c r="AX26" s="30">
        <f t="shared" si="235"/>
        <v>165281482.34379867</v>
      </c>
      <c r="AY26" s="30">
        <f t="shared" si="235"/>
        <v>168615957.95972106</v>
      </c>
      <c r="AZ26" s="30">
        <f t="shared" si="235"/>
        <v>171908729.71603903</v>
      </c>
      <c r="BA26" s="30">
        <f t="shared" si="235"/>
        <v>175054789.92621469</v>
      </c>
      <c r="BB26" s="30">
        <f t="shared" si="235"/>
        <v>178263736.46135154</v>
      </c>
      <c r="BC26" s="30">
        <f t="shared" si="235"/>
        <v>181328405.08579972</v>
      </c>
      <c r="BD26" s="30">
        <f t="shared" si="235"/>
        <v>184452966.63355622</v>
      </c>
      <c r="BE26" s="30">
        <f t="shared" si="235"/>
        <v>187535124.60814774</v>
      </c>
      <c r="BF26" s="30">
        <f t="shared" si="235"/>
        <v>190280581.56211916</v>
      </c>
      <c r="BG26" s="30">
        <f t="shared" si="235"/>
        <v>193277507.88349825</v>
      </c>
      <c r="BH26" s="30">
        <f t="shared" si="235"/>
        <v>196136311.71974939</v>
      </c>
      <c r="BI26" s="30">
        <f t="shared" si="235"/>
        <v>199047437.22987628</v>
      </c>
      <c r="BJ26" s="30">
        <f t="shared" si="235"/>
        <v>201822931.24616963</v>
      </c>
      <c r="BK26" s="30">
        <f t="shared" si="235"/>
        <v>204647682.98629358</v>
      </c>
      <c r="BL26" s="30">
        <f t="shared" si="235"/>
        <v>207429031.78722712</v>
      </c>
      <c r="BM26" s="30">
        <f t="shared" si="235"/>
        <v>210078516.8052392</v>
      </c>
      <c r="BN26" s="30">
        <f t="shared" si="235"/>
        <v>212772625.21614513</v>
      </c>
      <c r="BO26" s="30">
        <f t="shared" si="235"/>
        <v>215337402.62964651</v>
      </c>
      <c r="BP26" s="30">
        <f t="shared" si="235"/>
        <v>217943688.07858694</v>
      </c>
      <c r="BQ26" s="30">
        <f t="shared" ref="BQ26:DQ26" si="236">BP26+BQ25</f>
        <v>220505842.36736634</v>
      </c>
      <c r="BR26" s="30">
        <f t="shared" si="236"/>
        <v>222780052.9703674</v>
      </c>
      <c r="BS26" s="30">
        <f t="shared" si="236"/>
        <v>225253503.13687688</v>
      </c>
      <c r="BT26" s="30">
        <f t="shared" si="236"/>
        <v>227604028.51307723</v>
      </c>
      <c r="BU26" s="30">
        <f t="shared" si="236"/>
        <v>229988182.21090031</v>
      </c>
      <c r="BV26" s="30">
        <f t="shared" si="236"/>
        <v>232252003.59653741</v>
      </c>
      <c r="BW26" s="30">
        <f t="shared" si="236"/>
        <v>234546264.52369988</v>
      </c>
      <c r="BX26" s="30">
        <f t="shared" si="236"/>
        <v>236795354.20896205</v>
      </c>
      <c r="BY26" s="30">
        <f t="shared" si="236"/>
        <v>238928032.79530612</v>
      </c>
      <c r="BZ26" s="30">
        <f t="shared" si="236"/>
        <v>241086327.782446</v>
      </c>
      <c r="CA26" s="30">
        <f t="shared" si="236"/>
        <v>243130847.64577457</v>
      </c>
      <c r="CB26" s="30">
        <f t="shared" si="236"/>
        <v>245197741.62797472</v>
      </c>
      <c r="CC26" s="30">
        <f t="shared" si="236"/>
        <v>247218706.47845802</v>
      </c>
      <c r="CD26" s="30">
        <f t="shared" si="236"/>
        <v>249066177.31807613</v>
      </c>
      <c r="CE26" s="30">
        <f t="shared" si="236"/>
        <v>250994824.10348493</v>
      </c>
      <c r="CF26" s="30">
        <f t="shared" si="236"/>
        <v>252816362.9709391</v>
      </c>
      <c r="CG26" s="30">
        <f t="shared" si="236"/>
        <v>254652075.21174991</v>
      </c>
      <c r="CH26" s="30">
        <f t="shared" si="236"/>
        <v>256383377.63428798</v>
      </c>
      <c r="CI26" s="30">
        <f t="shared" si="236"/>
        <v>258125534.73426414</v>
      </c>
      <c r="CJ26" s="30">
        <f t="shared" si="236"/>
        <v>259820680.24624935</v>
      </c>
      <c r="CK26" s="30">
        <f t="shared" si="236"/>
        <v>261415496.90950838</v>
      </c>
      <c r="CL26" s="30">
        <f t="shared" si="236"/>
        <v>263016148.60728088</v>
      </c>
      <c r="CM26" s="30">
        <f t="shared" si="236"/>
        <v>264519214.82512692</v>
      </c>
      <c r="CN26" s="30">
        <f t="shared" si="236"/>
        <v>266024741.699994</v>
      </c>
      <c r="CO26" s="30">
        <f t="shared" si="236"/>
        <v>267482468.21945316</v>
      </c>
      <c r="CP26" s="30">
        <f t="shared" si="236"/>
        <v>268755806.00096697</v>
      </c>
      <c r="CQ26" s="30">
        <f t="shared" si="236"/>
        <v>270117453.27494109</v>
      </c>
      <c r="CR26" s="30">
        <f t="shared" si="236"/>
        <v>271388453.90709901</v>
      </c>
      <c r="CS26" s="30">
        <f t="shared" si="236"/>
        <v>272653380.33973771</v>
      </c>
      <c r="CT26" s="30">
        <f t="shared" si="236"/>
        <v>273830468.15498608</v>
      </c>
      <c r="CU26" s="30">
        <f t="shared" si="236"/>
        <v>274998027.86600441</v>
      </c>
      <c r="CV26" s="30">
        <f t="shared" si="236"/>
        <v>276116660.66440195</v>
      </c>
      <c r="CW26" s="30">
        <f t="shared" si="236"/>
        <v>277151702.07995164</v>
      </c>
      <c r="CX26" s="30">
        <f t="shared" si="236"/>
        <v>278171991.24034905</v>
      </c>
      <c r="CY26" s="30">
        <f t="shared" si="236"/>
        <v>279111544.15577608</v>
      </c>
      <c r="CZ26" s="30">
        <f t="shared" si="236"/>
        <v>280032832.96121293</v>
      </c>
      <c r="DA26" s="30">
        <f t="shared" si="236"/>
        <v>280904373.95101041</v>
      </c>
      <c r="DB26" s="30">
        <f t="shared" si="236"/>
        <v>281646488.97510612</v>
      </c>
      <c r="DC26" s="30">
        <f t="shared" si="236"/>
        <v>282418036.30271494</v>
      </c>
      <c r="DD26" s="30">
        <f t="shared" si="236"/>
        <v>283116068.92243433</v>
      </c>
      <c r="DE26" s="30">
        <f t="shared" si="236"/>
        <v>283786954.85239923</v>
      </c>
      <c r="DF26" s="30">
        <f t="shared" si="236"/>
        <v>284387248.50214821</v>
      </c>
      <c r="DG26" s="30">
        <f t="shared" si="236"/>
        <v>284956800.84002489</v>
      </c>
      <c r="DH26" s="30">
        <f t="shared" si="236"/>
        <v>285475432.90737033</v>
      </c>
      <c r="DI26" s="30">
        <f t="shared" si="236"/>
        <v>285927892.96793073</v>
      </c>
      <c r="DJ26" s="30">
        <f t="shared" si="236"/>
        <v>286344174.72572756</v>
      </c>
      <c r="DK26" s="30">
        <f t="shared" si="236"/>
        <v>286697255.93733919</v>
      </c>
      <c r="DL26" s="30">
        <f t="shared" si="236"/>
        <v>287010503.91296476</v>
      </c>
      <c r="DM26" s="30">
        <f t="shared" si="236"/>
        <v>287271977.27018493</v>
      </c>
      <c r="DN26" s="30">
        <f t="shared" si="236"/>
        <v>287461226.70209122</v>
      </c>
      <c r="DO26" s="30">
        <f t="shared" si="236"/>
        <v>287618632.50104296</v>
      </c>
      <c r="DP26" s="30">
        <f t="shared" si="236"/>
        <v>287720353.50745338</v>
      </c>
      <c r="DQ26" s="30">
        <f t="shared" si="236"/>
        <v>287772996.80810869</v>
      </c>
    </row>
    <row r="27" spans="1:122" x14ac:dyDescent="0.25">
      <c r="A27" s="38" t="s">
        <v>38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13693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31119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26476</v>
      </c>
      <c r="AF27" s="30">
        <v>135207</v>
      </c>
      <c r="AG27" s="30">
        <v>173681</v>
      </c>
      <c r="AH27" s="30">
        <v>0</v>
      </c>
      <c r="AI27" s="30">
        <v>0</v>
      </c>
      <c r="AJ27" s="30">
        <v>0</v>
      </c>
      <c r="AK27" s="30">
        <v>476085</v>
      </c>
      <c r="AL27" s="30">
        <v>272235</v>
      </c>
      <c r="AM27" s="30">
        <v>315163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  <c r="CD27" s="30">
        <v>0</v>
      </c>
      <c r="CE27" s="30">
        <v>0</v>
      </c>
      <c r="CF27" s="30">
        <v>0</v>
      </c>
      <c r="CG27" s="30">
        <v>0</v>
      </c>
      <c r="CH27" s="30">
        <v>0</v>
      </c>
      <c r="CI27" s="30">
        <v>0</v>
      </c>
      <c r="CJ27" s="30">
        <v>0</v>
      </c>
      <c r="CK27" s="30">
        <v>0</v>
      </c>
      <c r="CL27" s="30">
        <v>0</v>
      </c>
      <c r="CM27" s="30">
        <v>0</v>
      </c>
      <c r="CN27" s="30">
        <v>0</v>
      </c>
      <c r="CO27" s="30">
        <v>0</v>
      </c>
      <c r="CP27" s="30">
        <v>0</v>
      </c>
      <c r="CQ27" s="30">
        <v>0</v>
      </c>
      <c r="CR27" s="30">
        <v>0</v>
      </c>
      <c r="CS27" s="30">
        <v>0</v>
      </c>
      <c r="CT27" s="30">
        <v>0</v>
      </c>
      <c r="CU27" s="30">
        <v>0</v>
      </c>
      <c r="CV27" s="30">
        <v>0</v>
      </c>
      <c r="CW27" s="30">
        <v>0</v>
      </c>
      <c r="CX27" s="30">
        <v>0</v>
      </c>
      <c r="CY27" s="30">
        <v>0</v>
      </c>
      <c r="CZ27" s="30">
        <v>0</v>
      </c>
      <c r="DA27" s="30">
        <v>0</v>
      </c>
      <c r="DB27" s="30">
        <v>0</v>
      </c>
      <c r="DC27" s="30">
        <v>0</v>
      </c>
      <c r="DD27" s="30">
        <v>0</v>
      </c>
      <c r="DE27" s="30">
        <v>0</v>
      </c>
      <c r="DF27" s="30">
        <v>0</v>
      </c>
      <c r="DG27" s="30">
        <v>0</v>
      </c>
      <c r="DH27" s="30">
        <v>0</v>
      </c>
      <c r="DI27" s="30">
        <v>0</v>
      </c>
      <c r="DJ27" s="30">
        <v>0</v>
      </c>
      <c r="DK27" s="30">
        <v>0</v>
      </c>
      <c r="DL27" s="30">
        <v>0</v>
      </c>
      <c r="DM27" s="30">
        <v>0</v>
      </c>
      <c r="DN27" s="30">
        <v>0</v>
      </c>
      <c r="DO27" s="30">
        <v>0</v>
      </c>
      <c r="DP27" s="30">
        <v>0</v>
      </c>
      <c r="DQ27" s="30">
        <v>0</v>
      </c>
    </row>
    <row r="28" spans="1:122" x14ac:dyDescent="0.25">
      <c r="A28" s="36" t="s">
        <v>39</v>
      </c>
      <c r="B28" s="30">
        <f>B27</f>
        <v>0</v>
      </c>
      <c r="C28" s="30">
        <f t="shared" ref="C28:D28" si="237">B28+C27</f>
        <v>0</v>
      </c>
      <c r="D28" s="30">
        <f t="shared" si="237"/>
        <v>0</v>
      </c>
      <c r="E28" s="30">
        <f t="shared" ref="E28" si="238">D28+E27</f>
        <v>0</v>
      </c>
      <c r="F28" s="30">
        <f t="shared" ref="F28" si="239">E28+F27</f>
        <v>0</v>
      </c>
      <c r="G28" s="30">
        <f t="shared" ref="G28" si="240">F28+G27</f>
        <v>0</v>
      </c>
      <c r="H28" s="30">
        <f t="shared" ref="H28" si="241">G28+H27</f>
        <v>0</v>
      </c>
      <c r="I28" s="30">
        <f t="shared" ref="I28" si="242">H28+I27</f>
        <v>0</v>
      </c>
      <c r="J28" s="30">
        <f t="shared" ref="J28" si="243">I28+J27</f>
        <v>13693</v>
      </c>
      <c r="K28" s="30">
        <f t="shared" ref="K28" si="244">J28+K27</f>
        <v>13693</v>
      </c>
      <c r="L28" s="30">
        <f t="shared" ref="L28" si="245">K28+L27</f>
        <v>13693</v>
      </c>
      <c r="M28" s="30">
        <f t="shared" ref="M28" si="246">L28+M27</f>
        <v>13693</v>
      </c>
      <c r="N28" s="30">
        <f t="shared" ref="N28" si="247">M28+N27</f>
        <v>13693</v>
      </c>
      <c r="O28" s="30">
        <f t="shared" ref="O28" si="248">N28+O27</f>
        <v>13693</v>
      </c>
      <c r="P28" s="30">
        <f t="shared" ref="P28" si="249">O28+P27</f>
        <v>13693</v>
      </c>
      <c r="Q28" s="30">
        <f t="shared" ref="Q28" si="250">P28+Q27</f>
        <v>13693</v>
      </c>
      <c r="R28" s="30">
        <f t="shared" ref="R28" si="251">Q28+R27</f>
        <v>13693</v>
      </c>
      <c r="S28" s="30">
        <f t="shared" ref="S28" si="252">R28+S27</f>
        <v>13693</v>
      </c>
      <c r="T28" s="30">
        <f t="shared" ref="T28" si="253">S28+T27</f>
        <v>13693</v>
      </c>
      <c r="U28" s="30">
        <f t="shared" ref="U28" si="254">T28+U27</f>
        <v>13693</v>
      </c>
      <c r="V28" s="30">
        <f t="shared" ref="V28" si="255">U28+V27</f>
        <v>44812</v>
      </c>
      <c r="W28" s="30">
        <f t="shared" ref="W28" si="256">V28+W27</f>
        <v>44812</v>
      </c>
      <c r="X28" s="30">
        <f t="shared" ref="X28" si="257">W28+X27</f>
        <v>44812</v>
      </c>
      <c r="Y28" s="30">
        <f t="shared" ref="Y28" si="258">X28+Y27</f>
        <v>44812</v>
      </c>
      <c r="Z28" s="30">
        <f t="shared" ref="Z28" si="259">Y28+Z27</f>
        <v>44812</v>
      </c>
      <c r="AA28" s="30">
        <f t="shared" ref="AA28" si="260">Z28+AA27</f>
        <v>44812</v>
      </c>
      <c r="AB28" s="30">
        <f t="shared" ref="AB28" si="261">AA28+AB27</f>
        <v>44812</v>
      </c>
      <c r="AC28" s="30">
        <f t="shared" ref="AC28" si="262">AB28+AC27</f>
        <v>44812</v>
      </c>
      <c r="AD28" s="30">
        <f t="shared" ref="AD28" si="263">AC28+AD27</f>
        <v>44812</v>
      </c>
      <c r="AE28" s="30">
        <f t="shared" ref="AE28" si="264">AD28+AE27</f>
        <v>71288</v>
      </c>
      <c r="AF28" s="30">
        <f t="shared" ref="AF28" si="265">AE28+AF27</f>
        <v>206495</v>
      </c>
      <c r="AG28" s="30">
        <f t="shared" ref="AG28" si="266">AF28+AG27</f>
        <v>380176</v>
      </c>
      <c r="AH28" s="30">
        <f t="shared" ref="AH28" si="267">AG28+AH27</f>
        <v>380176</v>
      </c>
      <c r="AI28" s="30">
        <f t="shared" ref="AI28" si="268">AH28+AI27</f>
        <v>380176</v>
      </c>
      <c r="AJ28" s="30">
        <f t="shared" ref="AJ28" si="269">AI28+AJ27</f>
        <v>380176</v>
      </c>
      <c r="AK28" s="30">
        <f t="shared" ref="AK28" si="270">AJ28+AK27</f>
        <v>856261</v>
      </c>
      <c r="AL28" s="30">
        <f t="shared" ref="AL28" si="271">AK28+AL27</f>
        <v>1128496</v>
      </c>
      <c r="AM28" s="30">
        <f t="shared" ref="AM28" si="272">AL28+AM27</f>
        <v>1443659</v>
      </c>
      <c r="AN28" s="30">
        <f t="shared" ref="AN28" si="273">AM28+AN27</f>
        <v>1443659</v>
      </c>
      <c r="AO28" s="30">
        <f t="shared" ref="AO28" si="274">AN28+AO27</f>
        <v>1443659</v>
      </c>
      <c r="AP28" s="30">
        <f t="shared" ref="AP28" si="275">AO28+AP27</f>
        <v>1443659</v>
      </c>
      <c r="AQ28" s="30">
        <f t="shared" ref="AQ28" si="276">AP28+AQ27</f>
        <v>1443659</v>
      </c>
      <c r="AR28" s="30">
        <f t="shared" ref="AR28" si="277">AQ28+AR27</f>
        <v>1443659</v>
      </c>
      <c r="AS28" s="30">
        <f t="shared" ref="AS28" si="278">AR28+AS27</f>
        <v>1443659</v>
      </c>
      <c r="AT28" s="30">
        <f t="shared" ref="AT28" si="279">AS28+AT27</f>
        <v>1443659</v>
      </c>
      <c r="AU28" s="30">
        <f t="shared" ref="AU28" si="280">AT28+AU27</f>
        <v>1443659</v>
      </c>
      <c r="AV28" s="30">
        <f t="shared" ref="AV28" si="281">AU28+AV27</f>
        <v>1443659</v>
      </c>
      <c r="AW28" s="30">
        <f t="shared" ref="AW28" si="282">AV28+AW27</f>
        <v>1443659</v>
      </c>
      <c r="AX28" s="30">
        <f t="shared" ref="AX28" si="283">AW28+AX27</f>
        <v>1443659</v>
      </c>
      <c r="AY28" s="30">
        <f t="shared" ref="AY28" si="284">AX28+AY27</f>
        <v>1443659</v>
      </c>
      <c r="AZ28" s="30">
        <f t="shared" ref="AZ28" si="285">AY28+AZ27</f>
        <v>1443659</v>
      </c>
      <c r="BA28" s="30">
        <f t="shared" ref="BA28" si="286">AZ28+BA27</f>
        <v>1443659</v>
      </c>
      <c r="BB28" s="30">
        <f t="shared" ref="BB28" si="287">BA28+BB27</f>
        <v>1443659</v>
      </c>
      <c r="BC28" s="30">
        <f t="shared" ref="BC28" si="288">BB28+BC27</f>
        <v>1443659</v>
      </c>
      <c r="BD28" s="30">
        <f t="shared" ref="BD28" si="289">BC28+BD27</f>
        <v>1443659</v>
      </c>
      <c r="BE28" s="30">
        <f t="shared" ref="BE28" si="290">BD28+BE27</f>
        <v>1443659</v>
      </c>
      <c r="BF28" s="30">
        <f t="shared" ref="BF28" si="291">BE28+BF27</f>
        <v>1443659</v>
      </c>
      <c r="BG28" s="30">
        <f t="shared" ref="BG28" si="292">BF28+BG27</f>
        <v>1443659</v>
      </c>
      <c r="BH28" s="30">
        <f t="shared" ref="BH28" si="293">BG28+BH27</f>
        <v>1443659</v>
      </c>
      <c r="BI28" s="30">
        <f t="shared" ref="BI28" si="294">BH28+BI27</f>
        <v>1443659</v>
      </c>
      <c r="BJ28" s="30">
        <f t="shared" ref="BJ28" si="295">BI28+BJ27</f>
        <v>1443659</v>
      </c>
      <c r="BK28" s="30">
        <f t="shared" ref="BK28" si="296">BJ28+BK27</f>
        <v>1443659</v>
      </c>
      <c r="BL28" s="30">
        <f t="shared" ref="BL28" si="297">BK28+BL27</f>
        <v>1443659</v>
      </c>
      <c r="BM28" s="30">
        <f t="shared" ref="BM28" si="298">BL28+BM27</f>
        <v>1443659</v>
      </c>
      <c r="BN28" s="30">
        <f t="shared" ref="BN28" si="299">BM28+BN27</f>
        <v>1443659</v>
      </c>
      <c r="BO28" s="30">
        <f t="shared" ref="BO28" si="300">BN28+BO27</f>
        <v>1443659</v>
      </c>
      <c r="BP28" s="30">
        <f t="shared" ref="BP28" si="301">BO28+BP27</f>
        <v>1443659</v>
      </c>
      <c r="BQ28" s="30">
        <f t="shared" ref="BQ28" si="302">BP28+BQ27</f>
        <v>1443659</v>
      </c>
      <c r="BR28" s="30">
        <f t="shared" ref="BR28" si="303">BQ28+BR27</f>
        <v>1443659</v>
      </c>
      <c r="BS28" s="30">
        <f t="shared" ref="BS28" si="304">BR28+BS27</f>
        <v>1443659</v>
      </c>
      <c r="BT28" s="30">
        <f t="shared" ref="BT28" si="305">BS28+BT27</f>
        <v>1443659</v>
      </c>
      <c r="BU28" s="30">
        <f t="shared" ref="BU28" si="306">BT28+BU27</f>
        <v>1443659</v>
      </c>
      <c r="BV28" s="30">
        <f t="shared" ref="BV28" si="307">BU28+BV27</f>
        <v>1443659</v>
      </c>
      <c r="BW28" s="30">
        <f t="shared" ref="BW28" si="308">BV28+BW27</f>
        <v>1443659</v>
      </c>
      <c r="BX28" s="30">
        <f t="shared" ref="BX28" si="309">BW28+BX27</f>
        <v>1443659</v>
      </c>
      <c r="BY28" s="30">
        <f t="shared" ref="BY28" si="310">BX28+BY27</f>
        <v>1443659</v>
      </c>
      <c r="BZ28" s="30">
        <f t="shared" ref="BZ28" si="311">BY28+BZ27</f>
        <v>1443659</v>
      </c>
      <c r="CA28" s="30">
        <f t="shared" ref="CA28" si="312">BZ28+CA27</f>
        <v>1443659</v>
      </c>
      <c r="CB28" s="30">
        <f t="shared" ref="CB28" si="313">CA28+CB27</f>
        <v>1443659</v>
      </c>
      <c r="CC28" s="30">
        <f t="shared" ref="CC28" si="314">CB28+CC27</f>
        <v>1443659</v>
      </c>
      <c r="CD28" s="30">
        <f t="shared" ref="CD28" si="315">CC28+CD27</f>
        <v>1443659</v>
      </c>
      <c r="CE28" s="30">
        <f t="shared" ref="CE28" si="316">CD28+CE27</f>
        <v>1443659</v>
      </c>
      <c r="CF28" s="30">
        <f t="shared" ref="CF28" si="317">CE28+CF27</f>
        <v>1443659</v>
      </c>
      <c r="CG28" s="30">
        <f t="shared" ref="CG28" si="318">CF28+CG27</f>
        <v>1443659</v>
      </c>
      <c r="CH28" s="30">
        <f t="shared" ref="CH28" si="319">CG28+CH27</f>
        <v>1443659</v>
      </c>
      <c r="CI28" s="30">
        <f t="shared" ref="CI28" si="320">CH28+CI27</f>
        <v>1443659</v>
      </c>
      <c r="CJ28" s="30">
        <f t="shared" ref="CJ28" si="321">CI28+CJ27</f>
        <v>1443659</v>
      </c>
      <c r="CK28" s="30">
        <f t="shared" ref="CK28" si="322">CJ28+CK27</f>
        <v>1443659</v>
      </c>
      <c r="CL28" s="30">
        <f t="shared" ref="CL28" si="323">CK28+CL27</f>
        <v>1443659</v>
      </c>
      <c r="CM28" s="30">
        <f t="shared" ref="CM28" si="324">CL28+CM27</f>
        <v>1443659</v>
      </c>
      <c r="CN28" s="30">
        <f t="shared" ref="CN28" si="325">CM28+CN27</f>
        <v>1443659</v>
      </c>
      <c r="CO28" s="30">
        <f t="shared" ref="CO28" si="326">CN28+CO27</f>
        <v>1443659</v>
      </c>
      <c r="CP28" s="30">
        <f t="shared" ref="CP28" si="327">CO28+CP27</f>
        <v>1443659</v>
      </c>
      <c r="CQ28" s="30">
        <f t="shared" ref="CQ28" si="328">CP28+CQ27</f>
        <v>1443659</v>
      </c>
      <c r="CR28" s="30">
        <f t="shared" ref="CR28" si="329">CQ28+CR27</f>
        <v>1443659</v>
      </c>
      <c r="CS28" s="30">
        <f t="shared" ref="CS28" si="330">CR28+CS27</f>
        <v>1443659</v>
      </c>
      <c r="CT28" s="30">
        <f t="shared" ref="CT28" si="331">CS28+CT27</f>
        <v>1443659</v>
      </c>
      <c r="CU28" s="30">
        <f t="shared" ref="CU28" si="332">CT28+CU27</f>
        <v>1443659</v>
      </c>
      <c r="CV28" s="30">
        <f t="shared" ref="CV28" si="333">CU28+CV27</f>
        <v>1443659</v>
      </c>
      <c r="CW28" s="30">
        <f t="shared" ref="CW28" si="334">CV28+CW27</f>
        <v>1443659</v>
      </c>
      <c r="CX28" s="30">
        <f t="shared" ref="CX28" si="335">CW28+CX27</f>
        <v>1443659</v>
      </c>
      <c r="CY28" s="30">
        <f t="shared" ref="CY28" si="336">CX28+CY27</f>
        <v>1443659</v>
      </c>
      <c r="CZ28" s="30">
        <f t="shared" ref="CZ28" si="337">CY28+CZ27</f>
        <v>1443659</v>
      </c>
      <c r="DA28" s="30">
        <f t="shared" ref="DA28" si="338">CZ28+DA27</f>
        <v>1443659</v>
      </c>
      <c r="DB28" s="30">
        <f t="shared" ref="DB28" si="339">DA28+DB27</f>
        <v>1443659</v>
      </c>
      <c r="DC28" s="30">
        <f t="shared" ref="DC28" si="340">DB28+DC27</f>
        <v>1443659</v>
      </c>
      <c r="DD28" s="30">
        <f t="shared" ref="DD28" si="341">DC28+DD27</f>
        <v>1443659</v>
      </c>
      <c r="DE28" s="30">
        <f t="shared" ref="DE28" si="342">DD28+DE27</f>
        <v>1443659</v>
      </c>
      <c r="DF28" s="30">
        <f t="shared" ref="DF28" si="343">DE28+DF27</f>
        <v>1443659</v>
      </c>
      <c r="DG28" s="30">
        <f t="shared" ref="DG28" si="344">DF28+DG27</f>
        <v>1443659</v>
      </c>
      <c r="DH28" s="30">
        <f t="shared" ref="DH28" si="345">DG28+DH27</f>
        <v>1443659</v>
      </c>
      <c r="DI28" s="30">
        <f t="shared" ref="DI28" si="346">DH28+DI27</f>
        <v>1443659</v>
      </c>
      <c r="DJ28" s="30">
        <f t="shared" ref="DJ28" si="347">DI28+DJ27</f>
        <v>1443659</v>
      </c>
      <c r="DK28" s="30">
        <f t="shared" ref="DK28" si="348">DJ28+DK27</f>
        <v>1443659</v>
      </c>
      <c r="DL28" s="30">
        <f t="shared" ref="DL28" si="349">DK28+DL27</f>
        <v>1443659</v>
      </c>
      <c r="DM28" s="30">
        <f t="shared" ref="DM28" si="350">DL28+DM27</f>
        <v>1443659</v>
      </c>
      <c r="DN28" s="30">
        <f t="shared" ref="DN28" si="351">DM28+DN27</f>
        <v>1443659</v>
      </c>
      <c r="DO28" s="30">
        <f t="shared" ref="DO28" si="352">DN28+DO27</f>
        <v>1443659</v>
      </c>
      <c r="DP28" s="30">
        <f t="shared" ref="DP28" si="353">DO28+DP27</f>
        <v>1443659</v>
      </c>
      <c r="DQ28" s="30">
        <f t="shared" ref="DQ28" si="354">DP28+DQ27</f>
        <v>1443659</v>
      </c>
    </row>
    <row r="29" spans="1:122" x14ac:dyDescent="0.25"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</row>
    <row r="30" spans="1:122" s="87" customFormat="1" ht="15" x14ac:dyDescent="0.3">
      <c r="A30" s="114" t="s">
        <v>51</v>
      </c>
      <c r="B30" s="88"/>
      <c r="C30" s="88"/>
      <c r="D30" s="141">
        <v>42995</v>
      </c>
      <c r="E30" s="88"/>
      <c r="F30" s="88"/>
      <c r="G30" s="141">
        <v>43108</v>
      </c>
      <c r="H30" s="88"/>
      <c r="I30" s="88"/>
      <c r="J30" s="141">
        <v>43174</v>
      </c>
      <c r="K30" s="88"/>
      <c r="L30" s="88"/>
      <c r="M30" s="150">
        <v>43265</v>
      </c>
      <c r="N30" s="88"/>
      <c r="O30" s="88"/>
      <c r="P30" s="141">
        <v>43359</v>
      </c>
      <c r="Q30" s="88"/>
      <c r="R30" s="88"/>
      <c r="S30" s="150">
        <v>43461</v>
      </c>
      <c r="T30" s="88"/>
      <c r="U30" s="88"/>
      <c r="V30" s="141">
        <v>43538</v>
      </c>
      <c r="W30" s="88"/>
      <c r="X30" s="88"/>
      <c r="Y30" s="141">
        <v>43629</v>
      </c>
      <c r="Z30" s="88"/>
      <c r="AA30" s="88"/>
      <c r="AB30" s="141">
        <v>43726</v>
      </c>
      <c r="AC30" s="88"/>
      <c r="AD30" s="88"/>
      <c r="AE30" s="150">
        <v>43828</v>
      </c>
      <c r="AF30" s="181">
        <v>43860</v>
      </c>
      <c r="AG30" s="182"/>
      <c r="AH30" s="181">
        <v>43880</v>
      </c>
      <c r="AI30" s="183"/>
      <c r="AJ30" s="182"/>
      <c r="AK30" s="150">
        <v>43901</v>
      </c>
      <c r="AL30" s="150">
        <v>43901</v>
      </c>
      <c r="AM30" s="184">
        <v>44026</v>
      </c>
      <c r="AN30" s="185"/>
      <c r="AO30" s="186"/>
      <c r="AP30" s="184">
        <v>44026</v>
      </c>
      <c r="AQ30" s="186"/>
      <c r="AR30" s="150">
        <v>44074</v>
      </c>
      <c r="AS30" s="150">
        <v>44081</v>
      </c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  <c r="BT30" s="88"/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88"/>
      <c r="CF30" s="88"/>
      <c r="CG30" s="88"/>
      <c r="CH30" s="88"/>
      <c r="CI30" s="88"/>
      <c r="CJ30" s="88"/>
      <c r="CK30" s="88"/>
      <c r="CL30" s="88"/>
      <c r="CM30" s="88"/>
      <c r="CN30" s="88"/>
      <c r="CO30" s="88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88"/>
      <c r="DA30" s="88"/>
      <c r="DB30" s="88"/>
      <c r="DC30" s="88"/>
      <c r="DD30" s="88"/>
      <c r="DE30" s="88"/>
      <c r="DF30" s="88"/>
      <c r="DG30" s="88"/>
      <c r="DH30" s="88"/>
      <c r="DI30" s="88"/>
      <c r="DJ30" s="88"/>
      <c r="DK30" s="88"/>
      <c r="DL30" s="88"/>
      <c r="DM30" s="88"/>
      <c r="DN30" s="88"/>
      <c r="DO30" s="88"/>
      <c r="DP30" s="88"/>
      <c r="DQ30" s="88"/>
      <c r="DR30" s="88"/>
    </row>
    <row r="31" spans="1:122" ht="15" x14ac:dyDescent="0.3">
      <c r="A31" s="114" t="s">
        <v>52</v>
      </c>
      <c r="B31" s="109"/>
      <c r="C31" s="109"/>
      <c r="D31" s="139"/>
      <c r="E31" s="109"/>
      <c r="F31" s="109"/>
      <c r="G31" s="139"/>
      <c r="H31" s="109"/>
      <c r="I31" s="30"/>
      <c r="J31" s="139"/>
      <c r="K31" s="109"/>
      <c r="L31" s="30"/>
      <c r="M31" s="139"/>
      <c r="N31" s="109"/>
      <c r="O31" s="30"/>
      <c r="P31" s="139"/>
      <c r="Q31" s="30"/>
      <c r="R31" s="30"/>
      <c r="S31" s="139"/>
      <c r="T31" s="30"/>
      <c r="U31" s="30"/>
      <c r="V31" s="139"/>
      <c r="W31" s="30"/>
      <c r="X31" s="30"/>
      <c r="Y31" s="139"/>
      <c r="Z31" s="30"/>
      <c r="AA31" s="30"/>
      <c r="AB31" s="139"/>
      <c r="AC31" s="30"/>
      <c r="AD31" s="30"/>
      <c r="AE31" s="139"/>
      <c r="AF31" s="167"/>
      <c r="AG31" s="171">
        <v>20000000</v>
      </c>
      <c r="AH31" s="167"/>
      <c r="AI31" s="109"/>
      <c r="AJ31" s="171">
        <v>32000000</v>
      </c>
      <c r="AK31" s="175">
        <v>5170991</v>
      </c>
      <c r="AL31" s="175">
        <v>2500000</v>
      </c>
      <c r="AM31" s="173"/>
      <c r="AN31" s="109"/>
      <c r="AO31" s="171">
        <v>10000000</v>
      </c>
      <c r="AP31" s="167"/>
      <c r="AQ31" s="171">
        <v>10000000</v>
      </c>
      <c r="AR31" s="175">
        <v>17709240</v>
      </c>
      <c r="AS31" s="175">
        <v>17157741</v>
      </c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</row>
    <row r="32" spans="1:122" x14ac:dyDescent="0.25">
      <c r="A32" s="128" t="s">
        <v>28</v>
      </c>
      <c r="B32" s="109"/>
      <c r="C32" s="109"/>
      <c r="D32" s="139">
        <v>1372338</v>
      </c>
      <c r="E32" s="109"/>
      <c r="F32" s="109"/>
      <c r="G32" s="139">
        <v>2190926</v>
      </c>
      <c r="H32" s="109"/>
      <c r="I32" s="30"/>
      <c r="J32" s="139">
        <v>5500932</v>
      </c>
      <c r="K32" s="109"/>
      <c r="L32" s="30"/>
      <c r="M32" s="139">
        <v>10858322</v>
      </c>
      <c r="N32" s="109"/>
      <c r="O32" s="30"/>
      <c r="P32" s="139">
        <v>10858322</v>
      </c>
      <c r="Q32" s="30"/>
      <c r="R32" s="30"/>
      <c r="S32" s="139">
        <v>13336812</v>
      </c>
      <c r="T32" s="30"/>
      <c r="U32" s="30"/>
      <c r="V32" s="139">
        <v>12841111</v>
      </c>
      <c r="W32" s="30"/>
      <c r="X32" s="30"/>
      <c r="Y32" s="139">
        <v>12841111</v>
      </c>
      <c r="Z32" s="30"/>
      <c r="AA32" s="30"/>
      <c r="AB32" s="139">
        <v>13264444</v>
      </c>
      <c r="AC32" s="30"/>
      <c r="AD32" s="30"/>
      <c r="AE32" s="139">
        <v>12439826</v>
      </c>
      <c r="AF32" s="167">
        <v>4101042</v>
      </c>
      <c r="AG32" s="169"/>
      <c r="AH32" s="167"/>
      <c r="AI32" s="172"/>
      <c r="AJ32" s="169">
        <v>3799835</v>
      </c>
      <c r="AK32" s="139"/>
      <c r="AL32" s="139"/>
      <c r="AM32" s="167">
        <v>4022616</v>
      </c>
      <c r="AN32" s="109">
        <v>3983204</v>
      </c>
      <c r="AO32" s="169">
        <v>1518095</v>
      </c>
      <c r="AP32" s="178">
        <v>2171138</v>
      </c>
      <c r="AQ32" s="179">
        <v>4029924</v>
      </c>
      <c r="AR32" s="139">
        <v>3739535</v>
      </c>
      <c r="AS32" s="139">
        <v>3577520</v>
      </c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</row>
    <row r="33" spans="1:122" x14ac:dyDescent="0.25">
      <c r="A33" s="128" t="s">
        <v>22</v>
      </c>
      <c r="B33" s="109"/>
      <c r="C33" s="109"/>
      <c r="D33" s="139"/>
      <c r="E33" s="109"/>
      <c r="F33" s="109"/>
      <c r="G33" s="139"/>
      <c r="H33" s="109"/>
      <c r="I33" s="30"/>
      <c r="J33" s="139"/>
      <c r="K33" s="109"/>
      <c r="L33" s="30"/>
      <c r="M33" s="139"/>
      <c r="N33" s="109"/>
      <c r="O33" s="30"/>
      <c r="P33" s="139"/>
      <c r="Q33" s="30"/>
      <c r="R33" s="30"/>
      <c r="S33" s="139"/>
      <c r="T33" s="30"/>
      <c r="U33" s="30"/>
      <c r="V33" s="139"/>
      <c r="W33" s="30"/>
      <c r="X33" s="30"/>
      <c r="Y33" s="139"/>
      <c r="Z33" s="30"/>
      <c r="AA33" s="30"/>
      <c r="AB33" s="139">
        <v>39687500</v>
      </c>
      <c r="AC33" s="30"/>
      <c r="AD33" s="30"/>
      <c r="AE33" s="139">
        <v>12533698</v>
      </c>
      <c r="AF33" s="167"/>
      <c r="AG33" s="169">
        <v>15898958</v>
      </c>
      <c r="AH33" s="167">
        <v>11254844</v>
      </c>
      <c r="AI33" s="109">
        <v>11365734</v>
      </c>
      <c r="AJ33" s="169">
        <v>5270699</v>
      </c>
      <c r="AK33" s="139">
        <v>5170991</v>
      </c>
      <c r="AL33" s="139">
        <v>961930</v>
      </c>
      <c r="AM33" s="173"/>
      <c r="AN33" s="172"/>
      <c r="AO33" s="180"/>
      <c r="AP33" s="173"/>
      <c r="AQ33" s="180"/>
      <c r="AR33" s="139"/>
      <c r="AS33" s="139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</row>
    <row r="34" spans="1:122" x14ac:dyDescent="0.25">
      <c r="A34" s="128" t="s">
        <v>53</v>
      </c>
      <c r="B34" s="109"/>
      <c r="C34" s="109"/>
      <c r="D34" s="139"/>
      <c r="E34" s="109"/>
      <c r="F34" s="109"/>
      <c r="G34" s="139"/>
      <c r="H34" s="109"/>
      <c r="I34" s="30"/>
      <c r="J34" s="139">
        <v>13693</v>
      </c>
      <c r="K34" s="109"/>
      <c r="L34" s="30"/>
      <c r="M34" s="139"/>
      <c r="N34" s="109"/>
      <c r="O34" s="30"/>
      <c r="P34" s="139"/>
      <c r="Q34" s="30"/>
      <c r="R34" s="30"/>
      <c r="S34" s="139"/>
      <c r="T34" s="30"/>
      <c r="U34" s="30"/>
      <c r="V34" s="139">
        <v>31119</v>
      </c>
      <c r="W34" s="30"/>
      <c r="X34" s="30"/>
      <c r="Y34" s="139"/>
      <c r="Z34" s="30"/>
      <c r="AA34" s="30"/>
      <c r="AB34" s="139"/>
      <c r="AC34" s="30"/>
      <c r="AD34" s="30"/>
      <c r="AE34" s="139">
        <v>26476</v>
      </c>
      <c r="AF34" s="167"/>
      <c r="AG34" s="169"/>
      <c r="AH34" s="173"/>
      <c r="AI34" s="109">
        <v>135207</v>
      </c>
      <c r="AJ34" s="169">
        <v>173681</v>
      </c>
      <c r="AK34" s="139"/>
      <c r="AL34" s="139"/>
      <c r="AM34" s="167"/>
      <c r="AN34" s="172"/>
      <c r="AO34" s="169">
        <v>476085</v>
      </c>
      <c r="AP34" s="167"/>
      <c r="AQ34" s="169"/>
      <c r="AR34" s="139">
        <v>272235</v>
      </c>
      <c r="AS34" s="139">
        <v>315163</v>
      </c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</row>
    <row r="35" spans="1:122" ht="15" x14ac:dyDescent="0.3">
      <c r="A35" s="41" t="s">
        <v>54</v>
      </c>
      <c r="B35" s="109"/>
      <c r="C35" s="109"/>
      <c r="D35" s="140">
        <f>D32+D33+D34</f>
        <v>1372338</v>
      </c>
      <c r="E35" s="109"/>
      <c r="F35" s="109"/>
      <c r="G35" s="140">
        <f t="shared" ref="G35:BN35" si="355">SUM(G32:G34)</f>
        <v>2190926</v>
      </c>
      <c r="H35" s="109">
        <f t="shared" si="355"/>
        <v>0</v>
      </c>
      <c r="I35" s="30">
        <f t="shared" si="355"/>
        <v>0</v>
      </c>
      <c r="J35" s="140">
        <f t="shared" si="355"/>
        <v>5514625</v>
      </c>
      <c r="K35" s="109">
        <f t="shared" si="355"/>
        <v>0</v>
      </c>
      <c r="L35" s="30">
        <f t="shared" si="355"/>
        <v>0</v>
      </c>
      <c r="M35" s="140">
        <f>SUM(M32:M34)</f>
        <v>10858322</v>
      </c>
      <c r="N35" s="109">
        <f t="shared" si="355"/>
        <v>0</v>
      </c>
      <c r="O35" s="30">
        <f t="shared" si="355"/>
        <v>0</v>
      </c>
      <c r="P35" s="140">
        <f t="shared" si="355"/>
        <v>10858322</v>
      </c>
      <c r="Q35" s="30">
        <f t="shared" si="355"/>
        <v>0</v>
      </c>
      <c r="R35" s="30">
        <f t="shared" si="355"/>
        <v>0</v>
      </c>
      <c r="S35" s="140">
        <f t="shared" si="355"/>
        <v>13336812</v>
      </c>
      <c r="T35" s="30">
        <f t="shared" si="355"/>
        <v>0</v>
      </c>
      <c r="U35" s="30">
        <f t="shared" si="355"/>
        <v>0</v>
      </c>
      <c r="V35" s="140">
        <f t="shared" si="355"/>
        <v>12872230</v>
      </c>
      <c r="W35" s="30">
        <f t="shared" si="355"/>
        <v>0</v>
      </c>
      <c r="X35" s="30">
        <f t="shared" si="355"/>
        <v>0</v>
      </c>
      <c r="Y35" s="140">
        <f t="shared" si="355"/>
        <v>12841111</v>
      </c>
      <c r="Z35" s="30">
        <f t="shared" si="355"/>
        <v>0</v>
      </c>
      <c r="AA35" s="30">
        <f t="shared" si="355"/>
        <v>0</v>
      </c>
      <c r="AB35" s="140">
        <f t="shared" si="355"/>
        <v>52951944</v>
      </c>
      <c r="AC35" s="30">
        <f t="shared" si="355"/>
        <v>0</v>
      </c>
      <c r="AD35" s="30">
        <f t="shared" si="355"/>
        <v>0</v>
      </c>
      <c r="AE35" s="140">
        <f t="shared" si="355"/>
        <v>25000000</v>
      </c>
      <c r="AF35" s="168"/>
      <c r="AG35" s="170">
        <f t="shared" si="355"/>
        <v>15898958</v>
      </c>
      <c r="AH35" s="168">
        <f t="shared" si="355"/>
        <v>11254844</v>
      </c>
      <c r="AI35" s="174">
        <f t="shared" si="355"/>
        <v>11500941</v>
      </c>
      <c r="AJ35" s="170">
        <f>SUM(AJ32:AJ34)</f>
        <v>9244215</v>
      </c>
      <c r="AK35" s="140">
        <f t="shared" si="355"/>
        <v>5170991</v>
      </c>
      <c r="AL35" s="140">
        <f t="shared" si="355"/>
        <v>961930</v>
      </c>
      <c r="AM35" s="168">
        <f>SUM(AM32:AM34)</f>
        <v>4022616</v>
      </c>
      <c r="AN35" s="174">
        <f>SUM(AN32:AN34)</f>
        <v>3983204</v>
      </c>
      <c r="AO35" s="170">
        <f>SUM(AO32:AO34)</f>
        <v>1994180</v>
      </c>
      <c r="AP35" s="168">
        <f>SUM(AP32:AP34)</f>
        <v>2171138</v>
      </c>
      <c r="AQ35" s="170">
        <f>SUM(AQ32:AQ34)</f>
        <v>4029924</v>
      </c>
      <c r="AR35" s="140">
        <f t="shared" si="355"/>
        <v>4011770</v>
      </c>
      <c r="AS35" s="140">
        <f t="shared" si="355"/>
        <v>3892683</v>
      </c>
      <c r="AT35" s="30">
        <f t="shared" si="355"/>
        <v>0</v>
      </c>
      <c r="AU35" s="30">
        <f t="shared" si="355"/>
        <v>0</v>
      </c>
      <c r="AV35" s="30">
        <f t="shared" si="355"/>
        <v>0</v>
      </c>
      <c r="AW35" s="30">
        <f t="shared" si="355"/>
        <v>0</v>
      </c>
      <c r="AX35" s="30">
        <f t="shared" si="355"/>
        <v>0</v>
      </c>
      <c r="AY35" s="30">
        <f t="shared" si="355"/>
        <v>0</v>
      </c>
      <c r="AZ35" s="30">
        <f t="shared" si="355"/>
        <v>0</v>
      </c>
      <c r="BA35" s="30">
        <f t="shared" si="355"/>
        <v>0</v>
      </c>
      <c r="BB35" s="30">
        <f t="shared" si="355"/>
        <v>0</v>
      </c>
      <c r="BC35" s="30">
        <f t="shared" si="355"/>
        <v>0</v>
      </c>
      <c r="BD35" s="30">
        <f t="shared" si="355"/>
        <v>0</v>
      </c>
      <c r="BE35" s="30">
        <f t="shared" si="355"/>
        <v>0</v>
      </c>
      <c r="BF35" s="30">
        <f t="shared" si="355"/>
        <v>0</v>
      </c>
      <c r="BG35" s="30">
        <f t="shared" si="355"/>
        <v>0</v>
      </c>
      <c r="BH35" s="30">
        <f t="shared" si="355"/>
        <v>0</v>
      </c>
      <c r="BI35" s="30">
        <f t="shared" si="355"/>
        <v>0</v>
      </c>
      <c r="BJ35" s="30">
        <f t="shared" si="355"/>
        <v>0</v>
      </c>
      <c r="BK35" s="30">
        <f t="shared" si="355"/>
        <v>0</v>
      </c>
      <c r="BL35" s="30">
        <f t="shared" si="355"/>
        <v>0</v>
      </c>
      <c r="BM35" s="30">
        <f t="shared" si="355"/>
        <v>0</v>
      </c>
      <c r="BN35" s="30">
        <f t="shared" si="355"/>
        <v>0</v>
      </c>
      <c r="BO35" s="30">
        <f t="shared" ref="BO35:CH35" si="356">SUM(BO32:BO34)</f>
        <v>0</v>
      </c>
      <c r="BP35" s="30">
        <f t="shared" si="356"/>
        <v>0</v>
      </c>
      <c r="BQ35" s="30">
        <f t="shared" si="356"/>
        <v>0</v>
      </c>
      <c r="BR35" s="30">
        <f t="shared" si="356"/>
        <v>0</v>
      </c>
      <c r="BS35" s="30">
        <f t="shared" si="356"/>
        <v>0</v>
      </c>
      <c r="BT35" s="30">
        <f t="shared" si="356"/>
        <v>0</v>
      </c>
      <c r="BU35" s="30">
        <f t="shared" si="356"/>
        <v>0</v>
      </c>
      <c r="BV35" s="30">
        <f t="shared" si="356"/>
        <v>0</v>
      </c>
      <c r="BW35" s="30">
        <f t="shared" si="356"/>
        <v>0</v>
      </c>
      <c r="BX35" s="30">
        <f t="shared" si="356"/>
        <v>0</v>
      </c>
      <c r="BY35" s="30">
        <f t="shared" si="356"/>
        <v>0</v>
      </c>
      <c r="BZ35" s="30">
        <f t="shared" si="356"/>
        <v>0</v>
      </c>
      <c r="CA35" s="30">
        <f t="shared" si="356"/>
        <v>0</v>
      </c>
      <c r="CB35" s="30">
        <f t="shared" si="356"/>
        <v>0</v>
      </c>
      <c r="CC35" s="30">
        <f t="shared" si="356"/>
        <v>0</v>
      </c>
      <c r="CD35" s="30">
        <f t="shared" si="356"/>
        <v>0</v>
      </c>
      <c r="CE35" s="30">
        <f t="shared" si="356"/>
        <v>0</v>
      </c>
      <c r="CF35" s="30">
        <f t="shared" si="356"/>
        <v>0</v>
      </c>
      <c r="CG35" s="30">
        <f t="shared" si="356"/>
        <v>0</v>
      </c>
      <c r="CH35" s="30">
        <f t="shared" si="356"/>
        <v>0</v>
      </c>
      <c r="CI35" s="30">
        <f t="shared" ref="CI35:CT35" si="357">SUM(CI32:CI34)</f>
        <v>0</v>
      </c>
      <c r="CJ35" s="30">
        <f t="shared" si="357"/>
        <v>0</v>
      </c>
      <c r="CK35" s="30">
        <f t="shared" si="357"/>
        <v>0</v>
      </c>
      <c r="CL35" s="30">
        <f t="shared" si="357"/>
        <v>0</v>
      </c>
      <c r="CM35" s="30">
        <f t="shared" si="357"/>
        <v>0</v>
      </c>
      <c r="CN35" s="30">
        <f t="shared" si="357"/>
        <v>0</v>
      </c>
      <c r="CO35" s="30">
        <f t="shared" si="357"/>
        <v>0</v>
      </c>
      <c r="CP35" s="30">
        <f t="shared" si="357"/>
        <v>0</v>
      </c>
      <c r="CQ35" s="30">
        <f t="shared" si="357"/>
        <v>0</v>
      </c>
      <c r="CR35" s="30">
        <f t="shared" si="357"/>
        <v>0</v>
      </c>
      <c r="CS35" s="30">
        <f t="shared" si="357"/>
        <v>0</v>
      </c>
      <c r="CT35" s="30">
        <f t="shared" si="357"/>
        <v>0</v>
      </c>
      <c r="CU35" s="30">
        <f t="shared" ref="CU35:DR35" si="358">SUM(CU32:CU34)</f>
        <v>0</v>
      </c>
      <c r="CV35" s="30">
        <f t="shared" si="358"/>
        <v>0</v>
      </c>
      <c r="CW35" s="30">
        <f t="shared" si="358"/>
        <v>0</v>
      </c>
      <c r="CX35" s="30">
        <f t="shared" si="358"/>
        <v>0</v>
      </c>
      <c r="CY35" s="30">
        <f t="shared" si="358"/>
        <v>0</v>
      </c>
      <c r="CZ35" s="30">
        <f t="shared" si="358"/>
        <v>0</v>
      </c>
      <c r="DA35" s="30">
        <f t="shared" si="358"/>
        <v>0</v>
      </c>
      <c r="DB35" s="30">
        <f t="shared" si="358"/>
        <v>0</v>
      </c>
      <c r="DC35" s="30">
        <f t="shared" si="358"/>
        <v>0</v>
      </c>
      <c r="DD35" s="30">
        <f t="shared" si="358"/>
        <v>0</v>
      </c>
      <c r="DE35" s="30">
        <f t="shared" si="358"/>
        <v>0</v>
      </c>
      <c r="DF35" s="30">
        <f t="shared" si="358"/>
        <v>0</v>
      </c>
      <c r="DG35" s="30">
        <f t="shared" si="358"/>
        <v>0</v>
      </c>
      <c r="DH35" s="30">
        <f t="shared" si="358"/>
        <v>0</v>
      </c>
      <c r="DI35" s="30">
        <f t="shared" si="358"/>
        <v>0</v>
      </c>
      <c r="DJ35" s="30">
        <f t="shared" si="358"/>
        <v>0</v>
      </c>
      <c r="DK35" s="30">
        <f t="shared" si="358"/>
        <v>0</v>
      </c>
      <c r="DL35" s="30">
        <f t="shared" si="358"/>
        <v>0</v>
      </c>
      <c r="DM35" s="30">
        <f t="shared" si="358"/>
        <v>0</v>
      </c>
      <c r="DN35" s="30">
        <f t="shared" si="358"/>
        <v>0</v>
      </c>
      <c r="DO35" s="30">
        <f t="shared" si="358"/>
        <v>0</v>
      </c>
      <c r="DP35" s="30">
        <f t="shared" si="358"/>
        <v>0</v>
      </c>
      <c r="DQ35" s="30">
        <f t="shared" si="358"/>
        <v>0</v>
      </c>
      <c r="DR35" s="30">
        <f t="shared" si="358"/>
        <v>0</v>
      </c>
    </row>
    <row r="37" spans="1:122" x14ac:dyDescent="0.25">
      <c r="AQ37" s="177"/>
    </row>
    <row r="39" spans="1:122" x14ac:dyDescent="0.25">
      <c r="AM39" s="176"/>
      <c r="AN39" s="176"/>
      <c r="AO39" s="176"/>
      <c r="AP39" s="176"/>
    </row>
    <row r="40" spans="1:122" x14ac:dyDescent="0.25">
      <c r="AR40" s="177"/>
    </row>
    <row r="41" spans="1:122" x14ac:dyDescent="0.25">
      <c r="AO41" s="177"/>
      <c r="AS41" s="177"/>
    </row>
    <row r="42" spans="1:122" x14ac:dyDescent="0.25">
      <c r="AM42" s="177"/>
      <c r="AN42" s="177"/>
      <c r="AP42" s="177"/>
      <c r="AQ42" s="177"/>
    </row>
  </sheetData>
  <mergeCells count="4">
    <mergeCell ref="AF30:AG30"/>
    <mergeCell ref="AH30:AJ30"/>
    <mergeCell ref="AM30:AO30"/>
    <mergeCell ref="AP30:AQ30"/>
  </mergeCells>
  <phoneticPr fontId="0" type="noConversion"/>
  <pageMargins left="0.75" right="0.75" top="1" bottom="1" header="0.5" footer="0.5"/>
  <pageSetup paperSize="9" orientation="portrait" horizontalDpi="1200" verticalDpi="1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X86"/>
  <sheetViews>
    <sheetView showGridLines="0" topLeftCell="G1" workbookViewId="0">
      <selection activeCell="L96" sqref="L96"/>
    </sheetView>
  </sheetViews>
  <sheetFormatPr defaultColWidth="8" defaultRowHeight="12.75" x14ac:dyDescent="0.2"/>
  <cols>
    <col min="1" max="1" width="29" style="2" bestFit="1" customWidth="1"/>
    <col min="2" max="2" width="12.28515625" style="2" bestFit="1" customWidth="1"/>
    <col min="3" max="3" width="12.42578125" style="2" customWidth="1"/>
    <col min="4" max="4" width="14.140625" style="2" bestFit="1" customWidth="1"/>
    <col min="5" max="6" width="12.28515625" style="2" bestFit="1" customWidth="1"/>
    <col min="7" max="7" width="13.7109375" style="2" customWidth="1"/>
    <col min="8" max="8" width="13.7109375" style="2" bestFit="1" customWidth="1"/>
    <col min="9" max="11" width="12.28515625" style="2" bestFit="1" customWidth="1"/>
    <col min="12" max="28" width="10.85546875" style="2" bestFit="1" customWidth="1"/>
    <col min="29" max="82" width="9.5703125" style="2" bestFit="1" customWidth="1"/>
    <col min="83" max="101" width="10.85546875" style="2" bestFit="1" customWidth="1"/>
    <col min="102" max="16384" width="8" style="2"/>
  </cols>
  <sheetData>
    <row r="1" spans="1:7" s="10" customFormat="1" ht="15" x14ac:dyDescent="0.25">
      <c r="A1" s="9" t="s">
        <v>0</v>
      </c>
      <c r="C1" s="9" t="str">
        <f>Disbursement!B1</f>
        <v>Meghna Cement Mills Limited (MCML)</v>
      </c>
    </row>
    <row r="2" spans="1:7" s="10" customFormat="1" ht="15" x14ac:dyDescent="0.25">
      <c r="A2" s="9"/>
    </row>
    <row r="3" spans="1:7" s="11" customFormat="1" x14ac:dyDescent="0.2">
      <c r="A3" s="11" t="s">
        <v>60</v>
      </c>
      <c r="B3" s="2"/>
      <c r="C3" s="71">
        <v>42899</v>
      </c>
      <c r="E3" s="126"/>
    </row>
    <row r="5" spans="1:7" x14ac:dyDescent="0.2">
      <c r="A5" s="11" t="s">
        <v>2</v>
      </c>
      <c r="C5" s="72">
        <v>1270000000</v>
      </c>
      <c r="D5" s="11"/>
      <c r="G5" s="127" t="s">
        <v>69</v>
      </c>
    </row>
    <row r="6" spans="1:7" x14ac:dyDescent="0.2">
      <c r="A6" s="11"/>
    </row>
    <row r="7" spans="1:7" x14ac:dyDescent="0.2">
      <c r="A7" s="11" t="s">
        <v>57</v>
      </c>
      <c r="C7" s="71" t="s">
        <v>73</v>
      </c>
    </row>
    <row r="8" spans="1:7" x14ac:dyDescent="0.2">
      <c r="A8" s="11" t="s">
        <v>3</v>
      </c>
      <c r="C8" s="73">
        <v>7.0000000000000007E-2</v>
      </c>
    </row>
    <row r="9" spans="1:7" x14ac:dyDescent="0.2">
      <c r="A9" s="11" t="s">
        <v>55</v>
      </c>
      <c r="C9" s="118">
        <v>120</v>
      </c>
      <c r="D9" s="2" t="s">
        <v>56</v>
      </c>
      <c r="E9" s="115">
        <f>EDATE(C16,C9)</f>
        <v>46587</v>
      </c>
    </row>
    <row r="10" spans="1:7" x14ac:dyDescent="0.2">
      <c r="A10" s="11" t="s">
        <v>63</v>
      </c>
      <c r="C10" s="118">
        <v>24</v>
      </c>
      <c r="D10" s="2" t="s">
        <v>56</v>
      </c>
      <c r="E10" s="115">
        <f>EDATE(C16,C10)</f>
        <v>43665</v>
      </c>
    </row>
    <row r="11" spans="1:7" x14ac:dyDescent="0.2">
      <c r="A11" s="11" t="s">
        <v>22</v>
      </c>
      <c r="C11" s="120" t="s">
        <v>65</v>
      </c>
    </row>
    <row r="12" spans="1:7" x14ac:dyDescent="0.2">
      <c r="A12" s="60" t="s">
        <v>46</v>
      </c>
      <c r="C12" s="74">
        <v>360</v>
      </c>
      <c r="D12" s="52" t="s">
        <v>47</v>
      </c>
    </row>
    <row r="13" spans="1:7" x14ac:dyDescent="0.2">
      <c r="A13" s="60" t="s">
        <v>48</v>
      </c>
      <c r="B13" s="52"/>
      <c r="C13" s="75">
        <v>32</v>
      </c>
    </row>
    <row r="14" spans="1:7" x14ac:dyDescent="0.2">
      <c r="A14" s="60"/>
      <c r="B14" s="57"/>
      <c r="C14" s="59"/>
    </row>
    <row r="15" spans="1:7" x14ac:dyDescent="0.2">
      <c r="A15" s="60" t="s">
        <v>49</v>
      </c>
      <c r="B15" s="57"/>
      <c r="C15" s="144"/>
      <c r="D15" s="144"/>
      <c r="F15" s="115"/>
    </row>
    <row r="16" spans="1:7" x14ac:dyDescent="0.2">
      <c r="A16" s="61"/>
      <c r="B16" s="62"/>
      <c r="C16" s="62">
        <f>Disbursement!B8</f>
        <v>42935</v>
      </c>
      <c r="D16" s="62">
        <f>Disbursement!B9</f>
        <v>43151</v>
      </c>
      <c r="E16" s="62">
        <f>Disbursement!B10</f>
        <v>43382</v>
      </c>
      <c r="F16" s="62"/>
      <c r="G16" s="115"/>
    </row>
    <row r="17" spans="1:128" x14ac:dyDescent="0.2">
      <c r="A17" s="63"/>
      <c r="B17" s="64"/>
      <c r="C17" s="67">
        <f>Disbursement!C8</f>
        <v>123820000</v>
      </c>
      <c r="D17" s="67">
        <f>Disbursement!C9</f>
        <v>950080000</v>
      </c>
      <c r="E17" s="67">
        <f>Disbursement!C10</f>
        <v>196100000</v>
      </c>
      <c r="F17" s="67"/>
    </row>
    <row r="18" spans="1:128" x14ac:dyDescent="0.2">
      <c r="A18" s="65"/>
      <c r="B18" s="66"/>
      <c r="C18" s="69">
        <f>C17</f>
        <v>123820000</v>
      </c>
      <c r="D18" s="69">
        <f>D17+C18</f>
        <v>1073900000</v>
      </c>
      <c r="E18" s="69">
        <f>E17+D18</f>
        <v>1270000000</v>
      </c>
      <c r="F18" s="69"/>
    </row>
    <row r="19" spans="1:128" x14ac:dyDescent="0.2">
      <c r="A19" s="58"/>
      <c r="B19" s="57"/>
      <c r="C19" s="59"/>
    </row>
    <row r="20" spans="1:128" x14ac:dyDescent="0.2">
      <c r="A20" s="11"/>
    </row>
    <row r="21" spans="1:128" x14ac:dyDescent="0.2">
      <c r="A21" s="13" t="s">
        <v>58</v>
      </c>
      <c r="B21" s="110">
        <f>B26</f>
        <v>42992</v>
      </c>
      <c r="C21" s="110">
        <f t="shared" ref="C21:BN21" si="0">C26</f>
        <v>43083</v>
      </c>
      <c r="D21" s="110">
        <f t="shared" si="0"/>
        <v>43174</v>
      </c>
      <c r="E21" s="110">
        <f t="shared" si="0"/>
        <v>43265</v>
      </c>
      <c r="F21" s="110">
        <f t="shared" si="0"/>
        <v>43356</v>
      </c>
      <c r="G21" s="110">
        <f t="shared" si="0"/>
        <v>43447</v>
      </c>
      <c r="H21" s="110">
        <f t="shared" si="0"/>
        <v>43538</v>
      </c>
      <c r="I21" s="110">
        <f t="shared" si="0"/>
        <v>43629</v>
      </c>
      <c r="J21" s="110">
        <f t="shared" si="0"/>
        <v>43723</v>
      </c>
      <c r="K21" s="110">
        <f t="shared" si="0"/>
        <v>43814</v>
      </c>
      <c r="L21" s="110">
        <f t="shared" si="0"/>
        <v>43845</v>
      </c>
      <c r="M21" s="110">
        <f t="shared" si="0"/>
        <v>43874</v>
      </c>
      <c r="N21" s="110">
        <f t="shared" si="0"/>
        <v>43905</v>
      </c>
      <c r="O21" s="110">
        <f t="shared" si="0"/>
        <v>43936</v>
      </c>
      <c r="P21" s="110">
        <f t="shared" si="0"/>
        <v>43965</v>
      </c>
      <c r="Q21" s="110">
        <f t="shared" si="0"/>
        <v>43997</v>
      </c>
      <c r="R21" s="110">
        <f t="shared" si="0"/>
        <v>44027</v>
      </c>
      <c r="S21" s="110">
        <f t="shared" si="0"/>
        <v>44056</v>
      </c>
      <c r="T21" s="110">
        <f t="shared" si="0"/>
        <v>44089</v>
      </c>
      <c r="U21" s="110">
        <f t="shared" si="0"/>
        <v>44119</v>
      </c>
      <c r="V21" s="110">
        <f t="shared" si="0"/>
        <v>44150</v>
      </c>
      <c r="W21" s="110">
        <f t="shared" si="0"/>
        <v>44180</v>
      </c>
      <c r="X21" s="110">
        <f t="shared" si="0"/>
        <v>44211</v>
      </c>
      <c r="Y21" s="110">
        <f t="shared" si="0"/>
        <v>44242</v>
      </c>
      <c r="Z21" s="110">
        <f t="shared" si="0"/>
        <v>44270</v>
      </c>
      <c r="AA21" s="110">
        <f t="shared" si="0"/>
        <v>44301</v>
      </c>
      <c r="AB21" s="110">
        <f t="shared" si="0"/>
        <v>44331</v>
      </c>
      <c r="AC21" s="110">
        <f t="shared" si="0"/>
        <v>44362</v>
      </c>
      <c r="AD21" s="110">
        <f t="shared" si="0"/>
        <v>44392</v>
      </c>
      <c r="AE21" s="110">
        <f t="shared" si="0"/>
        <v>44423</v>
      </c>
      <c r="AF21" s="110">
        <f t="shared" si="0"/>
        <v>44454</v>
      </c>
      <c r="AG21" s="110">
        <f t="shared" si="0"/>
        <v>44484</v>
      </c>
      <c r="AH21" s="110">
        <f t="shared" si="0"/>
        <v>44515</v>
      </c>
      <c r="AI21" s="110">
        <f t="shared" si="0"/>
        <v>44545</v>
      </c>
      <c r="AJ21" s="110">
        <f t="shared" si="0"/>
        <v>44576</v>
      </c>
      <c r="AK21" s="110">
        <f t="shared" si="0"/>
        <v>44607</v>
      </c>
      <c r="AL21" s="110">
        <f t="shared" si="0"/>
        <v>44635</v>
      </c>
      <c r="AM21" s="110">
        <f t="shared" si="0"/>
        <v>44666</v>
      </c>
      <c r="AN21" s="110">
        <f t="shared" si="0"/>
        <v>44696</v>
      </c>
      <c r="AO21" s="110">
        <f t="shared" si="0"/>
        <v>44727</v>
      </c>
      <c r="AP21" s="110">
        <f t="shared" si="0"/>
        <v>44757</v>
      </c>
      <c r="AQ21" s="110">
        <f t="shared" si="0"/>
        <v>44788</v>
      </c>
      <c r="AR21" s="110">
        <f t="shared" si="0"/>
        <v>44819</v>
      </c>
      <c r="AS21" s="110">
        <f t="shared" si="0"/>
        <v>44849</v>
      </c>
      <c r="AT21" s="110">
        <f t="shared" si="0"/>
        <v>44880</v>
      </c>
      <c r="AU21" s="110">
        <f t="shared" si="0"/>
        <v>44910</v>
      </c>
      <c r="AV21" s="110">
        <f t="shared" si="0"/>
        <v>44941</v>
      </c>
      <c r="AW21" s="110">
        <f t="shared" si="0"/>
        <v>44972</v>
      </c>
      <c r="AX21" s="110">
        <f t="shared" si="0"/>
        <v>45000</v>
      </c>
      <c r="AY21" s="110">
        <f t="shared" si="0"/>
        <v>45031</v>
      </c>
      <c r="AZ21" s="110">
        <f t="shared" si="0"/>
        <v>45061</v>
      </c>
      <c r="BA21" s="110">
        <f t="shared" si="0"/>
        <v>45092</v>
      </c>
      <c r="BB21" s="110">
        <f t="shared" si="0"/>
        <v>45122</v>
      </c>
      <c r="BC21" s="110">
        <f t="shared" si="0"/>
        <v>45153</v>
      </c>
      <c r="BD21" s="110">
        <f t="shared" si="0"/>
        <v>45184</v>
      </c>
      <c r="BE21" s="110">
        <f t="shared" si="0"/>
        <v>45214</v>
      </c>
      <c r="BF21" s="110">
        <f t="shared" si="0"/>
        <v>45245</v>
      </c>
      <c r="BG21" s="110">
        <f t="shared" si="0"/>
        <v>45275</v>
      </c>
      <c r="BH21" s="110">
        <f t="shared" si="0"/>
        <v>45306</v>
      </c>
      <c r="BI21" s="110">
        <f t="shared" si="0"/>
        <v>45337</v>
      </c>
      <c r="BJ21" s="110">
        <f t="shared" si="0"/>
        <v>45366</v>
      </c>
      <c r="BK21" s="110">
        <f t="shared" si="0"/>
        <v>45397</v>
      </c>
      <c r="BL21" s="110">
        <f t="shared" si="0"/>
        <v>45427</v>
      </c>
      <c r="BM21" s="110">
        <f t="shared" si="0"/>
        <v>45458</v>
      </c>
      <c r="BN21" s="110">
        <f t="shared" si="0"/>
        <v>45488</v>
      </c>
      <c r="BO21" s="110">
        <f t="shared" ref="BO21:CW21" si="1">BO26</f>
        <v>45519</v>
      </c>
      <c r="BP21" s="110">
        <f t="shared" si="1"/>
        <v>45550</v>
      </c>
      <c r="BQ21" s="110">
        <f t="shared" si="1"/>
        <v>45580</v>
      </c>
      <c r="BR21" s="110">
        <f t="shared" si="1"/>
        <v>45611</v>
      </c>
      <c r="BS21" s="110">
        <f t="shared" si="1"/>
        <v>45641</v>
      </c>
      <c r="BT21" s="110">
        <f t="shared" si="1"/>
        <v>45672</v>
      </c>
      <c r="BU21" s="110">
        <f t="shared" si="1"/>
        <v>45703</v>
      </c>
      <c r="BV21" s="110">
        <f t="shared" si="1"/>
        <v>45731</v>
      </c>
      <c r="BW21" s="110">
        <f t="shared" si="1"/>
        <v>45762</v>
      </c>
      <c r="BX21" s="110">
        <f t="shared" si="1"/>
        <v>45792</v>
      </c>
      <c r="BY21" s="110">
        <f t="shared" si="1"/>
        <v>45823</v>
      </c>
      <c r="BZ21" s="110">
        <f t="shared" si="1"/>
        <v>45853</v>
      </c>
      <c r="CA21" s="110">
        <f t="shared" si="1"/>
        <v>45884</v>
      </c>
      <c r="CB21" s="110">
        <f t="shared" si="1"/>
        <v>45915</v>
      </c>
      <c r="CC21" s="110">
        <f t="shared" si="1"/>
        <v>45945</v>
      </c>
      <c r="CD21" s="110">
        <f t="shared" si="1"/>
        <v>45976</v>
      </c>
      <c r="CE21" s="110">
        <f t="shared" si="1"/>
        <v>46006</v>
      </c>
      <c r="CF21" s="110">
        <f t="shared" si="1"/>
        <v>46037</v>
      </c>
      <c r="CG21" s="110">
        <f t="shared" si="1"/>
        <v>46068</v>
      </c>
      <c r="CH21" s="110">
        <f t="shared" si="1"/>
        <v>46096</v>
      </c>
      <c r="CI21" s="110">
        <f t="shared" si="1"/>
        <v>46127</v>
      </c>
      <c r="CJ21" s="110">
        <f t="shared" si="1"/>
        <v>46157</v>
      </c>
      <c r="CK21" s="110">
        <f t="shared" si="1"/>
        <v>46188</v>
      </c>
      <c r="CL21" s="110">
        <f t="shared" si="1"/>
        <v>46218</v>
      </c>
      <c r="CM21" s="110">
        <f t="shared" si="1"/>
        <v>46249</v>
      </c>
      <c r="CN21" s="110">
        <f t="shared" si="1"/>
        <v>46280</v>
      </c>
      <c r="CO21" s="110">
        <f t="shared" si="1"/>
        <v>46310</v>
      </c>
      <c r="CP21" s="110">
        <f t="shared" si="1"/>
        <v>46341</v>
      </c>
      <c r="CQ21" s="110">
        <f t="shared" si="1"/>
        <v>46371</v>
      </c>
      <c r="CR21" s="110">
        <f t="shared" si="1"/>
        <v>46402</v>
      </c>
      <c r="CS21" s="110">
        <f t="shared" si="1"/>
        <v>46433</v>
      </c>
      <c r="CT21" s="110">
        <f t="shared" si="1"/>
        <v>46461</v>
      </c>
      <c r="CU21" s="110">
        <f t="shared" si="1"/>
        <v>46492</v>
      </c>
      <c r="CV21" s="110">
        <f t="shared" si="1"/>
        <v>46522</v>
      </c>
      <c r="CW21" s="110">
        <f t="shared" si="1"/>
        <v>46553</v>
      </c>
    </row>
    <row r="22" spans="1:128" ht="13.5" customHeight="1" thickBot="1" x14ac:dyDescent="0.3">
      <c r="A22" s="145" t="s">
        <v>75</v>
      </c>
      <c r="B22" s="146">
        <f>(B28*$C$12)/(B27*(B26-C16))</f>
        <v>7.0000000000000007E-2</v>
      </c>
      <c r="C22" s="146">
        <f>(C28*$C$12)/(C27*(C26-B26))</f>
        <v>7.0000000000000007E-2</v>
      </c>
      <c r="D22" s="146">
        <v>6.6541100000000006E-2</v>
      </c>
      <c r="E22" s="146">
        <f t="shared" ref="E22:I22" si="2">(E28*$C$12)/(E27*(E26-D26))</f>
        <v>0.04</v>
      </c>
      <c r="F22" s="146">
        <f t="shared" si="2"/>
        <v>0.04</v>
      </c>
      <c r="G22" s="146">
        <f t="shared" si="2"/>
        <v>4.1544094488188979E-2</v>
      </c>
      <c r="H22" s="146">
        <f t="shared" si="2"/>
        <v>0.04</v>
      </c>
      <c r="I22" s="146">
        <f t="shared" si="2"/>
        <v>0.04</v>
      </c>
      <c r="J22" s="146">
        <v>0.04</v>
      </c>
      <c r="K22" s="146">
        <v>0.04</v>
      </c>
      <c r="L22" s="146">
        <v>0.04</v>
      </c>
      <c r="M22" s="146">
        <v>0.04</v>
      </c>
      <c r="N22" s="146">
        <v>0.04</v>
      </c>
      <c r="O22" s="146">
        <v>0.04</v>
      </c>
      <c r="P22" s="146">
        <v>0.04</v>
      </c>
      <c r="Q22" s="146">
        <v>0.04</v>
      </c>
      <c r="R22" s="146">
        <v>0.04</v>
      </c>
      <c r="S22" s="146">
        <v>0.04</v>
      </c>
      <c r="T22" s="146">
        <v>0.04</v>
      </c>
      <c r="U22" s="146">
        <v>0.04</v>
      </c>
      <c r="V22" s="146">
        <v>0.04</v>
      </c>
      <c r="W22" s="146">
        <v>0.04</v>
      </c>
      <c r="X22" s="146">
        <v>0.04</v>
      </c>
      <c r="Y22" s="146">
        <v>0.04</v>
      </c>
      <c r="Z22" s="146">
        <v>0.04</v>
      </c>
      <c r="AA22" s="146">
        <v>0.04</v>
      </c>
      <c r="AB22" s="146">
        <v>0.04</v>
      </c>
      <c r="AC22" s="146">
        <v>0.04</v>
      </c>
      <c r="AD22" s="146">
        <v>0.04</v>
      </c>
      <c r="AE22" s="146">
        <v>0.04</v>
      </c>
      <c r="AF22" s="146">
        <v>0.04</v>
      </c>
      <c r="AG22" s="146">
        <v>0.04</v>
      </c>
      <c r="AH22" s="146">
        <v>0.04</v>
      </c>
      <c r="AI22" s="146">
        <v>0.04</v>
      </c>
      <c r="AJ22" s="146">
        <v>0.04</v>
      </c>
      <c r="AK22" s="146">
        <v>0.04</v>
      </c>
      <c r="AL22" s="146">
        <v>0.04</v>
      </c>
      <c r="AM22" s="146">
        <v>0.04</v>
      </c>
      <c r="AN22" s="146">
        <v>0.04</v>
      </c>
      <c r="AO22" s="146">
        <v>0.04</v>
      </c>
      <c r="AP22" s="146">
        <v>0.04</v>
      </c>
      <c r="AQ22" s="146">
        <v>0.04</v>
      </c>
      <c r="AR22" s="146">
        <v>0.04</v>
      </c>
      <c r="AS22" s="146">
        <v>0.04</v>
      </c>
      <c r="AT22" s="146">
        <v>0.04</v>
      </c>
      <c r="AU22" s="146">
        <v>0.04</v>
      </c>
      <c r="AV22" s="146">
        <v>0.04</v>
      </c>
      <c r="AW22" s="146">
        <v>0.04</v>
      </c>
      <c r="AX22" s="146">
        <v>0.04</v>
      </c>
      <c r="AY22" s="146">
        <v>0.04</v>
      </c>
      <c r="AZ22" s="146">
        <v>0.04</v>
      </c>
      <c r="BA22" s="146">
        <v>0.04</v>
      </c>
      <c r="BB22" s="146">
        <v>0.04</v>
      </c>
      <c r="BC22" s="146">
        <v>0.04</v>
      </c>
      <c r="BD22" s="146">
        <v>0.04</v>
      </c>
      <c r="BE22" s="146">
        <v>0.04</v>
      </c>
      <c r="BF22" s="146">
        <v>0.04</v>
      </c>
      <c r="BG22" s="146">
        <v>0.04</v>
      </c>
      <c r="BH22" s="146">
        <v>0.04</v>
      </c>
      <c r="BI22" s="146">
        <v>0.04</v>
      </c>
      <c r="BJ22" s="146">
        <v>0.04</v>
      </c>
      <c r="BK22" s="146">
        <v>0.04</v>
      </c>
      <c r="BL22" s="146">
        <v>0.04</v>
      </c>
      <c r="BM22" s="146">
        <v>0.04</v>
      </c>
      <c r="BN22" s="146">
        <v>0.04</v>
      </c>
      <c r="BO22" s="146">
        <v>0.04</v>
      </c>
      <c r="BP22" s="146">
        <v>0.04</v>
      </c>
      <c r="BQ22" s="146">
        <v>0.04</v>
      </c>
      <c r="BR22" s="146">
        <v>0.04</v>
      </c>
      <c r="BS22" s="146">
        <v>0.04</v>
      </c>
      <c r="BT22" s="146">
        <v>0.04</v>
      </c>
      <c r="BU22" s="146">
        <v>0.04</v>
      </c>
      <c r="BV22" s="146">
        <v>0.04</v>
      </c>
      <c r="BW22" s="146">
        <v>0.04</v>
      </c>
      <c r="BX22" s="146">
        <v>0.04</v>
      </c>
      <c r="BY22" s="146">
        <v>0.04</v>
      </c>
      <c r="BZ22" s="146">
        <v>0.04</v>
      </c>
      <c r="CA22" s="146">
        <v>0.04</v>
      </c>
      <c r="CB22" s="146">
        <v>0.04</v>
      </c>
      <c r="CC22" s="146">
        <v>0.04</v>
      </c>
      <c r="CD22" s="146">
        <v>0.04</v>
      </c>
      <c r="CE22" s="146">
        <v>0.04</v>
      </c>
      <c r="CF22" s="146">
        <v>0.04</v>
      </c>
      <c r="CG22" s="146">
        <v>0.04</v>
      </c>
      <c r="CH22" s="146">
        <v>0.04</v>
      </c>
      <c r="CI22" s="146">
        <v>0.04</v>
      </c>
      <c r="CJ22" s="146">
        <v>0.04</v>
      </c>
      <c r="CK22" s="146">
        <v>0.04</v>
      </c>
      <c r="CL22" s="146">
        <v>0.04</v>
      </c>
      <c r="CM22" s="146">
        <v>0.04</v>
      </c>
      <c r="CN22" s="146">
        <v>0.04</v>
      </c>
      <c r="CO22" s="146">
        <v>0.04</v>
      </c>
      <c r="CP22" s="146">
        <v>0.04</v>
      </c>
      <c r="CQ22" s="146">
        <v>0.04</v>
      </c>
      <c r="CR22" s="146">
        <v>0.04</v>
      </c>
      <c r="CS22" s="146">
        <v>0.04</v>
      </c>
      <c r="CT22" s="146">
        <v>0.04</v>
      </c>
      <c r="CU22" s="146">
        <v>0.04</v>
      </c>
      <c r="CV22" s="146">
        <v>0.04</v>
      </c>
      <c r="CW22" s="146">
        <v>0.04</v>
      </c>
    </row>
    <row r="23" spans="1:128" ht="13.5" customHeight="1" x14ac:dyDescent="0.2">
      <c r="A23" s="11"/>
      <c r="B23" s="117"/>
      <c r="C23" s="117"/>
      <c r="D23" s="7"/>
      <c r="E23" s="117"/>
      <c r="F23" s="117"/>
      <c r="G23" s="153">
        <f>D18*(E16-F26)*F22/360+E18*(G26-E16)*4.463228%/360</f>
        <v>13336807.538888888</v>
      </c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</row>
    <row r="24" spans="1:128" x14ac:dyDescent="0.2">
      <c r="A24" s="11" t="s">
        <v>76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128" x14ac:dyDescent="0.2">
      <c r="A25" s="13" t="s">
        <v>10</v>
      </c>
      <c r="B25" s="14"/>
      <c r="C25" s="14"/>
      <c r="D25" s="14"/>
      <c r="E25" s="14"/>
      <c r="F25" s="14"/>
      <c r="G25" s="14"/>
      <c r="H25" s="14"/>
      <c r="I25" s="14"/>
      <c r="J25" s="14">
        <v>1</v>
      </c>
      <c r="K25" s="14">
        <v>2</v>
      </c>
      <c r="L25" s="14">
        <v>1</v>
      </c>
      <c r="M25" s="14">
        <f t="shared" ref="M25:AO25" si="3">L25+1</f>
        <v>2</v>
      </c>
      <c r="N25" s="14">
        <f t="shared" si="3"/>
        <v>3</v>
      </c>
      <c r="O25" s="14">
        <f t="shared" si="3"/>
        <v>4</v>
      </c>
      <c r="P25" s="14">
        <f t="shared" si="3"/>
        <v>5</v>
      </c>
      <c r="Q25" s="14">
        <f t="shared" si="3"/>
        <v>6</v>
      </c>
      <c r="R25" s="14">
        <f t="shared" si="3"/>
        <v>7</v>
      </c>
      <c r="S25" s="14">
        <f t="shared" si="3"/>
        <v>8</v>
      </c>
      <c r="T25" s="14">
        <f t="shared" si="3"/>
        <v>9</v>
      </c>
      <c r="U25" s="14">
        <f t="shared" si="3"/>
        <v>10</v>
      </c>
      <c r="V25" s="14">
        <f t="shared" si="3"/>
        <v>11</v>
      </c>
      <c r="W25" s="14">
        <f t="shared" si="3"/>
        <v>12</v>
      </c>
      <c r="X25" s="14">
        <f t="shared" si="3"/>
        <v>13</v>
      </c>
      <c r="Y25" s="14">
        <f t="shared" si="3"/>
        <v>14</v>
      </c>
      <c r="Z25" s="14">
        <f t="shared" si="3"/>
        <v>15</v>
      </c>
      <c r="AA25" s="14">
        <f t="shared" si="3"/>
        <v>16</v>
      </c>
      <c r="AB25" s="14">
        <f t="shared" si="3"/>
        <v>17</v>
      </c>
      <c r="AC25" s="14">
        <f t="shared" si="3"/>
        <v>18</v>
      </c>
      <c r="AD25" s="14">
        <f t="shared" si="3"/>
        <v>19</v>
      </c>
      <c r="AE25" s="14">
        <f t="shared" si="3"/>
        <v>20</v>
      </c>
      <c r="AF25" s="14">
        <f t="shared" si="3"/>
        <v>21</v>
      </c>
      <c r="AG25" s="14">
        <f t="shared" si="3"/>
        <v>22</v>
      </c>
      <c r="AH25" s="14">
        <f t="shared" si="3"/>
        <v>23</v>
      </c>
      <c r="AI25" s="14">
        <f t="shared" si="3"/>
        <v>24</v>
      </c>
      <c r="AJ25" s="14">
        <f t="shared" si="3"/>
        <v>25</v>
      </c>
      <c r="AK25" s="14">
        <f t="shared" si="3"/>
        <v>26</v>
      </c>
      <c r="AL25" s="14">
        <f t="shared" si="3"/>
        <v>27</v>
      </c>
      <c r="AM25" s="14">
        <f t="shared" si="3"/>
        <v>28</v>
      </c>
      <c r="AN25" s="14">
        <f t="shared" si="3"/>
        <v>29</v>
      </c>
      <c r="AO25" s="14">
        <f t="shared" si="3"/>
        <v>30</v>
      </c>
      <c r="AP25" s="14">
        <f t="shared" ref="AP25" si="4">AO25+1</f>
        <v>31</v>
      </c>
      <c r="AQ25" s="14">
        <f t="shared" ref="AQ25" si="5">AP25+1</f>
        <v>32</v>
      </c>
      <c r="AR25" s="14">
        <f t="shared" ref="AR25" si="6">AQ25+1</f>
        <v>33</v>
      </c>
      <c r="AS25" s="14">
        <f t="shared" ref="AS25" si="7">AR25+1</f>
        <v>34</v>
      </c>
      <c r="AT25" s="14">
        <f t="shared" ref="AT25" si="8">AS25+1</f>
        <v>35</v>
      </c>
      <c r="AU25" s="14">
        <f t="shared" ref="AU25" si="9">AT25+1</f>
        <v>36</v>
      </c>
      <c r="AV25" s="14">
        <f t="shared" ref="AV25" si="10">AU25+1</f>
        <v>37</v>
      </c>
      <c r="AW25" s="14">
        <f t="shared" ref="AW25" si="11">AV25+1</f>
        <v>38</v>
      </c>
      <c r="AX25" s="14">
        <f t="shared" ref="AX25" si="12">AW25+1</f>
        <v>39</v>
      </c>
      <c r="AY25" s="14">
        <f t="shared" ref="AY25" si="13">AX25+1</f>
        <v>40</v>
      </c>
      <c r="AZ25" s="14">
        <f t="shared" ref="AZ25" si="14">AY25+1</f>
        <v>41</v>
      </c>
      <c r="BA25" s="14">
        <f t="shared" ref="BA25" si="15">AZ25+1</f>
        <v>42</v>
      </c>
      <c r="BB25" s="14">
        <f t="shared" ref="BB25" si="16">BA25+1</f>
        <v>43</v>
      </c>
      <c r="BC25" s="14">
        <f t="shared" ref="BC25" si="17">BB25+1</f>
        <v>44</v>
      </c>
      <c r="BD25" s="14">
        <f t="shared" ref="BD25" si="18">BC25+1</f>
        <v>45</v>
      </c>
      <c r="BE25" s="14">
        <f t="shared" ref="BE25" si="19">BD25+1</f>
        <v>46</v>
      </c>
      <c r="BF25" s="14">
        <f t="shared" ref="BF25" si="20">BE25+1</f>
        <v>47</v>
      </c>
      <c r="BG25" s="14">
        <f t="shared" ref="BG25" si="21">BF25+1</f>
        <v>48</v>
      </c>
      <c r="BH25" s="14">
        <f t="shared" ref="BH25" si="22">BG25+1</f>
        <v>49</v>
      </c>
      <c r="BI25" s="14">
        <f t="shared" ref="BI25" si="23">BH25+1</f>
        <v>50</v>
      </c>
      <c r="BJ25" s="14">
        <f t="shared" ref="BJ25" si="24">BI25+1</f>
        <v>51</v>
      </c>
      <c r="BK25" s="14">
        <f t="shared" ref="BK25" si="25">BJ25+1</f>
        <v>52</v>
      </c>
      <c r="BL25" s="14">
        <f t="shared" ref="BL25" si="26">BK25+1</f>
        <v>53</v>
      </c>
      <c r="BM25" s="14">
        <f t="shared" ref="BM25" si="27">BL25+1</f>
        <v>54</v>
      </c>
      <c r="BN25" s="14">
        <f t="shared" ref="BN25" si="28">BM25+1</f>
        <v>55</v>
      </c>
      <c r="BO25" s="14">
        <f t="shared" ref="BO25" si="29">BN25+1</f>
        <v>56</v>
      </c>
      <c r="BP25" s="14">
        <f t="shared" ref="BP25" si="30">BO25+1</f>
        <v>57</v>
      </c>
      <c r="BQ25" s="14">
        <f t="shared" ref="BQ25" si="31">BP25+1</f>
        <v>58</v>
      </c>
      <c r="BR25" s="14">
        <f t="shared" ref="BR25" si="32">BQ25+1</f>
        <v>59</v>
      </c>
      <c r="BS25" s="14">
        <f t="shared" ref="BS25" si="33">BR25+1</f>
        <v>60</v>
      </c>
      <c r="BT25" s="14">
        <f t="shared" ref="BT25" si="34">BS25+1</f>
        <v>61</v>
      </c>
      <c r="BU25" s="14">
        <f t="shared" ref="BU25" si="35">BT25+1</f>
        <v>62</v>
      </c>
      <c r="BV25" s="14">
        <f t="shared" ref="BV25" si="36">BU25+1</f>
        <v>63</v>
      </c>
      <c r="BW25" s="14">
        <f t="shared" ref="BW25" si="37">BV25+1</f>
        <v>64</v>
      </c>
      <c r="BX25" s="14">
        <f t="shared" ref="BX25" si="38">BW25+1</f>
        <v>65</v>
      </c>
      <c r="BY25" s="14">
        <f t="shared" ref="BY25" si="39">BX25+1</f>
        <v>66</v>
      </c>
      <c r="BZ25" s="14">
        <f t="shared" ref="BZ25" si="40">BY25+1</f>
        <v>67</v>
      </c>
      <c r="CA25" s="14">
        <f t="shared" ref="CA25" si="41">BZ25+1</f>
        <v>68</v>
      </c>
      <c r="CB25" s="14">
        <f t="shared" ref="CB25" si="42">CA25+1</f>
        <v>69</v>
      </c>
      <c r="CC25" s="14">
        <f t="shared" ref="CC25" si="43">CB25+1</f>
        <v>70</v>
      </c>
      <c r="CD25" s="14">
        <f t="shared" ref="CD25" si="44">CC25+1</f>
        <v>71</v>
      </c>
      <c r="CE25" s="14">
        <f t="shared" ref="CE25" si="45">CD25+1</f>
        <v>72</v>
      </c>
      <c r="CF25" s="14">
        <f t="shared" ref="CF25" si="46">CE25+1</f>
        <v>73</v>
      </c>
      <c r="CG25" s="14">
        <f t="shared" ref="CG25" si="47">CF25+1</f>
        <v>74</v>
      </c>
      <c r="CH25" s="14">
        <f t="shared" ref="CH25" si="48">CG25+1</f>
        <v>75</v>
      </c>
      <c r="CI25" s="14">
        <f t="shared" ref="CI25" si="49">CH25+1</f>
        <v>76</v>
      </c>
      <c r="CJ25" s="14">
        <f t="shared" ref="CJ25" si="50">CI25+1</f>
        <v>77</v>
      </c>
      <c r="CK25" s="14">
        <f t="shared" ref="CK25" si="51">CJ25+1</f>
        <v>78</v>
      </c>
      <c r="CL25" s="14">
        <f t="shared" ref="CL25" si="52">CK25+1</f>
        <v>79</v>
      </c>
      <c r="CM25" s="14">
        <f t="shared" ref="CM25" si="53">CL25+1</f>
        <v>80</v>
      </c>
      <c r="CN25" s="14">
        <f t="shared" ref="CN25" si="54">CM25+1</f>
        <v>81</v>
      </c>
      <c r="CO25" s="14">
        <f t="shared" ref="CO25" si="55">CN25+1</f>
        <v>82</v>
      </c>
      <c r="CP25" s="14">
        <f t="shared" ref="CP25" si="56">CO25+1</f>
        <v>83</v>
      </c>
      <c r="CQ25" s="14">
        <f t="shared" ref="CQ25" si="57">CP25+1</f>
        <v>84</v>
      </c>
      <c r="CR25" s="14">
        <f t="shared" ref="CR25" si="58">CQ25+1</f>
        <v>85</v>
      </c>
      <c r="CS25" s="14">
        <f t="shared" ref="CS25" si="59">CR25+1</f>
        <v>86</v>
      </c>
      <c r="CT25" s="14">
        <f t="shared" ref="CT25" si="60">CS25+1</f>
        <v>87</v>
      </c>
      <c r="CU25" s="14">
        <f t="shared" ref="CU25" si="61">CT25+1</f>
        <v>88</v>
      </c>
      <c r="CV25" s="14">
        <f t="shared" ref="CV25" si="62">CU25+1</f>
        <v>89</v>
      </c>
      <c r="CW25" s="14">
        <f t="shared" ref="CW25" si="63">CV25+1</f>
        <v>90</v>
      </c>
    </row>
    <row r="26" spans="1:128" x14ac:dyDescent="0.2">
      <c r="A26" s="82" t="s">
        <v>11</v>
      </c>
      <c r="B26" s="81">
        <v>42992</v>
      </c>
      <c r="C26" s="81">
        <v>43083</v>
      </c>
      <c r="D26" s="81">
        <v>43174</v>
      </c>
      <c r="E26" s="81">
        <v>43265</v>
      </c>
      <c r="F26" s="81">
        <v>43356</v>
      </c>
      <c r="G26" s="81">
        <v>43447</v>
      </c>
      <c r="H26" s="81">
        <v>43538</v>
      </c>
      <c r="I26" s="81">
        <v>43629</v>
      </c>
      <c r="J26" s="81">
        <v>43723</v>
      </c>
      <c r="K26" s="81">
        <v>43814</v>
      </c>
      <c r="L26" s="81">
        <v>43845</v>
      </c>
      <c r="M26" s="81">
        <v>43874</v>
      </c>
      <c r="N26" s="81">
        <v>43905</v>
      </c>
      <c r="O26" s="81">
        <v>43936</v>
      </c>
      <c r="P26" s="81">
        <v>43965</v>
      </c>
      <c r="Q26" s="81">
        <v>43997</v>
      </c>
      <c r="R26" s="81">
        <v>44027</v>
      </c>
      <c r="S26" s="81">
        <v>44056</v>
      </c>
      <c r="T26" s="81">
        <v>44089</v>
      </c>
      <c r="U26" s="81">
        <v>44119</v>
      </c>
      <c r="V26" s="81">
        <v>44150</v>
      </c>
      <c r="W26" s="81">
        <v>44180</v>
      </c>
      <c r="X26" s="81">
        <v>44211</v>
      </c>
      <c r="Y26" s="81">
        <v>44242</v>
      </c>
      <c r="Z26" s="81">
        <v>44270</v>
      </c>
      <c r="AA26" s="81">
        <v>44301</v>
      </c>
      <c r="AB26" s="81">
        <v>44331</v>
      </c>
      <c r="AC26" s="81">
        <v>44362</v>
      </c>
      <c r="AD26" s="81">
        <v>44392</v>
      </c>
      <c r="AE26" s="81">
        <v>44423</v>
      </c>
      <c r="AF26" s="81">
        <v>44454</v>
      </c>
      <c r="AG26" s="81">
        <v>44484</v>
      </c>
      <c r="AH26" s="81">
        <v>44515</v>
      </c>
      <c r="AI26" s="81">
        <v>44545</v>
      </c>
      <c r="AJ26" s="81">
        <v>44576</v>
      </c>
      <c r="AK26" s="81">
        <v>44607</v>
      </c>
      <c r="AL26" s="81">
        <v>44635</v>
      </c>
      <c r="AM26" s="81">
        <v>44666</v>
      </c>
      <c r="AN26" s="81">
        <v>44696</v>
      </c>
      <c r="AO26" s="81">
        <v>44727</v>
      </c>
      <c r="AP26" s="81">
        <v>44757</v>
      </c>
      <c r="AQ26" s="81">
        <v>44788</v>
      </c>
      <c r="AR26" s="81">
        <v>44819</v>
      </c>
      <c r="AS26" s="81">
        <v>44849</v>
      </c>
      <c r="AT26" s="81">
        <v>44880</v>
      </c>
      <c r="AU26" s="81">
        <v>44910</v>
      </c>
      <c r="AV26" s="81">
        <v>44941</v>
      </c>
      <c r="AW26" s="81">
        <v>44972</v>
      </c>
      <c r="AX26" s="81">
        <v>45000</v>
      </c>
      <c r="AY26" s="81">
        <v>45031</v>
      </c>
      <c r="AZ26" s="81">
        <v>45061</v>
      </c>
      <c r="BA26" s="81">
        <v>45092</v>
      </c>
      <c r="BB26" s="81">
        <v>45122</v>
      </c>
      <c r="BC26" s="81">
        <v>45153</v>
      </c>
      <c r="BD26" s="81">
        <v>45184</v>
      </c>
      <c r="BE26" s="81">
        <v>45214</v>
      </c>
      <c r="BF26" s="81">
        <v>45245</v>
      </c>
      <c r="BG26" s="81">
        <v>45275</v>
      </c>
      <c r="BH26" s="81">
        <v>45306</v>
      </c>
      <c r="BI26" s="81">
        <v>45337</v>
      </c>
      <c r="BJ26" s="81">
        <v>45366</v>
      </c>
      <c r="BK26" s="81">
        <v>45397</v>
      </c>
      <c r="BL26" s="81">
        <v>45427</v>
      </c>
      <c r="BM26" s="81">
        <v>45458</v>
      </c>
      <c r="BN26" s="81">
        <v>45488</v>
      </c>
      <c r="BO26" s="81">
        <v>45519</v>
      </c>
      <c r="BP26" s="81">
        <v>45550</v>
      </c>
      <c r="BQ26" s="81">
        <v>45580</v>
      </c>
      <c r="BR26" s="81">
        <v>45611</v>
      </c>
      <c r="BS26" s="81">
        <v>45641</v>
      </c>
      <c r="BT26" s="81">
        <v>45672</v>
      </c>
      <c r="BU26" s="81">
        <v>45703</v>
      </c>
      <c r="BV26" s="81">
        <v>45731</v>
      </c>
      <c r="BW26" s="81">
        <v>45762</v>
      </c>
      <c r="BX26" s="81">
        <v>45792</v>
      </c>
      <c r="BY26" s="81">
        <v>45823</v>
      </c>
      <c r="BZ26" s="81">
        <v>45853</v>
      </c>
      <c r="CA26" s="81">
        <v>45884</v>
      </c>
      <c r="CB26" s="81">
        <v>45915</v>
      </c>
      <c r="CC26" s="81">
        <v>45945</v>
      </c>
      <c r="CD26" s="81">
        <v>45976</v>
      </c>
      <c r="CE26" s="81">
        <v>46006</v>
      </c>
      <c r="CF26" s="81">
        <v>46037</v>
      </c>
      <c r="CG26" s="81">
        <v>46068</v>
      </c>
      <c r="CH26" s="81">
        <v>46096</v>
      </c>
      <c r="CI26" s="81">
        <v>46127</v>
      </c>
      <c r="CJ26" s="81">
        <v>46157</v>
      </c>
      <c r="CK26" s="81">
        <v>46188</v>
      </c>
      <c r="CL26" s="81">
        <v>46218</v>
      </c>
      <c r="CM26" s="81">
        <v>46249</v>
      </c>
      <c r="CN26" s="81">
        <v>46280</v>
      </c>
      <c r="CO26" s="81">
        <v>46310</v>
      </c>
      <c r="CP26" s="81">
        <v>46341</v>
      </c>
      <c r="CQ26" s="81">
        <v>46371</v>
      </c>
      <c r="CR26" s="81">
        <v>46402</v>
      </c>
      <c r="CS26" s="81">
        <v>46433</v>
      </c>
      <c r="CT26" s="81">
        <v>46461</v>
      </c>
      <c r="CU26" s="81">
        <v>46492</v>
      </c>
      <c r="CV26" s="81">
        <v>46522</v>
      </c>
      <c r="CW26" s="81">
        <v>46553</v>
      </c>
    </row>
    <row r="27" spans="1:128" x14ac:dyDescent="0.2">
      <c r="A27" s="2" t="s">
        <v>5</v>
      </c>
      <c r="B27" s="157">
        <f>B40+B53+B66</f>
        <v>123820000</v>
      </c>
      <c r="C27" s="157">
        <f t="shared" ref="C27:K27" si="64">C40+C53+C66</f>
        <v>123820000</v>
      </c>
      <c r="D27" s="157">
        <f t="shared" si="64"/>
        <v>1073900000</v>
      </c>
      <c r="E27" s="157">
        <f t="shared" si="64"/>
        <v>1073900000</v>
      </c>
      <c r="F27" s="157">
        <f t="shared" si="64"/>
        <v>1073900000</v>
      </c>
      <c r="G27" s="157">
        <f t="shared" si="64"/>
        <v>1270000000</v>
      </c>
      <c r="H27" s="157">
        <f t="shared" si="64"/>
        <v>1270000000</v>
      </c>
      <c r="I27" s="157">
        <f t="shared" si="64"/>
        <v>1270000000</v>
      </c>
      <c r="J27" s="157">
        <f t="shared" si="64"/>
        <v>1270000000</v>
      </c>
      <c r="K27" s="157">
        <f t="shared" si="64"/>
        <v>1230312500</v>
      </c>
      <c r="L27" s="157">
        <f t="shared" ref="L27:BW27" si="65">L40+L53+L66</f>
        <v>1190625000</v>
      </c>
      <c r="M27" s="8">
        <f t="shared" si="65"/>
        <v>1179259265.9704022</v>
      </c>
      <c r="N27" s="8">
        <f t="shared" si="65"/>
        <v>1167855646.1607056</v>
      </c>
      <c r="O27" s="8">
        <f t="shared" si="65"/>
        <v>1156414014.2849767</v>
      </c>
      <c r="P27" s="8">
        <f t="shared" si="65"/>
        <v>1144934243.6363287</v>
      </c>
      <c r="Q27" s="8">
        <f t="shared" si="65"/>
        <v>1133416207.0855186</v>
      </c>
      <c r="R27" s="8">
        <f t="shared" si="65"/>
        <v>1121859777.0795393</v>
      </c>
      <c r="S27" s="8">
        <f t="shared" si="65"/>
        <v>1110264825.6402063</v>
      </c>
      <c r="T27" s="8">
        <f t="shared" si="65"/>
        <v>1098631224.3627424</v>
      </c>
      <c r="U27" s="8">
        <f t="shared" si="65"/>
        <v>1086958844.4143536</v>
      </c>
      <c r="V27" s="8">
        <f t="shared" si="65"/>
        <v>1075247556.5328035</v>
      </c>
      <c r="W27" s="8">
        <f t="shared" si="65"/>
        <v>1063497231.0249817</v>
      </c>
      <c r="X27" s="8">
        <f t="shared" si="65"/>
        <v>1051707737.765467</v>
      </c>
      <c r="Y27" s="8">
        <f t="shared" si="65"/>
        <v>1039878946.1950874</v>
      </c>
      <c r="Z27" s="8">
        <f t="shared" si="65"/>
        <v>1028010725.319473</v>
      </c>
      <c r="AA27" s="8">
        <f t="shared" si="65"/>
        <v>1016102943.7076068</v>
      </c>
      <c r="AB27" s="8">
        <f t="shared" si="65"/>
        <v>1004155469.4903677</v>
      </c>
      <c r="AC27" s="8">
        <f t="shared" si="65"/>
        <v>992168170.3590709</v>
      </c>
      <c r="AD27" s="8">
        <f t="shared" si="65"/>
        <v>980140913.56400323</v>
      </c>
      <c r="AE27" s="8">
        <f t="shared" si="65"/>
        <v>968073565.91295195</v>
      </c>
      <c r="AF27" s="8">
        <f t="shared" si="65"/>
        <v>955965993.76973057</v>
      </c>
      <c r="AG27" s="8">
        <f t="shared" si="65"/>
        <v>943818063.05269861</v>
      </c>
      <c r="AH27" s="8">
        <f t="shared" si="65"/>
        <v>931629639.23327637</v>
      </c>
      <c r="AI27" s="8">
        <f t="shared" si="65"/>
        <v>919400587.33445597</v>
      </c>
      <c r="AJ27" s="8">
        <f t="shared" si="65"/>
        <v>907130771.92930627</v>
      </c>
      <c r="AK27" s="8">
        <f t="shared" si="65"/>
        <v>894820057.13947284</v>
      </c>
      <c r="AL27" s="8">
        <f t="shared" si="65"/>
        <v>882468306.63367307</v>
      </c>
      <c r="AM27" s="8">
        <f t="shared" si="65"/>
        <v>870075383.62618756</v>
      </c>
      <c r="AN27" s="8">
        <f t="shared" si="65"/>
        <v>857641150.87534344</v>
      </c>
      <c r="AO27" s="8">
        <f t="shared" si="65"/>
        <v>845165470.6819967</v>
      </c>
      <c r="AP27" s="8">
        <f t="shared" si="65"/>
        <v>832648204.8880055</v>
      </c>
      <c r="AQ27" s="8">
        <f t="shared" si="65"/>
        <v>820089214.8747009</v>
      </c>
      <c r="AR27" s="8">
        <f t="shared" si="65"/>
        <v>807488361.56135201</v>
      </c>
      <c r="AS27" s="8">
        <f t="shared" si="65"/>
        <v>794845505.40362537</v>
      </c>
      <c r="AT27" s="8">
        <f t="shared" si="65"/>
        <v>782160506.39203954</v>
      </c>
      <c r="AU27" s="8">
        <f t="shared" si="65"/>
        <v>769433224.05041504</v>
      </c>
      <c r="AV27" s="8">
        <f t="shared" si="65"/>
        <v>756663517.43431866</v>
      </c>
      <c r="AW27" s="8">
        <f t="shared" si="65"/>
        <v>743851245.12950182</v>
      </c>
      <c r="AX27" s="8">
        <f t="shared" si="65"/>
        <v>730996265.25033557</v>
      </c>
      <c r="AY27" s="8">
        <f t="shared" si="65"/>
        <v>718098435.43823886</v>
      </c>
      <c r="AZ27" s="8">
        <f t="shared" si="65"/>
        <v>705157612.8601017</v>
      </c>
      <c r="BA27" s="8">
        <f t="shared" si="65"/>
        <v>692173654.20670414</v>
      </c>
      <c r="BB27" s="8">
        <f t="shared" si="65"/>
        <v>679146415.69112873</v>
      </c>
      <c r="BC27" s="8">
        <f t="shared" si="65"/>
        <v>666075753.04716778</v>
      </c>
      <c r="BD27" s="8">
        <f t="shared" si="65"/>
        <v>652961521.52772725</v>
      </c>
      <c r="BE27" s="8">
        <f t="shared" si="65"/>
        <v>639803575.90322173</v>
      </c>
      <c r="BF27" s="8">
        <f t="shared" si="65"/>
        <v>626601770.45996785</v>
      </c>
      <c r="BG27" s="8">
        <f t="shared" si="65"/>
        <v>613355958.99856985</v>
      </c>
      <c r="BH27" s="8">
        <f t="shared" si="65"/>
        <v>600065994.83230054</v>
      </c>
      <c r="BI27" s="8">
        <f t="shared" si="65"/>
        <v>586731730.78547704</v>
      </c>
      <c r="BJ27" s="8">
        <f t="shared" si="65"/>
        <v>573353019.19183064</v>
      </c>
      <c r="BK27" s="8">
        <f t="shared" si="65"/>
        <v>559929711.89287221</v>
      </c>
      <c r="BL27" s="8">
        <f t="shared" si="65"/>
        <v>546461660.23625052</v>
      </c>
      <c r="BM27" s="8">
        <f t="shared" si="65"/>
        <v>532948715.07410687</v>
      </c>
      <c r="BN27" s="8">
        <f t="shared" si="65"/>
        <v>519390726.76142269</v>
      </c>
      <c r="BO27" s="8">
        <f t="shared" si="65"/>
        <v>505787545.15436292</v>
      </c>
      <c r="BP27" s="8">
        <f t="shared" si="65"/>
        <v>492139019.6086129</v>
      </c>
      <c r="BQ27" s="8">
        <f t="shared" si="65"/>
        <v>478444998.97771037</v>
      </c>
      <c r="BR27" s="8">
        <f t="shared" si="65"/>
        <v>464705331.61137152</v>
      </c>
      <c r="BS27" s="8">
        <f t="shared" si="65"/>
        <v>450919865.3538115</v>
      </c>
      <c r="BT27" s="8">
        <f t="shared" si="65"/>
        <v>437088447.54205966</v>
      </c>
      <c r="BU27" s="8">
        <f t="shared" si="65"/>
        <v>423210925.00426865</v>
      </c>
      <c r="BV27" s="8">
        <f t="shared" si="65"/>
        <v>409287144.05801833</v>
      </c>
      <c r="BW27" s="8">
        <f t="shared" si="65"/>
        <v>395316950.50861382</v>
      </c>
      <c r="BX27" s="8">
        <f t="shared" ref="BX27:CW27" si="66">BX40+BX53+BX66</f>
        <v>381300189.64737797</v>
      </c>
      <c r="BY27" s="8">
        <f t="shared" si="66"/>
        <v>367236706.24993807</v>
      </c>
      <c r="BZ27" s="8">
        <f t="shared" si="66"/>
        <v>353126344.57450664</v>
      </c>
      <c r="CA27" s="8">
        <f t="shared" si="66"/>
        <v>338968948.36015707</v>
      </c>
      <c r="CB27" s="8">
        <f t="shared" si="66"/>
        <v>324764360.82509309</v>
      </c>
      <c r="CC27" s="8">
        <f t="shared" si="66"/>
        <v>310512424.6649121</v>
      </c>
      <c r="CD27" s="8">
        <f t="shared" si="66"/>
        <v>296212982.05086392</v>
      </c>
      <c r="CE27" s="8">
        <f t="shared" si="66"/>
        <v>281865874.62810224</v>
      </c>
      <c r="CF27" s="8">
        <f t="shared" si="66"/>
        <v>267470943.51393136</v>
      </c>
      <c r="CG27" s="8">
        <f t="shared" si="66"/>
        <v>253028029.29604658</v>
      </c>
      <c r="CH27" s="8">
        <f t="shared" si="66"/>
        <v>238536972.03076881</v>
      </c>
      <c r="CI27" s="8">
        <f t="shared" si="66"/>
        <v>223997611.24127352</v>
      </c>
      <c r="CJ27" s="8">
        <f t="shared" si="66"/>
        <v>209409785.91581321</v>
      </c>
      <c r="CK27" s="8">
        <f t="shared" si="66"/>
        <v>194773334.50593469</v>
      </c>
      <c r="CL27" s="8">
        <f t="shared" si="66"/>
        <v>180088094.92468992</v>
      </c>
      <c r="CM27" s="8">
        <f t="shared" si="66"/>
        <v>165353904.54484099</v>
      </c>
      <c r="CN27" s="8">
        <f t="shared" si="66"/>
        <v>150570600.19705921</v>
      </c>
      <c r="CO27" s="8">
        <f t="shared" si="66"/>
        <v>135738018.16811821</v>
      </c>
      <c r="CP27" s="8">
        <f t="shared" si="66"/>
        <v>120855994.19908071</v>
      </c>
      <c r="CQ27" s="8">
        <f t="shared" si="66"/>
        <v>105924363.48347975</v>
      </c>
      <c r="CR27" s="8">
        <f t="shared" si="66"/>
        <v>90942960.665493459</v>
      </c>
      <c r="CS27" s="8">
        <f t="shared" si="66"/>
        <v>75911619.838113874</v>
      </c>
      <c r="CT27" s="8">
        <f t="shared" si="66"/>
        <v>60830174.541309699</v>
      </c>
      <c r="CU27" s="8">
        <f t="shared" si="66"/>
        <v>45698457.760182835</v>
      </c>
      <c r="CV27" s="8">
        <f t="shared" si="66"/>
        <v>30516301.923118889</v>
      </c>
      <c r="CW27" s="8">
        <f t="shared" si="66"/>
        <v>15283538.89993139</v>
      </c>
    </row>
    <row r="28" spans="1:128" s="7" customFormat="1" x14ac:dyDescent="0.2">
      <c r="A28" s="7" t="s">
        <v>6</v>
      </c>
      <c r="B28" s="158">
        <f>B41+B54+B67</f>
        <v>1372338.3333333335</v>
      </c>
      <c r="C28" s="158">
        <f t="shared" ref="C28:K28" si="67">C41+C54+C67</f>
        <v>2190926.1111111115</v>
      </c>
      <c r="D28" s="158">
        <f t="shared" si="67"/>
        <v>5500926.6666666679</v>
      </c>
      <c r="E28" s="158">
        <f t="shared" si="67"/>
        <v>10858322.222222222</v>
      </c>
      <c r="F28" s="158">
        <f t="shared" si="67"/>
        <v>10858322.222222222</v>
      </c>
      <c r="G28" s="158">
        <f t="shared" si="67"/>
        <v>13336808.333333334</v>
      </c>
      <c r="H28" s="158">
        <f t="shared" si="67"/>
        <v>12841111.111111112</v>
      </c>
      <c r="I28" s="158">
        <f t="shared" si="67"/>
        <v>12841111.111111112</v>
      </c>
      <c r="J28" s="158">
        <f t="shared" si="67"/>
        <v>13264444.444444444</v>
      </c>
      <c r="K28" s="158">
        <f t="shared" si="67"/>
        <v>12439826.388888888</v>
      </c>
      <c r="L28" s="7">
        <f t="shared" ref="L28:BW28" si="68">L41+L54+L67</f>
        <v>4101041.6666666665</v>
      </c>
      <c r="M28" s="7">
        <f t="shared" si="68"/>
        <v>3799835.4125712956</v>
      </c>
      <c r="N28" s="7">
        <f t="shared" si="68"/>
        <v>4022613.8923313199</v>
      </c>
      <c r="O28" s="7">
        <f t="shared" si="68"/>
        <v>3983203.8269815864</v>
      </c>
      <c r="P28" s="7">
        <f t="shared" si="68"/>
        <v>3689232.5628281701</v>
      </c>
      <c r="Q28" s="7">
        <f t="shared" si="68"/>
        <v>4029924.2918596221</v>
      </c>
      <c r="R28" s="7">
        <f t="shared" si="68"/>
        <v>3739532.5902651306</v>
      </c>
      <c r="S28" s="7">
        <f t="shared" si="68"/>
        <v>3577519.9937295537</v>
      </c>
      <c r="T28" s="7">
        <f t="shared" si="68"/>
        <v>4028314.4893300557</v>
      </c>
      <c r="U28" s="7">
        <f t="shared" si="68"/>
        <v>3623196.1480478453</v>
      </c>
      <c r="V28" s="7">
        <f t="shared" si="68"/>
        <v>3703630.4725018796</v>
      </c>
      <c r="W28" s="7">
        <f t="shared" si="68"/>
        <v>3544990.7700832724</v>
      </c>
      <c r="X28" s="7">
        <f t="shared" si="68"/>
        <v>3622548.8745254977</v>
      </c>
      <c r="Y28" s="7">
        <f t="shared" si="68"/>
        <v>3581805.2591164121</v>
      </c>
      <c r="Z28" s="7">
        <f t="shared" si="68"/>
        <v>3198255.5898828055</v>
      </c>
      <c r="AA28" s="7">
        <f t="shared" si="68"/>
        <v>3499910.1394373123</v>
      </c>
      <c r="AB28" s="7">
        <f t="shared" si="68"/>
        <v>3347184.8983012256</v>
      </c>
      <c r="AC28" s="7">
        <f t="shared" si="68"/>
        <v>3417468.1423479114</v>
      </c>
      <c r="AD28" s="7">
        <f t="shared" si="68"/>
        <v>3267136.3785466775</v>
      </c>
      <c r="AE28" s="7">
        <f t="shared" si="68"/>
        <v>3334475.61592239</v>
      </c>
      <c r="AF28" s="7">
        <f t="shared" si="68"/>
        <v>3292771.7563179615</v>
      </c>
      <c r="AG28" s="7">
        <f t="shared" si="68"/>
        <v>3146060.2101756618</v>
      </c>
      <c r="AH28" s="7">
        <f t="shared" si="68"/>
        <v>3208946.5351368403</v>
      </c>
      <c r="AI28" s="7">
        <f t="shared" si="68"/>
        <v>3064668.6244481867</v>
      </c>
      <c r="AJ28" s="7">
        <f t="shared" si="68"/>
        <v>3124561.5477564996</v>
      </c>
      <c r="AK28" s="7">
        <f t="shared" si="68"/>
        <v>3082157.9745915178</v>
      </c>
      <c r="AL28" s="7">
        <f t="shared" si="68"/>
        <v>2745456.9539714274</v>
      </c>
      <c r="AM28" s="7">
        <f t="shared" si="68"/>
        <v>2996926.3213790902</v>
      </c>
      <c r="AN28" s="7">
        <f t="shared" si="68"/>
        <v>2858803.8362511452</v>
      </c>
      <c r="AO28" s="7">
        <f t="shared" si="68"/>
        <v>2911125.5101268776</v>
      </c>
      <c r="AP28" s="7">
        <f t="shared" si="68"/>
        <v>2775494.0162933515</v>
      </c>
      <c r="AQ28" s="7">
        <f t="shared" si="68"/>
        <v>2824751.74012397</v>
      </c>
      <c r="AR28" s="7">
        <f t="shared" si="68"/>
        <v>2781348.8009335459</v>
      </c>
      <c r="AS28" s="7">
        <f t="shared" si="68"/>
        <v>2649485.0180120845</v>
      </c>
      <c r="AT28" s="7">
        <f t="shared" si="68"/>
        <v>2694108.4109059139</v>
      </c>
      <c r="AU28" s="7">
        <f t="shared" si="68"/>
        <v>2564777.4135013833</v>
      </c>
      <c r="AV28" s="7">
        <f t="shared" si="68"/>
        <v>2606285.4489404308</v>
      </c>
      <c r="AW28" s="7">
        <f t="shared" si="68"/>
        <v>2562154.2887793952</v>
      </c>
      <c r="AX28" s="7">
        <f t="shared" si="68"/>
        <v>2274210.6030010441</v>
      </c>
      <c r="AY28" s="7">
        <f t="shared" si="68"/>
        <v>2473450.1665094895</v>
      </c>
      <c r="AZ28" s="7">
        <f t="shared" si="68"/>
        <v>2350525.3762003393</v>
      </c>
      <c r="BA28" s="7">
        <f t="shared" si="68"/>
        <v>2384153.6978230923</v>
      </c>
      <c r="BB28" s="7">
        <f t="shared" si="68"/>
        <v>2263821.3856370957</v>
      </c>
      <c r="BC28" s="7">
        <f t="shared" si="68"/>
        <v>2294260.9271624675</v>
      </c>
      <c r="BD28" s="7">
        <f t="shared" si="68"/>
        <v>2249089.6852621716</v>
      </c>
      <c r="BE28" s="7">
        <f t="shared" si="68"/>
        <v>2132678.5863440721</v>
      </c>
      <c r="BF28" s="7">
        <f t="shared" si="68"/>
        <v>2158294.987139889</v>
      </c>
      <c r="BG28" s="7">
        <f t="shared" si="68"/>
        <v>2044519.8633285663</v>
      </c>
      <c r="BH28" s="7">
        <f t="shared" si="68"/>
        <v>2066893.9822001464</v>
      </c>
      <c r="BI28" s="7">
        <f t="shared" si="68"/>
        <v>2020964.8504833095</v>
      </c>
      <c r="BJ28" s="7">
        <f t="shared" si="68"/>
        <v>1847470.839618121</v>
      </c>
      <c r="BK28" s="7">
        <f t="shared" si="68"/>
        <v>1928646.7854087823</v>
      </c>
      <c r="BL28" s="7">
        <f t="shared" si="68"/>
        <v>1821538.8674541684</v>
      </c>
      <c r="BM28" s="7">
        <f t="shared" si="68"/>
        <v>1835712.2408108125</v>
      </c>
      <c r="BN28" s="7">
        <f t="shared" si="68"/>
        <v>1731302.4225380758</v>
      </c>
      <c r="BO28" s="7">
        <f t="shared" si="68"/>
        <v>1742157.0999761389</v>
      </c>
      <c r="BP28" s="7">
        <f t="shared" si="68"/>
        <v>1695145.5119852221</v>
      </c>
      <c r="BQ28" s="7">
        <f t="shared" si="68"/>
        <v>1594816.6632590345</v>
      </c>
      <c r="BR28" s="7">
        <f t="shared" si="68"/>
        <v>1600651.6977725022</v>
      </c>
      <c r="BS28" s="7">
        <f t="shared" si="68"/>
        <v>1503066.2178460383</v>
      </c>
      <c r="BT28" s="7">
        <f t="shared" si="68"/>
        <v>1505526.8748670947</v>
      </c>
      <c r="BU28" s="7">
        <f t="shared" si="68"/>
        <v>1457726.5194591477</v>
      </c>
      <c r="BV28" s="7">
        <f t="shared" si="68"/>
        <v>1273337.7815138348</v>
      </c>
      <c r="BW28" s="7">
        <f t="shared" si="68"/>
        <v>1361647.2739741146</v>
      </c>
      <c r="BX28" s="7">
        <f t="shared" ref="BX28:CW28" si="69">BX41+BX54+BX67</f>
        <v>1271000.6321579269</v>
      </c>
      <c r="BY28" s="7">
        <f t="shared" si="69"/>
        <v>1264926.4326386757</v>
      </c>
      <c r="BZ28" s="7">
        <f t="shared" si="69"/>
        <v>1177087.8152483553</v>
      </c>
      <c r="CA28" s="7">
        <f t="shared" si="69"/>
        <v>1167559.711018319</v>
      </c>
      <c r="CB28" s="7">
        <f t="shared" si="69"/>
        <v>1118632.7983975427</v>
      </c>
      <c r="CC28" s="7">
        <f t="shared" si="69"/>
        <v>1035041.415549707</v>
      </c>
      <c r="CD28" s="7">
        <f t="shared" si="69"/>
        <v>1020289.1603974202</v>
      </c>
      <c r="CE28" s="7">
        <f t="shared" si="69"/>
        <v>939552.91542700748</v>
      </c>
      <c r="CF28" s="7">
        <f t="shared" si="69"/>
        <v>921288.80543687474</v>
      </c>
      <c r="CG28" s="7">
        <f t="shared" si="69"/>
        <v>871540.98979749379</v>
      </c>
      <c r="CH28" s="7">
        <f t="shared" si="69"/>
        <v>742115.02409572538</v>
      </c>
      <c r="CI28" s="7">
        <f t="shared" si="69"/>
        <v>771547.32760883099</v>
      </c>
      <c r="CJ28" s="7">
        <f t="shared" si="69"/>
        <v>698032.61971937737</v>
      </c>
      <c r="CK28" s="7">
        <f t="shared" si="69"/>
        <v>670885.92996488616</v>
      </c>
      <c r="CL28" s="7">
        <f t="shared" si="69"/>
        <v>600293.64974896633</v>
      </c>
      <c r="CM28" s="7">
        <f t="shared" si="69"/>
        <v>569552.33787667449</v>
      </c>
      <c r="CN28" s="7">
        <f t="shared" si="69"/>
        <v>518632.0673454263</v>
      </c>
      <c r="CO28" s="7">
        <f t="shared" si="69"/>
        <v>452460.06056039408</v>
      </c>
      <c r="CP28" s="7">
        <f t="shared" si="69"/>
        <v>416281.75779683358</v>
      </c>
      <c r="CQ28" s="7">
        <f t="shared" si="69"/>
        <v>353081.21161159908</v>
      </c>
      <c r="CR28" s="7">
        <f t="shared" si="69"/>
        <v>313247.97562558856</v>
      </c>
      <c r="CS28" s="7">
        <f t="shared" si="69"/>
        <v>261473.35722017003</v>
      </c>
      <c r="CT28" s="7">
        <f t="shared" si="69"/>
        <v>189249.43190629684</v>
      </c>
      <c r="CU28" s="7">
        <f t="shared" si="69"/>
        <v>157405.7989517409</v>
      </c>
      <c r="CV28" s="7">
        <f t="shared" si="69"/>
        <v>101721.00641039628</v>
      </c>
      <c r="CW28" s="7">
        <f t="shared" si="69"/>
        <v>52643.300655319232</v>
      </c>
    </row>
    <row r="29" spans="1:128" x14ac:dyDescent="0.2">
      <c r="A29" s="2" t="s">
        <v>12</v>
      </c>
      <c r="B29" s="159">
        <f>B28</f>
        <v>1372338.3333333335</v>
      </c>
      <c r="C29" s="159">
        <f>B29+C28</f>
        <v>3563264.444444445</v>
      </c>
      <c r="D29" s="159">
        <f>C29+D28</f>
        <v>9064191.1111111119</v>
      </c>
      <c r="E29" s="159">
        <f>D29+E28</f>
        <v>19922513.333333336</v>
      </c>
      <c r="F29" s="159">
        <f t="shared" ref="F29" si="70">E29+F28</f>
        <v>30780835.55555556</v>
      </c>
      <c r="G29" s="159">
        <f t="shared" ref="G29:K29" si="71">G28+F29</f>
        <v>44117643.888888896</v>
      </c>
      <c r="H29" s="159">
        <f t="shared" si="71"/>
        <v>56958755.000000007</v>
      </c>
      <c r="I29" s="159">
        <f t="shared" si="71"/>
        <v>69799866.111111119</v>
      </c>
      <c r="J29" s="159">
        <f t="shared" si="71"/>
        <v>83064310.555555567</v>
      </c>
      <c r="K29" s="159">
        <f t="shared" si="71"/>
        <v>95504136.944444448</v>
      </c>
      <c r="L29" s="3">
        <f t="shared" ref="L29" si="72">L28+K29</f>
        <v>99605178.611111119</v>
      </c>
      <c r="M29" s="3">
        <f t="shared" ref="M29" si="73">M28+L29</f>
        <v>103405014.02368242</v>
      </c>
      <c r="N29" s="3">
        <f t="shared" ref="N29" si="74">N28+M29</f>
        <v>107427627.91601373</v>
      </c>
      <c r="O29" s="3">
        <f t="shared" ref="O29" si="75">O28+N29</f>
        <v>111410831.74299532</v>
      </c>
      <c r="P29" s="3">
        <f t="shared" ref="P29" si="76">P28+O29</f>
        <v>115100064.30582349</v>
      </c>
      <c r="Q29" s="3">
        <f t="shared" ref="Q29" si="77">Q28+P29</f>
        <v>119129988.59768312</v>
      </c>
      <c r="R29" s="3">
        <f t="shared" ref="R29" si="78">R28+Q29</f>
        <v>122869521.18794824</v>
      </c>
      <c r="S29" s="3">
        <f t="shared" ref="S29" si="79">S28+R29</f>
        <v>126447041.18167779</v>
      </c>
      <c r="T29" s="3">
        <f t="shared" ref="T29" si="80">T28+S29</f>
        <v>130475355.67100784</v>
      </c>
      <c r="U29" s="3">
        <f t="shared" ref="U29" si="81">U28+T29</f>
        <v>134098551.81905569</v>
      </c>
      <c r="V29" s="3">
        <f t="shared" ref="V29" si="82">V28+U29</f>
        <v>137802182.29155758</v>
      </c>
      <c r="W29" s="3">
        <f t="shared" ref="W29" si="83">W28+V29</f>
        <v>141347173.06164086</v>
      </c>
      <c r="X29" s="3">
        <f t="shared" ref="X29" si="84">X28+W29</f>
        <v>144969721.93616635</v>
      </c>
      <c r="Y29" s="3">
        <f t="shared" ref="Y29" si="85">Y28+X29</f>
        <v>148551527.19528276</v>
      </c>
      <c r="Z29" s="3">
        <f t="shared" ref="Z29" si="86">Z28+Y29</f>
        <v>151749782.78516555</v>
      </c>
      <c r="AA29" s="3">
        <f t="shared" ref="AA29" si="87">AA28+Z29</f>
        <v>155249692.92460287</v>
      </c>
      <c r="AB29" s="3">
        <f t="shared" ref="AB29" si="88">AB28+AA29</f>
        <v>158596877.82290408</v>
      </c>
      <c r="AC29" s="3">
        <f t="shared" ref="AC29" si="89">AC28+AB29</f>
        <v>162014345.96525198</v>
      </c>
      <c r="AD29" s="3">
        <f t="shared" ref="AD29" si="90">AD28+AC29</f>
        <v>165281482.34379867</v>
      </c>
      <c r="AE29" s="3">
        <f t="shared" ref="AE29" si="91">AE28+AD29</f>
        <v>168615957.95972106</v>
      </c>
      <c r="AF29" s="3">
        <f t="shared" ref="AF29" si="92">AF28+AE29</f>
        <v>171908729.71603903</v>
      </c>
      <c r="AG29" s="3">
        <f t="shared" ref="AG29" si="93">AG28+AF29</f>
        <v>175054789.92621469</v>
      </c>
      <c r="AH29" s="3">
        <f t="shared" ref="AH29" si="94">AH28+AG29</f>
        <v>178263736.46135154</v>
      </c>
      <c r="AI29" s="3">
        <f t="shared" ref="AI29" si="95">AI28+AH29</f>
        <v>181328405.08579972</v>
      </c>
      <c r="AJ29" s="3">
        <f t="shared" ref="AJ29" si="96">AJ28+AI29</f>
        <v>184452966.63355622</v>
      </c>
      <c r="AK29" s="3">
        <f t="shared" ref="AK29" si="97">AK28+AJ29</f>
        <v>187535124.60814774</v>
      </c>
      <c r="AL29" s="3">
        <f t="shared" ref="AL29" si="98">AL28+AK29</f>
        <v>190280581.56211916</v>
      </c>
      <c r="AM29" s="3">
        <f t="shared" ref="AM29" si="99">AM28+AL29</f>
        <v>193277507.88349825</v>
      </c>
      <c r="AN29" s="3">
        <f t="shared" ref="AN29" si="100">AN28+AM29</f>
        <v>196136311.71974939</v>
      </c>
      <c r="AO29" s="3">
        <f t="shared" ref="AO29" si="101">AO28+AN29</f>
        <v>199047437.22987628</v>
      </c>
      <c r="AP29" s="3">
        <f t="shared" ref="AP29" si="102">AP28+AO29</f>
        <v>201822931.24616963</v>
      </c>
      <c r="AQ29" s="3">
        <f t="shared" ref="AQ29" si="103">AQ28+AP29</f>
        <v>204647682.98629358</v>
      </c>
      <c r="AR29" s="3">
        <f t="shared" ref="AR29" si="104">AR28+AQ29</f>
        <v>207429031.78722712</v>
      </c>
      <c r="AS29" s="3">
        <f t="shared" ref="AS29" si="105">AS28+AR29</f>
        <v>210078516.8052392</v>
      </c>
      <c r="AT29" s="3">
        <f t="shared" ref="AT29" si="106">AT28+AS29</f>
        <v>212772625.21614513</v>
      </c>
      <c r="AU29" s="3">
        <f t="shared" ref="AU29" si="107">AU28+AT29</f>
        <v>215337402.62964651</v>
      </c>
      <c r="AV29" s="3">
        <f t="shared" ref="AV29" si="108">AV28+AU29</f>
        <v>217943688.07858694</v>
      </c>
      <c r="AW29" s="3">
        <f t="shared" ref="AW29" si="109">AW28+AV29</f>
        <v>220505842.36736634</v>
      </c>
      <c r="AX29" s="3">
        <f t="shared" ref="AX29" si="110">AX28+AW29</f>
        <v>222780052.9703674</v>
      </c>
      <c r="AY29" s="3">
        <f t="shared" ref="AY29" si="111">AY28+AX29</f>
        <v>225253503.13687688</v>
      </c>
      <c r="AZ29" s="3">
        <f t="shared" ref="AZ29" si="112">AZ28+AY29</f>
        <v>227604028.51307723</v>
      </c>
      <c r="BA29" s="3">
        <f t="shared" ref="BA29" si="113">BA28+AZ29</f>
        <v>229988182.21090031</v>
      </c>
      <c r="BB29" s="3">
        <f t="shared" ref="BB29" si="114">BB28+BA29</f>
        <v>232252003.59653741</v>
      </c>
      <c r="BC29" s="3">
        <f t="shared" ref="BC29" si="115">BC28+BB29</f>
        <v>234546264.52369988</v>
      </c>
      <c r="BD29" s="3">
        <f t="shared" ref="BD29" si="116">BD28+BC29</f>
        <v>236795354.20896205</v>
      </c>
      <c r="BE29" s="3">
        <f t="shared" ref="BE29" si="117">BE28+BD29</f>
        <v>238928032.79530612</v>
      </c>
      <c r="BF29" s="3">
        <f t="shared" ref="BF29" si="118">BF28+BE29</f>
        <v>241086327.782446</v>
      </c>
      <c r="BG29" s="3">
        <f t="shared" ref="BG29" si="119">BG28+BF29</f>
        <v>243130847.64577457</v>
      </c>
      <c r="BH29" s="3">
        <f t="shared" ref="BH29" si="120">BH28+BG29</f>
        <v>245197741.62797472</v>
      </c>
      <c r="BI29" s="3">
        <f t="shared" ref="BI29" si="121">BI28+BH29</f>
        <v>247218706.47845802</v>
      </c>
      <c r="BJ29" s="3">
        <f t="shared" ref="BJ29" si="122">BJ28+BI29</f>
        <v>249066177.31807613</v>
      </c>
      <c r="BK29" s="3">
        <f t="shared" ref="BK29" si="123">BK28+BJ29</f>
        <v>250994824.10348493</v>
      </c>
      <c r="BL29" s="3">
        <f t="shared" ref="BL29" si="124">BL28+BK29</f>
        <v>252816362.9709391</v>
      </c>
      <c r="BM29" s="3">
        <f t="shared" ref="BM29" si="125">BM28+BL29</f>
        <v>254652075.21174991</v>
      </c>
      <c r="BN29" s="3">
        <f t="shared" ref="BN29" si="126">BN28+BM29</f>
        <v>256383377.63428798</v>
      </c>
      <c r="BO29" s="3">
        <f t="shared" ref="BO29" si="127">BO28+BN29</f>
        <v>258125534.73426414</v>
      </c>
      <c r="BP29" s="3">
        <f t="shared" ref="BP29" si="128">BP28+BO29</f>
        <v>259820680.24624935</v>
      </c>
      <c r="BQ29" s="3">
        <f t="shared" ref="BQ29" si="129">BQ28+BP29</f>
        <v>261415496.90950838</v>
      </c>
      <c r="BR29" s="3">
        <f t="shared" ref="BR29" si="130">BR28+BQ29</f>
        <v>263016148.60728088</v>
      </c>
      <c r="BS29" s="3">
        <f t="shared" ref="BS29" si="131">BS28+BR29</f>
        <v>264519214.82512692</v>
      </c>
      <c r="BT29" s="3">
        <f t="shared" ref="BT29" si="132">BT28+BS29</f>
        <v>266024741.699994</v>
      </c>
      <c r="BU29" s="3">
        <f t="shared" ref="BU29" si="133">BU28+BT29</f>
        <v>267482468.21945316</v>
      </c>
      <c r="BV29" s="3">
        <f t="shared" ref="BV29" si="134">BV28+BU29</f>
        <v>268755806.00096697</v>
      </c>
      <c r="BW29" s="3">
        <f t="shared" ref="BW29" si="135">BW28+BV29</f>
        <v>270117453.27494109</v>
      </c>
      <c r="BX29" s="3">
        <f t="shared" ref="BX29" si="136">BX28+BW29</f>
        <v>271388453.90709901</v>
      </c>
      <c r="BY29" s="3">
        <f t="shared" ref="BY29" si="137">BY28+BX29</f>
        <v>272653380.33973771</v>
      </c>
      <c r="BZ29" s="3">
        <f t="shared" ref="BZ29" si="138">BZ28+BY29</f>
        <v>273830468.15498608</v>
      </c>
      <c r="CA29" s="3">
        <f t="shared" ref="CA29" si="139">CA28+BZ29</f>
        <v>274998027.86600441</v>
      </c>
      <c r="CB29" s="3">
        <f t="shared" ref="CB29" si="140">CB28+CA29</f>
        <v>276116660.66440195</v>
      </c>
      <c r="CC29" s="3">
        <f t="shared" ref="CC29" si="141">CC28+CB29</f>
        <v>277151702.07995164</v>
      </c>
      <c r="CD29" s="3">
        <f t="shared" ref="CD29" si="142">CD28+CC29</f>
        <v>278171991.24034905</v>
      </c>
      <c r="CE29" s="3">
        <f t="shared" ref="CE29" si="143">CE28+CD29</f>
        <v>279111544.15577608</v>
      </c>
      <c r="CF29" s="3">
        <f t="shared" ref="CF29" si="144">CF28+CE29</f>
        <v>280032832.96121293</v>
      </c>
      <c r="CG29" s="3">
        <f t="shared" ref="CG29" si="145">CG28+CF29</f>
        <v>280904373.95101041</v>
      </c>
      <c r="CH29" s="3">
        <f t="shared" ref="CH29" si="146">CH28+CG29</f>
        <v>281646488.97510612</v>
      </c>
      <c r="CI29" s="3">
        <f t="shared" ref="CI29" si="147">CI28+CH29</f>
        <v>282418036.30271494</v>
      </c>
      <c r="CJ29" s="3">
        <f t="shared" ref="CJ29" si="148">CJ28+CI29</f>
        <v>283116068.92243433</v>
      </c>
      <c r="CK29" s="3">
        <f t="shared" ref="CK29" si="149">CK28+CJ29</f>
        <v>283786954.85239923</v>
      </c>
      <c r="CL29" s="3">
        <f t="shared" ref="CL29" si="150">CL28+CK29</f>
        <v>284387248.50214821</v>
      </c>
      <c r="CM29" s="3">
        <f t="shared" ref="CM29" si="151">CM28+CL29</f>
        <v>284956800.84002489</v>
      </c>
      <c r="CN29" s="3">
        <f t="shared" ref="CN29" si="152">CN28+CM29</f>
        <v>285475432.90737033</v>
      </c>
      <c r="CO29" s="3">
        <f t="shared" ref="CO29" si="153">CO28+CN29</f>
        <v>285927892.96793073</v>
      </c>
      <c r="CP29" s="3">
        <f t="shared" ref="CP29" si="154">CP28+CO29</f>
        <v>286344174.72572756</v>
      </c>
      <c r="CQ29" s="3">
        <f t="shared" ref="CQ29" si="155">CQ28+CP29</f>
        <v>286697255.93733919</v>
      </c>
      <c r="CR29" s="3">
        <f t="shared" ref="CR29" si="156">CR28+CQ29</f>
        <v>287010503.91296476</v>
      </c>
      <c r="CS29" s="3">
        <f t="shared" ref="CS29" si="157">CS28+CR29</f>
        <v>287271977.27018493</v>
      </c>
      <c r="CT29" s="3">
        <f t="shared" ref="CT29" si="158">CT28+CS29</f>
        <v>287461226.70209122</v>
      </c>
      <c r="CU29" s="3">
        <f t="shared" ref="CU29" si="159">CU28+CT29</f>
        <v>287618632.50104296</v>
      </c>
      <c r="CV29" s="3">
        <f t="shared" ref="CV29" si="160">CV28+CU29</f>
        <v>287720353.50745338</v>
      </c>
      <c r="CW29" s="3">
        <f t="shared" ref="CW29" si="161">CW28+CV29</f>
        <v>287772996.80810869</v>
      </c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</row>
    <row r="30" spans="1:128" x14ac:dyDescent="0.2">
      <c r="A30" s="2" t="s">
        <v>7</v>
      </c>
      <c r="B30" s="159">
        <f>B43+B56+B69</f>
        <v>0</v>
      </c>
      <c r="C30" s="159">
        <f t="shared" ref="C30:BN30" si="162">C43+C56+C69</f>
        <v>0</v>
      </c>
      <c r="D30" s="159">
        <f t="shared" si="162"/>
        <v>0</v>
      </c>
      <c r="E30" s="159">
        <f t="shared" si="162"/>
        <v>0</v>
      </c>
      <c r="F30" s="159">
        <f t="shared" si="162"/>
        <v>0</v>
      </c>
      <c r="G30" s="159">
        <f t="shared" si="162"/>
        <v>0</v>
      </c>
      <c r="H30" s="159">
        <f t="shared" si="162"/>
        <v>0</v>
      </c>
      <c r="I30" s="159">
        <f t="shared" si="162"/>
        <v>0</v>
      </c>
      <c r="J30" s="159">
        <f t="shared" si="162"/>
        <v>39687500</v>
      </c>
      <c r="K30" s="159">
        <f t="shared" si="162"/>
        <v>39687500</v>
      </c>
      <c r="L30" s="3">
        <f t="shared" si="162"/>
        <v>11365734.029597891</v>
      </c>
      <c r="M30" s="3">
        <f t="shared" si="162"/>
        <v>11403619.809696553</v>
      </c>
      <c r="N30" s="3">
        <f t="shared" si="162"/>
        <v>11441631.875728872</v>
      </c>
      <c r="O30" s="3">
        <f t="shared" si="162"/>
        <v>11479770.648647971</v>
      </c>
      <c r="P30" s="3">
        <f t="shared" si="162"/>
        <v>11518036.550810128</v>
      </c>
      <c r="Q30" s="3">
        <f t="shared" si="162"/>
        <v>11556430.005979495</v>
      </c>
      <c r="R30" s="3">
        <f t="shared" si="162"/>
        <v>11594951.439332761</v>
      </c>
      <c r="S30" s="3">
        <f t="shared" si="162"/>
        <v>11633601.277463872</v>
      </c>
      <c r="T30" s="3">
        <f t="shared" si="162"/>
        <v>11672379.94838875</v>
      </c>
      <c r="U30" s="3">
        <f t="shared" si="162"/>
        <v>11711287.881550048</v>
      </c>
      <c r="V30" s="3">
        <f t="shared" si="162"/>
        <v>11750325.507821878</v>
      </c>
      <c r="W30" s="3">
        <f t="shared" si="162"/>
        <v>11789493.259514621</v>
      </c>
      <c r="X30" s="3">
        <f t="shared" si="162"/>
        <v>11828791.570379669</v>
      </c>
      <c r="Y30" s="3">
        <f t="shared" si="162"/>
        <v>11868220.875614267</v>
      </c>
      <c r="Z30" s="3">
        <f t="shared" si="162"/>
        <v>11907781.611866316</v>
      </c>
      <c r="AA30" s="3">
        <f t="shared" si="162"/>
        <v>11947474.217239203</v>
      </c>
      <c r="AB30" s="3">
        <f t="shared" si="162"/>
        <v>11987299.131296666</v>
      </c>
      <c r="AC30" s="3">
        <f t="shared" si="162"/>
        <v>12027256.795067657</v>
      </c>
      <c r="AD30" s="3">
        <f t="shared" si="162"/>
        <v>12067347.651051216</v>
      </c>
      <c r="AE30" s="3">
        <f t="shared" si="162"/>
        <v>12107572.143221386</v>
      </c>
      <c r="AF30" s="3">
        <f t="shared" si="162"/>
        <v>12147930.717032123</v>
      </c>
      <c r="AG30" s="3">
        <f t="shared" si="162"/>
        <v>12188423.819422228</v>
      </c>
      <c r="AH30" s="3">
        <f t="shared" si="162"/>
        <v>12229051.898820305</v>
      </c>
      <c r="AI30" s="3">
        <f t="shared" si="162"/>
        <v>12269815.405149706</v>
      </c>
      <c r="AJ30" s="3">
        <f t="shared" si="162"/>
        <v>12310714.789833538</v>
      </c>
      <c r="AK30" s="3">
        <f t="shared" si="162"/>
        <v>12351750.505799651</v>
      </c>
      <c r="AL30" s="3">
        <f t="shared" si="162"/>
        <v>12392923.00748565</v>
      </c>
      <c r="AM30" s="3">
        <f t="shared" si="162"/>
        <v>12434232.750843935</v>
      </c>
      <c r="AN30" s="3">
        <f t="shared" si="162"/>
        <v>12475680.193346746</v>
      </c>
      <c r="AO30" s="3">
        <f t="shared" si="162"/>
        <v>12517265.793991238</v>
      </c>
      <c r="AP30" s="3">
        <f t="shared" si="162"/>
        <v>12558990.013304543</v>
      </c>
      <c r="AQ30" s="3">
        <f t="shared" si="162"/>
        <v>12600853.313348889</v>
      </c>
      <c r="AR30" s="3">
        <f t="shared" si="162"/>
        <v>12642856.15772672</v>
      </c>
      <c r="AS30" s="3">
        <f t="shared" si="162"/>
        <v>12684999.011585809</v>
      </c>
      <c r="AT30" s="3">
        <f t="shared" si="162"/>
        <v>12727282.341624428</v>
      </c>
      <c r="AU30" s="3">
        <f t="shared" si="162"/>
        <v>12769706.61609651</v>
      </c>
      <c r="AV30" s="3">
        <f t="shared" si="162"/>
        <v>12812272.304816831</v>
      </c>
      <c r="AW30" s="3">
        <f t="shared" si="162"/>
        <v>12854979.879166218</v>
      </c>
      <c r="AX30" s="3">
        <f t="shared" si="162"/>
        <v>12897829.812096773</v>
      </c>
      <c r="AY30" s="3">
        <f t="shared" si="162"/>
        <v>12940822.578137094</v>
      </c>
      <c r="AZ30" s="3">
        <f t="shared" si="162"/>
        <v>12983958.653397553</v>
      </c>
      <c r="BA30" s="3">
        <f t="shared" si="162"/>
        <v>13027238.515575545</v>
      </c>
      <c r="BB30" s="3">
        <f t="shared" si="162"/>
        <v>13070662.643960796</v>
      </c>
      <c r="BC30" s="3">
        <f t="shared" si="162"/>
        <v>13114231.519440666</v>
      </c>
      <c r="BD30" s="3">
        <f t="shared" si="162"/>
        <v>13157945.624505468</v>
      </c>
      <c r="BE30" s="3">
        <f t="shared" si="162"/>
        <v>13201805.443253821</v>
      </c>
      <c r="BF30" s="3">
        <f t="shared" si="162"/>
        <v>13245811.461398</v>
      </c>
      <c r="BG30" s="3">
        <f t="shared" si="162"/>
        <v>13289964.166269327</v>
      </c>
      <c r="BH30" s="3">
        <f t="shared" si="162"/>
        <v>13334264.046823557</v>
      </c>
      <c r="BI30" s="3">
        <f t="shared" si="162"/>
        <v>13378711.593646303</v>
      </c>
      <c r="BJ30" s="3">
        <f t="shared" si="162"/>
        <v>13423307.298958456</v>
      </c>
      <c r="BK30" s="3">
        <f t="shared" si="162"/>
        <v>13468051.656621652</v>
      </c>
      <c r="BL30" s="3">
        <f t="shared" si="162"/>
        <v>13512945.162143722</v>
      </c>
      <c r="BM30" s="3">
        <f t="shared" si="162"/>
        <v>13557988.312684203</v>
      </c>
      <c r="BN30" s="3">
        <f t="shared" si="162"/>
        <v>13603181.607059816</v>
      </c>
      <c r="BO30" s="3">
        <f t="shared" ref="BO30:CW30" si="163">BO43+BO56+BO69</f>
        <v>13648525.545750014</v>
      </c>
      <c r="BP30" s="3">
        <f t="shared" si="163"/>
        <v>13694020.630902516</v>
      </c>
      <c r="BQ30" s="3">
        <f t="shared" si="163"/>
        <v>13739667.366338858</v>
      </c>
      <c r="BR30" s="3">
        <f t="shared" si="163"/>
        <v>13785466.257559987</v>
      </c>
      <c r="BS30" s="3">
        <f t="shared" si="163"/>
        <v>13831417.811751854</v>
      </c>
      <c r="BT30" s="3">
        <f t="shared" si="163"/>
        <v>13877522.537791027</v>
      </c>
      <c r="BU30" s="3">
        <f t="shared" si="163"/>
        <v>13923780.946250329</v>
      </c>
      <c r="BV30" s="3">
        <f t="shared" si="163"/>
        <v>13970193.549404498</v>
      </c>
      <c r="BW30" s="3">
        <f t="shared" si="163"/>
        <v>14016760.861235846</v>
      </c>
      <c r="BX30" s="3">
        <f t="shared" si="163"/>
        <v>14063483.397439964</v>
      </c>
      <c r="BY30" s="3">
        <f t="shared" si="163"/>
        <v>14110361.675431434</v>
      </c>
      <c r="BZ30" s="3">
        <f t="shared" si="163"/>
        <v>14157396.21434954</v>
      </c>
      <c r="CA30" s="3">
        <f t="shared" si="163"/>
        <v>14204587.535064036</v>
      </c>
      <c r="CB30" s="3">
        <f t="shared" si="163"/>
        <v>14251936.160180915</v>
      </c>
      <c r="CC30" s="3">
        <f t="shared" si="163"/>
        <v>14299442.614048187</v>
      </c>
      <c r="CD30" s="3">
        <f t="shared" si="163"/>
        <v>14347107.422761679</v>
      </c>
      <c r="CE30" s="3">
        <f t="shared" si="163"/>
        <v>14394931.114170885</v>
      </c>
      <c r="CF30" s="3">
        <f t="shared" si="163"/>
        <v>14442914.217884786</v>
      </c>
      <c r="CG30" s="3">
        <f t="shared" si="163"/>
        <v>14491057.265277738</v>
      </c>
      <c r="CH30" s="3">
        <f t="shared" si="163"/>
        <v>14539360.789495332</v>
      </c>
      <c r="CI30" s="3">
        <f t="shared" si="163"/>
        <v>14587825.325460315</v>
      </c>
      <c r="CJ30" s="3">
        <f t="shared" si="163"/>
        <v>14636451.409878517</v>
      </c>
      <c r="CK30" s="3">
        <f t="shared" si="163"/>
        <v>14685239.581244778</v>
      </c>
      <c r="CL30" s="3">
        <f t="shared" si="163"/>
        <v>14734190.379848925</v>
      </c>
      <c r="CM30" s="3">
        <f t="shared" si="163"/>
        <v>14783304.347781757</v>
      </c>
      <c r="CN30" s="3">
        <f t="shared" si="163"/>
        <v>14832582.028941028</v>
      </c>
      <c r="CO30" s="3">
        <f t="shared" si="163"/>
        <v>14882023.969037497</v>
      </c>
      <c r="CP30" s="3">
        <f t="shared" si="163"/>
        <v>14931630.715600956</v>
      </c>
      <c r="CQ30" s="3">
        <f t="shared" si="163"/>
        <v>14981402.817986295</v>
      </c>
      <c r="CR30" s="3">
        <f t="shared" si="163"/>
        <v>15031340.827379581</v>
      </c>
      <c r="CS30" s="3">
        <f t="shared" si="163"/>
        <v>15081445.296804179</v>
      </c>
      <c r="CT30" s="3">
        <f t="shared" si="163"/>
        <v>15131716.781126861</v>
      </c>
      <c r="CU30" s="3">
        <f t="shared" si="163"/>
        <v>15182155.83706395</v>
      </c>
      <c r="CV30" s="3">
        <f t="shared" si="163"/>
        <v>15232763.023187498</v>
      </c>
      <c r="CW30" s="3">
        <f t="shared" si="163"/>
        <v>15283538.899931455</v>
      </c>
    </row>
    <row r="31" spans="1:128" x14ac:dyDescent="0.2">
      <c r="A31" s="2" t="s">
        <v>13</v>
      </c>
      <c r="B31" s="159">
        <v>0</v>
      </c>
      <c r="C31" s="159">
        <f t="shared" ref="C31:K31" si="164">C30+B31</f>
        <v>0</v>
      </c>
      <c r="D31" s="159">
        <f t="shared" si="164"/>
        <v>0</v>
      </c>
      <c r="E31" s="159">
        <f t="shared" si="164"/>
        <v>0</v>
      </c>
      <c r="F31" s="159">
        <f t="shared" si="164"/>
        <v>0</v>
      </c>
      <c r="G31" s="159">
        <f t="shared" si="164"/>
        <v>0</v>
      </c>
      <c r="H31" s="159">
        <f t="shared" si="164"/>
        <v>0</v>
      </c>
      <c r="I31" s="159">
        <f t="shared" si="164"/>
        <v>0</v>
      </c>
      <c r="J31" s="159">
        <f t="shared" si="164"/>
        <v>39687500</v>
      </c>
      <c r="K31" s="159">
        <f t="shared" si="164"/>
        <v>79375000</v>
      </c>
      <c r="L31" s="3">
        <f t="shared" ref="L31" si="165">L30+K31</f>
        <v>90740734.029597893</v>
      </c>
      <c r="M31" s="3">
        <f t="shared" ref="M31" si="166">M30+L31</f>
        <v>102144353.83929445</v>
      </c>
      <c r="N31" s="3">
        <f t="shared" ref="N31" si="167">N30+M31</f>
        <v>113585985.71502332</v>
      </c>
      <c r="O31" s="3">
        <f t="shared" ref="O31" si="168">O30+N31</f>
        <v>125065756.3636713</v>
      </c>
      <c r="P31" s="3">
        <f t="shared" ref="P31" si="169">P30+O31</f>
        <v>136583792.91448143</v>
      </c>
      <c r="Q31" s="3">
        <f t="shared" ref="Q31" si="170">Q30+P31</f>
        <v>148140222.92046094</v>
      </c>
      <c r="R31" s="3">
        <f t="shared" ref="R31" si="171">R30+Q31</f>
        <v>159735174.35979369</v>
      </c>
      <c r="S31" s="3">
        <f t="shared" ref="S31" si="172">S30+R31</f>
        <v>171368775.63725758</v>
      </c>
      <c r="T31" s="3">
        <f t="shared" ref="T31" si="173">T30+S31</f>
        <v>183041155.58564633</v>
      </c>
      <c r="U31" s="3">
        <f t="shared" ref="U31" si="174">U30+T31</f>
        <v>194752443.46719638</v>
      </c>
      <c r="V31" s="3">
        <f t="shared" ref="V31" si="175">V30+U31</f>
        <v>206502768.97501826</v>
      </c>
      <c r="W31" s="3">
        <f t="shared" ref="W31" si="176">W30+V31</f>
        <v>218292262.23453289</v>
      </c>
      <c r="X31" s="3">
        <f t="shared" ref="X31" si="177">X30+W31</f>
        <v>230121053.80491257</v>
      </c>
      <c r="Y31" s="3">
        <f t="shared" ref="Y31" si="178">Y30+X31</f>
        <v>241989274.68052682</v>
      </c>
      <c r="Z31" s="3">
        <f t="shared" ref="Z31" si="179">Z30+Y31</f>
        <v>253897056.29239315</v>
      </c>
      <c r="AA31" s="3">
        <f t="shared" ref="AA31" si="180">AA30+Z31</f>
        <v>265844530.50963235</v>
      </c>
      <c r="AB31" s="3">
        <f t="shared" ref="AB31" si="181">AB30+AA31</f>
        <v>277831829.64092904</v>
      </c>
      <c r="AC31" s="3">
        <f t="shared" ref="AC31" si="182">AC30+AB31</f>
        <v>289859086.43599671</v>
      </c>
      <c r="AD31" s="3">
        <f t="shared" ref="AD31" si="183">AD30+AC31</f>
        <v>301926434.08704793</v>
      </c>
      <c r="AE31" s="3">
        <f t="shared" ref="AE31" si="184">AE30+AD31</f>
        <v>314034006.23026931</v>
      </c>
      <c r="AF31" s="3">
        <f t="shared" ref="AF31" si="185">AF30+AE31</f>
        <v>326181936.94730145</v>
      </c>
      <c r="AG31" s="3">
        <f t="shared" ref="AG31" si="186">AG30+AF31</f>
        <v>338370360.76672369</v>
      </c>
      <c r="AH31" s="3">
        <f t="shared" ref="AH31" si="187">AH30+AG31</f>
        <v>350599412.66554397</v>
      </c>
      <c r="AI31" s="3">
        <f t="shared" ref="AI31" si="188">AI30+AH31</f>
        <v>362869228.07069367</v>
      </c>
      <c r="AJ31" s="3">
        <f t="shared" ref="AJ31" si="189">AJ30+AI31</f>
        <v>375179942.86052722</v>
      </c>
      <c r="AK31" s="3">
        <f t="shared" ref="AK31" si="190">AK30+AJ31</f>
        <v>387531693.36632687</v>
      </c>
      <c r="AL31" s="3">
        <f t="shared" ref="AL31" si="191">AL30+AK31</f>
        <v>399924616.3738125</v>
      </c>
      <c r="AM31" s="3">
        <f t="shared" ref="AM31" si="192">AM30+AL31</f>
        <v>412358849.12465644</v>
      </c>
      <c r="AN31" s="3">
        <f t="shared" ref="AN31" si="193">AN30+AM31</f>
        <v>424834529.31800318</v>
      </c>
      <c r="AO31" s="3">
        <f t="shared" ref="AO31" si="194">AO30+AN31</f>
        <v>437351795.11199439</v>
      </c>
      <c r="AP31" s="3">
        <f t="shared" ref="AP31" si="195">AP30+AO31</f>
        <v>449910785.12529892</v>
      </c>
      <c r="AQ31" s="3">
        <f t="shared" ref="AQ31" si="196">AQ30+AP31</f>
        <v>462511638.43864781</v>
      </c>
      <c r="AR31" s="3">
        <f t="shared" ref="AR31" si="197">AR30+AQ31</f>
        <v>475154494.59637451</v>
      </c>
      <c r="AS31" s="3">
        <f t="shared" ref="AS31" si="198">AS30+AR31</f>
        <v>487839493.60796034</v>
      </c>
      <c r="AT31" s="3">
        <f t="shared" ref="AT31" si="199">AT30+AS31</f>
        <v>500566775.94958478</v>
      </c>
      <c r="AU31" s="3">
        <f t="shared" ref="AU31" si="200">AU30+AT31</f>
        <v>513336482.56568128</v>
      </c>
      <c r="AV31" s="3">
        <f t="shared" ref="AV31" si="201">AV30+AU31</f>
        <v>526148754.87049812</v>
      </c>
      <c r="AW31" s="3">
        <f t="shared" ref="AW31" si="202">AW30+AV31</f>
        <v>539003734.74966431</v>
      </c>
      <c r="AX31" s="3">
        <f t="shared" ref="AX31" si="203">AX30+AW31</f>
        <v>551901564.56176102</v>
      </c>
      <c r="AY31" s="3">
        <f t="shared" ref="AY31" si="204">AY30+AX31</f>
        <v>564842387.13989806</v>
      </c>
      <c r="AZ31" s="3">
        <f t="shared" ref="AZ31" si="205">AZ30+AY31</f>
        <v>577826345.79329562</v>
      </c>
      <c r="BA31" s="3">
        <f t="shared" ref="BA31" si="206">BA30+AZ31</f>
        <v>590853584.30887115</v>
      </c>
      <c r="BB31" s="3">
        <f t="shared" ref="BB31" si="207">BB30+BA31</f>
        <v>603924246.95283198</v>
      </c>
      <c r="BC31" s="3">
        <f t="shared" ref="BC31" si="208">BC30+BB31</f>
        <v>617038478.47227263</v>
      </c>
      <c r="BD31" s="3">
        <f t="shared" ref="BD31" si="209">BD30+BC31</f>
        <v>630196424.09677815</v>
      </c>
      <c r="BE31" s="3">
        <f t="shared" ref="BE31" si="210">BE30+BD31</f>
        <v>643398229.54003203</v>
      </c>
      <c r="BF31" s="3">
        <f t="shared" ref="BF31" si="211">BF30+BE31</f>
        <v>656644041.00143003</v>
      </c>
      <c r="BG31" s="3">
        <f t="shared" ref="BG31" si="212">BG30+BF31</f>
        <v>669934005.16769934</v>
      </c>
      <c r="BH31" s="3">
        <f t="shared" ref="BH31" si="213">BH30+BG31</f>
        <v>683268269.21452284</v>
      </c>
      <c r="BI31" s="3">
        <f t="shared" ref="BI31" si="214">BI30+BH31</f>
        <v>696646980.80816913</v>
      </c>
      <c r="BJ31" s="3">
        <f t="shared" ref="BJ31" si="215">BJ30+BI31</f>
        <v>710070288.10712755</v>
      </c>
      <c r="BK31" s="3">
        <f t="shared" ref="BK31" si="216">BK30+BJ31</f>
        <v>723538339.76374924</v>
      </c>
      <c r="BL31" s="3">
        <f t="shared" ref="BL31" si="217">BL30+BK31</f>
        <v>737051284.92589295</v>
      </c>
      <c r="BM31" s="3">
        <f t="shared" ref="BM31" si="218">BM30+BL31</f>
        <v>750609273.23857713</v>
      </c>
      <c r="BN31" s="3">
        <f t="shared" ref="BN31" si="219">BN30+BM31</f>
        <v>764212454.84563696</v>
      </c>
      <c r="BO31" s="3">
        <f t="shared" ref="BO31" si="220">BO30+BN31</f>
        <v>777860980.39138699</v>
      </c>
      <c r="BP31" s="3">
        <f t="shared" ref="BP31" si="221">BP30+BO31</f>
        <v>791555001.02228951</v>
      </c>
      <c r="BQ31" s="3">
        <f t="shared" ref="BQ31" si="222">BQ30+BP31</f>
        <v>805294668.38862836</v>
      </c>
      <c r="BR31" s="3">
        <f t="shared" ref="BR31" si="223">BR30+BQ31</f>
        <v>819080134.64618838</v>
      </c>
      <c r="BS31" s="3">
        <f t="shared" ref="BS31" si="224">BS30+BR31</f>
        <v>832911552.45794022</v>
      </c>
      <c r="BT31" s="3">
        <f t="shared" ref="BT31" si="225">BT30+BS31</f>
        <v>846789074.99573123</v>
      </c>
      <c r="BU31" s="3">
        <f t="shared" ref="BU31" si="226">BU30+BT31</f>
        <v>860712855.94198155</v>
      </c>
      <c r="BV31" s="3">
        <f t="shared" ref="BV31" si="227">BV30+BU31</f>
        <v>874683049.49138606</v>
      </c>
      <c r="BW31" s="3">
        <f t="shared" ref="BW31" si="228">BW30+BV31</f>
        <v>888699810.35262191</v>
      </c>
      <c r="BX31" s="3">
        <f t="shared" ref="BX31" si="229">BX30+BW31</f>
        <v>902763293.75006187</v>
      </c>
      <c r="BY31" s="3">
        <f t="shared" ref="BY31" si="230">BY30+BX31</f>
        <v>916873655.42549336</v>
      </c>
      <c r="BZ31" s="3">
        <f t="shared" ref="BZ31" si="231">BZ30+BY31</f>
        <v>931031051.63984287</v>
      </c>
      <c r="CA31" s="3">
        <f t="shared" ref="CA31" si="232">CA30+BZ31</f>
        <v>945235639.17490685</v>
      </c>
      <c r="CB31" s="3">
        <f t="shared" ref="CB31" si="233">CB30+CA31</f>
        <v>959487575.33508778</v>
      </c>
      <c r="CC31" s="3">
        <f t="shared" ref="CC31" si="234">CC30+CB31</f>
        <v>973787017.94913602</v>
      </c>
      <c r="CD31" s="3">
        <f t="shared" ref="CD31" si="235">CD30+CC31</f>
        <v>988134125.3718977</v>
      </c>
      <c r="CE31" s="3">
        <f t="shared" ref="CE31" si="236">CE30+CD31</f>
        <v>1002529056.4860686</v>
      </c>
      <c r="CF31" s="3">
        <f t="shared" ref="CF31" si="237">CF30+CE31</f>
        <v>1016971970.7039534</v>
      </c>
      <c r="CG31" s="3">
        <f t="shared" ref="CG31" si="238">CG30+CF31</f>
        <v>1031463027.9692311</v>
      </c>
      <c r="CH31" s="3">
        <f t="shared" ref="CH31" si="239">CH30+CG31</f>
        <v>1046002388.7587265</v>
      </c>
      <c r="CI31" s="3">
        <f t="shared" ref="CI31" si="240">CI30+CH31</f>
        <v>1060590214.0841868</v>
      </c>
      <c r="CJ31" s="3">
        <f t="shared" ref="CJ31" si="241">CJ30+CI31</f>
        <v>1075226665.4940653</v>
      </c>
      <c r="CK31" s="3">
        <f t="shared" ref="CK31" si="242">CK30+CJ31</f>
        <v>1089911905.07531</v>
      </c>
      <c r="CL31" s="3">
        <f t="shared" ref="CL31" si="243">CL30+CK31</f>
        <v>1104646095.4551589</v>
      </c>
      <c r="CM31" s="3">
        <f t="shared" ref="CM31" si="244">CM30+CL31</f>
        <v>1119429399.8029406</v>
      </c>
      <c r="CN31" s="3">
        <f t="shared" ref="CN31" si="245">CN30+CM31</f>
        <v>1134261981.8318815</v>
      </c>
      <c r="CO31" s="3">
        <f t="shared" ref="CO31" si="246">CO30+CN31</f>
        <v>1149144005.8009191</v>
      </c>
      <c r="CP31" s="3">
        <f t="shared" ref="CP31" si="247">CP30+CO31</f>
        <v>1164075636.51652</v>
      </c>
      <c r="CQ31" s="3">
        <f t="shared" ref="CQ31" si="248">CQ30+CP31</f>
        <v>1179057039.3345063</v>
      </c>
      <c r="CR31" s="3">
        <f t="shared" ref="CR31" si="249">CR30+CQ31</f>
        <v>1194088380.1618857</v>
      </c>
      <c r="CS31" s="3">
        <f t="shared" ref="CS31" si="250">CS30+CR31</f>
        <v>1209169825.4586899</v>
      </c>
      <c r="CT31" s="3">
        <f t="shared" ref="CT31" si="251">CT30+CS31</f>
        <v>1224301542.2398169</v>
      </c>
      <c r="CU31" s="3">
        <f t="shared" ref="CU31" si="252">CU30+CT31</f>
        <v>1239483698.0768809</v>
      </c>
      <c r="CV31" s="3">
        <f t="shared" ref="CV31" si="253">CV30+CU31</f>
        <v>1254716461.1000683</v>
      </c>
      <c r="CW31" s="3">
        <f t="shared" ref="CW31" si="254">CW30+CV31</f>
        <v>1269999999.9999998</v>
      </c>
    </row>
    <row r="32" spans="1:128" x14ac:dyDescent="0.2">
      <c r="A32" s="2" t="s">
        <v>8</v>
      </c>
      <c r="B32" s="160">
        <f>B28+B30</f>
        <v>1372338.3333333335</v>
      </c>
      <c r="C32" s="160">
        <f t="shared" ref="C32:E32" si="255">C28+C30</f>
        <v>2190926.1111111115</v>
      </c>
      <c r="D32" s="160">
        <f t="shared" si="255"/>
        <v>5500926.6666666679</v>
      </c>
      <c r="E32" s="160">
        <f t="shared" si="255"/>
        <v>10858322.222222222</v>
      </c>
      <c r="F32" s="160">
        <f>F28+F30</f>
        <v>10858322.222222222</v>
      </c>
      <c r="G32" s="160">
        <f t="shared" ref="G32:BR32" si="256">G28+G30</f>
        <v>13336808.333333334</v>
      </c>
      <c r="H32" s="160">
        <f t="shared" si="256"/>
        <v>12841111.111111112</v>
      </c>
      <c r="I32" s="160">
        <f t="shared" si="256"/>
        <v>12841111.111111112</v>
      </c>
      <c r="J32" s="160">
        <f t="shared" si="256"/>
        <v>52951944.444444448</v>
      </c>
      <c r="K32" s="160">
        <f t="shared" si="256"/>
        <v>52127326.388888888</v>
      </c>
      <c r="L32" s="15">
        <f t="shared" si="256"/>
        <v>15466775.696264558</v>
      </c>
      <c r="M32" s="15">
        <f t="shared" si="256"/>
        <v>15203455.222267849</v>
      </c>
      <c r="N32" s="15">
        <f t="shared" si="256"/>
        <v>15464245.768060192</v>
      </c>
      <c r="O32" s="15">
        <f t="shared" si="256"/>
        <v>15462974.475629557</v>
      </c>
      <c r="P32" s="15">
        <f t="shared" si="256"/>
        <v>15207269.113638299</v>
      </c>
      <c r="Q32" s="15">
        <f t="shared" si="256"/>
        <v>15586354.297839116</v>
      </c>
      <c r="R32" s="15">
        <f t="shared" si="256"/>
        <v>15334484.029597891</v>
      </c>
      <c r="S32" s="15">
        <f t="shared" si="256"/>
        <v>15211121.271193426</v>
      </c>
      <c r="T32" s="15">
        <f t="shared" si="256"/>
        <v>15700694.437718805</v>
      </c>
      <c r="U32" s="15">
        <f t="shared" si="256"/>
        <v>15334484.029597893</v>
      </c>
      <c r="V32" s="15">
        <f t="shared" si="256"/>
        <v>15453955.980323758</v>
      </c>
      <c r="W32" s="15">
        <f t="shared" si="256"/>
        <v>15334484.029597893</v>
      </c>
      <c r="X32" s="15">
        <f t="shared" si="256"/>
        <v>15451340.444905166</v>
      </c>
      <c r="Y32" s="15">
        <f t="shared" si="256"/>
        <v>15450026.134730678</v>
      </c>
      <c r="Z32" s="15">
        <f t="shared" si="256"/>
        <v>15106037.201749122</v>
      </c>
      <c r="AA32" s="15">
        <f t="shared" si="256"/>
        <v>15447384.356676515</v>
      </c>
      <c r="AB32" s="15">
        <f t="shared" si="256"/>
        <v>15334484.029597891</v>
      </c>
      <c r="AC32" s="15">
        <f t="shared" si="256"/>
        <v>15444724.937415568</v>
      </c>
      <c r="AD32" s="15">
        <f t="shared" si="256"/>
        <v>15334484.029597893</v>
      </c>
      <c r="AE32" s="15">
        <f t="shared" si="256"/>
        <v>15442047.759143775</v>
      </c>
      <c r="AF32" s="15">
        <f t="shared" si="256"/>
        <v>15440702.473350085</v>
      </c>
      <c r="AG32" s="15">
        <f t="shared" si="256"/>
        <v>15334484.02959789</v>
      </c>
      <c r="AH32" s="15">
        <f t="shared" si="256"/>
        <v>15437998.433957145</v>
      </c>
      <c r="AI32" s="15">
        <f t="shared" si="256"/>
        <v>15334484.029597893</v>
      </c>
      <c r="AJ32" s="15">
        <f t="shared" si="256"/>
        <v>15435276.337590039</v>
      </c>
      <c r="AK32" s="15">
        <f t="shared" si="256"/>
        <v>15433908.480391169</v>
      </c>
      <c r="AL32" s="15">
        <f t="shared" si="256"/>
        <v>15138379.961457077</v>
      </c>
      <c r="AM32" s="15">
        <f t="shared" si="256"/>
        <v>15431159.072223024</v>
      </c>
      <c r="AN32" s="15">
        <f t="shared" si="256"/>
        <v>15334484.029597891</v>
      </c>
      <c r="AO32" s="15">
        <f t="shared" si="256"/>
        <v>15428391.304118115</v>
      </c>
      <c r="AP32" s="15">
        <f t="shared" si="256"/>
        <v>15334484.029597893</v>
      </c>
      <c r="AQ32" s="15">
        <f t="shared" si="256"/>
        <v>15425605.05347286</v>
      </c>
      <c r="AR32" s="15">
        <f t="shared" si="256"/>
        <v>15424204.958660265</v>
      </c>
      <c r="AS32" s="15">
        <f t="shared" si="256"/>
        <v>15334484.029597893</v>
      </c>
      <c r="AT32" s="15">
        <f t="shared" si="256"/>
        <v>15421390.752530342</v>
      </c>
      <c r="AU32" s="15">
        <f t="shared" si="256"/>
        <v>15334484.029597893</v>
      </c>
      <c r="AV32" s="15">
        <f t="shared" si="256"/>
        <v>15418557.753757261</v>
      </c>
      <c r="AW32" s="15">
        <f t="shared" si="256"/>
        <v>15417134.167945612</v>
      </c>
      <c r="AX32" s="15">
        <f t="shared" si="256"/>
        <v>15172040.415097818</v>
      </c>
      <c r="AY32" s="15">
        <f t="shared" si="256"/>
        <v>15414272.744646583</v>
      </c>
      <c r="AZ32" s="15">
        <f t="shared" si="256"/>
        <v>15334484.029597891</v>
      </c>
      <c r="BA32" s="15">
        <f t="shared" si="256"/>
        <v>15411392.213398637</v>
      </c>
      <c r="BB32" s="15">
        <f t="shared" si="256"/>
        <v>15334484.029597891</v>
      </c>
      <c r="BC32" s="15">
        <f t="shared" si="256"/>
        <v>15408492.446603134</v>
      </c>
      <c r="BD32" s="15">
        <f t="shared" si="256"/>
        <v>15407035.309767639</v>
      </c>
      <c r="BE32" s="15">
        <f t="shared" si="256"/>
        <v>15334484.029597893</v>
      </c>
      <c r="BF32" s="15">
        <f t="shared" si="256"/>
        <v>15404106.44853789</v>
      </c>
      <c r="BG32" s="15">
        <f t="shared" si="256"/>
        <v>15334484.029597893</v>
      </c>
      <c r="BH32" s="15">
        <f t="shared" si="256"/>
        <v>15401158.029023703</v>
      </c>
      <c r="BI32" s="15">
        <f t="shared" si="256"/>
        <v>15399676.444129612</v>
      </c>
      <c r="BJ32" s="15">
        <f t="shared" si="256"/>
        <v>15270778.138576576</v>
      </c>
      <c r="BK32" s="15">
        <f t="shared" si="256"/>
        <v>15396698.442030434</v>
      </c>
      <c r="BL32" s="15">
        <f t="shared" si="256"/>
        <v>15334484.02959789</v>
      </c>
      <c r="BM32" s="15">
        <f t="shared" si="256"/>
        <v>15393700.553495016</v>
      </c>
      <c r="BN32" s="15">
        <f t="shared" si="256"/>
        <v>15334484.029597891</v>
      </c>
      <c r="BO32" s="15">
        <f t="shared" si="256"/>
        <v>15390682.645726154</v>
      </c>
      <c r="BP32" s="15">
        <f t="shared" si="256"/>
        <v>15389166.142887738</v>
      </c>
      <c r="BQ32" s="15">
        <f t="shared" si="256"/>
        <v>15334484.029597893</v>
      </c>
      <c r="BR32" s="15">
        <f t="shared" si="256"/>
        <v>15386117.95533249</v>
      </c>
      <c r="BS32" s="15">
        <f t="shared" ref="BS32:CW32" si="257">BS28+BS30</f>
        <v>15334484.029597891</v>
      </c>
      <c r="BT32" s="15">
        <f t="shared" si="257"/>
        <v>15383049.412658121</v>
      </c>
      <c r="BU32" s="15">
        <f t="shared" si="257"/>
        <v>15381507.465709476</v>
      </c>
      <c r="BV32" s="15">
        <f t="shared" si="257"/>
        <v>15243531.330918333</v>
      </c>
      <c r="BW32" s="15">
        <f t="shared" si="257"/>
        <v>15378408.135209961</v>
      </c>
      <c r="BX32" s="15">
        <f t="shared" si="257"/>
        <v>15334484.029597891</v>
      </c>
      <c r="BY32" s="15">
        <f t="shared" si="257"/>
        <v>15375288.108070109</v>
      </c>
      <c r="BZ32" s="15">
        <f t="shared" si="257"/>
        <v>15334484.029597895</v>
      </c>
      <c r="CA32" s="15">
        <f t="shared" si="257"/>
        <v>15372147.246082354</v>
      </c>
      <c r="CB32" s="15">
        <f t="shared" si="257"/>
        <v>15370568.958578458</v>
      </c>
      <c r="CC32" s="15">
        <f t="shared" si="257"/>
        <v>15334484.029597893</v>
      </c>
      <c r="CD32" s="15">
        <f t="shared" si="257"/>
        <v>15367396.583159098</v>
      </c>
      <c r="CE32" s="15">
        <f t="shared" si="257"/>
        <v>15334484.029597891</v>
      </c>
      <c r="CF32" s="15">
        <f t="shared" si="257"/>
        <v>15364203.023321662</v>
      </c>
      <c r="CG32" s="15">
        <f t="shared" si="257"/>
        <v>15362598.255075231</v>
      </c>
      <c r="CH32" s="15">
        <f t="shared" si="257"/>
        <v>15281475.813591057</v>
      </c>
      <c r="CI32" s="15">
        <f t="shared" si="257"/>
        <v>15359372.653069146</v>
      </c>
      <c r="CJ32" s="15">
        <f t="shared" si="257"/>
        <v>15334484.029597893</v>
      </c>
      <c r="CK32" s="15">
        <f t="shared" si="257"/>
        <v>15356125.511209665</v>
      </c>
      <c r="CL32" s="15">
        <f t="shared" si="257"/>
        <v>15334484.029597891</v>
      </c>
      <c r="CM32" s="15">
        <f t="shared" si="257"/>
        <v>15352856.685658431</v>
      </c>
      <c r="CN32" s="15">
        <f t="shared" si="257"/>
        <v>15351214.096286453</v>
      </c>
      <c r="CO32" s="15">
        <f t="shared" si="257"/>
        <v>15334484.029597891</v>
      </c>
      <c r="CP32" s="15">
        <f t="shared" si="257"/>
        <v>15347912.47339779</v>
      </c>
      <c r="CQ32" s="15">
        <f t="shared" si="257"/>
        <v>15334484.029597893</v>
      </c>
      <c r="CR32" s="15">
        <f t="shared" si="257"/>
        <v>15344588.80300517</v>
      </c>
      <c r="CS32" s="15">
        <f t="shared" si="257"/>
        <v>15342918.654024348</v>
      </c>
      <c r="CT32" s="15">
        <f t="shared" si="257"/>
        <v>15320966.213033156</v>
      </c>
      <c r="CU32" s="15">
        <f t="shared" si="257"/>
        <v>15339561.636015691</v>
      </c>
      <c r="CV32" s="15">
        <f t="shared" si="257"/>
        <v>15334484.029597893</v>
      </c>
      <c r="CW32" s="15">
        <f t="shared" si="257"/>
        <v>15336182.200586773</v>
      </c>
    </row>
    <row r="33" spans="1:101" ht="13.5" thickBot="1" x14ac:dyDescent="0.25">
      <c r="A33" s="5" t="s">
        <v>9</v>
      </c>
      <c r="B33" s="161">
        <f t="shared" ref="B33:E33" si="258">B27-B30</f>
        <v>123820000</v>
      </c>
      <c r="C33" s="161">
        <f t="shared" si="258"/>
        <v>123820000</v>
      </c>
      <c r="D33" s="161">
        <f t="shared" si="258"/>
        <v>1073900000</v>
      </c>
      <c r="E33" s="161">
        <f t="shared" si="258"/>
        <v>1073900000</v>
      </c>
      <c r="F33" s="161">
        <f t="shared" ref="F33:BQ33" si="259">F27-F30</f>
        <v>1073900000</v>
      </c>
      <c r="G33" s="161">
        <f t="shared" si="259"/>
        <v>1270000000</v>
      </c>
      <c r="H33" s="161">
        <f t="shared" si="259"/>
        <v>1270000000</v>
      </c>
      <c r="I33" s="161">
        <f t="shared" si="259"/>
        <v>1270000000</v>
      </c>
      <c r="J33" s="161">
        <f t="shared" si="259"/>
        <v>1230312500</v>
      </c>
      <c r="K33" s="161">
        <f t="shared" si="259"/>
        <v>1190625000</v>
      </c>
      <c r="L33" s="16">
        <f t="shared" si="259"/>
        <v>1179259265.970402</v>
      </c>
      <c r="M33" s="16">
        <f t="shared" si="259"/>
        <v>1167855646.1607058</v>
      </c>
      <c r="N33" s="16">
        <f t="shared" si="259"/>
        <v>1156414014.2849767</v>
      </c>
      <c r="O33" s="16">
        <f t="shared" si="259"/>
        <v>1144934243.6363287</v>
      </c>
      <c r="P33" s="16">
        <f t="shared" si="259"/>
        <v>1133416207.0855186</v>
      </c>
      <c r="Q33" s="16">
        <f t="shared" si="259"/>
        <v>1121859777.0795391</v>
      </c>
      <c r="R33" s="16">
        <f t="shared" si="259"/>
        <v>1110264825.6402066</v>
      </c>
      <c r="S33" s="16">
        <f t="shared" si="259"/>
        <v>1098631224.3627424</v>
      </c>
      <c r="T33" s="16">
        <f t="shared" si="259"/>
        <v>1086958844.4143536</v>
      </c>
      <c r="U33" s="16">
        <f t="shared" si="259"/>
        <v>1075247556.5328035</v>
      </c>
      <c r="V33" s="16">
        <f t="shared" si="259"/>
        <v>1063497231.0249816</v>
      </c>
      <c r="W33" s="16">
        <f t="shared" si="259"/>
        <v>1051707737.7654672</v>
      </c>
      <c r="X33" s="16">
        <f t="shared" si="259"/>
        <v>1039878946.1950874</v>
      </c>
      <c r="Y33" s="16">
        <f t="shared" si="259"/>
        <v>1028010725.3194731</v>
      </c>
      <c r="Z33" s="16">
        <f t="shared" si="259"/>
        <v>1016102943.7076067</v>
      </c>
      <c r="AA33" s="16">
        <f t="shared" si="259"/>
        <v>1004155469.4903675</v>
      </c>
      <c r="AB33" s="16">
        <f t="shared" si="259"/>
        <v>992168170.35907102</v>
      </c>
      <c r="AC33" s="16">
        <f t="shared" si="259"/>
        <v>980140913.56400323</v>
      </c>
      <c r="AD33" s="16">
        <f t="shared" si="259"/>
        <v>968073565.91295207</v>
      </c>
      <c r="AE33" s="16">
        <f t="shared" si="259"/>
        <v>955965993.76973057</v>
      </c>
      <c r="AF33" s="16">
        <f t="shared" si="259"/>
        <v>943818063.05269849</v>
      </c>
      <c r="AG33" s="16">
        <f t="shared" si="259"/>
        <v>931629639.23327637</v>
      </c>
      <c r="AH33" s="16">
        <f t="shared" si="259"/>
        <v>919400587.33445609</v>
      </c>
      <c r="AI33" s="16">
        <f t="shared" si="259"/>
        <v>907130771.92930627</v>
      </c>
      <c r="AJ33" s="16">
        <f t="shared" si="259"/>
        <v>894820057.13947272</v>
      </c>
      <c r="AK33" s="16">
        <f t="shared" si="259"/>
        <v>882468306.63367319</v>
      </c>
      <c r="AL33" s="16">
        <f t="shared" si="259"/>
        <v>870075383.62618744</v>
      </c>
      <c r="AM33" s="16">
        <f t="shared" si="259"/>
        <v>857641150.87534368</v>
      </c>
      <c r="AN33" s="16">
        <f t="shared" si="259"/>
        <v>845165470.6819967</v>
      </c>
      <c r="AO33" s="16">
        <f t="shared" si="259"/>
        <v>832648204.8880055</v>
      </c>
      <c r="AP33" s="16">
        <f t="shared" si="259"/>
        <v>820089214.8747009</v>
      </c>
      <c r="AQ33" s="16">
        <f t="shared" si="259"/>
        <v>807488361.56135201</v>
      </c>
      <c r="AR33" s="16">
        <f t="shared" si="259"/>
        <v>794845505.40362525</v>
      </c>
      <c r="AS33" s="16">
        <f t="shared" si="259"/>
        <v>782160506.39203954</v>
      </c>
      <c r="AT33" s="16">
        <f t="shared" si="259"/>
        <v>769433224.05041516</v>
      </c>
      <c r="AU33" s="16">
        <f t="shared" si="259"/>
        <v>756663517.43431854</v>
      </c>
      <c r="AV33" s="16">
        <f t="shared" si="259"/>
        <v>743851245.12950182</v>
      </c>
      <c r="AW33" s="16">
        <f t="shared" si="259"/>
        <v>730996265.25033557</v>
      </c>
      <c r="AX33" s="16">
        <f t="shared" si="259"/>
        <v>718098435.43823886</v>
      </c>
      <c r="AY33" s="16">
        <f t="shared" si="259"/>
        <v>705157612.86010182</v>
      </c>
      <c r="AZ33" s="16">
        <f t="shared" si="259"/>
        <v>692173654.20670414</v>
      </c>
      <c r="BA33" s="16">
        <f t="shared" si="259"/>
        <v>679146415.69112861</v>
      </c>
      <c r="BB33" s="16">
        <f t="shared" si="259"/>
        <v>666075753.0471679</v>
      </c>
      <c r="BC33" s="16">
        <f t="shared" si="259"/>
        <v>652961521.52772713</v>
      </c>
      <c r="BD33" s="16">
        <f t="shared" si="259"/>
        <v>639803575.90322173</v>
      </c>
      <c r="BE33" s="16">
        <f t="shared" si="259"/>
        <v>626601770.45996785</v>
      </c>
      <c r="BF33" s="16">
        <f t="shared" si="259"/>
        <v>613355958.99856985</v>
      </c>
      <c r="BG33" s="16">
        <f t="shared" si="259"/>
        <v>600065994.83230054</v>
      </c>
      <c r="BH33" s="16">
        <f t="shared" si="259"/>
        <v>586731730.78547704</v>
      </c>
      <c r="BI33" s="16">
        <f t="shared" si="259"/>
        <v>573353019.19183075</v>
      </c>
      <c r="BJ33" s="16">
        <f t="shared" si="259"/>
        <v>559929711.89287221</v>
      </c>
      <c r="BK33" s="16">
        <f t="shared" si="259"/>
        <v>546461660.23625052</v>
      </c>
      <c r="BL33" s="16">
        <f t="shared" si="259"/>
        <v>532948715.07410681</v>
      </c>
      <c r="BM33" s="16">
        <f t="shared" si="259"/>
        <v>519390726.76142269</v>
      </c>
      <c r="BN33" s="16">
        <f t="shared" si="259"/>
        <v>505787545.15436286</v>
      </c>
      <c r="BO33" s="16">
        <f t="shared" si="259"/>
        <v>492139019.6086129</v>
      </c>
      <c r="BP33" s="16">
        <f t="shared" si="259"/>
        <v>478444998.97771037</v>
      </c>
      <c r="BQ33" s="16">
        <f t="shared" si="259"/>
        <v>464705331.61137152</v>
      </c>
      <c r="BR33" s="16">
        <f t="shared" ref="BR33:CW33" si="260">BR27-BR30</f>
        <v>450919865.3538115</v>
      </c>
      <c r="BS33" s="16">
        <f t="shared" si="260"/>
        <v>437088447.54205966</v>
      </c>
      <c r="BT33" s="16">
        <f t="shared" si="260"/>
        <v>423210925.00426865</v>
      </c>
      <c r="BU33" s="16">
        <f t="shared" si="260"/>
        <v>409287144.05801833</v>
      </c>
      <c r="BV33" s="16">
        <f t="shared" si="260"/>
        <v>395316950.50861382</v>
      </c>
      <c r="BW33" s="16">
        <f t="shared" si="260"/>
        <v>381300189.64737797</v>
      </c>
      <c r="BX33" s="16">
        <f t="shared" si="260"/>
        <v>367236706.24993801</v>
      </c>
      <c r="BY33" s="16">
        <f t="shared" si="260"/>
        <v>353126344.57450664</v>
      </c>
      <c r="BZ33" s="16">
        <f t="shared" si="260"/>
        <v>338968948.36015707</v>
      </c>
      <c r="CA33" s="16">
        <f t="shared" si="260"/>
        <v>324764360.82509303</v>
      </c>
      <c r="CB33" s="16">
        <f t="shared" si="260"/>
        <v>310512424.66491216</v>
      </c>
      <c r="CC33" s="16">
        <f t="shared" si="260"/>
        <v>296212982.05086392</v>
      </c>
      <c r="CD33" s="16">
        <f t="shared" si="260"/>
        <v>281865874.62810224</v>
      </c>
      <c r="CE33" s="16">
        <f t="shared" si="260"/>
        <v>267470943.51393136</v>
      </c>
      <c r="CF33" s="16">
        <f t="shared" si="260"/>
        <v>253028029.29604658</v>
      </c>
      <c r="CG33" s="16">
        <f t="shared" si="260"/>
        <v>238536972.03076884</v>
      </c>
      <c r="CH33" s="16">
        <f t="shared" si="260"/>
        <v>223997611.24127349</v>
      </c>
      <c r="CI33" s="16">
        <f t="shared" si="260"/>
        <v>209409785.91581321</v>
      </c>
      <c r="CJ33" s="16">
        <f t="shared" si="260"/>
        <v>194773334.50593469</v>
      </c>
      <c r="CK33" s="16">
        <f t="shared" si="260"/>
        <v>180088094.92468992</v>
      </c>
      <c r="CL33" s="16">
        <f t="shared" si="260"/>
        <v>165353904.54484099</v>
      </c>
      <c r="CM33" s="16">
        <f t="shared" si="260"/>
        <v>150570600.19705924</v>
      </c>
      <c r="CN33" s="16">
        <f t="shared" si="260"/>
        <v>135738018.16811818</v>
      </c>
      <c r="CO33" s="16">
        <f t="shared" si="260"/>
        <v>120855994.19908071</v>
      </c>
      <c r="CP33" s="16">
        <f t="shared" si="260"/>
        <v>105924363.48347975</v>
      </c>
      <c r="CQ33" s="16">
        <f t="shared" si="260"/>
        <v>90942960.665493459</v>
      </c>
      <c r="CR33" s="16">
        <f t="shared" si="260"/>
        <v>75911619.838113874</v>
      </c>
      <c r="CS33" s="16">
        <f t="shared" si="260"/>
        <v>60830174.541309699</v>
      </c>
      <c r="CT33" s="16">
        <f t="shared" si="260"/>
        <v>45698457.760182843</v>
      </c>
      <c r="CU33" s="16">
        <f t="shared" si="260"/>
        <v>30516301.923118886</v>
      </c>
      <c r="CV33" s="16">
        <f t="shared" si="260"/>
        <v>15283538.899931392</v>
      </c>
      <c r="CW33" s="16">
        <f t="shared" si="260"/>
        <v>-6.5192580223083496E-8</v>
      </c>
    </row>
    <row r="34" spans="1:101" x14ac:dyDescent="0.2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</row>
    <row r="35" spans="1:101" ht="18.75" x14ac:dyDescent="0.3">
      <c r="A35" s="143" t="s">
        <v>77</v>
      </c>
      <c r="C35" s="4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01" x14ac:dyDescent="0.2">
      <c r="A36" s="142" t="s">
        <v>58</v>
      </c>
      <c r="B36" s="110">
        <f>B21</f>
        <v>42992</v>
      </c>
      <c r="C36" s="110">
        <f t="shared" ref="C36:AO36" si="261">C21</f>
        <v>43083</v>
      </c>
      <c r="D36" s="110">
        <f t="shared" si="261"/>
        <v>43174</v>
      </c>
      <c r="E36" s="110">
        <f t="shared" si="261"/>
        <v>43265</v>
      </c>
      <c r="F36" s="110">
        <f t="shared" si="261"/>
        <v>43356</v>
      </c>
      <c r="G36" s="110">
        <f t="shared" si="261"/>
        <v>43447</v>
      </c>
      <c r="H36" s="110">
        <f t="shared" si="261"/>
        <v>43538</v>
      </c>
      <c r="I36" s="110">
        <f t="shared" si="261"/>
        <v>43629</v>
      </c>
      <c r="J36" s="110">
        <f t="shared" si="261"/>
        <v>43723</v>
      </c>
      <c r="K36" s="110">
        <f t="shared" si="261"/>
        <v>43814</v>
      </c>
      <c r="L36" s="110">
        <f t="shared" si="261"/>
        <v>43845</v>
      </c>
      <c r="M36" s="110">
        <f t="shared" si="261"/>
        <v>43874</v>
      </c>
      <c r="N36" s="110">
        <f t="shared" si="261"/>
        <v>43905</v>
      </c>
      <c r="O36" s="110">
        <f t="shared" si="261"/>
        <v>43936</v>
      </c>
      <c r="P36" s="110">
        <f t="shared" si="261"/>
        <v>43965</v>
      </c>
      <c r="Q36" s="110">
        <f t="shared" si="261"/>
        <v>43997</v>
      </c>
      <c r="R36" s="110">
        <f t="shared" si="261"/>
        <v>44027</v>
      </c>
      <c r="S36" s="110">
        <f t="shared" si="261"/>
        <v>44056</v>
      </c>
      <c r="T36" s="110">
        <f t="shared" si="261"/>
        <v>44089</v>
      </c>
      <c r="U36" s="110">
        <f t="shared" si="261"/>
        <v>44119</v>
      </c>
      <c r="V36" s="110">
        <f t="shared" si="261"/>
        <v>44150</v>
      </c>
      <c r="W36" s="110">
        <f t="shared" si="261"/>
        <v>44180</v>
      </c>
      <c r="X36" s="110">
        <f t="shared" si="261"/>
        <v>44211</v>
      </c>
      <c r="Y36" s="110">
        <f t="shared" si="261"/>
        <v>44242</v>
      </c>
      <c r="Z36" s="110">
        <f t="shared" si="261"/>
        <v>44270</v>
      </c>
      <c r="AA36" s="110">
        <f t="shared" si="261"/>
        <v>44301</v>
      </c>
      <c r="AB36" s="110">
        <f t="shared" si="261"/>
        <v>44331</v>
      </c>
      <c r="AC36" s="110">
        <f t="shared" si="261"/>
        <v>44362</v>
      </c>
      <c r="AD36" s="110">
        <f t="shared" si="261"/>
        <v>44392</v>
      </c>
      <c r="AE36" s="110">
        <f t="shared" si="261"/>
        <v>44423</v>
      </c>
      <c r="AF36" s="110">
        <f t="shared" si="261"/>
        <v>44454</v>
      </c>
      <c r="AG36" s="110">
        <f t="shared" si="261"/>
        <v>44484</v>
      </c>
      <c r="AH36" s="110">
        <f t="shared" si="261"/>
        <v>44515</v>
      </c>
      <c r="AI36" s="110">
        <f t="shared" si="261"/>
        <v>44545</v>
      </c>
      <c r="AJ36" s="110">
        <f t="shared" si="261"/>
        <v>44576</v>
      </c>
      <c r="AK36" s="110">
        <f t="shared" si="261"/>
        <v>44607</v>
      </c>
      <c r="AL36" s="110">
        <f t="shared" si="261"/>
        <v>44635</v>
      </c>
      <c r="AM36" s="110">
        <f t="shared" si="261"/>
        <v>44666</v>
      </c>
      <c r="AN36" s="110">
        <f t="shared" si="261"/>
        <v>44696</v>
      </c>
      <c r="AO36" s="110">
        <f t="shared" si="261"/>
        <v>44727</v>
      </c>
      <c r="AP36" s="110">
        <f t="shared" ref="AP36:CW36" si="262">AP21</f>
        <v>44757</v>
      </c>
      <c r="AQ36" s="110">
        <f t="shared" si="262"/>
        <v>44788</v>
      </c>
      <c r="AR36" s="110">
        <f t="shared" si="262"/>
        <v>44819</v>
      </c>
      <c r="AS36" s="110">
        <f t="shared" si="262"/>
        <v>44849</v>
      </c>
      <c r="AT36" s="110">
        <f t="shared" si="262"/>
        <v>44880</v>
      </c>
      <c r="AU36" s="110">
        <f t="shared" si="262"/>
        <v>44910</v>
      </c>
      <c r="AV36" s="110">
        <f t="shared" si="262"/>
        <v>44941</v>
      </c>
      <c r="AW36" s="110">
        <f t="shared" si="262"/>
        <v>44972</v>
      </c>
      <c r="AX36" s="110">
        <f t="shared" si="262"/>
        <v>45000</v>
      </c>
      <c r="AY36" s="110">
        <f t="shared" si="262"/>
        <v>45031</v>
      </c>
      <c r="AZ36" s="110">
        <f t="shared" si="262"/>
        <v>45061</v>
      </c>
      <c r="BA36" s="110">
        <f t="shared" si="262"/>
        <v>45092</v>
      </c>
      <c r="BB36" s="110">
        <f t="shared" si="262"/>
        <v>45122</v>
      </c>
      <c r="BC36" s="110">
        <f t="shared" si="262"/>
        <v>45153</v>
      </c>
      <c r="BD36" s="110">
        <f t="shared" si="262"/>
        <v>45184</v>
      </c>
      <c r="BE36" s="110">
        <f t="shared" si="262"/>
        <v>45214</v>
      </c>
      <c r="BF36" s="110">
        <f t="shared" si="262"/>
        <v>45245</v>
      </c>
      <c r="BG36" s="110">
        <f t="shared" si="262"/>
        <v>45275</v>
      </c>
      <c r="BH36" s="110">
        <f t="shared" si="262"/>
        <v>45306</v>
      </c>
      <c r="BI36" s="110">
        <f t="shared" si="262"/>
        <v>45337</v>
      </c>
      <c r="BJ36" s="110">
        <f t="shared" si="262"/>
        <v>45366</v>
      </c>
      <c r="BK36" s="110">
        <f t="shared" si="262"/>
        <v>45397</v>
      </c>
      <c r="BL36" s="110">
        <f t="shared" si="262"/>
        <v>45427</v>
      </c>
      <c r="BM36" s="110">
        <f t="shared" si="262"/>
        <v>45458</v>
      </c>
      <c r="BN36" s="110">
        <f t="shared" si="262"/>
        <v>45488</v>
      </c>
      <c r="BO36" s="110">
        <f t="shared" si="262"/>
        <v>45519</v>
      </c>
      <c r="BP36" s="110">
        <f t="shared" si="262"/>
        <v>45550</v>
      </c>
      <c r="BQ36" s="110">
        <f t="shared" si="262"/>
        <v>45580</v>
      </c>
      <c r="BR36" s="110">
        <f t="shared" si="262"/>
        <v>45611</v>
      </c>
      <c r="BS36" s="110">
        <f t="shared" si="262"/>
        <v>45641</v>
      </c>
      <c r="BT36" s="110">
        <f t="shared" si="262"/>
        <v>45672</v>
      </c>
      <c r="BU36" s="110">
        <f t="shared" si="262"/>
        <v>45703</v>
      </c>
      <c r="BV36" s="110">
        <f t="shared" si="262"/>
        <v>45731</v>
      </c>
      <c r="BW36" s="110">
        <f t="shared" si="262"/>
        <v>45762</v>
      </c>
      <c r="BX36" s="110">
        <f t="shared" si="262"/>
        <v>45792</v>
      </c>
      <c r="BY36" s="110">
        <f t="shared" si="262"/>
        <v>45823</v>
      </c>
      <c r="BZ36" s="110">
        <f t="shared" si="262"/>
        <v>45853</v>
      </c>
      <c r="CA36" s="110">
        <f t="shared" si="262"/>
        <v>45884</v>
      </c>
      <c r="CB36" s="110">
        <f t="shared" si="262"/>
        <v>45915</v>
      </c>
      <c r="CC36" s="110">
        <f t="shared" si="262"/>
        <v>45945</v>
      </c>
      <c r="CD36" s="110">
        <f t="shared" si="262"/>
        <v>45976</v>
      </c>
      <c r="CE36" s="110">
        <f t="shared" si="262"/>
        <v>46006</v>
      </c>
      <c r="CF36" s="110">
        <f t="shared" si="262"/>
        <v>46037</v>
      </c>
      <c r="CG36" s="110">
        <f t="shared" si="262"/>
        <v>46068</v>
      </c>
      <c r="CH36" s="110">
        <f t="shared" si="262"/>
        <v>46096</v>
      </c>
      <c r="CI36" s="110">
        <f t="shared" si="262"/>
        <v>46127</v>
      </c>
      <c r="CJ36" s="110">
        <f t="shared" si="262"/>
        <v>46157</v>
      </c>
      <c r="CK36" s="110">
        <f t="shared" si="262"/>
        <v>46188</v>
      </c>
      <c r="CL36" s="110">
        <f t="shared" si="262"/>
        <v>46218</v>
      </c>
      <c r="CM36" s="110">
        <f t="shared" si="262"/>
        <v>46249</v>
      </c>
      <c r="CN36" s="110">
        <f t="shared" si="262"/>
        <v>46280</v>
      </c>
      <c r="CO36" s="110">
        <f t="shared" si="262"/>
        <v>46310</v>
      </c>
      <c r="CP36" s="110">
        <f t="shared" si="262"/>
        <v>46341</v>
      </c>
      <c r="CQ36" s="110">
        <f t="shared" si="262"/>
        <v>46371</v>
      </c>
      <c r="CR36" s="110">
        <f t="shared" si="262"/>
        <v>46402</v>
      </c>
      <c r="CS36" s="110">
        <f t="shared" si="262"/>
        <v>46433</v>
      </c>
      <c r="CT36" s="110">
        <f t="shared" si="262"/>
        <v>46461</v>
      </c>
      <c r="CU36" s="110">
        <f t="shared" si="262"/>
        <v>46492</v>
      </c>
      <c r="CV36" s="110">
        <f t="shared" si="262"/>
        <v>46522</v>
      </c>
      <c r="CW36" s="110">
        <f t="shared" si="262"/>
        <v>46553</v>
      </c>
    </row>
    <row r="37" spans="1:101" ht="13.5" thickBot="1" x14ac:dyDescent="0.25">
      <c r="A37" s="111" t="s">
        <v>59</v>
      </c>
      <c r="B37" s="112">
        <v>7.0000000000000007E-2</v>
      </c>
      <c r="C37" s="112">
        <v>7.0000000000000007E-2</v>
      </c>
      <c r="D37" s="112">
        <v>0.04</v>
      </c>
      <c r="E37" s="112">
        <v>0.04</v>
      </c>
      <c r="F37" s="112">
        <v>0.04</v>
      </c>
      <c r="G37" s="112">
        <v>0.04</v>
      </c>
      <c r="H37" s="112">
        <v>0.04</v>
      </c>
      <c r="I37" s="112">
        <v>0.04</v>
      </c>
      <c r="J37" s="112">
        <v>0.04</v>
      </c>
      <c r="K37" s="112">
        <v>0.04</v>
      </c>
      <c r="L37" s="112">
        <v>0.04</v>
      </c>
      <c r="M37" s="112">
        <v>0.04</v>
      </c>
      <c r="N37" s="112">
        <v>0.04</v>
      </c>
      <c r="O37" s="112">
        <v>0.04</v>
      </c>
      <c r="P37" s="112">
        <v>0.04</v>
      </c>
      <c r="Q37" s="112">
        <v>0.04</v>
      </c>
      <c r="R37" s="112">
        <v>0.04</v>
      </c>
      <c r="S37" s="112">
        <v>0.04</v>
      </c>
      <c r="T37" s="112">
        <v>0.04</v>
      </c>
      <c r="U37" s="112">
        <v>0.04</v>
      </c>
      <c r="V37" s="112">
        <v>0.04</v>
      </c>
      <c r="W37" s="112">
        <v>0.04</v>
      </c>
      <c r="X37" s="112">
        <v>0.04</v>
      </c>
      <c r="Y37" s="112">
        <v>0.04</v>
      </c>
      <c r="Z37" s="112">
        <v>0.04</v>
      </c>
      <c r="AA37" s="112">
        <v>0.04</v>
      </c>
      <c r="AB37" s="112">
        <v>0.04</v>
      </c>
      <c r="AC37" s="112">
        <v>0.04</v>
      </c>
      <c r="AD37" s="112">
        <v>0.04</v>
      </c>
      <c r="AE37" s="112">
        <v>0.04</v>
      </c>
      <c r="AF37" s="112">
        <v>0.04</v>
      </c>
      <c r="AG37" s="112">
        <v>0.04</v>
      </c>
      <c r="AH37" s="112">
        <v>0.04</v>
      </c>
      <c r="AI37" s="112">
        <v>0.04</v>
      </c>
      <c r="AJ37" s="112">
        <v>0.04</v>
      </c>
      <c r="AK37" s="112">
        <v>0.04</v>
      </c>
      <c r="AL37" s="112">
        <v>0.04</v>
      </c>
      <c r="AM37" s="112">
        <v>0.04</v>
      </c>
      <c r="AN37" s="112">
        <v>0.04</v>
      </c>
      <c r="AO37" s="112">
        <v>0.04</v>
      </c>
      <c r="AP37" s="112">
        <v>0.04</v>
      </c>
      <c r="AQ37" s="112">
        <v>0.04</v>
      </c>
      <c r="AR37" s="112">
        <v>0.04</v>
      </c>
      <c r="AS37" s="112">
        <v>0.04</v>
      </c>
      <c r="AT37" s="112">
        <v>0.04</v>
      </c>
      <c r="AU37" s="112">
        <v>0.04</v>
      </c>
      <c r="AV37" s="112">
        <v>0.04</v>
      </c>
      <c r="AW37" s="112">
        <v>0.04</v>
      </c>
      <c r="AX37" s="112">
        <v>0.04</v>
      </c>
      <c r="AY37" s="112">
        <v>0.04</v>
      </c>
      <c r="AZ37" s="112">
        <v>0.04</v>
      </c>
      <c r="BA37" s="112">
        <v>0.04</v>
      </c>
      <c r="BB37" s="112">
        <v>0.04</v>
      </c>
      <c r="BC37" s="112">
        <v>0.04</v>
      </c>
      <c r="BD37" s="112">
        <v>0.04</v>
      </c>
      <c r="BE37" s="112">
        <v>0.04</v>
      </c>
      <c r="BF37" s="112">
        <v>0.04</v>
      </c>
      <c r="BG37" s="112">
        <v>0.04</v>
      </c>
      <c r="BH37" s="112">
        <v>0.04</v>
      </c>
      <c r="BI37" s="112">
        <v>0.04</v>
      </c>
      <c r="BJ37" s="112">
        <v>0.04</v>
      </c>
      <c r="BK37" s="112">
        <v>0.04</v>
      </c>
      <c r="BL37" s="112">
        <v>0.04</v>
      </c>
      <c r="BM37" s="112">
        <v>0.04</v>
      </c>
      <c r="BN37" s="112">
        <v>0.04</v>
      </c>
      <c r="BO37" s="112">
        <v>0.04</v>
      </c>
      <c r="BP37" s="112">
        <v>0.04</v>
      </c>
      <c r="BQ37" s="112">
        <v>0.04</v>
      </c>
      <c r="BR37" s="112">
        <v>0.04</v>
      </c>
      <c r="BS37" s="112">
        <v>0.04</v>
      </c>
      <c r="BT37" s="112">
        <v>0.04</v>
      </c>
      <c r="BU37" s="112">
        <v>0.04</v>
      </c>
      <c r="BV37" s="112">
        <v>0.04</v>
      </c>
      <c r="BW37" s="112">
        <v>0.04</v>
      </c>
      <c r="BX37" s="112">
        <v>0.04</v>
      </c>
      <c r="BY37" s="112">
        <v>0.04</v>
      </c>
      <c r="BZ37" s="112">
        <v>0.04</v>
      </c>
      <c r="CA37" s="112">
        <v>0.04</v>
      </c>
      <c r="CB37" s="112">
        <v>0.04</v>
      </c>
      <c r="CC37" s="112">
        <v>0.04</v>
      </c>
      <c r="CD37" s="112">
        <v>0.04</v>
      </c>
      <c r="CE37" s="112">
        <v>0.04</v>
      </c>
      <c r="CF37" s="112">
        <v>0.04</v>
      </c>
      <c r="CG37" s="112">
        <v>0.04</v>
      </c>
      <c r="CH37" s="112">
        <v>0.04</v>
      </c>
      <c r="CI37" s="112">
        <v>0.04</v>
      </c>
      <c r="CJ37" s="112">
        <v>0.04</v>
      </c>
      <c r="CK37" s="112">
        <v>0.04</v>
      </c>
      <c r="CL37" s="112">
        <v>0.04</v>
      </c>
      <c r="CM37" s="112">
        <v>0.04</v>
      </c>
      <c r="CN37" s="112">
        <v>0.04</v>
      </c>
      <c r="CO37" s="112">
        <v>0.04</v>
      </c>
      <c r="CP37" s="112">
        <v>0.04</v>
      </c>
      <c r="CQ37" s="112">
        <v>0.04</v>
      </c>
      <c r="CR37" s="112">
        <v>0.04</v>
      </c>
      <c r="CS37" s="112">
        <v>0.04</v>
      </c>
      <c r="CT37" s="112">
        <v>0.04</v>
      </c>
      <c r="CU37" s="112">
        <v>0.04</v>
      </c>
      <c r="CV37" s="112">
        <v>0.04</v>
      </c>
      <c r="CW37" s="112">
        <v>0.04</v>
      </c>
    </row>
    <row r="38" spans="1:101" x14ac:dyDescent="0.2">
      <c r="A38" s="142" t="s">
        <v>10</v>
      </c>
      <c r="B38" s="14"/>
      <c r="C38" s="14"/>
      <c r="D38" s="14"/>
      <c r="E38" s="14"/>
      <c r="F38" s="14"/>
      <c r="G38" s="14"/>
      <c r="H38" s="14"/>
      <c r="I38" s="14"/>
      <c r="J38" s="14">
        <f>+J25</f>
        <v>1</v>
      </c>
      <c r="K38" s="14">
        <f t="shared" ref="K38:BV38" si="263">+K25</f>
        <v>2</v>
      </c>
      <c r="L38" s="14">
        <f t="shared" si="263"/>
        <v>1</v>
      </c>
      <c r="M38" s="14">
        <f t="shared" si="263"/>
        <v>2</v>
      </c>
      <c r="N38" s="14">
        <f t="shared" si="263"/>
        <v>3</v>
      </c>
      <c r="O38" s="14">
        <f t="shared" si="263"/>
        <v>4</v>
      </c>
      <c r="P38" s="14">
        <f t="shared" si="263"/>
        <v>5</v>
      </c>
      <c r="Q38" s="14">
        <f t="shared" si="263"/>
        <v>6</v>
      </c>
      <c r="R38" s="14">
        <f t="shared" si="263"/>
        <v>7</v>
      </c>
      <c r="S38" s="14">
        <f t="shared" si="263"/>
        <v>8</v>
      </c>
      <c r="T38" s="14">
        <f t="shared" si="263"/>
        <v>9</v>
      </c>
      <c r="U38" s="14">
        <f t="shared" si="263"/>
        <v>10</v>
      </c>
      <c r="V38" s="14">
        <f t="shared" si="263"/>
        <v>11</v>
      </c>
      <c r="W38" s="14">
        <f t="shared" si="263"/>
        <v>12</v>
      </c>
      <c r="X38" s="14">
        <f t="shared" si="263"/>
        <v>13</v>
      </c>
      <c r="Y38" s="14">
        <f t="shared" si="263"/>
        <v>14</v>
      </c>
      <c r="Z38" s="14">
        <f t="shared" si="263"/>
        <v>15</v>
      </c>
      <c r="AA38" s="14">
        <f t="shared" si="263"/>
        <v>16</v>
      </c>
      <c r="AB38" s="14">
        <f t="shared" si="263"/>
        <v>17</v>
      </c>
      <c r="AC38" s="14">
        <f t="shared" si="263"/>
        <v>18</v>
      </c>
      <c r="AD38" s="14">
        <f t="shared" si="263"/>
        <v>19</v>
      </c>
      <c r="AE38" s="14">
        <f t="shared" si="263"/>
        <v>20</v>
      </c>
      <c r="AF38" s="14">
        <f t="shared" si="263"/>
        <v>21</v>
      </c>
      <c r="AG38" s="14">
        <f t="shared" si="263"/>
        <v>22</v>
      </c>
      <c r="AH38" s="14">
        <f t="shared" si="263"/>
        <v>23</v>
      </c>
      <c r="AI38" s="14">
        <f t="shared" si="263"/>
        <v>24</v>
      </c>
      <c r="AJ38" s="14">
        <f t="shared" si="263"/>
        <v>25</v>
      </c>
      <c r="AK38" s="14">
        <f t="shared" si="263"/>
        <v>26</v>
      </c>
      <c r="AL38" s="14">
        <f t="shared" si="263"/>
        <v>27</v>
      </c>
      <c r="AM38" s="14">
        <f t="shared" si="263"/>
        <v>28</v>
      </c>
      <c r="AN38" s="14">
        <f t="shared" si="263"/>
        <v>29</v>
      </c>
      <c r="AO38" s="14">
        <f t="shared" si="263"/>
        <v>30</v>
      </c>
      <c r="AP38" s="14">
        <f t="shared" si="263"/>
        <v>31</v>
      </c>
      <c r="AQ38" s="14">
        <f t="shared" si="263"/>
        <v>32</v>
      </c>
      <c r="AR38" s="14">
        <f t="shared" si="263"/>
        <v>33</v>
      </c>
      <c r="AS38" s="14">
        <f t="shared" si="263"/>
        <v>34</v>
      </c>
      <c r="AT38" s="14">
        <f t="shared" si="263"/>
        <v>35</v>
      </c>
      <c r="AU38" s="14">
        <f t="shared" si="263"/>
        <v>36</v>
      </c>
      <c r="AV38" s="14">
        <f t="shared" si="263"/>
        <v>37</v>
      </c>
      <c r="AW38" s="14">
        <f t="shared" si="263"/>
        <v>38</v>
      </c>
      <c r="AX38" s="14">
        <f t="shared" si="263"/>
        <v>39</v>
      </c>
      <c r="AY38" s="14">
        <f t="shared" si="263"/>
        <v>40</v>
      </c>
      <c r="AZ38" s="14">
        <f t="shared" si="263"/>
        <v>41</v>
      </c>
      <c r="BA38" s="14">
        <f t="shared" si="263"/>
        <v>42</v>
      </c>
      <c r="BB38" s="14">
        <f t="shared" si="263"/>
        <v>43</v>
      </c>
      <c r="BC38" s="14">
        <f t="shared" si="263"/>
        <v>44</v>
      </c>
      <c r="BD38" s="14">
        <f t="shared" si="263"/>
        <v>45</v>
      </c>
      <c r="BE38" s="14">
        <f t="shared" si="263"/>
        <v>46</v>
      </c>
      <c r="BF38" s="14">
        <f t="shared" si="263"/>
        <v>47</v>
      </c>
      <c r="BG38" s="14">
        <f t="shared" si="263"/>
        <v>48</v>
      </c>
      <c r="BH38" s="14">
        <f t="shared" si="263"/>
        <v>49</v>
      </c>
      <c r="BI38" s="14">
        <f t="shared" si="263"/>
        <v>50</v>
      </c>
      <c r="BJ38" s="14">
        <f t="shared" si="263"/>
        <v>51</v>
      </c>
      <c r="BK38" s="14">
        <f t="shared" si="263"/>
        <v>52</v>
      </c>
      <c r="BL38" s="14">
        <f t="shared" si="263"/>
        <v>53</v>
      </c>
      <c r="BM38" s="14">
        <f t="shared" si="263"/>
        <v>54</v>
      </c>
      <c r="BN38" s="14">
        <f t="shared" si="263"/>
        <v>55</v>
      </c>
      <c r="BO38" s="14">
        <f t="shared" si="263"/>
        <v>56</v>
      </c>
      <c r="BP38" s="14">
        <f t="shared" si="263"/>
        <v>57</v>
      </c>
      <c r="BQ38" s="14">
        <f t="shared" si="263"/>
        <v>58</v>
      </c>
      <c r="BR38" s="14">
        <f t="shared" si="263"/>
        <v>59</v>
      </c>
      <c r="BS38" s="14">
        <f t="shared" si="263"/>
        <v>60</v>
      </c>
      <c r="BT38" s="14">
        <f t="shared" si="263"/>
        <v>61</v>
      </c>
      <c r="BU38" s="14">
        <f t="shared" si="263"/>
        <v>62</v>
      </c>
      <c r="BV38" s="14">
        <f t="shared" si="263"/>
        <v>63</v>
      </c>
      <c r="BW38" s="14">
        <f t="shared" ref="BW38:CW38" si="264">+BW25</f>
        <v>64</v>
      </c>
      <c r="BX38" s="14">
        <f t="shared" si="264"/>
        <v>65</v>
      </c>
      <c r="BY38" s="14">
        <f t="shared" si="264"/>
        <v>66</v>
      </c>
      <c r="BZ38" s="14">
        <f t="shared" si="264"/>
        <v>67</v>
      </c>
      <c r="CA38" s="14">
        <f t="shared" si="264"/>
        <v>68</v>
      </c>
      <c r="CB38" s="14">
        <f t="shared" si="264"/>
        <v>69</v>
      </c>
      <c r="CC38" s="14">
        <f t="shared" si="264"/>
        <v>70</v>
      </c>
      <c r="CD38" s="14">
        <f t="shared" si="264"/>
        <v>71</v>
      </c>
      <c r="CE38" s="14">
        <f t="shared" si="264"/>
        <v>72</v>
      </c>
      <c r="CF38" s="14">
        <f t="shared" si="264"/>
        <v>73</v>
      </c>
      <c r="CG38" s="14">
        <f t="shared" si="264"/>
        <v>74</v>
      </c>
      <c r="CH38" s="14">
        <f t="shared" si="264"/>
        <v>75</v>
      </c>
      <c r="CI38" s="14">
        <f t="shared" si="264"/>
        <v>76</v>
      </c>
      <c r="CJ38" s="14">
        <f t="shared" si="264"/>
        <v>77</v>
      </c>
      <c r="CK38" s="14">
        <f t="shared" si="264"/>
        <v>78</v>
      </c>
      <c r="CL38" s="14">
        <f t="shared" si="264"/>
        <v>79</v>
      </c>
      <c r="CM38" s="14">
        <f t="shared" si="264"/>
        <v>80</v>
      </c>
      <c r="CN38" s="14">
        <f t="shared" si="264"/>
        <v>81</v>
      </c>
      <c r="CO38" s="14">
        <f t="shared" si="264"/>
        <v>82</v>
      </c>
      <c r="CP38" s="14">
        <f t="shared" si="264"/>
        <v>83</v>
      </c>
      <c r="CQ38" s="14">
        <f t="shared" si="264"/>
        <v>84</v>
      </c>
      <c r="CR38" s="14">
        <f t="shared" si="264"/>
        <v>85</v>
      </c>
      <c r="CS38" s="14">
        <f t="shared" si="264"/>
        <v>86</v>
      </c>
      <c r="CT38" s="14">
        <f t="shared" si="264"/>
        <v>87</v>
      </c>
      <c r="CU38" s="14">
        <f t="shared" si="264"/>
        <v>88</v>
      </c>
      <c r="CV38" s="14">
        <f t="shared" si="264"/>
        <v>89</v>
      </c>
      <c r="CW38" s="14">
        <f t="shared" si="264"/>
        <v>90</v>
      </c>
    </row>
    <row r="39" spans="1:101" x14ac:dyDescent="0.2">
      <c r="A39" s="82" t="s">
        <v>11</v>
      </c>
      <c r="B39" s="81">
        <f>B26</f>
        <v>42992</v>
      </c>
      <c r="C39" s="81">
        <f t="shared" ref="C39:AO39" si="265">C26</f>
        <v>43083</v>
      </c>
      <c r="D39" s="81">
        <f t="shared" si="265"/>
        <v>43174</v>
      </c>
      <c r="E39" s="81">
        <f t="shared" si="265"/>
        <v>43265</v>
      </c>
      <c r="F39" s="81">
        <f>F26</f>
        <v>43356</v>
      </c>
      <c r="G39" s="81">
        <f t="shared" si="265"/>
        <v>43447</v>
      </c>
      <c r="H39" s="81">
        <f t="shared" si="265"/>
        <v>43538</v>
      </c>
      <c r="I39" s="81">
        <f t="shared" si="265"/>
        <v>43629</v>
      </c>
      <c r="J39" s="81">
        <f t="shared" si="265"/>
        <v>43723</v>
      </c>
      <c r="K39" s="81">
        <f t="shared" si="265"/>
        <v>43814</v>
      </c>
      <c r="L39" s="81">
        <f t="shared" si="265"/>
        <v>43845</v>
      </c>
      <c r="M39" s="81">
        <f t="shared" si="265"/>
        <v>43874</v>
      </c>
      <c r="N39" s="81">
        <f t="shared" si="265"/>
        <v>43905</v>
      </c>
      <c r="O39" s="81">
        <f t="shared" si="265"/>
        <v>43936</v>
      </c>
      <c r="P39" s="81">
        <f t="shared" si="265"/>
        <v>43965</v>
      </c>
      <c r="Q39" s="81">
        <f t="shared" si="265"/>
        <v>43997</v>
      </c>
      <c r="R39" s="81">
        <f t="shared" si="265"/>
        <v>44027</v>
      </c>
      <c r="S39" s="81">
        <f t="shared" si="265"/>
        <v>44056</v>
      </c>
      <c r="T39" s="81">
        <f t="shared" si="265"/>
        <v>44089</v>
      </c>
      <c r="U39" s="81">
        <f t="shared" si="265"/>
        <v>44119</v>
      </c>
      <c r="V39" s="81">
        <f t="shared" si="265"/>
        <v>44150</v>
      </c>
      <c r="W39" s="81">
        <f t="shared" si="265"/>
        <v>44180</v>
      </c>
      <c r="X39" s="81">
        <f t="shared" si="265"/>
        <v>44211</v>
      </c>
      <c r="Y39" s="81">
        <f t="shared" si="265"/>
        <v>44242</v>
      </c>
      <c r="Z39" s="81">
        <f t="shared" si="265"/>
        <v>44270</v>
      </c>
      <c r="AA39" s="81">
        <f t="shared" si="265"/>
        <v>44301</v>
      </c>
      <c r="AB39" s="81">
        <f t="shared" si="265"/>
        <v>44331</v>
      </c>
      <c r="AC39" s="81">
        <f t="shared" si="265"/>
        <v>44362</v>
      </c>
      <c r="AD39" s="81">
        <f t="shared" si="265"/>
        <v>44392</v>
      </c>
      <c r="AE39" s="81">
        <f t="shared" si="265"/>
        <v>44423</v>
      </c>
      <c r="AF39" s="81">
        <f t="shared" si="265"/>
        <v>44454</v>
      </c>
      <c r="AG39" s="81">
        <f t="shared" si="265"/>
        <v>44484</v>
      </c>
      <c r="AH39" s="81">
        <f t="shared" si="265"/>
        <v>44515</v>
      </c>
      <c r="AI39" s="81">
        <f t="shared" si="265"/>
        <v>44545</v>
      </c>
      <c r="AJ39" s="81">
        <f t="shared" si="265"/>
        <v>44576</v>
      </c>
      <c r="AK39" s="81">
        <f t="shared" si="265"/>
        <v>44607</v>
      </c>
      <c r="AL39" s="81">
        <f t="shared" si="265"/>
        <v>44635</v>
      </c>
      <c r="AM39" s="81">
        <f t="shared" si="265"/>
        <v>44666</v>
      </c>
      <c r="AN39" s="81">
        <f t="shared" si="265"/>
        <v>44696</v>
      </c>
      <c r="AO39" s="81">
        <f t="shared" si="265"/>
        <v>44727</v>
      </c>
      <c r="AP39" s="81">
        <f t="shared" ref="AP39:CW39" si="266">AP26</f>
        <v>44757</v>
      </c>
      <c r="AQ39" s="81">
        <f t="shared" si="266"/>
        <v>44788</v>
      </c>
      <c r="AR39" s="81">
        <f t="shared" si="266"/>
        <v>44819</v>
      </c>
      <c r="AS39" s="81">
        <f t="shared" si="266"/>
        <v>44849</v>
      </c>
      <c r="AT39" s="81">
        <f t="shared" si="266"/>
        <v>44880</v>
      </c>
      <c r="AU39" s="81">
        <f t="shared" si="266"/>
        <v>44910</v>
      </c>
      <c r="AV39" s="81">
        <f t="shared" si="266"/>
        <v>44941</v>
      </c>
      <c r="AW39" s="81">
        <f t="shared" si="266"/>
        <v>44972</v>
      </c>
      <c r="AX39" s="81">
        <f t="shared" si="266"/>
        <v>45000</v>
      </c>
      <c r="AY39" s="81">
        <f t="shared" si="266"/>
        <v>45031</v>
      </c>
      <c r="AZ39" s="81">
        <f t="shared" si="266"/>
        <v>45061</v>
      </c>
      <c r="BA39" s="81">
        <f t="shared" si="266"/>
        <v>45092</v>
      </c>
      <c r="BB39" s="81">
        <f t="shared" si="266"/>
        <v>45122</v>
      </c>
      <c r="BC39" s="81">
        <f t="shared" si="266"/>
        <v>45153</v>
      </c>
      <c r="BD39" s="81">
        <f t="shared" si="266"/>
        <v>45184</v>
      </c>
      <c r="BE39" s="81">
        <f t="shared" si="266"/>
        <v>45214</v>
      </c>
      <c r="BF39" s="81">
        <f t="shared" si="266"/>
        <v>45245</v>
      </c>
      <c r="BG39" s="81">
        <f t="shared" si="266"/>
        <v>45275</v>
      </c>
      <c r="BH39" s="81">
        <f t="shared" si="266"/>
        <v>45306</v>
      </c>
      <c r="BI39" s="81">
        <f t="shared" si="266"/>
        <v>45337</v>
      </c>
      <c r="BJ39" s="81">
        <f t="shared" si="266"/>
        <v>45366</v>
      </c>
      <c r="BK39" s="81">
        <f t="shared" si="266"/>
        <v>45397</v>
      </c>
      <c r="BL39" s="81">
        <f t="shared" si="266"/>
        <v>45427</v>
      </c>
      <c r="BM39" s="81">
        <f t="shared" si="266"/>
        <v>45458</v>
      </c>
      <c r="BN39" s="81">
        <f t="shared" si="266"/>
        <v>45488</v>
      </c>
      <c r="BO39" s="81">
        <f t="shared" si="266"/>
        <v>45519</v>
      </c>
      <c r="BP39" s="81">
        <f t="shared" si="266"/>
        <v>45550</v>
      </c>
      <c r="BQ39" s="81">
        <f t="shared" si="266"/>
        <v>45580</v>
      </c>
      <c r="BR39" s="81">
        <f t="shared" si="266"/>
        <v>45611</v>
      </c>
      <c r="BS39" s="81">
        <f t="shared" si="266"/>
        <v>45641</v>
      </c>
      <c r="BT39" s="81">
        <f t="shared" si="266"/>
        <v>45672</v>
      </c>
      <c r="BU39" s="81">
        <f t="shared" si="266"/>
        <v>45703</v>
      </c>
      <c r="BV39" s="81">
        <f t="shared" si="266"/>
        <v>45731</v>
      </c>
      <c r="BW39" s="81">
        <f t="shared" si="266"/>
        <v>45762</v>
      </c>
      <c r="BX39" s="81">
        <f t="shared" si="266"/>
        <v>45792</v>
      </c>
      <c r="BY39" s="81">
        <f t="shared" si="266"/>
        <v>45823</v>
      </c>
      <c r="BZ39" s="81">
        <f t="shared" si="266"/>
        <v>45853</v>
      </c>
      <c r="CA39" s="81">
        <f t="shared" si="266"/>
        <v>45884</v>
      </c>
      <c r="CB39" s="81">
        <f t="shared" si="266"/>
        <v>45915</v>
      </c>
      <c r="CC39" s="81">
        <f t="shared" si="266"/>
        <v>45945</v>
      </c>
      <c r="CD39" s="81">
        <f t="shared" si="266"/>
        <v>45976</v>
      </c>
      <c r="CE39" s="81">
        <f t="shared" si="266"/>
        <v>46006</v>
      </c>
      <c r="CF39" s="81">
        <f t="shared" si="266"/>
        <v>46037</v>
      </c>
      <c r="CG39" s="81">
        <f t="shared" si="266"/>
        <v>46068</v>
      </c>
      <c r="CH39" s="81">
        <f t="shared" si="266"/>
        <v>46096</v>
      </c>
      <c r="CI39" s="81">
        <f t="shared" si="266"/>
        <v>46127</v>
      </c>
      <c r="CJ39" s="81">
        <f t="shared" si="266"/>
        <v>46157</v>
      </c>
      <c r="CK39" s="81">
        <f t="shared" si="266"/>
        <v>46188</v>
      </c>
      <c r="CL39" s="81">
        <f t="shared" si="266"/>
        <v>46218</v>
      </c>
      <c r="CM39" s="81">
        <f t="shared" si="266"/>
        <v>46249</v>
      </c>
      <c r="CN39" s="81">
        <f t="shared" si="266"/>
        <v>46280</v>
      </c>
      <c r="CO39" s="81">
        <f t="shared" si="266"/>
        <v>46310</v>
      </c>
      <c r="CP39" s="81">
        <f t="shared" si="266"/>
        <v>46341</v>
      </c>
      <c r="CQ39" s="81">
        <f t="shared" si="266"/>
        <v>46371</v>
      </c>
      <c r="CR39" s="81">
        <f t="shared" si="266"/>
        <v>46402</v>
      </c>
      <c r="CS39" s="81">
        <f t="shared" si="266"/>
        <v>46433</v>
      </c>
      <c r="CT39" s="81">
        <f t="shared" si="266"/>
        <v>46461</v>
      </c>
      <c r="CU39" s="81">
        <f t="shared" si="266"/>
        <v>46492</v>
      </c>
      <c r="CV39" s="81">
        <f t="shared" si="266"/>
        <v>46522</v>
      </c>
      <c r="CW39" s="81">
        <f t="shared" si="266"/>
        <v>46553</v>
      </c>
    </row>
    <row r="40" spans="1:101" x14ac:dyDescent="0.2">
      <c r="A40" s="2" t="s">
        <v>5</v>
      </c>
      <c r="B40" s="157">
        <f>C17</f>
        <v>123820000</v>
      </c>
      <c r="C40" s="159">
        <f t="shared" ref="C40" si="267">B46</f>
        <v>123820000</v>
      </c>
      <c r="D40" s="159">
        <f t="shared" ref="D40" si="268">C46</f>
        <v>123820000</v>
      </c>
      <c r="E40" s="159">
        <f t="shared" ref="E40" si="269">D46</f>
        <v>123820000</v>
      </c>
      <c r="F40" s="159">
        <f t="shared" ref="F40" si="270">E46</f>
        <v>123820000</v>
      </c>
      <c r="G40" s="159">
        <f t="shared" ref="G40" si="271">F46</f>
        <v>123820000</v>
      </c>
      <c r="H40" s="159">
        <f t="shared" ref="H40" si="272">G46</f>
        <v>123820000</v>
      </c>
      <c r="I40" s="159">
        <f t="shared" ref="I40" si="273">H46</f>
        <v>123820000</v>
      </c>
      <c r="J40" s="159">
        <f t="shared" ref="J40" si="274">I46</f>
        <v>123820000</v>
      </c>
      <c r="K40" s="159">
        <f t="shared" ref="K40" si="275">J46</f>
        <v>119950625</v>
      </c>
      <c r="L40" s="159">
        <f t="shared" ref="L40" si="276">K46</f>
        <v>116081250</v>
      </c>
      <c r="M40" s="3">
        <f t="shared" ref="M40" si="277">L46</f>
        <v>114973135.67909858</v>
      </c>
      <c r="N40" s="3">
        <f t="shared" ref="N40" si="278">M46</f>
        <v>113861327.64379415</v>
      </c>
      <c r="O40" s="3">
        <f t="shared" ref="O40" si="279">N46</f>
        <v>112745813.58170538</v>
      </c>
      <c r="P40" s="3">
        <f t="shared" ref="P40" si="280">O46</f>
        <v>111626581.13940963</v>
      </c>
      <c r="Q40" s="3">
        <f t="shared" ref="Q40" si="281">P46</f>
        <v>110503617.92230624</v>
      </c>
      <c r="R40" s="3">
        <f t="shared" ref="R40" si="282">Q46</f>
        <v>109376911.49447916</v>
      </c>
      <c r="S40" s="3">
        <f t="shared" ref="S40" si="283">R46</f>
        <v>108246449.37855934</v>
      </c>
      <c r="T40" s="3">
        <f t="shared" ref="T40" si="284">S46</f>
        <v>107112219.05558644</v>
      </c>
      <c r="U40" s="3">
        <f t="shared" ref="U40" si="285">T46</f>
        <v>105974207.9648703</v>
      </c>
      <c r="V40" s="3">
        <f t="shared" ref="V40" si="286">U46</f>
        <v>104832403.50385177</v>
      </c>
      <c r="W40" s="3">
        <f t="shared" ref="W40" si="287">V46</f>
        <v>103686793.02796319</v>
      </c>
      <c r="X40" s="3">
        <f t="shared" ref="X40" si="288">W46</f>
        <v>102537363.85048831</v>
      </c>
      <c r="Y40" s="3">
        <f t="shared" ref="Y40" si="289">X46</f>
        <v>101384103.24242184</v>
      </c>
      <c r="Z40" s="3">
        <f t="shared" ref="Z40" si="290">Y46</f>
        <v>100226998.43232848</v>
      </c>
      <c r="AA40" s="3">
        <f t="shared" ref="AA40" si="291">Z46</f>
        <v>99066036.606201485</v>
      </c>
      <c r="AB40" s="3">
        <f t="shared" ref="AB40" si="292">AA46</f>
        <v>97901204.907320723</v>
      </c>
      <c r="AC40" s="3">
        <f t="shared" ref="AC40" si="293">AB46</f>
        <v>96732490.436110362</v>
      </c>
      <c r="AD40" s="3">
        <f t="shared" ref="AD40" si="294">AC46</f>
        <v>95559880.249995977</v>
      </c>
      <c r="AE40" s="3">
        <f t="shared" ref="AE40" si="295">AD46</f>
        <v>94383361.363261208</v>
      </c>
      <c r="AF40" s="3">
        <f t="shared" ref="AF40" si="296">AE46</f>
        <v>93202920.746903986</v>
      </c>
      <c r="AG40" s="3">
        <f t="shared" ref="AG40" si="297">AF46</f>
        <v>92018545.328492239</v>
      </c>
      <c r="AH40" s="3">
        <f t="shared" ref="AH40" si="298">AG46</f>
        <v>90830221.992019117</v>
      </c>
      <c r="AI40" s="3">
        <f t="shared" ref="AI40" si="299">AH46</f>
        <v>89637937.577757761</v>
      </c>
      <c r="AJ40" s="3">
        <f t="shared" ref="AJ40" si="300">AI46</f>
        <v>88441678.882115528</v>
      </c>
      <c r="AK40" s="3">
        <f t="shared" ref="AK40" si="301">AJ46</f>
        <v>87241432.657487825</v>
      </c>
      <c r="AL40" s="3">
        <f t="shared" ref="AL40" si="302">AK46</f>
        <v>86037185.61211136</v>
      </c>
      <c r="AM40" s="3">
        <f t="shared" ref="AM40" si="303">AL46</f>
        <v>84828924.409916967</v>
      </c>
      <c r="AN40" s="3">
        <f t="shared" ref="AN40" si="304">AM46</f>
        <v>83616635.670381933</v>
      </c>
      <c r="AO40" s="3">
        <f t="shared" ref="AO40" si="305">AN46</f>
        <v>82400305.968381777</v>
      </c>
      <c r="AP40" s="3">
        <f t="shared" ref="AP40" si="306">AO46</f>
        <v>81179921.834041625</v>
      </c>
      <c r="AQ40" s="3">
        <f t="shared" ref="AQ40" si="307">AP46</f>
        <v>79955469.752587005</v>
      </c>
      <c r="AR40" s="3">
        <f t="shared" ref="AR40" si="308">AQ46</f>
        <v>78726936.164194196</v>
      </c>
      <c r="AS40" s="3">
        <f t="shared" ref="AS40" si="309">AR46</f>
        <v>77494307.463840082</v>
      </c>
      <c r="AT40" s="3">
        <f t="shared" ref="AT40" si="310">AS46</f>
        <v>76257570.001151457</v>
      </c>
      <c r="AU40" s="3">
        <f t="shared" ref="AU40" si="311">AT46</f>
        <v>75016710.080253869</v>
      </c>
      <c r="AV40" s="3">
        <f t="shared" ref="AV40" si="312">AU46</f>
        <v>73771713.959619954</v>
      </c>
      <c r="AW40" s="3">
        <f t="shared" ref="AW40" si="313">AV46</f>
        <v>72522567.851917267</v>
      </c>
      <c r="AX40" s="3">
        <f t="shared" ref="AX40" si="314">AW46</f>
        <v>71269257.923855558</v>
      </c>
      <c r="AY40" s="3">
        <f t="shared" ref="AY40" si="315">AX46</f>
        <v>70011770.296033651</v>
      </c>
      <c r="AZ40" s="3">
        <f t="shared" ref="AZ40" si="316">AY46</f>
        <v>68750091.042785674</v>
      </c>
      <c r="BA40" s="3">
        <f t="shared" ref="BA40" si="317">AZ46</f>
        <v>67484206.192026868</v>
      </c>
      <c r="BB40" s="3">
        <f t="shared" ref="BB40" si="318">BA46</f>
        <v>66214101.725098863</v>
      </c>
      <c r="BC40" s="3">
        <f t="shared" ref="BC40" si="319">BB46</f>
        <v>64939763.576614432</v>
      </c>
      <c r="BD40" s="3">
        <f t="shared" ref="BD40" si="320">BC46</f>
        <v>63661177.634301722</v>
      </c>
      <c r="BE40" s="3">
        <f t="shared" ref="BE40" si="321">BD46</f>
        <v>62378329.738847971</v>
      </c>
      <c r="BF40" s="3">
        <f t="shared" ref="BF40" si="322">BE46</f>
        <v>61091205.683742702</v>
      </c>
      <c r="BG40" s="3">
        <f t="shared" ref="BG40" si="323">BF46</f>
        <v>59799791.21512042</v>
      </c>
      <c r="BH40" s="3">
        <f t="shared" ref="BH40" si="324">BG46</f>
        <v>58504072.031602725</v>
      </c>
      <c r="BI40" s="3">
        <f t="shared" ref="BI40" si="325">BH46</f>
        <v>57204033.784139976</v>
      </c>
      <c r="BJ40" s="3">
        <f t="shared" ref="BJ40" si="326">BI46</f>
        <v>55899662.075852349</v>
      </c>
      <c r="BK40" s="3">
        <f t="shared" ref="BK40" si="327">BJ46</f>
        <v>54590942.461870432</v>
      </c>
      <c r="BL40" s="3">
        <f t="shared" ref="BL40" si="328">BK46</f>
        <v>53277860.449175239</v>
      </c>
      <c r="BM40" s="3">
        <f t="shared" ref="BM40" si="329">BL46</f>
        <v>51960401.496437728</v>
      </c>
      <c r="BN40" s="3">
        <f t="shared" ref="BN40" si="330">BM46</f>
        <v>50638551.01385776</v>
      </c>
      <c r="BO40" s="3">
        <f t="shared" ref="BO40" si="331">BN46</f>
        <v>49312294.363002524</v>
      </c>
      <c r="BP40" s="3">
        <f t="shared" ref="BP40" si="332">BO46</f>
        <v>47981616.856644437</v>
      </c>
      <c r="BQ40" s="3">
        <f t="shared" ref="BQ40" si="333">BP46</f>
        <v>46646503.758598492</v>
      </c>
      <c r="BR40" s="3">
        <f t="shared" ref="BR40" si="334">BQ46</f>
        <v>45306940.283559062</v>
      </c>
      <c r="BS40" s="3">
        <f t="shared" ref="BS40" si="335">BR46</f>
        <v>43962911.596936166</v>
      </c>
      <c r="BT40" s="3">
        <f t="shared" ref="BT40" si="336">BS46</f>
        <v>42614402.814691193</v>
      </c>
      <c r="BU40" s="3">
        <f t="shared" ref="BU40" si="337">BT46</f>
        <v>41261399.00317207</v>
      </c>
      <c r="BV40" s="3">
        <f t="shared" ref="BV40" si="338">BU46</f>
        <v>39903885.178947881</v>
      </c>
      <c r="BW40" s="3">
        <f t="shared" ref="BW40" si="339">BV46</f>
        <v>38541846.308642946</v>
      </c>
      <c r="BX40" s="3">
        <f t="shared" ref="BX40" si="340">BW46</f>
        <v>37175267.308770329</v>
      </c>
      <c r="BY40" s="3">
        <f t="shared" ref="BY40" si="341">BX46</f>
        <v>35804133.045564801</v>
      </c>
      <c r="BZ40" s="3">
        <f t="shared" ref="BZ40" si="342">BY46</f>
        <v>34428428.334815256</v>
      </c>
      <c r="CA40" s="3">
        <f t="shared" ref="CA40" si="343">BZ46</f>
        <v>33048137.941696547</v>
      </c>
      <c r="CB40" s="3">
        <f t="shared" ref="CB40" si="344">CA46</f>
        <v>31663246.580600776</v>
      </c>
      <c r="CC40" s="3">
        <f t="shared" ref="CC40" si="345">CB46</f>
        <v>30273738.914968017</v>
      </c>
      <c r="CD40" s="3">
        <f t="shared" ref="CD40" si="346">CC46</f>
        <v>28879599.557116486</v>
      </c>
      <c r="CE40" s="3">
        <f t="shared" ref="CE40" si="347">CD46</f>
        <v>27480813.068072114</v>
      </c>
      <c r="CF40" s="3">
        <f t="shared" ref="CF40" si="348">CE46</f>
        <v>26077363.957397595</v>
      </c>
      <c r="CG40" s="3">
        <f t="shared" ref="CG40" si="349">CF46</f>
        <v>24669236.683020826</v>
      </c>
      <c r="CH40" s="3">
        <f t="shared" ref="CH40" si="350">CG46</f>
        <v>23256415.651062801</v>
      </c>
      <c r="CI40" s="3">
        <f t="shared" ref="CI40" si="351">CH46</f>
        <v>21838885.215664919</v>
      </c>
      <c r="CJ40" s="3">
        <f t="shared" ref="CJ40" si="352">CI46</f>
        <v>20416629.678815711</v>
      </c>
      <c r="CK40" s="3">
        <f t="shared" ref="CK40" si="353">CJ46</f>
        <v>18989633.290177003</v>
      </c>
      <c r="CL40" s="3">
        <f t="shared" ref="CL40" si="354">CK46</f>
        <v>17557880.246909499</v>
      </c>
      <c r="CM40" s="3">
        <f t="shared" ref="CM40" si="355">CL46</f>
        <v>16121354.693497771</v>
      </c>
      <c r="CN40" s="3">
        <f t="shared" ref="CN40" si="356">CM46</f>
        <v>14680040.721574672</v>
      </c>
      <c r="CO40" s="3">
        <f t="shared" ref="CO40" si="357">CN46</f>
        <v>13233922.369745161</v>
      </c>
      <c r="CP40" s="3">
        <f t="shared" ref="CP40" si="358">CO46</f>
        <v>11782983.623409552</v>
      </c>
      <c r="CQ40" s="3">
        <f t="shared" ref="CQ40" si="359">CP46</f>
        <v>10327208.414586158</v>
      </c>
      <c r="CR40" s="3">
        <f t="shared" ref="CR40" si="360">CQ46</f>
        <v>8866580.6217333525</v>
      </c>
      <c r="CS40" s="3">
        <f t="shared" ref="CS40" si="361">CR46</f>
        <v>7401084.0695710378</v>
      </c>
      <c r="CT40" s="3">
        <f t="shared" ref="CT40" si="362">CS46</f>
        <v>5930702.5289015155</v>
      </c>
      <c r="CU40" s="3">
        <f t="shared" ref="CU40" si="363">CT46</f>
        <v>4455419.7164297607</v>
      </c>
      <c r="CV40" s="3">
        <f t="shared" ref="CV40" si="364">CU46</f>
        <v>2975219.2945831008</v>
      </c>
      <c r="CW40" s="3">
        <f t="shared" ref="CW40" si="365">CV46</f>
        <v>1490084.8713302852</v>
      </c>
    </row>
    <row r="41" spans="1:101" x14ac:dyDescent="0.2">
      <c r="A41" s="7" t="s">
        <v>6</v>
      </c>
      <c r="B41" s="158">
        <f>C18*(B39-C16)*$B$37/360</f>
        <v>1372338.3333333335</v>
      </c>
      <c r="C41" s="158">
        <f>B46*(C39-B39)*C37/360</f>
        <v>2190926.1111111115</v>
      </c>
      <c r="D41" s="158">
        <f t="shared" ref="D41:AO41" si="366">C46*(D39-C39)*D37/360</f>
        <v>1251957.7777777778</v>
      </c>
      <c r="E41" s="158">
        <f t="shared" si="366"/>
        <v>1251957.7777777778</v>
      </c>
      <c r="F41" s="158">
        <f t="shared" si="366"/>
        <v>1251957.7777777778</v>
      </c>
      <c r="G41" s="158">
        <f t="shared" si="366"/>
        <v>1251957.7777777778</v>
      </c>
      <c r="H41" s="158">
        <f t="shared" si="366"/>
        <v>1251957.7777777778</v>
      </c>
      <c r="I41" s="158">
        <f t="shared" si="366"/>
        <v>1251957.7777777778</v>
      </c>
      <c r="J41" s="158">
        <f>I46*(J39-I39)*J37/360</f>
        <v>1293231.111111111</v>
      </c>
      <c r="K41" s="158">
        <f t="shared" si="366"/>
        <v>1212834.0972222222</v>
      </c>
      <c r="L41" s="7">
        <f t="shared" si="366"/>
        <v>399835.41666666669</v>
      </c>
      <c r="M41" s="7">
        <f t="shared" si="366"/>
        <v>370468.99274376209</v>
      </c>
      <c r="N41" s="7">
        <f t="shared" si="366"/>
        <v>392189.01743973541</v>
      </c>
      <c r="O41" s="7">
        <f t="shared" si="366"/>
        <v>388346.69122587412</v>
      </c>
      <c r="P41" s="7">
        <f t="shared" si="366"/>
        <v>359685.65033809771</v>
      </c>
      <c r="Q41" s="7">
        <f t="shared" si="366"/>
        <v>392901.75261264446</v>
      </c>
      <c r="R41" s="7">
        <f t="shared" si="366"/>
        <v>364589.7049815972</v>
      </c>
      <c r="S41" s="7">
        <f t="shared" si="366"/>
        <v>348794.11466424674</v>
      </c>
      <c r="T41" s="7">
        <f t="shared" si="366"/>
        <v>392744.80320381693</v>
      </c>
      <c r="U41" s="7">
        <f t="shared" si="366"/>
        <v>353247.35988290102</v>
      </c>
      <c r="V41" s="7">
        <f t="shared" si="366"/>
        <v>361089.38984660053</v>
      </c>
      <c r="W41" s="7">
        <f t="shared" si="366"/>
        <v>345622.64342654397</v>
      </c>
      <c r="X41" s="7">
        <f t="shared" si="366"/>
        <v>353184.25326279306</v>
      </c>
      <c r="Y41" s="7">
        <f t="shared" si="366"/>
        <v>349211.91116834193</v>
      </c>
      <c r="Z41" s="7">
        <f t="shared" si="366"/>
        <v>311817.32845613308</v>
      </c>
      <c r="AA41" s="7">
        <f t="shared" si="366"/>
        <v>341227.45942136063</v>
      </c>
      <c r="AB41" s="7">
        <f t="shared" si="366"/>
        <v>326337.3496910691</v>
      </c>
      <c r="AC41" s="7">
        <f t="shared" si="366"/>
        <v>333189.68927993567</v>
      </c>
      <c r="AD41" s="7">
        <f t="shared" si="366"/>
        <v>318532.93416665331</v>
      </c>
      <c r="AE41" s="7">
        <f t="shared" si="366"/>
        <v>325098.24469567748</v>
      </c>
      <c r="AF41" s="7">
        <f t="shared" si="366"/>
        <v>321032.28257266927</v>
      </c>
      <c r="AG41" s="7">
        <f t="shared" si="366"/>
        <v>306728.48442830751</v>
      </c>
      <c r="AH41" s="7">
        <f t="shared" si="366"/>
        <v>312859.65352806583</v>
      </c>
      <c r="AI41" s="7">
        <f t="shared" si="366"/>
        <v>298793.12525919254</v>
      </c>
      <c r="AJ41" s="7">
        <f t="shared" si="366"/>
        <v>304632.44948284241</v>
      </c>
      <c r="AK41" s="7">
        <f t="shared" si="366"/>
        <v>300498.26804245805</v>
      </c>
      <c r="AL41" s="7">
        <f t="shared" si="366"/>
        <v>267671.24412656866</v>
      </c>
      <c r="AM41" s="7">
        <f t="shared" si="366"/>
        <v>292188.51741193625</v>
      </c>
      <c r="AN41" s="7">
        <f t="shared" si="366"/>
        <v>278722.11890127312</v>
      </c>
      <c r="AO41" s="7">
        <f t="shared" si="366"/>
        <v>283823.27611331502</v>
      </c>
      <c r="AP41" s="7">
        <f t="shared" ref="AP41" si="367">AO46*(AP39-AO39)*AP37/360</f>
        <v>270599.73944680544</v>
      </c>
      <c r="AQ41" s="7">
        <f t="shared" ref="AQ41" si="368">AP46*(AQ39-AP39)*AQ37/360</f>
        <v>275402.17359224416</v>
      </c>
      <c r="AR41" s="7">
        <f t="shared" ref="AR41" si="369">AQ46*(AR39-AQ39)*AR37/360</f>
        <v>271170.55789889116</v>
      </c>
      <c r="AS41" s="7">
        <f t="shared" ref="AS41" si="370">AR46*(AS39-AR39)*AS37/360</f>
        <v>258314.35821280029</v>
      </c>
      <c r="AT41" s="7">
        <f t="shared" ref="AT41" si="371">AS46*(AT39-AS39)*AT37/360</f>
        <v>262664.96333729947</v>
      </c>
      <c r="AU41" s="7">
        <f t="shared" ref="AU41" si="372">AT46*(AU39-AT39)*AU37/360</f>
        <v>250055.70026751288</v>
      </c>
      <c r="AV41" s="7">
        <f t="shared" ref="AV41" si="373">AU46*(AV39-AU39)*AV37/360</f>
        <v>254102.57030535763</v>
      </c>
      <c r="AW41" s="7">
        <f t="shared" ref="AW41" si="374">AV46*(AW39-AV39)*AW37/360</f>
        <v>249799.95593438169</v>
      </c>
      <c r="AX41" s="7">
        <f t="shared" ref="AX41" si="375">AW46*(AX39-AW39)*AX37/360</f>
        <v>221726.58020755064</v>
      </c>
      <c r="AY41" s="7">
        <f t="shared" ref="AY41" si="376">AX46*(AY39-AX39)*AY37/360</f>
        <v>241151.65324189365</v>
      </c>
      <c r="AZ41" s="7">
        <f t="shared" ref="AZ41" si="377">AY46*(AZ39-AY39)*AZ37/360</f>
        <v>229166.97014261893</v>
      </c>
      <c r="BA41" s="7">
        <f t="shared" ref="BA41" si="378">AZ46*(BA39-AZ39)*BA37/360</f>
        <v>232445.59910587035</v>
      </c>
      <c r="BB41" s="7">
        <f t="shared" ref="BB41" si="379">BA46*(BB39-BA39)*BB37/360</f>
        <v>220713.67241699621</v>
      </c>
      <c r="BC41" s="7">
        <f t="shared" ref="BC41" si="380">BB46*(BC39-BB39)*BC37/360</f>
        <v>223681.40787500527</v>
      </c>
      <c r="BD41" s="7">
        <f t="shared" ref="BD41" si="381">BC46*(BD39-BC39)*BD37/360</f>
        <v>219277.38962926148</v>
      </c>
      <c r="BE41" s="7">
        <f t="shared" ref="BE41" si="382">BD46*(BE39-BD39)*BE37/360</f>
        <v>207927.76579615992</v>
      </c>
      <c r="BF41" s="7">
        <f t="shared" ref="BF41" si="383">BE46*(BF39-BE39)*BF37/360</f>
        <v>210425.26402178043</v>
      </c>
      <c r="BG41" s="7">
        <f t="shared" ref="BG41" si="384">BF46*(BG39-BF39)*BG37/360</f>
        <v>199332.63738373472</v>
      </c>
      <c r="BH41" s="7">
        <f t="shared" ref="BH41" si="385">BG46*(BH39-BG39)*BH37/360</f>
        <v>201514.02588663163</v>
      </c>
      <c r="BI41" s="7">
        <f t="shared" ref="BI41" si="386">BH46*(BI39-BH39)*BI37/360</f>
        <v>197036.11636759329</v>
      </c>
      <c r="BJ41" s="7">
        <f t="shared" ref="BJ41" si="387">BI46*(BJ39-BI39)*BJ37/360</f>
        <v>180121.13335552425</v>
      </c>
      <c r="BK41" s="7">
        <f t="shared" ref="BK41" si="388">BJ46*(BK39-BJ39)*BK37/360</f>
        <v>188035.46847977594</v>
      </c>
      <c r="BL41" s="7">
        <f t="shared" ref="BL41" si="389">BK46*(BL39-BK39)*BL37/360</f>
        <v>177592.86816391748</v>
      </c>
      <c r="BM41" s="7">
        <f t="shared" ref="BM41" si="390">BL46*(BM39-BL39)*BM37/360</f>
        <v>178974.71626550771</v>
      </c>
      <c r="BN41" s="7">
        <f t="shared" ref="BN41" si="391">BM46*(BN39-BM39)*BN37/360</f>
        <v>168795.17004619256</v>
      </c>
      <c r="BO41" s="7">
        <f t="shared" ref="BO41" si="392">BN46*(BO39-BN39)*BO37/360</f>
        <v>169853.45836145314</v>
      </c>
      <c r="BP41" s="7">
        <f t="shared" ref="BP41" si="393">BO46*(BP39-BO39)*BP37/360</f>
        <v>165270.01361733084</v>
      </c>
      <c r="BQ41" s="7">
        <f t="shared" ref="BQ41" si="394">BP46*(BQ39-BP39)*BQ37/360</f>
        <v>155488.34586199498</v>
      </c>
      <c r="BR41" s="7">
        <f t="shared" ref="BR41" si="395">BQ46*(BR39-BQ39)*BR37/360</f>
        <v>156057.23875448122</v>
      </c>
      <c r="BS41" s="7">
        <f t="shared" ref="BS41" si="396">BR46*(BS39-BR39)*BS37/360</f>
        <v>146543.03865645386</v>
      </c>
      <c r="BT41" s="7">
        <f t="shared" ref="BT41" si="397">BS46*(BT39-BS39)*BT37/360</f>
        <v>146782.94302838077</v>
      </c>
      <c r="BU41" s="7">
        <f t="shared" ref="BU41" si="398">BT46*(BU39-BT39)*BU37/360</f>
        <v>142122.59656648154</v>
      </c>
      <c r="BV41" s="7">
        <f t="shared" ref="BV41" si="399">BU46*(BV39-BU39)*BV37/360</f>
        <v>124145.42055672673</v>
      </c>
      <c r="BW41" s="7">
        <f t="shared" ref="BW41" si="400">BV46*(BW39-BV39)*BW37/360</f>
        <v>132755.24839643683</v>
      </c>
      <c r="BX41" s="7">
        <f t="shared" ref="BX41" si="401">BW46*(BX39-BW39)*BX37/360</f>
        <v>123917.55769590111</v>
      </c>
      <c r="BY41" s="7">
        <f t="shared" ref="BY41" si="402">BX46*(BY39-BX39)*BY37/360</f>
        <v>123325.34715694541</v>
      </c>
      <c r="BZ41" s="7">
        <f t="shared" ref="BZ41" si="403">BY46*(BZ39-BY39)*BZ37/360</f>
        <v>114761.42778271751</v>
      </c>
      <c r="CA41" s="7">
        <f t="shared" ref="CA41" si="404">BZ46*(CA39-BZ39)*CA37/360</f>
        <v>113832.47513251033</v>
      </c>
      <c r="CB41" s="7">
        <f t="shared" ref="CB41" si="405">CA46*(CB39-CA39)*CB37/360</f>
        <v>109062.29377762492</v>
      </c>
      <c r="CC41" s="7">
        <f t="shared" ref="CC41" si="406">CB46*(CC39-CB39)*CC37/360</f>
        <v>100912.4630498934</v>
      </c>
      <c r="CD41" s="7">
        <f t="shared" ref="CD41" si="407">CC46*(CD39-CC39)*CD37/360</f>
        <v>99474.176252290112</v>
      </c>
      <c r="CE41" s="7">
        <f t="shared" ref="CE41" si="408">CD46*(CE39-CD39)*CE37/360</f>
        <v>91602.710226907046</v>
      </c>
      <c r="CF41" s="7">
        <f t="shared" ref="CF41" si="409">CE46*(CF39-CE39)*CF37/360</f>
        <v>89822.031408813942</v>
      </c>
      <c r="CG41" s="7">
        <f t="shared" ref="CG41" si="410">CF46*(CG39-CF39)*CG37/360</f>
        <v>84971.815241516189</v>
      </c>
      <c r="CH41" s="7">
        <f t="shared" ref="CH41" si="411">CG46*(CH39-CG39)*CH37/360</f>
        <v>72353.293136639826</v>
      </c>
      <c r="CI41" s="7">
        <f t="shared" ref="CI41" si="412">CH46*(CI39-CH39)*CI37/360</f>
        <v>75222.826853956954</v>
      </c>
      <c r="CJ41" s="7">
        <f t="shared" ref="CJ41" si="413">CI46*(CJ39-CI39)*CJ37/360</f>
        <v>68055.432262719041</v>
      </c>
      <c r="CK41" s="7">
        <f t="shared" ref="CK41" si="414">CJ46*(CK39-CJ39)*CK37/360</f>
        <v>65408.736888387459</v>
      </c>
      <c r="CL41" s="7">
        <f t="shared" ref="CL41" si="415">CK46*(CL39-CK39)*CL37/360</f>
        <v>58526.26748969833</v>
      </c>
      <c r="CM41" s="7">
        <f t="shared" ref="CM41" si="416">CL46*(CM39-CL39)*CM37/360</f>
        <v>55529.110610936768</v>
      </c>
      <c r="CN41" s="7">
        <f t="shared" ref="CN41" si="417">CM46*(CN39-CM39)*CN37/360</f>
        <v>50564.584707646092</v>
      </c>
      <c r="CO41" s="7">
        <f t="shared" ref="CO41" si="418">CN46*(CO39-CN39)*CO37/360</f>
        <v>44113.074565817202</v>
      </c>
      <c r="CP41" s="7">
        <f t="shared" ref="CP41" si="419">CO46*(CP39-CO39)*CP37/360</f>
        <v>40585.832480632904</v>
      </c>
      <c r="CQ41" s="7">
        <f t="shared" ref="CQ41" si="420">CP46*(CQ39-CP39)*CQ37/360</f>
        <v>34424.02804862053</v>
      </c>
      <c r="CR41" s="7">
        <f t="shared" ref="CR41" si="421">CQ46*(CR39-CQ39)*CR37/360</f>
        <v>30540.444363748215</v>
      </c>
      <c r="CS41" s="7">
        <f t="shared" ref="CS41" si="422">CR46*(CS39-CR39)*CS37/360</f>
        <v>25492.622906300239</v>
      </c>
      <c r="CT41" s="7">
        <f t="shared" ref="CT41" si="423">CS46*(CT39-CS39)*CT37/360</f>
        <v>18451.074534360268</v>
      </c>
      <c r="CU41" s="7">
        <f t="shared" ref="CU41" si="424">CT46*(CU39-CT39)*CU37/360</f>
        <v>15346.445689924731</v>
      </c>
      <c r="CV41" s="7">
        <f t="shared" ref="CV41" si="425">CU46*(CV39-CU39)*CV37/360</f>
        <v>9917.3976486103384</v>
      </c>
      <c r="CW41" s="7">
        <f t="shared" ref="CW41" si="426">CV46*(CW39-CV39)*CW37/360</f>
        <v>5132.5145568043163</v>
      </c>
    </row>
    <row r="42" spans="1:101" x14ac:dyDescent="0.2">
      <c r="A42" s="2" t="s">
        <v>12</v>
      </c>
      <c r="B42" s="159">
        <f>B41</f>
        <v>1372338.3333333335</v>
      </c>
      <c r="C42" s="159">
        <f>B42+C41</f>
        <v>3563264.444444445</v>
      </c>
      <c r="D42" s="159">
        <f>C42+D41</f>
        <v>4815222.2222222229</v>
      </c>
      <c r="E42" s="159">
        <f>D42+E41</f>
        <v>6067180.0000000009</v>
      </c>
      <c r="F42" s="159">
        <f t="shared" ref="F42" si="427">E42+F41</f>
        <v>7319137.7777777789</v>
      </c>
      <c r="G42" s="159">
        <f t="shared" ref="G42" si="428">G41+F42</f>
        <v>8571095.555555556</v>
      </c>
      <c r="H42" s="159">
        <f t="shared" ref="H42" si="429">H41+G42</f>
        <v>9823053.333333334</v>
      </c>
      <c r="I42" s="159">
        <f t="shared" ref="I42" si="430">I41+H42</f>
        <v>11075011.111111112</v>
      </c>
      <c r="J42" s="159">
        <f t="shared" ref="J42" si="431">J41+I42</f>
        <v>12368242.222222224</v>
      </c>
      <c r="K42" s="159">
        <f t="shared" ref="K42" si="432">K41+J42</f>
        <v>13581076.319444446</v>
      </c>
      <c r="L42" s="3">
        <f t="shared" ref="L42" si="433">L41+K42</f>
        <v>13980911.736111112</v>
      </c>
      <c r="M42" s="3">
        <f t="shared" ref="M42" si="434">M41+L42</f>
        <v>14351380.728854874</v>
      </c>
      <c r="N42" s="3">
        <f t="shared" ref="N42" si="435">N41+M42</f>
        <v>14743569.74629461</v>
      </c>
      <c r="O42" s="3">
        <f t="shared" ref="O42" si="436">O41+N42</f>
        <v>15131916.437520484</v>
      </c>
      <c r="P42" s="3">
        <f t="shared" ref="P42" si="437">P41+O42</f>
        <v>15491602.087858582</v>
      </c>
      <c r="Q42" s="3">
        <f t="shared" ref="Q42" si="438">Q41+P42</f>
        <v>15884503.840471227</v>
      </c>
      <c r="R42" s="3">
        <f t="shared" ref="R42" si="439">R41+Q42</f>
        <v>16249093.545452824</v>
      </c>
      <c r="S42" s="3">
        <f t="shared" ref="S42" si="440">S41+R42</f>
        <v>16597887.660117071</v>
      </c>
      <c r="T42" s="3">
        <f t="shared" ref="T42" si="441">T41+S42</f>
        <v>16990632.463320889</v>
      </c>
      <c r="U42" s="3">
        <f t="shared" ref="U42" si="442">U41+T42</f>
        <v>17343879.823203791</v>
      </c>
      <c r="V42" s="3">
        <f t="shared" ref="V42" si="443">V41+U42</f>
        <v>17704969.213050392</v>
      </c>
      <c r="W42" s="3">
        <f t="shared" ref="W42" si="444">W41+V42</f>
        <v>18050591.856476936</v>
      </c>
      <c r="X42" s="3">
        <f t="shared" ref="X42" si="445">X41+W42</f>
        <v>18403776.109739728</v>
      </c>
      <c r="Y42" s="3">
        <f t="shared" ref="Y42" si="446">Y41+X42</f>
        <v>18752988.020908069</v>
      </c>
      <c r="Z42" s="3">
        <f t="shared" ref="Z42" si="447">Z41+Y42</f>
        <v>19064805.349364202</v>
      </c>
      <c r="AA42" s="3">
        <f t="shared" ref="AA42" si="448">AA41+Z42</f>
        <v>19406032.808785561</v>
      </c>
      <c r="AB42" s="3">
        <f t="shared" ref="AB42" si="449">AB41+AA42</f>
        <v>19732370.158476632</v>
      </c>
      <c r="AC42" s="3">
        <f t="shared" ref="AC42" si="450">AC41+AB42</f>
        <v>20065559.847756568</v>
      </c>
      <c r="AD42" s="3">
        <f t="shared" ref="AD42" si="451">AD41+AC42</f>
        <v>20384092.781923223</v>
      </c>
      <c r="AE42" s="3">
        <f t="shared" ref="AE42" si="452">AE41+AD42</f>
        <v>20709191.026618902</v>
      </c>
      <c r="AF42" s="3">
        <f t="shared" ref="AF42" si="453">AF41+AE42</f>
        <v>21030223.30919157</v>
      </c>
      <c r="AG42" s="3">
        <f t="shared" ref="AG42" si="454">AG41+AF42</f>
        <v>21336951.793619879</v>
      </c>
      <c r="AH42" s="3">
        <f t="shared" ref="AH42" si="455">AH41+AG42</f>
        <v>21649811.447147943</v>
      </c>
      <c r="AI42" s="3">
        <f t="shared" ref="AI42" si="456">AI41+AH42</f>
        <v>21948604.572407134</v>
      </c>
      <c r="AJ42" s="3">
        <f t="shared" ref="AJ42" si="457">AJ41+AI42</f>
        <v>22253237.021889977</v>
      </c>
      <c r="AK42" s="3">
        <f t="shared" ref="AK42" si="458">AK41+AJ42</f>
        <v>22553735.289932434</v>
      </c>
      <c r="AL42" s="3">
        <f t="shared" ref="AL42" si="459">AL41+AK42</f>
        <v>22821406.534059003</v>
      </c>
      <c r="AM42" s="3">
        <f t="shared" ref="AM42" si="460">AM41+AL42</f>
        <v>23113595.051470939</v>
      </c>
      <c r="AN42" s="3">
        <f t="shared" ref="AN42" si="461">AN41+AM42</f>
        <v>23392317.17037221</v>
      </c>
      <c r="AO42" s="3">
        <f t="shared" ref="AO42" si="462">AO41+AN42</f>
        <v>23676140.446485527</v>
      </c>
      <c r="AP42" s="3">
        <f t="shared" ref="AP42" si="463">AP41+AO42</f>
        <v>23946740.185932331</v>
      </c>
      <c r="AQ42" s="3">
        <f t="shared" ref="AQ42" si="464">AQ41+AP42</f>
        <v>24222142.359524574</v>
      </c>
      <c r="AR42" s="3">
        <f t="shared" ref="AR42" si="465">AR41+AQ42</f>
        <v>24493312.917423464</v>
      </c>
      <c r="AS42" s="3">
        <f t="shared" ref="AS42" si="466">AS41+AR42</f>
        <v>24751627.275636263</v>
      </c>
      <c r="AT42" s="3">
        <f t="shared" ref="AT42" si="467">AT41+AS42</f>
        <v>25014292.238973562</v>
      </c>
      <c r="AU42" s="3">
        <f t="shared" ref="AU42" si="468">AU41+AT42</f>
        <v>25264347.939241074</v>
      </c>
      <c r="AV42" s="3">
        <f t="shared" ref="AV42" si="469">AV41+AU42</f>
        <v>25518450.509546433</v>
      </c>
      <c r="AW42" s="3">
        <f t="shared" ref="AW42" si="470">AW41+AV42</f>
        <v>25768250.465480816</v>
      </c>
      <c r="AX42" s="3">
        <f t="shared" ref="AX42" si="471">AX41+AW42</f>
        <v>25989977.045688365</v>
      </c>
      <c r="AY42" s="3">
        <f t="shared" ref="AY42" si="472">AY41+AX42</f>
        <v>26231128.69893026</v>
      </c>
      <c r="AZ42" s="3">
        <f t="shared" ref="AZ42" si="473">AZ41+AY42</f>
        <v>26460295.669072878</v>
      </c>
      <c r="BA42" s="3">
        <f t="shared" ref="BA42" si="474">BA41+AZ42</f>
        <v>26692741.268178746</v>
      </c>
      <c r="BB42" s="3">
        <f t="shared" ref="BB42" si="475">BB41+BA42</f>
        <v>26913454.940595742</v>
      </c>
      <c r="BC42" s="3">
        <f t="shared" ref="BC42" si="476">BC41+BB42</f>
        <v>27137136.348470747</v>
      </c>
      <c r="BD42" s="3">
        <f t="shared" ref="BD42" si="477">BD41+BC42</f>
        <v>27356413.738100007</v>
      </c>
      <c r="BE42" s="3">
        <f t="shared" ref="BE42" si="478">BE41+BD42</f>
        <v>27564341.503896166</v>
      </c>
      <c r="BF42" s="3">
        <f t="shared" ref="BF42" si="479">BF41+BE42</f>
        <v>27774766.767917946</v>
      </c>
      <c r="BG42" s="3">
        <f t="shared" ref="BG42" si="480">BG41+BF42</f>
        <v>27974099.405301679</v>
      </c>
      <c r="BH42" s="3">
        <f t="shared" ref="BH42" si="481">BH41+BG42</f>
        <v>28175613.431188311</v>
      </c>
      <c r="BI42" s="3">
        <f t="shared" ref="BI42" si="482">BI41+BH42</f>
        <v>28372649.547555905</v>
      </c>
      <c r="BJ42" s="3">
        <f t="shared" ref="BJ42" si="483">BJ41+BI42</f>
        <v>28552770.680911429</v>
      </c>
      <c r="BK42" s="3">
        <f t="shared" ref="BK42" si="484">BK41+BJ42</f>
        <v>28740806.149391204</v>
      </c>
      <c r="BL42" s="3">
        <f t="shared" ref="BL42" si="485">BL41+BK42</f>
        <v>28918399.017555121</v>
      </c>
      <c r="BM42" s="3">
        <f t="shared" ref="BM42" si="486">BM41+BL42</f>
        <v>29097373.733820628</v>
      </c>
      <c r="BN42" s="3">
        <f t="shared" ref="BN42" si="487">BN41+BM42</f>
        <v>29266168.90386682</v>
      </c>
      <c r="BO42" s="3">
        <f t="shared" ref="BO42" si="488">BO41+BN42</f>
        <v>29436022.362228274</v>
      </c>
      <c r="BP42" s="3">
        <f t="shared" ref="BP42" si="489">BP41+BO42</f>
        <v>29601292.375845604</v>
      </c>
      <c r="BQ42" s="3">
        <f t="shared" ref="BQ42" si="490">BQ41+BP42</f>
        <v>29756780.721707597</v>
      </c>
      <c r="BR42" s="3">
        <f t="shared" ref="BR42" si="491">BR41+BQ42</f>
        <v>29912837.960462078</v>
      </c>
      <c r="BS42" s="3">
        <f t="shared" ref="BS42" si="492">BS41+BR42</f>
        <v>30059380.999118533</v>
      </c>
      <c r="BT42" s="3">
        <f t="shared" ref="BT42" si="493">BT41+BS42</f>
        <v>30206163.942146912</v>
      </c>
      <c r="BU42" s="3">
        <f t="shared" ref="BU42" si="494">BU41+BT42</f>
        <v>30348286.538713396</v>
      </c>
      <c r="BV42" s="3">
        <f t="shared" ref="BV42" si="495">BV41+BU42</f>
        <v>30472431.959270123</v>
      </c>
      <c r="BW42" s="3">
        <f t="shared" ref="BW42" si="496">BW41+BV42</f>
        <v>30605187.207666561</v>
      </c>
      <c r="BX42" s="3">
        <f t="shared" ref="BX42" si="497">BX41+BW42</f>
        <v>30729104.765362464</v>
      </c>
      <c r="BY42" s="3">
        <f t="shared" ref="BY42" si="498">BY41+BX42</f>
        <v>30852430.11251941</v>
      </c>
      <c r="BZ42" s="3">
        <f t="shared" ref="BZ42" si="499">BZ41+BY42</f>
        <v>30967191.540302128</v>
      </c>
      <c r="CA42" s="3">
        <f t="shared" ref="CA42" si="500">CA41+BZ42</f>
        <v>31081024.015434638</v>
      </c>
      <c r="CB42" s="3">
        <f t="shared" ref="CB42" si="501">CB41+CA42</f>
        <v>31190086.309212264</v>
      </c>
      <c r="CC42" s="3">
        <f t="shared" ref="CC42" si="502">CC41+CB42</f>
        <v>31290998.772262156</v>
      </c>
      <c r="CD42" s="3">
        <f t="shared" ref="CD42" si="503">CD41+CC42</f>
        <v>31390472.948514447</v>
      </c>
      <c r="CE42" s="3">
        <f t="shared" ref="CE42" si="504">CE41+CD42</f>
        <v>31482075.658741355</v>
      </c>
      <c r="CF42" s="3">
        <f t="shared" ref="CF42" si="505">CF41+CE42</f>
        <v>31571897.690150168</v>
      </c>
      <c r="CG42" s="3">
        <f t="shared" ref="CG42" si="506">CG41+CF42</f>
        <v>31656869.505391683</v>
      </c>
      <c r="CH42" s="3">
        <f t="shared" ref="CH42" si="507">CH41+CG42</f>
        <v>31729222.798528325</v>
      </c>
      <c r="CI42" s="3">
        <f t="shared" ref="CI42" si="508">CI41+CH42</f>
        <v>31804445.625382282</v>
      </c>
      <c r="CJ42" s="3">
        <f t="shared" ref="CJ42" si="509">CJ41+CI42</f>
        <v>31872501.057645001</v>
      </c>
      <c r="CK42" s="3">
        <f t="shared" ref="CK42" si="510">CK41+CJ42</f>
        <v>31937909.794533387</v>
      </c>
      <c r="CL42" s="3">
        <f t="shared" ref="CL42" si="511">CL41+CK42</f>
        <v>31996436.062023085</v>
      </c>
      <c r="CM42" s="3">
        <f t="shared" ref="CM42" si="512">CM41+CL42</f>
        <v>32051965.17263402</v>
      </c>
      <c r="CN42" s="3">
        <f t="shared" ref="CN42" si="513">CN41+CM42</f>
        <v>32102529.757341668</v>
      </c>
      <c r="CO42" s="3">
        <f t="shared" ref="CO42" si="514">CO41+CN42</f>
        <v>32146642.831907485</v>
      </c>
      <c r="CP42" s="3">
        <f t="shared" ref="CP42" si="515">CP41+CO42</f>
        <v>32187228.664388116</v>
      </c>
      <c r="CQ42" s="3">
        <f t="shared" ref="CQ42" si="516">CQ41+CP42</f>
        <v>32221652.692436736</v>
      </c>
      <c r="CR42" s="3">
        <f t="shared" ref="CR42" si="517">CR41+CQ42</f>
        <v>32252193.136800483</v>
      </c>
      <c r="CS42" s="3">
        <f t="shared" ref="CS42" si="518">CS41+CR42</f>
        <v>32277685.759706784</v>
      </c>
      <c r="CT42" s="3">
        <f t="shared" ref="CT42" si="519">CT41+CS42</f>
        <v>32296136.834241144</v>
      </c>
      <c r="CU42" s="3">
        <f t="shared" ref="CU42" si="520">CU41+CT42</f>
        <v>32311483.279931068</v>
      </c>
      <c r="CV42" s="3">
        <f t="shared" ref="CV42" si="521">CV41+CU42</f>
        <v>32321400.677579679</v>
      </c>
      <c r="CW42" s="3">
        <f t="shared" ref="CW42" si="522">CW41+CV42</f>
        <v>32326533.192136481</v>
      </c>
    </row>
    <row r="43" spans="1:101" x14ac:dyDescent="0.2">
      <c r="A43" s="2" t="s">
        <v>7</v>
      </c>
      <c r="B43" s="159">
        <v>0</v>
      </c>
      <c r="C43" s="159">
        <v>0</v>
      </c>
      <c r="D43" s="159">
        <v>0</v>
      </c>
      <c r="E43" s="159">
        <v>0</v>
      </c>
      <c r="F43" s="159">
        <v>0</v>
      </c>
      <c r="G43" s="159">
        <v>0</v>
      </c>
      <c r="H43" s="159">
        <v>0</v>
      </c>
      <c r="I43" s="159">
        <v>0</v>
      </c>
      <c r="J43" s="159">
        <f>$C$18/$C$13</f>
        <v>3869375</v>
      </c>
      <c r="K43" s="159">
        <f t="shared" ref="K43" si="523">$C$18/$C$13</f>
        <v>3869375</v>
      </c>
      <c r="L43" s="3">
        <f>-PPMT($L$37/12,L38,$CW$38,$L$40,0)</f>
        <v>1108114.3209014263</v>
      </c>
      <c r="M43" s="3">
        <f t="shared" ref="M43:BX43" si="524">-PPMT($L$37/12,M38,$CW$38,$L$40,0)</f>
        <v>1111808.0353044311</v>
      </c>
      <c r="N43" s="3">
        <f t="shared" si="524"/>
        <v>1115514.0620887789</v>
      </c>
      <c r="O43" s="3">
        <f t="shared" si="524"/>
        <v>1119232.4422957415</v>
      </c>
      <c r="P43" s="3">
        <f t="shared" si="524"/>
        <v>1122963.217103394</v>
      </c>
      <c r="Q43" s="3">
        <f t="shared" si="524"/>
        <v>1126706.4278270719</v>
      </c>
      <c r="R43" s="3">
        <f t="shared" si="524"/>
        <v>1130462.1159198289</v>
      </c>
      <c r="S43" s="3">
        <f t="shared" si="524"/>
        <v>1134230.3229728949</v>
      </c>
      <c r="T43" s="3">
        <f t="shared" si="524"/>
        <v>1138011.090716138</v>
      </c>
      <c r="U43" s="3">
        <f t="shared" si="524"/>
        <v>1141804.4610185253</v>
      </c>
      <c r="V43" s="3">
        <f t="shared" si="524"/>
        <v>1145610.4758885868</v>
      </c>
      <c r="W43" s="3">
        <f t="shared" si="524"/>
        <v>1149429.1774748822</v>
      </c>
      <c r="X43" s="3">
        <f t="shared" si="524"/>
        <v>1153260.6080664652</v>
      </c>
      <c r="Y43" s="3">
        <f t="shared" si="524"/>
        <v>1157104.8100933533</v>
      </c>
      <c r="Z43" s="3">
        <f t="shared" si="524"/>
        <v>1160961.8261269978</v>
      </c>
      <c r="AA43" s="3">
        <f t="shared" si="524"/>
        <v>1164831.6988807546</v>
      </c>
      <c r="AB43" s="3">
        <f t="shared" si="524"/>
        <v>1168714.471210357</v>
      </c>
      <c r="AC43" s="3">
        <f t="shared" si="524"/>
        <v>1172610.1861143915</v>
      </c>
      <c r="AD43" s="3">
        <f t="shared" si="524"/>
        <v>1176518.8867347727</v>
      </c>
      <c r="AE43" s="3">
        <f t="shared" si="524"/>
        <v>1180440.616357222</v>
      </c>
      <c r="AF43" s="3">
        <f t="shared" si="524"/>
        <v>1184375.4184117462</v>
      </c>
      <c r="AG43" s="3">
        <f t="shared" si="524"/>
        <v>1188323.3364731185</v>
      </c>
      <c r="AH43" s="3">
        <f t="shared" si="524"/>
        <v>1192284.4142613625</v>
      </c>
      <c r="AI43" s="3">
        <f t="shared" si="524"/>
        <v>1196258.6956422336</v>
      </c>
      <c r="AJ43" s="3">
        <f t="shared" si="524"/>
        <v>1200246.2246277076</v>
      </c>
      <c r="AK43" s="3">
        <f t="shared" si="524"/>
        <v>1204247.0453764666</v>
      </c>
      <c r="AL43" s="3">
        <f t="shared" si="524"/>
        <v>1208261.2021943883</v>
      </c>
      <c r="AM43" s="3">
        <f t="shared" si="524"/>
        <v>1212288.7395350363</v>
      </c>
      <c r="AN43" s="3">
        <f t="shared" si="524"/>
        <v>1216329.702000153</v>
      </c>
      <c r="AO43" s="3">
        <f t="shared" si="524"/>
        <v>1220384.1343401535</v>
      </c>
      <c r="AP43" s="3">
        <f t="shared" si="524"/>
        <v>1224452.0814546207</v>
      </c>
      <c r="AQ43" s="3">
        <f t="shared" si="524"/>
        <v>1228533.5883928027</v>
      </c>
      <c r="AR43" s="3">
        <f t="shared" si="524"/>
        <v>1232628.7003541121</v>
      </c>
      <c r="AS43" s="3">
        <f t="shared" si="524"/>
        <v>1236737.462688626</v>
      </c>
      <c r="AT43" s="3">
        <f t="shared" si="524"/>
        <v>1240859.9208975879</v>
      </c>
      <c r="AU43" s="3">
        <f t="shared" si="524"/>
        <v>1244996.1206339134</v>
      </c>
      <c r="AV43" s="3">
        <f t="shared" si="524"/>
        <v>1249146.1077026927</v>
      </c>
      <c r="AW43" s="3">
        <f t="shared" si="524"/>
        <v>1253309.9280617018</v>
      </c>
      <c r="AX43" s="3">
        <f t="shared" si="524"/>
        <v>1257487.6278219076</v>
      </c>
      <c r="AY43" s="3">
        <f t="shared" si="524"/>
        <v>1261679.2532479805</v>
      </c>
      <c r="AZ43" s="3">
        <f t="shared" si="524"/>
        <v>1265884.850758807</v>
      </c>
      <c r="BA43" s="3">
        <f t="shared" si="524"/>
        <v>1270104.4669280034</v>
      </c>
      <c r="BB43" s="3">
        <f t="shared" si="524"/>
        <v>1274338.14848443</v>
      </c>
      <c r="BC43" s="3">
        <f t="shared" si="524"/>
        <v>1278585.9423127114</v>
      </c>
      <c r="BD43" s="3">
        <f t="shared" si="524"/>
        <v>1282847.8954537536</v>
      </c>
      <c r="BE43" s="3">
        <f t="shared" si="524"/>
        <v>1287124.0551052662</v>
      </c>
      <c r="BF43" s="3">
        <f t="shared" si="524"/>
        <v>1291414.4686222838</v>
      </c>
      <c r="BG43" s="3">
        <f t="shared" si="524"/>
        <v>1295719.1835176914</v>
      </c>
      <c r="BH43" s="3">
        <f t="shared" si="524"/>
        <v>1300038.2474627504</v>
      </c>
      <c r="BI43" s="3">
        <f t="shared" si="524"/>
        <v>1304371.7082876263</v>
      </c>
      <c r="BJ43" s="3">
        <f t="shared" si="524"/>
        <v>1308719.6139819182</v>
      </c>
      <c r="BK43" s="3">
        <f t="shared" si="524"/>
        <v>1313082.0126951914</v>
      </c>
      <c r="BL43" s="3">
        <f t="shared" si="524"/>
        <v>1317458.9527375088</v>
      </c>
      <c r="BM43" s="3">
        <f t="shared" si="524"/>
        <v>1321850.4825799668</v>
      </c>
      <c r="BN43" s="3">
        <f t="shared" si="524"/>
        <v>1326256.6508552337</v>
      </c>
      <c r="BO43" s="3">
        <f t="shared" si="524"/>
        <v>1330677.5063580843</v>
      </c>
      <c r="BP43" s="3">
        <f t="shared" si="524"/>
        <v>1335113.0980459447</v>
      </c>
      <c r="BQ43" s="3">
        <f t="shared" si="524"/>
        <v>1339563.4750394311</v>
      </c>
      <c r="BR43" s="3">
        <f t="shared" si="524"/>
        <v>1344028.686622896</v>
      </c>
      <c r="BS43" s="3">
        <f t="shared" si="524"/>
        <v>1348508.7822449722</v>
      </c>
      <c r="BT43" s="3">
        <f t="shared" si="524"/>
        <v>1353003.8115191222</v>
      </c>
      <c r="BU43" s="3">
        <f t="shared" si="524"/>
        <v>1357513.8242241859</v>
      </c>
      <c r="BV43" s="3">
        <f t="shared" si="524"/>
        <v>1362038.8703049331</v>
      </c>
      <c r="BW43" s="3">
        <f t="shared" si="524"/>
        <v>1366578.9998726163</v>
      </c>
      <c r="BX43" s="3">
        <f t="shared" si="524"/>
        <v>1371134.263205525</v>
      </c>
      <c r="BY43" s="3">
        <f t="shared" ref="BY43:CW43" si="525">-PPMT($L$37/12,BY38,$CW$38,$L$40,0)</f>
        <v>1375704.7107495435</v>
      </c>
      <c r="BZ43" s="3">
        <f t="shared" si="525"/>
        <v>1380290.3931187086</v>
      </c>
      <c r="CA43" s="3">
        <f t="shared" si="525"/>
        <v>1384891.361095771</v>
      </c>
      <c r="CB43" s="3">
        <f t="shared" si="525"/>
        <v>1389507.6656327569</v>
      </c>
      <c r="CC43" s="3">
        <f t="shared" si="525"/>
        <v>1394139.3578515325</v>
      </c>
      <c r="CD43" s="3">
        <f t="shared" si="525"/>
        <v>1398786.4890443711</v>
      </c>
      <c r="CE43" s="3">
        <f t="shared" si="525"/>
        <v>1403449.1106745191</v>
      </c>
      <c r="CF43" s="3">
        <f t="shared" si="525"/>
        <v>1408127.2743767675</v>
      </c>
      <c r="CG43" s="3">
        <f t="shared" si="525"/>
        <v>1412821.0319580233</v>
      </c>
      <c r="CH43" s="3">
        <f t="shared" si="525"/>
        <v>1417530.4353978834</v>
      </c>
      <c r="CI43" s="3">
        <f t="shared" si="525"/>
        <v>1422255.5368492096</v>
      </c>
      <c r="CJ43" s="3">
        <f t="shared" si="525"/>
        <v>1426996.3886387071</v>
      </c>
      <c r="CK43" s="3">
        <f t="shared" si="525"/>
        <v>1431753.0432675027</v>
      </c>
      <c r="CL43" s="3">
        <f t="shared" si="525"/>
        <v>1436525.5534117275</v>
      </c>
      <c r="CM43" s="3">
        <f t="shared" si="525"/>
        <v>1441313.9719231003</v>
      </c>
      <c r="CN43" s="3">
        <f t="shared" si="525"/>
        <v>1446118.3518295104</v>
      </c>
      <c r="CO43" s="3">
        <f t="shared" si="525"/>
        <v>1450938.7463356089</v>
      </c>
      <c r="CP43" s="3">
        <f t="shared" si="525"/>
        <v>1455775.2088233943</v>
      </c>
      <c r="CQ43" s="3">
        <f t="shared" si="525"/>
        <v>1460627.7928528055</v>
      </c>
      <c r="CR43" s="3">
        <f t="shared" si="525"/>
        <v>1465496.5521623148</v>
      </c>
      <c r="CS43" s="3">
        <f t="shared" si="525"/>
        <v>1470381.5406695225</v>
      </c>
      <c r="CT43" s="3">
        <f t="shared" si="525"/>
        <v>1475282.8124717544</v>
      </c>
      <c r="CU43" s="3">
        <f t="shared" si="525"/>
        <v>1480200.4218466601</v>
      </c>
      <c r="CV43" s="3">
        <f t="shared" si="525"/>
        <v>1485134.4232528156</v>
      </c>
      <c r="CW43" s="3">
        <f t="shared" si="525"/>
        <v>1490084.871330325</v>
      </c>
    </row>
    <row r="44" spans="1:101" x14ac:dyDescent="0.2">
      <c r="A44" s="2" t="s">
        <v>13</v>
      </c>
      <c r="B44" s="159">
        <v>0</v>
      </c>
      <c r="C44" s="159">
        <f t="shared" ref="C44" si="526">C43+B44</f>
        <v>0</v>
      </c>
      <c r="D44" s="159">
        <f t="shared" ref="D44" si="527">D43+C44</f>
        <v>0</v>
      </c>
      <c r="E44" s="159">
        <f t="shared" ref="E44" si="528">E43+D44</f>
        <v>0</v>
      </c>
      <c r="F44" s="159">
        <f t="shared" ref="F44" si="529">F43+E44</f>
        <v>0</v>
      </c>
      <c r="G44" s="159">
        <f t="shared" ref="G44" si="530">G43+F44</f>
        <v>0</v>
      </c>
      <c r="H44" s="159">
        <f t="shared" ref="H44" si="531">H43+G44</f>
        <v>0</v>
      </c>
      <c r="I44" s="159">
        <f t="shared" ref="I44" si="532">I43+H44</f>
        <v>0</v>
      </c>
      <c r="J44" s="159">
        <f t="shared" ref="J44" si="533">J43+I44</f>
        <v>3869375</v>
      </c>
      <c r="K44" s="159">
        <f t="shared" ref="K44" si="534">K43+J44</f>
        <v>7738750</v>
      </c>
      <c r="L44" s="3">
        <f t="shared" ref="L44" si="535">L43+K44</f>
        <v>8846864.3209014256</v>
      </c>
      <c r="M44" s="3">
        <f t="shared" ref="M44" si="536">M43+L44</f>
        <v>9958672.3562058564</v>
      </c>
      <c r="N44" s="3">
        <f t="shared" ref="N44" si="537">N43+M44</f>
        <v>11074186.418294635</v>
      </c>
      <c r="O44" s="3">
        <f t="shared" ref="O44" si="538">O43+N44</f>
        <v>12193418.860590376</v>
      </c>
      <c r="P44" s="3">
        <f t="shared" ref="P44" si="539">P43+O44</f>
        <v>13316382.07769377</v>
      </c>
      <c r="Q44" s="3">
        <f t="shared" ref="Q44" si="540">Q43+P44</f>
        <v>14443088.505520841</v>
      </c>
      <c r="R44" s="3">
        <f t="shared" ref="R44" si="541">R43+Q44</f>
        <v>15573550.62144067</v>
      </c>
      <c r="S44" s="3">
        <f t="shared" ref="S44" si="542">S43+R44</f>
        <v>16707780.944413565</v>
      </c>
      <c r="T44" s="3">
        <f t="shared" ref="T44" si="543">T43+S44</f>
        <v>17845792.035129704</v>
      </c>
      <c r="U44" s="3">
        <f t="shared" ref="U44" si="544">U43+T44</f>
        <v>18987596.496148229</v>
      </c>
      <c r="V44" s="3">
        <f t="shared" ref="V44" si="545">V43+U44</f>
        <v>20133206.972036816</v>
      </c>
      <c r="W44" s="3">
        <f t="shared" ref="W44" si="546">W43+V44</f>
        <v>21282636.149511699</v>
      </c>
      <c r="X44" s="3">
        <f t="shared" ref="X44" si="547">X43+W44</f>
        <v>22435896.757578164</v>
      </c>
      <c r="Y44" s="3">
        <f t="shared" ref="Y44" si="548">Y43+X44</f>
        <v>23593001.567671519</v>
      </c>
      <c r="Z44" s="3">
        <f t="shared" ref="Z44" si="549">Z43+Y44</f>
        <v>24753963.393798515</v>
      </c>
      <c r="AA44" s="3">
        <f t="shared" ref="AA44" si="550">AA43+Z44</f>
        <v>25918795.09267927</v>
      </c>
      <c r="AB44" s="3">
        <f t="shared" ref="AB44" si="551">AB43+AA44</f>
        <v>27087509.563889626</v>
      </c>
      <c r="AC44" s="3">
        <f t="shared" ref="AC44" si="552">AC43+AB44</f>
        <v>28260119.75000402</v>
      </c>
      <c r="AD44" s="3">
        <f t="shared" ref="AD44" si="553">AD43+AC44</f>
        <v>29436638.636738792</v>
      </c>
      <c r="AE44" s="3">
        <f t="shared" ref="AE44" si="554">AE43+AD44</f>
        <v>30617079.253096014</v>
      </c>
      <c r="AF44" s="3">
        <f t="shared" ref="AF44" si="555">AF43+AE44</f>
        <v>31801454.671507761</v>
      </c>
      <c r="AG44" s="3">
        <f t="shared" ref="AG44" si="556">AG43+AF44</f>
        <v>32989778.007980879</v>
      </c>
      <c r="AH44" s="3">
        <f t="shared" ref="AH44" si="557">AH43+AG44</f>
        <v>34182062.422242239</v>
      </c>
      <c r="AI44" s="3">
        <f t="shared" ref="AI44" si="558">AI43+AH44</f>
        <v>35378321.117884472</v>
      </c>
      <c r="AJ44" s="3">
        <f t="shared" ref="AJ44" si="559">AJ43+AI44</f>
        <v>36578567.342512183</v>
      </c>
      <c r="AK44" s="3">
        <f t="shared" ref="AK44" si="560">AK43+AJ44</f>
        <v>37782814.387888648</v>
      </c>
      <c r="AL44" s="3">
        <f t="shared" ref="AL44" si="561">AL43+AK44</f>
        <v>38991075.590083033</v>
      </c>
      <c r="AM44" s="3">
        <f t="shared" ref="AM44" si="562">AM43+AL44</f>
        <v>40203364.329618067</v>
      </c>
      <c r="AN44" s="3">
        <f t="shared" ref="AN44" si="563">AN43+AM44</f>
        <v>41419694.031618223</v>
      </c>
      <c r="AO44" s="3">
        <f t="shared" ref="AO44" si="564">AO43+AN44</f>
        <v>42640078.165958375</v>
      </c>
      <c r="AP44" s="3">
        <f t="shared" ref="AP44" si="565">AP43+AO44</f>
        <v>43864530.247412995</v>
      </c>
      <c r="AQ44" s="3">
        <f t="shared" ref="AQ44" si="566">AQ43+AP44</f>
        <v>45093063.835805796</v>
      </c>
      <c r="AR44" s="3">
        <f t="shared" ref="AR44" si="567">AR43+AQ44</f>
        <v>46325692.53615991</v>
      </c>
      <c r="AS44" s="3">
        <f t="shared" ref="AS44" si="568">AS43+AR44</f>
        <v>47562429.998848535</v>
      </c>
      <c r="AT44" s="3">
        <f t="shared" ref="AT44" si="569">AT43+AS44</f>
        <v>48803289.919746123</v>
      </c>
      <c r="AU44" s="3">
        <f t="shared" ref="AU44" si="570">AU43+AT44</f>
        <v>50048286.040380038</v>
      </c>
      <c r="AV44" s="3">
        <f t="shared" ref="AV44" si="571">AV43+AU44</f>
        <v>51297432.148082733</v>
      </c>
      <c r="AW44" s="3">
        <f t="shared" ref="AW44" si="572">AW43+AV44</f>
        <v>52550742.076144435</v>
      </c>
      <c r="AX44" s="3">
        <f t="shared" ref="AX44" si="573">AX43+AW44</f>
        <v>53808229.703966342</v>
      </c>
      <c r="AY44" s="3">
        <f t="shared" ref="AY44" si="574">AY43+AX44</f>
        <v>55069908.957214326</v>
      </c>
      <c r="AZ44" s="3">
        <f t="shared" ref="AZ44" si="575">AZ43+AY44</f>
        <v>56335793.807973132</v>
      </c>
      <c r="BA44" s="3">
        <f t="shared" ref="BA44" si="576">BA43+AZ44</f>
        <v>57605898.274901137</v>
      </c>
      <c r="BB44" s="3">
        <f t="shared" ref="BB44" si="577">BB43+BA44</f>
        <v>58880236.423385568</v>
      </c>
      <c r="BC44" s="3">
        <f t="shared" ref="BC44" si="578">BC43+BB44</f>
        <v>60158822.365698278</v>
      </c>
      <c r="BD44" s="3">
        <f t="shared" ref="BD44" si="579">BD43+BC44</f>
        <v>61441670.261152029</v>
      </c>
      <c r="BE44" s="3">
        <f t="shared" ref="BE44" si="580">BE43+BD44</f>
        <v>62728794.316257298</v>
      </c>
      <c r="BF44" s="3">
        <f t="shared" ref="BF44" si="581">BF43+BE44</f>
        <v>64020208.78487958</v>
      </c>
      <c r="BG44" s="3">
        <f t="shared" ref="BG44" si="582">BG43+BF44</f>
        <v>65315927.968397275</v>
      </c>
      <c r="BH44" s="3">
        <f t="shared" ref="BH44" si="583">BH43+BG44</f>
        <v>66615966.215860024</v>
      </c>
      <c r="BI44" s="3">
        <f t="shared" ref="BI44" si="584">BI43+BH44</f>
        <v>67920337.924147651</v>
      </c>
      <c r="BJ44" s="3">
        <f t="shared" ref="BJ44" si="585">BJ43+BI44</f>
        <v>69229057.538129568</v>
      </c>
      <c r="BK44" s="3">
        <f t="shared" ref="BK44" si="586">BK43+BJ44</f>
        <v>70542139.550824761</v>
      </c>
      <c r="BL44" s="3">
        <f t="shared" ref="BL44" si="587">BL43+BK44</f>
        <v>71859598.503562272</v>
      </c>
      <c r="BM44" s="3">
        <f t="shared" ref="BM44" si="588">BM43+BL44</f>
        <v>73181448.986142233</v>
      </c>
      <c r="BN44" s="3">
        <f t="shared" ref="BN44" si="589">BN43+BM44</f>
        <v>74507705.636997461</v>
      </c>
      <c r="BO44" s="3">
        <f t="shared" ref="BO44" si="590">BO43+BN44</f>
        <v>75838383.143355548</v>
      </c>
      <c r="BP44" s="3">
        <f t="shared" ref="BP44" si="591">BP43+BO44</f>
        <v>77173496.241401494</v>
      </c>
      <c r="BQ44" s="3">
        <f t="shared" ref="BQ44" si="592">BQ43+BP44</f>
        <v>78513059.716440931</v>
      </c>
      <c r="BR44" s="3">
        <f t="shared" ref="BR44" si="593">BR43+BQ44</f>
        <v>79857088.403063834</v>
      </c>
      <c r="BS44" s="3">
        <f t="shared" ref="BS44" si="594">BS43+BR44</f>
        <v>81205597.185308799</v>
      </c>
      <c r="BT44" s="3">
        <f t="shared" ref="BT44" si="595">BT43+BS44</f>
        <v>82558600.996827915</v>
      </c>
      <c r="BU44" s="3">
        <f t="shared" ref="BU44" si="596">BU43+BT44</f>
        <v>83916114.821052104</v>
      </c>
      <c r="BV44" s="3">
        <f t="shared" ref="BV44" si="597">BV43+BU44</f>
        <v>85278153.691357031</v>
      </c>
      <c r="BW44" s="3">
        <f t="shared" ref="BW44" si="598">BW43+BV44</f>
        <v>86644732.691229641</v>
      </c>
      <c r="BX44" s="3">
        <f t="shared" ref="BX44" si="599">BX43+BW44</f>
        <v>88015866.95443517</v>
      </c>
      <c r="BY44" s="3">
        <f t="shared" ref="BY44" si="600">BY43+BX44</f>
        <v>89391571.665184706</v>
      </c>
      <c r="BZ44" s="3">
        <f t="shared" ref="BZ44" si="601">BZ43+BY44</f>
        <v>90771862.058303416</v>
      </c>
      <c r="CA44" s="3">
        <f t="shared" ref="CA44" si="602">CA43+BZ44</f>
        <v>92156753.419399187</v>
      </c>
      <c r="CB44" s="3">
        <f t="shared" ref="CB44" si="603">CB43+CA44</f>
        <v>93546261.085031942</v>
      </c>
      <c r="CC44" s="3">
        <f t="shared" ref="CC44" si="604">CC43+CB44</f>
        <v>94940400.442883477</v>
      </c>
      <c r="CD44" s="3">
        <f t="shared" ref="CD44" si="605">CD43+CC44</f>
        <v>96339186.931927845</v>
      </c>
      <c r="CE44" s="3">
        <f t="shared" ref="CE44" si="606">CE43+CD44</f>
        <v>97742636.04260236</v>
      </c>
      <c r="CF44" s="3">
        <f t="shared" ref="CF44" si="607">CF43+CE44</f>
        <v>99150763.316979125</v>
      </c>
      <c r="CG44" s="3">
        <f t="shared" ref="CG44" si="608">CG43+CF44</f>
        <v>100563584.34893715</v>
      </c>
      <c r="CH44" s="3">
        <f t="shared" ref="CH44" si="609">CH43+CG44</f>
        <v>101981114.78433503</v>
      </c>
      <c r="CI44" s="3">
        <f t="shared" ref="CI44" si="610">CI43+CH44</f>
        <v>103403370.32118425</v>
      </c>
      <c r="CJ44" s="3">
        <f t="shared" ref="CJ44" si="611">CJ43+CI44</f>
        <v>104830366.70982295</v>
      </c>
      <c r="CK44" s="3">
        <f t="shared" ref="CK44" si="612">CK43+CJ44</f>
        <v>106262119.75309046</v>
      </c>
      <c r="CL44" s="3">
        <f t="shared" ref="CL44" si="613">CL43+CK44</f>
        <v>107698645.30650218</v>
      </c>
      <c r="CM44" s="3">
        <f t="shared" ref="CM44" si="614">CM43+CL44</f>
        <v>109139959.27842528</v>
      </c>
      <c r="CN44" s="3">
        <f t="shared" ref="CN44" si="615">CN43+CM44</f>
        <v>110586077.63025479</v>
      </c>
      <c r="CO44" s="3">
        <f t="shared" ref="CO44" si="616">CO43+CN44</f>
        <v>112037016.3765904</v>
      </c>
      <c r="CP44" s="3">
        <f t="shared" ref="CP44" si="617">CP43+CO44</f>
        <v>113492791.5854138</v>
      </c>
      <c r="CQ44" s="3">
        <f t="shared" ref="CQ44" si="618">CQ43+CP44</f>
        <v>114953419.3782666</v>
      </c>
      <c r="CR44" s="3">
        <f t="shared" ref="CR44" si="619">CR43+CQ44</f>
        <v>116418915.93042892</v>
      </c>
      <c r="CS44" s="3">
        <f t="shared" ref="CS44" si="620">CS43+CR44</f>
        <v>117889297.47109844</v>
      </c>
      <c r="CT44" s="3">
        <f t="shared" ref="CT44" si="621">CT43+CS44</f>
        <v>119364580.28357019</v>
      </c>
      <c r="CU44" s="3">
        <f t="shared" ref="CU44" si="622">CU43+CT44</f>
        <v>120844780.70541684</v>
      </c>
      <c r="CV44" s="3">
        <f t="shared" ref="CV44" si="623">CV43+CU44</f>
        <v>122329915.12866966</v>
      </c>
      <c r="CW44" s="3">
        <f t="shared" ref="CW44" si="624">CW43+CV44</f>
        <v>123819999.99999999</v>
      </c>
    </row>
    <row r="45" spans="1:101" x14ac:dyDescent="0.2">
      <c r="A45" s="2" t="s">
        <v>8</v>
      </c>
      <c r="B45" s="160">
        <f>B41+B43</f>
        <v>1372338.3333333335</v>
      </c>
      <c r="C45" s="160">
        <f t="shared" ref="C45:E45" si="625">C41+C43</f>
        <v>2190926.1111111115</v>
      </c>
      <c r="D45" s="160">
        <f t="shared" si="625"/>
        <v>1251957.7777777778</v>
      </c>
      <c r="E45" s="160">
        <f t="shared" si="625"/>
        <v>1251957.7777777778</v>
      </c>
      <c r="F45" s="160">
        <f>F41+F43</f>
        <v>1251957.7777777778</v>
      </c>
      <c r="G45" s="160">
        <f t="shared" ref="G45:L45" si="626">G41+G43</f>
        <v>1251957.7777777778</v>
      </c>
      <c r="H45" s="160">
        <f t="shared" si="626"/>
        <v>1251957.7777777778</v>
      </c>
      <c r="I45" s="160">
        <f t="shared" si="626"/>
        <v>1251957.7777777778</v>
      </c>
      <c r="J45" s="160">
        <f t="shared" si="626"/>
        <v>5162606.111111111</v>
      </c>
      <c r="K45" s="160">
        <f t="shared" si="626"/>
        <v>5082209.097222222</v>
      </c>
      <c r="L45" s="15">
        <f t="shared" si="626"/>
        <v>1507949.737568093</v>
      </c>
      <c r="M45" s="15">
        <f>M41+M43</f>
        <v>1482277.0280481931</v>
      </c>
      <c r="N45" s="15">
        <f>N41+N43</f>
        <v>1507703.0795285143</v>
      </c>
      <c r="O45" s="15">
        <f t="shared" ref="O45:AO45" si="627">O41+O43</f>
        <v>1507579.1335216155</v>
      </c>
      <c r="P45" s="15">
        <f t="shared" si="627"/>
        <v>1482648.8674414917</v>
      </c>
      <c r="Q45" s="15">
        <f t="shared" si="627"/>
        <v>1519608.1804397162</v>
      </c>
      <c r="R45" s="15">
        <f t="shared" si="627"/>
        <v>1495051.820901426</v>
      </c>
      <c r="S45" s="15">
        <f t="shared" si="627"/>
        <v>1483024.4376371417</v>
      </c>
      <c r="T45" s="15">
        <f t="shared" si="627"/>
        <v>1530755.893919955</v>
      </c>
      <c r="U45" s="15">
        <f t="shared" si="627"/>
        <v>1495051.8209014263</v>
      </c>
      <c r="V45" s="15">
        <f t="shared" si="627"/>
        <v>1506699.8657351874</v>
      </c>
      <c r="W45" s="15">
        <f t="shared" si="627"/>
        <v>1495051.8209014263</v>
      </c>
      <c r="X45" s="15">
        <f t="shared" si="627"/>
        <v>1506444.8613292584</v>
      </c>
      <c r="Y45" s="15">
        <f t="shared" si="627"/>
        <v>1506316.7212616953</v>
      </c>
      <c r="Z45" s="15">
        <f t="shared" si="627"/>
        <v>1472779.154583131</v>
      </c>
      <c r="AA45" s="15">
        <f t="shared" si="627"/>
        <v>1506059.1583021153</v>
      </c>
      <c r="AB45" s="15">
        <f t="shared" si="627"/>
        <v>1495051.820901426</v>
      </c>
      <c r="AC45" s="15">
        <f t="shared" si="627"/>
        <v>1505799.8753943271</v>
      </c>
      <c r="AD45" s="15">
        <f t="shared" si="627"/>
        <v>1495051.820901426</v>
      </c>
      <c r="AE45" s="15">
        <f t="shared" si="627"/>
        <v>1505538.8610528994</v>
      </c>
      <c r="AF45" s="15">
        <f t="shared" si="627"/>
        <v>1505407.7009844154</v>
      </c>
      <c r="AG45" s="15">
        <f t="shared" si="627"/>
        <v>1495051.820901426</v>
      </c>
      <c r="AH45" s="15">
        <f t="shared" si="627"/>
        <v>1505144.0677894284</v>
      </c>
      <c r="AI45" s="15">
        <f t="shared" si="627"/>
        <v>1495051.820901426</v>
      </c>
      <c r="AJ45" s="15">
        <f t="shared" si="627"/>
        <v>1504878.67411055</v>
      </c>
      <c r="AK45" s="15">
        <f t="shared" si="627"/>
        <v>1504745.3134189246</v>
      </c>
      <c r="AL45" s="15">
        <f t="shared" si="627"/>
        <v>1475932.446320957</v>
      </c>
      <c r="AM45" s="15">
        <f t="shared" si="627"/>
        <v>1504477.2569469726</v>
      </c>
      <c r="AN45" s="15">
        <f t="shared" si="627"/>
        <v>1495051.820901426</v>
      </c>
      <c r="AO45" s="15">
        <f t="shared" si="627"/>
        <v>1504207.4104534686</v>
      </c>
      <c r="AP45" s="15">
        <f t="shared" ref="AP45:CW45" si="628">AP41+AP43</f>
        <v>1495051.820901426</v>
      </c>
      <c r="AQ45" s="15">
        <f t="shared" si="628"/>
        <v>1503935.7619850468</v>
      </c>
      <c r="AR45" s="15">
        <f t="shared" si="628"/>
        <v>1503799.2582530032</v>
      </c>
      <c r="AS45" s="15">
        <f t="shared" si="628"/>
        <v>1495051.8209014263</v>
      </c>
      <c r="AT45" s="15">
        <f t="shared" si="628"/>
        <v>1503524.8842348873</v>
      </c>
      <c r="AU45" s="15">
        <f t="shared" si="628"/>
        <v>1495051.8209014263</v>
      </c>
      <c r="AV45" s="15">
        <f t="shared" si="628"/>
        <v>1503248.6780080504</v>
      </c>
      <c r="AW45" s="15">
        <f t="shared" si="628"/>
        <v>1503109.8839960834</v>
      </c>
      <c r="AX45" s="15">
        <f t="shared" si="628"/>
        <v>1479214.2080294583</v>
      </c>
      <c r="AY45" s="15">
        <f t="shared" si="628"/>
        <v>1502830.9064898742</v>
      </c>
      <c r="AZ45" s="15">
        <f t="shared" si="628"/>
        <v>1495051.820901426</v>
      </c>
      <c r="BA45" s="15">
        <f t="shared" si="628"/>
        <v>1502550.0660338737</v>
      </c>
      <c r="BB45" s="15">
        <f t="shared" si="628"/>
        <v>1495051.8209014263</v>
      </c>
      <c r="BC45" s="15">
        <f t="shared" si="628"/>
        <v>1502267.3501877165</v>
      </c>
      <c r="BD45" s="15">
        <f t="shared" si="628"/>
        <v>1502125.2850830152</v>
      </c>
      <c r="BE45" s="15">
        <f t="shared" si="628"/>
        <v>1495051.820901426</v>
      </c>
      <c r="BF45" s="15">
        <f t="shared" si="628"/>
        <v>1501839.7326440641</v>
      </c>
      <c r="BG45" s="15">
        <f t="shared" si="628"/>
        <v>1495051.8209014263</v>
      </c>
      <c r="BH45" s="15">
        <f t="shared" si="628"/>
        <v>1501552.273349382</v>
      </c>
      <c r="BI45" s="15">
        <f t="shared" si="628"/>
        <v>1501407.8246552194</v>
      </c>
      <c r="BJ45" s="15">
        <f t="shared" si="628"/>
        <v>1488840.7473374424</v>
      </c>
      <c r="BK45" s="15">
        <f t="shared" si="628"/>
        <v>1501117.4811749673</v>
      </c>
      <c r="BL45" s="15">
        <f t="shared" si="628"/>
        <v>1495051.8209014263</v>
      </c>
      <c r="BM45" s="15">
        <f t="shared" si="628"/>
        <v>1500825.1988454745</v>
      </c>
      <c r="BN45" s="15">
        <f t="shared" si="628"/>
        <v>1495051.8209014263</v>
      </c>
      <c r="BO45" s="15">
        <f t="shared" si="628"/>
        <v>1500530.9647195374</v>
      </c>
      <c r="BP45" s="15">
        <f t="shared" si="628"/>
        <v>1500383.1116632756</v>
      </c>
      <c r="BQ45" s="15">
        <f t="shared" si="628"/>
        <v>1495051.820901426</v>
      </c>
      <c r="BR45" s="15">
        <f t="shared" si="628"/>
        <v>1500085.9253773773</v>
      </c>
      <c r="BS45" s="15">
        <f t="shared" si="628"/>
        <v>1495051.820901426</v>
      </c>
      <c r="BT45" s="15">
        <f t="shared" si="628"/>
        <v>1499786.7545475031</v>
      </c>
      <c r="BU45" s="15">
        <f t="shared" si="628"/>
        <v>1499636.4207906674</v>
      </c>
      <c r="BV45" s="15">
        <f t="shared" si="628"/>
        <v>1486184.2908616597</v>
      </c>
      <c r="BW45" s="15">
        <f t="shared" si="628"/>
        <v>1499334.2482690532</v>
      </c>
      <c r="BX45" s="15">
        <f t="shared" si="628"/>
        <v>1495051.820901426</v>
      </c>
      <c r="BY45" s="15">
        <f t="shared" si="628"/>
        <v>1499030.0579064889</v>
      </c>
      <c r="BZ45" s="15">
        <f t="shared" si="628"/>
        <v>1495051.820901426</v>
      </c>
      <c r="CA45" s="15">
        <f t="shared" si="628"/>
        <v>1498723.8362282813</v>
      </c>
      <c r="CB45" s="15">
        <f t="shared" si="628"/>
        <v>1498569.9594103817</v>
      </c>
      <c r="CC45" s="15">
        <f t="shared" si="628"/>
        <v>1495051.820901426</v>
      </c>
      <c r="CD45" s="15">
        <f t="shared" si="628"/>
        <v>1498260.6652966612</v>
      </c>
      <c r="CE45" s="15">
        <f t="shared" si="628"/>
        <v>1495051.820901426</v>
      </c>
      <c r="CF45" s="15">
        <f t="shared" si="628"/>
        <v>1497949.3057855815</v>
      </c>
      <c r="CG45" s="15">
        <f t="shared" si="628"/>
        <v>1497792.8471995394</v>
      </c>
      <c r="CH45" s="15">
        <f t="shared" si="628"/>
        <v>1489883.7285345232</v>
      </c>
      <c r="CI45" s="15">
        <f t="shared" si="628"/>
        <v>1497478.3637031666</v>
      </c>
      <c r="CJ45" s="15">
        <f t="shared" si="628"/>
        <v>1495051.8209014263</v>
      </c>
      <c r="CK45" s="15">
        <f t="shared" si="628"/>
        <v>1497161.7801558902</v>
      </c>
      <c r="CL45" s="15">
        <f t="shared" si="628"/>
        <v>1495051.8209014258</v>
      </c>
      <c r="CM45" s="15">
        <f t="shared" si="628"/>
        <v>1496843.0825340371</v>
      </c>
      <c r="CN45" s="15">
        <f t="shared" si="628"/>
        <v>1496682.9365371566</v>
      </c>
      <c r="CO45" s="15">
        <f t="shared" si="628"/>
        <v>1495051.820901426</v>
      </c>
      <c r="CP45" s="15">
        <f t="shared" si="628"/>
        <v>1496361.0413040272</v>
      </c>
      <c r="CQ45" s="15">
        <f t="shared" si="628"/>
        <v>1495051.820901426</v>
      </c>
      <c r="CR45" s="15">
        <f t="shared" si="628"/>
        <v>1496036.996526063</v>
      </c>
      <c r="CS45" s="15">
        <f t="shared" si="628"/>
        <v>1495874.1635758227</v>
      </c>
      <c r="CT45" s="15">
        <f t="shared" si="628"/>
        <v>1493733.8870061147</v>
      </c>
      <c r="CU45" s="15">
        <f t="shared" si="628"/>
        <v>1495546.8675365848</v>
      </c>
      <c r="CV45" s="15">
        <f t="shared" si="628"/>
        <v>1495051.820901426</v>
      </c>
      <c r="CW45" s="15">
        <f t="shared" si="628"/>
        <v>1495217.3858871292</v>
      </c>
    </row>
    <row r="46" spans="1:101" ht="13.5" thickBot="1" x14ac:dyDescent="0.25">
      <c r="A46" s="5" t="s">
        <v>9</v>
      </c>
      <c r="B46" s="161">
        <f t="shared" ref="B46:R46" si="629">B40-B43</f>
        <v>123820000</v>
      </c>
      <c r="C46" s="161">
        <f t="shared" si="629"/>
        <v>123820000</v>
      </c>
      <c r="D46" s="161">
        <f t="shared" si="629"/>
        <v>123820000</v>
      </c>
      <c r="E46" s="161">
        <f t="shared" si="629"/>
        <v>123820000</v>
      </c>
      <c r="F46" s="161">
        <f t="shared" si="629"/>
        <v>123820000</v>
      </c>
      <c r="G46" s="161">
        <f t="shared" si="629"/>
        <v>123820000</v>
      </c>
      <c r="H46" s="161">
        <f t="shared" si="629"/>
        <v>123820000</v>
      </c>
      <c r="I46" s="161">
        <f t="shared" si="629"/>
        <v>123820000</v>
      </c>
      <c r="J46" s="161">
        <f t="shared" si="629"/>
        <v>119950625</v>
      </c>
      <c r="K46" s="161">
        <f t="shared" si="629"/>
        <v>116081250</v>
      </c>
      <c r="L46" s="16">
        <f t="shared" si="629"/>
        <v>114973135.67909858</v>
      </c>
      <c r="M46" s="16">
        <f t="shared" si="629"/>
        <v>113861327.64379415</v>
      </c>
      <c r="N46" s="16">
        <f t="shared" si="629"/>
        <v>112745813.58170538</v>
      </c>
      <c r="O46" s="16">
        <f t="shared" si="629"/>
        <v>111626581.13940963</v>
      </c>
      <c r="P46" s="16">
        <f t="shared" si="629"/>
        <v>110503617.92230624</v>
      </c>
      <c r="Q46" s="16">
        <f t="shared" si="629"/>
        <v>109376911.49447916</v>
      </c>
      <c r="R46" s="16">
        <f t="shared" si="629"/>
        <v>108246449.37855934</v>
      </c>
      <c r="S46" s="16">
        <f>S40-S43</f>
        <v>107112219.05558644</v>
      </c>
      <c r="T46" s="16">
        <f t="shared" ref="T46:AO46" si="630">T40-T43</f>
        <v>105974207.9648703</v>
      </c>
      <c r="U46" s="16">
        <f t="shared" si="630"/>
        <v>104832403.50385177</v>
      </c>
      <c r="V46" s="16">
        <f t="shared" si="630"/>
        <v>103686793.02796319</v>
      </c>
      <c r="W46" s="16">
        <f t="shared" si="630"/>
        <v>102537363.85048831</v>
      </c>
      <c r="X46" s="16">
        <f t="shared" si="630"/>
        <v>101384103.24242184</v>
      </c>
      <c r="Y46" s="16">
        <f t="shared" si="630"/>
        <v>100226998.43232848</v>
      </c>
      <c r="Z46" s="16">
        <f t="shared" si="630"/>
        <v>99066036.606201485</v>
      </c>
      <c r="AA46" s="16">
        <f t="shared" si="630"/>
        <v>97901204.907320723</v>
      </c>
      <c r="AB46" s="16">
        <f t="shared" si="630"/>
        <v>96732490.436110362</v>
      </c>
      <c r="AC46" s="16">
        <f t="shared" si="630"/>
        <v>95559880.249995977</v>
      </c>
      <c r="AD46" s="16">
        <f t="shared" si="630"/>
        <v>94383361.363261208</v>
      </c>
      <c r="AE46" s="16">
        <f t="shared" si="630"/>
        <v>93202920.746903986</v>
      </c>
      <c r="AF46" s="16">
        <f t="shared" si="630"/>
        <v>92018545.328492239</v>
      </c>
      <c r="AG46" s="16">
        <f t="shared" si="630"/>
        <v>90830221.992019117</v>
      </c>
      <c r="AH46" s="16">
        <f t="shared" si="630"/>
        <v>89637937.577757761</v>
      </c>
      <c r="AI46" s="16">
        <f t="shared" si="630"/>
        <v>88441678.882115528</v>
      </c>
      <c r="AJ46" s="16">
        <f t="shared" si="630"/>
        <v>87241432.657487825</v>
      </c>
      <c r="AK46" s="16">
        <f t="shared" si="630"/>
        <v>86037185.61211136</v>
      </c>
      <c r="AL46" s="16">
        <f t="shared" si="630"/>
        <v>84828924.409916967</v>
      </c>
      <c r="AM46" s="16">
        <f t="shared" si="630"/>
        <v>83616635.670381933</v>
      </c>
      <c r="AN46" s="16">
        <f t="shared" si="630"/>
        <v>82400305.968381777</v>
      </c>
      <c r="AO46" s="16">
        <f t="shared" si="630"/>
        <v>81179921.834041625</v>
      </c>
      <c r="AP46" s="16">
        <f t="shared" ref="AP46:CW46" si="631">AP40-AP43</f>
        <v>79955469.752587005</v>
      </c>
      <c r="AQ46" s="16">
        <f t="shared" si="631"/>
        <v>78726936.164194196</v>
      </c>
      <c r="AR46" s="16">
        <f t="shared" si="631"/>
        <v>77494307.463840082</v>
      </c>
      <c r="AS46" s="16">
        <f t="shared" si="631"/>
        <v>76257570.001151457</v>
      </c>
      <c r="AT46" s="16">
        <f t="shared" si="631"/>
        <v>75016710.080253869</v>
      </c>
      <c r="AU46" s="16">
        <f t="shared" si="631"/>
        <v>73771713.959619954</v>
      </c>
      <c r="AV46" s="16">
        <f t="shared" si="631"/>
        <v>72522567.851917267</v>
      </c>
      <c r="AW46" s="16">
        <f t="shared" si="631"/>
        <v>71269257.923855558</v>
      </c>
      <c r="AX46" s="16">
        <f t="shared" si="631"/>
        <v>70011770.296033651</v>
      </c>
      <c r="AY46" s="16">
        <f t="shared" si="631"/>
        <v>68750091.042785674</v>
      </c>
      <c r="AZ46" s="16">
        <f t="shared" si="631"/>
        <v>67484206.192026868</v>
      </c>
      <c r="BA46" s="16">
        <f t="shared" si="631"/>
        <v>66214101.725098863</v>
      </c>
      <c r="BB46" s="16">
        <f t="shared" si="631"/>
        <v>64939763.576614432</v>
      </c>
      <c r="BC46" s="16">
        <f t="shared" si="631"/>
        <v>63661177.634301722</v>
      </c>
      <c r="BD46" s="16">
        <f t="shared" si="631"/>
        <v>62378329.738847971</v>
      </c>
      <c r="BE46" s="16">
        <f t="shared" si="631"/>
        <v>61091205.683742702</v>
      </c>
      <c r="BF46" s="16">
        <f t="shared" si="631"/>
        <v>59799791.21512042</v>
      </c>
      <c r="BG46" s="16">
        <f t="shared" si="631"/>
        <v>58504072.031602725</v>
      </c>
      <c r="BH46" s="16">
        <f t="shared" si="631"/>
        <v>57204033.784139976</v>
      </c>
      <c r="BI46" s="16">
        <f t="shared" si="631"/>
        <v>55899662.075852349</v>
      </c>
      <c r="BJ46" s="16">
        <f t="shared" si="631"/>
        <v>54590942.461870432</v>
      </c>
      <c r="BK46" s="16">
        <f t="shared" si="631"/>
        <v>53277860.449175239</v>
      </c>
      <c r="BL46" s="16">
        <f t="shared" si="631"/>
        <v>51960401.496437728</v>
      </c>
      <c r="BM46" s="16">
        <f t="shared" si="631"/>
        <v>50638551.01385776</v>
      </c>
      <c r="BN46" s="16">
        <f t="shared" si="631"/>
        <v>49312294.363002524</v>
      </c>
      <c r="BO46" s="16">
        <f t="shared" si="631"/>
        <v>47981616.856644437</v>
      </c>
      <c r="BP46" s="16">
        <f t="shared" si="631"/>
        <v>46646503.758598492</v>
      </c>
      <c r="BQ46" s="16">
        <f t="shared" si="631"/>
        <v>45306940.283559062</v>
      </c>
      <c r="BR46" s="16">
        <f t="shared" si="631"/>
        <v>43962911.596936166</v>
      </c>
      <c r="BS46" s="16">
        <f t="shared" si="631"/>
        <v>42614402.814691193</v>
      </c>
      <c r="BT46" s="16">
        <f t="shared" si="631"/>
        <v>41261399.00317207</v>
      </c>
      <c r="BU46" s="16">
        <f t="shared" si="631"/>
        <v>39903885.178947881</v>
      </c>
      <c r="BV46" s="16">
        <f t="shared" si="631"/>
        <v>38541846.308642946</v>
      </c>
      <c r="BW46" s="16">
        <f t="shared" si="631"/>
        <v>37175267.308770329</v>
      </c>
      <c r="BX46" s="16">
        <f t="shared" si="631"/>
        <v>35804133.045564801</v>
      </c>
      <c r="BY46" s="16">
        <f t="shared" si="631"/>
        <v>34428428.334815256</v>
      </c>
      <c r="BZ46" s="16">
        <f t="shared" si="631"/>
        <v>33048137.941696547</v>
      </c>
      <c r="CA46" s="16">
        <f t="shared" si="631"/>
        <v>31663246.580600776</v>
      </c>
      <c r="CB46" s="16">
        <f t="shared" si="631"/>
        <v>30273738.914968017</v>
      </c>
      <c r="CC46" s="16">
        <f t="shared" si="631"/>
        <v>28879599.557116486</v>
      </c>
      <c r="CD46" s="16">
        <f t="shared" si="631"/>
        <v>27480813.068072114</v>
      </c>
      <c r="CE46" s="16">
        <f t="shared" si="631"/>
        <v>26077363.957397595</v>
      </c>
      <c r="CF46" s="16">
        <f t="shared" si="631"/>
        <v>24669236.683020826</v>
      </c>
      <c r="CG46" s="16">
        <f t="shared" si="631"/>
        <v>23256415.651062801</v>
      </c>
      <c r="CH46" s="16">
        <f t="shared" si="631"/>
        <v>21838885.215664919</v>
      </c>
      <c r="CI46" s="16">
        <f t="shared" si="631"/>
        <v>20416629.678815711</v>
      </c>
      <c r="CJ46" s="16">
        <f t="shared" si="631"/>
        <v>18989633.290177003</v>
      </c>
      <c r="CK46" s="16">
        <f t="shared" si="631"/>
        <v>17557880.246909499</v>
      </c>
      <c r="CL46" s="16">
        <f t="shared" si="631"/>
        <v>16121354.693497771</v>
      </c>
      <c r="CM46" s="16">
        <f t="shared" si="631"/>
        <v>14680040.721574672</v>
      </c>
      <c r="CN46" s="16">
        <f t="shared" si="631"/>
        <v>13233922.369745161</v>
      </c>
      <c r="CO46" s="16">
        <f t="shared" si="631"/>
        <v>11782983.623409552</v>
      </c>
      <c r="CP46" s="16">
        <f t="shared" si="631"/>
        <v>10327208.414586158</v>
      </c>
      <c r="CQ46" s="16">
        <f t="shared" si="631"/>
        <v>8866580.6217333525</v>
      </c>
      <c r="CR46" s="16">
        <f t="shared" si="631"/>
        <v>7401084.0695710378</v>
      </c>
      <c r="CS46" s="16">
        <f t="shared" si="631"/>
        <v>5930702.5289015155</v>
      </c>
      <c r="CT46" s="16">
        <f t="shared" si="631"/>
        <v>4455419.7164297607</v>
      </c>
      <c r="CU46" s="16">
        <f t="shared" si="631"/>
        <v>2975219.2945831008</v>
      </c>
      <c r="CV46" s="16">
        <f t="shared" si="631"/>
        <v>1490084.8713302852</v>
      </c>
      <c r="CW46" s="16">
        <f t="shared" si="631"/>
        <v>-3.9814040064811707E-8</v>
      </c>
    </row>
    <row r="47" spans="1:101" x14ac:dyDescent="0.2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</row>
    <row r="48" spans="1:101" ht="18.75" x14ac:dyDescent="0.3">
      <c r="A48" s="143" t="s">
        <v>78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</row>
    <row r="49" spans="1:101" x14ac:dyDescent="0.2">
      <c r="A49" s="142" t="s">
        <v>58</v>
      </c>
      <c r="B49" s="110">
        <f>B36</f>
        <v>42992</v>
      </c>
      <c r="C49" s="110">
        <f t="shared" ref="C49:AO49" si="632">C36</f>
        <v>43083</v>
      </c>
      <c r="D49" s="110">
        <f t="shared" si="632"/>
        <v>43174</v>
      </c>
      <c r="E49" s="110">
        <f t="shared" si="632"/>
        <v>43265</v>
      </c>
      <c r="F49" s="110">
        <f t="shared" si="632"/>
        <v>43356</v>
      </c>
      <c r="G49" s="110">
        <f t="shared" si="632"/>
        <v>43447</v>
      </c>
      <c r="H49" s="110">
        <f t="shared" si="632"/>
        <v>43538</v>
      </c>
      <c r="I49" s="110">
        <f t="shared" si="632"/>
        <v>43629</v>
      </c>
      <c r="J49" s="110">
        <f t="shared" si="632"/>
        <v>43723</v>
      </c>
      <c r="K49" s="110">
        <f t="shared" si="632"/>
        <v>43814</v>
      </c>
      <c r="L49" s="110">
        <f t="shared" si="632"/>
        <v>43845</v>
      </c>
      <c r="M49" s="110">
        <f t="shared" si="632"/>
        <v>43874</v>
      </c>
      <c r="N49" s="110">
        <f t="shared" si="632"/>
        <v>43905</v>
      </c>
      <c r="O49" s="110">
        <f t="shared" si="632"/>
        <v>43936</v>
      </c>
      <c r="P49" s="110">
        <f t="shared" si="632"/>
        <v>43965</v>
      </c>
      <c r="Q49" s="110">
        <f t="shared" si="632"/>
        <v>43997</v>
      </c>
      <c r="R49" s="110">
        <f t="shared" si="632"/>
        <v>44027</v>
      </c>
      <c r="S49" s="110">
        <f t="shared" si="632"/>
        <v>44056</v>
      </c>
      <c r="T49" s="110">
        <f t="shared" si="632"/>
        <v>44089</v>
      </c>
      <c r="U49" s="110">
        <f t="shared" si="632"/>
        <v>44119</v>
      </c>
      <c r="V49" s="110">
        <f t="shared" si="632"/>
        <v>44150</v>
      </c>
      <c r="W49" s="110">
        <f t="shared" si="632"/>
        <v>44180</v>
      </c>
      <c r="X49" s="110">
        <f t="shared" si="632"/>
        <v>44211</v>
      </c>
      <c r="Y49" s="110">
        <f t="shared" si="632"/>
        <v>44242</v>
      </c>
      <c r="Z49" s="110">
        <f t="shared" si="632"/>
        <v>44270</v>
      </c>
      <c r="AA49" s="110">
        <f t="shared" si="632"/>
        <v>44301</v>
      </c>
      <c r="AB49" s="110">
        <f t="shared" si="632"/>
        <v>44331</v>
      </c>
      <c r="AC49" s="110">
        <f t="shared" si="632"/>
        <v>44362</v>
      </c>
      <c r="AD49" s="110">
        <f t="shared" si="632"/>
        <v>44392</v>
      </c>
      <c r="AE49" s="110">
        <f t="shared" si="632"/>
        <v>44423</v>
      </c>
      <c r="AF49" s="110">
        <f t="shared" si="632"/>
        <v>44454</v>
      </c>
      <c r="AG49" s="110">
        <f t="shared" si="632"/>
        <v>44484</v>
      </c>
      <c r="AH49" s="110">
        <f t="shared" si="632"/>
        <v>44515</v>
      </c>
      <c r="AI49" s="110">
        <f t="shared" si="632"/>
        <v>44545</v>
      </c>
      <c r="AJ49" s="110">
        <f t="shared" si="632"/>
        <v>44576</v>
      </c>
      <c r="AK49" s="110">
        <f t="shared" si="632"/>
        <v>44607</v>
      </c>
      <c r="AL49" s="110">
        <f t="shared" si="632"/>
        <v>44635</v>
      </c>
      <c r="AM49" s="110">
        <f t="shared" si="632"/>
        <v>44666</v>
      </c>
      <c r="AN49" s="110">
        <f t="shared" si="632"/>
        <v>44696</v>
      </c>
      <c r="AO49" s="110">
        <f t="shared" si="632"/>
        <v>44727</v>
      </c>
      <c r="AP49" s="110">
        <f t="shared" ref="AP49:CW49" si="633">AP36</f>
        <v>44757</v>
      </c>
      <c r="AQ49" s="110">
        <f t="shared" si="633"/>
        <v>44788</v>
      </c>
      <c r="AR49" s="110">
        <f t="shared" si="633"/>
        <v>44819</v>
      </c>
      <c r="AS49" s="110">
        <f t="shared" si="633"/>
        <v>44849</v>
      </c>
      <c r="AT49" s="110">
        <f t="shared" si="633"/>
        <v>44880</v>
      </c>
      <c r="AU49" s="110">
        <f t="shared" si="633"/>
        <v>44910</v>
      </c>
      <c r="AV49" s="110">
        <f t="shared" si="633"/>
        <v>44941</v>
      </c>
      <c r="AW49" s="110">
        <f t="shared" si="633"/>
        <v>44972</v>
      </c>
      <c r="AX49" s="110">
        <f t="shared" si="633"/>
        <v>45000</v>
      </c>
      <c r="AY49" s="110">
        <f t="shared" si="633"/>
        <v>45031</v>
      </c>
      <c r="AZ49" s="110">
        <f t="shared" si="633"/>
        <v>45061</v>
      </c>
      <c r="BA49" s="110">
        <f t="shared" si="633"/>
        <v>45092</v>
      </c>
      <c r="BB49" s="110">
        <f t="shared" si="633"/>
        <v>45122</v>
      </c>
      <c r="BC49" s="110">
        <f t="shared" si="633"/>
        <v>45153</v>
      </c>
      <c r="BD49" s="110">
        <f t="shared" si="633"/>
        <v>45184</v>
      </c>
      <c r="BE49" s="110">
        <f t="shared" si="633"/>
        <v>45214</v>
      </c>
      <c r="BF49" s="110">
        <f t="shared" si="633"/>
        <v>45245</v>
      </c>
      <c r="BG49" s="110">
        <f t="shared" si="633"/>
        <v>45275</v>
      </c>
      <c r="BH49" s="110">
        <f t="shared" si="633"/>
        <v>45306</v>
      </c>
      <c r="BI49" s="110">
        <f t="shared" si="633"/>
        <v>45337</v>
      </c>
      <c r="BJ49" s="110">
        <f t="shared" si="633"/>
        <v>45366</v>
      </c>
      <c r="BK49" s="110">
        <f t="shared" si="633"/>
        <v>45397</v>
      </c>
      <c r="BL49" s="110">
        <f t="shared" si="633"/>
        <v>45427</v>
      </c>
      <c r="BM49" s="110">
        <f t="shared" si="633"/>
        <v>45458</v>
      </c>
      <c r="BN49" s="110">
        <f t="shared" si="633"/>
        <v>45488</v>
      </c>
      <c r="BO49" s="110">
        <f t="shared" si="633"/>
        <v>45519</v>
      </c>
      <c r="BP49" s="110">
        <f t="shared" si="633"/>
        <v>45550</v>
      </c>
      <c r="BQ49" s="110">
        <f t="shared" si="633"/>
        <v>45580</v>
      </c>
      <c r="BR49" s="110">
        <f t="shared" si="633"/>
        <v>45611</v>
      </c>
      <c r="BS49" s="110">
        <f t="shared" si="633"/>
        <v>45641</v>
      </c>
      <c r="BT49" s="110">
        <f t="shared" si="633"/>
        <v>45672</v>
      </c>
      <c r="BU49" s="110">
        <f t="shared" si="633"/>
        <v>45703</v>
      </c>
      <c r="BV49" s="110">
        <f t="shared" si="633"/>
        <v>45731</v>
      </c>
      <c r="BW49" s="110">
        <f t="shared" si="633"/>
        <v>45762</v>
      </c>
      <c r="BX49" s="110">
        <f t="shared" si="633"/>
        <v>45792</v>
      </c>
      <c r="BY49" s="110">
        <f t="shared" si="633"/>
        <v>45823</v>
      </c>
      <c r="BZ49" s="110">
        <f t="shared" si="633"/>
        <v>45853</v>
      </c>
      <c r="CA49" s="110">
        <f t="shared" si="633"/>
        <v>45884</v>
      </c>
      <c r="CB49" s="110">
        <f t="shared" si="633"/>
        <v>45915</v>
      </c>
      <c r="CC49" s="110">
        <f t="shared" si="633"/>
        <v>45945</v>
      </c>
      <c r="CD49" s="110">
        <f t="shared" si="633"/>
        <v>45976</v>
      </c>
      <c r="CE49" s="110">
        <f t="shared" si="633"/>
        <v>46006</v>
      </c>
      <c r="CF49" s="110">
        <f t="shared" si="633"/>
        <v>46037</v>
      </c>
      <c r="CG49" s="110">
        <f t="shared" si="633"/>
        <v>46068</v>
      </c>
      <c r="CH49" s="110">
        <f t="shared" si="633"/>
        <v>46096</v>
      </c>
      <c r="CI49" s="110">
        <f t="shared" si="633"/>
        <v>46127</v>
      </c>
      <c r="CJ49" s="110">
        <f t="shared" si="633"/>
        <v>46157</v>
      </c>
      <c r="CK49" s="110">
        <f t="shared" si="633"/>
        <v>46188</v>
      </c>
      <c r="CL49" s="110">
        <f t="shared" si="633"/>
        <v>46218</v>
      </c>
      <c r="CM49" s="110">
        <f t="shared" si="633"/>
        <v>46249</v>
      </c>
      <c r="CN49" s="110">
        <f t="shared" si="633"/>
        <v>46280</v>
      </c>
      <c r="CO49" s="110">
        <f t="shared" si="633"/>
        <v>46310</v>
      </c>
      <c r="CP49" s="110">
        <f t="shared" si="633"/>
        <v>46341</v>
      </c>
      <c r="CQ49" s="110">
        <f t="shared" si="633"/>
        <v>46371</v>
      </c>
      <c r="CR49" s="110">
        <f t="shared" si="633"/>
        <v>46402</v>
      </c>
      <c r="CS49" s="110">
        <f t="shared" si="633"/>
        <v>46433</v>
      </c>
      <c r="CT49" s="110">
        <f t="shared" si="633"/>
        <v>46461</v>
      </c>
      <c r="CU49" s="110">
        <f t="shared" si="633"/>
        <v>46492</v>
      </c>
      <c r="CV49" s="110">
        <f t="shared" si="633"/>
        <v>46522</v>
      </c>
      <c r="CW49" s="110">
        <f t="shared" si="633"/>
        <v>46553</v>
      </c>
    </row>
    <row r="50" spans="1:101" ht="13.5" thickBot="1" x14ac:dyDescent="0.25">
      <c r="A50" s="111" t="s">
        <v>59</v>
      </c>
      <c r="B50" s="112">
        <v>7.0000000000000007E-2</v>
      </c>
      <c r="C50" s="112">
        <v>7.0000000000000007E-2</v>
      </c>
      <c r="D50" s="112">
        <v>7.0000000000000007E-2</v>
      </c>
      <c r="E50" s="112">
        <v>0.04</v>
      </c>
      <c r="F50" s="112">
        <v>0.04</v>
      </c>
      <c r="G50" s="112">
        <v>0.04</v>
      </c>
      <c r="H50" s="112">
        <v>0.04</v>
      </c>
      <c r="I50" s="112">
        <v>0.04</v>
      </c>
      <c r="J50" s="112">
        <v>0.04</v>
      </c>
      <c r="K50" s="112">
        <v>0.04</v>
      </c>
      <c r="L50" s="112">
        <v>0.04</v>
      </c>
      <c r="M50" s="112">
        <v>0.04</v>
      </c>
      <c r="N50" s="112">
        <v>0.04</v>
      </c>
      <c r="O50" s="112">
        <v>0.04</v>
      </c>
      <c r="P50" s="112">
        <v>0.04</v>
      </c>
      <c r="Q50" s="112">
        <v>0.04</v>
      </c>
      <c r="R50" s="112">
        <v>0.04</v>
      </c>
      <c r="S50" s="112">
        <v>0.04</v>
      </c>
      <c r="T50" s="112">
        <v>0.04</v>
      </c>
      <c r="U50" s="112">
        <v>0.04</v>
      </c>
      <c r="V50" s="112">
        <v>0.04</v>
      </c>
      <c r="W50" s="112">
        <v>0.04</v>
      </c>
      <c r="X50" s="112">
        <v>0.04</v>
      </c>
      <c r="Y50" s="112">
        <v>0.04</v>
      </c>
      <c r="Z50" s="112">
        <v>0.04</v>
      </c>
      <c r="AA50" s="112">
        <v>0.04</v>
      </c>
      <c r="AB50" s="112">
        <v>0.04</v>
      </c>
      <c r="AC50" s="112">
        <v>0.04</v>
      </c>
      <c r="AD50" s="112">
        <v>0.04</v>
      </c>
      <c r="AE50" s="112">
        <v>0.04</v>
      </c>
      <c r="AF50" s="112">
        <v>0.04</v>
      </c>
      <c r="AG50" s="112">
        <v>0.04</v>
      </c>
      <c r="AH50" s="112">
        <v>0.04</v>
      </c>
      <c r="AI50" s="112">
        <v>0.04</v>
      </c>
      <c r="AJ50" s="112">
        <v>0.04</v>
      </c>
      <c r="AK50" s="112">
        <v>0.04</v>
      </c>
      <c r="AL50" s="112">
        <v>0.04</v>
      </c>
      <c r="AM50" s="112">
        <v>0.04</v>
      </c>
      <c r="AN50" s="112">
        <v>0.04</v>
      </c>
      <c r="AO50" s="112">
        <v>0.04</v>
      </c>
      <c r="AP50" s="112">
        <v>0.04</v>
      </c>
      <c r="AQ50" s="112">
        <v>0.04</v>
      </c>
      <c r="AR50" s="112">
        <v>0.04</v>
      </c>
      <c r="AS50" s="112">
        <v>0.04</v>
      </c>
      <c r="AT50" s="112">
        <v>0.04</v>
      </c>
      <c r="AU50" s="112">
        <v>0.04</v>
      </c>
      <c r="AV50" s="112">
        <v>0.04</v>
      </c>
      <c r="AW50" s="112">
        <v>0.04</v>
      </c>
      <c r="AX50" s="112">
        <v>0.04</v>
      </c>
      <c r="AY50" s="112">
        <v>0.04</v>
      </c>
      <c r="AZ50" s="112">
        <v>0.04</v>
      </c>
      <c r="BA50" s="112">
        <v>0.04</v>
      </c>
      <c r="BB50" s="112">
        <v>0.04</v>
      </c>
      <c r="BC50" s="112">
        <v>0.04</v>
      </c>
      <c r="BD50" s="112">
        <v>0.04</v>
      </c>
      <c r="BE50" s="112">
        <v>0.04</v>
      </c>
      <c r="BF50" s="112">
        <v>0.04</v>
      </c>
      <c r="BG50" s="112">
        <v>0.04</v>
      </c>
      <c r="BH50" s="112">
        <v>0.04</v>
      </c>
      <c r="BI50" s="112">
        <v>0.04</v>
      </c>
      <c r="BJ50" s="112">
        <v>0.04</v>
      </c>
      <c r="BK50" s="112">
        <v>0.04</v>
      </c>
      <c r="BL50" s="112">
        <v>0.04</v>
      </c>
      <c r="BM50" s="112">
        <v>0.04</v>
      </c>
      <c r="BN50" s="112">
        <v>0.04</v>
      </c>
      <c r="BO50" s="112">
        <v>0.04</v>
      </c>
      <c r="BP50" s="112">
        <v>0.04</v>
      </c>
      <c r="BQ50" s="112">
        <v>0.04</v>
      </c>
      <c r="BR50" s="112">
        <v>0.04</v>
      </c>
      <c r="BS50" s="112">
        <v>0.04</v>
      </c>
      <c r="BT50" s="112">
        <v>0.04</v>
      </c>
      <c r="BU50" s="112">
        <v>0.04</v>
      </c>
      <c r="BV50" s="112">
        <v>0.04</v>
      </c>
      <c r="BW50" s="112">
        <v>0.04</v>
      </c>
      <c r="BX50" s="112">
        <v>0.04</v>
      </c>
      <c r="BY50" s="112">
        <v>0.04</v>
      </c>
      <c r="BZ50" s="112">
        <v>0.04</v>
      </c>
      <c r="CA50" s="112">
        <v>0.04</v>
      </c>
      <c r="CB50" s="112">
        <v>0.04</v>
      </c>
      <c r="CC50" s="112">
        <v>0.04</v>
      </c>
      <c r="CD50" s="112">
        <v>0.04</v>
      </c>
      <c r="CE50" s="112">
        <v>0.04</v>
      </c>
      <c r="CF50" s="112">
        <v>0.04</v>
      </c>
      <c r="CG50" s="112">
        <v>0.04</v>
      </c>
      <c r="CH50" s="112">
        <v>0.04</v>
      </c>
      <c r="CI50" s="112">
        <v>0.04</v>
      </c>
      <c r="CJ50" s="112">
        <v>0.04</v>
      </c>
      <c r="CK50" s="112">
        <v>0.04</v>
      </c>
      <c r="CL50" s="112">
        <v>0.04</v>
      </c>
      <c r="CM50" s="112">
        <v>0.04</v>
      </c>
      <c r="CN50" s="112">
        <v>0.04</v>
      </c>
      <c r="CO50" s="112">
        <v>0.04</v>
      </c>
      <c r="CP50" s="112">
        <v>0.04</v>
      </c>
      <c r="CQ50" s="112">
        <v>0.04</v>
      </c>
      <c r="CR50" s="112">
        <v>0.04</v>
      </c>
      <c r="CS50" s="112">
        <v>0.04</v>
      </c>
      <c r="CT50" s="112">
        <v>0.04</v>
      </c>
      <c r="CU50" s="112">
        <v>0.04</v>
      </c>
      <c r="CV50" s="112">
        <v>0.04</v>
      </c>
      <c r="CW50" s="112">
        <v>0.04</v>
      </c>
    </row>
    <row r="51" spans="1:101" x14ac:dyDescent="0.2">
      <c r="A51" s="142" t="s">
        <v>10</v>
      </c>
      <c r="B51" s="14"/>
      <c r="C51" s="14"/>
      <c r="D51" s="14"/>
      <c r="E51" s="14"/>
      <c r="F51" s="14"/>
      <c r="G51" s="14"/>
      <c r="H51" s="14"/>
      <c r="I51" s="14"/>
      <c r="J51" s="14">
        <f t="shared" ref="J51:BU51" si="634">+J38</f>
        <v>1</v>
      </c>
      <c r="K51" s="14">
        <f t="shared" si="634"/>
        <v>2</v>
      </c>
      <c r="L51" s="14">
        <f t="shared" si="634"/>
        <v>1</v>
      </c>
      <c r="M51" s="14">
        <f t="shared" si="634"/>
        <v>2</v>
      </c>
      <c r="N51" s="14">
        <f t="shared" si="634"/>
        <v>3</v>
      </c>
      <c r="O51" s="14">
        <f t="shared" si="634"/>
        <v>4</v>
      </c>
      <c r="P51" s="14">
        <f t="shared" si="634"/>
        <v>5</v>
      </c>
      <c r="Q51" s="14">
        <f t="shared" si="634"/>
        <v>6</v>
      </c>
      <c r="R51" s="14">
        <f t="shared" si="634"/>
        <v>7</v>
      </c>
      <c r="S51" s="14">
        <f t="shared" si="634"/>
        <v>8</v>
      </c>
      <c r="T51" s="14">
        <f t="shared" si="634"/>
        <v>9</v>
      </c>
      <c r="U51" s="14">
        <f t="shared" si="634"/>
        <v>10</v>
      </c>
      <c r="V51" s="14">
        <f t="shared" si="634"/>
        <v>11</v>
      </c>
      <c r="W51" s="14">
        <f t="shared" si="634"/>
        <v>12</v>
      </c>
      <c r="X51" s="14">
        <f t="shared" si="634"/>
        <v>13</v>
      </c>
      <c r="Y51" s="14">
        <f t="shared" si="634"/>
        <v>14</v>
      </c>
      <c r="Z51" s="14">
        <f t="shared" si="634"/>
        <v>15</v>
      </c>
      <c r="AA51" s="14">
        <f t="shared" si="634"/>
        <v>16</v>
      </c>
      <c r="AB51" s="14">
        <f t="shared" si="634"/>
        <v>17</v>
      </c>
      <c r="AC51" s="14">
        <f t="shared" si="634"/>
        <v>18</v>
      </c>
      <c r="AD51" s="14">
        <f t="shared" si="634"/>
        <v>19</v>
      </c>
      <c r="AE51" s="14">
        <f t="shared" si="634"/>
        <v>20</v>
      </c>
      <c r="AF51" s="14">
        <f t="shared" si="634"/>
        <v>21</v>
      </c>
      <c r="AG51" s="14">
        <f t="shared" si="634"/>
        <v>22</v>
      </c>
      <c r="AH51" s="14">
        <f t="shared" si="634"/>
        <v>23</v>
      </c>
      <c r="AI51" s="14">
        <f t="shared" si="634"/>
        <v>24</v>
      </c>
      <c r="AJ51" s="14">
        <f t="shared" si="634"/>
        <v>25</v>
      </c>
      <c r="AK51" s="14">
        <f t="shared" si="634"/>
        <v>26</v>
      </c>
      <c r="AL51" s="14">
        <f t="shared" si="634"/>
        <v>27</v>
      </c>
      <c r="AM51" s="14">
        <f t="shared" si="634"/>
        <v>28</v>
      </c>
      <c r="AN51" s="14">
        <f t="shared" si="634"/>
        <v>29</v>
      </c>
      <c r="AO51" s="14">
        <f t="shared" si="634"/>
        <v>30</v>
      </c>
      <c r="AP51" s="14">
        <f t="shared" si="634"/>
        <v>31</v>
      </c>
      <c r="AQ51" s="14">
        <f t="shared" si="634"/>
        <v>32</v>
      </c>
      <c r="AR51" s="14">
        <f t="shared" si="634"/>
        <v>33</v>
      </c>
      <c r="AS51" s="14">
        <f t="shared" si="634"/>
        <v>34</v>
      </c>
      <c r="AT51" s="14">
        <f t="shared" si="634"/>
        <v>35</v>
      </c>
      <c r="AU51" s="14">
        <f t="shared" si="634"/>
        <v>36</v>
      </c>
      <c r="AV51" s="14">
        <f t="shared" si="634"/>
        <v>37</v>
      </c>
      <c r="AW51" s="14">
        <f t="shared" si="634"/>
        <v>38</v>
      </c>
      <c r="AX51" s="14">
        <f t="shared" si="634"/>
        <v>39</v>
      </c>
      <c r="AY51" s="14">
        <f t="shared" si="634"/>
        <v>40</v>
      </c>
      <c r="AZ51" s="14">
        <f t="shared" si="634"/>
        <v>41</v>
      </c>
      <c r="BA51" s="14">
        <f t="shared" si="634"/>
        <v>42</v>
      </c>
      <c r="BB51" s="14">
        <f t="shared" si="634"/>
        <v>43</v>
      </c>
      <c r="BC51" s="14">
        <f t="shared" si="634"/>
        <v>44</v>
      </c>
      <c r="BD51" s="14">
        <f t="shared" si="634"/>
        <v>45</v>
      </c>
      <c r="BE51" s="14">
        <f t="shared" si="634"/>
        <v>46</v>
      </c>
      <c r="BF51" s="14">
        <f t="shared" si="634"/>
        <v>47</v>
      </c>
      <c r="BG51" s="14">
        <f t="shared" si="634"/>
        <v>48</v>
      </c>
      <c r="BH51" s="14">
        <f t="shared" si="634"/>
        <v>49</v>
      </c>
      <c r="BI51" s="14">
        <f t="shared" si="634"/>
        <v>50</v>
      </c>
      <c r="BJ51" s="14">
        <f t="shared" si="634"/>
        <v>51</v>
      </c>
      <c r="BK51" s="14">
        <f t="shared" si="634"/>
        <v>52</v>
      </c>
      <c r="BL51" s="14">
        <f t="shared" si="634"/>
        <v>53</v>
      </c>
      <c r="BM51" s="14">
        <f t="shared" si="634"/>
        <v>54</v>
      </c>
      <c r="BN51" s="14">
        <f t="shared" si="634"/>
        <v>55</v>
      </c>
      <c r="BO51" s="14">
        <f t="shared" si="634"/>
        <v>56</v>
      </c>
      <c r="BP51" s="14">
        <f t="shared" si="634"/>
        <v>57</v>
      </c>
      <c r="BQ51" s="14">
        <f t="shared" si="634"/>
        <v>58</v>
      </c>
      <c r="BR51" s="14">
        <f t="shared" si="634"/>
        <v>59</v>
      </c>
      <c r="BS51" s="14">
        <f t="shared" si="634"/>
        <v>60</v>
      </c>
      <c r="BT51" s="14">
        <f t="shared" si="634"/>
        <v>61</v>
      </c>
      <c r="BU51" s="14">
        <f t="shared" si="634"/>
        <v>62</v>
      </c>
      <c r="BV51" s="14">
        <f t="shared" ref="BV51:CW51" si="635">+BV38</f>
        <v>63</v>
      </c>
      <c r="BW51" s="14">
        <f t="shared" si="635"/>
        <v>64</v>
      </c>
      <c r="BX51" s="14">
        <f t="shared" si="635"/>
        <v>65</v>
      </c>
      <c r="BY51" s="14">
        <f t="shared" si="635"/>
        <v>66</v>
      </c>
      <c r="BZ51" s="14">
        <f t="shared" si="635"/>
        <v>67</v>
      </c>
      <c r="CA51" s="14">
        <f t="shared" si="635"/>
        <v>68</v>
      </c>
      <c r="CB51" s="14">
        <f t="shared" si="635"/>
        <v>69</v>
      </c>
      <c r="CC51" s="14">
        <f t="shared" si="635"/>
        <v>70</v>
      </c>
      <c r="CD51" s="14">
        <f t="shared" si="635"/>
        <v>71</v>
      </c>
      <c r="CE51" s="14">
        <f t="shared" si="635"/>
        <v>72</v>
      </c>
      <c r="CF51" s="14">
        <f t="shared" si="635"/>
        <v>73</v>
      </c>
      <c r="CG51" s="14">
        <f t="shared" si="635"/>
        <v>74</v>
      </c>
      <c r="CH51" s="14">
        <f t="shared" si="635"/>
        <v>75</v>
      </c>
      <c r="CI51" s="14">
        <f t="shared" si="635"/>
        <v>76</v>
      </c>
      <c r="CJ51" s="14">
        <f t="shared" si="635"/>
        <v>77</v>
      </c>
      <c r="CK51" s="14">
        <f t="shared" si="635"/>
        <v>78</v>
      </c>
      <c r="CL51" s="14">
        <f t="shared" si="635"/>
        <v>79</v>
      </c>
      <c r="CM51" s="14">
        <f t="shared" si="635"/>
        <v>80</v>
      </c>
      <c r="CN51" s="14">
        <f t="shared" si="635"/>
        <v>81</v>
      </c>
      <c r="CO51" s="14">
        <f t="shared" si="635"/>
        <v>82</v>
      </c>
      <c r="CP51" s="14">
        <f t="shared" si="635"/>
        <v>83</v>
      </c>
      <c r="CQ51" s="14">
        <f t="shared" si="635"/>
        <v>84</v>
      </c>
      <c r="CR51" s="14">
        <f t="shared" si="635"/>
        <v>85</v>
      </c>
      <c r="CS51" s="14">
        <f t="shared" si="635"/>
        <v>86</v>
      </c>
      <c r="CT51" s="14">
        <f t="shared" si="635"/>
        <v>87</v>
      </c>
      <c r="CU51" s="14">
        <f t="shared" si="635"/>
        <v>88</v>
      </c>
      <c r="CV51" s="14">
        <f t="shared" si="635"/>
        <v>89</v>
      </c>
      <c r="CW51" s="14">
        <f t="shared" si="635"/>
        <v>90</v>
      </c>
    </row>
    <row r="52" spans="1:101" x14ac:dyDescent="0.2">
      <c r="A52" s="82" t="s">
        <v>11</v>
      </c>
      <c r="B52" s="81">
        <f>B39</f>
        <v>42992</v>
      </c>
      <c r="C52" s="81">
        <f t="shared" ref="C52:AO52" si="636">C39</f>
        <v>43083</v>
      </c>
      <c r="D52" s="81">
        <f t="shared" si="636"/>
        <v>43174</v>
      </c>
      <c r="E52" s="81">
        <f t="shared" si="636"/>
        <v>43265</v>
      </c>
      <c r="F52" s="81">
        <f>F39</f>
        <v>43356</v>
      </c>
      <c r="G52" s="81">
        <f t="shared" si="636"/>
        <v>43447</v>
      </c>
      <c r="H52" s="81">
        <f t="shared" si="636"/>
        <v>43538</v>
      </c>
      <c r="I52" s="81">
        <f t="shared" si="636"/>
        <v>43629</v>
      </c>
      <c r="J52" s="81">
        <f t="shared" si="636"/>
        <v>43723</v>
      </c>
      <c r="K52" s="81">
        <f t="shared" si="636"/>
        <v>43814</v>
      </c>
      <c r="L52" s="81">
        <f t="shared" si="636"/>
        <v>43845</v>
      </c>
      <c r="M52" s="81">
        <f t="shared" si="636"/>
        <v>43874</v>
      </c>
      <c r="N52" s="81">
        <f t="shared" si="636"/>
        <v>43905</v>
      </c>
      <c r="O52" s="81">
        <f t="shared" si="636"/>
        <v>43936</v>
      </c>
      <c r="P52" s="81">
        <f t="shared" si="636"/>
        <v>43965</v>
      </c>
      <c r="Q52" s="81">
        <f t="shared" si="636"/>
        <v>43997</v>
      </c>
      <c r="R52" s="81">
        <f t="shared" si="636"/>
        <v>44027</v>
      </c>
      <c r="S52" s="81">
        <f t="shared" si="636"/>
        <v>44056</v>
      </c>
      <c r="T52" s="81">
        <f t="shared" si="636"/>
        <v>44089</v>
      </c>
      <c r="U52" s="81">
        <f t="shared" si="636"/>
        <v>44119</v>
      </c>
      <c r="V52" s="81">
        <f t="shared" si="636"/>
        <v>44150</v>
      </c>
      <c r="W52" s="81">
        <f t="shared" si="636"/>
        <v>44180</v>
      </c>
      <c r="X52" s="81">
        <f t="shared" si="636"/>
        <v>44211</v>
      </c>
      <c r="Y52" s="81">
        <f t="shared" si="636"/>
        <v>44242</v>
      </c>
      <c r="Z52" s="81">
        <f t="shared" si="636"/>
        <v>44270</v>
      </c>
      <c r="AA52" s="81">
        <f t="shared" si="636"/>
        <v>44301</v>
      </c>
      <c r="AB52" s="81">
        <f t="shared" si="636"/>
        <v>44331</v>
      </c>
      <c r="AC52" s="81">
        <f t="shared" si="636"/>
        <v>44362</v>
      </c>
      <c r="AD52" s="81">
        <f t="shared" si="636"/>
        <v>44392</v>
      </c>
      <c r="AE52" s="81">
        <f t="shared" si="636"/>
        <v>44423</v>
      </c>
      <c r="AF52" s="81">
        <f t="shared" si="636"/>
        <v>44454</v>
      </c>
      <c r="AG52" s="81">
        <f t="shared" si="636"/>
        <v>44484</v>
      </c>
      <c r="AH52" s="81">
        <f t="shared" si="636"/>
        <v>44515</v>
      </c>
      <c r="AI52" s="81">
        <f t="shared" si="636"/>
        <v>44545</v>
      </c>
      <c r="AJ52" s="81">
        <f t="shared" si="636"/>
        <v>44576</v>
      </c>
      <c r="AK52" s="81">
        <f t="shared" si="636"/>
        <v>44607</v>
      </c>
      <c r="AL52" s="81">
        <f t="shared" si="636"/>
        <v>44635</v>
      </c>
      <c r="AM52" s="81">
        <f t="shared" si="636"/>
        <v>44666</v>
      </c>
      <c r="AN52" s="81">
        <f t="shared" si="636"/>
        <v>44696</v>
      </c>
      <c r="AO52" s="81">
        <f t="shared" si="636"/>
        <v>44727</v>
      </c>
      <c r="AP52" s="81">
        <f t="shared" ref="AP52:CW52" si="637">AP39</f>
        <v>44757</v>
      </c>
      <c r="AQ52" s="81">
        <f t="shared" si="637"/>
        <v>44788</v>
      </c>
      <c r="AR52" s="81">
        <f t="shared" si="637"/>
        <v>44819</v>
      </c>
      <c r="AS52" s="81">
        <f t="shared" si="637"/>
        <v>44849</v>
      </c>
      <c r="AT52" s="81">
        <f t="shared" si="637"/>
        <v>44880</v>
      </c>
      <c r="AU52" s="81">
        <f t="shared" si="637"/>
        <v>44910</v>
      </c>
      <c r="AV52" s="81">
        <f t="shared" si="637"/>
        <v>44941</v>
      </c>
      <c r="AW52" s="81">
        <f t="shared" si="637"/>
        <v>44972</v>
      </c>
      <c r="AX52" s="81">
        <f t="shared" si="637"/>
        <v>45000</v>
      </c>
      <c r="AY52" s="81">
        <f t="shared" si="637"/>
        <v>45031</v>
      </c>
      <c r="AZ52" s="81">
        <f t="shared" si="637"/>
        <v>45061</v>
      </c>
      <c r="BA52" s="81">
        <f t="shared" si="637"/>
        <v>45092</v>
      </c>
      <c r="BB52" s="81">
        <f t="shared" si="637"/>
        <v>45122</v>
      </c>
      <c r="BC52" s="81">
        <f t="shared" si="637"/>
        <v>45153</v>
      </c>
      <c r="BD52" s="81">
        <f t="shared" si="637"/>
        <v>45184</v>
      </c>
      <c r="BE52" s="81">
        <f t="shared" si="637"/>
        <v>45214</v>
      </c>
      <c r="BF52" s="81">
        <f t="shared" si="637"/>
        <v>45245</v>
      </c>
      <c r="BG52" s="81">
        <f t="shared" si="637"/>
        <v>45275</v>
      </c>
      <c r="BH52" s="81">
        <f t="shared" si="637"/>
        <v>45306</v>
      </c>
      <c r="BI52" s="81">
        <f t="shared" si="637"/>
        <v>45337</v>
      </c>
      <c r="BJ52" s="81">
        <f t="shared" si="637"/>
        <v>45366</v>
      </c>
      <c r="BK52" s="81">
        <f t="shared" si="637"/>
        <v>45397</v>
      </c>
      <c r="BL52" s="81">
        <f t="shared" si="637"/>
        <v>45427</v>
      </c>
      <c r="BM52" s="81">
        <f t="shared" si="637"/>
        <v>45458</v>
      </c>
      <c r="BN52" s="81">
        <f t="shared" si="637"/>
        <v>45488</v>
      </c>
      <c r="BO52" s="81">
        <f t="shared" si="637"/>
        <v>45519</v>
      </c>
      <c r="BP52" s="81">
        <f t="shared" si="637"/>
        <v>45550</v>
      </c>
      <c r="BQ52" s="81">
        <f t="shared" si="637"/>
        <v>45580</v>
      </c>
      <c r="BR52" s="81">
        <f t="shared" si="637"/>
        <v>45611</v>
      </c>
      <c r="BS52" s="81">
        <f t="shared" si="637"/>
        <v>45641</v>
      </c>
      <c r="BT52" s="81">
        <f t="shared" si="637"/>
        <v>45672</v>
      </c>
      <c r="BU52" s="81">
        <f t="shared" si="637"/>
        <v>45703</v>
      </c>
      <c r="BV52" s="81">
        <f t="shared" si="637"/>
        <v>45731</v>
      </c>
      <c r="BW52" s="81">
        <f t="shared" si="637"/>
        <v>45762</v>
      </c>
      <c r="BX52" s="81">
        <f t="shared" si="637"/>
        <v>45792</v>
      </c>
      <c r="BY52" s="81">
        <f t="shared" si="637"/>
        <v>45823</v>
      </c>
      <c r="BZ52" s="81">
        <f t="shared" si="637"/>
        <v>45853</v>
      </c>
      <c r="CA52" s="81">
        <f t="shared" si="637"/>
        <v>45884</v>
      </c>
      <c r="CB52" s="81">
        <f t="shared" si="637"/>
        <v>45915</v>
      </c>
      <c r="CC52" s="81">
        <f t="shared" si="637"/>
        <v>45945</v>
      </c>
      <c r="CD52" s="81">
        <f t="shared" si="637"/>
        <v>45976</v>
      </c>
      <c r="CE52" s="81">
        <f t="shared" si="637"/>
        <v>46006</v>
      </c>
      <c r="CF52" s="81">
        <f t="shared" si="637"/>
        <v>46037</v>
      </c>
      <c r="CG52" s="81">
        <f t="shared" si="637"/>
        <v>46068</v>
      </c>
      <c r="CH52" s="81">
        <f t="shared" si="637"/>
        <v>46096</v>
      </c>
      <c r="CI52" s="81">
        <f t="shared" si="637"/>
        <v>46127</v>
      </c>
      <c r="CJ52" s="81">
        <f t="shared" si="637"/>
        <v>46157</v>
      </c>
      <c r="CK52" s="81">
        <f t="shared" si="637"/>
        <v>46188</v>
      </c>
      <c r="CL52" s="81">
        <f t="shared" si="637"/>
        <v>46218</v>
      </c>
      <c r="CM52" s="81">
        <f t="shared" si="637"/>
        <v>46249</v>
      </c>
      <c r="CN52" s="81">
        <f t="shared" si="637"/>
        <v>46280</v>
      </c>
      <c r="CO52" s="81">
        <f t="shared" si="637"/>
        <v>46310</v>
      </c>
      <c r="CP52" s="81">
        <f t="shared" si="637"/>
        <v>46341</v>
      </c>
      <c r="CQ52" s="81">
        <f t="shared" si="637"/>
        <v>46371</v>
      </c>
      <c r="CR52" s="81">
        <f t="shared" si="637"/>
        <v>46402</v>
      </c>
      <c r="CS52" s="81">
        <f t="shared" si="637"/>
        <v>46433</v>
      </c>
      <c r="CT52" s="81">
        <f t="shared" si="637"/>
        <v>46461</v>
      </c>
      <c r="CU52" s="81">
        <f t="shared" si="637"/>
        <v>46492</v>
      </c>
      <c r="CV52" s="81">
        <f t="shared" si="637"/>
        <v>46522</v>
      </c>
      <c r="CW52" s="81">
        <f t="shared" si="637"/>
        <v>46553</v>
      </c>
    </row>
    <row r="53" spans="1:101" x14ac:dyDescent="0.2">
      <c r="A53" s="2" t="s">
        <v>5</v>
      </c>
      <c r="B53" s="157">
        <v>0</v>
      </c>
      <c r="C53" s="159">
        <f t="shared" ref="C53" si="638">B59</f>
        <v>0</v>
      </c>
      <c r="D53" s="159">
        <f>D17</f>
        <v>950080000</v>
      </c>
      <c r="E53" s="159">
        <f t="shared" ref="E53" si="639">D59</f>
        <v>950080000</v>
      </c>
      <c r="F53" s="159">
        <f t="shared" ref="F53" si="640">E59</f>
        <v>950080000</v>
      </c>
      <c r="G53" s="159">
        <f t="shared" ref="G53" si="641">F59</f>
        <v>950080000</v>
      </c>
      <c r="H53" s="159">
        <f t="shared" ref="H53" si="642">G59</f>
        <v>950080000</v>
      </c>
      <c r="I53" s="159">
        <f t="shared" ref="I53" si="643">H59</f>
        <v>950080000</v>
      </c>
      <c r="J53" s="159">
        <f t="shared" ref="J53" si="644">I59</f>
        <v>950080000</v>
      </c>
      <c r="K53" s="159">
        <f t="shared" ref="K53" si="645">J59</f>
        <v>920390000</v>
      </c>
      <c r="L53" s="159">
        <f t="shared" ref="L53" si="646">K59</f>
        <v>890700000</v>
      </c>
      <c r="M53" s="3">
        <f t="shared" ref="M53" si="647">L59</f>
        <v>882197357.01823592</v>
      </c>
      <c r="N53" s="3">
        <f t="shared" ref="N53" si="648">M59</f>
        <v>873666371.89319932</v>
      </c>
      <c r="O53" s="3">
        <f t="shared" ref="O53" si="649">N59</f>
        <v>865106950.1510793</v>
      </c>
      <c r="P53" s="3">
        <f t="shared" ref="P53" si="650">O59</f>
        <v>856518997.00315213</v>
      </c>
      <c r="Q53" s="3">
        <f t="shared" ref="Q53" si="651">P59</f>
        <v>847902417.34473193</v>
      </c>
      <c r="R53" s="3">
        <f t="shared" ref="R53" si="652">Q59</f>
        <v>839257115.75411701</v>
      </c>
      <c r="S53" s="3">
        <f t="shared" ref="S53" si="653">R59</f>
        <v>830582996.49153328</v>
      </c>
      <c r="T53" s="3">
        <f t="shared" ref="T53" si="654">S59</f>
        <v>821879963.49807429</v>
      </c>
      <c r="U53" s="3">
        <f t="shared" ref="U53" si="655">T59</f>
        <v>813147920.39463711</v>
      </c>
      <c r="V53" s="3">
        <f t="shared" ref="V53" si="656">U59</f>
        <v>804386770.48085511</v>
      </c>
      <c r="W53" s="3">
        <f t="shared" ref="W53" si="657">V59</f>
        <v>795596416.73402727</v>
      </c>
      <c r="X53" s="3">
        <f t="shared" ref="X53" si="658">W59</f>
        <v>786776761.80804324</v>
      </c>
      <c r="Y53" s="3">
        <f t="shared" ref="Y53" si="659">X59</f>
        <v>777927708.03230596</v>
      </c>
      <c r="Z53" s="3">
        <f t="shared" ref="Z53" si="660">Y59</f>
        <v>769049157.41064954</v>
      </c>
      <c r="AA53" s="3">
        <f t="shared" ref="AA53" si="661">Z59</f>
        <v>760141011.62025428</v>
      </c>
      <c r="AB53" s="3">
        <f t="shared" ref="AB53" si="662">AA59</f>
        <v>751203172.01055777</v>
      </c>
      <c r="AC53" s="3">
        <f t="shared" ref="AC53" si="663">AB59</f>
        <v>742235539.60216224</v>
      </c>
      <c r="AD53" s="3">
        <f t="shared" ref="AD53" si="664">AC59</f>
        <v>733238015.08573866</v>
      </c>
      <c r="AE53" s="3">
        <f t="shared" ref="AE53" si="665">AD59</f>
        <v>724210498.82092702</v>
      </c>
      <c r="AF53" s="3">
        <f t="shared" ref="AF53" si="666">AE59</f>
        <v>715152890.83523273</v>
      </c>
      <c r="AG53" s="3">
        <f t="shared" ref="AG53" si="667">AF59</f>
        <v>706065090.82291949</v>
      </c>
      <c r="AH53" s="3">
        <f t="shared" ref="AH53" si="668">AG59</f>
        <v>696946998.14389849</v>
      </c>
      <c r="AI53" s="3">
        <f t="shared" ref="AI53" si="669">AH59</f>
        <v>687798511.82261407</v>
      </c>
      <c r="AJ53" s="3">
        <f t="shared" ref="AJ53" si="670">AI59</f>
        <v>678619530.54692543</v>
      </c>
      <c r="AK53" s="3">
        <f t="shared" ref="AK53" si="671">AJ59</f>
        <v>669409952.66698444</v>
      </c>
      <c r="AL53" s="3">
        <f t="shared" ref="AL53" si="672">AK59</f>
        <v>660169676.19411027</v>
      </c>
      <c r="AM53" s="3">
        <f t="shared" ref="AM53" si="673">AL59</f>
        <v>650898598.79965997</v>
      </c>
      <c r="AN53" s="3">
        <f t="shared" ref="AN53" si="674">AM59</f>
        <v>641596617.81389475</v>
      </c>
      <c r="AO53" s="3">
        <f t="shared" ref="AO53" si="675">AN59</f>
        <v>632263630.22484362</v>
      </c>
      <c r="AP53" s="3">
        <f t="shared" ref="AP53" si="676">AO59</f>
        <v>622899532.67716241</v>
      </c>
      <c r="AQ53" s="3">
        <f t="shared" ref="AQ53" si="677">AP59</f>
        <v>613504221.47098887</v>
      </c>
      <c r="AR53" s="3">
        <f t="shared" ref="AR53" si="678">AQ59</f>
        <v>604077592.56079471</v>
      </c>
      <c r="AS53" s="3">
        <f t="shared" ref="AS53" si="679">AR59</f>
        <v>594619541.55423331</v>
      </c>
      <c r="AT53" s="3">
        <f t="shared" ref="AT53" si="680">AS59</f>
        <v>585129963.7109834</v>
      </c>
      <c r="AU53" s="3">
        <f t="shared" ref="AU53" si="681">AT59</f>
        <v>575608753.94158924</v>
      </c>
      <c r="AV53" s="3">
        <f t="shared" ref="AV53" si="682">AU59</f>
        <v>566055806.80629718</v>
      </c>
      <c r="AW53" s="3">
        <f t="shared" ref="AW53" si="683">AV59</f>
        <v>556471016.51388741</v>
      </c>
      <c r="AX53" s="3">
        <f t="shared" ref="AX53" si="684">AW59</f>
        <v>546854276.92050302</v>
      </c>
      <c r="AY53" s="3">
        <f t="shared" ref="AY53" si="685">AX59</f>
        <v>537205481.52847397</v>
      </c>
      <c r="AZ53" s="3">
        <f t="shared" ref="AZ53" si="686">AY59</f>
        <v>527524523.48513818</v>
      </c>
      <c r="BA53" s="3">
        <f t="shared" ref="BA53" si="687">AZ59</f>
        <v>517811295.58165789</v>
      </c>
      <c r="BB53" s="3">
        <f t="shared" ref="BB53" si="688">BA59</f>
        <v>508065690.25183266</v>
      </c>
      <c r="BC53" s="3">
        <f t="shared" ref="BC53" si="689">BB59</f>
        <v>498287599.57090807</v>
      </c>
      <c r="BD53" s="3">
        <f t="shared" ref="BD53" si="690">BC59</f>
        <v>488476915.25438035</v>
      </c>
      <c r="BE53" s="3">
        <f t="shared" ref="BE53" si="691">BD59</f>
        <v>478633528.65679753</v>
      </c>
      <c r="BF53" s="3">
        <f t="shared" ref="BF53" si="692">BE59</f>
        <v>468757330.77055609</v>
      </c>
      <c r="BG53" s="3">
        <f t="shared" ref="BG53" si="693">BF59</f>
        <v>458848212.22469389</v>
      </c>
      <c r="BH53" s="3">
        <f t="shared" ref="BH53" si="694">BG59</f>
        <v>448906063.28367883</v>
      </c>
      <c r="BI53" s="3">
        <f t="shared" ref="BI53" si="695">BH59</f>
        <v>438930773.84619367</v>
      </c>
      <c r="BJ53" s="3">
        <f t="shared" ref="BJ53" si="696">BI59</f>
        <v>428922233.44391692</v>
      </c>
      <c r="BK53" s="3">
        <f t="shared" ref="BK53" si="697">BJ59</f>
        <v>418880331.24029922</v>
      </c>
      <c r="BL53" s="3">
        <f t="shared" ref="BL53" si="698">BK59</f>
        <v>408804956.02933615</v>
      </c>
      <c r="BM53" s="3">
        <f t="shared" ref="BM53" si="699">BL59</f>
        <v>398695996.23433656</v>
      </c>
      <c r="BN53" s="3">
        <f t="shared" ref="BN53" si="700">BM59</f>
        <v>388553339.90668696</v>
      </c>
      <c r="BO53" s="3">
        <f t="shared" ref="BO53" si="701">BN59</f>
        <v>378376874.72461188</v>
      </c>
      <c r="BP53" s="3">
        <f t="shared" ref="BP53" si="702">BO59</f>
        <v>368166487.99192983</v>
      </c>
      <c r="BQ53" s="3">
        <f t="shared" ref="BQ53" si="703">BP59</f>
        <v>357922066.63680553</v>
      </c>
      <c r="BR53" s="3">
        <f t="shared" ref="BR53" si="704">BQ59</f>
        <v>347643497.2104975</v>
      </c>
      <c r="BS53" s="3">
        <f t="shared" ref="BS53" si="705">BR59</f>
        <v>337330665.88610178</v>
      </c>
      <c r="BT53" s="3">
        <f t="shared" ref="BT53" si="706">BS59</f>
        <v>326983458.45729136</v>
      </c>
      <c r="BU53" s="3">
        <f t="shared" ref="BU53" si="707">BT59</f>
        <v>316601760.33705163</v>
      </c>
      <c r="BV53" s="3">
        <f t="shared" ref="BV53" si="708">BU59</f>
        <v>306185456.55641109</v>
      </c>
      <c r="BW53" s="3">
        <f t="shared" ref="BW53" si="709">BV59</f>
        <v>295734431.76316839</v>
      </c>
      <c r="BX53" s="3">
        <f t="shared" ref="BX53" si="710">BW59</f>
        <v>285248570.22061491</v>
      </c>
      <c r="BY53" s="3">
        <f t="shared" ref="BY53" si="711">BX59</f>
        <v>274727755.8062529</v>
      </c>
      <c r="BZ53" s="3">
        <f t="shared" ref="BZ53" si="712">BY59</f>
        <v>264171872.01050967</v>
      </c>
      <c r="CA53" s="3">
        <f t="shared" ref="CA53" si="713">BZ59</f>
        <v>253580801.93544731</v>
      </c>
      <c r="CB53" s="3">
        <f t="shared" ref="CB53" si="714">CA59</f>
        <v>242954428.29346806</v>
      </c>
      <c r="CC53" s="3">
        <f t="shared" ref="CC53" si="715">CB59</f>
        <v>232292633.40601555</v>
      </c>
      <c r="CD53" s="3">
        <f t="shared" ref="CD53" si="716">CC59</f>
        <v>221595299.20227152</v>
      </c>
      <c r="CE53" s="3">
        <f t="shared" ref="CE53" si="717">CD59</f>
        <v>210862307.21784836</v>
      </c>
      <c r="CF53" s="3">
        <f t="shared" ref="CF53" si="718">CE59</f>
        <v>200093538.59347713</v>
      </c>
      <c r="CG53" s="3">
        <f t="shared" ref="CG53" si="719">CF59</f>
        <v>189288874.07369131</v>
      </c>
      <c r="CH53" s="3">
        <f t="shared" ref="CH53" si="720">CG59</f>
        <v>178448194.00550622</v>
      </c>
      <c r="CI53" s="3">
        <f t="shared" ref="CI53" si="721">CH59</f>
        <v>167571378.33709383</v>
      </c>
      <c r="CJ53" s="3">
        <f t="shared" ref="CJ53" si="722">CI59</f>
        <v>156658306.61645341</v>
      </c>
      <c r="CK53" s="3">
        <f t="shared" ref="CK53" si="723">CJ59</f>
        <v>145708857.99007753</v>
      </c>
      <c r="CL53" s="3">
        <f t="shared" ref="CL53" si="724">CK59</f>
        <v>134722911.20161372</v>
      </c>
      <c r="CM53" s="3">
        <f t="shared" ref="CM53" si="725">CL59</f>
        <v>123700344.59052171</v>
      </c>
      <c r="CN53" s="3">
        <f t="shared" ref="CN53" si="726">CM59</f>
        <v>112641036.09072605</v>
      </c>
      <c r="CO53" s="3">
        <f t="shared" ref="CO53" si="727">CN59</f>
        <v>101544863.22926441</v>
      </c>
      <c r="CP53" s="3">
        <f t="shared" ref="CP53" si="728">CO59</f>
        <v>90411703.124931216</v>
      </c>
      <c r="CQ53" s="3">
        <f t="shared" ref="CQ53" si="729">CP59</f>
        <v>79241432.486916915</v>
      </c>
      <c r="CR53" s="3">
        <f t="shared" ref="CR53" si="730">CQ59</f>
        <v>68033927.61344257</v>
      </c>
      <c r="CS53" s="3">
        <f t="shared" ref="CS53" si="731">CR59</f>
        <v>56789064.390389979</v>
      </c>
      <c r="CT53" s="3">
        <f t="shared" ref="CT53" si="732">CS59</f>
        <v>45506718.289927214</v>
      </c>
      <c r="CU53" s="3">
        <f t="shared" ref="CU53" si="733">CT59</f>
        <v>34186764.369129568</v>
      </c>
      <c r="CV53" s="3">
        <f t="shared" ref="CV53" si="734">CU59</f>
        <v>22829077.268595934</v>
      </c>
      <c r="CW53" s="3">
        <f t="shared" ref="CW53" si="735">CV59</f>
        <v>11433531.211060518</v>
      </c>
    </row>
    <row r="54" spans="1:101" x14ac:dyDescent="0.2">
      <c r="A54" s="7" t="s">
        <v>6</v>
      </c>
      <c r="B54" s="158">
        <v>0</v>
      </c>
      <c r="C54" s="158">
        <v>0</v>
      </c>
      <c r="D54" s="158">
        <f>D53*(D52-$D$16)*D50/360</f>
        <v>4248968.8888888899</v>
      </c>
      <c r="E54" s="158">
        <f>D59*(E52-D52)*E50/360</f>
        <v>9606364.444444444</v>
      </c>
      <c r="F54" s="158">
        <f t="shared" ref="F54:AO54" si="736">E59*(F52-E52)*F50/360</f>
        <v>9606364.444444444</v>
      </c>
      <c r="G54" s="158">
        <f t="shared" si="736"/>
        <v>9606364.444444444</v>
      </c>
      <c r="H54" s="158">
        <f t="shared" si="736"/>
        <v>9606364.444444444</v>
      </c>
      <c r="I54" s="158">
        <f t="shared" si="736"/>
        <v>9606364.444444444</v>
      </c>
      <c r="J54" s="158">
        <f>I59*(J52-I52)*J50/360</f>
        <v>9923057.777777778</v>
      </c>
      <c r="K54" s="158">
        <f>J59*(K52-J52)*K50/360</f>
        <v>9306165.555555556</v>
      </c>
      <c r="L54" s="7">
        <f t="shared" si="736"/>
        <v>3067966.6666666665</v>
      </c>
      <c r="M54" s="7">
        <f t="shared" si="736"/>
        <v>2842635.9281698712</v>
      </c>
      <c r="N54" s="7">
        <f t="shared" si="736"/>
        <v>3009295.2809654647</v>
      </c>
      <c r="O54" s="7">
        <f t="shared" si="736"/>
        <v>2979812.8282981617</v>
      </c>
      <c r="P54" s="7">
        <f t="shared" si="736"/>
        <v>2759894.5458990457</v>
      </c>
      <c r="Q54" s="7">
        <f t="shared" si="736"/>
        <v>3014764.1505590472</v>
      </c>
      <c r="R54" s="7">
        <f t="shared" si="736"/>
        <v>2797523.7191803902</v>
      </c>
      <c r="S54" s="7">
        <f t="shared" si="736"/>
        <v>2676322.9886949402</v>
      </c>
      <c r="T54" s="7">
        <f t="shared" si="736"/>
        <v>3013559.8661596058</v>
      </c>
      <c r="U54" s="7">
        <f t="shared" si="736"/>
        <v>2710493.0679821237</v>
      </c>
      <c r="V54" s="7">
        <f t="shared" si="736"/>
        <v>2770665.5427673901</v>
      </c>
      <c r="W54" s="7">
        <f t="shared" si="736"/>
        <v>2651988.0557800909</v>
      </c>
      <c r="X54" s="7">
        <f t="shared" si="736"/>
        <v>2710008.8462277045</v>
      </c>
      <c r="Y54" s="7">
        <f t="shared" si="736"/>
        <v>2679528.7721112762</v>
      </c>
      <c r="Z54" s="7">
        <f t="shared" si="736"/>
        <v>2392597.3786109099</v>
      </c>
      <c r="AA54" s="7">
        <f t="shared" si="736"/>
        <v>2618263.4844697649</v>
      </c>
      <c r="AB54" s="7">
        <f t="shared" si="736"/>
        <v>2504010.5733685261</v>
      </c>
      <c r="AC54" s="7">
        <f t="shared" si="736"/>
        <v>2556589.0808518925</v>
      </c>
      <c r="AD54" s="7">
        <f t="shared" si="736"/>
        <v>2444126.7169524622</v>
      </c>
      <c r="AE54" s="7">
        <f t="shared" si="736"/>
        <v>2494502.8292720821</v>
      </c>
      <c r="AF54" s="7">
        <f t="shared" si="736"/>
        <v>2463304.4017658019</v>
      </c>
      <c r="AG54" s="7">
        <f t="shared" si="736"/>
        <v>2353550.3027430652</v>
      </c>
      <c r="AH54" s="7">
        <f t="shared" si="736"/>
        <v>2400595.2158289836</v>
      </c>
      <c r="AI54" s="7">
        <f t="shared" si="736"/>
        <v>2292661.7060753801</v>
      </c>
      <c r="AJ54" s="7">
        <f t="shared" si="736"/>
        <v>2337467.2718838542</v>
      </c>
      <c r="AK54" s="7">
        <f t="shared" si="736"/>
        <v>2305745.3925196133</v>
      </c>
      <c r="AL54" s="7">
        <f t="shared" si="736"/>
        <v>2053861.214826121</v>
      </c>
      <c r="AM54" s="7">
        <f t="shared" si="736"/>
        <v>2241984.0625321623</v>
      </c>
      <c r="AN54" s="7">
        <f t="shared" si="736"/>
        <v>2138655.3927129824</v>
      </c>
      <c r="AO54" s="7">
        <f t="shared" si="736"/>
        <v>2177796.9485522392</v>
      </c>
      <c r="AP54" s="7">
        <f t="shared" ref="AP54" si="737">AO59*(AP52-AO52)*AP50/360</f>
        <v>2076331.7755905413</v>
      </c>
      <c r="AQ54" s="7">
        <f t="shared" ref="AQ54" si="738">AP59*(AQ52-AP52)*AQ50/360</f>
        <v>2113181.2072889614</v>
      </c>
      <c r="AR54" s="7">
        <f t="shared" ref="AR54" si="739">AQ59*(AR52-AQ52)*AR50/360</f>
        <v>2080711.7077094042</v>
      </c>
      <c r="AS54" s="7">
        <f t="shared" ref="AS54" si="740">AR59*(AS52-AR52)*AS50/360</f>
        <v>1982065.1385141111</v>
      </c>
      <c r="AT54" s="7">
        <f t="shared" ref="AT54" si="741">AS59*(AT52-AS52)*AT50/360</f>
        <v>2015447.6527822763</v>
      </c>
      <c r="AU54" s="7">
        <f t="shared" ref="AU54" si="742">AT59*(AU52-AT52)*AU50/360</f>
        <v>1918695.8464719639</v>
      </c>
      <c r="AV54" s="7">
        <f t="shared" ref="AV54" si="743">AU59*(AV52-AU52)*AV50/360</f>
        <v>1949747.7789994681</v>
      </c>
      <c r="AW54" s="7">
        <f t="shared" ref="AW54" si="744">AV59*(AW52-AV52)*AW50/360</f>
        <v>1916733.5013256122</v>
      </c>
      <c r="AX54" s="7">
        <f t="shared" ref="AX54" si="745">AW59*(AX52-AW52)*AX50/360</f>
        <v>1701324.4170860094</v>
      </c>
      <c r="AY54" s="7">
        <f t="shared" ref="AY54" si="746">AX59*(AY52-AX52)*AY50/360</f>
        <v>1850374.4363758548</v>
      </c>
      <c r="AZ54" s="7">
        <f t="shared" ref="AZ54" si="747">AY59*(AZ52-AY52)*AZ50/360</f>
        <v>1758415.078283794</v>
      </c>
      <c r="BA54" s="7">
        <f t="shared" ref="BA54" si="748">AZ59*(BA52-AZ52)*BA50/360</f>
        <v>1783572.2403368219</v>
      </c>
      <c r="BB54" s="7">
        <f t="shared" ref="BB54" si="749">BA59*(BB52-BA52)*BB50/360</f>
        <v>1693552.3008394423</v>
      </c>
      <c r="BC54" s="7">
        <f t="shared" ref="BC54" si="750">BB59*(BC52-BB52)*BC50/360</f>
        <v>1716323.9540775723</v>
      </c>
      <c r="BD54" s="7">
        <f t="shared" ref="BD54" si="751">BC59*(BD52-BC52)*BD50/360</f>
        <v>1682531.5969873101</v>
      </c>
      <c r="BE54" s="7">
        <f t="shared" ref="BE54" si="752">BD59*(BE52-BD52)*BE50/360</f>
        <v>1595445.0955226584</v>
      </c>
      <c r="BF54" s="7">
        <f t="shared" ref="BF54" si="753">BE59*(BF52-BE52)*BF50/360</f>
        <v>1614608.5837652488</v>
      </c>
      <c r="BG54" s="7">
        <f t="shared" ref="BG54" si="754">BF59*(BG52-BF52)*BG50/360</f>
        <v>1529494.0407489797</v>
      </c>
      <c r="BH54" s="7">
        <f t="shared" ref="BH54" si="755">BG59*(BH52-BG52)*BH50/360</f>
        <v>1546231.9957548939</v>
      </c>
      <c r="BI54" s="7">
        <f t="shared" ref="BI54" si="756">BH59*(BI52-BH52)*BI50/360</f>
        <v>1511872.6654702227</v>
      </c>
      <c r="BJ54" s="7">
        <f t="shared" ref="BJ54" si="757">BI59*(BJ52-BI52)*BJ50/360</f>
        <v>1382082.7522081768</v>
      </c>
      <c r="BK54" s="7">
        <f t="shared" ref="BK54" si="758">BJ59*(BK52-BJ52)*BK50/360</f>
        <v>1442810.0298276974</v>
      </c>
      <c r="BL54" s="7">
        <f t="shared" ref="BL54" si="759">BK59*(BL52-BK52)*BL50/360</f>
        <v>1362683.1867644538</v>
      </c>
      <c r="BM54" s="7">
        <f t="shared" ref="BM54" si="760">BL59*(BM52-BL52)*BM50/360</f>
        <v>1373286.2092516036</v>
      </c>
      <c r="BN54" s="7">
        <f t="shared" ref="BN54" si="761">BM59*(BN52-BM52)*BN50/360</f>
        <v>1295177.7996889567</v>
      </c>
      <c r="BO54" s="7">
        <f t="shared" ref="BO54" si="762">BN59*(BO52-BN52)*BO50/360</f>
        <v>1303298.124051441</v>
      </c>
      <c r="BP54" s="7">
        <f t="shared" ref="BP54" si="763">BO59*(BP52-BO52)*BP50/360</f>
        <v>1268129.014194425</v>
      </c>
      <c r="BQ54" s="7">
        <f t="shared" ref="BQ54" si="764">BP59*(BQ52-BP52)*BQ50/360</f>
        <v>1193073.5554560185</v>
      </c>
      <c r="BR54" s="7">
        <f t="shared" ref="BR54" si="765">BQ59*(BR52-BQ52)*BR50/360</f>
        <v>1197438.712613936</v>
      </c>
      <c r="BS54" s="7">
        <f t="shared" ref="BS54" si="766">BR59*(BS52-BR52)*BS50/360</f>
        <v>1124435.5529536726</v>
      </c>
      <c r="BT54" s="7">
        <f t="shared" ref="BT54" si="767">BS59*(BT52-BS52)*BT50/360</f>
        <v>1126276.3569084483</v>
      </c>
      <c r="BU54" s="7">
        <f t="shared" ref="BU54" si="768">BT59*(BU52-BT52)*BU50/360</f>
        <v>1090517.1744942891</v>
      </c>
      <c r="BV54" s="7">
        <f t="shared" ref="BV54" si="769">BU59*(BV52-BU52)*BV50/360</f>
        <v>952576.97595327895</v>
      </c>
      <c r="BW54" s="7">
        <f t="shared" ref="BW54" si="770">BV59*(BW52-BV52)*BW50/360</f>
        <v>1018640.82051758</v>
      </c>
      <c r="BX54" s="7">
        <f t="shared" ref="BX54" si="771">BW59*(BX52-BW52)*BX50/360</f>
        <v>950828.56740204978</v>
      </c>
      <c r="BY54" s="7">
        <f t="shared" ref="BY54" si="772">BX59*(BY52-BX52)*BY50/360</f>
        <v>946284.49222153786</v>
      </c>
      <c r="BZ54" s="7">
        <f t="shared" ref="BZ54" si="773">BY59*(BZ52-BY52)*BZ50/360</f>
        <v>880572.9067016989</v>
      </c>
      <c r="CA54" s="7">
        <f t="shared" ref="CA54" si="774">BZ59*(CA52-BZ52)*CA50/360</f>
        <v>873444.98444431857</v>
      </c>
      <c r="CB54" s="7">
        <f t="shared" ref="CB54" si="775">CA59*(CB52-CA52)*CB50/360</f>
        <v>836843.0307886122</v>
      </c>
      <c r="CC54" s="7">
        <f t="shared" ref="CC54" si="776">CB59*(CC52-CB52)*CC50/360</f>
        <v>774308.77802005177</v>
      </c>
      <c r="CD54" s="7">
        <f t="shared" ref="CD54" si="777">CC59*(CD52-CC52)*CD50/360</f>
        <v>763272.69725226855</v>
      </c>
      <c r="CE54" s="7">
        <f t="shared" ref="CE54" si="778">CD59*(CE52-CD52)*CE50/360</f>
        <v>702874.35739282786</v>
      </c>
      <c r="CF54" s="7">
        <f t="shared" ref="CF54" si="779">CE59*(CF52-CE52)*CF50/360</f>
        <v>689211.07737753238</v>
      </c>
      <c r="CG54" s="7">
        <f t="shared" ref="CG54" si="780">CF59*(CG52-CF52)*CG50/360</f>
        <v>651995.01069827005</v>
      </c>
      <c r="CH54" s="7">
        <f t="shared" ref="CH54" si="781">CG59*(CH52-CG52)*CH50/360</f>
        <v>555172.15912824159</v>
      </c>
      <c r="CI54" s="7">
        <f t="shared" ref="CI54" si="782">CH59*(CI52-CH52)*CI50/360</f>
        <v>577190.30316110107</v>
      </c>
      <c r="CJ54" s="7">
        <f t="shared" ref="CJ54" si="783">CI59*(CJ52-CI52)*CJ50/360</f>
        <v>522194.35538817808</v>
      </c>
      <c r="CK54" s="7">
        <f t="shared" ref="CK54" si="784">CJ59*(CK52-CJ52)*CK50/360</f>
        <v>501886.06641026703</v>
      </c>
      <c r="CL54" s="7">
        <f t="shared" ref="CL54" si="785">CK59*(CL52-CK52)*CL50/360</f>
        <v>449076.37067204574</v>
      </c>
      <c r="CM54" s="7">
        <f t="shared" ref="CM54" si="786">CL59*(CM52-CL52)*CM50/360</f>
        <v>426078.96470068587</v>
      </c>
      <c r="CN54" s="7">
        <f t="shared" ref="CN54" si="787">CM59*(CN52-CM52)*CN50/360</f>
        <v>387985.7909791675</v>
      </c>
      <c r="CO54" s="7">
        <f t="shared" ref="CO54" si="788">CN59*(CO52-CN52)*CO50/360</f>
        <v>338482.87743088137</v>
      </c>
      <c r="CP54" s="7">
        <f t="shared" ref="CP54" si="789">CO59*(CP52-CO52)*CP50/360</f>
        <v>311418.08854142972</v>
      </c>
      <c r="CQ54" s="7">
        <f t="shared" ref="CQ54" si="790">CP59*(CQ52-CP52)*CQ50/360</f>
        <v>264138.10828972299</v>
      </c>
      <c r="CR54" s="7">
        <f t="shared" ref="CR54" si="791">CQ59*(CR52-CQ52)*CR50/360</f>
        <v>234339.08400185776</v>
      </c>
      <c r="CS54" s="7">
        <f t="shared" ref="CS54" si="792">CR59*(CS52-CR52)*CS50/360</f>
        <v>195606.77734467661</v>
      </c>
      <c r="CT54" s="7">
        <f t="shared" ref="CT54" si="793">CS59*(CT52-CS52)*CT50/360</f>
        <v>141576.45690199579</v>
      </c>
      <c r="CU54" s="7">
        <f t="shared" ref="CU54" si="794">CT59*(CU52-CT52)*CU50/360</f>
        <v>117754.41060477962</v>
      </c>
      <c r="CV54" s="7">
        <f t="shared" ref="CV54" si="795">CU59*(CV52-CU52)*CV50/360</f>
        <v>76096.924228653108</v>
      </c>
      <c r="CW54" s="7">
        <f t="shared" ref="CW54" si="796">CV59*(CW52-CV52)*CW50/360</f>
        <v>39382.163060319566</v>
      </c>
    </row>
    <row r="55" spans="1:101" x14ac:dyDescent="0.2">
      <c r="A55" s="2" t="s">
        <v>12</v>
      </c>
      <c r="B55" s="159">
        <f>B54</f>
        <v>0</v>
      </c>
      <c r="C55" s="159">
        <f>B55+C54</f>
        <v>0</v>
      </c>
      <c r="D55" s="159">
        <f>C55+D54</f>
        <v>4248968.8888888899</v>
      </c>
      <c r="E55" s="159">
        <f>D55+E54</f>
        <v>13855333.333333334</v>
      </c>
      <c r="F55" s="159">
        <f t="shared" ref="F55" si="797">E55+F54</f>
        <v>23461697.777777776</v>
      </c>
      <c r="G55" s="159">
        <f t="shared" ref="G55" si="798">G54+F55</f>
        <v>33068062.22222222</v>
      </c>
      <c r="H55" s="159">
        <f t="shared" ref="H55" si="799">H54+G55</f>
        <v>42674426.666666664</v>
      </c>
      <c r="I55" s="159">
        <f t="shared" ref="I55" si="800">I54+H55</f>
        <v>52280791.111111104</v>
      </c>
      <c r="J55" s="159">
        <f t="shared" ref="J55" si="801">J54+I55</f>
        <v>62203848.888888881</v>
      </c>
      <c r="K55" s="159">
        <f t="shared" ref="K55" si="802">K54+J55</f>
        <v>71510014.444444433</v>
      </c>
      <c r="L55" s="3">
        <f t="shared" ref="L55" si="803">L54+K55</f>
        <v>74577981.111111104</v>
      </c>
      <c r="M55" s="3">
        <f t="shared" ref="M55" si="804">M54+L55</f>
        <v>77420617.039280981</v>
      </c>
      <c r="N55" s="3">
        <f t="shared" ref="N55" si="805">N54+M55</f>
        <v>80429912.320246443</v>
      </c>
      <c r="O55" s="3">
        <f t="shared" ref="O55" si="806">O54+N55</f>
        <v>83409725.14854461</v>
      </c>
      <c r="P55" s="3">
        <f t="shared" ref="P55" si="807">P54+O55</f>
        <v>86169619.694443658</v>
      </c>
      <c r="Q55" s="3">
        <f t="shared" ref="Q55" si="808">Q54+P55</f>
        <v>89184383.845002711</v>
      </c>
      <c r="R55" s="3">
        <f t="shared" ref="R55" si="809">R54+Q55</f>
        <v>91981907.564183101</v>
      </c>
      <c r="S55" s="3">
        <f t="shared" ref="S55" si="810">S54+R55</f>
        <v>94658230.552878037</v>
      </c>
      <c r="T55" s="3">
        <f t="shared" ref="T55" si="811">T54+S55</f>
        <v>97671790.41903764</v>
      </c>
      <c r="U55" s="3">
        <f t="shared" ref="U55" si="812">U54+T55</f>
        <v>100382283.48701976</v>
      </c>
      <c r="V55" s="3">
        <f t="shared" ref="V55" si="813">V54+U55</f>
        <v>103152949.02978715</v>
      </c>
      <c r="W55" s="3">
        <f t="shared" ref="W55" si="814">W54+V55</f>
        <v>105804937.08556725</v>
      </c>
      <c r="X55" s="3">
        <f t="shared" ref="X55" si="815">X54+W55</f>
        <v>108514945.93179496</v>
      </c>
      <c r="Y55" s="3">
        <f t="shared" ref="Y55" si="816">Y54+X55</f>
        <v>111194474.70390624</v>
      </c>
      <c r="Z55" s="3">
        <f t="shared" ref="Z55" si="817">Z54+Y55</f>
        <v>113587072.08251715</v>
      </c>
      <c r="AA55" s="3">
        <f t="shared" ref="AA55" si="818">AA54+Z55</f>
        <v>116205335.56698692</v>
      </c>
      <c r="AB55" s="3">
        <f t="shared" ref="AB55" si="819">AB54+AA55</f>
        <v>118709346.14035544</v>
      </c>
      <c r="AC55" s="3">
        <f t="shared" ref="AC55" si="820">AC54+AB55</f>
        <v>121265935.22120734</v>
      </c>
      <c r="AD55" s="3">
        <f t="shared" ref="AD55" si="821">AD54+AC55</f>
        <v>123710061.93815979</v>
      </c>
      <c r="AE55" s="3">
        <f t="shared" ref="AE55" si="822">AE54+AD55</f>
        <v>126204564.76743187</v>
      </c>
      <c r="AF55" s="3">
        <f t="shared" ref="AF55" si="823">AF54+AE55</f>
        <v>128667869.16919768</v>
      </c>
      <c r="AG55" s="3">
        <f t="shared" ref="AG55" si="824">AG54+AF55</f>
        <v>131021419.47194074</v>
      </c>
      <c r="AH55" s="3">
        <f t="shared" ref="AH55" si="825">AH54+AG55</f>
        <v>133422014.68776973</v>
      </c>
      <c r="AI55" s="3">
        <f t="shared" ref="AI55" si="826">AI54+AH55</f>
        <v>135714676.39384511</v>
      </c>
      <c r="AJ55" s="3">
        <f t="shared" ref="AJ55" si="827">AJ54+AI55</f>
        <v>138052143.66572896</v>
      </c>
      <c r="AK55" s="3">
        <f t="shared" ref="AK55" si="828">AK54+AJ55</f>
        <v>140357889.05824858</v>
      </c>
      <c r="AL55" s="3">
        <f t="shared" ref="AL55" si="829">AL54+AK55</f>
        <v>142411750.27307469</v>
      </c>
      <c r="AM55" s="3">
        <f t="shared" ref="AM55" si="830">AM54+AL55</f>
        <v>144653734.33560684</v>
      </c>
      <c r="AN55" s="3">
        <f t="shared" ref="AN55" si="831">AN54+AM55</f>
        <v>146792389.72831982</v>
      </c>
      <c r="AO55" s="3">
        <f t="shared" ref="AO55" si="832">AO54+AN55</f>
        <v>148970186.67687207</v>
      </c>
      <c r="AP55" s="3">
        <f t="shared" ref="AP55" si="833">AP54+AO55</f>
        <v>151046518.45246261</v>
      </c>
      <c r="AQ55" s="3">
        <f t="shared" ref="AQ55" si="834">AQ54+AP55</f>
        <v>153159699.65975156</v>
      </c>
      <c r="AR55" s="3">
        <f t="shared" ref="AR55" si="835">AR54+AQ55</f>
        <v>155240411.36746097</v>
      </c>
      <c r="AS55" s="3">
        <f t="shared" ref="AS55" si="836">AS54+AR55</f>
        <v>157222476.50597507</v>
      </c>
      <c r="AT55" s="3">
        <f t="shared" ref="AT55" si="837">AT54+AS55</f>
        <v>159237924.15875733</v>
      </c>
      <c r="AU55" s="3">
        <f t="shared" ref="AU55" si="838">AU54+AT55</f>
        <v>161156620.00522929</v>
      </c>
      <c r="AV55" s="3">
        <f t="shared" ref="AV55" si="839">AV54+AU55</f>
        <v>163106367.78422877</v>
      </c>
      <c r="AW55" s="3">
        <f t="shared" ref="AW55" si="840">AW54+AV55</f>
        <v>165023101.28555438</v>
      </c>
      <c r="AX55" s="3">
        <f t="shared" ref="AX55" si="841">AX54+AW55</f>
        <v>166724425.70264038</v>
      </c>
      <c r="AY55" s="3">
        <f t="shared" ref="AY55" si="842">AY54+AX55</f>
        <v>168574800.13901624</v>
      </c>
      <c r="AZ55" s="3">
        <f t="shared" ref="AZ55" si="843">AZ54+AY55</f>
        <v>170333215.21730003</v>
      </c>
      <c r="BA55" s="3">
        <f t="shared" ref="BA55" si="844">BA54+AZ55</f>
        <v>172116787.45763686</v>
      </c>
      <c r="BB55" s="3">
        <f t="shared" ref="BB55" si="845">BB54+BA55</f>
        <v>173810339.75847632</v>
      </c>
      <c r="BC55" s="3">
        <f t="shared" ref="BC55" si="846">BC54+BB55</f>
        <v>175526663.71255389</v>
      </c>
      <c r="BD55" s="3">
        <f t="shared" ref="BD55" si="847">BD54+BC55</f>
        <v>177209195.3095412</v>
      </c>
      <c r="BE55" s="3">
        <f t="shared" ref="BE55" si="848">BE54+BD55</f>
        <v>178804640.40506387</v>
      </c>
      <c r="BF55" s="3">
        <f t="shared" ref="BF55" si="849">BF54+BE55</f>
        <v>180419248.98882911</v>
      </c>
      <c r="BG55" s="3">
        <f t="shared" ref="BG55" si="850">BG54+BF55</f>
        <v>181948743.02957809</v>
      </c>
      <c r="BH55" s="3">
        <f t="shared" ref="BH55" si="851">BH54+BG55</f>
        <v>183494975.02533299</v>
      </c>
      <c r="BI55" s="3">
        <f t="shared" ref="BI55" si="852">BI54+BH55</f>
        <v>185006847.6908032</v>
      </c>
      <c r="BJ55" s="3">
        <f t="shared" ref="BJ55" si="853">BJ54+BI55</f>
        <v>186388930.44301137</v>
      </c>
      <c r="BK55" s="3">
        <f t="shared" ref="BK55" si="854">BK54+BJ55</f>
        <v>187831740.47283906</v>
      </c>
      <c r="BL55" s="3">
        <f t="shared" ref="BL55" si="855">BL54+BK55</f>
        <v>189194423.65960351</v>
      </c>
      <c r="BM55" s="3">
        <f t="shared" ref="BM55" si="856">BM54+BL55</f>
        <v>190567709.86885512</v>
      </c>
      <c r="BN55" s="3">
        <f t="shared" ref="BN55" si="857">BN54+BM55</f>
        <v>191862887.66854408</v>
      </c>
      <c r="BO55" s="3">
        <f t="shared" ref="BO55" si="858">BO54+BN55</f>
        <v>193166185.79259554</v>
      </c>
      <c r="BP55" s="3">
        <f t="shared" ref="BP55" si="859">BP54+BO55</f>
        <v>194434314.80678996</v>
      </c>
      <c r="BQ55" s="3">
        <f t="shared" ref="BQ55" si="860">BQ54+BP55</f>
        <v>195627388.36224598</v>
      </c>
      <c r="BR55" s="3">
        <f t="shared" ref="BR55" si="861">BR54+BQ55</f>
        <v>196824827.07485992</v>
      </c>
      <c r="BS55" s="3">
        <f t="shared" ref="BS55" si="862">BS54+BR55</f>
        <v>197949262.62781358</v>
      </c>
      <c r="BT55" s="3">
        <f t="shared" ref="BT55" si="863">BT54+BS55</f>
        <v>199075538.98472202</v>
      </c>
      <c r="BU55" s="3">
        <f t="shared" ref="BU55" si="864">BU54+BT55</f>
        <v>200166056.15921631</v>
      </c>
      <c r="BV55" s="3">
        <f t="shared" ref="BV55" si="865">BV54+BU55</f>
        <v>201118633.1351696</v>
      </c>
      <c r="BW55" s="3">
        <f t="shared" ref="BW55" si="866">BW54+BV55</f>
        <v>202137273.95568717</v>
      </c>
      <c r="BX55" s="3">
        <f t="shared" ref="BX55" si="867">BX54+BW55</f>
        <v>203088102.5230892</v>
      </c>
      <c r="BY55" s="3">
        <f t="shared" ref="BY55" si="868">BY54+BX55</f>
        <v>204034387.01531073</v>
      </c>
      <c r="BZ55" s="3">
        <f t="shared" ref="BZ55" si="869">BZ54+BY55</f>
        <v>204914959.92201245</v>
      </c>
      <c r="CA55" s="3">
        <f t="shared" ref="CA55" si="870">CA54+BZ55</f>
        <v>205788404.90645677</v>
      </c>
      <c r="CB55" s="3">
        <f t="shared" ref="CB55" si="871">CB54+CA55</f>
        <v>206625247.93724537</v>
      </c>
      <c r="CC55" s="3">
        <f t="shared" ref="CC55" si="872">CC54+CB55</f>
        <v>207399556.71526542</v>
      </c>
      <c r="CD55" s="3">
        <f t="shared" ref="CD55" si="873">CD54+CC55</f>
        <v>208162829.4125177</v>
      </c>
      <c r="CE55" s="3">
        <f t="shared" ref="CE55" si="874">CE54+CD55</f>
        <v>208865703.76991051</v>
      </c>
      <c r="CF55" s="3">
        <f t="shared" ref="CF55" si="875">CF54+CE55</f>
        <v>209554914.84728804</v>
      </c>
      <c r="CG55" s="3">
        <f t="shared" ref="CG55" si="876">CG54+CF55</f>
        <v>210206909.8579863</v>
      </c>
      <c r="CH55" s="3">
        <f t="shared" ref="CH55" si="877">CH54+CG55</f>
        <v>210762082.01711455</v>
      </c>
      <c r="CI55" s="3">
        <f t="shared" ref="CI55" si="878">CI54+CH55</f>
        <v>211339272.32027566</v>
      </c>
      <c r="CJ55" s="3">
        <f t="shared" ref="CJ55" si="879">CJ54+CI55</f>
        <v>211861466.67566383</v>
      </c>
      <c r="CK55" s="3">
        <f t="shared" ref="CK55" si="880">CK54+CJ55</f>
        <v>212363352.7420741</v>
      </c>
      <c r="CL55" s="3">
        <f t="shared" ref="CL55" si="881">CL54+CK55</f>
        <v>212812429.11274615</v>
      </c>
      <c r="CM55" s="3">
        <f t="shared" ref="CM55" si="882">CM54+CL55</f>
        <v>213238508.07744685</v>
      </c>
      <c r="CN55" s="3">
        <f t="shared" ref="CN55" si="883">CN54+CM55</f>
        <v>213626493.86842602</v>
      </c>
      <c r="CO55" s="3">
        <f t="shared" ref="CO55" si="884">CO54+CN55</f>
        <v>213964976.74585691</v>
      </c>
      <c r="CP55" s="3">
        <f t="shared" ref="CP55" si="885">CP54+CO55</f>
        <v>214276394.83439833</v>
      </c>
      <c r="CQ55" s="3">
        <f t="shared" ref="CQ55" si="886">CQ54+CP55</f>
        <v>214540532.94268805</v>
      </c>
      <c r="CR55" s="3">
        <f t="shared" ref="CR55" si="887">CR54+CQ55</f>
        <v>214774872.02668992</v>
      </c>
      <c r="CS55" s="3">
        <f t="shared" ref="CS55" si="888">CS54+CR55</f>
        <v>214970478.80403459</v>
      </c>
      <c r="CT55" s="3">
        <f t="shared" ref="CT55" si="889">CT54+CS55</f>
        <v>215112055.26093659</v>
      </c>
      <c r="CU55" s="3">
        <f t="shared" ref="CU55" si="890">CU54+CT55</f>
        <v>215229809.67154136</v>
      </c>
      <c r="CV55" s="3">
        <f t="shared" ref="CV55" si="891">CV54+CU55</f>
        <v>215305906.59577</v>
      </c>
      <c r="CW55" s="3">
        <f t="shared" ref="CW55" si="892">CW54+CV55</f>
        <v>215345288.75883031</v>
      </c>
    </row>
    <row r="56" spans="1:101" x14ac:dyDescent="0.2">
      <c r="A56" s="2" t="s">
        <v>7</v>
      </c>
      <c r="B56" s="159">
        <v>0</v>
      </c>
      <c r="C56" s="159">
        <v>0</v>
      </c>
      <c r="D56" s="159">
        <v>0</v>
      </c>
      <c r="E56" s="159">
        <v>0</v>
      </c>
      <c r="F56" s="159">
        <v>0</v>
      </c>
      <c r="G56" s="159">
        <v>0</v>
      </c>
      <c r="H56" s="159">
        <v>0</v>
      </c>
      <c r="I56" s="159">
        <v>0</v>
      </c>
      <c r="J56" s="159">
        <f>$D$17/$C$13</f>
        <v>29690000</v>
      </c>
      <c r="K56" s="159">
        <f t="shared" ref="K56" si="893">$D$17/$C$13</f>
        <v>29690000</v>
      </c>
      <c r="L56" s="3">
        <f>-PPMT($L$50/12,L51,$CW$51,$L$53,0)</f>
        <v>8502642.981764067</v>
      </c>
      <c r="M56" s="3">
        <f t="shared" ref="M56:BX56" si="894">-PPMT($L$50/12,M51,$CW$51,$L$53,0)</f>
        <v>8530985.1250366159</v>
      </c>
      <c r="N56" s="3">
        <f t="shared" si="894"/>
        <v>8559421.7421200685</v>
      </c>
      <c r="O56" s="3">
        <f t="shared" si="894"/>
        <v>8587953.1479271371</v>
      </c>
      <c r="P56" s="3">
        <f t="shared" si="894"/>
        <v>8616579.6584202256</v>
      </c>
      <c r="Q56" s="3">
        <f t="shared" si="894"/>
        <v>8645301.5906149596</v>
      </c>
      <c r="R56" s="3">
        <f t="shared" si="894"/>
        <v>8674119.2625836767</v>
      </c>
      <c r="S56" s="3">
        <f t="shared" si="894"/>
        <v>8703032.9934589565</v>
      </c>
      <c r="T56" s="3">
        <f t="shared" si="894"/>
        <v>8732043.1034371518</v>
      </c>
      <c r="U56" s="3">
        <f t="shared" si="894"/>
        <v>8761149.9137819447</v>
      </c>
      <c r="V56" s="3">
        <f t="shared" si="894"/>
        <v>8790353.7468278818</v>
      </c>
      <c r="W56" s="3">
        <f t="shared" si="894"/>
        <v>8819654.9259839766</v>
      </c>
      <c r="X56" s="3">
        <f t="shared" si="894"/>
        <v>8849053.7757372558</v>
      </c>
      <c r="Y56" s="3">
        <f t="shared" si="894"/>
        <v>8878550.6216563806</v>
      </c>
      <c r="Z56" s="3">
        <f t="shared" si="894"/>
        <v>8908145.7903952356</v>
      </c>
      <c r="AA56" s="3">
        <f t="shared" si="894"/>
        <v>8937839.6096965522</v>
      </c>
      <c r="AB56" s="3">
        <f t="shared" si="894"/>
        <v>8967632.40839554</v>
      </c>
      <c r="AC56" s="3">
        <f t="shared" si="894"/>
        <v>8997524.5164235272</v>
      </c>
      <c r="AD56" s="3">
        <f t="shared" si="894"/>
        <v>9027516.2648116052</v>
      </c>
      <c r="AE56" s="3">
        <f t="shared" si="894"/>
        <v>9057607.9856943097</v>
      </c>
      <c r="AF56" s="3">
        <f t="shared" si="894"/>
        <v>9087800.0123132896</v>
      </c>
      <c r="AG56" s="3">
        <f t="shared" si="894"/>
        <v>9118092.6790210009</v>
      </c>
      <c r="AH56" s="3">
        <f t="shared" si="894"/>
        <v>9148486.3212844059</v>
      </c>
      <c r="AI56" s="3">
        <f t="shared" si="894"/>
        <v>9178981.2756886873</v>
      </c>
      <c r="AJ56" s="3">
        <f t="shared" si="894"/>
        <v>9209577.8799409829</v>
      </c>
      <c r="AK56" s="3">
        <f t="shared" si="894"/>
        <v>9240276.4728741199</v>
      </c>
      <c r="AL56" s="3">
        <f t="shared" si="894"/>
        <v>9271077.3944503665</v>
      </c>
      <c r="AM56" s="3">
        <f t="shared" si="894"/>
        <v>9301980.985765202</v>
      </c>
      <c r="AN56" s="3">
        <f t="shared" si="894"/>
        <v>9332987.5890510846</v>
      </c>
      <c r="AO56" s="3">
        <f t="shared" si="894"/>
        <v>9364097.5476812553</v>
      </c>
      <c r="AP56" s="3">
        <f t="shared" si="894"/>
        <v>9395311.2061735261</v>
      </c>
      <c r="AQ56" s="3">
        <f t="shared" si="894"/>
        <v>9426628.9101941045</v>
      </c>
      <c r="AR56" s="3">
        <f t="shared" si="894"/>
        <v>9458051.006561419</v>
      </c>
      <c r="AS56" s="3">
        <f t="shared" si="894"/>
        <v>9489577.8432499561</v>
      </c>
      <c r="AT56" s="3">
        <f t="shared" si="894"/>
        <v>9521209.7693941221</v>
      </c>
      <c r="AU56" s="3">
        <f t="shared" si="894"/>
        <v>9552947.1352921035</v>
      </c>
      <c r="AV56" s="3">
        <f t="shared" si="894"/>
        <v>9584790.2924097441</v>
      </c>
      <c r="AW56" s="3">
        <f t="shared" si="894"/>
        <v>9616739.593384441</v>
      </c>
      <c r="AX56" s="3">
        <f t="shared" si="894"/>
        <v>9648795.3920290563</v>
      </c>
      <c r="AY56" s="3">
        <f t="shared" si="894"/>
        <v>9680958.0433358196</v>
      </c>
      <c r="AZ56" s="3">
        <f t="shared" si="894"/>
        <v>9713227.9034802727</v>
      </c>
      <c r="BA56" s="3">
        <f t="shared" si="894"/>
        <v>9745605.3298252076</v>
      </c>
      <c r="BB56" s="3">
        <f t="shared" si="894"/>
        <v>9778090.6809246242</v>
      </c>
      <c r="BC56" s="3">
        <f t="shared" si="894"/>
        <v>9810684.3165277075</v>
      </c>
      <c r="BD56" s="3">
        <f t="shared" si="894"/>
        <v>9843386.5975827985</v>
      </c>
      <c r="BE56" s="3">
        <f t="shared" si="894"/>
        <v>9876197.8862414081</v>
      </c>
      <c r="BF56" s="3">
        <f t="shared" si="894"/>
        <v>9909118.5458622146</v>
      </c>
      <c r="BG56" s="3">
        <f t="shared" si="894"/>
        <v>9942148.9410150889</v>
      </c>
      <c r="BH56" s="3">
        <f t="shared" si="894"/>
        <v>9975289.437485138</v>
      </c>
      <c r="BI56" s="3">
        <f t="shared" si="894"/>
        <v>10008540.402276754</v>
      </c>
      <c r="BJ56" s="3">
        <f t="shared" si="894"/>
        <v>10041902.203617677</v>
      </c>
      <c r="BK56" s="3">
        <f t="shared" si="894"/>
        <v>10075375.21096307</v>
      </c>
      <c r="BL56" s="3">
        <f t="shared" si="894"/>
        <v>10108959.794999612</v>
      </c>
      <c r="BM56" s="3">
        <f t="shared" si="894"/>
        <v>10142656.327649612</v>
      </c>
      <c r="BN56" s="3">
        <f t="shared" si="894"/>
        <v>10176465.182075109</v>
      </c>
      <c r="BO56" s="3">
        <f t="shared" si="894"/>
        <v>10210386.732682027</v>
      </c>
      <c r="BP56" s="3">
        <f t="shared" si="894"/>
        <v>10244421.3551243</v>
      </c>
      <c r="BQ56" s="3">
        <f t="shared" si="894"/>
        <v>10278569.426308049</v>
      </c>
      <c r="BR56" s="3">
        <f t="shared" si="894"/>
        <v>10312831.324395742</v>
      </c>
      <c r="BS56" s="3">
        <f t="shared" si="894"/>
        <v>10347207.428810393</v>
      </c>
      <c r="BT56" s="3">
        <f t="shared" si="894"/>
        <v>10381698.120239763</v>
      </c>
      <c r="BU56" s="3">
        <f t="shared" si="894"/>
        <v>10416303.780640561</v>
      </c>
      <c r="BV56" s="3">
        <f t="shared" si="894"/>
        <v>10451024.793242697</v>
      </c>
      <c r="BW56" s="3">
        <f t="shared" si="894"/>
        <v>10485861.542553507</v>
      </c>
      <c r="BX56" s="3">
        <f t="shared" si="894"/>
        <v>10520814.414362017</v>
      </c>
      <c r="BY56" s="3">
        <f t="shared" ref="BY56:CW56" si="895">-PPMT($L$50/12,BY51,$CW$51,$L$53,0)</f>
        <v>10555883.795743225</v>
      </c>
      <c r="BZ56" s="3">
        <f t="shared" si="895"/>
        <v>10591070.07506237</v>
      </c>
      <c r="CA56" s="3">
        <f t="shared" si="895"/>
        <v>10626373.641979244</v>
      </c>
      <c r="CB56" s="3">
        <f t="shared" si="895"/>
        <v>10661794.887452507</v>
      </c>
      <c r="CC56" s="3">
        <f t="shared" si="895"/>
        <v>10697334.203744017</v>
      </c>
      <c r="CD56" s="3">
        <f t="shared" si="895"/>
        <v>10732991.984423162</v>
      </c>
      <c r="CE56" s="3">
        <f t="shared" si="895"/>
        <v>10768768.62437124</v>
      </c>
      <c r="CF56" s="3">
        <f t="shared" si="895"/>
        <v>10804664.51978581</v>
      </c>
      <c r="CG56" s="3">
        <f t="shared" si="895"/>
        <v>10840680.068185097</v>
      </c>
      <c r="CH56" s="3">
        <f t="shared" si="895"/>
        <v>10876815.668412382</v>
      </c>
      <c r="CI56" s="3">
        <f t="shared" si="895"/>
        <v>10913071.720640421</v>
      </c>
      <c r="CJ56" s="3">
        <f t="shared" si="895"/>
        <v>10949448.626375891</v>
      </c>
      <c r="CK56" s="3">
        <f t="shared" si="895"/>
        <v>10985946.788463809</v>
      </c>
      <c r="CL56" s="3">
        <f t="shared" si="895"/>
        <v>11022566.611092022</v>
      </c>
      <c r="CM56" s="3">
        <f t="shared" si="895"/>
        <v>11059308.499795662</v>
      </c>
      <c r="CN56" s="3">
        <f t="shared" si="895"/>
        <v>11096172.861461647</v>
      </c>
      <c r="CO56" s="3">
        <f t="shared" si="895"/>
        <v>11133160.104333185</v>
      </c>
      <c r="CP56" s="3">
        <f t="shared" si="895"/>
        <v>11170270.638014296</v>
      </c>
      <c r="CQ56" s="3">
        <f t="shared" si="895"/>
        <v>11207504.873474345</v>
      </c>
      <c r="CR56" s="3">
        <f t="shared" si="895"/>
        <v>11244863.223052591</v>
      </c>
      <c r="CS56" s="3">
        <f t="shared" si="895"/>
        <v>11282346.100462766</v>
      </c>
      <c r="CT56" s="3">
        <f t="shared" si="895"/>
        <v>11319953.920797644</v>
      </c>
      <c r="CU56" s="3">
        <f t="shared" si="895"/>
        <v>11357687.100533636</v>
      </c>
      <c r="CV56" s="3">
        <f t="shared" si="895"/>
        <v>11395546.057535416</v>
      </c>
      <c r="CW56" s="3">
        <f t="shared" si="895"/>
        <v>11433531.211060533</v>
      </c>
    </row>
    <row r="57" spans="1:101" x14ac:dyDescent="0.2">
      <c r="A57" s="2" t="s">
        <v>13</v>
      </c>
      <c r="B57" s="159">
        <v>0</v>
      </c>
      <c r="C57" s="159">
        <f t="shared" ref="C57" si="896">C56+B57</f>
        <v>0</v>
      </c>
      <c r="D57" s="159">
        <f t="shared" ref="D57" si="897">D56+C57</f>
        <v>0</v>
      </c>
      <c r="E57" s="159">
        <f t="shared" ref="E57" si="898">E56+D57</f>
        <v>0</v>
      </c>
      <c r="F57" s="159">
        <f t="shared" ref="F57" si="899">F56+E57</f>
        <v>0</v>
      </c>
      <c r="G57" s="159">
        <f t="shared" ref="G57" si="900">G56+F57</f>
        <v>0</v>
      </c>
      <c r="H57" s="159">
        <f t="shared" ref="H57" si="901">H56+G57</f>
        <v>0</v>
      </c>
      <c r="I57" s="159">
        <f t="shared" ref="I57" si="902">I56+H57</f>
        <v>0</v>
      </c>
      <c r="J57" s="159">
        <f t="shared" ref="J57" si="903">J56+I57</f>
        <v>29690000</v>
      </c>
      <c r="K57" s="159">
        <f t="shared" ref="K57" si="904">K56+J57</f>
        <v>59380000</v>
      </c>
      <c r="L57" s="3">
        <f t="shared" ref="L57" si="905">L56+K57</f>
        <v>67882642.981764063</v>
      </c>
      <c r="M57" s="3">
        <f t="shared" ref="M57" si="906">M56+L57</f>
        <v>76413628.106800675</v>
      </c>
      <c r="N57" s="3">
        <f t="shared" ref="N57" si="907">N56+M57</f>
        <v>84973049.848920748</v>
      </c>
      <c r="O57" s="3">
        <f t="shared" ref="O57" si="908">O56+N57</f>
        <v>93561002.996847883</v>
      </c>
      <c r="P57" s="3">
        <f t="shared" ref="P57" si="909">P56+O57</f>
        <v>102177582.6552681</v>
      </c>
      <c r="Q57" s="3">
        <f t="shared" ref="Q57" si="910">Q56+P57</f>
        <v>110822884.24588306</v>
      </c>
      <c r="R57" s="3">
        <f t="shared" ref="R57" si="911">R56+Q57</f>
        <v>119497003.50846674</v>
      </c>
      <c r="S57" s="3">
        <f t="shared" ref="S57" si="912">S56+R57</f>
        <v>128200036.50192569</v>
      </c>
      <c r="T57" s="3">
        <f t="shared" ref="T57" si="913">T56+S57</f>
        <v>136932079.60536283</v>
      </c>
      <c r="U57" s="3">
        <f t="shared" ref="U57" si="914">U56+T57</f>
        <v>145693229.51914477</v>
      </c>
      <c r="V57" s="3">
        <f t="shared" ref="V57" si="915">V56+U57</f>
        <v>154483583.26597264</v>
      </c>
      <c r="W57" s="3">
        <f t="shared" ref="W57" si="916">W56+V57</f>
        <v>163303238.19195661</v>
      </c>
      <c r="X57" s="3">
        <f t="shared" ref="X57" si="917">X56+W57</f>
        <v>172152291.96769387</v>
      </c>
      <c r="Y57" s="3">
        <f t="shared" ref="Y57" si="918">Y56+X57</f>
        <v>181030842.58935025</v>
      </c>
      <c r="Z57" s="3">
        <f t="shared" ref="Z57" si="919">Z56+Y57</f>
        <v>189938988.37974548</v>
      </c>
      <c r="AA57" s="3">
        <f t="shared" ref="AA57" si="920">AA56+Z57</f>
        <v>198876827.98944205</v>
      </c>
      <c r="AB57" s="3">
        <f t="shared" ref="AB57" si="921">AB56+AA57</f>
        <v>207844460.39783758</v>
      </c>
      <c r="AC57" s="3">
        <f t="shared" ref="AC57" si="922">AC56+AB57</f>
        <v>216841984.9142611</v>
      </c>
      <c r="AD57" s="3">
        <f t="shared" ref="AD57" si="923">AD56+AC57</f>
        <v>225869501.17907271</v>
      </c>
      <c r="AE57" s="3">
        <f t="shared" ref="AE57" si="924">AE56+AD57</f>
        <v>234927109.16476703</v>
      </c>
      <c r="AF57" s="3">
        <f t="shared" ref="AF57" si="925">AF56+AE57</f>
        <v>244014909.1770803</v>
      </c>
      <c r="AG57" s="3">
        <f t="shared" ref="AG57" si="926">AG56+AF57</f>
        <v>253133001.8561013</v>
      </c>
      <c r="AH57" s="3">
        <f t="shared" ref="AH57" si="927">AH56+AG57</f>
        <v>262281488.17738572</v>
      </c>
      <c r="AI57" s="3">
        <f t="shared" ref="AI57" si="928">AI56+AH57</f>
        <v>271460469.4530744</v>
      </c>
      <c r="AJ57" s="3">
        <f t="shared" ref="AJ57" si="929">AJ56+AI57</f>
        <v>280670047.33301538</v>
      </c>
      <c r="AK57" s="3">
        <f t="shared" ref="AK57" si="930">AK56+AJ57</f>
        <v>289910323.80588949</v>
      </c>
      <c r="AL57" s="3">
        <f t="shared" ref="AL57" si="931">AL56+AK57</f>
        <v>299181401.20033985</v>
      </c>
      <c r="AM57" s="3">
        <f t="shared" ref="AM57" si="932">AM56+AL57</f>
        <v>308483382.18610507</v>
      </c>
      <c r="AN57" s="3">
        <f t="shared" ref="AN57" si="933">AN56+AM57</f>
        <v>317816369.77515614</v>
      </c>
      <c r="AO57" s="3">
        <f t="shared" ref="AO57" si="934">AO56+AN57</f>
        <v>327180467.32283741</v>
      </c>
      <c r="AP57" s="3">
        <f t="shared" ref="AP57" si="935">AP56+AO57</f>
        <v>336575778.52901095</v>
      </c>
      <c r="AQ57" s="3">
        <f t="shared" ref="AQ57" si="936">AQ56+AP57</f>
        <v>346002407.43920505</v>
      </c>
      <c r="AR57" s="3">
        <f t="shared" ref="AR57" si="937">AR56+AQ57</f>
        <v>355460458.44576645</v>
      </c>
      <c r="AS57" s="3">
        <f t="shared" ref="AS57" si="938">AS56+AR57</f>
        <v>364950036.28901643</v>
      </c>
      <c r="AT57" s="3">
        <f t="shared" ref="AT57" si="939">AT56+AS57</f>
        <v>374471246.05841053</v>
      </c>
      <c r="AU57" s="3">
        <f t="shared" ref="AU57" si="940">AU56+AT57</f>
        <v>384024193.19370264</v>
      </c>
      <c r="AV57" s="3">
        <f t="shared" ref="AV57" si="941">AV56+AU57</f>
        <v>393608983.48611236</v>
      </c>
      <c r="AW57" s="3">
        <f t="shared" ref="AW57" si="942">AW56+AV57</f>
        <v>403225723.0794968</v>
      </c>
      <c r="AX57" s="3">
        <f t="shared" ref="AX57" si="943">AX56+AW57</f>
        <v>412874518.47152585</v>
      </c>
      <c r="AY57" s="3">
        <f t="shared" ref="AY57" si="944">AY56+AX57</f>
        <v>422555476.51486164</v>
      </c>
      <c r="AZ57" s="3">
        <f t="shared" ref="AZ57" si="945">AZ56+AY57</f>
        <v>432268704.41834193</v>
      </c>
      <c r="BA57" s="3">
        <f t="shared" ref="BA57" si="946">BA56+AZ57</f>
        <v>442014309.74816716</v>
      </c>
      <c r="BB57" s="3">
        <f t="shared" ref="BB57" si="947">BB56+BA57</f>
        <v>451792400.42909181</v>
      </c>
      <c r="BC57" s="3">
        <f t="shared" ref="BC57" si="948">BC56+BB57</f>
        <v>461603084.74561954</v>
      </c>
      <c r="BD57" s="3">
        <f t="shared" ref="BD57" si="949">BD56+BC57</f>
        <v>471446471.34320235</v>
      </c>
      <c r="BE57" s="3">
        <f t="shared" ref="BE57" si="950">BE56+BD57</f>
        <v>481322669.22944379</v>
      </c>
      <c r="BF57" s="3">
        <f t="shared" ref="BF57" si="951">BF56+BE57</f>
        <v>491231787.77530599</v>
      </c>
      <c r="BG57" s="3">
        <f t="shared" ref="BG57" si="952">BG56+BF57</f>
        <v>501173936.71632105</v>
      </c>
      <c r="BH57" s="3">
        <f t="shared" ref="BH57" si="953">BH56+BG57</f>
        <v>511149226.15380621</v>
      </c>
      <c r="BI57" s="3">
        <f t="shared" ref="BI57" si="954">BI56+BH57</f>
        <v>521157766.55608296</v>
      </c>
      <c r="BJ57" s="3">
        <f t="shared" ref="BJ57" si="955">BJ56+BI57</f>
        <v>531199668.75970066</v>
      </c>
      <c r="BK57" s="3">
        <f t="shared" ref="BK57" si="956">BK56+BJ57</f>
        <v>541275043.97066379</v>
      </c>
      <c r="BL57" s="3">
        <f t="shared" ref="BL57" si="957">BL56+BK57</f>
        <v>551384003.76566339</v>
      </c>
      <c r="BM57" s="3">
        <f t="shared" ref="BM57" si="958">BM56+BL57</f>
        <v>561526660.09331298</v>
      </c>
      <c r="BN57" s="3">
        <f t="shared" ref="BN57" si="959">BN56+BM57</f>
        <v>571703125.27538812</v>
      </c>
      <c r="BO57" s="3">
        <f t="shared" ref="BO57" si="960">BO56+BN57</f>
        <v>581913512.00807011</v>
      </c>
      <c r="BP57" s="3">
        <f t="shared" ref="BP57" si="961">BP56+BO57</f>
        <v>592157933.36319447</v>
      </c>
      <c r="BQ57" s="3">
        <f t="shared" ref="BQ57" si="962">BQ56+BP57</f>
        <v>602436502.7895025</v>
      </c>
      <c r="BR57" s="3">
        <f t="shared" ref="BR57" si="963">BR56+BQ57</f>
        <v>612749334.11389828</v>
      </c>
      <c r="BS57" s="3">
        <f t="shared" ref="BS57" si="964">BS56+BR57</f>
        <v>623096541.54270864</v>
      </c>
      <c r="BT57" s="3">
        <f t="shared" ref="BT57" si="965">BT56+BS57</f>
        <v>633478239.66294837</v>
      </c>
      <c r="BU57" s="3">
        <f t="shared" ref="BU57" si="966">BU56+BT57</f>
        <v>643894543.44358897</v>
      </c>
      <c r="BV57" s="3">
        <f t="shared" ref="BV57" si="967">BV56+BU57</f>
        <v>654345568.23683167</v>
      </c>
      <c r="BW57" s="3">
        <f t="shared" ref="BW57" si="968">BW56+BV57</f>
        <v>664831429.77938521</v>
      </c>
      <c r="BX57" s="3">
        <f t="shared" ref="BX57" si="969">BX56+BW57</f>
        <v>675352244.19374728</v>
      </c>
      <c r="BY57" s="3">
        <f t="shared" ref="BY57" si="970">BY56+BX57</f>
        <v>685908127.98949051</v>
      </c>
      <c r="BZ57" s="3">
        <f t="shared" ref="BZ57" si="971">BZ56+BY57</f>
        <v>696499198.0645529</v>
      </c>
      <c r="CA57" s="3">
        <f t="shared" ref="CA57" si="972">CA56+BZ57</f>
        <v>707125571.70653212</v>
      </c>
      <c r="CB57" s="3">
        <f t="shared" ref="CB57" si="973">CB56+CA57</f>
        <v>717787366.5939846</v>
      </c>
      <c r="CC57" s="3">
        <f t="shared" ref="CC57" si="974">CC56+CB57</f>
        <v>728484700.79772866</v>
      </c>
      <c r="CD57" s="3">
        <f t="shared" ref="CD57" si="975">CD56+CC57</f>
        <v>739217692.78215182</v>
      </c>
      <c r="CE57" s="3">
        <f t="shared" ref="CE57" si="976">CE56+CD57</f>
        <v>749986461.40652311</v>
      </c>
      <c r="CF57" s="3">
        <f t="shared" ref="CF57" si="977">CF56+CE57</f>
        <v>760791125.92630887</v>
      </c>
      <c r="CG57" s="3">
        <f t="shared" ref="CG57" si="978">CG56+CF57</f>
        <v>771631805.99449396</v>
      </c>
      <c r="CH57" s="3">
        <f t="shared" ref="CH57" si="979">CH56+CG57</f>
        <v>782508621.66290629</v>
      </c>
      <c r="CI57" s="3">
        <f t="shared" ref="CI57" si="980">CI56+CH57</f>
        <v>793421693.38354671</v>
      </c>
      <c r="CJ57" s="3">
        <f t="shared" ref="CJ57" si="981">CJ56+CI57</f>
        <v>804371142.00992262</v>
      </c>
      <c r="CK57" s="3">
        <f t="shared" ref="CK57" si="982">CK56+CJ57</f>
        <v>815357088.79838645</v>
      </c>
      <c r="CL57" s="3">
        <f t="shared" ref="CL57" si="983">CL56+CK57</f>
        <v>826379655.40947843</v>
      </c>
      <c r="CM57" s="3">
        <f t="shared" ref="CM57" si="984">CM56+CL57</f>
        <v>837438963.9092741</v>
      </c>
      <c r="CN57" s="3">
        <f t="shared" ref="CN57" si="985">CN56+CM57</f>
        <v>848535136.77073574</v>
      </c>
      <c r="CO57" s="3">
        <f t="shared" ref="CO57" si="986">CO56+CN57</f>
        <v>859668296.8750689</v>
      </c>
      <c r="CP57" s="3">
        <f t="shared" ref="CP57" si="987">CP56+CO57</f>
        <v>870838567.51308322</v>
      </c>
      <c r="CQ57" s="3">
        <f t="shared" ref="CQ57" si="988">CQ56+CP57</f>
        <v>882046072.38655758</v>
      </c>
      <c r="CR57" s="3">
        <f t="shared" ref="CR57" si="989">CR56+CQ57</f>
        <v>893290935.6096102</v>
      </c>
      <c r="CS57" s="3">
        <f t="shared" ref="CS57" si="990">CS56+CR57</f>
        <v>904573281.71007299</v>
      </c>
      <c r="CT57" s="3">
        <f t="shared" ref="CT57" si="991">CT56+CS57</f>
        <v>915893235.63087058</v>
      </c>
      <c r="CU57" s="3">
        <f t="shared" ref="CU57" si="992">CU56+CT57</f>
        <v>927250922.73140419</v>
      </c>
      <c r="CV57" s="3">
        <f t="shared" ref="CV57" si="993">CV56+CU57</f>
        <v>938646468.7889396</v>
      </c>
      <c r="CW57" s="3">
        <f t="shared" ref="CW57" si="994">CW56+CV57</f>
        <v>950080000.00000012</v>
      </c>
    </row>
    <row r="58" spans="1:101" x14ac:dyDescent="0.2">
      <c r="A58" s="2" t="s">
        <v>8</v>
      </c>
      <c r="B58" s="160">
        <f>B54+B56</f>
        <v>0</v>
      </c>
      <c r="C58" s="160">
        <f t="shared" ref="C58:E58" si="995">C54+C56</f>
        <v>0</v>
      </c>
      <c r="D58" s="160">
        <f t="shared" si="995"/>
        <v>4248968.8888888899</v>
      </c>
      <c r="E58" s="160">
        <f t="shared" si="995"/>
        <v>9606364.444444444</v>
      </c>
      <c r="F58" s="160">
        <f>F54+F56</f>
        <v>9606364.444444444</v>
      </c>
      <c r="G58" s="160">
        <f t="shared" ref="G58:L58" si="996">G54+G56</f>
        <v>9606364.444444444</v>
      </c>
      <c r="H58" s="160">
        <f t="shared" si="996"/>
        <v>9606364.444444444</v>
      </c>
      <c r="I58" s="160">
        <f t="shared" si="996"/>
        <v>9606364.444444444</v>
      </c>
      <c r="J58" s="160">
        <f t="shared" si="996"/>
        <v>39613057.777777776</v>
      </c>
      <c r="K58" s="160">
        <f t="shared" si="996"/>
        <v>38996165.555555552</v>
      </c>
      <c r="L58" s="15">
        <f t="shared" si="996"/>
        <v>11570609.648430733</v>
      </c>
      <c r="M58" s="15">
        <f>M54+M56</f>
        <v>11373621.053206487</v>
      </c>
      <c r="N58" s="15">
        <f>N54+N56</f>
        <v>11568717.023085533</v>
      </c>
      <c r="O58" s="15">
        <f t="shared" ref="O58:AO58" si="997">O54+O56</f>
        <v>11567765.976225298</v>
      </c>
      <c r="P58" s="15">
        <f t="shared" si="997"/>
        <v>11376474.204319272</v>
      </c>
      <c r="Q58" s="15">
        <f t="shared" si="997"/>
        <v>11660065.741174007</v>
      </c>
      <c r="R58" s="15">
        <f t="shared" si="997"/>
        <v>11471642.981764067</v>
      </c>
      <c r="S58" s="15">
        <f t="shared" si="997"/>
        <v>11379355.982153896</v>
      </c>
      <c r="T58" s="15">
        <f t="shared" si="997"/>
        <v>11745602.969596758</v>
      </c>
      <c r="U58" s="15">
        <f t="shared" si="997"/>
        <v>11471642.981764069</v>
      </c>
      <c r="V58" s="15">
        <f t="shared" si="997"/>
        <v>11561019.289595272</v>
      </c>
      <c r="W58" s="15">
        <f t="shared" si="997"/>
        <v>11471642.981764067</v>
      </c>
      <c r="X58" s="15">
        <f t="shared" si="997"/>
        <v>11559062.621964961</v>
      </c>
      <c r="Y58" s="15">
        <f t="shared" si="997"/>
        <v>11558079.393767657</v>
      </c>
      <c r="Z58" s="15">
        <f t="shared" si="997"/>
        <v>11300743.169006146</v>
      </c>
      <c r="AA58" s="15">
        <f t="shared" si="997"/>
        <v>11556103.094166316</v>
      </c>
      <c r="AB58" s="15">
        <f t="shared" si="997"/>
        <v>11471642.981764067</v>
      </c>
      <c r="AC58" s="15">
        <f t="shared" si="997"/>
        <v>11554113.597275419</v>
      </c>
      <c r="AD58" s="15">
        <f t="shared" si="997"/>
        <v>11471642.981764067</v>
      </c>
      <c r="AE58" s="15">
        <f t="shared" si="997"/>
        <v>11552110.814966392</v>
      </c>
      <c r="AF58" s="15">
        <f t="shared" si="997"/>
        <v>11551104.414079092</v>
      </c>
      <c r="AG58" s="15">
        <f t="shared" si="997"/>
        <v>11471642.981764067</v>
      </c>
      <c r="AH58" s="15">
        <f t="shared" si="997"/>
        <v>11549081.537113389</v>
      </c>
      <c r="AI58" s="15">
        <f t="shared" si="997"/>
        <v>11471642.981764067</v>
      </c>
      <c r="AJ58" s="15">
        <f t="shared" si="997"/>
        <v>11547045.151824838</v>
      </c>
      <c r="AK58" s="15">
        <f t="shared" si="997"/>
        <v>11546021.865393734</v>
      </c>
      <c r="AL58" s="15">
        <f t="shared" si="997"/>
        <v>11324938.609276488</v>
      </c>
      <c r="AM58" s="15">
        <f t="shared" si="997"/>
        <v>11543965.048297364</v>
      </c>
      <c r="AN58" s="15">
        <f t="shared" si="997"/>
        <v>11471642.981764067</v>
      </c>
      <c r="AO58" s="15">
        <f t="shared" si="997"/>
        <v>11541894.496233495</v>
      </c>
      <c r="AP58" s="15">
        <f t="shared" ref="AP58:CW58" si="998">AP54+AP56</f>
        <v>11471642.981764067</v>
      </c>
      <c r="AQ58" s="15">
        <f t="shared" si="998"/>
        <v>11539810.117483066</v>
      </c>
      <c r="AR58" s="15">
        <f t="shared" si="998"/>
        <v>11538762.714270823</v>
      </c>
      <c r="AS58" s="15">
        <f t="shared" si="998"/>
        <v>11471642.981764067</v>
      </c>
      <c r="AT58" s="15">
        <f t="shared" si="998"/>
        <v>11536657.422176398</v>
      </c>
      <c r="AU58" s="15">
        <f t="shared" si="998"/>
        <v>11471642.981764067</v>
      </c>
      <c r="AV58" s="15">
        <f t="shared" si="998"/>
        <v>11534538.071409212</v>
      </c>
      <c r="AW58" s="15">
        <f t="shared" si="998"/>
        <v>11533473.094710054</v>
      </c>
      <c r="AX58" s="15">
        <f t="shared" si="998"/>
        <v>11350119.809115065</v>
      </c>
      <c r="AY58" s="15">
        <f t="shared" si="998"/>
        <v>11531332.479711674</v>
      </c>
      <c r="AZ58" s="15">
        <f t="shared" si="998"/>
        <v>11471642.981764067</v>
      </c>
      <c r="BA58" s="15">
        <f t="shared" si="998"/>
        <v>11529177.57016203</v>
      </c>
      <c r="BB58" s="15">
        <f t="shared" si="998"/>
        <v>11471642.981764067</v>
      </c>
      <c r="BC58" s="15">
        <f t="shared" si="998"/>
        <v>11527008.270605279</v>
      </c>
      <c r="BD58" s="15">
        <f t="shared" si="998"/>
        <v>11525918.194570109</v>
      </c>
      <c r="BE58" s="15">
        <f t="shared" si="998"/>
        <v>11471642.981764067</v>
      </c>
      <c r="BF58" s="15">
        <f t="shared" si="998"/>
        <v>11523727.129627462</v>
      </c>
      <c r="BG58" s="15">
        <f t="shared" si="998"/>
        <v>11471642.981764069</v>
      </c>
      <c r="BH58" s="15">
        <f t="shared" si="998"/>
        <v>11521521.433240032</v>
      </c>
      <c r="BI58" s="15">
        <f t="shared" si="998"/>
        <v>11520413.067746976</v>
      </c>
      <c r="BJ58" s="15">
        <f t="shared" si="998"/>
        <v>11423984.955825854</v>
      </c>
      <c r="BK58" s="15">
        <f t="shared" si="998"/>
        <v>11518185.240790768</v>
      </c>
      <c r="BL58" s="15">
        <f t="shared" si="998"/>
        <v>11471642.981764067</v>
      </c>
      <c r="BM58" s="15">
        <f t="shared" si="998"/>
        <v>11515942.536901215</v>
      </c>
      <c r="BN58" s="15">
        <f t="shared" si="998"/>
        <v>11471642.981764067</v>
      </c>
      <c r="BO58" s="15">
        <f t="shared" si="998"/>
        <v>11513684.856733467</v>
      </c>
      <c r="BP58" s="15">
        <f t="shared" si="998"/>
        <v>11512550.369318726</v>
      </c>
      <c r="BQ58" s="15">
        <f t="shared" si="998"/>
        <v>11471642.981764067</v>
      </c>
      <c r="BR58" s="15">
        <f t="shared" si="998"/>
        <v>11510270.037009679</v>
      </c>
      <c r="BS58" s="15">
        <f t="shared" si="998"/>
        <v>11471642.981764067</v>
      </c>
      <c r="BT58" s="15">
        <f t="shared" si="998"/>
        <v>11507974.477148211</v>
      </c>
      <c r="BU58" s="15">
        <f t="shared" si="998"/>
        <v>11506820.95513485</v>
      </c>
      <c r="BV58" s="15">
        <f t="shared" si="998"/>
        <v>11403601.769195976</v>
      </c>
      <c r="BW58" s="15">
        <f t="shared" si="998"/>
        <v>11504502.363071088</v>
      </c>
      <c r="BX58" s="15">
        <f t="shared" si="998"/>
        <v>11471642.981764067</v>
      </c>
      <c r="BY58" s="15">
        <f t="shared" si="998"/>
        <v>11502168.287964763</v>
      </c>
      <c r="BZ58" s="15">
        <f t="shared" si="998"/>
        <v>11471642.981764069</v>
      </c>
      <c r="CA58" s="15">
        <f t="shared" si="998"/>
        <v>11499818.626423562</v>
      </c>
      <c r="CB58" s="15">
        <f t="shared" si="998"/>
        <v>11498637.918241119</v>
      </c>
      <c r="CC58" s="15">
        <f t="shared" si="998"/>
        <v>11471642.981764069</v>
      </c>
      <c r="CD58" s="15">
        <f t="shared" si="998"/>
        <v>11496264.68167543</v>
      </c>
      <c r="CE58" s="15">
        <f t="shared" si="998"/>
        <v>11471642.981764067</v>
      </c>
      <c r="CF58" s="15">
        <f t="shared" si="998"/>
        <v>11493875.597163342</v>
      </c>
      <c r="CG58" s="15">
        <f t="shared" si="998"/>
        <v>11492675.078883367</v>
      </c>
      <c r="CH58" s="15">
        <f t="shared" si="998"/>
        <v>11431987.827540623</v>
      </c>
      <c r="CI58" s="15">
        <f t="shared" si="998"/>
        <v>11490262.023801522</v>
      </c>
      <c r="CJ58" s="15">
        <f t="shared" si="998"/>
        <v>11471642.981764069</v>
      </c>
      <c r="CK58" s="15">
        <f t="shared" si="998"/>
        <v>11487832.854874076</v>
      </c>
      <c r="CL58" s="15">
        <f t="shared" si="998"/>
        <v>11471642.981764067</v>
      </c>
      <c r="CM58" s="15">
        <f t="shared" si="998"/>
        <v>11485387.464496348</v>
      </c>
      <c r="CN58" s="15">
        <f t="shared" si="998"/>
        <v>11484158.652440814</v>
      </c>
      <c r="CO58" s="15">
        <f t="shared" si="998"/>
        <v>11471642.981764067</v>
      </c>
      <c r="CP58" s="15">
        <f t="shared" si="998"/>
        <v>11481688.726555726</v>
      </c>
      <c r="CQ58" s="15">
        <f t="shared" si="998"/>
        <v>11471642.981764067</v>
      </c>
      <c r="CR58" s="15">
        <f t="shared" si="998"/>
        <v>11479202.307054449</v>
      </c>
      <c r="CS58" s="15">
        <f t="shared" si="998"/>
        <v>11477952.877807442</v>
      </c>
      <c r="CT58" s="15">
        <f t="shared" si="998"/>
        <v>11461530.37769964</v>
      </c>
      <c r="CU58" s="15">
        <f t="shared" si="998"/>
        <v>11475441.511138417</v>
      </c>
      <c r="CV58" s="15">
        <f t="shared" si="998"/>
        <v>11471642.981764069</v>
      </c>
      <c r="CW58" s="15">
        <f t="shared" si="998"/>
        <v>11472913.374120852</v>
      </c>
    </row>
    <row r="59" spans="1:101" ht="13.5" thickBot="1" x14ac:dyDescent="0.25">
      <c r="A59" s="5" t="s">
        <v>9</v>
      </c>
      <c r="B59" s="161">
        <f t="shared" ref="B59:R59" si="999">B53-B56</f>
        <v>0</v>
      </c>
      <c r="C59" s="161">
        <f t="shared" si="999"/>
        <v>0</v>
      </c>
      <c r="D59" s="161">
        <f t="shared" si="999"/>
        <v>950080000</v>
      </c>
      <c r="E59" s="161">
        <f t="shared" si="999"/>
        <v>950080000</v>
      </c>
      <c r="F59" s="161">
        <f t="shared" si="999"/>
        <v>950080000</v>
      </c>
      <c r="G59" s="161">
        <f t="shared" si="999"/>
        <v>950080000</v>
      </c>
      <c r="H59" s="161">
        <f t="shared" si="999"/>
        <v>950080000</v>
      </c>
      <c r="I59" s="161">
        <f t="shared" si="999"/>
        <v>950080000</v>
      </c>
      <c r="J59" s="161">
        <f t="shared" si="999"/>
        <v>920390000</v>
      </c>
      <c r="K59" s="161">
        <f t="shared" si="999"/>
        <v>890700000</v>
      </c>
      <c r="L59" s="16">
        <f t="shared" si="999"/>
        <v>882197357.01823592</v>
      </c>
      <c r="M59" s="16">
        <f t="shared" si="999"/>
        <v>873666371.89319932</v>
      </c>
      <c r="N59" s="16">
        <f t="shared" si="999"/>
        <v>865106950.1510793</v>
      </c>
      <c r="O59" s="16">
        <f t="shared" si="999"/>
        <v>856518997.00315213</v>
      </c>
      <c r="P59" s="16">
        <f t="shared" si="999"/>
        <v>847902417.34473193</v>
      </c>
      <c r="Q59" s="16">
        <f t="shared" si="999"/>
        <v>839257115.75411701</v>
      </c>
      <c r="R59" s="16">
        <f t="shared" si="999"/>
        <v>830582996.49153328</v>
      </c>
      <c r="S59" s="16">
        <f>S53-S56</f>
        <v>821879963.49807429</v>
      </c>
      <c r="T59" s="16">
        <f t="shared" ref="T59:AO59" si="1000">T53-T56</f>
        <v>813147920.39463711</v>
      </c>
      <c r="U59" s="16">
        <f t="shared" si="1000"/>
        <v>804386770.48085511</v>
      </c>
      <c r="V59" s="16">
        <f t="shared" si="1000"/>
        <v>795596416.73402727</v>
      </c>
      <c r="W59" s="16">
        <f t="shared" si="1000"/>
        <v>786776761.80804324</v>
      </c>
      <c r="X59" s="16">
        <f t="shared" si="1000"/>
        <v>777927708.03230596</v>
      </c>
      <c r="Y59" s="16">
        <f t="shared" si="1000"/>
        <v>769049157.41064954</v>
      </c>
      <c r="Z59" s="16">
        <f t="shared" si="1000"/>
        <v>760141011.62025428</v>
      </c>
      <c r="AA59" s="16">
        <f t="shared" si="1000"/>
        <v>751203172.01055777</v>
      </c>
      <c r="AB59" s="16">
        <f t="shared" si="1000"/>
        <v>742235539.60216224</v>
      </c>
      <c r="AC59" s="16">
        <f t="shared" si="1000"/>
        <v>733238015.08573866</v>
      </c>
      <c r="AD59" s="16">
        <f t="shared" si="1000"/>
        <v>724210498.82092702</v>
      </c>
      <c r="AE59" s="16">
        <f t="shared" si="1000"/>
        <v>715152890.83523273</v>
      </c>
      <c r="AF59" s="16">
        <f t="shared" si="1000"/>
        <v>706065090.82291949</v>
      </c>
      <c r="AG59" s="16">
        <f t="shared" si="1000"/>
        <v>696946998.14389849</v>
      </c>
      <c r="AH59" s="16">
        <f t="shared" si="1000"/>
        <v>687798511.82261407</v>
      </c>
      <c r="AI59" s="16">
        <f t="shared" si="1000"/>
        <v>678619530.54692543</v>
      </c>
      <c r="AJ59" s="16">
        <f t="shared" si="1000"/>
        <v>669409952.66698444</v>
      </c>
      <c r="AK59" s="16">
        <f t="shared" si="1000"/>
        <v>660169676.19411027</v>
      </c>
      <c r="AL59" s="16">
        <f t="shared" si="1000"/>
        <v>650898598.79965997</v>
      </c>
      <c r="AM59" s="16">
        <f t="shared" si="1000"/>
        <v>641596617.81389475</v>
      </c>
      <c r="AN59" s="16">
        <f t="shared" si="1000"/>
        <v>632263630.22484362</v>
      </c>
      <c r="AO59" s="16">
        <f t="shared" si="1000"/>
        <v>622899532.67716241</v>
      </c>
      <c r="AP59" s="16">
        <f t="shared" ref="AP59:CW59" si="1001">AP53-AP56</f>
        <v>613504221.47098887</v>
      </c>
      <c r="AQ59" s="16">
        <f t="shared" si="1001"/>
        <v>604077592.56079471</v>
      </c>
      <c r="AR59" s="16">
        <f t="shared" si="1001"/>
        <v>594619541.55423331</v>
      </c>
      <c r="AS59" s="16">
        <f t="shared" si="1001"/>
        <v>585129963.7109834</v>
      </c>
      <c r="AT59" s="16">
        <f t="shared" si="1001"/>
        <v>575608753.94158924</v>
      </c>
      <c r="AU59" s="16">
        <f t="shared" si="1001"/>
        <v>566055806.80629718</v>
      </c>
      <c r="AV59" s="16">
        <f t="shared" si="1001"/>
        <v>556471016.51388741</v>
      </c>
      <c r="AW59" s="16">
        <f t="shared" si="1001"/>
        <v>546854276.92050302</v>
      </c>
      <c r="AX59" s="16">
        <f t="shared" si="1001"/>
        <v>537205481.52847397</v>
      </c>
      <c r="AY59" s="16">
        <f t="shared" si="1001"/>
        <v>527524523.48513818</v>
      </c>
      <c r="AZ59" s="16">
        <f t="shared" si="1001"/>
        <v>517811295.58165789</v>
      </c>
      <c r="BA59" s="16">
        <f t="shared" si="1001"/>
        <v>508065690.25183266</v>
      </c>
      <c r="BB59" s="16">
        <f t="shared" si="1001"/>
        <v>498287599.57090807</v>
      </c>
      <c r="BC59" s="16">
        <f t="shared" si="1001"/>
        <v>488476915.25438035</v>
      </c>
      <c r="BD59" s="16">
        <f t="shared" si="1001"/>
        <v>478633528.65679753</v>
      </c>
      <c r="BE59" s="16">
        <f t="shared" si="1001"/>
        <v>468757330.77055609</v>
      </c>
      <c r="BF59" s="16">
        <f t="shared" si="1001"/>
        <v>458848212.22469389</v>
      </c>
      <c r="BG59" s="16">
        <f t="shared" si="1001"/>
        <v>448906063.28367883</v>
      </c>
      <c r="BH59" s="16">
        <f t="shared" si="1001"/>
        <v>438930773.84619367</v>
      </c>
      <c r="BI59" s="16">
        <f t="shared" si="1001"/>
        <v>428922233.44391692</v>
      </c>
      <c r="BJ59" s="16">
        <f t="shared" si="1001"/>
        <v>418880331.24029922</v>
      </c>
      <c r="BK59" s="16">
        <f t="shared" si="1001"/>
        <v>408804956.02933615</v>
      </c>
      <c r="BL59" s="16">
        <f t="shared" si="1001"/>
        <v>398695996.23433656</v>
      </c>
      <c r="BM59" s="16">
        <f t="shared" si="1001"/>
        <v>388553339.90668696</v>
      </c>
      <c r="BN59" s="16">
        <f t="shared" si="1001"/>
        <v>378376874.72461188</v>
      </c>
      <c r="BO59" s="16">
        <f t="shared" si="1001"/>
        <v>368166487.99192983</v>
      </c>
      <c r="BP59" s="16">
        <f t="shared" si="1001"/>
        <v>357922066.63680553</v>
      </c>
      <c r="BQ59" s="16">
        <f t="shared" si="1001"/>
        <v>347643497.2104975</v>
      </c>
      <c r="BR59" s="16">
        <f t="shared" si="1001"/>
        <v>337330665.88610178</v>
      </c>
      <c r="BS59" s="16">
        <f t="shared" si="1001"/>
        <v>326983458.45729136</v>
      </c>
      <c r="BT59" s="16">
        <f t="shared" si="1001"/>
        <v>316601760.33705163</v>
      </c>
      <c r="BU59" s="16">
        <f t="shared" si="1001"/>
        <v>306185456.55641109</v>
      </c>
      <c r="BV59" s="16">
        <f t="shared" si="1001"/>
        <v>295734431.76316839</v>
      </c>
      <c r="BW59" s="16">
        <f t="shared" si="1001"/>
        <v>285248570.22061491</v>
      </c>
      <c r="BX59" s="16">
        <f t="shared" si="1001"/>
        <v>274727755.8062529</v>
      </c>
      <c r="BY59" s="16">
        <f t="shared" si="1001"/>
        <v>264171872.01050967</v>
      </c>
      <c r="BZ59" s="16">
        <f t="shared" si="1001"/>
        <v>253580801.93544731</v>
      </c>
      <c r="CA59" s="16">
        <f t="shared" si="1001"/>
        <v>242954428.29346806</v>
      </c>
      <c r="CB59" s="16">
        <f t="shared" si="1001"/>
        <v>232292633.40601555</v>
      </c>
      <c r="CC59" s="16">
        <f t="shared" si="1001"/>
        <v>221595299.20227152</v>
      </c>
      <c r="CD59" s="16">
        <f t="shared" si="1001"/>
        <v>210862307.21784836</v>
      </c>
      <c r="CE59" s="16">
        <f t="shared" si="1001"/>
        <v>200093538.59347713</v>
      </c>
      <c r="CF59" s="16">
        <f t="shared" si="1001"/>
        <v>189288874.07369131</v>
      </c>
      <c r="CG59" s="16">
        <f t="shared" si="1001"/>
        <v>178448194.00550622</v>
      </c>
      <c r="CH59" s="16">
        <f t="shared" si="1001"/>
        <v>167571378.33709383</v>
      </c>
      <c r="CI59" s="16">
        <f t="shared" si="1001"/>
        <v>156658306.61645341</v>
      </c>
      <c r="CJ59" s="16">
        <f t="shared" si="1001"/>
        <v>145708857.99007753</v>
      </c>
      <c r="CK59" s="16">
        <f t="shared" si="1001"/>
        <v>134722911.20161372</v>
      </c>
      <c r="CL59" s="16">
        <f t="shared" si="1001"/>
        <v>123700344.59052171</v>
      </c>
      <c r="CM59" s="16">
        <f t="shared" si="1001"/>
        <v>112641036.09072605</v>
      </c>
      <c r="CN59" s="16">
        <f t="shared" si="1001"/>
        <v>101544863.22926441</v>
      </c>
      <c r="CO59" s="16">
        <f t="shared" si="1001"/>
        <v>90411703.124931216</v>
      </c>
      <c r="CP59" s="16">
        <f t="shared" si="1001"/>
        <v>79241432.486916915</v>
      </c>
      <c r="CQ59" s="16">
        <f t="shared" si="1001"/>
        <v>68033927.61344257</v>
      </c>
      <c r="CR59" s="16">
        <f t="shared" si="1001"/>
        <v>56789064.390389979</v>
      </c>
      <c r="CS59" s="16">
        <f t="shared" si="1001"/>
        <v>45506718.289927214</v>
      </c>
      <c r="CT59" s="16">
        <f t="shared" si="1001"/>
        <v>34186764.369129568</v>
      </c>
      <c r="CU59" s="16">
        <f t="shared" si="1001"/>
        <v>22829077.268595934</v>
      </c>
      <c r="CV59" s="16">
        <f t="shared" si="1001"/>
        <v>11433531.211060518</v>
      </c>
      <c r="CW59" s="16">
        <f t="shared" si="1001"/>
        <v>-1.4901161193847656E-8</v>
      </c>
    </row>
    <row r="60" spans="1:101" x14ac:dyDescent="0.2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</row>
    <row r="61" spans="1:101" ht="18.75" x14ac:dyDescent="0.3">
      <c r="A61" s="143" t="s">
        <v>82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</row>
    <row r="62" spans="1:101" x14ac:dyDescent="0.2">
      <c r="A62" s="151" t="s">
        <v>58</v>
      </c>
      <c r="B62" s="110">
        <f>B49</f>
        <v>42992</v>
      </c>
      <c r="C62" s="110">
        <f t="shared" ref="C62:AO62" si="1002">C49</f>
        <v>43083</v>
      </c>
      <c r="D62" s="110">
        <f t="shared" si="1002"/>
        <v>43174</v>
      </c>
      <c r="E62" s="110">
        <f t="shared" si="1002"/>
        <v>43265</v>
      </c>
      <c r="F62" s="110">
        <f t="shared" si="1002"/>
        <v>43356</v>
      </c>
      <c r="G62" s="110">
        <f t="shared" si="1002"/>
        <v>43447</v>
      </c>
      <c r="H62" s="110">
        <f t="shared" si="1002"/>
        <v>43538</v>
      </c>
      <c r="I62" s="110">
        <f t="shared" si="1002"/>
        <v>43629</v>
      </c>
      <c r="J62" s="110">
        <f t="shared" si="1002"/>
        <v>43723</v>
      </c>
      <c r="K62" s="110">
        <f t="shared" si="1002"/>
        <v>43814</v>
      </c>
      <c r="L62" s="110">
        <f t="shared" si="1002"/>
        <v>43845</v>
      </c>
      <c r="M62" s="110">
        <f t="shared" si="1002"/>
        <v>43874</v>
      </c>
      <c r="N62" s="110">
        <f t="shared" si="1002"/>
        <v>43905</v>
      </c>
      <c r="O62" s="110">
        <f t="shared" si="1002"/>
        <v>43936</v>
      </c>
      <c r="P62" s="110">
        <f t="shared" si="1002"/>
        <v>43965</v>
      </c>
      <c r="Q62" s="110">
        <f t="shared" si="1002"/>
        <v>43997</v>
      </c>
      <c r="R62" s="110">
        <f t="shared" si="1002"/>
        <v>44027</v>
      </c>
      <c r="S62" s="110">
        <f t="shared" si="1002"/>
        <v>44056</v>
      </c>
      <c r="T62" s="110">
        <f t="shared" si="1002"/>
        <v>44089</v>
      </c>
      <c r="U62" s="110">
        <f t="shared" si="1002"/>
        <v>44119</v>
      </c>
      <c r="V62" s="110">
        <f t="shared" si="1002"/>
        <v>44150</v>
      </c>
      <c r="W62" s="110">
        <f t="shared" si="1002"/>
        <v>44180</v>
      </c>
      <c r="X62" s="110">
        <f t="shared" si="1002"/>
        <v>44211</v>
      </c>
      <c r="Y62" s="110">
        <f t="shared" si="1002"/>
        <v>44242</v>
      </c>
      <c r="Z62" s="110">
        <f t="shared" si="1002"/>
        <v>44270</v>
      </c>
      <c r="AA62" s="110">
        <f t="shared" si="1002"/>
        <v>44301</v>
      </c>
      <c r="AB62" s="110">
        <f t="shared" si="1002"/>
        <v>44331</v>
      </c>
      <c r="AC62" s="110">
        <f t="shared" si="1002"/>
        <v>44362</v>
      </c>
      <c r="AD62" s="110">
        <f t="shared" si="1002"/>
        <v>44392</v>
      </c>
      <c r="AE62" s="110">
        <f t="shared" si="1002"/>
        <v>44423</v>
      </c>
      <c r="AF62" s="110">
        <f t="shared" si="1002"/>
        <v>44454</v>
      </c>
      <c r="AG62" s="110">
        <f t="shared" si="1002"/>
        <v>44484</v>
      </c>
      <c r="AH62" s="110">
        <f t="shared" si="1002"/>
        <v>44515</v>
      </c>
      <c r="AI62" s="110">
        <f t="shared" si="1002"/>
        <v>44545</v>
      </c>
      <c r="AJ62" s="110">
        <f t="shared" si="1002"/>
        <v>44576</v>
      </c>
      <c r="AK62" s="110">
        <f t="shared" si="1002"/>
        <v>44607</v>
      </c>
      <c r="AL62" s="110">
        <f t="shared" si="1002"/>
        <v>44635</v>
      </c>
      <c r="AM62" s="110">
        <f t="shared" si="1002"/>
        <v>44666</v>
      </c>
      <c r="AN62" s="110">
        <f t="shared" si="1002"/>
        <v>44696</v>
      </c>
      <c r="AO62" s="110">
        <f t="shared" si="1002"/>
        <v>44727</v>
      </c>
      <c r="AP62" s="110">
        <f t="shared" ref="AP62:CW62" si="1003">AP49</f>
        <v>44757</v>
      </c>
      <c r="AQ62" s="110">
        <f t="shared" si="1003"/>
        <v>44788</v>
      </c>
      <c r="AR62" s="110">
        <f t="shared" si="1003"/>
        <v>44819</v>
      </c>
      <c r="AS62" s="110">
        <f t="shared" si="1003"/>
        <v>44849</v>
      </c>
      <c r="AT62" s="110">
        <f t="shared" si="1003"/>
        <v>44880</v>
      </c>
      <c r="AU62" s="110">
        <f t="shared" si="1003"/>
        <v>44910</v>
      </c>
      <c r="AV62" s="110">
        <f t="shared" si="1003"/>
        <v>44941</v>
      </c>
      <c r="AW62" s="110">
        <f t="shared" si="1003"/>
        <v>44972</v>
      </c>
      <c r="AX62" s="110">
        <f t="shared" si="1003"/>
        <v>45000</v>
      </c>
      <c r="AY62" s="110">
        <f t="shared" si="1003"/>
        <v>45031</v>
      </c>
      <c r="AZ62" s="110">
        <f t="shared" si="1003"/>
        <v>45061</v>
      </c>
      <c r="BA62" s="110">
        <f t="shared" si="1003"/>
        <v>45092</v>
      </c>
      <c r="BB62" s="110">
        <f t="shared" si="1003"/>
        <v>45122</v>
      </c>
      <c r="BC62" s="110">
        <f t="shared" si="1003"/>
        <v>45153</v>
      </c>
      <c r="BD62" s="110">
        <f t="shared" si="1003"/>
        <v>45184</v>
      </c>
      <c r="BE62" s="110">
        <f t="shared" si="1003"/>
        <v>45214</v>
      </c>
      <c r="BF62" s="110">
        <f t="shared" si="1003"/>
        <v>45245</v>
      </c>
      <c r="BG62" s="110">
        <f t="shared" si="1003"/>
        <v>45275</v>
      </c>
      <c r="BH62" s="110">
        <f t="shared" si="1003"/>
        <v>45306</v>
      </c>
      <c r="BI62" s="110">
        <f t="shared" si="1003"/>
        <v>45337</v>
      </c>
      <c r="BJ62" s="110">
        <f t="shared" si="1003"/>
        <v>45366</v>
      </c>
      <c r="BK62" s="110">
        <f t="shared" si="1003"/>
        <v>45397</v>
      </c>
      <c r="BL62" s="110">
        <f t="shared" si="1003"/>
        <v>45427</v>
      </c>
      <c r="BM62" s="110">
        <f t="shared" si="1003"/>
        <v>45458</v>
      </c>
      <c r="BN62" s="110">
        <f t="shared" si="1003"/>
        <v>45488</v>
      </c>
      <c r="BO62" s="110">
        <f t="shared" si="1003"/>
        <v>45519</v>
      </c>
      <c r="BP62" s="110">
        <f t="shared" si="1003"/>
        <v>45550</v>
      </c>
      <c r="BQ62" s="110">
        <f t="shared" si="1003"/>
        <v>45580</v>
      </c>
      <c r="BR62" s="110">
        <f t="shared" si="1003"/>
        <v>45611</v>
      </c>
      <c r="BS62" s="110">
        <f t="shared" si="1003"/>
        <v>45641</v>
      </c>
      <c r="BT62" s="110">
        <f t="shared" si="1003"/>
        <v>45672</v>
      </c>
      <c r="BU62" s="110">
        <f t="shared" si="1003"/>
        <v>45703</v>
      </c>
      <c r="BV62" s="110">
        <f t="shared" si="1003"/>
        <v>45731</v>
      </c>
      <c r="BW62" s="110">
        <f t="shared" si="1003"/>
        <v>45762</v>
      </c>
      <c r="BX62" s="110">
        <f t="shared" si="1003"/>
        <v>45792</v>
      </c>
      <c r="BY62" s="110">
        <f t="shared" si="1003"/>
        <v>45823</v>
      </c>
      <c r="BZ62" s="110">
        <f t="shared" si="1003"/>
        <v>45853</v>
      </c>
      <c r="CA62" s="110">
        <f t="shared" si="1003"/>
        <v>45884</v>
      </c>
      <c r="CB62" s="110">
        <f t="shared" si="1003"/>
        <v>45915</v>
      </c>
      <c r="CC62" s="110">
        <f t="shared" si="1003"/>
        <v>45945</v>
      </c>
      <c r="CD62" s="110">
        <f t="shared" si="1003"/>
        <v>45976</v>
      </c>
      <c r="CE62" s="110">
        <f t="shared" si="1003"/>
        <v>46006</v>
      </c>
      <c r="CF62" s="110">
        <f t="shared" si="1003"/>
        <v>46037</v>
      </c>
      <c r="CG62" s="110">
        <f t="shared" si="1003"/>
        <v>46068</v>
      </c>
      <c r="CH62" s="110">
        <f t="shared" si="1003"/>
        <v>46096</v>
      </c>
      <c r="CI62" s="110">
        <f t="shared" si="1003"/>
        <v>46127</v>
      </c>
      <c r="CJ62" s="110">
        <f t="shared" si="1003"/>
        <v>46157</v>
      </c>
      <c r="CK62" s="110">
        <f t="shared" si="1003"/>
        <v>46188</v>
      </c>
      <c r="CL62" s="110">
        <f t="shared" si="1003"/>
        <v>46218</v>
      </c>
      <c r="CM62" s="110">
        <f t="shared" si="1003"/>
        <v>46249</v>
      </c>
      <c r="CN62" s="110">
        <f t="shared" si="1003"/>
        <v>46280</v>
      </c>
      <c r="CO62" s="110">
        <f t="shared" si="1003"/>
        <v>46310</v>
      </c>
      <c r="CP62" s="110">
        <f t="shared" si="1003"/>
        <v>46341</v>
      </c>
      <c r="CQ62" s="110">
        <f t="shared" si="1003"/>
        <v>46371</v>
      </c>
      <c r="CR62" s="110">
        <f t="shared" si="1003"/>
        <v>46402</v>
      </c>
      <c r="CS62" s="110">
        <f t="shared" si="1003"/>
        <v>46433</v>
      </c>
      <c r="CT62" s="110">
        <f t="shared" si="1003"/>
        <v>46461</v>
      </c>
      <c r="CU62" s="110">
        <f t="shared" si="1003"/>
        <v>46492</v>
      </c>
      <c r="CV62" s="110">
        <f t="shared" si="1003"/>
        <v>46522</v>
      </c>
      <c r="CW62" s="110">
        <f t="shared" si="1003"/>
        <v>46553</v>
      </c>
    </row>
    <row r="63" spans="1:101" ht="13.5" thickBot="1" x14ac:dyDescent="0.25">
      <c r="A63" s="111" t="s">
        <v>59</v>
      </c>
      <c r="B63" s="112">
        <v>7.0000000000000007E-2</v>
      </c>
      <c r="C63" s="112">
        <v>7.0000000000000007E-2</v>
      </c>
      <c r="D63" s="112">
        <v>7.0000000000000007E-2</v>
      </c>
      <c r="E63" s="112">
        <v>7.0000000000000007E-2</v>
      </c>
      <c r="F63" s="112">
        <v>7.0000000000000007E-2</v>
      </c>
      <c r="G63" s="112">
        <v>7.0000000000000007E-2</v>
      </c>
      <c r="H63" s="112">
        <v>0.04</v>
      </c>
      <c r="I63" s="112">
        <v>0.04</v>
      </c>
      <c r="J63" s="112">
        <v>0.04</v>
      </c>
      <c r="K63" s="112">
        <v>0.04</v>
      </c>
      <c r="L63" s="112">
        <v>0.04</v>
      </c>
      <c r="M63" s="112">
        <v>0.04</v>
      </c>
      <c r="N63" s="112">
        <v>0.04</v>
      </c>
      <c r="O63" s="112">
        <v>0.04</v>
      </c>
      <c r="P63" s="112">
        <v>0.04</v>
      </c>
      <c r="Q63" s="112">
        <v>0.04</v>
      </c>
      <c r="R63" s="112">
        <v>0.04</v>
      </c>
      <c r="S63" s="112">
        <v>0.04</v>
      </c>
      <c r="T63" s="112">
        <v>0.04</v>
      </c>
      <c r="U63" s="112">
        <v>0.04</v>
      </c>
      <c r="V63" s="112">
        <v>0.04</v>
      </c>
      <c r="W63" s="112">
        <v>0.04</v>
      </c>
      <c r="X63" s="112">
        <v>0.04</v>
      </c>
      <c r="Y63" s="112">
        <v>0.04</v>
      </c>
      <c r="Z63" s="112">
        <v>0.04</v>
      </c>
      <c r="AA63" s="112">
        <v>0.04</v>
      </c>
      <c r="AB63" s="112">
        <v>0.04</v>
      </c>
      <c r="AC63" s="112">
        <v>0.04</v>
      </c>
      <c r="AD63" s="112">
        <v>0.04</v>
      </c>
      <c r="AE63" s="112">
        <v>0.04</v>
      </c>
      <c r="AF63" s="112">
        <v>0.04</v>
      </c>
      <c r="AG63" s="112">
        <v>0.04</v>
      </c>
      <c r="AH63" s="112">
        <v>0.04</v>
      </c>
      <c r="AI63" s="112">
        <v>0.04</v>
      </c>
      <c r="AJ63" s="112">
        <v>0.04</v>
      </c>
      <c r="AK63" s="112">
        <v>0.04</v>
      </c>
      <c r="AL63" s="112">
        <v>0.04</v>
      </c>
      <c r="AM63" s="112">
        <v>0.04</v>
      </c>
      <c r="AN63" s="112">
        <v>0.04</v>
      </c>
      <c r="AO63" s="112">
        <v>0.04</v>
      </c>
      <c r="AP63" s="112">
        <v>0.04</v>
      </c>
      <c r="AQ63" s="112">
        <v>0.04</v>
      </c>
      <c r="AR63" s="112">
        <v>0.04</v>
      </c>
      <c r="AS63" s="112">
        <v>0.04</v>
      </c>
      <c r="AT63" s="112">
        <v>0.04</v>
      </c>
      <c r="AU63" s="112">
        <v>0.04</v>
      </c>
      <c r="AV63" s="112">
        <v>0.04</v>
      </c>
      <c r="AW63" s="112">
        <v>0.04</v>
      </c>
      <c r="AX63" s="112">
        <v>0.04</v>
      </c>
      <c r="AY63" s="112">
        <v>0.04</v>
      </c>
      <c r="AZ63" s="112">
        <v>0.04</v>
      </c>
      <c r="BA63" s="112">
        <v>0.04</v>
      </c>
      <c r="BB63" s="112">
        <v>0.04</v>
      </c>
      <c r="BC63" s="112">
        <v>0.04</v>
      </c>
      <c r="BD63" s="112">
        <v>0.04</v>
      </c>
      <c r="BE63" s="112">
        <v>0.04</v>
      </c>
      <c r="BF63" s="112">
        <v>0.04</v>
      </c>
      <c r="BG63" s="112">
        <v>0.04</v>
      </c>
      <c r="BH63" s="112">
        <v>0.04</v>
      </c>
      <c r="BI63" s="112">
        <v>0.04</v>
      </c>
      <c r="BJ63" s="112">
        <v>0.04</v>
      </c>
      <c r="BK63" s="112">
        <v>0.04</v>
      </c>
      <c r="BL63" s="112">
        <v>0.04</v>
      </c>
      <c r="BM63" s="112">
        <v>0.04</v>
      </c>
      <c r="BN63" s="112">
        <v>0.04</v>
      </c>
      <c r="BO63" s="112">
        <v>0.04</v>
      </c>
      <c r="BP63" s="112">
        <v>0.04</v>
      </c>
      <c r="BQ63" s="112">
        <v>0.04</v>
      </c>
      <c r="BR63" s="112">
        <v>0.04</v>
      </c>
      <c r="BS63" s="112">
        <v>0.04</v>
      </c>
      <c r="BT63" s="112">
        <v>0.04</v>
      </c>
      <c r="BU63" s="112">
        <v>0.04</v>
      </c>
      <c r="BV63" s="112">
        <v>0.04</v>
      </c>
      <c r="BW63" s="112">
        <v>0.04</v>
      </c>
      <c r="BX63" s="112">
        <v>0.04</v>
      </c>
      <c r="BY63" s="112">
        <v>0.04</v>
      </c>
      <c r="BZ63" s="112">
        <v>0.04</v>
      </c>
      <c r="CA63" s="112">
        <v>0.04</v>
      </c>
      <c r="CB63" s="112">
        <v>0.04</v>
      </c>
      <c r="CC63" s="112">
        <v>0.04</v>
      </c>
      <c r="CD63" s="112">
        <v>0.04</v>
      </c>
      <c r="CE63" s="112">
        <v>0.04</v>
      </c>
      <c r="CF63" s="112">
        <v>0.04</v>
      </c>
      <c r="CG63" s="112">
        <v>0.04</v>
      </c>
      <c r="CH63" s="112">
        <v>0.04</v>
      </c>
      <c r="CI63" s="112">
        <v>0.04</v>
      </c>
      <c r="CJ63" s="112">
        <v>0.04</v>
      </c>
      <c r="CK63" s="112">
        <v>0.04</v>
      </c>
      <c r="CL63" s="112">
        <v>0.04</v>
      </c>
      <c r="CM63" s="112">
        <v>0.04</v>
      </c>
      <c r="CN63" s="112">
        <v>0.04</v>
      </c>
      <c r="CO63" s="112">
        <v>0.04</v>
      </c>
      <c r="CP63" s="112">
        <v>0.04</v>
      </c>
      <c r="CQ63" s="112">
        <v>0.04</v>
      </c>
      <c r="CR63" s="112">
        <v>0.04</v>
      </c>
      <c r="CS63" s="112">
        <v>0.04</v>
      </c>
      <c r="CT63" s="112">
        <v>0.04</v>
      </c>
      <c r="CU63" s="112">
        <v>0.04</v>
      </c>
      <c r="CV63" s="112">
        <v>0.04</v>
      </c>
      <c r="CW63" s="112">
        <v>0.04</v>
      </c>
    </row>
    <row r="64" spans="1:101" x14ac:dyDescent="0.2">
      <c r="A64" s="151" t="s">
        <v>10</v>
      </c>
      <c r="B64" s="14"/>
      <c r="C64" s="14"/>
      <c r="D64" s="14"/>
      <c r="E64" s="14"/>
      <c r="F64" s="14"/>
      <c r="G64" s="14"/>
      <c r="H64" s="14"/>
      <c r="I64" s="14"/>
      <c r="J64" s="14">
        <f t="shared" ref="J64:BU64" si="1004">+J51</f>
        <v>1</v>
      </c>
      <c r="K64" s="14">
        <f t="shared" si="1004"/>
        <v>2</v>
      </c>
      <c r="L64" s="14">
        <f t="shared" si="1004"/>
        <v>1</v>
      </c>
      <c r="M64" s="14">
        <f t="shared" si="1004"/>
        <v>2</v>
      </c>
      <c r="N64" s="14">
        <f t="shared" si="1004"/>
        <v>3</v>
      </c>
      <c r="O64" s="14">
        <f t="shared" si="1004"/>
        <v>4</v>
      </c>
      <c r="P64" s="14">
        <f t="shared" si="1004"/>
        <v>5</v>
      </c>
      <c r="Q64" s="14">
        <f t="shared" si="1004"/>
        <v>6</v>
      </c>
      <c r="R64" s="14">
        <f t="shared" si="1004"/>
        <v>7</v>
      </c>
      <c r="S64" s="14">
        <f t="shared" si="1004"/>
        <v>8</v>
      </c>
      <c r="T64" s="14">
        <f t="shared" si="1004"/>
        <v>9</v>
      </c>
      <c r="U64" s="14">
        <f t="shared" si="1004"/>
        <v>10</v>
      </c>
      <c r="V64" s="14">
        <f t="shared" si="1004"/>
        <v>11</v>
      </c>
      <c r="W64" s="14">
        <f t="shared" si="1004"/>
        <v>12</v>
      </c>
      <c r="X64" s="14">
        <f t="shared" si="1004"/>
        <v>13</v>
      </c>
      <c r="Y64" s="14">
        <f t="shared" si="1004"/>
        <v>14</v>
      </c>
      <c r="Z64" s="14">
        <f t="shared" si="1004"/>
        <v>15</v>
      </c>
      <c r="AA64" s="14">
        <f t="shared" si="1004"/>
        <v>16</v>
      </c>
      <c r="AB64" s="14">
        <f t="shared" si="1004"/>
        <v>17</v>
      </c>
      <c r="AC64" s="14">
        <f t="shared" si="1004"/>
        <v>18</v>
      </c>
      <c r="AD64" s="14">
        <f t="shared" si="1004"/>
        <v>19</v>
      </c>
      <c r="AE64" s="14">
        <f t="shared" si="1004"/>
        <v>20</v>
      </c>
      <c r="AF64" s="14">
        <f t="shared" si="1004"/>
        <v>21</v>
      </c>
      <c r="AG64" s="14">
        <f t="shared" si="1004"/>
        <v>22</v>
      </c>
      <c r="AH64" s="14">
        <f t="shared" si="1004"/>
        <v>23</v>
      </c>
      <c r="AI64" s="14">
        <f t="shared" si="1004"/>
        <v>24</v>
      </c>
      <c r="AJ64" s="14">
        <f t="shared" si="1004"/>
        <v>25</v>
      </c>
      <c r="AK64" s="14">
        <f t="shared" si="1004"/>
        <v>26</v>
      </c>
      <c r="AL64" s="14">
        <f t="shared" si="1004"/>
        <v>27</v>
      </c>
      <c r="AM64" s="14">
        <f t="shared" si="1004"/>
        <v>28</v>
      </c>
      <c r="AN64" s="14">
        <f t="shared" si="1004"/>
        <v>29</v>
      </c>
      <c r="AO64" s="14">
        <f t="shared" si="1004"/>
        <v>30</v>
      </c>
      <c r="AP64" s="14">
        <f t="shared" si="1004"/>
        <v>31</v>
      </c>
      <c r="AQ64" s="14">
        <f t="shared" si="1004"/>
        <v>32</v>
      </c>
      <c r="AR64" s="14">
        <f t="shared" si="1004"/>
        <v>33</v>
      </c>
      <c r="AS64" s="14">
        <f t="shared" si="1004"/>
        <v>34</v>
      </c>
      <c r="AT64" s="14">
        <f t="shared" si="1004"/>
        <v>35</v>
      </c>
      <c r="AU64" s="14">
        <f t="shared" si="1004"/>
        <v>36</v>
      </c>
      <c r="AV64" s="14">
        <f t="shared" si="1004"/>
        <v>37</v>
      </c>
      <c r="AW64" s="14">
        <f t="shared" si="1004"/>
        <v>38</v>
      </c>
      <c r="AX64" s="14">
        <f t="shared" si="1004"/>
        <v>39</v>
      </c>
      <c r="AY64" s="14">
        <f t="shared" si="1004"/>
        <v>40</v>
      </c>
      <c r="AZ64" s="14">
        <f t="shared" si="1004"/>
        <v>41</v>
      </c>
      <c r="BA64" s="14">
        <f t="shared" si="1004"/>
        <v>42</v>
      </c>
      <c r="BB64" s="14">
        <f t="shared" si="1004"/>
        <v>43</v>
      </c>
      <c r="BC64" s="14">
        <f t="shared" si="1004"/>
        <v>44</v>
      </c>
      <c r="BD64" s="14">
        <f t="shared" si="1004"/>
        <v>45</v>
      </c>
      <c r="BE64" s="14">
        <f t="shared" si="1004"/>
        <v>46</v>
      </c>
      <c r="BF64" s="14">
        <f t="shared" si="1004"/>
        <v>47</v>
      </c>
      <c r="BG64" s="14">
        <f t="shared" si="1004"/>
        <v>48</v>
      </c>
      <c r="BH64" s="14">
        <f t="shared" si="1004"/>
        <v>49</v>
      </c>
      <c r="BI64" s="14">
        <f t="shared" si="1004"/>
        <v>50</v>
      </c>
      <c r="BJ64" s="14">
        <f t="shared" si="1004"/>
        <v>51</v>
      </c>
      <c r="BK64" s="14">
        <f t="shared" si="1004"/>
        <v>52</v>
      </c>
      <c r="BL64" s="14">
        <f t="shared" si="1004"/>
        <v>53</v>
      </c>
      <c r="BM64" s="14">
        <f t="shared" si="1004"/>
        <v>54</v>
      </c>
      <c r="BN64" s="14">
        <f t="shared" si="1004"/>
        <v>55</v>
      </c>
      <c r="BO64" s="14">
        <f t="shared" si="1004"/>
        <v>56</v>
      </c>
      <c r="BP64" s="14">
        <f t="shared" si="1004"/>
        <v>57</v>
      </c>
      <c r="BQ64" s="14">
        <f t="shared" si="1004"/>
        <v>58</v>
      </c>
      <c r="BR64" s="14">
        <f t="shared" si="1004"/>
        <v>59</v>
      </c>
      <c r="BS64" s="14">
        <f t="shared" si="1004"/>
        <v>60</v>
      </c>
      <c r="BT64" s="14">
        <f t="shared" si="1004"/>
        <v>61</v>
      </c>
      <c r="BU64" s="14">
        <f t="shared" si="1004"/>
        <v>62</v>
      </c>
      <c r="BV64" s="14">
        <f t="shared" ref="BV64:CW64" si="1005">+BV51</f>
        <v>63</v>
      </c>
      <c r="BW64" s="14">
        <f t="shared" si="1005"/>
        <v>64</v>
      </c>
      <c r="BX64" s="14">
        <f t="shared" si="1005"/>
        <v>65</v>
      </c>
      <c r="BY64" s="14">
        <f t="shared" si="1005"/>
        <v>66</v>
      </c>
      <c r="BZ64" s="14">
        <f t="shared" si="1005"/>
        <v>67</v>
      </c>
      <c r="CA64" s="14">
        <f t="shared" si="1005"/>
        <v>68</v>
      </c>
      <c r="CB64" s="14">
        <f t="shared" si="1005"/>
        <v>69</v>
      </c>
      <c r="CC64" s="14">
        <f t="shared" si="1005"/>
        <v>70</v>
      </c>
      <c r="CD64" s="14">
        <f t="shared" si="1005"/>
        <v>71</v>
      </c>
      <c r="CE64" s="14">
        <f t="shared" si="1005"/>
        <v>72</v>
      </c>
      <c r="CF64" s="14">
        <f t="shared" si="1005"/>
        <v>73</v>
      </c>
      <c r="CG64" s="14">
        <f t="shared" si="1005"/>
        <v>74</v>
      </c>
      <c r="CH64" s="14">
        <f t="shared" si="1005"/>
        <v>75</v>
      </c>
      <c r="CI64" s="14">
        <f t="shared" si="1005"/>
        <v>76</v>
      </c>
      <c r="CJ64" s="14">
        <f t="shared" si="1005"/>
        <v>77</v>
      </c>
      <c r="CK64" s="14">
        <f t="shared" si="1005"/>
        <v>78</v>
      </c>
      <c r="CL64" s="14">
        <f t="shared" si="1005"/>
        <v>79</v>
      </c>
      <c r="CM64" s="14">
        <f t="shared" si="1005"/>
        <v>80</v>
      </c>
      <c r="CN64" s="14">
        <f t="shared" si="1005"/>
        <v>81</v>
      </c>
      <c r="CO64" s="14">
        <f t="shared" si="1005"/>
        <v>82</v>
      </c>
      <c r="CP64" s="14">
        <f t="shared" si="1005"/>
        <v>83</v>
      </c>
      <c r="CQ64" s="14">
        <f t="shared" si="1005"/>
        <v>84</v>
      </c>
      <c r="CR64" s="14">
        <f t="shared" si="1005"/>
        <v>85</v>
      </c>
      <c r="CS64" s="14">
        <f t="shared" si="1005"/>
        <v>86</v>
      </c>
      <c r="CT64" s="14">
        <f t="shared" si="1005"/>
        <v>87</v>
      </c>
      <c r="CU64" s="14">
        <f t="shared" si="1005"/>
        <v>88</v>
      </c>
      <c r="CV64" s="14">
        <f t="shared" si="1005"/>
        <v>89</v>
      </c>
      <c r="CW64" s="14">
        <f t="shared" si="1005"/>
        <v>90</v>
      </c>
    </row>
    <row r="65" spans="1:101" x14ac:dyDescent="0.2">
      <c r="A65" s="82" t="s">
        <v>11</v>
      </c>
      <c r="B65" s="81">
        <f>B52</f>
        <v>42992</v>
      </c>
      <c r="C65" s="81">
        <f t="shared" ref="C65:E65" si="1006">C52</f>
        <v>43083</v>
      </c>
      <c r="D65" s="81">
        <f t="shared" si="1006"/>
        <v>43174</v>
      </c>
      <c r="E65" s="81">
        <f t="shared" si="1006"/>
        <v>43265</v>
      </c>
      <c r="F65" s="81">
        <f>F52</f>
        <v>43356</v>
      </c>
      <c r="G65" s="81">
        <f t="shared" ref="G65:AO65" si="1007">G52</f>
        <v>43447</v>
      </c>
      <c r="H65" s="81">
        <f t="shared" si="1007"/>
        <v>43538</v>
      </c>
      <c r="I65" s="81">
        <f t="shared" si="1007"/>
        <v>43629</v>
      </c>
      <c r="J65" s="81">
        <f t="shared" si="1007"/>
        <v>43723</v>
      </c>
      <c r="K65" s="81">
        <f t="shared" si="1007"/>
        <v>43814</v>
      </c>
      <c r="L65" s="81">
        <f t="shared" si="1007"/>
        <v>43845</v>
      </c>
      <c r="M65" s="81">
        <f t="shared" si="1007"/>
        <v>43874</v>
      </c>
      <c r="N65" s="81">
        <f t="shared" si="1007"/>
        <v>43905</v>
      </c>
      <c r="O65" s="81">
        <f t="shared" si="1007"/>
        <v>43936</v>
      </c>
      <c r="P65" s="81">
        <f t="shared" si="1007"/>
        <v>43965</v>
      </c>
      <c r="Q65" s="81">
        <f t="shared" si="1007"/>
        <v>43997</v>
      </c>
      <c r="R65" s="81">
        <f t="shared" si="1007"/>
        <v>44027</v>
      </c>
      <c r="S65" s="81">
        <f t="shared" si="1007"/>
        <v>44056</v>
      </c>
      <c r="T65" s="81">
        <f t="shared" si="1007"/>
        <v>44089</v>
      </c>
      <c r="U65" s="81">
        <f t="shared" si="1007"/>
        <v>44119</v>
      </c>
      <c r="V65" s="81">
        <f t="shared" si="1007"/>
        <v>44150</v>
      </c>
      <c r="W65" s="81">
        <f t="shared" si="1007"/>
        <v>44180</v>
      </c>
      <c r="X65" s="81">
        <f t="shared" si="1007"/>
        <v>44211</v>
      </c>
      <c r="Y65" s="81">
        <f t="shared" si="1007"/>
        <v>44242</v>
      </c>
      <c r="Z65" s="81">
        <f t="shared" si="1007"/>
        <v>44270</v>
      </c>
      <c r="AA65" s="81">
        <f t="shared" si="1007"/>
        <v>44301</v>
      </c>
      <c r="AB65" s="81">
        <f t="shared" si="1007"/>
        <v>44331</v>
      </c>
      <c r="AC65" s="81">
        <f t="shared" si="1007"/>
        <v>44362</v>
      </c>
      <c r="AD65" s="81">
        <f t="shared" si="1007"/>
        <v>44392</v>
      </c>
      <c r="AE65" s="81">
        <f t="shared" si="1007"/>
        <v>44423</v>
      </c>
      <c r="AF65" s="81">
        <f t="shared" si="1007"/>
        <v>44454</v>
      </c>
      <c r="AG65" s="81">
        <f t="shared" si="1007"/>
        <v>44484</v>
      </c>
      <c r="AH65" s="81">
        <f t="shared" si="1007"/>
        <v>44515</v>
      </c>
      <c r="AI65" s="81">
        <f t="shared" si="1007"/>
        <v>44545</v>
      </c>
      <c r="AJ65" s="81">
        <f t="shared" si="1007"/>
        <v>44576</v>
      </c>
      <c r="AK65" s="81">
        <f t="shared" si="1007"/>
        <v>44607</v>
      </c>
      <c r="AL65" s="81">
        <f t="shared" si="1007"/>
        <v>44635</v>
      </c>
      <c r="AM65" s="81">
        <f t="shared" si="1007"/>
        <v>44666</v>
      </c>
      <c r="AN65" s="81">
        <f t="shared" si="1007"/>
        <v>44696</v>
      </c>
      <c r="AO65" s="81">
        <f t="shared" si="1007"/>
        <v>44727</v>
      </c>
      <c r="AP65" s="81">
        <f t="shared" ref="AP65:CW65" si="1008">AP52</f>
        <v>44757</v>
      </c>
      <c r="AQ65" s="81">
        <f t="shared" si="1008"/>
        <v>44788</v>
      </c>
      <c r="AR65" s="81">
        <f t="shared" si="1008"/>
        <v>44819</v>
      </c>
      <c r="AS65" s="81">
        <f t="shared" si="1008"/>
        <v>44849</v>
      </c>
      <c r="AT65" s="81">
        <f t="shared" si="1008"/>
        <v>44880</v>
      </c>
      <c r="AU65" s="81">
        <f t="shared" si="1008"/>
        <v>44910</v>
      </c>
      <c r="AV65" s="81">
        <f t="shared" si="1008"/>
        <v>44941</v>
      </c>
      <c r="AW65" s="81">
        <f t="shared" si="1008"/>
        <v>44972</v>
      </c>
      <c r="AX65" s="81">
        <f t="shared" si="1008"/>
        <v>45000</v>
      </c>
      <c r="AY65" s="81">
        <f t="shared" si="1008"/>
        <v>45031</v>
      </c>
      <c r="AZ65" s="81">
        <f t="shared" si="1008"/>
        <v>45061</v>
      </c>
      <c r="BA65" s="81">
        <f t="shared" si="1008"/>
        <v>45092</v>
      </c>
      <c r="BB65" s="81">
        <f t="shared" si="1008"/>
        <v>45122</v>
      </c>
      <c r="BC65" s="81">
        <f t="shared" si="1008"/>
        <v>45153</v>
      </c>
      <c r="BD65" s="81">
        <f t="shared" si="1008"/>
        <v>45184</v>
      </c>
      <c r="BE65" s="81">
        <f t="shared" si="1008"/>
        <v>45214</v>
      </c>
      <c r="BF65" s="81">
        <f t="shared" si="1008"/>
        <v>45245</v>
      </c>
      <c r="BG65" s="81">
        <f t="shared" si="1008"/>
        <v>45275</v>
      </c>
      <c r="BH65" s="81">
        <f t="shared" si="1008"/>
        <v>45306</v>
      </c>
      <c r="BI65" s="81">
        <f t="shared" si="1008"/>
        <v>45337</v>
      </c>
      <c r="BJ65" s="81">
        <f t="shared" si="1008"/>
        <v>45366</v>
      </c>
      <c r="BK65" s="81">
        <f t="shared" si="1008"/>
        <v>45397</v>
      </c>
      <c r="BL65" s="81">
        <f t="shared" si="1008"/>
        <v>45427</v>
      </c>
      <c r="BM65" s="81">
        <f t="shared" si="1008"/>
        <v>45458</v>
      </c>
      <c r="BN65" s="81">
        <f t="shared" si="1008"/>
        <v>45488</v>
      </c>
      <c r="BO65" s="81">
        <f t="shared" si="1008"/>
        <v>45519</v>
      </c>
      <c r="BP65" s="81">
        <f t="shared" si="1008"/>
        <v>45550</v>
      </c>
      <c r="BQ65" s="81">
        <f t="shared" si="1008"/>
        <v>45580</v>
      </c>
      <c r="BR65" s="81">
        <f t="shared" si="1008"/>
        <v>45611</v>
      </c>
      <c r="BS65" s="81">
        <f t="shared" si="1008"/>
        <v>45641</v>
      </c>
      <c r="BT65" s="81">
        <f t="shared" si="1008"/>
        <v>45672</v>
      </c>
      <c r="BU65" s="81">
        <f t="shared" si="1008"/>
        <v>45703</v>
      </c>
      <c r="BV65" s="81">
        <f t="shared" si="1008"/>
        <v>45731</v>
      </c>
      <c r="BW65" s="81">
        <f t="shared" si="1008"/>
        <v>45762</v>
      </c>
      <c r="BX65" s="81">
        <f t="shared" si="1008"/>
        <v>45792</v>
      </c>
      <c r="BY65" s="81">
        <f t="shared" si="1008"/>
        <v>45823</v>
      </c>
      <c r="BZ65" s="81">
        <f t="shared" si="1008"/>
        <v>45853</v>
      </c>
      <c r="CA65" s="81">
        <f t="shared" si="1008"/>
        <v>45884</v>
      </c>
      <c r="CB65" s="81">
        <f t="shared" si="1008"/>
        <v>45915</v>
      </c>
      <c r="CC65" s="81">
        <f t="shared" si="1008"/>
        <v>45945</v>
      </c>
      <c r="CD65" s="81">
        <f t="shared" si="1008"/>
        <v>45976</v>
      </c>
      <c r="CE65" s="81">
        <f t="shared" si="1008"/>
        <v>46006</v>
      </c>
      <c r="CF65" s="81">
        <f t="shared" si="1008"/>
        <v>46037</v>
      </c>
      <c r="CG65" s="81">
        <f t="shared" si="1008"/>
        <v>46068</v>
      </c>
      <c r="CH65" s="81">
        <f t="shared" si="1008"/>
        <v>46096</v>
      </c>
      <c r="CI65" s="81">
        <f t="shared" si="1008"/>
        <v>46127</v>
      </c>
      <c r="CJ65" s="81">
        <f t="shared" si="1008"/>
        <v>46157</v>
      </c>
      <c r="CK65" s="81">
        <f t="shared" si="1008"/>
        <v>46188</v>
      </c>
      <c r="CL65" s="81">
        <f t="shared" si="1008"/>
        <v>46218</v>
      </c>
      <c r="CM65" s="81">
        <f t="shared" si="1008"/>
        <v>46249</v>
      </c>
      <c r="CN65" s="81">
        <f t="shared" si="1008"/>
        <v>46280</v>
      </c>
      <c r="CO65" s="81">
        <f t="shared" si="1008"/>
        <v>46310</v>
      </c>
      <c r="CP65" s="81">
        <f t="shared" si="1008"/>
        <v>46341</v>
      </c>
      <c r="CQ65" s="81">
        <f t="shared" si="1008"/>
        <v>46371</v>
      </c>
      <c r="CR65" s="81">
        <f t="shared" si="1008"/>
        <v>46402</v>
      </c>
      <c r="CS65" s="81">
        <f t="shared" si="1008"/>
        <v>46433</v>
      </c>
      <c r="CT65" s="81">
        <f t="shared" si="1008"/>
        <v>46461</v>
      </c>
      <c r="CU65" s="81">
        <f t="shared" si="1008"/>
        <v>46492</v>
      </c>
      <c r="CV65" s="81">
        <f t="shared" si="1008"/>
        <v>46522</v>
      </c>
      <c r="CW65" s="81">
        <f t="shared" si="1008"/>
        <v>46553</v>
      </c>
    </row>
    <row r="66" spans="1:101" x14ac:dyDescent="0.2">
      <c r="A66" s="2" t="s">
        <v>5</v>
      </c>
      <c r="B66" s="157">
        <v>0</v>
      </c>
      <c r="C66" s="159">
        <f t="shared" ref="C66:E66" si="1009">B72</f>
        <v>0</v>
      </c>
      <c r="D66" s="159">
        <f t="shared" si="1009"/>
        <v>0</v>
      </c>
      <c r="E66" s="159">
        <f t="shared" si="1009"/>
        <v>0</v>
      </c>
      <c r="F66" s="159">
        <f t="shared" ref="F66" si="1010">E72</f>
        <v>0</v>
      </c>
      <c r="G66" s="159">
        <f>E17</f>
        <v>196100000</v>
      </c>
      <c r="H66" s="159">
        <f t="shared" ref="H66" si="1011">G72</f>
        <v>196100000</v>
      </c>
      <c r="I66" s="159">
        <f t="shared" ref="I66" si="1012">H72</f>
        <v>196100000</v>
      </c>
      <c r="J66" s="159">
        <f t="shared" ref="J66" si="1013">I72</f>
        <v>196100000</v>
      </c>
      <c r="K66" s="159">
        <f t="shared" ref="K66" si="1014">J72</f>
        <v>189971875</v>
      </c>
      <c r="L66" s="159">
        <f t="shared" ref="L66" si="1015">K72</f>
        <v>183843750</v>
      </c>
      <c r="M66" s="3">
        <f t="shared" ref="M66" si="1016">L72</f>
        <v>182088773.27306759</v>
      </c>
      <c r="N66" s="3">
        <f t="shared" ref="N66" si="1017">M72</f>
        <v>180327946.62371209</v>
      </c>
      <c r="O66" s="3">
        <f t="shared" ref="O66" si="1018">N72</f>
        <v>178561250.55219206</v>
      </c>
      <c r="P66" s="3">
        <f t="shared" ref="P66" si="1019">O72</f>
        <v>176788665.49376696</v>
      </c>
      <c r="Q66" s="3">
        <f t="shared" ref="Q66" si="1020">P72</f>
        <v>175010171.81848046</v>
      </c>
      <c r="R66" s="3">
        <f t="shared" ref="R66" si="1021">Q72</f>
        <v>173225749.83094299</v>
      </c>
      <c r="S66" s="3">
        <f t="shared" ref="S66" si="1022">R72</f>
        <v>171435379.77011374</v>
      </c>
      <c r="T66" s="3">
        <f t="shared" ref="T66" si="1023">S72</f>
        <v>169639041.8090817</v>
      </c>
      <c r="U66" s="3">
        <f t="shared" ref="U66" si="1024">T72</f>
        <v>167836716.05484626</v>
      </c>
      <c r="V66" s="3">
        <f t="shared" ref="V66" si="1025">U72</f>
        <v>166028382.54809669</v>
      </c>
      <c r="W66" s="3">
        <f t="shared" ref="W66" si="1026">V72</f>
        <v>164214021.26299128</v>
      </c>
      <c r="X66" s="3">
        <f t="shared" ref="X66" si="1027">W72</f>
        <v>162393612.10693553</v>
      </c>
      <c r="Y66" s="3">
        <f t="shared" ref="Y66" si="1028">X72</f>
        <v>160567134.92035958</v>
      </c>
      <c r="Z66" s="3">
        <f t="shared" ref="Z66" si="1029">Y72</f>
        <v>158734569.47649506</v>
      </c>
      <c r="AA66" s="3">
        <f t="shared" ref="AA66" si="1030">Z72</f>
        <v>156895895.48115098</v>
      </c>
      <c r="AB66" s="3">
        <f t="shared" ref="AB66" si="1031">AA72</f>
        <v>155051092.57248908</v>
      </c>
      <c r="AC66" s="3">
        <f t="shared" ref="AC66" si="1032">AB72</f>
        <v>153200140.32079831</v>
      </c>
      <c r="AD66" s="3">
        <f t="shared" ref="AD66" si="1033">AC72</f>
        <v>151343018.22826856</v>
      </c>
      <c r="AE66" s="3">
        <f t="shared" ref="AE66" si="1034">AD72</f>
        <v>149479705.72876373</v>
      </c>
      <c r="AF66" s="3">
        <f t="shared" ref="AF66" si="1035">AE72</f>
        <v>147610182.18759388</v>
      </c>
      <c r="AG66" s="3">
        <f t="shared" ref="AG66" si="1036">AF72</f>
        <v>145734426.90128678</v>
      </c>
      <c r="AH66" s="3">
        <f t="shared" ref="AH66" si="1037">AG72</f>
        <v>143852419.09735867</v>
      </c>
      <c r="AI66" s="3">
        <f t="shared" ref="AI66" si="1038">AH72</f>
        <v>141964137.93408415</v>
      </c>
      <c r="AJ66" s="3">
        <f t="shared" ref="AJ66" si="1039">AI72</f>
        <v>140069562.50026536</v>
      </c>
      <c r="AK66" s="3">
        <f t="shared" ref="AK66" si="1040">AJ72</f>
        <v>138168671.8150005</v>
      </c>
      <c r="AL66" s="3">
        <f t="shared" ref="AL66" si="1041">AK72</f>
        <v>136261444.82745144</v>
      </c>
      <c r="AM66" s="3">
        <f t="shared" ref="AM66" si="1042">AL72</f>
        <v>134347860.41661054</v>
      </c>
      <c r="AN66" s="3">
        <f t="shared" ref="AN66" si="1043">AM72</f>
        <v>132427897.39106683</v>
      </c>
      <c r="AO66" s="3">
        <f t="shared" ref="AO66" si="1044">AN72</f>
        <v>130501534.48877132</v>
      </c>
      <c r="AP66" s="3">
        <f t="shared" ref="AP66" si="1045">AO72</f>
        <v>128568750.37680149</v>
      </c>
      <c r="AQ66" s="3">
        <f t="shared" ref="AQ66" si="1046">AP72</f>
        <v>126629523.6511251</v>
      </c>
      <c r="AR66" s="3">
        <f t="shared" ref="AR66" si="1047">AQ72</f>
        <v>124683832.83636312</v>
      </c>
      <c r="AS66" s="3">
        <f t="shared" ref="AS66" si="1048">AR72</f>
        <v>122731656.38555193</v>
      </c>
      <c r="AT66" s="3">
        <f t="shared" ref="AT66" si="1049">AS72</f>
        <v>120772972.6799047</v>
      </c>
      <c r="AU66" s="3">
        <f t="shared" ref="AU66" si="1050">AT72</f>
        <v>118807760.02857198</v>
      </c>
      <c r="AV66" s="3">
        <f t="shared" ref="AV66" si="1051">AU72</f>
        <v>116835996.66840148</v>
      </c>
      <c r="AW66" s="3">
        <f t="shared" ref="AW66" si="1052">AV72</f>
        <v>114857660.76369709</v>
      </c>
      <c r="AX66" s="3">
        <f t="shared" ref="AX66" si="1053">AW72</f>
        <v>112872730.40597701</v>
      </c>
      <c r="AY66" s="3">
        <f t="shared" ref="AY66" si="1054">AX72</f>
        <v>110881183.61373121</v>
      </c>
      <c r="AZ66" s="3">
        <f t="shared" ref="AZ66" si="1055">AY72</f>
        <v>108882998.33217791</v>
      </c>
      <c r="BA66" s="3">
        <f t="shared" ref="BA66" si="1056">AZ72</f>
        <v>106878152.43301943</v>
      </c>
      <c r="BB66" s="3">
        <f t="shared" ref="BB66" si="1057">BA72</f>
        <v>104866623.7141971</v>
      </c>
      <c r="BC66" s="3">
        <f t="shared" ref="BC66" si="1058">BB72</f>
        <v>102848389.89964536</v>
      </c>
      <c r="BD66" s="3">
        <f t="shared" ref="BD66" si="1059">BC72</f>
        <v>100823428.6390451</v>
      </c>
      <c r="BE66" s="3">
        <f t="shared" ref="BE66" si="1060">BD72</f>
        <v>98791717.507576182</v>
      </c>
      <c r="BF66" s="3">
        <f t="shared" ref="BF66" si="1061">BE72</f>
        <v>96753234.005669042</v>
      </c>
      <c r="BG66" s="3">
        <f t="shared" ref="BG66" si="1062">BF72</f>
        <v>94707955.558755547</v>
      </c>
      <c r="BH66" s="3">
        <f t="shared" ref="BH66" si="1063">BG72</f>
        <v>92655859.517019004</v>
      </c>
      <c r="BI66" s="3">
        <f t="shared" ref="BI66" si="1064">BH72</f>
        <v>90596923.155143335</v>
      </c>
      <c r="BJ66" s="3">
        <f t="shared" ref="BJ66" si="1065">BI72</f>
        <v>88531123.672061414</v>
      </c>
      <c r="BK66" s="3">
        <f t="shared" ref="BK66" si="1066">BJ72</f>
        <v>86458438.190702558</v>
      </c>
      <c r="BL66" s="3">
        <f t="shared" ref="BL66" si="1067">BK72</f>
        <v>84378843.757739171</v>
      </c>
      <c r="BM66" s="3">
        <f t="shared" ref="BM66" si="1068">BL72</f>
        <v>82292317.343332574</v>
      </c>
      <c r="BN66" s="3">
        <f t="shared" ref="BN66" si="1069">BM72</f>
        <v>80198835.84087795</v>
      </c>
      <c r="BO66" s="3">
        <f t="shared" ref="BO66" si="1070">BN72</f>
        <v>78098376.066748485</v>
      </c>
      <c r="BP66" s="3">
        <f t="shared" ref="BP66" si="1071">BO72</f>
        <v>75990914.760038584</v>
      </c>
      <c r="BQ66" s="3">
        <f t="shared" ref="BQ66" si="1072">BP72</f>
        <v>73876428.582306311</v>
      </c>
      <c r="BR66" s="3">
        <f t="shared" ref="BR66" si="1073">BQ72</f>
        <v>71754894.117314935</v>
      </c>
      <c r="BS66" s="3">
        <f t="shared" ref="BS66" si="1074">BR72</f>
        <v>69626287.870773584</v>
      </c>
      <c r="BT66" s="3">
        <f t="shared" ref="BT66" si="1075">BS72</f>
        <v>67490586.270077094</v>
      </c>
      <c r="BU66" s="3">
        <f t="shared" ref="BU66" si="1076">BT72</f>
        <v>65347765.664044954</v>
      </c>
      <c r="BV66" s="3">
        <f t="shared" ref="BV66" si="1077">BU72</f>
        <v>63197802.322659373</v>
      </c>
      <c r="BW66" s="3">
        <f t="shared" ref="BW66" si="1078">BV72</f>
        <v>61040672.436802506</v>
      </c>
      <c r="BX66" s="3">
        <f t="shared" ref="BX66" si="1079">BW72</f>
        <v>58876352.117992781</v>
      </c>
      <c r="BY66" s="3">
        <f t="shared" ref="BY66" si="1080">BX72</f>
        <v>56704817.398120359</v>
      </c>
      <c r="BZ66" s="3">
        <f t="shared" ref="BZ66" si="1081">BY72</f>
        <v>54526044.229181692</v>
      </c>
      <c r="CA66" s="3">
        <f t="shared" ref="CA66" si="1082">BZ72</f>
        <v>52340008.483013235</v>
      </c>
      <c r="CB66" s="3">
        <f t="shared" ref="CB66" si="1083">CA72</f>
        <v>50146685.951024212</v>
      </c>
      <c r="CC66" s="3">
        <f t="shared" ref="CC66" si="1084">CB72</f>
        <v>47946052.343928561</v>
      </c>
      <c r="CD66" s="3">
        <f t="shared" ref="CD66" si="1085">CC72</f>
        <v>45738083.291475922</v>
      </c>
      <c r="CE66" s="3">
        <f t="shared" ref="CE66" si="1086">CD72</f>
        <v>43522754.342181772</v>
      </c>
      <c r="CF66" s="3">
        <f t="shared" ref="CF66" si="1087">CE72</f>
        <v>41300040.963056646</v>
      </c>
      <c r="CG66" s="3">
        <f t="shared" ref="CG66" si="1088">CF72</f>
        <v>39069918.539334439</v>
      </c>
      <c r="CH66" s="3">
        <f t="shared" ref="CH66" si="1089">CG72</f>
        <v>36832362.374199823</v>
      </c>
      <c r="CI66" s="3">
        <f t="shared" ref="CI66" si="1090">CH72</f>
        <v>34587347.688514754</v>
      </c>
      <c r="CJ66" s="3">
        <f t="shared" ref="CJ66" si="1091">CI72</f>
        <v>32334849.620544072</v>
      </c>
      <c r="CK66" s="3">
        <f t="shared" ref="CK66" si="1092">CJ72</f>
        <v>30074843.225680154</v>
      </c>
      <c r="CL66" s="3">
        <f t="shared" ref="CL66" si="1093">CK72</f>
        <v>27807303.476166688</v>
      </c>
      <c r="CM66" s="3">
        <f t="shared" ref="CM66" si="1094">CL72</f>
        <v>25532205.26082151</v>
      </c>
      <c r="CN66" s="3">
        <f t="shared" ref="CN66" si="1095">CM72</f>
        <v>23249523.384758517</v>
      </c>
      <c r="CO66" s="3">
        <f t="shared" ref="CO66" si="1096">CN72</f>
        <v>20959232.569108646</v>
      </c>
      <c r="CP66" s="3">
        <f t="shared" ref="CP66" si="1097">CO72</f>
        <v>18661307.450739942</v>
      </c>
      <c r="CQ66" s="3">
        <f t="shared" ref="CQ66" si="1098">CP72</f>
        <v>16355722.581976676</v>
      </c>
      <c r="CR66" s="3">
        <f t="shared" ref="CR66" si="1099">CQ72</f>
        <v>14042452.430317532</v>
      </c>
      <c r="CS66" s="3">
        <f t="shared" ref="CS66" si="1100">CR72</f>
        <v>11721471.378152858</v>
      </c>
      <c r="CT66" s="3">
        <f t="shared" ref="CT66" si="1101">CS72</f>
        <v>9392753.7224809695</v>
      </c>
      <c r="CU66" s="3">
        <f t="shared" ref="CU66" si="1102">CT72</f>
        <v>7056273.6746235071</v>
      </c>
      <c r="CV66" s="3">
        <f t="shared" ref="CV66" si="1103">CU72</f>
        <v>4712005.3599398527</v>
      </c>
      <c r="CW66" s="3">
        <f t="shared" ref="CW66" si="1104">CV72</f>
        <v>2359922.8175405865</v>
      </c>
    </row>
    <row r="67" spans="1:101" x14ac:dyDescent="0.2">
      <c r="A67" s="7" t="s">
        <v>6</v>
      </c>
      <c r="B67" s="158">
        <v>0</v>
      </c>
      <c r="C67" s="158">
        <v>0</v>
      </c>
      <c r="D67" s="158">
        <f>D66*(D65-$D$16)*D63/360</f>
        <v>0</v>
      </c>
      <c r="E67" s="158">
        <f>D72*(E65-D65)*E63/360</f>
        <v>0</v>
      </c>
      <c r="F67" s="158">
        <f t="shared" ref="F67" si="1105">E72*(F65-E65)*F63/360</f>
        <v>0</v>
      </c>
      <c r="G67" s="158">
        <f>G66*(G65-E16)*G63/360</f>
        <v>2478486.1111111115</v>
      </c>
      <c r="H67" s="158">
        <f>G72*(H65-G65)*H63/360</f>
        <v>1982788.888888889</v>
      </c>
      <c r="I67" s="158">
        <f t="shared" ref="I67:AO67" si="1106">H72*(I65-H65)*I63/360</f>
        <v>1982788.888888889</v>
      </c>
      <c r="J67" s="158">
        <f t="shared" si="1106"/>
        <v>2048155.5555555555</v>
      </c>
      <c r="K67" s="158">
        <f t="shared" si="1106"/>
        <v>1920826.736111111</v>
      </c>
      <c r="L67" s="7">
        <f t="shared" si="1106"/>
        <v>633239.58333333337</v>
      </c>
      <c r="M67" s="7">
        <f t="shared" si="1106"/>
        <v>586730.49165766232</v>
      </c>
      <c r="N67" s="7">
        <f t="shared" si="1106"/>
        <v>621129.59392611939</v>
      </c>
      <c r="O67" s="7">
        <f t="shared" si="1106"/>
        <v>615044.30745755043</v>
      </c>
      <c r="P67" s="7">
        <f t="shared" si="1106"/>
        <v>569652.36659102689</v>
      </c>
      <c r="Q67" s="7">
        <f t="shared" si="1106"/>
        <v>622258.38868793054</v>
      </c>
      <c r="R67" s="7">
        <f t="shared" si="1106"/>
        <v>577419.16610314324</v>
      </c>
      <c r="S67" s="7">
        <f t="shared" si="1106"/>
        <v>552402.89037036651</v>
      </c>
      <c r="T67" s="7">
        <f t="shared" si="1106"/>
        <v>622009.81996663299</v>
      </c>
      <c r="U67" s="7">
        <f t="shared" si="1106"/>
        <v>559455.72018282081</v>
      </c>
      <c r="V67" s="7">
        <f t="shared" si="1106"/>
        <v>571875.53988788859</v>
      </c>
      <c r="W67" s="7">
        <f t="shared" si="1106"/>
        <v>547380.07087663759</v>
      </c>
      <c r="X67" s="7">
        <f t="shared" si="1106"/>
        <v>559355.77503500017</v>
      </c>
      <c r="Y67" s="7">
        <f t="shared" si="1106"/>
        <v>553064.57583679422</v>
      </c>
      <c r="Z67" s="7">
        <f t="shared" si="1106"/>
        <v>493840.88281576242</v>
      </c>
      <c r="AA67" s="7">
        <f t="shared" si="1106"/>
        <v>540419.19554618676</v>
      </c>
      <c r="AB67" s="7">
        <f t="shared" si="1106"/>
        <v>516836.97524163028</v>
      </c>
      <c r="AC67" s="7">
        <f t="shared" si="1106"/>
        <v>527689.37221608311</v>
      </c>
      <c r="AD67" s="7">
        <f t="shared" si="1106"/>
        <v>504476.72742756188</v>
      </c>
      <c r="AE67" s="7">
        <f t="shared" si="1106"/>
        <v>514874.54195463064</v>
      </c>
      <c r="AF67" s="7">
        <f t="shared" si="1106"/>
        <v>508435.07197949011</v>
      </c>
      <c r="AG67" s="7">
        <f t="shared" si="1106"/>
        <v>485781.42300428927</v>
      </c>
      <c r="AH67" s="7">
        <f t="shared" si="1106"/>
        <v>495491.66577979102</v>
      </c>
      <c r="AI67" s="7">
        <f t="shared" si="1106"/>
        <v>473213.79311361379</v>
      </c>
      <c r="AJ67" s="7">
        <f t="shared" si="1106"/>
        <v>482461.82638980291</v>
      </c>
      <c r="AK67" s="7">
        <f t="shared" si="1106"/>
        <v>475914.31402944616</v>
      </c>
      <c r="AL67" s="7">
        <f t="shared" si="1106"/>
        <v>423924.49501873774</v>
      </c>
      <c r="AM67" s="7">
        <f t="shared" si="1106"/>
        <v>462753.74143499188</v>
      </c>
      <c r="AN67" s="7">
        <f t="shared" si="1106"/>
        <v>441426.32463688951</v>
      </c>
      <c r="AO67" s="7">
        <f t="shared" si="1106"/>
        <v>449505.28546132345</v>
      </c>
      <c r="AP67" s="7">
        <f t="shared" ref="AP67" si="1107">AO72*(AP65-AO65)*AP63/360</f>
        <v>428562.50125600497</v>
      </c>
      <c r="AQ67" s="7">
        <f t="shared" ref="AQ67" si="1108">AP72*(AQ65-AP65)*AQ63/360</f>
        <v>436168.3592427643</v>
      </c>
      <c r="AR67" s="7">
        <f t="shared" ref="AR67" si="1109">AQ72*(AR65-AQ65)*AR63/360</f>
        <v>429466.53532525076</v>
      </c>
      <c r="AS67" s="7">
        <f t="shared" ref="AS67" si="1110">AR72*(AS65-AR65)*AS63/360</f>
        <v>409105.52128517313</v>
      </c>
      <c r="AT67" s="7">
        <f t="shared" ref="AT67" si="1111">AS72*(AT65-AS65)*AT63/360</f>
        <v>415995.7947863384</v>
      </c>
      <c r="AU67" s="7">
        <f t="shared" ref="AU67" si="1112">AT72*(AU65-AT65)*AU63/360</f>
        <v>396025.8667619066</v>
      </c>
      <c r="AV67" s="7">
        <f t="shared" ref="AV67" si="1113">AU72*(AV65-AU65)*AV63/360</f>
        <v>402435.09963560512</v>
      </c>
      <c r="AW67" s="7">
        <f t="shared" ref="AW67" si="1114">AV72*(AW65-AV65)*AW63/360</f>
        <v>395620.83151940105</v>
      </c>
      <c r="AX67" s="7">
        <f t="shared" ref="AX67" si="1115">AW72*(AX65-AW65)*AX63/360</f>
        <v>351159.60570748401</v>
      </c>
      <c r="AY67" s="7">
        <f t="shared" ref="AY67" si="1116">AX72*(AY65-AX65)*AY63/360</f>
        <v>381924.07689174084</v>
      </c>
      <c r="AZ67" s="7">
        <f t="shared" ref="AZ67" si="1117">AY72*(AZ65-AY65)*AZ63/360</f>
        <v>362943.32777392637</v>
      </c>
      <c r="BA67" s="7">
        <f t="shared" ref="BA67" si="1118">AZ72*(BA65-AZ65)*BA63/360</f>
        <v>368135.85838040023</v>
      </c>
      <c r="BB67" s="7">
        <f t="shared" ref="BB67" si="1119">BA72*(BB65-BA65)*BB63/360</f>
        <v>349555.41238065698</v>
      </c>
      <c r="BC67" s="7">
        <f t="shared" ref="BC67" si="1120">BB72*(BC65-BB65)*BC63/360</f>
        <v>354255.56520988955</v>
      </c>
      <c r="BD67" s="7">
        <f t="shared" ref="BD67" si="1121">BC72*(BD65-BC65)*BD63/360</f>
        <v>347280.69864559983</v>
      </c>
      <c r="BE67" s="7">
        <f t="shared" ref="BE67" si="1122">BD72*(BE65-BD65)*BE63/360</f>
        <v>329305.72502525395</v>
      </c>
      <c r="BF67" s="7">
        <f t="shared" ref="BF67" si="1123">BE72*(BF65-BE65)*BF63/360</f>
        <v>333261.13935286005</v>
      </c>
      <c r="BG67" s="7">
        <f t="shared" ref="BG67" si="1124">BF72*(BG65-BF65)*BG63/360</f>
        <v>315693.18519585184</v>
      </c>
      <c r="BH67" s="7">
        <f t="shared" ref="BH67" si="1125">BG72*(BH65-BG65)*BH63/360</f>
        <v>319147.96055862104</v>
      </c>
      <c r="BI67" s="7">
        <f t="shared" ref="BI67" si="1126">BH72*(BI65-BH65)*BI63/360</f>
        <v>312056.06864549371</v>
      </c>
      <c r="BJ67" s="7">
        <f t="shared" ref="BJ67" si="1127">BI72*(BJ65-BI65)*BJ63/360</f>
        <v>285266.95405442012</v>
      </c>
      <c r="BK67" s="7">
        <f t="shared" ref="BK67" si="1128">BJ72*(BK65-BJ65)*BK63/360</f>
        <v>297801.28710130882</v>
      </c>
      <c r="BL67" s="7">
        <f t="shared" ref="BL67" si="1129">BK72*(BL65-BK65)*BL63/360</f>
        <v>281262.81252579729</v>
      </c>
      <c r="BM67" s="7">
        <f t="shared" ref="BM67" si="1130">BL72*(BM65-BL65)*BM63/360</f>
        <v>283451.31529370107</v>
      </c>
      <c r="BN67" s="7">
        <f t="shared" ref="BN67" si="1131">BM72*(BN65-BM65)*BN63/360</f>
        <v>267329.45280292653</v>
      </c>
      <c r="BO67" s="7">
        <f t="shared" ref="BO67" si="1132">BN72*(BO65-BN65)*BO63/360</f>
        <v>269005.51756324479</v>
      </c>
      <c r="BP67" s="7">
        <f t="shared" ref="BP67" si="1133">BO72*(BP65-BO65)*BP63/360</f>
        <v>261746.48417346628</v>
      </c>
      <c r="BQ67" s="7">
        <f t="shared" ref="BQ67" si="1134">BP72*(BQ65-BP65)*BQ63/360</f>
        <v>246254.76194102102</v>
      </c>
      <c r="BR67" s="7">
        <f t="shared" ref="BR67" si="1135">BQ72*(BR65-BQ65)*BR63/360</f>
        <v>247155.74640408481</v>
      </c>
      <c r="BS67" s="7">
        <f t="shared" ref="BS67" si="1136">BR72*(BS65-BR65)*BS63/360</f>
        <v>232087.62623591194</v>
      </c>
      <c r="BT67" s="7">
        <f t="shared" ref="BT67" si="1137">BS72*(BT65-BS65)*BT63/360</f>
        <v>232467.57493026555</v>
      </c>
      <c r="BU67" s="7">
        <f t="shared" ref="BU67" si="1138">BT72*(BU65-BT65)*BU63/360</f>
        <v>225086.74839837709</v>
      </c>
      <c r="BV67" s="7">
        <f t="shared" ref="BV67" si="1139">BU72*(BV65-BU65)*BV63/360</f>
        <v>196615.38500382917</v>
      </c>
      <c r="BW67" s="7">
        <f t="shared" ref="BW67" si="1140">BV72*(BW65-BV65)*BW63/360</f>
        <v>210251.20506009753</v>
      </c>
      <c r="BX67" s="7">
        <f t="shared" ref="BX67" si="1141">BW72*(BX65-BW65)*BX63/360</f>
        <v>196254.50705997596</v>
      </c>
      <c r="BY67" s="7">
        <f t="shared" ref="BY67" si="1142">BX72*(BY65-BX65)*BY63/360</f>
        <v>195316.59326019234</v>
      </c>
      <c r="BZ67" s="7">
        <f t="shared" ref="BZ67" si="1143">BY72*(BZ65-BY65)*BZ63/360</f>
        <v>181753.48076393898</v>
      </c>
      <c r="CA67" s="7">
        <f t="shared" ref="CA67" si="1144">BZ72*(CA65-BZ65)*CA63/360</f>
        <v>180282.25144149005</v>
      </c>
      <c r="CB67" s="7">
        <f t="shared" ref="CB67" si="1145">CA72*(CB65-CA65)*CB63/360</f>
        <v>172727.4738313056</v>
      </c>
      <c r="CC67" s="7">
        <f t="shared" ref="CC67" si="1146">CB72*(CC65-CB65)*CC63/360</f>
        <v>159820.17447976186</v>
      </c>
      <c r="CD67" s="7">
        <f t="shared" ref="CD67" si="1147">CC72*(CD65-CC65)*CD63/360</f>
        <v>157542.28689286151</v>
      </c>
      <c r="CE67" s="7">
        <f t="shared" ref="CE67" si="1148">CD72*(CE65-CD65)*CE63/360</f>
        <v>145075.84780727257</v>
      </c>
      <c r="CF67" s="7">
        <f t="shared" ref="CF67" si="1149">CE72*(CF65-CE65)*CF63/360</f>
        <v>142255.69665052847</v>
      </c>
      <c r="CG67" s="7">
        <f t="shared" ref="CG67" si="1150">CF72*(CG65-CF65)*CG63/360</f>
        <v>134574.16385770749</v>
      </c>
      <c r="CH67" s="7">
        <f t="shared" ref="CH67" si="1151">CG72*(CH65-CG65)*CH63/360</f>
        <v>114589.57183084391</v>
      </c>
      <c r="CI67" s="7">
        <f t="shared" ref="CI67" si="1152">CH72*(CI65-CH65)*CI63/360</f>
        <v>119134.19759377305</v>
      </c>
      <c r="CJ67" s="7">
        <f t="shared" ref="CJ67" si="1153">CI72*(CJ65-CI65)*CJ63/360</f>
        <v>107782.83206848025</v>
      </c>
      <c r="CK67" s="7">
        <f t="shared" ref="CK67" si="1154">CJ72*(CK65-CJ65)*CK63/360</f>
        <v>103591.12666623163</v>
      </c>
      <c r="CL67" s="7">
        <f t="shared" ref="CL67" si="1155">CK72*(CL65-CK65)*CL63/360</f>
        <v>92691.01158722231</v>
      </c>
      <c r="CM67" s="7">
        <f t="shared" ref="CM67" si="1156">CL72*(CM65-CL65)*CM63/360</f>
        <v>87944.262565051875</v>
      </c>
      <c r="CN67" s="7">
        <f t="shared" ref="CN67" si="1157">CM72*(CN65-CM65)*CN63/360</f>
        <v>80081.691658612675</v>
      </c>
      <c r="CO67" s="7">
        <f t="shared" ref="CO67" si="1158">CN72*(CO65-CN65)*CO63/360</f>
        <v>69864.108563695481</v>
      </c>
      <c r="CP67" s="7">
        <f t="shared" ref="CP67" si="1159">CO72*(CP65-CO65)*CP63/360</f>
        <v>64277.836774770905</v>
      </c>
      <c r="CQ67" s="7">
        <f t="shared" ref="CQ67" si="1160">CP72*(CQ65-CP65)*CQ63/360</f>
        <v>54519.075273255592</v>
      </c>
      <c r="CR67" s="7">
        <f t="shared" ref="CR67" si="1161">CQ72*(CR65-CQ65)*CR63/360</f>
        <v>48368.447259982611</v>
      </c>
      <c r="CS67" s="7">
        <f t="shared" ref="CS67" si="1162">CR72*(CS65-CR65)*CS63/360</f>
        <v>40373.956969193183</v>
      </c>
      <c r="CT67" s="7">
        <f t="shared" ref="CT67" si="1163">CS72*(CT65-CS65)*CT63/360</f>
        <v>29221.900469940796</v>
      </c>
      <c r="CU67" s="7">
        <f t="shared" ref="CU67" si="1164">CT72*(CU65-CT65)*CU63/360</f>
        <v>24304.942657036525</v>
      </c>
      <c r="CV67" s="7">
        <f t="shared" ref="CV67" si="1165">CU72*(CV65-CU65)*CV63/360</f>
        <v>15706.68453313284</v>
      </c>
      <c r="CW67" s="7">
        <f t="shared" ref="CW67" si="1166">CV72*(CW65-CV65)*CW63/360</f>
        <v>8128.6230381953528</v>
      </c>
    </row>
    <row r="68" spans="1:101" x14ac:dyDescent="0.2">
      <c r="A68" s="2" t="s">
        <v>12</v>
      </c>
      <c r="B68" s="159">
        <f>B67</f>
        <v>0</v>
      </c>
      <c r="C68" s="159">
        <f>B68+C67</f>
        <v>0</v>
      </c>
      <c r="D68" s="159">
        <f>C68+D67</f>
        <v>0</v>
      </c>
      <c r="E68" s="159">
        <f>D68+E67</f>
        <v>0</v>
      </c>
      <c r="F68" s="159">
        <f t="shared" ref="F68" si="1167">E68+F67</f>
        <v>0</v>
      </c>
      <c r="G68" s="159">
        <f t="shared" ref="G68" si="1168">G67+F68</f>
        <v>2478486.1111111115</v>
      </c>
      <c r="H68" s="159">
        <f t="shared" ref="H68" si="1169">H67+G68</f>
        <v>4461275</v>
      </c>
      <c r="I68" s="159">
        <f t="shared" ref="I68" si="1170">I67+H68</f>
        <v>6444063.888888889</v>
      </c>
      <c r="J68" s="159">
        <f t="shared" ref="J68" si="1171">J67+I68</f>
        <v>8492219.444444444</v>
      </c>
      <c r="K68" s="159">
        <f t="shared" ref="K68" si="1172">K67+J68</f>
        <v>10413046.180555556</v>
      </c>
      <c r="L68" s="3">
        <f t="shared" ref="L68" si="1173">L67+K68</f>
        <v>11046285.76388889</v>
      </c>
      <c r="M68" s="3">
        <f t="shared" ref="M68" si="1174">M67+L68</f>
        <v>11633016.255546553</v>
      </c>
      <c r="N68" s="3">
        <f t="shared" ref="N68" si="1175">N67+M68</f>
        <v>12254145.849472672</v>
      </c>
      <c r="O68" s="3">
        <f t="shared" ref="O68" si="1176">O67+N68</f>
        <v>12869190.156930223</v>
      </c>
      <c r="P68" s="3">
        <f t="shared" ref="P68" si="1177">P67+O68</f>
        <v>13438842.52352125</v>
      </c>
      <c r="Q68" s="3">
        <f t="shared" ref="Q68" si="1178">Q67+P68</f>
        <v>14061100.912209181</v>
      </c>
      <c r="R68" s="3">
        <f t="shared" ref="R68" si="1179">R67+Q68</f>
        <v>14638520.078312324</v>
      </c>
      <c r="S68" s="3">
        <f t="shared" ref="S68" si="1180">S67+R68</f>
        <v>15190922.968682691</v>
      </c>
      <c r="T68" s="3">
        <f t="shared" ref="T68" si="1181">T67+S68</f>
        <v>15812932.788649324</v>
      </c>
      <c r="U68" s="3">
        <f t="shared" ref="U68" si="1182">U67+T68</f>
        <v>16372388.508832145</v>
      </c>
      <c r="V68" s="3">
        <f t="shared" ref="V68" si="1183">V67+U68</f>
        <v>16944264.048720036</v>
      </c>
      <c r="W68" s="3">
        <f t="shared" ref="W68" si="1184">W67+V68</f>
        <v>17491644.119596675</v>
      </c>
      <c r="X68" s="3">
        <f t="shared" ref="X68" si="1185">X67+W68</f>
        <v>18050999.894631676</v>
      </c>
      <c r="Y68" s="3">
        <f t="shared" ref="Y68" si="1186">Y67+X68</f>
        <v>18604064.470468469</v>
      </c>
      <c r="Z68" s="3">
        <f t="shared" ref="Z68" si="1187">Z67+Y68</f>
        <v>19097905.353284232</v>
      </c>
      <c r="AA68" s="3">
        <f t="shared" ref="AA68" si="1188">AA67+Z68</f>
        <v>19638324.54883042</v>
      </c>
      <c r="AB68" s="3">
        <f t="shared" ref="AB68" si="1189">AB67+AA68</f>
        <v>20155161.524072051</v>
      </c>
      <c r="AC68" s="3">
        <f t="shared" ref="AC68" si="1190">AC67+AB68</f>
        <v>20682850.896288134</v>
      </c>
      <c r="AD68" s="3">
        <f t="shared" ref="AD68" si="1191">AD67+AC68</f>
        <v>21187327.623715695</v>
      </c>
      <c r="AE68" s="3">
        <f t="shared" ref="AE68" si="1192">AE67+AD68</f>
        <v>21702202.165670324</v>
      </c>
      <c r="AF68" s="3">
        <f t="shared" ref="AF68" si="1193">AF67+AE68</f>
        <v>22210637.237649813</v>
      </c>
      <c r="AG68" s="3">
        <f t="shared" ref="AG68" si="1194">AG67+AF68</f>
        <v>22696418.660654102</v>
      </c>
      <c r="AH68" s="3">
        <f t="shared" ref="AH68" si="1195">AH67+AG68</f>
        <v>23191910.326433893</v>
      </c>
      <c r="AI68" s="3">
        <f t="shared" ref="AI68" si="1196">AI67+AH68</f>
        <v>23665124.119547509</v>
      </c>
      <c r="AJ68" s="3">
        <f t="shared" ref="AJ68" si="1197">AJ67+AI68</f>
        <v>24147585.945937313</v>
      </c>
      <c r="AK68" s="3">
        <f t="shared" ref="AK68" si="1198">AK67+AJ68</f>
        <v>24623500.259966761</v>
      </c>
      <c r="AL68" s="3">
        <f t="shared" ref="AL68" si="1199">AL67+AK68</f>
        <v>25047424.7549855</v>
      </c>
      <c r="AM68" s="3">
        <f t="shared" ref="AM68" si="1200">AM67+AL68</f>
        <v>25510178.496420491</v>
      </c>
      <c r="AN68" s="3">
        <f t="shared" ref="AN68" si="1201">AN67+AM68</f>
        <v>25951604.821057379</v>
      </c>
      <c r="AO68" s="3">
        <f t="shared" ref="AO68" si="1202">AO67+AN68</f>
        <v>26401110.106518704</v>
      </c>
      <c r="AP68" s="3">
        <f t="shared" ref="AP68" si="1203">AP67+AO68</f>
        <v>26829672.607774708</v>
      </c>
      <c r="AQ68" s="3">
        <f t="shared" ref="AQ68" si="1204">AQ67+AP68</f>
        <v>27265840.967017472</v>
      </c>
      <c r="AR68" s="3">
        <f t="shared" ref="AR68" si="1205">AR67+AQ68</f>
        <v>27695307.502342723</v>
      </c>
      <c r="AS68" s="3">
        <f t="shared" ref="AS68" si="1206">AS67+AR68</f>
        <v>28104413.023627896</v>
      </c>
      <c r="AT68" s="3">
        <f t="shared" ref="AT68" si="1207">AT67+AS68</f>
        <v>28520408.818414234</v>
      </c>
      <c r="AU68" s="3">
        <f t="shared" ref="AU68" si="1208">AU67+AT68</f>
        <v>28916434.685176142</v>
      </c>
      <c r="AV68" s="3">
        <f t="shared" ref="AV68" si="1209">AV67+AU68</f>
        <v>29318869.784811746</v>
      </c>
      <c r="AW68" s="3">
        <f t="shared" ref="AW68" si="1210">AW67+AV68</f>
        <v>29714490.616331149</v>
      </c>
      <c r="AX68" s="3">
        <f t="shared" ref="AX68" si="1211">AX67+AW68</f>
        <v>30065650.222038634</v>
      </c>
      <c r="AY68" s="3">
        <f t="shared" ref="AY68" si="1212">AY67+AX68</f>
        <v>30447574.298930377</v>
      </c>
      <c r="AZ68" s="3">
        <f t="shared" ref="AZ68" si="1213">AZ67+AY68</f>
        <v>30810517.626704302</v>
      </c>
      <c r="BA68" s="3">
        <f t="shared" ref="BA68" si="1214">BA67+AZ68</f>
        <v>31178653.485084701</v>
      </c>
      <c r="BB68" s="3">
        <f t="shared" ref="BB68" si="1215">BB67+BA68</f>
        <v>31528208.897465359</v>
      </c>
      <c r="BC68" s="3">
        <f t="shared" ref="BC68" si="1216">BC67+BB68</f>
        <v>31882464.462675247</v>
      </c>
      <c r="BD68" s="3">
        <f t="shared" ref="BD68" si="1217">BD67+BC68</f>
        <v>32229745.161320847</v>
      </c>
      <c r="BE68" s="3">
        <f t="shared" ref="BE68" si="1218">BE67+BD68</f>
        <v>32559050.886346102</v>
      </c>
      <c r="BF68" s="3">
        <f t="shared" ref="BF68" si="1219">BF67+BE68</f>
        <v>32892312.025698964</v>
      </c>
      <c r="BG68" s="3">
        <f t="shared" ref="BG68" si="1220">BG67+BF68</f>
        <v>33208005.210894816</v>
      </c>
      <c r="BH68" s="3">
        <f t="shared" ref="BH68" si="1221">BH67+BG68</f>
        <v>33527153.171453435</v>
      </c>
      <c r="BI68" s="3">
        <f t="shared" ref="BI68" si="1222">BI67+BH68</f>
        <v>33839209.240098931</v>
      </c>
      <c r="BJ68" s="3">
        <f t="shared" ref="BJ68" si="1223">BJ67+BI68</f>
        <v>34124476.194153354</v>
      </c>
      <c r="BK68" s="3">
        <f t="shared" ref="BK68" si="1224">BK67+BJ68</f>
        <v>34422277.48125466</v>
      </c>
      <c r="BL68" s="3">
        <f t="shared" ref="BL68" si="1225">BL67+BK68</f>
        <v>34703540.293780454</v>
      </c>
      <c r="BM68" s="3">
        <f t="shared" ref="BM68" si="1226">BM67+BL68</f>
        <v>34986991.609074153</v>
      </c>
      <c r="BN68" s="3">
        <f t="shared" ref="BN68" si="1227">BN67+BM68</f>
        <v>35254321.061877079</v>
      </c>
      <c r="BO68" s="3">
        <f t="shared" ref="BO68" si="1228">BO67+BN68</f>
        <v>35523326.579440325</v>
      </c>
      <c r="BP68" s="3">
        <f t="shared" ref="BP68" si="1229">BP67+BO68</f>
        <v>35785073.063613795</v>
      </c>
      <c r="BQ68" s="3">
        <f t="shared" ref="BQ68" si="1230">BQ67+BP68</f>
        <v>36031327.825554818</v>
      </c>
      <c r="BR68" s="3">
        <f t="shared" ref="BR68" si="1231">BR67+BQ68</f>
        <v>36278483.571958899</v>
      </c>
      <c r="BS68" s="3">
        <f t="shared" ref="BS68" si="1232">BS67+BR68</f>
        <v>36510571.198194809</v>
      </c>
      <c r="BT68" s="3">
        <f t="shared" ref="BT68" si="1233">BT67+BS68</f>
        <v>36743038.773125075</v>
      </c>
      <c r="BU68" s="3">
        <f t="shared" ref="BU68" si="1234">BU67+BT68</f>
        <v>36968125.521523453</v>
      </c>
      <c r="BV68" s="3">
        <f t="shared" ref="BV68" si="1235">BV67+BU68</f>
        <v>37164740.906527281</v>
      </c>
      <c r="BW68" s="3">
        <f t="shared" ref="BW68" si="1236">BW67+BV68</f>
        <v>37374992.111587375</v>
      </c>
      <c r="BX68" s="3">
        <f t="shared" ref="BX68" si="1237">BX67+BW68</f>
        <v>37571246.618647352</v>
      </c>
      <c r="BY68" s="3">
        <f t="shared" ref="BY68" si="1238">BY67+BX68</f>
        <v>37766563.211907543</v>
      </c>
      <c r="BZ68" s="3">
        <f t="shared" ref="BZ68" si="1239">BZ67+BY68</f>
        <v>37948316.692671485</v>
      </c>
      <c r="CA68" s="3">
        <f t="shared" ref="CA68" si="1240">CA67+BZ68</f>
        <v>38128598.944112979</v>
      </c>
      <c r="CB68" s="3">
        <f t="shared" ref="CB68" si="1241">CB67+CA68</f>
        <v>38301326.417944282</v>
      </c>
      <c r="CC68" s="3">
        <f t="shared" ref="CC68" si="1242">CC67+CB68</f>
        <v>38461146.592424043</v>
      </c>
      <c r="CD68" s="3">
        <f t="shared" ref="CD68" si="1243">CD67+CC68</f>
        <v>38618688.879316904</v>
      </c>
      <c r="CE68" s="3">
        <f t="shared" ref="CE68" si="1244">CE67+CD68</f>
        <v>38763764.727124177</v>
      </c>
      <c r="CF68" s="3">
        <f t="shared" ref="CF68" si="1245">CF67+CE68</f>
        <v>38906020.423774704</v>
      </c>
      <c r="CG68" s="3">
        <f t="shared" ref="CG68" si="1246">CG67+CF68</f>
        <v>39040594.58763241</v>
      </c>
      <c r="CH68" s="3">
        <f t="shared" ref="CH68" si="1247">CH67+CG68</f>
        <v>39155184.159463257</v>
      </c>
      <c r="CI68" s="3">
        <f t="shared" ref="CI68" si="1248">CI67+CH68</f>
        <v>39274318.357057028</v>
      </c>
      <c r="CJ68" s="3">
        <f t="shared" ref="CJ68" si="1249">CJ67+CI68</f>
        <v>39382101.189125508</v>
      </c>
      <c r="CK68" s="3">
        <f t="shared" ref="CK68" si="1250">CK67+CJ68</f>
        <v>39485692.315791741</v>
      </c>
      <c r="CL68" s="3">
        <f t="shared" ref="CL68" si="1251">CL67+CK68</f>
        <v>39578383.327378966</v>
      </c>
      <c r="CM68" s="3">
        <f t="shared" ref="CM68" si="1252">CM67+CL68</f>
        <v>39666327.58994402</v>
      </c>
      <c r="CN68" s="3">
        <f t="shared" ref="CN68" si="1253">CN67+CM68</f>
        <v>39746409.281602636</v>
      </c>
      <c r="CO68" s="3">
        <f t="shared" ref="CO68" si="1254">CO67+CN68</f>
        <v>39816273.390166335</v>
      </c>
      <c r="CP68" s="3">
        <f t="shared" ref="CP68" si="1255">CP67+CO68</f>
        <v>39880551.226941109</v>
      </c>
      <c r="CQ68" s="3">
        <f t="shared" ref="CQ68" si="1256">CQ67+CP68</f>
        <v>39935070.302214362</v>
      </c>
      <c r="CR68" s="3">
        <f t="shared" ref="CR68" si="1257">CR67+CQ68</f>
        <v>39983438.749474347</v>
      </c>
      <c r="CS68" s="3">
        <f t="shared" ref="CS68" si="1258">CS67+CR68</f>
        <v>40023812.706443541</v>
      </c>
      <c r="CT68" s="3">
        <f t="shared" ref="CT68" si="1259">CT67+CS68</f>
        <v>40053034.606913485</v>
      </c>
      <c r="CU68" s="3">
        <f t="shared" ref="CU68" si="1260">CU67+CT68</f>
        <v>40077339.549570523</v>
      </c>
      <c r="CV68" s="3">
        <f t="shared" ref="CV68" si="1261">CV67+CU68</f>
        <v>40093046.234103657</v>
      </c>
      <c r="CW68" s="3">
        <f t="shared" ref="CW68" si="1262">CW67+CV68</f>
        <v>40101174.857141852</v>
      </c>
    </row>
    <row r="69" spans="1:101" x14ac:dyDescent="0.2">
      <c r="A69" s="2" t="s">
        <v>7</v>
      </c>
      <c r="B69" s="159">
        <v>0</v>
      </c>
      <c r="C69" s="159">
        <v>0</v>
      </c>
      <c r="D69" s="159">
        <v>0</v>
      </c>
      <c r="E69" s="159">
        <v>0</v>
      </c>
      <c r="F69" s="159">
        <v>0</v>
      </c>
      <c r="G69" s="159">
        <v>0</v>
      </c>
      <c r="H69" s="159">
        <v>0</v>
      </c>
      <c r="I69" s="159">
        <v>0</v>
      </c>
      <c r="J69" s="159">
        <f>$E$17/$C$13</f>
        <v>6128125</v>
      </c>
      <c r="K69" s="159">
        <f t="shared" ref="K69" si="1263">$E$17/$C$13</f>
        <v>6128125</v>
      </c>
      <c r="L69" s="3">
        <f>-PPMT($L$63/12,L64,$CW$64,$L$66,0)</f>
        <v>1754976.7269323987</v>
      </c>
      <c r="M69" s="3">
        <f t="shared" ref="M69:BX69" si="1264">-PPMT($L$63/12,M64,$CW$64,$L$66,0)</f>
        <v>1760826.6493555072</v>
      </c>
      <c r="N69" s="3">
        <f t="shared" si="1264"/>
        <v>1766696.0715200251</v>
      </c>
      <c r="O69" s="3">
        <f t="shared" si="1264"/>
        <v>1772585.0584250921</v>
      </c>
      <c r="P69" s="3">
        <f t="shared" si="1264"/>
        <v>1778493.6752865089</v>
      </c>
      <c r="Q69" s="3">
        <f t="shared" si="1264"/>
        <v>1784421.9875374641</v>
      </c>
      <c r="R69" s="3">
        <f t="shared" si="1264"/>
        <v>1790370.0608292557</v>
      </c>
      <c r="S69" s="3">
        <f t="shared" si="1264"/>
        <v>1796337.9610320199</v>
      </c>
      <c r="T69" s="3">
        <f t="shared" si="1264"/>
        <v>1802325.7542354597</v>
      </c>
      <c r="U69" s="3">
        <f t="shared" si="1264"/>
        <v>1808333.5067495781</v>
      </c>
      <c r="V69" s="3">
        <f t="shared" si="1264"/>
        <v>1814361.2851054098</v>
      </c>
      <c r="W69" s="3">
        <f t="shared" si="1264"/>
        <v>1820409.1560557613</v>
      </c>
      <c r="X69" s="3">
        <f t="shared" si="1264"/>
        <v>1826477.1865759473</v>
      </c>
      <c r="Y69" s="3">
        <f t="shared" si="1264"/>
        <v>1832565.4438645337</v>
      </c>
      <c r="Z69" s="3">
        <f t="shared" si="1264"/>
        <v>1838673.9953440821</v>
      </c>
      <c r="AA69" s="3">
        <f t="shared" si="1264"/>
        <v>1844802.9086618957</v>
      </c>
      <c r="AB69" s="3">
        <f t="shared" si="1264"/>
        <v>1850952.2516907689</v>
      </c>
      <c r="AC69" s="3">
        <f t="shared" si="1264"/>
        <v>1857122.0925297381</v>
      </c>
      <c r="AD69" s="3">
        <f t="shared" si="1264"/>
        <v>1863312.4995048372</v>
      </c>
      <c r="AE69" s="3">
        <f t="shared" si="1264"/>
        <v>1869523.5411698534</v>
      </c>
      <c r="AF69" s="3">
        <f t="shared" si="1264"/>
        <v>1875755.2863070862</v>
      </c>
      <c r="AG69" s="3">
        <f t="shared" si="1264"/>
        <v>1882007.8039281096</v>
      </c>
      <c r="AH69" s="3">
        <f t="shared" si="1264"/>
        <v>1888281.1632745366</v>
      </c>
      <c r="AI69" s="3">
        <f t="shared" si="1264"/>
        <v>1894575.4338187855</v>
      </c>
      <c r="AJ69" s="3">
        <f t="shared" si="1264"/>
        <v>1900890.6852648477</v>
      </c>
      <c r="AK69" s="3">
        <f t="shared" si="1264"/>
        <v>1907226.987549064</v>
      </c>
      <c r="AL69" s="3">
        <f t="shared" si="1264"/>
        <v>1913584.4108408941</v>
      </c>
      <c r="AM69" s="3">
        <f t="shared" si="1264"/>
        <v>1919963.0255436974</v>
      </c>
      <c r="AN69" s="3">
        <f t="shared" si="1264"/>
        <v>1926362.9022955094</v>
      </c>
      <c r="AO69" s="3">
        <f t="shared" si="1264"/>
        <v>1932784.1119698279</v>
      </c>
      <c r="AP69" s="3">
        <f t="shared" si="1264"/>
        <v>1939226.7256763941</v>
      </c>
      <c r="AQ69" s="3">
        <f t="shared" si="1264"/>
        <v>1945690.8147619821</v>
      </c>
      <c r="AR69" s="3">
        <f t="shared" si="1264"/>
        <v>1952176.4508111887</v>
      </c>
      <c r="AS69" s="3">
        <f t="shared" si="1264"/>
        <v>1958683.705647226</v>
      </c>
      <c r="AT69" s="3">
        <f t="shared" si="1264"/>
        <v>1965212.6513327167</v>
      </c>
      <c r="AU69" s="3">
        <f t="shared" si="1264"/>
        <v>1971763.3601704924</v>
      </c>
      <c r="AV69" s="3">
        <f t="shared" si="1264"/>
        <v>1978335.9047043941</v>
      </c>
      <c r="AW69" s="3">
        <f t="shared" si="1264"/>
        <v>1984930.3577200752</v>
      </c>
      <c r="AX69" s="3">
        <f t="shared" si="1264"/>
        <v>1991546.792245809</v>
      </c>
      <c r="AY69" s="3">
        <f t="shared" si="1264"/>
        <v>1998185.2815532947</v>
      </c>
      <c r="AZ69" s="3">
        <f t="shared" si="1264"/>
        <v>2004845.8991584724</v>
      </c>
      <c r="BA69" s="3">
        <f t="shared" si="1264"/>
        <v>2011528.718822334</v>
      </c>
      <c r="BB69" s="3">
        <f t="shared" si="1264"/>
        <v>2018233.8145517418</v>
      </c>
      <c r="BC69" s="3">
        <f t="shared" si="1264"/>
        <v>2024961.2606002474</v>
      </c>
      <c r="BD69" s="3">
        <f t="shared" si="1264"/>
        <v>2031711.1314689154</v>
      </c>
      <c r="BE69" s="3">
        <f t="shared" si="1264"/>
        <v>2038483.5019071449</v>
      </c>
      <c r="BF69" s="3">
        <f t="shared" si="1264"/>
        <v>2045278.4469135019</v>
      </c>
      <c r="BG69" s="3">
        <f t="shared" si="1264"/>
        <v>2052096.0417365474</v>
      </c>
      <c r="BH69" s="3">
        <f t="shared" si="1264"/>
        <v>2058936.3618756689</v>
      </c>
      <c r="BI69" s="3">
        <f t="shared" si="1264"/>
        <v>2065799.483081921</v>
      </c>
      <c r="BJ69" s="3">
        <f t="shared" si="1264"/>
        <v>2072685.4813588609</v>
      </c>
      <c r="BK69" s="3">
        <f t="shared" si="1264"/>
        <v>2079594.4329633904</v>
      </c>
      <c r="BL69" s="3">
        <f t="shared" si="1264"/>
        <v>2086526.4144066018</v>
      </c>
      <c r="BM69" s="3">
        <f t="shared" si="1264"/>
        <v>2093481.5024546236</v>
      </c>
      <c r="BN69" s="3">
        <f t="shared" si="1264"/>
        <v>2100459.7741294722</v>
      </c>
      <c r="BO69" s="3">
        <f t="shared" si="1264"/>
        <v>2107461.3067099042</v>
      </c>
      <c r="BP69" s="3">
        <f t="shared" si="1264"/>
        <v>2114486.1777322702</v>
      </c>
      <c r="BQ69" s="3">
        <f t="shared" si="1264"/>
        <v>2121534.4649913781</v>
      </c>
      <c r="BR69" s="3">
        <f t="shared" si="1264"/>
        <v>2128606.2465413492</v>
      </c>
      <c r="BS69" s="3">
        <f t="shared" si="1264"/>
        <v>2135701.6006964869</v>
      </c>
      <c r="BT69" s="3">
        <f t="shared" si="1264"/>
        <v>2142820.6060321419</v>
      </c>
      <c r="BU69" s="3">
        <f t="shared" si="1264"/>
        <v>2149963.3413855825</v>
      </c>
      <c r="BV69" s="3">
        <f t="shared" si="1264"/>
        <v>2157129.8858568678</v>
      </c>
      <c r="BW69" s="3">
        <f t="shared" si="1264"/>
        <v>2164320.3188097239</v>
      </c>
      <c r="BX69" s="3">
        <f t="shared" si="1264"/>
        <v>2171534.719872423</v>
      </c>
      <c r="BY69" s="3">
        <f t="shared" ref="BY69:CW69" si="1265">-PPMT($L$63/12,BY64,$CW$64,$L$66,0)</f>
        <v>2178773.1689386647</v>
      </c>
      <c r="BZ69" s="3">
        <f t="shared" si="1265"/>
        <v>2186035.7461684602</v>
      </c>
      <c r="CA69" s="3">
        <f t="shared" si="1265"/>
        <v>2193322.5319890212</v>
      </c>
      <c r="CB69" s="3">
        <f t="shared" si="1265"/>
        <v>2200633.6070956518</v>
      </c>
      <c r="CC69" s="3">
        <f t="shared" si="1265"/>
        <v>2207969.0524526369</v>
      </c>
      <c r="CD69" s="3">
        <f t="shared" si="1265"/>
        <v>2215328.9492941462</v>
      </c>
      <c r="CE69" s="3">
        <f t="shared" si="1265"/>
        <v>2222713.3791251262</v>
      </c>
      <c r="CF69" s="3">
        <f t="shared" si="1265"/>
        <v>2230122.4237222099</v>
      </c>
      <c r="CG69" s="3">
        <f t="shared" si="1265"/>
        <v>2237556.1651346176</v>
      </c>
      <c r="CH69" s="3">
        <f t="shared" si="1265"/>
        <v>2245014.685685066</v>
      </c>
      <c r="CI69" s="3">
        <f t="shared" si="1265"/>
        <v>2252498.0679706833</v>
      </c>
      <c r="CJ69" s="3">
        <f t="shared" si="1265"/>
        <v>2260006.3948639189</v>
      </c>
      <c r="CK69" s="3">
        <f t="shared" si="1265"/>
        <v>2267539.7495134654</v>
      </c>
      <c r="CL69" s="3">
        <f t="shared" si="1265"/>
        <v>2275098.2153451764</v>
      </c>
      <c r="CM69" s="3">
        <f t="shared" si="1265"/>
        <v>2282681.8760629944</v>
      </c>
      <c r="CN69" s="3">
        <f t="shared" si="1265"/>
        <v>2290290.8156498703</v>
      </c>
      <c r="CO69" s="3">
        <f t="shared" si="1265"/>
        <v>2297925.1183687034</v>
      </c>
      <c r="CP69" s="3">
        <f t="shared" si="1265"/>
        <v>2305584.8687632657</v>
      </c>
      <c r="CQ69" s="3">
        <f t="shared" si="1265"/>
        <v>2313270.1516591436</v>
      </c>
      <c r="CR69" s="3">
        <f t="shared" si="1265"/>
        <v>2320981.0521646738</v>
      </c>
      <c r="CS69" s="3">
        <f t="shared" si="1265"/>
        <v>2328717.6556718894</v>
      </c>
      <c r="CT69" s="3">
        <f t="shared" si="1265"/>
        <v>2336480.0478574624</v>
      </c>
      <c r="CU69" s="3">
        <f t="shared" si="1265"/>
        <v>2344268.3146836539</v>
      </c>
      <c r="CV69" s="3">
        <f t="shared" si="1265"/>
        <v>2352082.5423992663</v>
      </c>
      <c r="CW69" s="3">
        <f t="shared" si="1265"/>
        <v>2359922.8175405967</v>
      </c>
    </row>
    <row r="70" spans="1:101" x14ac:dyDescent="0.2">
      <c r="A70" s="2" t="s">
        <v>13</v>
      </c>
      <c r="B70" s="159">
        <v>0</v>
      </c>
      <c r="C70" s="159">
        <f t="shared" ref="C70" si="1266">C69+B70</f>
        <v>0</v>
      </c>
      <c r="D70" s="159">
        <f t="shared" ref="D70" si="1267">D69+C70</f>
        <v>0</v>
      </c>
      <c r="E70" s="159">
        <f t="shared" ref="E70" si="1268">E69+D70</f>
        <v>0</v>
      </c>
      <c r="F70" s="159">
        <f t="shared" ref="F70" si="1269">F69+E70</f>
        <v>0</v>
      </c>
      <c r="G70" s="159">
        <f t="shared" ref="G70" si="1270">G69+F70</f>
        <v>0</v>
      </c>
      <c r="H70" s="159">
        <f t="shared" ref="H70" si="1271">H69+G70</f>
        <v>0</v>
      </c>
      <c r="I70" s="159">
        <f t="shared" ref="I70" si="1272">I69+H70</f>
        <v>0</v>
      </c>
      <c r="J70" s="159">
        <f t="shared" ref="J70" si="1273">J69+I70</f>
        <v>6128125</v>
      </c>
      <c r="K70" s="159">
        <f t="shared" ref="K70" si="1274">K69+J70</f>
        <v>12256250</v>
      </c>
      <c r="L70" s="3">
        <f t="shared" ref="L70" si="1275">L69+K70</f>
        <v>14011226.726932399</v>
      </c>
      <c r="M70" s="3">
        <f t="shared" ref="M70" si="1276">M69+L70</f>
        <v>15772053.376287905</v>
      </c>
      <c r="N70" s="3">
        <f t="shared" ref="N70" si="1277">N69+M70</f>
        <v>17538749.44780793</v>
      </c>
      <c r="O70" s="3">
        <f t="shared" ref="O70" si="1278">O69+N70</f>
        <v>19311334.506233022</v>
      </c>
      <c r="P70" s="3">
        <f t="shared" ref="P70" si="1279">P69+O70</f>
        <v>21089828.181519531</v>
      </c>
      <c r="Q70" s="3">
        <f t="shared" ref="Q70" si="1280">Q69+P70</f>
        <v>22874250.169056997</v>
      </c>
      <c r="R70" s="3">
        <f t="shared" ref="R70" si="1281">R69+Q70</f>
        <v>24664620.229886252</v>
      </c>
      <c r="S70" s="3">
        <f t="shared" ref="S70" si="1282">S69+R70</f>
        <v>26460958.190918274</v>
      </c>
      <c r="T70" s="3">
        <f t="shared" ref="T70" si="1283">T69+S70</f>
        <v>28263283.945153736</v>
      </c>
      <c r="U70" s="3">
        <f t="shared" ref="U70" si="1284">U69+T70</f>
        <v>30071617.451903313</v>
      </c>
      <c r="V70" s="3">
        <f t="shared" ref="V70" si="1285">V69+U70</f>
        <v>31885978.737008724</v>
      </c>
      <c r="W70" s="3">
        <f t="shared" ref="W70" si="1286">W69+V70</f>
        <v>33706387.893064484</v>
      </c>
      <c r="X70" s="3">
        <f t="shared" ref="X70" si="1287">X69+W70</f>
        <v>35532865.079640433</v>
      </c>
      <c r="Y70" s="3">
        <f t="shared" ref="Y70" si="1288">Y69+X70</f>
        <v>37365430.523504965</v>
      </c>
      <c r="Z70" s="3">
        <f t="shared" ref="Z70" si="1289">Z69+Y70</f>
        <v>39204104.518849045</v>
      </c>
      <c r="AA70" s="3">
        <f t="shared" ref="AA70" si="1290">AA69+Z70</f>
        <v>41048907.42751094</v>
      </c>
      <c r="AB70" s="3">
        <f t="shared" ref="AB70" si="1291">AB69+AA70</f>
        <v>42899859.679201707</v>
      </c>
      <c r="AC70" s="3">
        <f t="shared" ref="AC70" si="1292">AC69+AB70</f>
        <v>44756981.771731444</v>
      </c>
      <c r="AD70" s="3">
        <f t="shared" ref="AD70" si="1293">AD69+AC70</f>
        <v>46620294.271236278</v>
      </c>
      <c r="AE70" s="3">
        <f t="shared" ref="AE70" si="1294">AE69+AD70</f>
        <v>48489817.81240613</v>
      </c>
      <c r="AF70" s="3">
        <f t="shared" ref="AF70" si="1295">AF69+AE70</f>
        <v>50365573.098713219</v>
      </c>
      <c r="AG70" s="3">
        <f t="shared" ref="AG70" si="1296">AG69+AF70</f>
        <v>52247580.902641326</v>
      </c>
      <c r="AH70" s="3">
        <f t="shared" ref="AH70" si="1297">AH69+AG70</f>
        <v>54135862.06591586</v>
      </c>
      <c r="AI70" s="3">
        <f t="shared" ref="AI70" si="1298">AI69+AH70</f>
        <v>56030437.499734648</v>
      </c>
      <c r="AJ70" s="3">
        <f t="shared" ref="AJ70" si="1299">AJ69+AI70</f>
        <v>57931328.184999496</v>
      </c>
      <c r="AK70" s="3">
        <f t="shared" ref="AK70" si="1300">AK69+AJ70</f>
        <v>59838555.172548562</v>
      </c>
      <c r="AL70" s="3">
        <f t="shared" ref="AL70" si="1301">AL69+AK70</f>
        <v>61752139.583389454</v>
      </c>
      <c r="AM70" s="3">
        <f t="shared" ref="AM70" si="1302">AM69+AL70</f>
        <v>63672102.608933151</v>
      </c>
      <c r="AN70" s="3">
        <f t="shared" ref="AN70" si="1303">AN69+AM70</f>
        <v>65598465.511228658</v>
      </c>
      <c r="AO70" s="3">
        <f t="shared" ref="AO70" si="1304">AO69+AN70</f>
        <v>67531249.623198479</v>
      </c>
      <c r="AP70" s="3">
        <f t="shared" ref="AP70" si="1305">AP69+AO70</f>
        <v>69470476.348874867</v>
      </c>
      <c r="AQ70" s="3">
        <f t="shared" ref="AQ70" si="1306">AQ69+AP70</f>
        <v>71416167.163636848</v>
      </c>
      <c r="AR70" s="3">
        <f t="shared" ref="AR70" si="1307">AR69+AQ70</f>
        <v>73368343.614448041</v>
      </c>
      <c r="AS70" s="3">
        <f t="shared" ref="AS70" si="1308">AS69+AR70</f>
        <v>75327027.320095271</v>
      </c>
      <c r="AT70" s="3">
        <f t="shared" ref="AT70" si="1309">AT69+AS70</f>
        <v>77292239.971427992</v>
      </c>
      <c r="AU70" s="3">
        <f t="shared" ref="AU70" si="1310">AU69+AT70</f>
        <v>79264003.33159849</v>
      </c>
      <c r="AV70" s="3">
        <f t="shared" ref="AV70" si="1311">AV69+AU70</f>
        <v>81242339.236302882</v>
      </c>
      <c r="AW70" s="3">
        <f t="shared" ref="AW70" si="1312">AW69+AV70</f>
        <v>83227269.594022959</v>
      </c>
      <c r="AX70" s="3">
        <f t="shared" ref="AX70" si="1313">AX69+AW70</f>
        <v>85218816.386268765</v>
      </c>
      <c r="AY70" s="3">
        <f t="shared" ref="AY70" si="1314">AY69+AX70</f>
        <v>87217001.667822063</v>
      </c>
      <c r="AZ70" s="3">
        <f t="shared" ref="AZ70" si="1315">AZ69+AY70</f>
        <v>89221847.566980541</v>
      </c>
      <c r="BA70" s="3">
        <f t="shared" ref="BA70" si="1316">BA69+AZ70</f>
        <v>91233376.285802871</v>
      </c>
      <c r="BB70" s="3">
        <f t="shared" ref="BB70" si="1317">BB69+BA70</f>
        <v>93251610.100354612</v>
      </c>
      <c r="BC70" s="3">
        <f t="shared" ref="BC70" si="1318">BC69+BB70</f>
        <v>95276571.360954866</v>
      </c>
      <c r="BD70" s="3">
        <f t="shared" ref="BD70" si="1319">BD69+BC70</f>
        <v>97308282.492423788</v>
      </c>
      <c r="BE70" s="3">
        <f t="shared" ref="BE70" si="1320">BE69+BD70</f>
        <v>99346765.994330928</v>
      </c>
      <c r="BF70" s="3">
        <f t="shared" ref="BF70" si="1321">BF69+BE70</f>
        <v>101392044.44124442</v>
      </c>
      <c r="BG70" s="3">
        <f t="shared" ref="BG70" si="1322">BG69+BF70</f>
        <v>103444140.48298097</v>
      </c>
      <c r="BH70" s="3">
        <f t="shared" ref="BH70" si="1323">BH69+BG70</f>
        <v>105503076.84485663</v>
      </c>
      <c r="BI70" s="3">
        <f t="shared" ref="BI70" si="1324">BI69+BH70</f>
        <v>107568876.32793856</v>
      </c>
      <c r="BJ70" s="3">
        <f t="shared" ref="BJ70" si="1325">BJ69+BI70</f>
        <v>109641561.80929741</v>
      </c>
      <c r="BK70" s="3">
        <f t="shared" ref="BK70" si="1326">BK69+BJ70</f>
        <v>111721156.2422608</v>
      </c>
      <c r="BL70" s="3">
        <f t="shared" ref="BL70" si="1327">BL69+BK70</f>
        <v>113807682.6566674</v>
      </c>
      <c r="BM70" s="3">
        <f t="shared" ref="BM70" si="1328">BM69+BL70</f>
        <v>115901164.15912202</v>
      </c>
      <c r="BN70" s="3">
        <f t="shared" ref="BN70" si="1329">BN69+BM70</f>
        <v>118001623.93325149</v>
      </c>
      <c r="BO70" s="3">
        <f t="shared" ref="BO70" si="1330">BO69+BN70</f>
        <v>120109085.23996139</v>
      </c>
      <c r="BP70" s="3">
        <f t="shared" ref="BP70" si="1331">BP69+BO70</f>
        <v>122223571.41769366</v>
      </c>
      <c r="BQ70" s="3">
        <f t="shared" ref="BQ70" si="1332">BQ69+BP70</f>
        <v>124345105.88268504</v>
      </c>
      <c r="BR70" s="3">
        <f t="shared" ref="BR70" si="1333">BR69+BQ70</f>
        <v>126473712.12922639</v>
      </c>
      <c r="BS70" s="3">
        <f t="shared" ref="BS70" si="1334">BS69+BR70</f>
        <v>128609413.72992288</v>
      </c>
      <c r="BT70" s="3">
        <f t="shared" ref="BT70" si="1335">BT69+BS70</f>
        <v>130752234.33595502</v>
      </c>
      <c r="BU70" s="3">
        <f t="shared" ref="BU70" si="1336">BU69+BT70</f>
        <v>132902197.67734061</v>
      </c>
      <c r="BV70" s="3">
        <f t="shared" ref="BV70" si="1337">BV69+BU70</f>
        <v>135059327.56319749</v>
      </c>
      <c r="BW70" s="3">
        <f t="shared" ref="BW70" si="1338">BW69+BV70</f>
        <v>137223647.88200721</v>
      </c>
      <c r="BX70" s="3">
        <f t="shared" ref="BX70" si="1339">BX69+BW70</f>
        <v>139395182.60187963</v>
      </c>
      <c r="BY70" s="3">
        <f t="shared" ref="BY70" si="1340">BY69+BX70</f>
        <v>141573955.77081829</v>
      </c>
      <c r="BZ70" s="3">
        <f t="shared" ref="BZ70" si="1341">BZ69+BY70</f>
        <v>143759991.51698676</v>
      </c>
      <c r="CA70" s="3">
        <f t="shared" ref="CA70" si="1342">CA69+BZ70</f>
        <v>145953314.04897577</v>
      </c>
      <c r="CB70" s="3">
        <f t="shared" ref="CB70" si="1343">CB69+CA70</f>
        <v>148153947.65607142</v>
      </c>
      <c r="CC70" s="3">
        <f t="shared" ref="CC70" si="1344">CC69+CB70</f>
        <v>150361916.70852405</v>
      </c>
      <c r="CD70" s="3">
        <f t="shared" ref="CD70" si="1345">CD69+CC70</f>
        <v>152577245.6578182</v>
      </c>
      <c r="CE70" s="3">
        <f t="shared" ref="CE70" si="1346">CE69+CD70</f>
        <v>154799959.03694332</v>
      </c>
      <c r="CF70" s="3">
        <f t="shared" ref="CF70" si="1347">CF69+CE70</f>
        <v>157030081.46066552</v>
      </c>
      <c r="CG70" s="3">
        <f t="shared" ref="CG70" si="1348">CG69+CF70</f>
        <v>159267637.62580013</v>
      </c>
      <c r="CH70" s="3">
        <f t="shared" ref="CH70" si="1349">CH69+CG70</f>
        <v>161512652.3114852</v>
      </c>
      <c r="CI70" s="3">
        <f t="shared" ref="CI70" si="1350">CI69+CH70</f>
        <v>163765150.37945589</v>
      </c>
      <c r="CJ70" s="3">
        <f t="shared" ref="CJ70" si="1351">CJ69+CI70</f>
        <v>166025156.77431983</v>
      </c>
      <c r="CK70" s="3">
        <f t="shared" ref="CK70" si="1352">CK69+CJ70</f>
        <v>168292696.5238333</v>
      </c>
      <c r="CL70" s="3">
        <f t="shared" ref="CL70" si="1353">CL69+CK70</f>
        <v>170567794.73917848</v>
      </c>
      <c r="CM70" s="3">
        <f t="shared" ref="CM70" si="1354">CM69+CL70</f>
        <v>172850476.61524147</v>
      </c>
      <c r="CN70" s="3">
        <f t="shared" ref="CN70" si="1355">CN69+CM70</f>
        <v>175140767.43089134</v>
      </c>
      <c r="CO70" s="3">
        <f t="shared" ref="CO70" si="1356">CO69+CN70</f>
        <v>177438692.54926005</v>
      </c>
      <c r="CP70" s="3">
        <f t="shared" ref="CP70" si="1357">CP69+CO70</f>
        <v>179744277.41802332</v>
      </c>
      <c r="CQ70" s="3">
        <f t="shared" ref="CQ70" si="1358">CQ69+CP70</f>
        <v>182057547.56968245</v>
      </c>
      <c r="CR70" s="3">
        <f t="shared" ref="CR70" si="1359">CR69+CQ70</f>
        <v>184378528.62184712</v>
      </c>
      <c r="CS70" s="3">
        <f t="shared" ref="CS70" si="1360">CS69+CR70</f>
        <v>186707246.27751902</v>
      </c>
      <c r="CT70" s="3">
        <f t="shared" ref="CT70" si="1361">CT69+CS70</f>
        <v>189043726.32537648</v>
      </c>
      <c r="CU70" s="3">
        <f t="shared" ref="CU70" si="1362">CU69+CT70</f>
        <v>191387994.64006013</v>
      </c>
      <c r="CV70" s="3">
        <f t="shared" ref="CV70" si="1363">CV69+CU70</f>
        <v>193740077.18245938</v>
      </c>
      <c r="CW70" s="3">
        <f t="shared" ref="CW70" si="1364">CW69+CV70</f>
        <v>196099999.99999997</v>
      </c>
    </row>
    <row r="71" spans="1:101" x14ac:dyDescent="0.2">
      <c r="A71" s="2" t="s">
        <v>8</v>
      </c>
      <c r="B71" s="160">
        <f>B67+B69</f>
        <v>0</v>
      </c>
      <c r="C71" s="160">
        <f t="shared" ref="C71:E71" si="1365">C67+C69</f>
        <v>0</v>
      </c>
      <c r="D71" s="160">
        <f t="shared" si="1365"/>
        <v>0</v>
      </c>
      <c r="E71" s="160">
        <f t="shared" si="1365"/>
        <v>0</v>
      </c>
      <c r="F71" s="160">
        <f>F67+F69</f>
        <v>0</v>
      </c>
      <c r="G71" s="160">
        <f t="shared" ref="G71:L71" si="1366">G67+G69</f>
        <v>2478486.1111111115</v>
      </c>
      <c r="H71" s="160">
        <f t="shared" si="1366"/>
        <v>1982788.888888889</v>
      </c>
      <c r="I71" s="160">
        <f t="shared" si="1366"/>
        <v>1982788.888888889</v>
      </c>
      <c r="J71" s="160">
        <f t="shared" si="1366"/>
        <v>8176280.555555556</v>
      </c>
      <c r="K71" s="160">
        <f t="shared" si="1366"/>
        <v>8048951.736111111</v>
      </c>
      <c r="L71" s="15">
        <f t="shared" si="1366"/>
        <v>2388216.310265732</v>
      </c>
      <c r="M71" s="15">
        <f>M67+M69</f>
        <v>2347557.1410131697</v>
      </c>
      <c r="N71" s="15">
        <f>N67+N69</f>
        <v>2387825.6654461445</v>
      </c>
      <c r="O71" s="15">
        <f t="shared" ref="O71:AO71" si="1367">O67+O69</f>
        <v>2387629.3658826426</v>
      </c>
      <c r="P71" s="15">
        <f t="shared" si="1367"/>
        <v>2348146.0418775356</v>
      </c>
      <c r="Q71" s="15">
        <f t="shared" si="1367"/>
        <v>2406680.3762253947</v>
      </c>
      <c r="R71" s="15">
        <f t="shared" si="1367"/>
        <v>2367789.226932399</v>
      </c>
      <c r="S71" s="15">
        <f t="shared" si="1367"/>
        <v>2348740.8514023866</v>
      </c>
      <c r="T71" s="15">
        <f t="shared" si="1367"/>
        <v>2424335.5742020928</v>
      </c>
      <c r="U71" s="15">
        <f t="shared" si="1367"/>
        <v>2367789.226932399</v>
      </c>
      <c r="V71" s="15">
        <f t="shared" si="1367"/>
        <v>2386236.8249932984</v>
      </c>
      <c r="W71" s="15">
        <f t="shared" si="1367"/>
        <v>2367789.226932399</v>
      </c>
      <c r="X71" s="15">
        <f t="shared" si="1367"/>
        <v>2385832.9616109477</v>
      </c>
      <c r="Y71" s="15">
        <f t="shared" si="1367"/>
        <v>2385630.0197013281</v>
      </c>
      <c r="Z71" s="15">
        <f t="shared" si="1367"/>
        <v>2332514.8781598443</v>
      </c>
      <c r="AA71" s="15">
        <f t="shared" si="1367"/>
        <v>2385222.1042080824</v>
      </c>
      <c r="AB71" s="15">
        <f t="shared" si="1367"/>
        <v>2367789.226932399</v>
      </c>
      <c r="AC71" s="15">
        <f t="shared" si="1367"/>
        <v>2384811.4647458214</v>
      </c>
      <c r="AD71" s="15">
        <f t="shared" si="1367"/>
        <v>2367789.226932399</v>
      </c>
      <c r="AE71" s="15">
        <f t="shared" si="1367"/>
        <v>2384398.0831244839</v>
      </c>
      <c r="AF71" s="15">
        <f t="shared" si="1367"/>
        <v>2384190.3582865763</v>
      </c>
      <c r="AG71" s="15">
        <f t="shared" si="1367"/>
        <v>2367789.226932399</v>
      </c>
      <c r="AH71" s="15">
        <f t="shared" si="1367"/>
        <v>2383772.8290543277</v>
      </c>
      <c r="AI71" s="15">
        <f t="shared" si="1367"/>
        <v>2367789.2269323994</v>
      </c>
      <c r="AJ71" s="15">
        <f t="shared" si="1367"/>
        <v>2383352.5116546508</v>
      </c>
      <c r="AK71" s="15">
        <f t="shared" si="1367"/>
        <v>2383141.3015785101</v>
      </c>
      <c r="AL71" s="15">
        <f t="shared" si="1367"/>
        <v>2337508.905859632</v>
      </c>
      <c r="AM71" s="15">
        <f t="shared" si="1367"/>
        <v>2382716.7669786895</v>
      </c>
      <c r="AN71" s="15">
        <f t="shared" si="1367"/>
        <v>2367789.226932399</v>
      </c>
      <c r="AO71" s="15">
        <f t="shared" si="1367"/>
        <v>2382289.3974311515</v>
      </c>
      <c r="AP71" s="15">
        <f t="shared" ref="AP71:CW71" si="1368">AP67+AP69</f>
        <v>2367789.226932399</v>
      </c>
      <c r="AQ71" s="15">
        <f t="shared" si="1368"/>
        <v>2381859.1740047466</v>
      </c>
      <c r="AR71" s="15">
        <f t="shared" si="1368"/>
        <v>2381642.9861364393</v>
      </c>
      <c r="AS71" s="15">
        <f t="shared" si="1368"/>
        <v>2367789.226932399</v>
      </c>
      <c r="AT71" s="15">
        <f t="shared" si="1368"/>
        <v>2381208.4461190552</v>
      </c>
      <c r="AU71" s="15">
        <f t="shared" si="1368"/>
        <v>2367789.226932399</v>
      </c>
      <c r="AV71" s="15">
        <f t="shared" si="1368"/>
        <v>2380771.0043399991</v>
      </c>
      <c r="AW71" s="15">
        <f t="shared" si="1368"/>
        <v>2380551.1892394763</v>
      </c>
      <c r="AX71" s="15">
        <f t="shared" si="1368"/>
        <v>2342706.3979532928</v>
      </c>
      <c r="AY71" s="15">
        <f t="shared" si="1368"/>
        <v>2380109.3584450358</v>
      </c>
      <c r="AZ71" s="15">
        <f t="shared" si="1368"/>
        <v>2367789.226932399</v>
      </c>
      <c r="BA71" s="15">
        <f t="shared" si="1368"/>
        <v>2379664.5772027341</v>
      </c>
      <c r="BB71" s="15">
        <f t="shared" si="1368"/>
        <v>2367789.226932399</v>
      </c>
      <c r="BC71" s="15">
        <f t="shared" si="1368"/>
        <v>2379216.8258101372</v>
      </c>
      <c r="BD71" s="15">
        <f t="shared" si="1368"/>
        <v>2378991.830114515</v>
      </c>
      <c r="BE71" s="15">
        <f t="shared" si="1368"/>
        <v>2367789.226932399</v>
      </c>
      <c r="BF71" s="15">
        <f t="shared" si="1368"/>
        <v>2378539.5862663621</v>
      </c>
      <c r="BG71" s="15">
        <f t="shared" si="1368"/>
        <v>2367789.226932399</v>
      </c>
      <c r="BH71" s="15">
        <f t="shared" si="1368"/>
        <v>2378084.3224342898</v>
      </c>
      <c r="BI71" s="15">
        <f t="shared" si="1368"/>
        <v>2377855.5517274146</v>
      </c>
      <c r="BJ71" s="15">
        <f t="shared" si="1368"/>
        <v>2357952.435413281</v>
      </c>
      <c r="BK71" s="15">
        <f t="shared" si="1368"/>
        <v>2377395.7200646992</v>
      </c>
      <c r="BL71" s="15">
        <f t="shared" si="1368"/>
        <v>2367789.226932399</v>
      </c>
      <c r="BM71" s="15">
        <f t="shared" si="1368"/>
        <v>2376932.8177483245</v>
      </c>
      <c r="BN71" s="15">
        <f t="shared" si="1368"/>
        <v>2367789.226932399</v>
      </c>
      <c r="BO71" s="15">
        <f t="shared" si="1368"/>
        <v>2376466.824273149</v>
      </c>
      <c r="BP71" s="15">
        <f t="shared" si="1368"/>
        <v>2376232.6619057367</v>
      </c>
      <c r="BQ71" s="15">
        <f t="shared" si="1368"/>
        <v>2367789.226932399</v>
      </c>
      <c r="BR71" s="15">
        <f t="shared" si="1368"/>
        <v>2375761.9929454341</v>
      </c>
      <c r="BS71" s="15">
        <f t="shared" si="1368"/>
        <v>2367789.226932399</v>
      </c>
      <c r="BT71" s="15">
        <f t="shared" si="1368"/>
        <v>2375288.1809624075</v>
      </c>
      <c r="BU71" s="15">
        <f t="shared" si="1368"/>
        <v>2375050.0897839596</v>
      </c>
      <c r="BV71" s="15">
        <f t="shared" si="1368"/>
        <v>2353745.2708606971</v>
      </c>
      <c r="BW71" s="15">
        <f t="shared" si="1368"/>
        <v>2374571.5238698213</v>
      </c>
      <c r="BX71" s="15">
        <f t="shared" si="1368"/>
        <v>2367789.226932399</v>
      </c>
      <c r="BY71" s="15">
        <f t="shared" si="1368"/>
        <v>2374089.762198857</v>
      </c>
      <c r="BZ71" s="15">
        <f t="shared" si="1368"/>
        <v>2367789.226932399</v>
      </c>
      <c r="CA71" s="15">
        <f t="shared" si="1368"/>
        <v>2373604.7834305111</v>
      </c>
      <c r="CB71" s="15">
        <f t="shared" si="1368"/>
        <v>2373361.0809269575</v>
      </c>
      <c r="CC71" s="15">
        <f t="shared" si="1368"/>
        <v>2367789.226932399</v>
      </c>
      <c r="CD71" s="15">
        <f t="shared" si="1368"/>
        <v>2372871.2361870077</v>
      </c>
      <c r="CE71" s="15">
        <f t="shared" si="1368"/>
        <v>2367789.226932399</v>
      </c>
      <c r="CF71" s="15">
        <f t="shared" si="1368"/>
        <v>2372378.1203727382</v>
      </c>
      <c r="CG71" s="15">
        <f t="shared" si="1368"/>
        <v>2372130.3289923249</v>
      </c>
      <c r="CH71" s="15">
        <f t="shared" si="1368"/>
        <v>2359604.2575159101</v>
      </c>
      <c r="CI71" s="15">
        <f t="shared" si="1368"/>
        <v>2371632.2655644566</v>
      </c>
      <c r="CJ71" s="15">
        <f t="shared" si="1368"/>
        <v>2367789.226932399</v>
      </c>
      <c r="CK71" s="15">
        <f t="shared" si="1368"/>
        <v>2371130.876179697</v>
      </c>
      <c r="CL71" s="15">
        <f t="shared" si="1368"/>
        <v>2367789.2269323985</v>
      </c>
      <c r="CM71" s="15">
        <f t="shared" si="1368"/>
        <v>2370626.138628046</v>
      </c>
      <c r="CN71" s="15">
        <f t="shared" si="1368"/>
        <v>2370372.5073084831</v>
      </c>
      <c r="CO71" s="15">
        <f t="shared" si="1368"/>
        <v>2367789.226932399</v>
      </c>
      <c r="CP71" s="15">
        <f t="shared" si="1368"/>
        <v>2369862.7055380368</v>
      </c>
      <c r="CQ71" s="15">
        <f t="shared" si="1368"/>
        <v>2367789.2269323994</v>
      </c>
      <c r="CR71" s="15">
        <f t="shared" si="1368"/>
        <v>2369349.4994246564</v>
      </c>
      <c r="CS71" s="15">
        <f t="shared" si="1368"/>
        <v>2369091.6126410826</v>
      </c>
      <c r="CT71" s="15">
        <f t="shared" si="1368"/>
        <v>2365701.948327403</v>
      </c>
      <c r="CU71" s="15">
        <f t="shared" si="1368"/>
        <v>2368573.2573406906</v>
      </c>
      <c r="CV71" s="15">
        <f t="shared" si="1368"/>
        <v>2367789.226932399</v>
      </c>
      <c r="CW71" s="15">
        <f t="shared" si="1368"/>
        <v>2368051.4405787922</v>
      </c>
    </row>
    <row r="72" spans="1:101" ht="13.5" thickBot="1" x14ac:dyDescent="0.25">
      <c r="A72" s="5" t="s">
        <v>9</v>
      </c>
      <c r="B72" s="161">
        <f t="shared" ref="B72:R72" si="1369">B66-B69</f>
        <v>0</v>
      </c>
      <c r="C72" s="161">
        <f t="shared" si="1369"/>
        <v>0</v>
      </c>
      <c r="D72" s="161">
        <f t="shared" si="1369"/>
        <v>0</v>
      </c>
      <c r="E72" s="161">
        <f t="shared" si="1369"/>
        <v>0</v>
      </c>
      <c r="F72" s="161">
        <f t="shared" si="1369"/>
        <v>0</v>
      </c>
      <c r="G72" s="161">
        <f t="shared" si="1369"/>
        <v>196100000</v>
      </c>
      <c r="H72" s="161">
        <f t="shared" si="1369"/>
        <v>196100000</v>
      </c>
      <c r="I72" s="161">
        <f t="shared" si="1369"/>
        <v>196100000</v>
      </c>
      <c r="J72" s="161">
        <f t="shared" si="1369"/>
        <v>189971875</v>
      </c>
      <c r="K72" s="161">
        <f t="shared" si="1369"/>
        <v>183843750</v>
      </c>
      <c r="L72" s="16">
        <f t="shared" si="1369"/>
        <v>182088773.27306759</v>
      </c>
      <c r="M72" s="16">
        <f t="shared" si="1369"/>
        <v>180327946.62371209</v>
      </c>
      <c r="N72" s="16">
        <f t="shared" si="1369"/>
        <v>178561250.55219206</v>
      </c>
      <c r="O72" s="16">
        <f t="shared" si="1369"/>
        <v>176788665.49376696</v>
      </c>
      <c r="P72" s="16">
        <f t="shared" si="1369"/>
        <v>175010171.81848046</v>
      </c>
      <c r="Q72" s="16">
        <f t="shared" si="1369"/>
        <v>173225749.83094299</v>
      </c>
      <c r="R72" s="16">
        <f t="shared" si="1369"/>
        <v>171435379.77011374</v>
      </c>
      <c r="S72" s="16">
        <f>S66-S69</f>
        <v>169639041.8090817</v>
      </c>
      <c r="T72" s="16">
        <f t="shared" ref="T72:AO72" si="1370">T66-T69</f>
        <v>167836716.05484626</v>
      </c>
      <c r="U72" s="16">
        <f t="shared" si="1370"/>
        <v>166028382.54809669</v>
      </c>
      <c r="V72" s="16">
        <f t="shared" si="1370"/>
        <v>164214021.26299128</v>
      </c>
      <c r="W72" s="16">
        <f t="shared" si="1370"/>
        <v>162393612.10693553</v>
      </c>
      <c r="X72" s="16">
        <f t="shared" si="1370"/>
        <v>160567134.92035958</v>
      </c>
      <c r="Y72" s="16">
        <f t="shared" si="1370"/>
        <v>158734569.47649506</v>
      </c>
      <c r="Z72" s="16">
        <f t="shared" si="1370"/>
        <v>156895895.48115098</v>
      </c>
      <c r="AA72" s="16">
        <f t="shared" si="1370"/>
        <v>155051092.57248908</v>
      </c>
      <c r="AB72" s="16">
        <f t="shared" si="1370"/>
        <v>153200140.32079831</v>
      </c>
      <c r="AC72" s="16">
        <f t="shared" si="1370"/>
        <v>151343018.22826856</v>
      </c>
      <c r="AD72" s="16">
        <f t="shared" si="1370"/>
        <v>149479705.72876373</v>
      </c>
      <c r="AE72" s="16">
        <f t="shared" si="1370"/>
        <v>147610182.18759388</v>
      </c>
      <c r="AF72" s="16">
        <f t="shared" si="1370"/>
        <v>145734426.90128678</v>
      </c>
      <c r="AG72" s="16">
        <f t="shared" si="1370"/>
        <v>143852419.09735867</v>
      </c>
      <c r="AH72" s="16">
        <f t="shared" si="1370"/>
        <v>141964137.93408415</v>
      </c>
      <c r="AI72" s="16">
        <f t="shared" si="1370"/>
        <v>140069562.50026536</v>
      </c>
      <c r="AJ72" s="16">
        <f t="shared" si="1370"/>
        <v>138168671.8150005</v>
      </c>
      <c r="AK72" s="16">
        <f t="shared" si="1370"/>
        <v>136261444.82745144</v>
      </c>
      <c r="AL72" s="16">
        <f t="shared" si="1370"/>
        <v>134347860.41661054</v>
      </c>
      <c r="AM72" s="16">
        <f t="shared" si="1370"/>
        <v>132427897.39106683</v>
      </c>
      <c r="AN72" s="16">
        <f t="shared" si="1370"/>
        <v>130501534.48877132</v>
      </c>
      <c r="AO72" s="16">
        <f t="shared" si="1370"/>
        <v>128568750.37680149</v>
      </c>
      <c r="AP72" s="16">
        <f t="shared" ref="AP72:CW72" si="1371">AP66-AP69</f>
        <v>126629523.6511251</v>
      </c>
      <c r="AQ72" s="16">
        <f t="shared" si="1371"/>
        <v>124683832.83636312</v>
      </c>
      <c r="AR72" s="16">
        <f t="shared" si="1371"/>
        <v>122731656.38555193</v>
      </c>
      <c r="AS72" s="16">
        <f t="shared" si="1371"/>
        <v>120772972.6799047</v>
      </c>
      <c r="AT72" s="16">
        <f t="shared" si="1371"/>
        <v>118807760.02857198</v>
      </c>
      <c r="AU72" s="16">
        <f t="shared" si="1371"/>
        <v>116835996.66840148</v>
      </c>
      <c r="AV72" s="16">
        <f t="shared" si="1371"/>
        <v>114857660.76369709</v>
      </c>
      <c r="AW72" s="16">
        <f t="shared" si="1371"/>
        <v>112872730.40597701</v>
      </c>
      <c r="AX72" s="16">
        <f t="shared" si="1371"/>
        <v>110881183.61373121</v>
      </c>
      <c r="AY72" s="16">
        <f t="shared" si="1371"/>
        <v>108882998.33217791</v>
      </c>
      <c r="AZ72" s="16">
        <f t="shared" si="1371"/>
        <v>106878152.43301943</v>
      </c>
      <c r="BA72" s="16">
        <f t="shared" si="1371"/>
        <v>104866623.7141971</v>
      </c>
      <c r="BB72" s="16">
        <f t="shared" si="1371"/>
        <v>102848389.89964536</v>
      </c>
      <c r="BC72" s="16">
        <f t="shared" si="1371"/>
        <v>100823428.6390451</v>
      </c>
      <c r="BD72" s="16">
        <f t="shared" si="1371"/>
        <v>98791717.507576182</v>
      </c>
      <c r="BE72" s="16">
        <f t="shared" si="1371"/>
        <v>96753234.005669042</v>
      </c>
      <c r="BF72" s="16">
        <f t="shared" si="1371"/>
        <v>94707955.558755547</v>
      </c>
      <c r="BG72" s="16">
        <f t="shared" si="1371"/>
        <v>92655859.517019004</v>
      </c>
      <c r="BH72" s="16">
        <f t="shared" si="1371"/>
        <v>90596923.155143335</v>
      </c>
      <c r="BI72" s="16">
        <f t="shared" si="1371"/>
        <v>88531123.672061414</v>
      </c>
      <c r="BJ72" s="16">
        <f t="shared" si="1371"/>
        <v>86458438.190702558</v>
      </c>
      <c r="BK72" s="16">
        <f t="shared" si="1371"/>
        <v>84378843.757739171</v>
      </c>
      <c r="BL72" s="16">
        <f t="shared" si="1371"/>
        <v>82292317.343332574</v>
      </c>
      <c r="BM72" s="16">
        <f t="shared" si="1371"/>
        <v>80198835.84087795</v>
      </c>
      <c r="BN72" s="16">
        <f t="shared" si="1371"/>
        <v>78098376.066748485</v>
      </c>
      <c r="BO72" s="16">
        <f t="shared" si="1371"/>
        <v>75990914.760038584</v>
      </c>
      <c r="BP72" s="16">
        <f t="shared" si="1371"/>
        <v>73876428.582306311</v>
      </c>
      <c r="BQ72" s="16">
        <f t="shared" si="1371"/>
        <v>71754894.117314935</v>
      </c>
      <c r="BR72" s="16">
        <f t="shared" si="1371"/>
        <v>69626287.870773584</v>
      </c>
      <c r="BS72" s="16">
        <f t="shared" si="1371"/>
        <v>67490586.270077094</v>
      </c>
      <c r="BT72" s="16">
        <f t="shared" si="1371"/>
        <v>65347765.664044954</v>
      </c>
      <c r="BU72" s="16">
        <f t="shared" si="1371"/>
        <v>63197802.322659373</v>
      </c>
      <c r="BV72" s="16">
        <f t="shared" si="1371"/>
        <v>61040672.436802506</v>
      </c>
      <c r="BW72" s="16">
        <f t="shared" si="1371"/>
        <v>58876352.117992781</v>
      </c>
      <c r="BX72" s="16">
        <f t="shared" si="1371"/>
        <v>56704817.398120359</v>
      </c>
      <c r="BY72" s="16">
        <f t="shared" si="1371"/>
        <v>54526044.229181692</v>
      </c>
      <c r="BZ72" s="16">
        <f t="shared" si="1371"/>
        <v>52340008.483013235</v>
      </c>
      <c r="CA72" s="16">
        <f t="shared" si="1371"/>
        <v>50146685.951024212</v>
      </c>
      <c r="CB72" s="16">
        <f t="shared" si="1371"/>
        <v>47946052.343928561</v>
      </c>
      <c r="CC72" s="16">
        <f t="shared" si="1371"/>
        <v>45738083.291475922</v>
      </c>
      <c r="CD72" s="16">
        <f t="shared" si="1371"/>
        <v>43522754.342181772</v>
      </c>
      <c r="CE72" s="16">
        <f t="shared" si="1371"/>
        <v>41300040.963056646</v>
      </c>
      <c r="CF72" s="16">
        <f t="shared" si="1371"/>
        <v>39069918.539334439</v>
      </c>
      <c r="CG72" s="16">
        <f t="shared" si="1371"/>
        <v>36832362.374199823</v>
      </c>
      <c r="CH72" s="16">
        <f t="shared" si="1371"/>
        <v>34587347.688514754</v>
      </c>
      <c r="CI72" s="16">
        <f t="shared" si="1371"/>
        <v>32334849.620544072</v>
      </c>
      <c r="CJ72" s="16">
        <f t="shared" si="1371"/>
        <v>30074843.225680154</v>
      </c>
      <c r="CK72" s="16">
        <f t="shared" si="1371"/>
        <v>27807303.476166688</v>
      </c>
      <c r="CL72" s="16">
        <f t="shared" si="1371"/>
        <v>25532205.26082151</v>
      </c>
      <c r="CM72" s="16">
        <f t="shared" si="1371"/>
        <v>23249523.384758517</v>
      </c>
      <c r="CN72" s="16">
        <f t="shared" si="1371"/>
        <v>20959232.569108646</v>
      </c>
      <c r="CO72" s="16">
        <f t="shared" si="1371"/>
        <v>18661307.450739942</v>
      </c>
      <c r="CP72" s="16">
        <f t="shared" si="1371"/>
        <v>16355722.581976676</v>
      </c>
      <c r="CQ72" s="16">
        <f t="shared" si="1371"/>
        <v>14042452.430317532</v>
      </c>
      <c r="CR72" s="16">
        <f t="shared" si="1371"/>
        <v>11721471.378152858</v>
      </c>
      <c r="CS72" s="16">
        <f t="shared" si="1371"/>
        <v>9392753.7224809695</v>
      </c>
      <c r="CT72" s="16">
        <f t="shared" si="1371"/>
        <v>7056273.6746235071</v>
      </c>
      <c r="CU72" s="16">
        <f t="shared" si="1371"/>
        <v>4712005.3599398527</v>
      </c>
      <c r="CV72" s="16">
        <f t="shared" si="1371"/>
        <v>2359922.8175405865</v>
      </c>
      <c r="CW72" s="16">
        <f t="shared" si="1371"/>
        <v>-1.0244548320770264E-8</v>
      </c>
    </row>
    <row r="80" spans="1:101" x14ac:dyDescent="0.2">
      <c r="A80" s="13" t="s">
        <v>61</v>
      </c>
      <c r="B80" s="116">
        <f t="shared" ref="B80:AO80" si="1372">B26</f>
        <v>42992</v>
      </c>
      <c r="C80" s="116">
        <f t="shared" si="1372"/>
        <v>43083</v>
      </c>
      <c r="D80" s="116">
        <f t="shared" si="1372"/>
        <v>43174</v>
      </c>
      <c r="E80" s="116">
        <f t="shared" si="1372"/>
        <v>43265</v>
      </c>
      <c r="F80" s="116">
        <f t="shared" si="1372"/>
        <v>43356</v>
      </c>
      <c r="G80" s="116">
        <f t="shared" si="1372"/>
        <v>43447</v>
      </c>
      <c r="H80" s="116">
        <f t="shared" si="1372"/>
        <v>43538</v>
      </c>
      <c r="I80" s="116">
        <f t="shared" si="1372"/>
        <v>43629</v>
      </c>
      <c r="J80" s="116">
        <f t="shared" si="1372"/>
        <v>43723</v>
      </c>
      <c r="K80" s="116">
        <f t="shared" si="1372"/>
        <v>43814</v>
      </c>
      <c r="L80" s="116">
        <f t="shared" si="1372"/>
        <v>43845</v>
      </c>
      <c r="M80" s="116">
        <f t="shared" si="1372"/>
        <v>43874</v>
      </c>
      <c r="N80" s="116">
        <f t="shared" si="1372"/>
        <v>43905</v>
      </c>
      <c r="O80" s="116">
        <f t="shared" si="1372"/>
        <v>43936</v>
      </c>
      <c r="P80" s="116">
        <f t="shared" si="1372"/>
        <v>43965</v>
      </c>
      <c r="Q80" s="116">
        <f t="shared" si="1372"/>
        <v>43997</v>
      </c>
      <c r="R80" s="116">
        <f t="shared" si="1372"/>
        <v>44027</v>
      </c>
      <c r="S80" s="116">
        <f t="shared" si="1372"/>
        <v>44056</v>
      </c>
      <c r="T80" s="116">
        <f t="shared" si="1372"/>
        <v>44089</v>
      </c>
      <c r="U80" s="116">
        <f t="shared" si="1372"/>
        <v>44119</v>
      </c>
      <c r="V80" s="116">
        <f t="shared" si="1372"/>
        <v>44150</v>
      </c>
      <c r="W80" s="116">
        <f t="shared" si="1372"/>
        <v>44180</v>
      </c>
      <c r="X80" s="116">
        <f t="shared" si="1372"/>
        <v>44211</v>
      </c>
      <c r="Y80" s="116">
        <f t="shared" si="1372"/>
        <v>44242</v>
      </c>
      <c r="Z80" s="116">
        <f t="shared" si="1372"/>
        <v>44270</v>
      </c>
      <c r="AA80" s="116">
        <f t="shared" si="1372"/>
        <v>44301</v>
      </c>
      <c r="AB80" s="116">
        <f t="shared" si="1372"/>
        <v>44331</v>
      </c>
      <c r="AC80" s="116">
        <f t="shared" si="1372"/>
        <v>44362</v>
      </c>
      <c r="AD80" s="116">
        <f t="shared" si="1372"/>
        <v>44392</v>
      </c>
      <c r="AE80" s="116">
        <f t="shared" si="1372"/>
        <v>44423</v>
      </c>
      <c r="AF80" s="116">
        <f t="shared" si="1372"/>
        <v>44454</v>
      </c>
      <c r="AG80" s="116">
        <f t="shared" si="1372"/>
        <v>44484</v>
      </c>
      <c r="AH80" s="116">
        <f t="shared" si="1372"/>
        <v>44515</v>
      </c>
      <c r="AI80" s="116">
        <f t="shared" si="1372"/>
        <v>44545</v>
      </c>
      <c r="AJ80" s="116">
        <f t="shared" si="1372"/>
        <v>44576</v>
      </c>
      <c r="AK80" s="116">
        <f t="shared" si="1372"/>
        <v>44607</v>
      </c>
      <c r="AL80" s="116">
        <f t="shared" si="1372"/>
        <v>44635</v>
      </c>
      <c r="AM80" s="116">
        <f t="shared" si="1372"/>
        <v>44666</v>
      </c>
      <c r="AN80" s="116">
        <f t="shared" si="1372"/>
        <v>44696</v>
      </c>
      <c r="AO80" s="116">
        <f t="shared" si="1372"/>
        <v>44727</v>
      </c>
      <c r="AP80" s="116">
        <f t="shared" ref="AP80:BX80" si="1373">AP26</f>
        <v>44757</v>
      </c>
      <c r="AQ80" s="116">
        <f t="shared" si="1373"/>
        <v>44788</v>
      </c>
      <c r="AR80" s="116">
        <f t="shared" si="1373"/>
        <v>44819</v>
      </c>
      <c r="AS80" s="116">
        <f t="shared" si="1373"/>
        <v>44849</v>
      </c>
      <c r="AT80" s="116">
        <f t="shared" si="1373"/>
        <v>44880</v>
      </c>
      <c r="AU80" s="116">
        <f t="shared" si="1373"/>
        <v>44910</v>
      </c>
      <c r="AV80" s="116">
        <f t="shared" si="1373"/>
        <v>44941</v>
      </c>
      <c r="AW80" s="116">
        <f t="shared" si="1373"/>
        <v>44972</v>
      </c>
      <c r="AX80" s="116">
        <f t="shared" si="1373"/>
        <v>45000</v>
      </c>
      <c r="AY80" s="116">
        <f t="shared" si="1373"/>
        <v>45031</v>
      </c>
      <c r="AZ80" s="116">
        <f t="shared" si="1373"/>
        <v>45061</v>
      </c>
      <c r="BA80" s="116">
        <f t="shared" si="1373"/>
        <v>45092</v>
      </c>
      <c r="BB80" s="116">
        <f t="shared" si="1373"/>
        <v>45122</v>
      </c>
      <c r="BC80" s="116">
        <f t="shared" si="1373"/>
        <v>45153</v>
      </c>
      <c r="BD80" s="116">
        <f t="shared" si="1373"/>
        <v>45184</v>
      </c>
      <c r="BE80" s="116">
        <f t="shared" si="1373"/>
        <v>45214</v>
      </c>
      <c r="BF80" s="116">
        <f t="shared" si="1373"/>
        <v>45245</v>
      </c>
      <c r="BG80" s="116">
        <f t="shared" si="1373"/>
        <v>45275</v>
      </c>
      <c r="BH80" s="116">
        <f t="shared" si="1373"/>
        <v>45306</v>
      </c>
      <c r="BI80" s="116">
        <f t="shared" si="1373"/>
        <v>45337</v>
      </c>
      <c r="BJ80" s="116">
        <f t="shared" si="1373"/>
        <v>45366</v>
      </c>
      <c r="BK80" s="116">
        <f t="shared" si="1373"/>
        <v>45397</v>
      </c>
      <c r="BL80" s="116">
        <f t="shared" si="1373"/>
        <v>45427</v>
      </c>
      <c r="BM80" s="116">
        <f t="shared" si="1373"/>
        <v>45458</v>
      </c>
      <c r="BN80" s="116">
        <f t="shared" si="1373"/>
        <v>45488</v>
      </c>
      <c r="BO80" s="116">
        <f t="shared" si="1373"/>
        <v>45519</v>
      </c>
      <c r="BP80" s="116">
        <f t="shared" si="1373"/>
        <v>45550</v>
      </c>
      <c r="BQ80" s="116">
        <f t="shared" si="1373"/>
        <v>45580</v>
      </c>
      <c r="BR80" s="116">
        <f t="shared" si="1373"/>
        <v>45611</v>
      </c>
      <c r="BS80" s="116">
        <f t="shared" si="1373"/>
        <v>45641</v>
      </c>
      <c r="BT80" s="116">
        <f t="shared" si="1373"/>
        <v>45672</v>
      </c>
      <c r="BU80" s="116">
        <f t="shared" si="1373"/>
        <v>45703</v>
      </c>
      <c r="BV80" s="116">
        <f t="shared" si="1373"/>
        <v>45731</v>
      </c>
      <c r="BW80" s="116">
        <f t="shared" si="1373"/>
        <v>45762</v>
      </c>
      <c r="BX80" s="116">
        <f t="shared" si="1373"/>
        <v>45792</v>
      </c>
      <c r="BY80" s="116">
        <f t="shared" ref="BY80:CW80" si="1374">BY26</f>
        <v>45823</v>
      </c>
      <c r="BZ80" s="116">
        <f t="shared" si="1374"/>
        <v>45853</v>
      </c>
      <c r="CA80" s="116">
        <f t="shared" si="1374"/>
        <v>45884</v>
      </c>
      <c r="CB80" s="116">
        <f t="shared" si="1374"/>
        <v>45915</v>
      </c>
      <c r="CC80" s="116">
        <f t="shared" si="1374"/>
        <v>45945</v>
      </c>
      <c r="CD80" s="116">
        <f t="shared" si="1374"/>
        <v>45976</v>
      </c>
      <c r="CE80" s="116">
        <f t="shared" si="1374"/>
        <v>46006</v>
      </c>
      <c r="CF80" s="116">
        <f t="shared" si="1374"/>
        <v>46037</v>
      </c>
      <c r="CG80" s="116">
        <f t="shared" si="1374"/>
        <v>46068</v>
      </c>
      <c r="CH80" s="116">
        <f t="shared" si="1374"/>
        <v>46096</v>
      </c>
      <c r="CI80" s="116">
        <f t="shared" si="1374"/>
        <v>46127</v>
      </c>
      <c r="CJ80" s="116">
        <f t="shared" si="1374"/>
        <v>46157</v>
      </c>
      <c r="CK80" s="116">
        <f t="shared" si="1374"/>
        <v>46188</v>
      </c>
      <c r="CL80" s="116">
        <f t="shared" si="1374"/>
        <v>46218</v>
      </c>
      <c r="CM80" s="116">
        <f t="shared" si="1374"/>
        <v>46249</v>
      </c>
      <c r="CN80" s="116">
        <f t="shared" si="1374"/>
        <v>46280</v>
      </c>
      <c r="CO80" s="116">
        <f t="shared" si="1374"/>
        <v>46310</v>
      </c>
      <c r="CP80" s="116">
        <f t="shared" si="1374"/>
        <v>46341</v>
      </c>
      <c r="CQ80" s="116">
        <f t="shared" si="1374"/>
        <v>46371</v>
      </c>
      <c r="CR80" s="116">
        <f t="shared" si="1374"/>
        <v>46402</v>
      </c>
      <c r="CS80" s="116">
        <f t="shared" si="1374"/>
        <v>46433</v>
      </c>
      <c r="CT80" s="116">
        <f t="shared" si="1374"/>
        <v>46461</v>
      </c>
      <c r="CU80" s="116">
        <f t="shared" si="1374"/>
        <v>46492</v>
      </c>
      <c r="CV80" s="116">
        <f t="shared" si="1374"/>
        <v>46522</v>
      </c>
      <c r="CW80" s="116">
        <f t="shared" si="1374"/>
        <v>46553</v>
      </c>
    </row>
    <row r="81" spans="1:101" x14ac:dyDescent="0.2">
      <c r="B81" s="8">
        <f>AVERAGE($B$32)</f>
        <v>1372338.3333333335</v>
      </c>
      <c r="C81" s="8">
        <f>AVERAGE($B$32:C32)</f>
        <v>1781632.2222222225</v>
      </c>
      <c r="D81" s="8">
        <f>AVERAGE($B$32:D32)</f>
        <v>3021397.0370370373</v>
      </c>
      <c r="E81" s="8">
        <f>AVERAGE($B$32:E32)</f>
        <v>4980628.333333334</v>
      </c>
      <c r="F81" s="8">
        <f>AVERAGE($B$32:F32)</f>
        <v>6156167.1111111119</v>
      </c>
      <c r="G81" s="8">
        <f>AVERAGE($B$32:G32)</f>
        <v>7352940.6481481493</v>
      </c>
      <c r="H81" s="8">
        <f>AVERAGE($B$32:H32)</f>
        <v>8136965.0000000009</v>
      </c>
      <c r="I81" s="8">
        <f>AVERAGE($B$32:I32)</f>
        <v>8724983.2638888899</v>
      </c>
      <c r="J81" s="8">
        <f>AVERAGE($B$32:J32)</f>
        <v>13639090.061728396</v>
      </c>
      <c r="K81" s="8">
        <f>AVERAGE($B$32:K32)</f>
        <v>17487913.694444444</v>
      </c>
      <c r="L81" s="8">
        <f>AVERAGE($L$32)</f>
        <v>15466775.696264558</v>
      </c>
      <c r="M81" s="8">
        <f>AVERAGE($L$32:M32)</f>
        <v>15335115.459266204</v>
      </c>
      <c r="N81" s="8">
        <f>AVERAGE($L$32:N32)</f>
        <v>15378158.895530866</v>
      </c>
      <c r="O81" s="8">
        <f>AVERAGE($L$32:O32)</f>
        <v>15399362.79055554</v>
      </c>
      <c r="P81" s="8">
        <f>AVERAGE($L$32:P32)</f>
        <v>15360944.055172091</v>
      </c>
      <c r="Q81" s="8">
        <f>AVERAGE($L$32:Q32)</f>
        <v>15398512.42894993</v>
      </c>
      <c r="R81" s="8">
        <f>AVERAGE($L$32:R32)</f>
        <v>15389365.514756782</v>
      </c>
      <c r="S81" s="8">
        <f>AVERAGE($L$32:S32)</f>
        <v>15367084.984311363</v>
      </c>
      <c r="T81" s="8">
        <f>AVERAGE($L$32:T32)</f>
        <v>15404152.701356633</v>
      </c>
      <c r="U81" s="8">
        <f>AVERAGE($L$32:U32)</f>
        <v>15397185.834180761</v>
      </c>
      <c r="V81" s="8">
        <f>AVERAGE($L$32:V32)</f>
        <v>15402346.756557398</v>
      </c>
      <c r="W81" s="8">
        <f>AVERAGE($L$32:W32)</f>
        <v>15396691.529310772</v>
      </c>
      <c r="X81" s="8">
        <f>AVERAGE($L$32:X32)</f>
        <v>15400895.292048803</v>
      </c>
      <c r="Y81" s="8">
        <f>AVERAGE($L$32:Y32)</f>
        <v>15404404.63795465</v>
      </c>
      <c r="Z81" s="8">
        <f>AVERAGE($L$32:Z32)</f>
        <v>15384513.475540947</v>
      </c>
      <c r="AA81" s="8">
        <f>AVERAGE($L$32:AA32)</f>
        <v>15388442.905611921</v>
      </c>
      <c r="AB81" s="8">
        <f>AVERAGE($L$32:AB32)</f>
        <v>15385268.854081683</v>
      </c>
      <c r="AC81" s="8">
        <f>AVERAGE($L$32:AC32)</f>
        <v>15388571.969822453</v>
      </c>
      <c r="AD81" s="8">
        <f>AVERAGE($L$32:AD32)</f>
        <v>15385725.236126423</v>
      </c>
      <c r="AE81" s="8">
        <f>AVERAGE($L$32:AE32)</f>
        <v>15388541.36227729</v>
      </c>
      <c r="AF81" s="8">
        <f>AVERAGE($L$32:AF32)</f>
        <v>15391025.224709328</v>
      </c>
      <c r="AG81" s="8">
        <f>AVERAGE($L$32:AG32)</f>
        <v>15388455.170386082</v>
      </c>
      <c r="AH81" s="8">
        <f>AVERAGE($L$32:AH32)</f>
        <v>15390609.225323955</v>
      </c>
      <c r="AI81" s="8">
        <f>AVERAGE($L$32:AI32)</f>
        <v>15388270.675502034</v>
      </c>
      <c r="AJ81" s="8">
        <f>AVERAGE($L$32:AJ32)</f>
        <v>15390150.901985554</v>
      </c>
      <c r="AK81" s="8">
        <f>AVERAGE($L$32:AK32)</f>
        <v>15391833.885770384</v>
      </c>
      <c r="AL81" s="8">
        <f>AVERAGE($L$32:AL32)</f>
        <v>15382446.70338841</v>
      </c>
      <c r="AM81" s="8">
        <f>AVERAGE($L$32:AM32)</f>
        <v>15384186.43084679</v>
      </c>
      <c r="AN81" s="8">
        <f>AVERAGE($L$32:AN32)</f>
        <v>15382472.554941654</v>
      </c>
      <c r="AO81" s="8">
        <f>AVERAGE($L$32:AO32)</f>
        <v>15384003.179914203</v>
      </c>
      <c r="AP81" s="8">
        <f>AVERAGE($L$32:AP32)</f>
        <v>15382405.787968514</v>
      </c>
      <c r="AQ81" s="8">
        <f>AVERAGE($L$32:AQ32)</f>
        <v>15383755.765015526</v>
      </c>
      <c r="AR81" s="8">
        <f>AVERAGE($L$32:AR32)</f>
        <v>15384981.498156276</v>
      </c>
      <c r="AS81" s="8">
        <f>AVERAGE($L$32:AS32)</f>
        <v>15383496.278492793</v>
      </c>
      <c r="AT81" s="8">
        <f>AVERAGE($L$32:AT32)</f>
        <v>15384578.977751009</v>
      </c>
      <c r="AU81" s="8">
        <f>AVERAGE($L$32:AU32)</f>
        <v>15383187.451413423</v>
      </c>
      <c r="AV81" s="8">
        <f>AVERAGE($L$32:AV32)</f>
        <v>15384143.405530823</v>
      </c>
      <c r="AW81" s="8">
        <f>AVERAGE($L$32:AW32)</f>
        <v>15385011.583489107</v>
      </c>
      <c r="AX81" s="8">
        <f>AVERAGE($L$32:AX32)</f>
        <v>15379550.784299588</v>
      </c>
      <c r="AY81" s="8">
        <f>AVERAGE($L$32:AY32)</f>
        <v>15380418.833308261</v>
      </c>
      <c r="AZ81" s="8">
        <f>AVERAGE($L$32:AZ32)</f>
        <v>15379298.472242154</v>
      </c>
      <c r="BA81" s="8">
        <f>AVERAGE($L$32:BA32)</f>
        <v>15380062.608936358</v>
      </c>
      <c r="BB81" s="8">
        <f>AVERAGE($L$32:BB32)</f>
        <v>15379002.641974999</v>
      </c>
      <c r="BC81" s="8">
        <f>AVERAGE($L$32:BC32)</f>
        <v>15379672.864807457</v>
      </c>
      <c r="BD81" s="8">
        <f>AVERAGE($L$32:BD32)</f>
        <v>15380280.919139905</v>
      </c>
      <c r="BE81" s="8">
        <f>AVERAGE($L$32:BE32)</f>
        <v>15379285.334584642</v>
      </c>
      <c r="BF81" s="8">
        <f>AVERAGE($L$32:BF32)</f>
        <v>15379813.443392159</v>
      </c>
      <c r="BG81" s="8">
        <f>AVERAGE($L$32:BG32)</f>
        <v>15378869.080604779</v>
      </c>
      <c r="BH81" s="8">
        <f>AVERAGE($L$32:BH32)</f>
        <v>15379323.957103124</v>
      </c>
      <c r="BI81" s="8">
        <f>AVERAGE($L$32:BI32)</f>
        <v>15379731.006843653</v>
      </c>
      <c r="BJ81" s="8">
        <f>AVERAGE($L$32:BJ32)</f>
        <v>15377594.676093319</v>
      </c>
      <c r="BK81" s="8">
        <f>AVERAGE($L$32:BK32)</f>
        <v>15377962.056207495</v>
      </c>
      <c r="BL81" s="8">
        <f>AVERAGE($L$32:BL32)</f>
        <v>15377141.716082785</v>
      </c>
      <c r="BM81" s="8">
        <f>AVERAGE($L$32:BM32)</f>
        <v>15377448.361220049</v>
      </c>
      <c r="BN81" s="8">
        <f>AVERAGE($L$32:BN32)</f>
        <v>15376667.191554191</v>
      </c>
      <c r="BO81" s="8">
        <f>AVERAGE($L$32:BO32)</f>
        <v>15376917.467521548</v>
      </c>
      <c r="BP81" s="8">
        <f>AVERAGE($L$32:BP32)</f>
        <v>15377132.35656306</v>
      </c>
      <c r="BQ81" s="8">
        <f>AVERAGE($L$32:BQ32)</f>
        <v>15376397.040580902</v>
      </c>
      <c r="BR81" s="8">
        <f>AVERAGE($L$32:BR32)</f>
        <v>15376561.801847879</v>
      </c>
      <c r="BS81" s="8">
        <f>AVERAGE($L$32:BS32)</f>
        <v>15375860.505643712</v>
      </c>
      <c r="BT81" s="8">
        <f>AVERAGE($L$32:BT32)</f>
        <v>15375978.356578374</v>
      </c>
      <c r="BU81" s="8">
        <f>AVERAGE($L$32:BU32)</f>
        <v>15376067.535757907</v>
      </c>
      <c r="BV81" s="8">
        <f>AVERAGE($L$32:BV32)</f>
        <v>15373963.786474738</v>
      </c>
      <c r="BW81" s="8">
        <f>AVERAGE($L$32:BW32)</f>
        <v>15374033.229423726</v>
      </c>
      <c r="BX81" s="8">
        <f>AVERAGE($L$32:BX32)</f>
        <v>15373424.780195637</v>
      </c>
      <c r="BY81" s="8">
        <f>AVERAGE($L$32:BY32)</f>
        <v>15373453.012436159</v>
      </c>
      <c r="BZ81" s="8">
        <f>AVERAGE($L$32:BZ32)</f>
        <v>15372871.385826632</v>
      </c>
      <c r="CA81" s="8">
        <f>AVERAGE($L$32:CA32)</f>
        <v>15372860.736712744</v>
      </c>
      <c r="CB81" s="8">
        <f>AVERAGE($L$32:CB32)</f>
        <v>15372827.522536885</v>
      </c>
      <c r="CC81" s="8">
        <f>AVERAGE($L$32:CC32)</f>
        <v>15372279.758352045</v>
      </c>
      <c r="CD81" s="8">
        <f>AVERAGE($L$32:CD32)</f>
        <v>15372210.981236653</v>
      </c>
      <c r="CE81" s="8">
        <f>AVERAGE($L$32:CE32)</f>
        <v>15371686.995797226</v>
      </c>
      <c r="CF81" s="8">
        <f>AVERAGE($L$32:CF32)</f>
        <v>15371584.475626329</v>
      </c>
      <c r="CG81" s="8">
        <f>AVERAGE($L$32:CG32)</f>
        <v>15371463.040213475</v>
      </c>
      <c r="CH81" s="8">
        <f>AVERAGE($L$32:CH32)</f>
        <v>15370263.210525176</v>
      </c>
      <c r="CI81" s="8">
        <f>AVERAGE($L$32:CI32)</f>
        <v>15370119.913716545</v>
      </c>
      <c r="CJ81" s="8">
        <f>AVERAGE($L$32:CJ32)</f>
        <v>15369657.110026695</v>
      </c>
      <c r="CK81" s="8">
        <f>AVERAGE($L$32:CK32)</f>
        <v>15369483.627990579</v>
      </c>
      <c r="CL81" s="8">
        <f>AVERAGE($L$32:CL32)</f>
        <v>15369040.595099533</v>
      </c>
      <c r="CM81" s="8">
        <f>AVERAGE($L$32:CM32)</f>
        <v>15368838.296231519</v>
      </c>
      <c r="CN81" s="8">
        <f>AVERAGE($L$32:CN32)</f>
        <v>15368620.71351615</v>
      </c>
      <c r="CO81" s="8">
        <f>AVERAGE($L$32:CO32)</f>
        <v>15368204.412492758</v>
      </c>
      <c r="CP81" s="8">
        <f>AVERAGE($L$32:CP32)</f>
        <v>15367959.931298843</v>
      </c>
      <c r="CQ81" s="8">
        <f>AVERAGE($L$32:CQ32)</f>
        <v>15367561.408659546</v>
      </c>
      <c r="CR81" s="8">
        <f>AVERAGE($L$32:CR32)</f>
        <v>15367291.142710671</v>
      </c>
      <c r="CS81" s="8">
        <f>AVERAGE($L$32:CS32)</f>
        <v>15367007.741679436</v>
      </c>
      <c r="CT81" s="8">
        <f>AVERAGE($L$32:CT32)</f>
        <v>15366478.528706491</v>
      </c>
      <c r="CU81" s="8">
        <f>AVERAGE($L$32:CU32)</f>
        <v>15366172.654925913</v>
      </c>
      <c r="CV81" s="8">
        <f>AVERAGE($L$32:CV32)</f>
        <v>15365816.602955936</v>
      </c>
      <c r="CW81" s="8">
        <f>AVERAGE($L$32:CW32)</f>
        <v>15365487.331818501</v>
      </c>
    </row>
    <row r="84" spans="1:101" x14ac:dyDescent="0.2">
      <c r="A84" s="11" t="s">
        <v>66</v>
      </c>
      <c r="C84" s="4"/>
      <c r="D84" s="6"/>
      <c r="E84" s="6"/>
      <c r="F84" s="6"/>
      <c r="G84" s="6"/>
      <c r="H84" s="6"/>
      <c r="I84" s="6"/>
      <c r="J84" s="6"/>
    </row>
    <row r="85" spans="1:101" x14ac:dyDescent="0.2">
      <c r="A85" s="187" t="s">
        <v>67</v>
      </c>
      <c r="B85" s="187"/>
      <c r="C85" s="110">
        <v>42816</v>
      </c>
      <c r="D85" s="110">
        <v>43264</v>
      </c>
      <c r="E85" s="110">
        <f t="shared" ref="E85:K85" si="1375">EDATE(D85,12)</f>
        <v>43629</v>
      </c>
      <c r="F85" s="110">
        <f t="shared" si="1375"/>
        <v>43995</v>
      </c>
      <c r="G85" s="110">
        <f t="shared" si="1375"/>
        <v>44360</v>
      </c>
      <c r="H85" s="110">
        <f t="shared" si="1375"/>
        <v>44725</v>
      </c>
      <c r="I85" s="110">
        <f t="shared" si="1375"/>
        <v>45090</v>
      </c>
      <c r="J85" s="110">
        <f t="shared" si="1375"/>
        <v>45456</v>
      </c>
      <c r="K85" s="110">
        <f t="shared" si="1375"/>
        <v>45821</v>
      </c>
    </row>
    <row r="86" spans="1:101" x14ac:dyDescent="0.2">
      <c r="A86" s="2" t="s">
        <v>68</v>
      </c>
      <c r="C86" s="125">
        <v>200000</v>
      </c>
      <c r="D86" s="125">
        <v>200000</v>
      </c>
      <c r="E86" s="125">
        <v>200000</v>
      </c>
      <c r="F86" s="125">
        <v>200000</v>
      </c>
      <c r="G86" s="125">
        <v>200000</v>
      </c>
      <c r="H86" s="125">
        <v>200000</v>
      </c>
      <c r="I86" s="125">
        <v>200000</v>
      </c>
      <c r="J86" s="125">
        <v>200000</v>
      </c>
      <c r="K86" s="125">
        <v>200000</v>
      </c>
    </row>
  </sheetData>
  <mergeCells count="1">
    <mergeCell ref="A85:B85"/>
  </mergeCells>
  <phoneticPr fontId="0" type="noConversion"/>
  <pageMargins left="0.42" right="0.28000000000000003" top="0.25" bottom="0.21" header="0.23" footer="0.19"/>
  <pageSetup paperSize="9" scale="90" orientation="landscape" horizontalDpi="4294967292" verticalDpi="1200" r:id="rId1"/>
  <headerFooter alignWithMargins="0"/>
  <ignoredErrors>
    <ignoredError sqref="C35 B35 D35:T35 C31:E31 H33:K33 F33:G33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65"/>
  <sheetViews>
    <sheetView showGridLines="0" topLeftCell="Y1" workbookViewId="0">
      <selection activeCell="AF59" sqref="AF59"/>
    </sheetView>
  </sheetViews>
  <sheetFormatPr defaultColWidth="9.5703125" defaultRowHeight="13.5" x14ac:dyDescent="0.25"/>
  <cols>
    <col min="1" max="1" width="30.5703125" style="22" customWidth="1"/>
    <col min="2" max="2" width="18.140625" style="22" customWidth="1"/>
    <col min="3" max="48" width="12.28515625" style="22" bestFit="1" customWidth="1"/>
    <col min="49" max="102" width="10.85546875" style="22" bestFit="1" customWidth="1"/>
    <col min="103" max="121" width="12.28515625" style="22" bestFit="1" customWidth="1"/>
    <col min="122" max="122" width="9.140625" style="22" customWidth="1"/>
    <col min="123" max="123" width="10.28515625" style="22" customWidth="1"/>
    <col min="124" max="170" width="9.5703125" style="22" bestFit="1" customWidth="1"/>
    <col min="171" max="16384" width="9.5703125" style="22"/>
  </cols>
  <sheetData>
    <row r="1" spans="1:74" s="18" customFormat="1" ht="16.5" x14ac:dyDescent="0.3">
      <c r="A1" s="17" t="s">
        <v>0</v>
      </c>
      <c r="B1" s="9" t="str">
        <f>MCML_Loan!C1</f>
        <v>Meghna Cement Mills Limited (MCML)</v>
      </c>
    </row>
    <row r="3" spans="1:74" s="20" customFormat="1" ht="18.75" x14ac:dyDescent="0.3">
      <c r="A3" s="19" t="s">
        <v>1</v>
      </c>
    </row>
    <row r="4" spans="1:74" s="18" customFormat="1" ht="16.5" x14ac:dyDescent="0.3">
      <c r="A4" s="17"/>
    </row>
    <row r="5" spans="1:74" s="21" customFormat="1" ht="15" x14ac:dyDescent="0.3">
      <c r="A5" s="21" t="s">
        <v>60</v>
      </c>
      <c r="B5" s="71">
        <f>MCML_Loan!C3</f>
        <v>42899</v>
      </c>
    </row>
    <row r="6" spans="1:74" x14ac:dyDescent="0.25">
      <c r="B6" s="52"/>
    </row>
    <row r="7" spans="1:74" ht="15" x14ac:dyDescent="0.3">
      <c r="A7" s="21" t="s">
        <v>2</v>
      </c>
      <c r="B7" s="76">
        <f>MCML_Loan!C5</f>
        <v>1270000000</v>
      </c>
      <c r="C7" s="21" t="s">
        <v>44</v>
      </c>
    </row>
    <row r="8" spans="1:74" ht="15" x14ac:dyDescent="0.3">
      <c r="A8" s="21"/>
      <c r="B8" s="52"/>
    </row>
    <row r="9" spans="1:74" ht="15" x14ac:dyDescent="0.3">
      <c r="A9" s="21" t="s">
        <v>3</v>
      </c>
      <c r="B9" s="77">
        <f>MCML_Loan!C8</f>
        <v>7.0000000000000007E-2</v>
      </c>
    </row>
    <row r="10" spans="1:74" ht="15" x14ac:dyDescent="0.3">
      <c r="A10" s="21" t="s">
        <v>45</v>
      </c>
      <c r="B10" s="52" t="s">
        <v>74</v>
      </c>
    </row>
    <row r="11" spans="1:74" ht="15" x14ac:dyDescent="0.3">
      <c r="A11" s="21" t="s">
        <v>46</v>
      </c>
      <c r="B11" s="51">
        <v>360</v>
      </c>
      <c r="C11" s="22" t="s">
        <v>50</v>
      </c>
    </row>
    <row r="12" spans="1:74" ht="15" x14ac:dyDescent="0.3">
      <c r="A12" s="21" t="s">
        <v>22</v>
      </c>
      <c r="B12" s="121" t="str">
        <f>MCML_Loan!C11</f>
        <v>Level principal</v>
      </c>
    </row>
    <row r="13" spans="1:74" ht="15" x14ac:dyDescent="0.3">
      <c r="A13" s="21"/>
      <c r="B13" s="12"/>
    </row>
    <row r="14" spans="1:74" s="53" customFormat="1" x14ac:dyDescent="0.25">
      <c r="A14" s="60" t="s">
        <v>49</v>
      </c>
      <c r="B14" s="57"/>
      <c r="C14" s="59"/>
      <c r="D14" s="2"/>
      <c r="E14" s="2"/>
      <c r="F14" s="2"/>
      <c r="G14" s="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</row>
    <row r="15" spans="1:74" x14ac:dyDescent="0.25">
      <c r="A15" s="61"/>
      <c r="B15" s="62"/>
      <c r="C15" s="62">
        <f>MCML_Loan!C16</f>
        <v>42935</v>
      </c>
      <c r="D15" s="62">
        <f>MCML_Loan!D16</f>
        <v>43151</v>
      </c>
      <c r="E15" s="62">
        <f>MCML_Loan!E16</f>
        <v>43382</v>
      </c>
      <c r="F15" s="62"/>
      <c r="G15" s="62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</row>
    <row r="16" spans="1:74" x14ac:dyDescent="0.25">
      <c r="A16" s="63"/>
      <c r="B16" s="64"/>
      <c r="C16" s="67">
        <f>MCML_Loan!C17</f>
        <v>123820000</v>
      </c>
      <c r="D16" s="67">
        <f>MCML_Loan!D17</f>
        <v>950080000</v>
      </c>
      <c r="E16" s="67">
        <f>MCML_Loan!E17</f>
        <v>196100000</v>
      </c>
      <c r="F16" s="67"/>
      <c r="G16" s="68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29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29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</row>
    <row r="17" spans="1:123" s="53" customFormat="1" ht="13.5" customHeight="1" x14ac:dyDescent="0.25">
      <c r="A17" s="65"/>
      <c r="B17" s="66"/>
      <c r="C17" s="69">
        <f>C16</f>
        <v>123820000</v>
      </c>
      <c r="D17" s="69">
        <f>D16+C17</f>
        <v>1073900000</v>
      </c>
      <c r="E17" s="69">
        <f>E16+D17</f>
        <v>1270000000</v>
      </c>
      <c r="F17" s="69"/>
      <c r="G17" s="70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</row>
    <row r="18" spans="1:123" s="53" customFormat="1" ht="13.5" customHeight="1" x14ac:dyDescent="0.3">
      <c r="A18" s="21"/>
      <c r="B18" s="24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9"/>
      <c r="AF18" s="29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3"/>
      <c r="BH18" s="23"/>
      <c r="BI18" s="29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</row>
    <row r="19" spans="1:123" s="53" customFormat="1" ht="13.5" customHeight="1" x14ac:dyDescent="0.3">
      <c r="A19" s="21"/>
      <c r="B19" s="24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9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3"/>
      <c r="BH19" s="23"/>
      <c r="BI19" s="29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</row>
    <row r="20" spans="1:123" s="53" customFormat="1" ht="14.25" thickBot="1" x14ac:dyDescent="0.3">
      <c r="A20" s="111" t="s">
        <v>59</v>
      </c>
      <c r="B20" s="112">
        <v>7.0000000000000007E-2</v>
      </c>
      <c r="C20" s="112">
        <v>7.0000000000000007E-2</v>
      </c>
      <c r="D20" s="112">
        <v>7.0000000000000007E-2</v>
      </c>
      <c r="E20" s="112">
        <v>7.0000000000000007E-2</v>
      </c>
      <c r="F20" s="112">
        <v>7.0000000000000007E-2</v>
      </c>
      <c r="G20" s="112">
        <v>0.04</v>
      </c>
      <c r="H20" s="112">
        <v>0.04</v>
      </c>
      <c r="I20" s="112">
        <v>0.04</v>
      </c>
      <c r="J20" s="112">
        <v>0.04</v>
      </c>
      <c r="K20" s="112">
        <v>0.04</v>
      </c>
      <c r="L20" s="112">
        <v>0.04</v>
      </c>
      <c r="M20" s="112">
        <v>0.04</v>
      </c>
      <c r="N20" s="112">
        <v>0.04</v>
      </c>
      <c r="O20" s="112">
        <v>0.04</v>
      </c>
      <c r="P20" s="112">
        <v>0.04</v>
      </c>
      <c r="Q20" s="112">
        <v>0.04</v>
      </c>
      <c r="R20" s="112">
        <v>0.04</v>
      </c>
      <c r="S20" s="112">
        <v>0.04</v>
      </c>
      <c r="T20" s="112">
        <v>0.04</v>
      </c>
      <c r="U20" s="112">
        <v>0.04</v>
      </c>
      <c r="V20" s="112">
        <v>0.04</v>
      </c>
      <c r="W20" s="112">
        <v>0.04</v>
      </c>
      <c r="X20" s="112">
        <v>0.04</v>
      </c>
      <c r="Y20" s="112">
        <v>0.04</v>
      </c>
      <c r="Z20" s="112">
        <v>0.04</v>
      </c>
      <c r="AA20" s="112">
        <v>0.04</v>
      </c>
      <c r="AB20" s="112">
        <v>0.04</v>
      </c>
      <c r="AC20" s="112">
        <v>0.04</v>
      </c>
      <c r="AD20" s="112">
        <v>0.04</v>
      </c>
      <c r="AE20" s="112">
        <v>0.04</v>
      </c>
      <c r="AF20" s="112">
        <v>0.04</v>
      </c>
      <c r="AG20" s="112">
        <v>0.04</v>
      </c>
      <c r="AH20" s="112">
        <v>0.04</v>
      </c>
      <c r="AI20" s="112">
        <v>0.04</v>
      </c>
      <c r="AJ20" s="112">
        <v>0.04</v>
      </c>
      <c r="AK20" s="112">
        <v>0.04</v>
      </c>
      <c r="AL20" s="112">
        <v>0.04</v>
      </c>
      <c r="AM20" s="112">
        <v>0.04</v>
      </c>
      <c r="AN20" s="112">
        <v>0.04</v>
      </c>
      <c r="AO20" s="112">
        <v>0.04</v>
      </c>
      <c r="AP20" s="112">
        <v>0.04</v>
      </c>
      <c r="AQ20" s="112">
        <v>0.04</v>
      </c>
      <c r="AR20" s="112">
        <v>0.04</v>
      </c>
      <c r="AS20" s="112">
        <v>0.04</v>
      </c>
      <c r="AT20" s="112">
        <v>0.04</v>
      </c>
      <c r="AU20" s="112">
        <v>0.04</v>
      </c>
      <c r="AV20" s="112">
        <v>0.04</v>
      </c>
      <c r="AW20" s="112">
        <v>0.04</v>
      </c>
      <c r="AX20" s="112">
        <v>0.04</v>
      </c>
      <c r="AY20" s="112">
        <v>0.04</v>
      </c>
      <c r="AZ20" s="112">
        <v>0.04</v>
      </c>
      <c r="BA20" s="112">
        <v>0.04</v>
      </c>
      <c r="BB20" s="112">
        <v>0.04</v>
      </c>
      <c r="BC20" s="112">
        <v>0.04</v>
      </c>
      <c r="BD20" s="112">
        <v>0.04</v>
      </c>
      <c r="BE20" s="112">
        <v>0.04</v>
      </c>
      <c r="BF20" s="112">
        <v>0.04</v>
      </c>
      <c r="BG20" s="112">
        <v>0.04</v>
      </c>
      <c r="BH20" s="112">
        <v>0.04</v>
      </c>
      <c r="BI20" s="112">
        <v>0.04</v>
      </c>
      <c r="BJ20" s="112">
        <v>0.04</v>
      </c>
      <c r="BK20" s="112">
        <v>0.04</v>
      </c>
      <c r="BL20" s="112">
        <v>0.04</v>
      </c>
      <c r="BM20" s="112">
        <v>0.04</v>
      </c>
      <c r="BN20" s="112">
        <v>0.04</v>
      </c>
      <c r="BO20" s="112">
        <v>0.04</v>
      </c>
      <c r="BP20" s="112">
        <v>0.04</v>
      </c>
      <c r="BQ20" s="112">
        <v>0.04</v>
      </c>
      <c r="BR20" s="112">
        <v>0.04</v>
      </c>
      <c r="BS20" s="112">
        <v>0.04</v>
      </c>
      <c r="BT20" s="112">
        <v>0.04</v>
      </c>
      <c r="BU20" s="112">
        <v>0.04</v>
      </c>
      <c r="BV20" s="112">
        <v>0.04</v>
      </c>
      <c r="BW20" s="112">
        <v>0.04</v>
      </c>
      <c r="BX20" s="112">
        <v>0.04</v>
      </c>
      <c r="BY20" s="112">
        <v>0.04</v>
      </c>
      <c r="BZ20" s="112">
        <v>0.04</v>
      </c>
      <c r="CA20" s="112">
        <v>0.04</v>
      </c>
      <c r="CB20" s="112">
        <v>0.04</v>
      </c>
      <c r="CC20" s="112">
        <v>0.04</v>
      </c>
      <c r="CD20" s="112">
        <v>0.04</v>
      </c>
      <c r="CE20" s="112">
        <v>0.04</v>
      </c>
      <c r="CF20" s="112">
        <v>0.04</v>
      </c>
      <c r="CG20" s="112">
        <v>0.04</v>
      </c>
      <c r="CH20" s="112">
        <v>0.04</v>
      </c>
      <c r="CI20" s="112">
        <v>0.04</v>
      </c>
      <c r="CJ20" s="112">
        <v>0.04</v>
      </c>
      <c r="CK20" s="112">
        <v>0.04</v>
      </c>
      <c r="CL20" s="112">
        <v>0.04</v>
      </c>
      <c r="CM20" s="112">
        <v>0.04</v>
      </c>
      <c r="CN20" s="112">
        <v>0.04</v>
      </c>
      <c r="CO20" s="112">
        <v>0.04</v>
      </c>
      <c r="CP20" s="112">
        <v>0.04</v>
      </c>
      <c r="CQ20" s="112">
        <v>0.04</v>
      </c>
      <c r="CR20" s="112">
        <v>0.04</v>
      </c>
      <c r="CS20" s="112">
        <v>0.04</v>
      </c>
      <c r="CT20" s="112">
        <v>0.04</v>
      </c>
      <c r="CU20" s="112">
        <v>0.04</v>
      </c>
      <c r="CV20" s="112">
        <v>0.04</v>
      </c>
      <c r="CW20" s="112">
        <v>0.04</v>
      </c>
      <c r="CX20" s="112">
        <v>0.04</v>
      </c>
      <c r="CY20" s="112">
        <v>0.04</v>
      </c>
      <c r="CZ20" s="112">
        <v>0.04</v>
      </c>
      <c r="DA20" s="112">
        <v>0.04</v>
      </c>
      <c r="DB20" s="112">
        <v>0.04</v>
      </c>
      <c r="DC20" s="112">
        <v>0.04</v>
      </c>
      <c r="DD20" s="112">
        <v>0.04</v>
      </c>
      <c r="DE20" s="112">
        <v>0.04</v>
      </c>
      <c r="DF20" s="112">
        <v>0.04</v>
      </c>
      <c r="DG20" s="112">
        <v>0.04</v>
      </c>
      <c r="DH20" s="112">
        <v>0.04</v>
      </c>
      <c r="DI20" s="112">
        <v>0.04</v>
      </c>
      <c r="DJ20" s="112">
        <v>0.04</v>
      </c>
      <c r="DK20" s="112">
        <v>0.04</v>
      </c>
      <c r="DL20" s="112">
        <v>0.04</v>
      </c>
      <c r="DM20" s="112">
        <v>0.04</v>
      </c>
      <c r="DN20" s="112">
        <v>0.04</v>
      </c>
      <c r="DO20" s="112">
        <v>0.04</v>
      </c>
      <c r="DP20" s="112">
        <v>0.04</v>
      </c>
      <c r="DQ20" s="112">
        <v>0.04</v>
      </c>
      <c r="DR20" s="112">
        <v>0.04</v>
      </c>
      <c r="DS20" s="112">
        <v>0.04</v>
      </c>
    </row>
    <row r="21" spans="1:123" s="53" customFormat="1" ht="15" x14ac:dyDescent="0.3">
      <c r="A21" s="21" t="s">
        <v>79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</row>
    <row r="22" spans="1:123" s="53" customFormat="1" ht="15" x14ac:dyDescent="0.3">
      <c r="A22" s="27" t="s">
        <v>14</v>
      </c>
      <c r="B22" s="28">
        <v>42948</v>
      </c>
      <c r="C22" s="28">
        <f>EDATE(B22,1)</f>
        <v>42979</v>
      </c>
      <c r="D22" s="28">
        <f t="shared" ref="D22:BO22" si="0">EDATE(C22,1)</f>
        <v>43009</v>
      </c>
      <c r="E22" s="28">
        <f t="shared" si="0"/>
        <v>43040</v>
      </c>
      <c r="F22" s="28">
        <f t="shared" si="0"/>
        <v>43070</v>
      </c>
      <c r="G22" s="28">
        <f t="shared" si="0"/>
        <v>43101</v>
      </c>
      <c r="H22" s="28">
        <f t="shared" si="0"/>
        <v>43132</v>
      </c>
      <c r="I22" s="28">
        <f t="shared" si="0"/>
        <v>43160</v>
      </c>
      <c r="J22" s="28">
        <f t="shared" si="0"/>
        <v>43191</v>
      </c>
      <c r="K22" s="28">
        <f t="shared" si="0"/>
        <v>43221</v>
      </c>
      <c r="L22" s="28">
        <f t="shared" si="0"/>
        <v>43252</v>
      </c>
      <c r="M22" s="28">
        <f t="shared" si="0"/>
        <v>43282</v>
      </c>
      <c r="N22" s="28">
        <f t="shared" si="0"/>
        <v>43313</v>
      </c>
      <c r="O22" s="28">
        <f t="shared" si="0"/>
        <v>43344</v>
      </c>
      <c r="P22" s="28">
        <f t="shared" si="0"/>
        <v>43374</v>
      </c>
      <c r="Q22" s="28">
        <f t="shared" si="0"/>
        <v>43405</v>
      </c>
      <c r="R22" s="28">
        <f t="shared" si="0"/>
        <v>43435</v>
      </c>
      <c r="S22" s="28">
        <f t="shared" si="0"/>
        <v>43466</v>
      </c>
      <c r="T22" s="28">
        <f t="shared" si="0"/>
        <v>43497</v>
      </c>
      <c r="U22" s="28">
        <f t="shared" si="0"/>
        <v>43525</v>
      </c>
      <c r="V22" s="28">
        <f t="shared" si="0"/>
        <v>43556</v>
      </c>
      <c r="W22" s="28">
        <f t="shared" si="0"/>
        <v>43586</v>
      </c>
      <c r="X22" s="28">
        <f t="shared" si="0"/>
        <v>43617</v>
      </c>
      <c r="Y22" s="28">
        <f t="shared" si="0"/>
        <v>43647</v>
      </c>
      <c r="Z22" s="28">
        <f t="shared" si="0"/>
        <v>43678</v>
      </c>
      <c r="AA22" s="28">
        <f t="shared" si="0"/>
        <v>43709</v>
      </c>
      <c r="AB22" s="28">
        <f t="shared" si="0"/>
        <v>43739</v>
      </c>
      <c r="AC22" s="28">
        <f t="shared" si="0"/>
        <v>43770</v>
      </c>
      <c r="AD22" s="28">
        <f t="shared" si="0"/>
        <v>43800</v>
      </c>
      <c r="AE22" s="28">
        <f t="shared" si="0"/>
        <v>43831</v>
      </c>
      <c r="AF22" s="28">
        <f t="shared" si="0"/>
        <v>43862</v>
      </c>
      <c r="AG22" s="28">
        <f t="shared" si="0"/>
        <v>43891</v>
      </c>
      <c r="AH22" s="28">
        <f t="shared" si="0"/>
        <v>43922</v>
      </c>
      <c r="AI22" s="28">
        <f t="shared" si="0"/>
        <v>43952</v>
      </c>
      <c r="AJ22" s="28">
        <f t="shared" si="0"/>
        <v>43983</v>
      </c>
      <c r="AK22" s="28">
        <f t="shared" si="0"/>
        <v>44013</v>
      </c>
      <c r="AL22" s="28">
        <f t="shared" si="0"/>
        <v>44044</v>
      </c>
      <c r="AM22" s="28">
        <f t="shared" si="0"/>
        <v>44075</v>
      </c>
      <c r="AN22" s="28">
        <f t="shared" si="0"/>
        <v>44105</v>
      </c>
      <c r="AO22" s="28">
        <f t="shared" si="0"/>
        <v>44136</v>
      </c>
      <c r="AP22" s="28">
        <f t="shared" si="0"/>
        <v>44166</v>
      </c>
      <c r="AQ22" s="28">
        <f t="shared" si="0"/>
        <v>44197</v>
      </c>
      <c r="AR22" s="28">
        <f t="shared" si="0"/>
        <v>44228</v>
      </c>
      <c r="AS22" s="28">
        <f t="shared" si="0"/>
        <v>44256</v>
      </c>
      <c r="AT22" s="28">
        <f t="shared" si="0"/>
        <v>44287</v>
      </c>
      <c r="AU22" s="28">
        <f t="shared" si="0"/>
        <v>44317</v>
      </c>
      <c r="AV22" s="28">
        <f t="shared" si="0"/>
        <v>44348</v>
      </c>
      <c r="AW22" s="28">
        <f t="shared" si="0"/>
        <v>44378</v>
      </c>
      <c r="AX22" s="28">
        <f t="shared" si="0"/>
        <v>44409</v>
      </c>
      <c r="AY22" s="28">
        <f t="shared" si="0"/>
        <v>44440</v>
      </c>
      <c r="AZ22" s="28">
        <f t="shared" si="0"/>
        <v>44470</v>
      </c>
      <c r="BA22" s="28">
        <f t="shared" si="0"/>
        <v>44501</v>
      </c>
      <c r="BB22" s="28">
        <f t="shared" si="0"/>
        <v>44531</v>
      </c>
      <c r="BC22" s="28">
        <f t="shared" si="0"/>
        <v>44562</v>
      </c>
      <c r="BD22" s="28">
        <f t="shared" si="0"/>
        <v>44593</v>
      </c>
      <c r="BE22" s="28">
        <f t="shared" si="0"/>
        <v>44621</v>
      </c>
      <c r="BF22" s="28">
        <f t="shared" si="0"/>
        <v>44652</v>
      </c>
      <c r="BG22" s="28">
        <f t="shared" si="0"/>
        <v>44682</v>
      </c>
      <c r="BH22" s="28">
        <f t="shared" si="0"/>
        <v>44713</v>
      </c>
      <c r="BI22" s="28">
        <f t="shared" si="0"/>
        <v>44743</v>
      </c>
      <c r="BJ22" s="28">
        <f t="shared" si="0"/>
        <v>44774</v>
      </c>
      <c r="BK22" s="28">
        <f t="shared" si="0"/>
        <v>44805</v>
      </c>
      <c r="BL22" s="28">
        <f t="shared" si="0"/>
        <v>44835</v>
      </c>
      <c r="BM22" s="28">
        <f t="shared" si="0"/>
        <v>44866</v>
      </c>
      <c r="BN22" s="28">
        <f t="shared" si="0"/>
        <v>44896</v>
      </c>
      <c r="BO22" s="28">
        <f t="shared" si="0"/>
        <v>44927</v>
      </c>
      <c r="BP22" s="28">
        <f t="shared" ref="BP22:CH22" si="1">EDATE(BO22,1)</f>
        <v>44958</v>
      </c>
      <c r="BQ22" s="28">
        <f t="shared" si="1"/>
        <v>44986</v>
      </c>
      <c r="BR22" s="28">
        <f t="shared" si="1"/>
        <v>45017</v>
      </c>
      <c r="BS22" s="28">
        <f t="shared" si="1"/>
        <v>45047</v>
      </c>
      <c r="BT22" s="28">
        <f t="shared" si="1"/>
        <v>45078</v>
      </c>
      <c r="BU22" s="28">
        <f t="shared" si="1"/>
        <v>45108</v>
      </c>
      <c r="BV22" s="28">
        <f t="shared" si="1"/>
        <v>45139</v>
      </c>
      <c r="BW22" s="28">
        <f t="shared" si="1"/>
        <v>45170</v>
      </c>
      <c r="BX22" s="28">
        <f t="shared" si="1"/>
        <v>45200</v>
      </c>
      <c r="BY22" s="28">
        <f t="shared" si="1"/>
        <v>45231</v>
      </c>
      <c r="BZ22" s="28">
        <f t="shared" si="1"/>
        <v>45261</v>
      </c>
      <c r="CA22" s="28">
        <f t="shared" si="1"/>
        <v>45292</v>
      </c>
      <c r="CB22" s="28">
        <f t="shared" si="1"/>
        <v>45323</v>
      </c>
      <c r="CC22" s="28">
        <f t="shared" si="1"/>
        <v>45352</v>
      </c>
      <c r="CD22" s="28">
        <f t="shared" si="1"/>
        <v>45383</v>
      </c>
      <c r="CE22" s="28">
        <f t="shared" si="1"/>
        <v>45413</v>
      </c>
      <c r="CF22" s="28">
        <f t="shared" si="1"/>
        <v>45444</v>
      </c>
      <c r="CG22" s="28">
        <f t="shared" si="1"/>
        <v>45474</v>
      </c>
      <c r="CH22" s="28">
        <f t="shared" si="1"/>
        <v>45505</v>
      </c>
      <c r="CI22" s="28">
        <f t="shared" ref="CI22" si="2">EDATE(CH22,1)</f>
        <v>45536</v>
      </c>
      <c r="CJ22" s="28">
        <f t="shared" ref="CJ22" si="3">EDATE(CI22,1)</f>
        <v>45566</v>
      </c>
      <c r="CK22" s="28">
        <f t="shared" ref="CK22" si="4">EDATE(CJ22,1)</f>
        <v>45597</v>
      </c>
      <c r="CL22" s="28">
        <f t="shared" ref="CL22" si="5">EDATE(CK22,1)</f>
        <v>45627</v>
      </c>
      <c r="CM22" s="28">
        <f t="shared" ref="CM22" si="6">EDATE(CL22,1)</f>
        <v>45658</v>
      </c>
      <c r="CN22" s="28">
        <f t="shared" ref="CN22" si="7">EDATE(CM22,1)</f>
        <v>45689</v>
      </c>
      <c r="CO22" s="28">
        <f t="shared" ref="CO22" si="8">EDATE(CN22,1)</f>
        <v>45717</v>
      </c>
      <c r="CP22" s="28">
        <f t="shared" ref="CP22" si="9">EDATE(CO22,1)</f>
        <v>45748</v>
      </c>
      <c r="CQ22" s="28">
        <f t="shared" ref="CQ22" si="10">EDATE(CP22,1)</f>
        <v>45778</v>
      </c>
      <c r="CR22" s="28">
        <f t="shared" ref="CR22" si="11">EDATE(CQ22,1)</f>
        <v>45809</v>
      </c>
      <c r="CS22" s="28">
        <f t="shared" ref="CS22" si="12">EDATE(CR22,1)</f>
        <v>45839</v>
      </c>
      <c r="CT22" s="28">
        <f t="shared" ref="CT22" si="13">EDATE(CS22,1)</f>
        <v>45870</v>
      </c>
      <c r="CU22" s="28">
        <f t="shared" ref="CU22" si="14">EDATE(CT22,1)</f>
        <v>45901</v>
      </c>
      <c r="CV22" s="28">
        <f t="shared" ref="CV22" si="15">EDATE(CU22,1)</f>
        <v>45931</v>
      </c>
      <c r="CW22" s="28">
        <f t="shared" ref="CW22" si="16">EDATE(CV22,1)</f>
        <v>45962</v>
      </c>
      <c r="CX22" s="28">
        <f t="shared" ref="CX22" si="17">EDATE(CW22,1)</f>
        <v>45992</v>
      </c>
      <c r="CY22" s="28">
        <f t="shared" ref="CY22" si="18">EDATE(CX22,1)</f>
        <v>46023</v>
      </c>
      <c r="CZ22" s="28">
        <f t="shared" ref="CZ22" si="19">EDATE(CY22,1)</f>
        <v>46054</v>
      </c>
      <c r="DA22" s="28">
        <f t="shared" ref="DA22" si="20">EDATE(CZ22,1)</f>
        <v>46082</v>
      </c>
      <c r="DB22" s="28">
        <f t="shared" ref="DB22" si="21">EDATE(DA22,1)</f>
        <v>46113</v>
      </c>
      <c r="DC22" s="28">
        <f t="shared" ref="DC22" si="22">EDATE(DB22,1)</f>
        <v>46143</v>
      </c>
      <c r="DD22" s="28">
        <f t="shared" ref="DD22" si="23">EDATE(DC22,1)</f>
        <v>46174</v>
      </c>
      <c r="DE22" s="28">
        <f t="shared" ref="DE22" si="24">EDATE(DD22,1)</f>
        <v>46204</v>
      </c>
      <c r="DF22" s="28">
        <f t="shared" ref="DF22" si="25">EDATE(DE22,1)</f>
        <v>46235</v>
      </c>
      <c r="DG22" s="28">
        <f t="shared" ref="DG22" si="26">EDATE(DF22,1)</f>
        <v>46266</v>
      </c>
      <c r="DH22" s="28">
        <f t="shared" ref="DH22" si="27">EDATE(DG22,1)</f>
        <v>46296</v>
      </c>
      <c r="DI22" s="28">
        <f t="shared" ref="DI22" si="28">EDATE(DH22,1)</f>
        <v>46327</v>
      </c>
      <c r="DJ22" s="28">
        <f t="shared" ref="DJ22" si="29">EDATE(DI22,1)</f>
        <v>46357</v>
      </c>
      <c r="DK22" s="28">
        <f t="shared" ref="DK22" si="30">EDATE(DJ22,1)</f>
        <v>46388</v>
      </c>
      <c r="DL22" s="28">
        <f t="shared" ref="DL22" si="31">EDATE(DK22,1)</f>
        <v>46419</v>
      </c>
      <c r="DM22" s="28">
        <f t="shared" ref="DM22" si="32">EDATE(DL22,1)</f>
        <v>46447</v>
      </c>
      <c r="DN22" s="28">
        <f t="shared" ref="DN22" si="33">EDATE(DM22,1)</f>
        <v>46478</v>
      </c>
      <c r="DO22" s="28">
        <f t="shared" ref="DO22" si="34">EDATE(DN22,1)</f>
        <v>46508</v>
      </c>
      <c r="DP22" s="28">
        <f t="shared" ref="DP22" si="35">EDATE(DO22,1)</f>
        <v>46539</v>
      </c>
      <c r="DQ22" s="28">
        <f t="shared" ref="DQ22" si="36">EDATE(DP22,1)</f>
        <v>46569</v>
      </c>
      <c r="DR22" s="28"/>
      <c r="DS22" s="28"/>
    </row>
    <row r="23" spans="1:123" s="53" customFormat="1" x14ac:dyDescent="0.25">
      <c r="A23" s="22" t="s">
        <v>5</v>
      </c>
      <c r="B23" s="162">
        <f>B35+B47+B59</f>
        <v>123820000</v>
      </c>
      <c r="C23" s="162">
        <f t="shared" ref="C23:AE23" si="37">C35+C47+C59</f>
        <v>123820000</v>
      </c>
      <c r="D23" s="162">
        <f t="shared" si="37"/>
        <v>123820000</v>
      </c>
      <c r="E23" s="162">
        <f t="shared" si="37"/>
        <v>123820000</v>
      </c>
      <c r="F23" s="162">
        <f t="shared" si="37"/>
        <v>123820000</v>
      </c>
      <c r="G23" s="162">
        <f t="shared" si="37"/>
        <v>123820000</v>
      </c>
      <c r="H23" s="162">
        <f t="shared" si="37"/>
        <v>123820000</v>
      </c>
      <c r="I23" s="162">
        <f t="shared" si="37"/>
        <v>1073900000</v>
      </c>
      <c r="J23" s="162">
        <f t="shared" si="37"/>
        <v>1073900000</v>
      </c>
      <c r="K23" s="162">
        <f t="shared" si="37"/>
        <v>1073900000</v>
      </c>
      <c r="L23" s="162">
        <f t="shared" si="37"/>
        <v>1073900000</v>
      </c>
      <c r="M23" s="162">
        <f t="shared" si="37"/>
        <v>1073900000</v>
      </c>
      <c r="N23" s="162">
        <f t="shared" si="37"/>
        <v>1073900000</v>
      </c>
      <c r="O23" s="162">
        <f t="shared" si="37"/>
        <v>1073900000</v>
      </c>
      <c r="P23" s="162">
        <f t="shared" si="37"/>
        <v>1073900000</v>
      </c>
      <c r="Q23" s="162">
        <f t="shared" si="37"/>
        <v>1270000000</v>
      </c>
      <c r="R23" s="162">
        <f t="shared" si="37"/>
        <v>1270000000</v>
      </c>
      <c r="S23" s="162">
        <f t="shared" si="37"/>
        <v>1270000000</v>
      </c>
      <c r="T23" s="162">
        <f t="shared" si="37"/>
        <v>1270000000</v>
      </c>
      <c r="U23" s="162">
        <f t="shared" si="37"/>
        <v>1270000000</v>
      </c>
      <c r="V23" s="162">
        <f t="shared" si="37"/>
        <v>1270000000</v>
      </c>
      <c r="W23" s="162">
        <f t="shared" si="37"/>
        <v>1270000000</v>
      </c>
      <c r="X23" s="162">
        <f t="shared" si="37"/>
        <v>1270000000</v>
      </c>
      <c r="Y23" s="162">
        <f t="shared" si="37"/>
        <v>1270000000</v>
      </c>
      <c r="Z23" s="162">
        <f t="shared" si="37"/>
        <v>1270000000</v>
      </c>
      <c r="AA23" s="162">
        <f t="shared" si="37"/>
        <v>1270000000</v>
      </c>
      <c r="AB23" s="162">
        <f t="shared" si="37"/>
        <v>1270000000</v>
      </c>
      <c r="AC23" s="162">
        <f t="shared" si="37"/>
        <v>1230312500</v>
      </c>
      <c r="AD23" s="162">
        <f t="shared" si="37"/>
        <v>1230312500</v>
      </c>
      <c r="AE23" s="162">
        <f t="shared" si="37"/>
        <v>1230312500</v>
      </c>
      <c r="AF23" s="29">
        <f t="shared" ref="AF23:CQ23" si="38">AF35+AF47+AF59</f>
        <v>1190625000</v>
      </c>
      <c r="AG23" s="29">
        <f t="shared" si="38"/>
        <v>1179259265.9704022</v>
      </c>
      <c r="AH23" s="29">
        <f t="shared" si="38"/>
        <v>1167855646.1607056</v>
      </c>
      <c r="AI23" s="29">
        <f t="shared" si="38"/>
        <v>1156414014.2849767</v>
      </c>
      <c r="AJ23" s="29">
        <f t="shared" si="38"/>
        <v>1144934243.6363287</v>
      </c>
      <c r="AK23" s="29">
        <f t="shared" si="38"/>
        <v>1133416207.0855186</v>
      </c>
      <c r="AL23" s="29">
        <f t="shared" si="38"/>
        <v>1121859777.0795393</v>
      </c>
      <c r="AM23" s="29">
        <f t="shared" si="38"/>
        <v>1110264825.6402063</v>
      </c>
      <c r="AN23" s="29">
        <f t="shared" si="38"/>
        <v>1098631224.3627424</v>
      </c>
      <c r="AO23" s="29">
        <f t="shared" si="38"/>
        <v>1086958844.4143536</v>
      </c>
      <c r="AP23" s="29">
        <f t="shared" si="38"/>
        <v>1075247556.5328035</v>
      </c>
      <c r="AQ23" s="29">
        <f t="shared" si="38"/>
        <v>1063497231.0249817</v>
      </c>
      <c r="AR23" s="29">
        <f t="shared" si="38"/>
        <v>1051707737.765467</v>
      </c>
      <c r="AS23" s="29">
        <f t="shared" si="38"/>
        <v>1039878946.1950874</v>
      </c>
      <c r="AT23" s="29">
        <f t="shared" si="38"/>
        <v>1028010725.319473</v>
      </c>
      <c r="AU23" s="29">
        <f t="shared" si="38"/>
        <v>1016102943.7076068</v>
      </c>
      <c r="AV23" s="29">
        <f t="shared" si="38"/>
        <v>1004155469.4903677</v>
      </c>
      <c r="AW23" s="29">
        <f t="shared" si="38"/>
        <v>992168170.3590709</v>
      </c>
      <c r="AX23" s="29">
        <f t="shared" si="38"/>
        <v>980140913.56400323</v>
      </c>
      <c r="AY23" s="29">
        <f t="shared" si="38"/>
        <v>968073565.91295195</v>
      </c>
      <c r="AZ23" s="29">
        <f t="shared" si="38"/>
        <v>955965993.76973057</v>
      </c>
      <c r="BA23" s="29">
        <f t="shared" si="38"/>
        <v>943818063.05269861</v>
      </c>
      <c r="BB23" s="29">
        <f t="shared" si="38"/>
        <v>931629639.23327637</v>
      </c>
      <c r="BC23" s="29">
        <f t="shared" si="38"/>
        <v>919400587.33445597</v>
      </c>
      <c r="BD23" s="29">
        <f t="shared" si="38"/>
        <v>907130771.92930627</v>
      </c>
      <c r="BE23" s="29">
        <f t="shared" si="38"/>
        <v>894820057.13947284</v>
      </c>
      <c r="BF23" s="29">
        <f t="shared" si="38"/>
        <v>882468306.63367307</v>
      </c>
      <c r="BG23" s="29">
        <f t="shared" si="38"/>
        <v>870075383.62618756</v>
      </c>
      <c r="BH23" s="29">
        <f t="shared" si="38"/>
        <v>857641150.87534344</v>
      </c>
      <c r="BI23" s="29">
        <f t="shared" si="38"/>
        <v>845165470.6819967</v>
      </c>
      <c r="BJ23" s="29">
        <f t="shared" si="38"/>
        <v>832648204.8880055</v>
      </c>
      <c r="BK23" s="29">
        <f t="shared" si="38"/>
        <v>820089214.8747009</v>
      </c>
      <c r="BL23" s="29">
        <f t="shared" si="38"/>
        <v>807488361.56135201</v>
      </c>
      <c r="BM23" s="29">
        <f t="shared" si="38"/>
        <v>794845505.40362537</v>
      </c>
      <c r="BN23" s="29">
        <f t="shared" si="38"/>
        <v>782160506.39203954</v>
      </c>
      <c r="BO23" s="29">
        <f t="shared" si="38"/>
        <v>769433224.05041504</v>
      </c>
      <c r="BP23" s="29">
        <f t="shared" si="38"/>
        <v>756663517.43431866</v>
      </c>
      <c r="BQ23" s="29">
        <f t="shared" si="38"/>
        <v>743851245.12950182</v>
      </c>
      <c r="BR23" s="29">
        <f t="shared" si="38"/>
        <v>730996265.25033557</v>
      </c>
      <c r="BS23" s="29">
        <f t="shared" si="38"/>
        <v>718098435.43823886</v>
      </c>
      <c r="BT23" s="29">
        <f t="shared" si="38"/>
        <v>705157612.8601017</v>
      </c>
      <c r="BU23" s="29">
        <f t="shared" si="38"/>
        <v>692173654.20670414</v>
      </c>
      <c r="BV23" s="29">
        <f t="shared" si="38"/>
        <v>679146415.69112873</v>
      </c>
      <c r="BW23" s="29">
        <f t="shared" si="38"/>
        <v>666075753.04716778</v>
      </c>
      <c r="BX23" s="29">
        <f t="shared" si="38"/>
        <v>652961521.52772725</v>
      </c>
      <c r="BY23" s="29">
        <f t="shared" si="38"/>
        <v>639803575.90322173</v>
      </c>
      <c r="BZ23" s="29">
        <f t="shared" si="38"/>
        <v>626601770.45996785</v>
      </c>
      <c r="CA23" s="29">
        <f t="shared" si="38"/>
        <v>613355958.99856985</v>
      </c>
      <c r="CB23" s="29">
        <f t="shared" si="38"/>
        <v>600065994.83230054</v>
      </c>
      <c r="CC23" s="29">
        <f t="shared" si="38"/>
        <v>586731730.78547704</v>
      </c>
      <c r="CD23" s="29">
        <f t="shared" si="38"/>
        <v>573353019.19183064</v>
      </c>
      <c r="CE23" s="29">
        <f t="shared" si="38"/>
        <v>559929711.89287221</v>
      </c>
      <c r="CF23" s="29">
        <f t="shared" si="38"/>
        <v>546461660.23625052</v>
      </c>
      <c r="CG23" s="29">
        <f t="shared" si="38"/>
        <v>532948715.07410687</v>
      </c>
      <c r="CH23" s="29">
        <f t="shared" si="38"/>
        <v>519390726.76142269</v>
      </c>
      <c r="CI23" s="29">
        <f t="shared" si="38"/>
        <v>505787545.15436292</v>
      </c>
      <c r="CJ23" s="29">
        <f t="shared" si="38"/>
        <v>492139019.6086129</v>
      </c>
      <c r="CK23" s="29">
        <f t="shared" si="38"/>
        <v>478444998.97771037</v>
      </c>
      <c r="CL23" s="29">
        <f t="shared" si="38"/>
        <v>464705331.61137152</v>
      </c>
      <c r="CM23" s="29">
        <f t="shared" si="38"/>
        <v>450919865.3538115</v>
      </c>
      <c r="CN23" s="29">
        <f t="shared" si="38"/>
        <v>437088447.54205966</v>
      </c>
      <c r="CO23" s="29">
        <f t="shared" si="38"/>
        <v>423210925.00426865</v>
      </c>
      <c r="CP23" s="29">
        <f t="shared" si="38"/>
        <v>409287144.05801833</v>
      </c>
      <c r="CQ23" s="29">
        <f t="shared" si="38"/>
        <v>395316950.50861382</v>
      </c>
      <c r="CR23" s="29">
        <f t="shared" ref="CR23:DQ23" si="39">CR35+CR47+CR59</f>
        <v>381300189.64737797</v>
      </c>
      <c r="CS23" s="29">
        <f t="shared" si="39"/>
        <v>367236706.24993807</v>
      </c>
      <c r="CT23" s="29">
        <f t="shared" si="39"/>
        <v>353126344.57450664</v>
      </c>
      <c r="CU23" s="29">
        <f t="shared" si="39"/>
        <v>338968948.36015707</v>
      </c>
      <c r="CV23" s="29">
        <f t="shared" si="39"/>
        <v>324764360.82509309</v>
      </c>
      <c r="CW23" s="29">
        <f t="shared" si="39"/>
        <v>310512424.6649121</v>
      </c>
      <c r="CX23" s="29">
        <f t="shared" si="39"/>
        <v>296212982.05086392</v>
      </c>
      <c r="CY23" s="29">
        <f t="shared" si="39"/>
        <v>281865874.62810224</v>
      </c>
      <c r="CZ23" s="29">
        <f t="shared" si="39"/>
        <v>267470943.51393136</v>
      </c>
      <c r="DA23" s="29">
        <f t="shared" si="39"/>
        <v>253028029.29604658</v>
      </c>
      <c r="DB23" s="29">
        <f t="shared" si="39"/>
        <v>238536972.03076881</v>
      </c>
      <c r="DC23" s="29">
        <f t="shared" si="39"/>
        <v>223997611.24127352</v>
      </c>
      <c r="DD23" s="29">
        <f t="shared" si="39"/>
        <v>209409785.91581321</v>
      </c>
      <c r="DE23" s="29">
        <f t="shared" si="39"/>
        <v>194773334.50593469</v>
      </c>
      <c r="DF23" s="29">
        <f t="shared" si="39"/>
        <v>180088094.92468992</v>
      </c>
      <c r="DG23" s="29">
        <f t="shared" si="39"/>
        <v>165353904.54484099</v>
      </c>
      <c r="DH23" s="29">
        <f t="shared" si="39"/>
        <v>150570600.19705921</v>
      </c>
      <c r="DI23" s="29">
        <f t="shared" si="39"/>
        <v>135738018.16811821</v>
      </c>
      <c r="DJ23" s="29">
        <f t="shared" si="39"/>
        <v>120855994.19908071</v>
      </c>
      <c r="DK23" s="29">
        <f t="shared" si="39"/>
        <v>105924363.48347975</v>
      </c>
      <c r="DL23" s="29">
        <f t="shared" si="39"/>
        <v>90942960.665493459</v>
      </c>
      <c r="DM23" s="29">
        <f t="shared" si="39"/>
        <v>75911619.838113874</v>
      </c>
      <c r="DN23" s="29">
        <f t="shared" si="39"/>
        <v>60830174.541309699</v>
      </c>
      <c r="DO23" s="29">
        <f t="shared" si="39"/>
        <v>45698457.760182835</v>
      </c>
      <c r="DP23" s="29">
        <f t="shared" si="39"/>
        <v>30516301.923118889</v>
      </c>
      <c r="DQ23" s="29">
        <f t="shared" si="39"/>
        <v>15283538.89993139</v>
      </c>
      <c r="DR23" s="25"/>
      <c r="DS23" s="25"/>
    </row>
    <row r="24" spans="1:123" s="53" customFormat="1" x14ac:dyDescent="0.25">
      <c r="A24" s="22" t="s">
        <v>6</v>
      </c>
      <c r="B24" s="163">
        <f>B36+B48+B60</f>
        <v>312989.4444444445</v>
      </c>
      <c r="C24" s="163">
        <f t="shared" ref="C24:AE24" si="40">C36+C48+C60</f>
        <v>746359.4444444445</v>
      </c>
      <c r="D24" s="163">
        <f t="shared" si="40"/>
        <v>722283.33333333337</v>
      </c>
      <c r="E24" s="163">
        <f t="shared" si="40"/>
        <v>746359.4444444445</v>
      </c>
      <c r="F24" s="163">
        <f t="shared" si="40"/>
        <v>722283.33333333337</v>
      </c>
      <c r="G24" s="163">
        <f t="shared" si="40"/>
        <v>560629.4444444445</v>
      </c>
      <c r="H24" s="163">
        <f t="shared" si="40"/>
        <v>426491.11111111112</v>
      </c>
      <c r="I24" s="163">
        <f t="shared" si="40"/>
        <v>2047857.7777777778</v>
      </c>
      <c r="J24" s="163">
        <f t="shared" si="40"/>
        <v>4807415.555555555</v>
      </c>
      <c r="K24" s="163">
        <f t="shared" si="40"/>
        <v>3579666.666666667</v>
      </c>
      <c r="L24" s="163">
        <f t="shared" si="40"/>
        <v>3698988.888888889</v>
      </c>
      <c r="M24" s="163">
        <f t="shared" si="40"/>
        <v>3579666.666666667</v>
      </c>
      <c r="N24" s="163">
        <f t="shared" si="40"/>
        <v>3698988.888888889</v>
      </c>
      <c r="O24" s="163">
        <f t="shared" si="40"/>
        <v>3698988.888888889</v>
      </c>
      <c r="P24" s="163">
        <f t="shared" si="40"/>
        <v>3579666.666666667</v>
      </c>
      <c r="Q24" s="163">
        <f t="shared" si="40"/>
        <v>4575991.666666667</v>
      </c>
      <c r="R24" s="163">
        <f t="shared" si="40"/>
        <v>4723583.333333334</v>
      </c>
      <c r="S24" s="163">
        <f t="shared" si="40"/>
        <v>4570544.444444445</v>
      </c>
      <c r="T24" s="163">
        <f t="shared" si="40"/>
        <v>4374444.444444444</v>
      </c>
      <c r="U24" s="163">
        <f t="shared" si="40"/>
        <v>3951111.111111111</v>
      </c>
      <c r="V24" s="163">
        <f t="shared" si="40"/>
        <v>4374444.444444444</v>
      </c>
      <c r="W24" s="163">
        <f t="shared" si="40"/>
        <v>4233333.333333334</v>
      </c>
      <c r="X24" s="163">
        <f t="shared" si="40"/>
        <v>4374444.444444444</v>
      </c>
      <c r="Y24" s="163">
        <f t="shared" si="40"/>
        <v>4233333.333333334</v>
      </c>
      <c r="Z24" s="163">
        <f t="shared" si="40"/>
        <v>4374444.444444444</v>
      </c>
      <c r="AA24" s="163">
        <f t="shared" si="40"/>
        <v>4374444.444444444</v>
      </c>
      <c r="AB24" s="163">
        <f t="shared" si="40"/>
        <v>4162777.777777778</v>
      </c>
      <c r="AC24" s="163">
        <f t="shared" si="40"/>
        <v>4237743.055555556</v>
      </c>
      <c r="AD24" s="163">
        <f t="shared" si="40"/>
        <v>4101041.6666666665</v>
      </c>
      <c r="AE24" s="163">
        <f t="shared" si="40"/>
        <v>4162777.777777778</v>
      </c>
      <c r="AF24" s="25">
        <f t="shared" ref="AF24:CQ24" si="41">AF36+AF48+AF60</f>
        <v>4079573.0579440929</v>
      </c>
      <c r="AG24" s="25">
        <f t="shared" si="41"/>
        <v>3778295.2418196471</v>
      </c>
      <c r="AH24" s="25">
        <f t="shared" si="41"/>
        <v>4001001.9210104984</v>
      </c>
      <c r="AI24" s="25">
        <f t="shared" si="41"/>
        <v>3834304.8997967709</v>
      </c>
      <c r="AJ24" s="25">
        <f t="shared" si="41"/>
        <v>3920626.3216457344</v>
      </c>
      <c r="AK24" s="25">
        <f t="shared" si="41"/>
        <v>3757509.259163321</v>
      </c>
      <c r="AL24" s="25">
        <f t="shared" si="41"/>
        <v>3842282.1016663397</v>
      </c>
      <c r="AM24" s="25">
        <f t="shared" si="41"/>
        <v>3799685.685619398</v>
      </c>
      <c r="AN24" s="25">
        <f t="shared" si="41"/>
        <v>3641353.1835231176</v>
      </c>
      <c r="AO24" s="25">
        <f t="shared" si="41"/>
        <v>3721848.0314287352</v>
      </c>
      <c r="AP24" s="25">
        <f t="shared" si="41"/>
        <v>3563269.0542065511</v>
      </c>
      <c r="AQ24" s="25">
        <f t="shared" si="41"/>
        <v>3640888.0862625204</v>
      </c>
      <c r="AR24" s="25">
        <f t="shared" si="41"/>
        <v>3600205.6015592245</v>
      </c>
      <c r="AS24" s="25">
        <f t="shared" si="41"/>
        <v>3216717.2668004278</v>
      </c>
      <c r="AT24" s="25">
        <f t="shared" si="41"/>
        <v>3518433.3552779933</v>
      </c>
      <c r="AU24" s="25">
        <f t="shared" si="41"/>
        <v>3365769.8581947088</v>
      </c>
      <c r="AV24" s="25">
        <f t="shared" si="41"/>
        <v>3436115.0521077057</v>
      </c>
      <c r="AW24" s="25">
        <f t="shared" si="41"/>
        <v>3285845.4446723387</v>
      </c>
      <c r="AX24" s="25">
        <f t="shared" si="41"/>
        <v>3353247.0456018029</v>
      </c>
      <c r="AY24" s="25">
        <f t="shared" si="41"/>
        <v>3311605.7574296384</v>
      </c>
      <c r="AZ24" s="25">
        <f t="shared" si="41"/>
        <v>3164956.9912910447</v>
      </c>
      <c r="BA24" s="25">
        <f t="shared" si="41"/>
        <v>3227906.3055226081</v>
      </c>
      <c r="BB24" s="25">
        <f t="shared" si="41"/>
        <v>3083691.5940685738</v>
      </c>
      <c r="BC24" s="25">
        <f t="shared" si="41"/>
        <v>3143647.9272756213</v>
      </c>
      <c r="BD24" s="25">
        <f t="shared" si="41"/>
        <v>3101307.9753757031</v>
      </c>
      <c r="BE24" s="25">
        <f t="shared" si="41"/>
        <v>2764670.7880915599</v>
      </c>
      <c r="BF24" s="25">
        <f t="shared" si="41"/>
        <v>3016204.2016129568</v>
      </c>
      <c r="BG24" s="25">
        <f t="shared" si="41"/>
        <v>2878145.9760857914</v>
      </c>
      <c r="BH24" s="25">
        <f t="shared" si="41"/>
        <v>2930532.1237609726</v>
      </c>
      <c r="BI24" s="25">
        <f t="shared" si="41"/>
        <v>2794965.3186395601</v>
      </c>
      <c r="BJ24" s="25">
        <f t="shared" si="41"/>
        <v>2844287.9468113328</v>
      </c>
      <c r="BK24" s="25">
        <f t="shared" si="41"/>
        <v>2800950.1283098669</v>
      </c>
      <c r="BL24" s="25">
        <f t="shared" si="41"/>
        <v>2669151.6831463259</v>
      </c>
      <c r="BM24" s="25">
        <f t="shared" si="41"/>
        <v>2713840.6315906029</v>
      </c>
      <c r="BN24" s="25">
        <f t="shared" si="41"/>
        <v>2584575.4082550216</v>
      </c>
      <c r="BO24" s="25">
        <f t="shared" si="41"/>
        <v>2626149.4370099143</v>
      </c>
      <c r="BP24" s="25">
        <f t="shared" si="41"/>
        <v>2582084.4901424437</v>
      </c>
      <c r="BQ24" s="25">
        <f t="shared" si="41"/>
        <v>2294207.238368636</v>
      </c>
      <c r="BR24" s="25">
        <f t="shared" si="41"/>
        <v>2493513.4573283065</v>
      </c>
      <c r="BS24" s="25">
        <f t="shared" si="41"/>
        <v>2370655.5446552192</v>
      </c>
      <c r="BT24" s="25">
        <f t="shared" si="41"/>
        <v>2404350.9668394886</v>
      </c>
      <c r="BU24" s="25">
        <f t="shared" si="41"/>
        <v>2284085.9788835463</v>
      </c>
      <c r="BV24" s="25">
        <f t="shared" si="41"/>
        <v>2314593.0690530729</v>
      </c>
      <c r="BW24" s="25">
        <f t="shared" si="41"/>
        <v>2269489.6009590789</v>
      </c>
      <c r="BX24" s="25">
        <f t="shared" si="41"/>
        <v>2153146.5017599696</v>
      </c>
      <c r="BY24" s="25">
        <f t="shared" si="41"/>
        <v>2178831.1289405064</v>
      </c>
      <c r="BZ24" s="25">
        <f t="shared" si="41"/>
        <v>2065124.4589351853</v>
      </c>
      <c r="CA24" s="25">
        <f t="shared" si="41"/>
        <v>2087567.2597921211</v>
      </c>
      <c r="CB24" s="25">
        <f t="shared" si="41"/>
        <v>2041707.0390005908</v>
      </c>
      <c r="CC24" s="25">
        <f t="shared" si="41"/>
        <v>1868282.1687637931</v>
      </c>
      <c r="CD24" s="25">
        <f t="shared" si="41"/>
        <v>1949527.4856516067</v>
      </c>
      <c r="CE24" s="25">
        <f t="shared" si="41"/>
        <v>1842489.1700311354</v>
      </c>
      <c r="CF24" s="25">
        <f t="shared" si="41"/>
        <v>1856732.3777297027</v>
      </c>
      <c r="CG24" s="25">
        <f t="shared" si="41"/>
        <v>1752392.6265800288</v>
      </c>
      <c r="CH24" s="25">
        <f t="shared" si="41"/>
        <v>1763317.6046982319</v>
      </c>
      <c r="CI24" s="25">
        <f t="shared" si="41"/>
        <v>1716376.5517230555</v>
      </c>
      <c r="CJ24" s="25">
        <f t="shared" si="41"/>
        <v>1616118.4731293274</v>
      </c>
      <c r="CK24" s="25">
        <f t="shared" si="41"/>
        <v>1622024.5136756955</v>
      </c>
      <c r="CL24" s="25">
        <f t="shared" si="41"/>
        <v>1524510.2764689093</v>
      </c>
      <c r="CM24" s="25">
        <f t="shared" si="41"/>
        <v>1527042.4136853754</v>
      </c>
      <c r="CN24" s="25">
        <f t="shared" si="41"/>
        <v>1479313.7767401556</v>
      </c>
      <c r="CO24" s="25">
        <f t="shared" si="41"/>
        <v>1294996.9963191133</v>
      </c>
      <c r="CP24" s="25">
        <f t="shared" si="41"/>
        <v>1383378.6861620769</v>
      </c>
      <c r="CQ24" s="25">
        <f t="shared" si="41"/>
        <v>1292804.4823865159</v>
      </c>
      <c r="CR24" s="25">
        <f t="shared" ref="CR24:DQ24" si="42">CR36+CR48+CR60</f>
        <v>1286802.9623680266</v>
      </c>
      <c r="CS24" s="25">
        <f t="shared" si="42"/>
        <v>1199037.2667434709</v>
      </c>
      <c r="CT24" s="25">
        <f t="shared" si="42"/>
        <v>1189582.3273517513</v>
      </c>
      <c r="CU24" s="25">
        <f t="shared" si="42"/>
        <v>1140728.8234520869</v>
      </c>
      <c r="CV24" s="25">
        <f t="shared" si="42"/>
        <v>1057211.0940210996</v>
      </c>
      <c r="CW24" s="25">
        <f t="shared" si="42"/>
        <v>1042532.7377970506</v>
      </c>
      <c r="CX24" s="25">
        <f t="shared" si="42"/>
        <v>961870.63808463677</v>
      </c>
      <c r="CY24" s="25">
        <f t="shared" si="42"/>
        <v>943680.9205033629</v>
      </c>
      <c r="CZ24" s="25">
        <f t="shared" si="42"/>
        <v>894007.7452475368</v>
      </c>
      <c r="DA24" s="25">
        <f t="shared" si="42"/>
        <v>764656.66873060167</v>
      </c>
      <c r="DB24" s="25">
        <f t="shared" si="42"/>
        <v>794164.11105915706</v>
      </c>
      <c r="DC24" s="25">
        <f t="shared" si="42"/>
        <v>720724.79244787106</v>
      </c>
      <c r="DD24" s="25">
        <f t="shared" si="42"/>
        <v>693653.74326914153</v>
      </c>
      <c r="DE24" s="25">
        <f t="shared" si="42"/>
        <v>623137.35576423595</v>
      </c>
      <c r="DF24" s="25">
        <f t="shared" si="42"/>
        <v>592472.1895786617</v>
      </c>
      <c r="DG24" s="25">
        <f t="shared" si="42"/>
        <v>541628.31855308672</v>
      </c>
      <c r="DH24" s="25">
        <f t="shared" si="42"/>
        <v>475532.96593874681</v>
      </c>
      <c r="DI24" s="25">
        <f t="shared" si="42"/>
        <v>439431.5728597808</v>
      </c>
      <c r="DJ24" s="25">
        <f t="shared" si="42"/>
        <v>376308.1927247562</v>
      </c>
      <c r="DK24" s="25">
        <f t="shared" si="42"/>
        <v>336552.38000912283</v>
      </c>
      <c r="DL24" s="25">
        <f t="shared" si="42"/>
        <v>284855.44295164937</v>
      </c>
      <c r="DM24" s="25">
        <f t="shared" si="42"/>
        <v>212709.4579235478</v>
      </c>
      <c r="DN24" s="25">
        <f t="shared" si="42"/>
        <v>180944.02505571599</v>
      </c>
      <c r="DO24" s="25">
        <f t="shared" si="42"/>
        <v>125337.69326805134</v>
      </c>
      <c r="DP24" s="25">
        <f t="shared" si="42"/>
        <v>76338.709802499783</v>
      </c>
      <c r="DQ24" s="25">
        <f t="shared" si="42"/>
        <v>23774.393844337603</v>
      </c>
      <c r="DR24" s="25"/>
      <c r="DS24" s="25"/>
    </row>
    <row r="25" spans="1:123" s="54" customFormat="1" x14ac:dyDescent="0.25">
      <c r="A25" s="46" t="s">
        <v>12</v>
      </c>
      <c r="B25" s="164">
        <f>B24</f>
        <v>312989.4444444445</v>
      </c>
      <c r="C25" s="164">
        <f>B25+C24</f>
        <v>1059348.888888889</v>
      </c>
      <c r="D25" s="164">
        <f t="shared" ref="D25:AE25" si="43">C25+D24</f>
        <v>1781632.2222222225</v>
      </c>
      <c r="E25" s="164">
        <f>D25+E24</f>
        <v>2527991.666666667</v>
      </c>
      <c r="F25" s="164">
        <f t="shared" si="43"/>
        <v>3250275.0000000005</v>
      </c>
      <c r="G25" s="164">
        <f>F25+G24</f>
        <v>3810904.444444445</v>
      </c>
      <c r="H25" s="164">
        <f>G25+H24</f>
        <v>4237395.555555556</v>
      </c>
      <c r="I25" s="164">
        <f>H25+I24</f>
        <v>6285253.333333334</v>
      </c>
      <c r="J25" s="164">
        <f t="shared" si="43"/>
        <v>11092668.888888888</v>
      </c>
      <c r="K25" s="164">
        <f>J25+K24</f>
        <v>14672335.555555556</v>
      </c>
      <c r="L25" s="164">
        <f t="shared" si="43"/>
        <v>18371324.444444444</v>
      </c>
      <c r="M25" s="164">
        <f>L25+M24</f>
        <v>21950991.111111112</v>
      </c>
      <c r="N25" s="164">
        <f t="shared" si="43"/>
        <v>25649980</v>
      </c>
      <c r="O25" s="164">
        <f t="shared" si="43"/>
        <v>29348968.888888888</v>
      </c>
      <c r="P25" s="164">
        <f>O25+P24</f>
        <v>32928635.555555556</v>
      </c>
      <c r="Q25" s="164">
        <f>P25+Q24</f>
        <v>37504627.222222224</v>
      </c>
      <c r="R25" s="164">
        <f t="shared" si="43"/>
        <v>42228210.55555556</v>
      </c>
      <c r="S25" s="164">
        <f t="shared" si="43"/>
        <v>46798755.000000007</v>
      </c>
      <c r="T25" s="164">
        <f t="shared" si="43"/>
        <v>51173199.444444448</v>
      </c>
      <c r="U25" s="164">
        <f t="shared" si="43"/>
        <v>55124310.55555556</v>
      </c>
      <c r="V25" s="164">
        <f t="shared" si="43"/>
        <v>59498755</v>
      </c>
      <c r="W25" s="164">
        <f>V25+W24</f>
        <v>63732088.333333336</v>
      </c>
      <c r="X25" s="164">
        <f t="shared" si="43"/>
        <v>68106532.777777776</v>
      </c>
      <c r="Y25" s="164">
        <f>X25+Y24</f>
        <v>72339866.111111104</v>
      </c>
      <c r="Z25" s="164">
        <f>Y25+Z24</f>
        <v>76714310.555555552</v>
      </c>
      <c r="AA25" s="164">
        <f>Z25+AA24</f>
        <v>81088755</v>
      </c>
      <c r="AB25" s="164">
        <f>AA25+AB24</f>
        <v>85251532.777777776</v>
      </c>
      <c r="AC25" s="164">
        <f>AB25+AC24</f>
        <v>89489275.833333328</v>
      </c>
      <c r="AD25" s="164">
        <f t="shared" si="43"/>
        <v>93590317.5</v>
      </c>
      <c r="AE25" s="164">
        <f t="shared" si="43"/>
        <v>97753095.277777776</v>
      </c>
      <c r="AF25" s="47">
        <f t="shared" ref="AF25" si="44">AE25+AF24</f>
        <v>101832668.33572187</v>
      </c>
      <c r="AG25" s="47">
        <f t="shared" ref="AG25" si="45">AF25+AG24</f>
        <v>105610963.57754152</v>
      </c>
      <c r="AH25" s="47">
        <f t="shared" ref="AH25" si="46">AG25+AH24</f>
        <v>109611965.49855201</v>
      </c>
      <c r="AI25" s="47">
        <f t="shared" ref="AI25" si="47">AH25+AI24</f>
        <v>113446270.39834878</v>
      </c>
      <c r="AJ25" s="47">
        <f t="shared" ref="AJ25" si="48">AI25+AJ24</f>
        <v>117366896.71999452</v>
      </c>
      <c r="AK25" s="47">
        <f t="shared" ref="AK25" si="49">AJ25+AK24</f>
        <v>121124405.97915784</v>
      </c>
      <c r="AL25" s="47">
        <f t="shared" ref="AL25" si="50">AK25+AL24</f>
        <v>124966688.08082418</v>
      </c>
      <c r="AM25" s="47">
        <f t="shared" ref="AM25" si="51">AL25+AM24</f>
        <v>128766373.76644358</v>
      </c>
      <c r="AN25" s="47">
        <f t="shared" ref="AN25" si="52">AM25+AN24</f>
        <v>132407726.9499667</v>
      </c>
      <c r="AO25" s="47">
        <f t="shared" ref="AO25" si="53">AN25+AO24</f>
        <v>136129574.98139542</v>
      </c>
      <c r="AP25" s="47">
        <f t="shared" ref="AP25" si="54">AO25+AP24</f>
        <v>139692844.03560197</v>
      </c>
      <c r="AQ25" s="47">
        <f t="shared" ref="AQ25" si="55">AP25+AQ24</f>
        <v>143333732.1218645</v>
      </c>
      <c r="AR25" s="47">
        <f t="shared" ref="AR25" si="56">AQ25+AR24</f>
        <v>146933937.72342372</v>
      </c>
      <c r="AS25" s="47">
        <f t="shared" ref="AS25" si="57">AR25+AS24</f>
        <v>150150654.99022415</v>
      </c>
      <c r="AT25" s="47">
        <f t="shared" ref="AT25" si="58">AS25+AT24</f>
        <v>153669088.34550214</v>
      </c>
      <c r="AU25" s="47">
        <f t="shared" ref="AU25" si="59">AT25+AU24</f>
        <v>157034858.20369685</v>
      </c>
      <c r="AV25" s="47">
        <f t="shared" ref="AV25" si="60">AU25+AV24</f>
        <v>160470973.25580454</v>
      </c>
      <c r="AW25" s="47">
        <f t="shared" ref="AW25" si="61">AV25+AW24</f>
        <v>163756818.70047688</v>
      </c>
      <c r="AX25" s="47">
        <f t="shared" ref="AX25" si="62">AW25+AX24</f>
        <v>167110065.7460787</v>
      </c>
      <c r="AY25" s="47">
        <f t="shared" ref="AY25" si="63">AX25+AY24</f>
        <v>170421671.50350833</v>
      </c>
      <c r="AZ25" s="47">
        <f t="shared" ref="AZ25" si="64">AY25+AZ24</f>
        <v>173586628.49479938</v>
      </c>
      <c r="BA25" s="47">
        <f t="shared" ref="BA25" si="65">AZ25+BA24</f>
        <v>176814534.800322</v>
      </c>
      <c r="BB25" s="47">
        <f t="shared" ref="BB25" si="66">BA25+BB24</f>
        <v>179898226.39439058</v>
      </c>
      <c r="BC25" s="47">
        <f t="shared" ref="BC25" si="67">BB25+BC24</f>
        <v>183041874.32166621</v>
      </c>
      <c r="BD25" s="47">
        <f t="shared" ref="BD25" si="68">BC25+BD24</f>
        <v>186143182.29704192</v>
      </c>
      <c r="BE25" s="47">
        <f t="shared" ref="BE25" si="69">BD25+BE24</f>
        <v>188907853.08513349</v>
      </c>
      <c r="BF25" s="47">
        <f t="shared" ref="BF25" si="70">BE25+BF24</f>
        <v>191924057.28674644</v>
      </c>
      <c r="BG25" s="47">
        <f t="shared" ref="BG25" si="71">BF25+BG24</f>
        <v>194802203.26283222</v>
      </c>
      <c r="BH25" s="47">
        <f t="shared" ref="BH25" si="72">BG25+BH24</f>
        <v>197732735.38659319</v>
      </c>
      <c r="BI25" s="47">
        <f t="shared" ref="BI25" si="73">BH25+BI24</f>
        <v>200527700.70523274</v>
      </c>
      <c r="BJ25" s="47">
        <f t="shared" ref="BJ25" si="74">BI25+BJ24</f>
        <v>203371988.65204406</v>
      </c>
      <c r="BK25" s="47">
        <f t="shared" ref="BK25" si="75">BJ25+BK24</f>
        <v>206172938.78035393</v>
      </c>
      <c r="BL25" s="47">
        <f t="shared" ref="BL25" si="76">BK25+BL24</f>
        <v>208842090.46350026</v>
      </c>
      <c r="BM25" s="47">
        <f t="shared" ref="BM25" si="77">BL25+BM24</f>
        <v>211555931.09509087</v>
      </c>
      <c r="BN25" s="47">
        <f t="shared" ref="BN25" si="78">BM25+BN24</f>
        <v>214140506.50334588</v>
      </c>
      <c r="BO25" s="47">
        <f t="shared" ref="BO25" si="79">BN25+BO24</f>
        <v>216766655.94035578</v>
      </c>
      <c r="BP25" s="47">
        <f t="shared" ref="BP25" si="80">BO25+BP24</f>
        <v>219348740.43049821</v>
      </c>
      <c r="BQ25" s="47">
        <f t="shared" ref="BQ25" si="81">BP25+BQ24</f>
        <v>221642947.66886684</v>
      </c>
      <c r="BR25" s="47">
        <f t="shared" ref="BR25" si="82">BQ25+BR24</f>
        <v>224136461.12619516</v>
      </c>
      <c r="BS25" s="47">
        <f t="shared" ref="BS25" si="83">BR25+BS24</f>
        <v>226507116.6708504</v>
      </c>
      <c r="BT25" s="47">
        <f t="shared" ref="BT25" si="84">BS25+BT24</f>
        <v>228911467.63768989</v>
      </c>
      <c r="BU25" s="47">
        <f t="shared" ref="BU25" si="85">BT25+BU24</f>
        <v>231195553.61657342</v>
      </c>
      <c r="BV25" s="47">
        <f t="shared" ref="BV25" si="86">BU25+BV24</f>
        <v>233510146.68562651</v>
      </c>
      <c r="BW25" s="47">
        <f t="shared" ref="BW25" si="87">BV25+BW24</f>
        <v>235779636.2865856</v>
      </c>
      <c r="BX25" s="47">
        <f t="shared" ref="BX25" si="88">BW25+BX24</f>
        <v>237932782.78834558</v>
      </c>
      <c r="BY25" s="47">
        <f t="shared" ref="BY25" si="89">BX25+BY24</f>
        <v>240111613.91728607</v>
      </c>
      <c r="BZ25" s="47">
        <f t="shared" ref="BZ25" si="90">BY25+BZ24</f>
        <v>242176738.37622124</v>
      </c>
      <c r="CA25" s="47">
        <f t="shared" ref="CA25" si="91">BZ25+CA24</f>
        <v>244264305.63601336</v>
      </c>
      <c r="CB25" s="47">
        <f t="shared" ref="CB25" si="92">CA25+CB24</f>
        <v>246306012.67501396</v>
      </c>
      <c r="CC25" s="47">
        <f t="shared" ref="CC25" si="93">CB25+CC24</f>
        <v>248174294.84377775</v>
      </c>
      <c r="CD25" s="47">
        <f t="shared" ref="CD25" si="94">CC25+CD24</f>
        <v>250123822.32942936</v>
      </c>
      <c r="CE25" s="47">
        <f t="shared" ref="CE25" si="95">CD25+CE24</f>
        <v>251966311.49946049</v>
      </c>
      <c r="CF25" s="47">
        <f t="shared" ref="CF25" si="96">CE25+CF24</f>
        <v>253823043.8771902</v>
      </c>
      <c r="CG25" s="47">
        <f t="shared" ref="CG25" si="97">CF25+CG24</f>
        <v>255575436.50377023</v>
      </c>
      <c r="CH25" s="47">
        <f t="shared" ref="CH25" si="98">CG25+CH24</f>
        <v>257338754.10846847</v>
      </c>
      <c r="CI25" s="47">
        <f t="shared" ref="CI25" si="99">CH25+CI24</f>
        <v>259055130.66019154</v>
      </c>
      <c r="CJ25" s="47">
        <f t="shared" ref="CJ25" si="100">CI25+CJ24</f>
        <v>260671249.13332087</v>
      </c>
      <c r="CK25" s="47">
        <f t="shared" ref="CK25" si="101">CJ25+CK24</f>
        <v>262293273.64699656</v>
      </c>
      <c r="CL25" s="47">
        <f t="shared" ref="CL25" si="102">CK25+CL24</f>
        <v>263817783.92346546</v>
      </c>
      <c r="CM25" s="47">
        <f t="shared" ref="CM25" si="103">CL25+CM24</f>
        <v>265344826.33715084</v>
      </c>
      <c r="CN25" s="47">
        <f t="shared" ref="CN25" si="104">CM25+CN24</f>
        <v>266824140.11389101</v>
      </c>
      <c r="CO25" s="47">
        <f t="shared" ref="CO25" si="105">CN25+CO24</f>
        <v>268119137.11021012</v>
      </c>
      <c r="CP25" s="47">
        <f t="shared" ref="CP25" si="106">CO25+CP24</f>
        <v>269502515.79637218</v>
      </c>
      <c r="CQ25" s="47">
        <f t="shared" ref="CQ25" si="107">CP25+CQ24</f>
        <v>270795320.2787587</v>
      </c>
      <c r="CR25" s="47">
        <f t="shared" ref="CR25" si="108">CQ25+CR24</f>
        <v>272082123.24112672</v>
      </c>
      <c r="CS25" s="47">
        <f t="shared" ref="CS25" si="109">CR25+CS24</f>
        <v>273281160.5078702</v>
      </c>
      <c r="CT25" s="47">
        <f t="shared" ref="CT25" si="110">CS25+CT24</f>
        <v>274470742.83522195</v>
      </c>
      <c r="CU25" s="47">
        <f t="shared" ref="CU25" si="111">CT25+CU24</f>
        <v>275611471.65867406</v>
      </c>
      <c r="CV25" s="47">
        <f t="shared" ref="CV25" si="112">CU25+CV24</f>
        <v>276668682.75269514</v>
      </c>
      <c r="CW25" s="47">
        <f t="shared" ref="CW25" si="113">CV25+CW24</f>
        <v>277711215.49049217</v>
      </c>
      <c r="CX25" s="47">
        <f t="shared" ref="CX25" si="114">CW25+CX24</f>
        <v>278673086.12857682</v>
      </c>
      <c r="CY25" s="47">
        <f t="shared" ref="CY25" si="115">CX25+CY24</f>
        <v>279616767.04908019</v>
      </c>
      <c r="CZ25" s="47">
        <f t="shared" ref="CZ25" si="116">CY25+CZ24</f>
        <v>280510774.79432774</v>
      </c>
      <c r="DA25" s="47">
        <f t="shared" ref="DA25" si="117">CZ25+DA24</f>
        <v>281275431.46305835</v>
      </c>
      <c r="DB25" s="47">
        <f t="shared" ref="DB25" si="118">DA25+DB24</f>
        <v>282069595.57411748</v>
      </c>
      <c r="DC25" s="47">
        <f t="shared" ref="DC25" si="119">DB25+DC24</f>
        <v>282790320.36656535</v>
      </c>
      <c r="DD25" s="47">
        <f t="shared" ref="DD25" si="120">DC25+DD24</f>
        <v>283483974.10983449</v>
      </c>
      <c r="DE25" s="47">
        <f t="shared" ref="DE25" si="121">DD25+DE24</f>
        <v>284107111.4655987</v>
      </c>
      <c r="DF25" s="47">
        <f t="shared" ref="DF25" si="122">DE25+DF24</f>
        <v>284699583.65517735</v>
      </c>
      <c r="DG25" s="47">
        <f t="shared" ref="DG25" si="123">DF25+DG24</f>
        <v>285241211.97373044</v>
      </c>
      <c r="DH25" s="47">
        <f t="shared" ref="DH25" si="124">DG25+DH24</f>
        <v>285716744.93966919</v>
      </c>
      <c r="DI25" s="47">
        <f t="shared" ref="DI25" si="125">DH25+DI24</f>
        <v>286156176.51252896</v>
      </c>
      <c r="DJ25" s="47">
        <f t="shared" ref="DJ25" si="126">DI25+DJ24</f>
        <v>286532484.70525372</v>
      </c>
      <c r="DK25" s="47">
        <f t="shared" ref="DK25" si="127">DJ25+DK24</f>
        <v>286869037.08526284</v>
      </c>
      <c r="DL25" s="47">
        <f t="shared" ref="DL25" si="128">DK25+DL24</f>
        <v>287153892.52821445</v>
      </c>
      <c r="DM25" s="47">
        <f t="shared" ref="DM25" si="129">DL25+DM24</f>
        <v>287366601.98613799</v>
      </c>
      <c r="DN25" s="47">
        <f t="shared" ref="DN25" si="130">DM25+DN24</f>
        <v>287547546.01119369</v>
      </c>
      <c r="DO25" s="47">
        <f t="shared" ref="DO25" si="131">DN25+DO24</f>
        <v>287672883.70446175</v>
      </c>
      <c r="DP25" s="47">
        <f t="shared" ref="DP25" si="132">DO25+DP24</f>
        <v>287749222.41426426</v>
      </c>
      <c r="DQ25" s="47">
        <f t="shared" ref="DQ25" si="133">DP25+DQ24</f>
        <v>287772996.80810863</v>
      </c>
      <c r="DR25" s="47"/>
      <c r="DS25" s="47"/>
    </row>
    <row r="26" spans="1:123" s="53" customFormat="1" x14ac:dyDescent="0.25">
      <c r="A26" s="22" t="s">
        <v>7</v>
      </c>
      <c r="B26" s="163">
        <f>B38+B50+B62</f>
        <v>0</v>
      </c>
      <c r="C26" s="163">
        <f t="shared" ref="C26:BN26" si="134">C38+C50+C62</f>
        <v>0</v>
      </c>
      <c r="D26" s="163">
        <f t="shared" si="134"/>
        <v>0</v>
      </c>
      <c r="E26" s="163">
        <f t="shared" si="134"/>
        <v>0</v>
      </c>
      <c r="F26" s="163">
        <f t="shared" si="134"/>
        <v>0</v>
      </c>
      <c r="G26" s="163">
        <f t="shared" si="134"/>
        <v>0</v>
      </c>
      <c r="H26" s="163">
        <f t="shared" si="134"/>
        <v>0</v>
      </c>
      <c r="I26" s="163">
        <f t="shared" si="134"/>
        <v>0</v>
      </c>
      <c r="J26" s="163">
        <f t="shared" si="134"/>
        <v>0</v>
      </c>
      <c r="K26" s="163">
        <f t="shared" si="134"/>
        <v>0</v>
      </c>
      <c r="L26" s="163">
        <f t="shared" si="134"/>
        <v>0</v>
      </c>
      <c r="M26" s="163">
        <f t="shared" si="134"/>
        <v>0</v>
      </c>
      <c r="N26" s="163">
        <f t="shared" si="134"/>
        <v>0</v>
      </c>
      <c r="O26" s="163">
        <f t="shared" si="134"/>
        <v>0</v>
      </c>
      <c r="P26" s="163">
        <f t="shared" si="134"/>
        <v>0</v>
      </c>
      <c r="Q26" s="163">
        <f t="shared" si="134"/>
        <v>0</v>
      </c>
      <c r="R26" s="163">
        <f t="shared" si="134"/>
        <v>0</v>
      </c>
      <c r="S26" s="163">
        <f t="shared" si="134"/>
        <v>0</v>
      </c>
      <c r="T26" s="163">
        <f t="shared" si="134"/>
        <v>0</v>
      </c>
      <c r="U26" s="163">
        <f t="shared" si="134"/>
        <v>0</v>
      </c>
      <c r="V26" s="163">
        <f t="shared" si="134"/>
        <v>0</v>
      </c>
      <c r="W26" s="163">
        <f t="shared" si="134"/>
        <v>0</v>
      </c>
      <c r="X26" s="163">
        <f t="shared" si="134"/>
        <v>0</v>
      </c>
      <c r="Y26" s="163">
        <f t="shared" si="134"/>
        <v>0</v>
      </c>
      <c r="Z26" s="163">
        <f t="shared" si="134"/>
        <v>0</v>
      </c>
      <c r="AA26" s="163">
        <f t="shared" si="134"/>
        <v>0</v>
      </c>
      <c r="AB26" s="163">
        <f t="shared" si="134"/>
        <v>39687500</v>
      </c>
      <c r="AC26" s="163">
        <f t="shared" si="134"/>
        <v>0</v>
      </c>
      <c r="AD26" s="163">
        <f t="shared" si="134"/>
        <v>0</v>
      </c>
      <c r="AE26" s="163">
        <f t="shared" si="134"/>
        <v>39687500</v>
      </c>
      <c r="AF26" s="25">
        <f t="shared" si="134"/>
        <v>11365734.029597891</v>
      </c>
      <c r="AG26" s="25">
        <f t="shared" si="134"/>
        <v>11403619.809696553</v>
      </c>
      <c r="AH26" s="25">
        <f t="shared" si="134"/>
        <v>11441631.875728872</v>
      </c>
      <c r="AI26" s="25">
        <f t="shared" si="134"/>
        <v>11479770.648647971</v>
      </c>
      <c r="AJ26" s="25">
        <f t="shared" si="134"/>
        <v>11518036.550810128</v>
      </c>
      <c r="AK26" s="25">
        <f t="shared" si="134"/>
        <v>11556430.005979495</v>
      </c>
      <c r="AL26" s="25">
        <f t="shared" si="134"/>
        <v>11594951.439332761</v>
      </c>
      <c r="AM26" s="25">
        <f t="shared" si="134"/>
        <v>11633601.277463872</v>
      </c>
      <c r="AN26" s="25">
        <f t="shared" si="134"/>
        <v>11672379.94838875</v>
      </c>
      <c r="AO26" s="25">
        <f t="shared" si="134"/>
        <v>11711287.881550048</v>
      </c>
      <c r="AP26" s="25">
        <f t="shared" si="134"/>
        <v>11750325.507821878</v>
      </c>
      <c r="AQ26" s="25">
        <f t="shared" si="134"/>
        <v>11789493.259514621</v>
      </c>
      <c r="AR26" s="25">
        <f t="shared" si="134"/>
        <v>11828791.570379669</v>
      </c>
      <c r="AS26" s="25">
        <f t="shared" si="134"/>
        <v>11868220.875614267</v>
      </c>
      <c r="AT26" s="25">
        <f t="shared" si="134"/>
        <v>11907781.611866316</v>
      </c>
      <c r="AU26" s="25">
        <f t="shared" si="134"/>
        <v>11947474.217239203</v>
      </c>
      <c r="AV26" s="25">
        <f t="shared" si="134"/>
        <v>11987299.131296666</v>
      </c>
      <c r="AW26" s="25">
        <f t="shared" si="134"/>
        <v>12027256.795067657</v>
      </c>
      <c r="AX26" s="25">
        <f t="shared" si="134"/>
        <v>12067347.651051216</v>
      </c>
      <c r="AY26" s="25">
        <f t="shared" si="134"/>
        <v>12107572.143221386</v>
      </c>
      <c r="AZ26" s="25">
        <f t="shared" si="134"/>
        <v>12147930.717032123</v>
      </c>
      <c r="BA26" s="25">
        <f t="shared" si="134"/>
        <v>12188423.819422228</v>
      </c>
      <c r="BB26" s="25">
        <f t="shared" si="134"/>
        <v>12229051.898820305</v>
      </c>
      <c r="BC26" s="25">
        <f t="shared" si="134"/>
        <v>12269815.405149706</v>
      </c>
      <c r="BD26" s="25">
        <f t="shared" si="134"/>
        <v>12310714.789833538</v>
      </c>
      <c r="BE26" s="25">
        <f t="shared" si="134"/>
        <v>12351750.505799651</v>
      </c>
      <c r="BF26" s="25">
        <f t="shared" si="134"/>
        <v>12392923.00748565</v>
      </c>
      <c r="BG26" s="25">
        <f t="shared" si="134"/>
        <v>12434232.750843935</v>
      </c>
      <c r="BH26" s="25">
        <f t="shared" si="134"/>
        <v>12475680.193346746</v>
      </c>
      <c r="BI26" s="25">
        <f t="shared" si="134"/>
        <v>12517265.793991238</v>
      </c>
      <c r="BJ26" s="25">
        <f t="shared" si="134"/>
        <v>12558990.013304543</v>
      </c>
      <c r="BK26" s="25">
        <f t="shared" si="134"/>
        <v>12600853.313348889</v>
      </c>
      <c r="BL26" s="25">
        <f t="shared" si="134"/>
        <v>12642856.15772672</v>
      </c>
      <c r="BM26" s="25">
        <f t="shared" si="134"/>
        <v>12684999.011585809</v>
      </c>
      <c r="BN26" s="25">
        <f t="shared" si="134"/>
        <v>12727282.341624428</v>
      </c>
      <c r="BO26" s="25">
        <f t="shared" ref="BO26:DQ26" si="135">BO38+BO50+BO62</f>
        <v>12769706.61609651</v>
      </c>
      <c r="BP26" s="25">
        <f t="shared" si="135"/>
        <v>12812272.304816831</v>
      </c>
      <c r="BQ26" s="25">
        <f t="shared" si="135"/>
        <v>12854979.879166218</v>
      </c>
      <c r="BR26" s="25">
        <f t="shared" si="135"/>
        <v>12897829.812096773</v>
      </c>
      <c r="BS26" s="25">
        <f t="shared" si="135"/>
        <v>12940822.578137094</v>
      </c>
      <c r="BT26" s="25">
        <f t="shared" si="135"/>
        <v>12983958.653397553</v>
      </c>
      <c r="BU26" s="25">
        <f t="shared" si="135"/>
        <v>13027238.515575545</v>
      </c>
      <c r="BV26" s="25">
        <f t="shared" si="135"/>
        <v>13070662.643960796</v>
      </c>
      <c r="BW26" s="25">
        <f t="shared" si="135"/>
        <v>13114231.519440666</v>
      </c>
      <c r="BX26" s="25">
        <f t="shared" si="135"/>
        <v>13157945.624505468</v>
      </c>
      <c r="BY26" s="25">
        <f t="shared" si="135"/>
        <v>13201805.443253821</v>
      </c>
      <c r="BZ26" s="25">
        <f t="shared" si="135"/>
        <v>13245811.461398</v>
      </c>
      <c r="CA26" s="25">
        <f t="shared" si="135"/>
        <v>13289964.166269327</v>
      </c>
      <c r="CB26" s="25">
        <f t="shared" si="135"/>
        <v>13334264.046823557</v>
      </c>
      <c r="CC26" s="25">
        <f t="shared" si="135"/>
        <v>13378711.593646303</v>
      </c>
      <c r="CD26" s="25">
        <f t="shared" si="135"/>
        <v>13423307.298958456</v>
      </c>
      <c r="CE26" s="25">
        <f t="shared" si="135"/>
        <v>13468051.656621652</v>
      </c>
      <c r="CF26" s="25">
        <f t="shared" si="135"/>
        <v>13512945.162143722</v>
      </c>
      <c r="CG26" s="25">
        <f t="shared" si="135"/>
        <v>13557988.312684203</v>
      </c>
      <c r="CH26" s="25">
        <f t="shared" si="135"/>
        <v>13603181.607059816</v>
      </c>
      <c r="CI26" s="25">
        <f t="shared" si="135"/>
        <v>13648525.545750014</v>
      </c>
      <c r="CJ26" s="25">
        <f t="shared" si="135"/>
        <v>13694020.630902516</v>
      </c>
      <c r="CK26" s="25">
        <f t="shared" si="135"/>
        <v>13739667.366338858</v>
      </c>
      <c r="CL26" s="25">
        <f t="shared" si="135"/>
        <v>13785466.257559987</v>
      </c>
      <c r="CM26" s="25">
        <f t="shared" si="135"/>
        <v>13831417.811751854</v>
      </c>
      <c r="CN26" s="25">
        <f t="shared" si="135"/>
        <v>13877522.537791027</v>
      </c>
      <c r="CO26" s="25">
        <f t="shared" si="135"/>
        <v>13923780.946250329</v>
      </c>
      <c r="CP26" s="25">
        <f t="shared" si="135"/>
        <v>13970193.549404498</v>
      </c>
      <c r="CQ26" s="25">
        <f t="shared" si="135"/>
        <v>14016760.861235846</v>
      </c>
      <c r="CR26" s="25">
        <f t="shared" si="135"/>
        <v>14063483.397439964</v>
      </c>
      <c r="CS26" s="25">
        <f t="shared" si="135"/>
        <v>14110361.675431434</v>
      </c>
      <c r="CT26" s="25">
        <f t="shared" si="135"/>
        <v>14157396.21434954</v>
      </c>
      <c r="CU26" s="25">
        <f t="shared" si="135"/>
        <v>14204587.535064036</v>
      </c>
      <c r="CV26" s="25">
        <f t="shared" si="135"/>
        <v>14251936.160180915</v>
      </c>
      <c r="CW26" s="25">
        <f t="shared" si="135"/>
        <v>14299442.614048187</v>
      </c>
      <c r="CX26" s="25">
        <f t="shared" si="135"/>
        <v>14347107.422761679</v>
      </c>
      <c r="CY26" s="25">
        <f t="shared" si="135"/>
        <v>14394931.114170885</v>
      </c>
      <c r="CZ26" s="25">
        <f t="shared" si="135"/>
        <v>14442914.217884786</v>
      </c>
      <c r="DA26" s="25">
        <f t="shared" si="135"/>
        <v>14491057.265277738</v>
      </c>
      <c r="DB26" s="25">
        <f t="shared" si="135"/>
        <v>14539360.789495332</v>
      </c>
      <c r="DC26" s="25">
        <f t="shared" si="135"/>
        <v>14587825.325460315</v>
      </c>
      <c r="DD26" s="25">
        <f t="shared" si="135"/>
        <v>14636451.409878517</v>
      </c>
      <c r="DE26" s="25">
        <f t="shared" si="135"/>
        <v>14685239.581244778</v>
      </c>
      <c r="DF26" s="25">
        <f t="shared" si="135"/>
        <v>14734190.379848925</v>
      </c>
      <c r="DG26" s="25">
        <f t="shared" si="135"/>
        <v>14783304.347781757</v>
      </c>
      <c r="DH26" s="25">
        <f t="shared" si="135"/>
        <v>14832582.028941028</v>
      </c>
      <c r="DI26" s="25">
        <f t="shared" si="135"/>
        <v>14882023.969037497</v>
      </c>
      <c r="DJ26" s="25">
        <f t="shared" si="135"/>
        <v>14931630.715600956</v>
      </c>
      <c r="DK26" s="25">
        <f t="shared" si="135"/>
        <v>14981402.817986295</v>
      </c>
      <c r="DL26" s="25">
        <f t="shared" si="135"/>
        <v>15031340.827379581</v>
      </c>
      <c r="DM26" s="25">
        <f t="shared" si="135"/>
        <v>15081445.296804179</v>
      </c>
      <c r="DN26" s="25">
        <f t="shared" si="135"/>
        <v>15131716.781126861</v>
      </c>
      <c r="DO26" s="25">
        <f t="shared" si="135"/>
        <v>15182155.83706395</v>
      </c>
      <c r="DP26" s="25">
        <f t="shared" si="135"/>
        <v>15232763.023187498</v>
      </c>
      <c r="DQ26" s="25">
        <f t="shared" si="135"/>
        <v>15283538.899931455</v>
      </c>
      <c r="DS26" s="136"/>
    </row>
    <row r="27" spans="1:123" s="53" customFormat="1" x14ac:dyDescent="0.25">
      <c r="A27" s="22" t="s">
        <v>13</v>
      </c>
      <c r="B27" s="163">
        <f>B26</f>
        <v>0</v>
      </c>
      <c r="C27" s="163">
        <f>B27+C26</f>
        <v>0</v>
      </c>
      <c r="D27" s="163">
        <f t="shared" ref="D27:AD27" si="136">C27+D26</f>
        <v>0</v>
      </c>
      <c r="E27" s="163">
        <f t="shared" si="136"/>
        <v>0</v>
      </c>
      <c r="F27" s="163">
        <f t="shared" si="136"/>
        <v>0</v>
      </c>
      <c r="G27" s="163">
        <f t="shared" si="136"/>
        <v>0</v>
      </c>
      <c r="H27" s="163">
        <f t="shared" si="136"/>
        <v>0</v>
      </c>
      <c r="I27" s="163">
        <f t="shared" si="136"/>
        <v>0</v>
      </c>
      <c r="J27" s="163">
        <f t="shared" si="136"/>
        <v>0</v>
      </c>
      <c r="K27" s="163">
        <f t="shared" si="136"/>
        <v>0</v>
      </c>
      <c r="L27" s="163">
        <f t="shared" si="136"/>
        <v>0</v>
      </c>
      <c r="M27" s="163">
        <f t="shared" si="136"/>
        <v>0</v>
      </c>
      <c r="N27" s="163">
        <f t="shared" si="136"/>
        <v>0</v>
      </c>
      <c r="O27" s="163">
        <f t="shared" si="136"/>
        <v>0</v>
      </c>
      <c r="P27" s="163">
        <f t="shared" si="136"/>
        <v>0</v>
      </c>
      <c r="Q27" s="163">
        <f t="shared" si="136"/>
        <v>0</v>
      </c>
      <c r="R27" s="163">
        <f t="shared" si="136"/>
        <v>0</v>
      </c>
      <c r="S27" s="163">
        <f t="shared" si="136"/>
        <v>0</v>
      </c>
      <c r="T27" s="163">
        <f t="shared" si="136"/>
        <v>0</v>
      </c>
      <c r="U27" s="163">
        <f t="shared" si="136"/>
        <v>0</v>
      </c>
      <c r="V27" s="163">
        <f t="shared" si="136"/>
        <v>0</v>
      </c>
      <c r="W27" s="163">
        <f t="shared" si="136"/>
        <v>0</v>
      </c>
      <c r="X27" s="163">
        <f t="shared" si="136"/>
        <v>0</v>
      </c>
      <c r="Y27" s="163">
        <f t="shared" si="136"/>
        <v>0</v>
      </c>
      <c r="Z27" s="163">
        <f t="shared" si="136"/>
        <v>0</v>
      </c>
      <c r="AA27" s="163">
        <f t="shared" si="136"/>
        <v>0</v>
      </c>
      <c r="AB27" s="163">
        <f t="shared" si="136"/>
        <v>39687500</v>
      </c>
      <c r="AC27" s="163">
        <f t="shared" si="136"/>
        <v>39687500</v>
      </c>
      <c r="AD27" s="163">
        <f t="shared" si="136"/>
        <v>39687500</v>
      </c>
      <c r="AE27" s="163">
        <f t="shared" ref="AE27" si="137">AD27+AE26</f>
        <v>79375000</v>
      </c>
      <c r="AF27" s="25">
        <f t="shared" ref="AF27" si="138">AE27+AF26</f>
        <v>90740734.029597893</v>
      </c>
      <c r="AG27" s="25">
        <f t="shared" ref="AG27" si="139">AF27+AG26</f>
        <v>102144353.83929445</v>
      </c>
      <c r="AH27" s="25">
        <f t="shared" ref="AH27" si="140">AG27+AH26</f>
        <v>113585985.71502332</v>
      </c>
      <c r="AI27" s="25">
        <f t="shared" ref="AI27" si="141">AH27+AI26</f>
        <v>125065756.3636713</v>
      </c>
      <c r="AJ27" s="25">
        <f t="shared" ref="AJ27" si="142">AI27+AJ26</f>
        <v>136583792.91448143</v>
      </c>
      <c r="AK27" s="25">
        <f t="shared" ref="AK27" si="143">AJ27+AK26</f>
        <v>148140222.92046094</v>
      </c>
      <c r="AL27" s="25">
        <f t="shared" ref="AL27" si="144">AK27+AL26</f>
        <v>159735174.35979369</v>
      </c>
      <c r="AM27" s="25">
        <f t="shared" ref="AM27" si="145">AL27+AM26</f>
        <v>171368775.63725758</v>
      </c>
      <c r="AN27" s="25">
        <f t="shared" ref="AN27" si="146">AM27+AN26</f>
        <v>183041155.58564633</v>
      </c>
      <c r="AO27" s="25">
        <f t="shared" ref="AO27" si="147">AN27+AO26</f>
        <v>194752443.46719638</v>
      </c>
      <c r="AP27" s="25">
        <f t="shared" ref="AP27" si="148">AO27+AP26</f>
        <v>206502768.97501826</v>
      </c>
      <c r="AQ27" s="25">
        <f t="shared" ref="AQ27" si="149">AP27+AQ26</f>
        <v>218292262.23453289</v>
      </c>
      <c r="AR27" s="25">
        <f t="shared" ref="AR27" si="150">AQ27+AR26</f>
        <v>230121053.80491257</v>
      </c>
      <c r="AS27" s="25">
        <f t="shared" ref="AS27" si="151">AR27+AS26</f>
        <v>241989274.68052682</v>
      </c>
      <c r="AT27" s="25">
        <f t="shared" ref="AT27" si="152">AS27+AT26</f>
        <v>253897056.29239315</v>
      </c>
      <c r="AU27" s="25">
        <f t="shared" ref="AU27" si="153">AT27+AU26</f>
        <v>265844530.50963235</v>
      </c>
      <c r="AV27" s="25">
        <f t="shared" ref="AV27" si="154">AU27+AV26</f>
        <v>277831829.64092904</v>
      </c>
      <c r="AW27" s="25">
        <f t="shared" ref="AW27" si="155">AV27+AW26</f>
        <v>289859086.43599671</v>
      </c>
      <c r="AX27" s="25">
        <f t="shared" ref="AX27" si="156">AW27+AX26</f>
        <v>301926434.08704793</v>
      </c>
      <c r="AY27" s="25">
        <f t="shared" ref="AY27" si="157">AX27+AY26</f>
        <v>314034006.23026931</v>
      </c>
      <c r="AZ27" s="25">
        <f t="shared" ref="AZ27" si="158">AY27+AZ26</f>
        <v>326181936.94730145</v>
      </c>
      <c r="BA27" s="25">
        <f t="shared" ref="BA27" si="159">AZ27+BA26</f>
        <v>338370360.76672369</v>
      </c>
      <c r="BB27" s="25">
        <f t="shared" ref="BB27" si="160">BA27+BB26</f>
        <v>350599412.66554397</v>
      </c>
      <c r="BC27" s="25">
        <f t="shared" ref="BC27" si="161">BB27+BC26</f>
        <v>362869228.07069367</v>
      </c>
      <c r="BD27" s="25">
        <f t="shared" ref="BD27" si="162">BC27+BD26</f>
        <v>375179942.86052722</v>
      </c>
      <c r="BE27" s="25">
        <f t="shared" ref="BE27" si="163">BD27+BE26</f>
        <v>387531693.36632687</v>
      </c>
      <c r="BF27" s="25">
        <f t="shared" ref="BF27" si="164">BE27+BF26</f>
        <v>399924616.3738125</v>
      </c>
      <c r="BG27" s="25">
        <f t="shared" ref="BG27" si="165">BF27+BG26</f>
        <v>412358849.12465644</v>
      </c>
      <c r="BH27" s="25">
        <f t="shared" ref="BH27" si="166">BG27+BH26</f>
        <v>424834529.31800318</v>
      </c>
      <c r="BI27" s="25">
        <f t="shared" ref="BI27" si="167">BH27+BI26</f>
        <v>437351795.11199439</v>
      </c>
      <c r="BJ27" s="25">
        <f t="shared" ref="BJ27" si="168">BI27+BJ26</f>
        <v>449910785.12529892</v>
      </c>
      <c r="BK27" s="25">
        <f t="shared" ref="BK27" si="169">BJ27+BK26</f>
        <v>462511638.43864781</v>
      </c>
      <c r="BL27" s="25">
        <f t="shared" ref="BL27" si="170">BK27+BL26</f>
        <v>475154494.59637451</v>
      </c>
      <c r="BM27" s="25">
        <f t="shared" ref="BM27" si="171">BL27+BM26</f>
        <v>487839493.60796034</v>
      </c>
      <c r="BN27" s="25">
        <f t="shared" ref="BN27" si="172">BM27+BN26</f>
        <v>500566775.94958478</v>
      </c>
      <c r="BO27" s="25">
        <f t="shared" ref="BO27" si="173">BN27+BO26</f>
        <v>513336482.56568128</v>
      </c>
      <c r="BP27" s="25">
        <f t="shared" ref="BP27" si="174">BO27+BP26</f>
        <v>526148754.87049812</v>
      </c>
      <c r="BQ27" s="25">
        <f t="shared" ref="BQ27" si="175">BP27+BQ26</f>
        <v>539003734.74966431</v>
      </c>
      <c r="BR27" s="25">
        <f t="shared" ref="BR27" si="176">BQ27+BR26</f>
        <v>551901564.56176102</v>
      </c>
      <c r="BS27" s="25">
        <f t="shared" ref="BS27" si="177">BR27+BS26</f>
        <v>564842387.13989806</v>
      </c>
      <c r="BT27" s="25">
        <f t="shared" ref="BT27" si="178">BS27+BT26</f>
        <v>577826345.79329562</v>
      </c>
      <c r="BU27" s="25">
        <f t="shared" ref="BU27" si="179">BT27+BU26</f>
        <v>590853584.30887115</v>
      </c>
      <c r="BV27" s="25">
        <f t="shared" ref="BV27" si="180">BU27+BV26</f>
        <v>603924246.95283198</v>
      </c>
      <c r="BW27" s="25">
        <f t="shared" ref="BW27" si="181">BV27+BW26</f>
        <v>617038478.47227263</v>
      </c>
      <c r="BX27" s="25">
        <f t="shared" ref="BX27" si="182">BW27+BX26</f>
        <v>630196424.09677815</v>
      </c>
      <c r="BY27" s="25">
        <f t="shared" ref="BY27" si="183">BX27+BY26</f>
        <v>643398229.54003203</v>
      </c>
      <c r="BZ27" s="25">
        <f t="shared" ref="BZ27" si="184">BY27+BZ26</f>
        <v>656644041.00143003</v>
      </c>
      <c r="CA27" s="25">
        <f t="shared" ref="CA27" si="185">BZ27+CA26</f>
        <v>669934005.16769934</v>
      </c>
      <c r="CB27" s="25">
        <f t="shared" ref="CB27" si="186">CA27+CB26</f>
        <v>683268269.21452284</v>
      </c>
      <c r="CC27" s="25">
        <f t="shared" ref="CC27" si="187">CB27+CC26</f>
        <v>696646980.80816913</v>
      </c>
      <c r="CD27" s="25">
        <f t="shared" ref="CD27" si="188">CC27+CD26</f>
        <v>710070288.10712755</v>
      </c>
      <c r="CE27" s="25">
        <f t="shared" ref="CE27" si="189">CD27+CE26</f>
        <v>723538339.76374924</v>
      </c>
      <c r="CF27" s="25">
        <f t="shared" ref="CF27" si="190">CE27+CF26</f>
        <v>737051284.92589295</v>
      </c>
      <c r="CG27" s="25">
        <f t="shared" ref="CG27" si="191">CF27+CG26</f>
        <v>750609273.23857713</v>
      </c>
      <c r="CH27" s="25">
        <f t="shared" ref="CH27" si="192">CG27+CH26</f>
        <v>764212454.84563696</v>
      </c>
      <c r="CI27" s="25">
        <f t="shared" ref="CI27" si="193">CH27+CI26</f>
        <v>777860980.39138699</v>
      </c>
      <c r="CJ27" s="25">
        <f t="shared" ref="CJ27" si="194">CI27+CJ26</f>
        <v>791555001.02228951</v>
      </c>
      <c r="CK27" s="25">
        <f t="shared" ref="CK27" si="195">CJ27+CK26</f>
        <v>805294668.38862836</v>
      </c>
      <c r="CL27" s="25">
        <f t="shared" ref="CL27" si="196">CK27+CL26</f>
        <v>819080134.64618838</v>
      </c>
      <c r="CM27" s="25">
        <f t="shared" ref="CM27" si="197">CL27+CM26</f>
        <v>832911552.45794022</v>
      </c>
      <c r="CN27" s="25">
        <f t="shared" ref="CN27" si="198">CM27+CN26</f>
        <v>846789074.99573123</v>
      </c>
      <c r="CO27" s="25">
        <f t="shared" ref="CO27" si="199">CN27+CO26</f>
        <v>860712855.94198155</v>
      </c>
      <c r="CP27" s="25">
        <f t="shared" ref="CP27" si="200">CO27+CP26</f>
        <v>874683049.49138606</v>
      </c>
      <c r="CQ27" s="25">
        <f t="shared" ref="CQ27" si="201">CP27+CQ26</f>
        <v>888699810.35262191</v>
      </c>
      <c r="CR27" s="25">
        <f t="shared" ref="CR27" si="202">CQ27+CR26</f>
        <v>902763293.75006187</v>
      </c>
      <c r="CS27" s="25">
        <f t="shared" ref="CS27" si="203">CR27+CS26</f>
        <v>916873655.42549336</v>
      </c>
      <c r="CT27" s="25">
        <f t="shared" ref="CT27" si="204">CS27+CT26</f>
        <v>931031051.63984287</v>
      </c>
      <c r="CU27" s="25">
        <f t="shared" ref="CU27" si="205">CT27+CU26</f>
        <v>945235639.17490685</v>
      </c>
      <c r="CV27" s="25">
        <f t="shared" ref="CV27" si="206">CU27+CV26</f>
        <v>959487575.33508778</v>
      </c>
      <c r="CW27" s="25">
        <f t="shared" ref="CW27" si="207">CV27+CW26</f>
        <v>973787017.94913602</v>
      </c>
      <c r="CX27" s="25">
        <f t="shared" ref="CX27" si="208">CW27+CX26</f>
        <v>988134125.3718977</v>
      </c>
      <c r="CY27" s="25">
        <f t="shared" ref="CY27" si="209">CX27+CY26</f>
        <v>1002529056.4860686</v>
      </c>
      <c r="CZ27" s="25">
        <f t="shared" ref="CZ27" si="210">CY27+CZ26</f>
        <v>1016971970.7039534</v>
      </c>
      <c r="DA27" s="25">
        <f t="shared" ref="DA27" si="211">CZ27+DA26</f>
        <v>1031463027.9692311</v>
      </c>
      <c r="DB27" s="25">
        <f t="shared" ref="DB27" si="212">DA27+DB26</f>
        <v>1046002388.7587265</v>
      </c>
      <c r="DC27" s="25">
        <f t="shared" ref="DC27" si="213">DB27+DC26</f>
        <v>1060590214.0841868</v>
      </c>
      <c r="DD27" s="25">
        <f t="shared" ref="DD27" si="214">DC27+DD26</f>
        <v>1075226665.4940653</v>
      </c>
      <c r="DE27" s="25">
        <f t="shared" ref="DE27" si="215">DD27+DE26</f>
        <v>1089911905.07531</v>
      </c>
      <c r="DF27" s="25">
        <f t="shared" ref="DF27" si="216">DE27+DF26</f>
        <v>1104646095.4551589</v>
      </c>
      <c r="DG27" s="25">
        <f t="shared" ref="DG27" si="217">DF27+DG26</f>
        <v>1119429399.8029406</v>
      </c>
      <c r="DH27" s="25">
        <f t="shared" ref="DH27" si="218">DG27+DH26</f>
        <v>1134261981.8318815</v>
      </c>
      <c r="DI27" s="25">
        <f t="shared" ref="DI27" si="219">DH27+DI26</f>
        <v>1149144005.8009191</v>
      </c>
      <c r="DJ27" s="25">
        <f t="shared" ref="DJ27" si="220">DI27+DJ26</f>
        <v>1164075636.51652</v>
      </c>
      <c r="DK27" s="25">
        <f t="shared" ref="DK27" si="221">DJ27+DK26</f>
        <v>1179057039.3345063</v>
      </c>
      <c r="DL27" s="25">
        <f t="shared" ref="DL27" si="222">DK27+DL26</f>
        <v>1194088380.1618857</v>
      </c>
      <c r="DM27" s="25">
        <f t="shared" ref="DM27" si="223">DL27+DM26</f>
        <v>1209169825.4586899</v>
      </c>
      <c r="DN27" s="25">
        <f t="shared" ref="DN27" si="224">DM27+DN26</f>
        <v>1224301542.2398169</v>
      </c>
      <c r="DO27" s="25">
        <f t="shared" ref="DO27" si="225">DN27+DO26</f>
        <v>1239483698.0768809</v>
      </c>
      <c r="DP27" s="25">
        <f t="shared" ref="DP27" si="226">DO27+DP26</f>
        <v>1254716461.1000683</v>
      </c>
      <c r="DQ27" s="25">
        <f t="shared" ref="DQ27" si="227">DP27+DQ26</f>
        <v>1269999999.9999998</v>
      </c>
      <c r="DR27" s="25"/>
      <c r="DS27" s="25"/>
    </row>
    <row r="28" spans="1:123" s="53" customFormat="1" x14ac:dyDescent="0.25">
      <c r="A28" s="22" t="s">
        <v>8</v>
      </c>
      <c r="B28" s="165">
        <f t="shared" ref="B28:BM28" si="228">B26+B24</f>
        <v>312989.4444444445</v>
      </c>
      <c r="C28" s="165">
        <f t="shared" si="228"/>
        <v>746359.4444444445</v>
      </c>
      <c r="D28" s="165">
        <f t="shared" si="228"/>
        <v>722283.33333333337</v>
      </c>
      <c r="E28" s="165">
        <f t="shared" si="228"/>
        <v>746359.4444444445</v>
      </c>
      <c r="F28" s="165">
        <f t="shared" si="228"/>
        <v>722283.33333333337</v>
      </c>
      <c r="G28" s="165">
        <f t="shared" si="228"/>
        <v>560629.4444444445</v>
      </c>
      <c r="H28" s="165">
        <f t="shared" si="228"/>
        <v>426491.11111111112</v>
      </c>
      <c r="I28" s="165">
        <f t="shared" si="228"/>
        <v>2047857.7777777778</v>
      </c>
      <c r="J28" s="165">
        <f t="shared" si="228"/>
        <v>4807415.555555555</v>
      </c>
      <c r="K28" s="165">
        <f t="shared" si="228"/>
        <v>3579666.666666667</v>
      </c>
      <c r="L28" s="165">
        <f t="shared" si="228"/>
        <v>3698988.888888889</v>
      </c>
      <c r="M28" s="165">
        <f t="shared" si="228"/>
        <v>3579666.666666667</v>
      </c>
      <c r="N28" s="165">
        <f t="shared" si="228"/>
        <v>3698988.888888889</v>
      </c>
      <c r="O28" s="165">
        <f t="shared" si="228"/>
        <v>3698988.888888889</v>
      </c>
      <c r="P28" s="165">
        <f t="shared" si="228"/>
        <v>3579666.666666667</v>
      </c>
      <c r="Q28" s="165">
        <f t="shared" si="228"/>
        <v>4575991.666666667</v>
      </c>
      <c r="R28" s="165">
        <f t="shared" si="228"/>
        <v>4723583.333333334</v>
      </c>
      <c r="S28" s="165">
        <f t="shared" si="228"/>
        <v>4570544.444444445</v>
      </c>
      <c r="T28" s="165">
        <f t="shared" si="228"/>
        <v>4374444.444444444</v>
      </c>
      <c r="U28" s="165">
        <f t="shared" si="228"/>
        <v>3951111.111111111</v>
      </c>
      <c r="V28" s="165">
        <f t="shared" si="228"/>
        <v>4374444.444444444</v>
      </c>
      <c r="W28" s="165">
        <f t="shared" si="228"/>
        <v>4233333.333333334</v>
      </c>
      <c r="X28" s="165">
        <f t="shared" si="228"/>
        <v>4374444.444444444</v>
      </c>
      <c r="Y28" s="165">
        <f t="shared" si="228"/>
        <v>4233333.333333334</v>
      </c>
      <c r="Z28" s="165">
        <f t="shared" si="228"/>
        <v>4374444.444444444</v>
      </c>
      <c r="AA28" s="165">
        <f t="shared" si="228"/>
        <v>4374444.444444444</v>
      </c>
      <c r="AB28" s="165">
        <f t="shared" si="228"/>
        <v>43850277.777777776</v>
      </c>
      <c r="AC28" s="165">
        <f t="shared" si="228"/>
        <v>4237743.055555556</v>
      </c>
      <c r="AD28" s="165">
        <f t="shared" si="228"/>
        <v>4101041.6666666665</v>
      </c>
      <c r="AE28" s="165">
        <f t="shared" si="228"/>
        <v>43850277.777777776</v>
      </c>
      <c r="AF28" s="31">
        <f t="shared" si="228"/>
        <v>15445307.087541984</v>
      </c>
      <c r="AG28" s="31">
        <f t="shared" si="228"/>
        <v>15181915.051516201</v>
      </c>
      <c r="AH28" s="31">
        <f t="shared" si="228"/>
        <v>15442633.79673937</v>
      </c>
      <c r="AI28" s="31">
        <f t="shared" si="228"/>
        <v>15314075.548444742</v>
      </c>
      <c r="AJ28" s="31">
        <f t="shared" si="228"/>
        <v>15438662.872455863</v>
      </c>
      <c r="AK28" s="31">
        <f t="shared" si="228"/>
        <v>15313939.265142817</v>
      </c>
      <c r="AL28" s="31">
        <f t="shared" si="228"/>
        <v>15437233.5409991</v>
      </c>
      <c r="AM28" s="31">
        <f t="shared" si="228"/>
        <v>15433286.963083271</v>
      </c>
      <c r="AN28" s="31">
        <f t="shared" si="228"/>
        <v>15313733.131911866</v>
      </c>
      <c r="AO28" s="31">
        <f t="shared" si="228"/>
        <v>15433135.912978783</v>
      </c>
      <c r="AP28" s="31">
        <f t="shared" si="228"/>
        <v>15313594.56202843</v>
      </c>
      <c r="AQ28" s="31">
        <f t="shared" si="228"/>
        <v>15430381.345777141</v>
      </c>
      <c r="AR28" s="31">
        <f t="shared" si="228"/>
        <v>15428997.171938892</v>
      </c>
      <c r="AS28" s="31">
        <f t="shared" si="228"/>
        <v>15084938.142414695</v>
      </c>
      <c r="AT28" s="31">
        <f t="shared" si="228"/>
        <v>15426214.967144309</v>
      </c>
      <c r="AU28" s="31">
        <f t="shared" si="228"/>
        <v>15313244.075433912</v>
      </c>
      <c r="AV28" s="31">
        <f t="shared" si="228"/>
        <v>15423414.183404371</v>
      </c>
      <c r="AW28" s="31">
        <f t="shared" si="228"/>
        <v>15313102.239739995</v>
      </c>
      <c r="AX28" s="31">
        <f t="shared" si="228"/>
        <v>15420594.69665302</v>
      </c>
      <c r="AY28" s="31">
        <f t="shared" si="228"/>
        <v>15419177.900651025</v>
      </c>
      <c r="AZ28" s="31">
        <f t="shared" si="228"/>
        <v>15312887.708323168</v>
      </c>
      <c r="BA28" s="31">
        <f t="shared" si="228"/>
        <v>15416330.124944836</v>
      </c>
      <c r="BB28" s="31">
        <f t="shared" si="228"/>
        <v>15312743.492888879</v>
      </c>
      <c r="BC28" s="31">
        <f t="shared" si="228"/>
        <v>15413463.332425326</v>
      </c>
      <c r="BD28" s="31">
        <f t="shared" si="228"/>
        <v>15412022.765209241</v>
      </c>
      <c r="BE28" s="31">
        <f t="shared" si="228"/>
        <v>15116421.29389121</v>
      </c>
      <c r="BF28" s="31">
        <f t="shared" si="228"/>
        <v>15409127.209098607</v>
      </c>
      <c r="BG28" s="31">
        <f t="shared" si="228"/>
        <v>15312378.726929726</v>
      </c>
      <c r="BH28" s="31">
        <f t="shared" si="228"/>
        <v>15406212.317107718</v>
      </c>
      <c r="BI28" s="31">
        <f t="shared" si="228"/>
        <v>15312231.112630798</v>
      </c>
      <c r="BJ28" s="31">
        <f t="shared" si="228"/>
        <v>15403277.960115876</v>
      </c>
      <c r="BK28" s="31">
        <f t="shared" si="228"/>
        <v>15401803.441658756</v>
      </c>
      <c r="BL28" s="31">
        <f t="shared" si="228"/>
        <v>15312007.840873046</v>
      </c>
      <c r="BM28" s="31">
        <f t="shared" si="228"/>
        <v>15398839.643176412</v>
      </c>
      <c r="BN28" s="31">
        <f t="shared" ref="BN28:DQ28" si="229">BN26+BN24</f>
        <v>15311857.74987945</v>
      </c>
      <c r="BO28" s="31">
        <f t="shared" si="229"/>
        <v>15395856.053106423</v>
      </c>
      <c r="BP28" s="31">
        <f t="shared" si="229"/>
        <v>15394356.794959275</v>
      </c>
      <c r="BQ28" s="31">
        <f t="shared" si="229"/>
        <v>15149187.117534854</v>
      </c>
      <c r="BR28" s="31">
        <f t="shared" si="229"/>
        <v>15391343.269425079</v>
      </c>
      <c r="BS28" s="31">
        <f t="shared" si="229"/>
        <v>15311478.122792313</v>
      </c>
      <c r="BT28" s="31">
        <f t="shared" si="229"/>
        <v>15388309.620237041</v>
      </c>
      <c r="BU28" s="31">
        <f t="shared" si="229"/>
        <v>15311324.494459091</v>
      </c>
      <c r="BV28" s="31">
        <f t="shared" si="229"/>
        <v>15385255.713013869</v>
      </c>
      <c r="BW28" s="31">
        <f t="shared" si="229"/>
        <v>15383721.120399745</v>
      </c>
      <c r="BX28" s="31">
        <f t="shared" si="229"/>
        <v>15311092.126265436</v>
      </c>
      <c r="BY28" s="31">
        <f t="shared" si="229"/>
        <v>15380636.572194327</v>
      </c>
      <c r="BZ28" s="31">
        <f t="shared" si="229"/>
        <v>15310935.920333184</v>
      </c>
      <c r="CA28" s="31">
        <f t="shared" si="229"/>
        <v>15377531.426061448</v>
      </c>
      <c r="CB28" s="31">
        <f t="shared" si="229"/>
        <v>15375971.085824149</v>
      </c>
      <c r="CC28" s="31">
        <f t="shared" si="229"/>
        <v>15246993.762410097</v>
      </c>
      <c r="CD28" s="31">
        <f t="shared" si="229"/>
        <v>15372834.784610063</v>
      </c>
      <c r="CE28" s="31">
        <f t="shared" si="229"/>
        <v>15310540.826652788</v>
      </c>
      <c r="CF28" s="31">
        <f t="shared" si="229"/>
        <v>15369677.539873425</v>
      </c>
      <c r="CG28" s="31">
        <f t="shared" si="229"/>
        <v>15310380.93926423</v>
      </c>
      <c r="CH28" s="31">
        <f t="shared" si="229"/>
        <v>15366499.211758047</v>
      </c>
      <c r="CI28" s="31">
        <f t="shared" si="229"/>
        <v>15364902.09747307</v>
      </c>
      <c r="CJ28" s="31">
        <f t="shared" si="229"/>
        <v>15310139.104031842</v>
      </c>
      <c r="CK28" s="31">
        <f t="shared" si="229"/>
        <v>15361691.880014554</v>
      </c>
      <c r="CL28" s="31">
        <f t="shared" si="229"/>
        <v>15309976.534028895</v>
      </c>
      <c r="CM28" s="31">
        <f t="shared" si="229"/>
        <v>15358460.225437229</v>
      </c>
      <c r="CN28" s="31">
        <f t="shared" si="229"/>
        <v>15356836.314531183</v>
      </c>
      <c r="CO28" s="31">
        <f t="shared" si="229"/>
        <v>15218777.942569442</v>
      </c>
      <c r="CP28" s="31">
        <f t="shared" si="229"/>
        <v>15353572.235566575</v>
      </c>
      <c r="CQ28" s="31">
        <f t="shared" si="229"/>
        <v>15309565.343622362</v>
      </c>
      <c r="CR28" s="31">
        <f t="shared" si="229"/>
        <v>15350286.35980799</v>
      </c>
      <c r="CS28" s="31">
        <f t="shared" si="229"/>
        <v>15309398.942174904</v>
      </c>
      <c r="CT28" s="31">
        <f t="shared" si="229"/>
        <v>15346978.541701291</v>
      </c>
      <c r="CU28" s="31">
        <f t="shared" si="229"/>
        <v>15345316.358516123</v>
      </c>
      <c r="CV28" s="31">
        <f t="shared" si="229"/>
        <v>15309147.254202016</v>
      </c>
      <c r="CW28" s="31">
        <f t="shared" si="229"/>
        <v>15341975.351845236</v>
      </c>
      <c r="CX28" s="31">
        <f t="shared" si="229"/>
        <v>15308978.060846316</v>
      </c>
      <c r="CY28" s="31">
        <f t="shared" si="229"/>
        <v>15338612.034674248</v>
      </c>
      <c r="CZ28" s="31">
        <f t="shared" si="229"/>
        <v>15336921.963132324</v>
      </c>
      <c r="DA28" s="31">
        <f t="shared" si="229"/>
        <v>15255713.934008339</v>
      </c>
      <c r="DB28" s="31">
        <f t="shared" si="229"/>
        <v>15333524.900554489</v>
      </c>
      <c r="DC28" s="31">
        <f t="shared" si="229"/>
        <v>15308550.117908185</v>
      </c>
      <c r="DD28" s="31">
        <f t="shared" si="229"/>
        <v>15330105.153147658</v>
      </c>
      <c r="DE28" s="31">
        <f t="shared" si="229"/>
        <v>15308376.937009014</v>
      </c>
      <c r="DF28" s="31">
        <f t="shared" si="229"/>
        <v>15326662.569427587</v>
      </c>
      <c r="DG28" s="31">
        <f t="shared" si="229"/>
        <v>15324932.666334843</v>
      </c>
      <c r="DH28" s="31">
        <f t="shared" si="229"/>
        <v>15308114.994879775</v>
      </c>
      <c r="DI28" s="31">
        <f t="shared" si="229"/>
        <v>15321455.541897278</v>
      </c>
      <c r="DJ28" s="31">
        <f t="shared" si="229"/>
        <v>15307938.908325713</v>
      </c>
      <c r="DK28" s="31">
        <f t="shared" si="229"/>
        <v>15317955.197995417</v>
      </c>
      <c r="DL28" s="31">
        <f t="shared" si="229"/>
        <v>15316196.27033123</v>
      </c>
      <c r="DM28" s="31">
        <f t="shared" si="229"/>
        <v>15294154.754727727</v>
      </c>
      <c r="DN28" s="31">
        <f t="shared" si="229"/>
        <v>15312660.806182576</v>
      </c>
      <c r="DO28" s="31">
        <f t="shared" si="229"/>
        <v>15307493.530332001</v>
      </c>
      <c r="DP28" s="31">
        <f t="shared" si="229"/>
        <v>15309101.732989997</v>
      </c>
      <c r="DQ28" s="31">
        <f t="shared" si="229"/>
        <v>15307313.293775793</v>
      </c>
      <c r="DR28" s="31"/>
      <c r="DS28" s="31"/>
    </row>
    <row r="29" spans="1:123" s="53" customFormat="1" ht="14.25" thickBot="1" x14ac:dyDescent="0.3">
      <c r="A29" s="32" t="s">
        <v>9</v>
      </c>
      <c r="B29" s="166">
        <f>B23-B26</f>
        <v>123820000</v>
      </c>
      <c r="C29" s="166">
        <f t="shared" ref="C29:BN29" si="230">C23-C26</f>
        <v>123820000</v>
      </c>
      <c r="D29" s="166">
        <f t="shared" si="230"/>
        <v>123820000</v>
      </c>
      <c r="E29" s="166">
        <f t="shared" si="230"/>
        <v>123820000</v>
      </c>
      <c r="F29" s="166">
        <f t="shared" si="230"/>
        <v>123820000</v>
      </c>
      <c r="G29" s="166">
        <f t="shared" si="230"/>
        <v>123820000</v>
      </c>
      <c r="H29" s="166">
        <f t="shared" si="230"/>
        <v>123820000</v>
      </c>
      <c r="I29" s="166">
        <f t="shared" si="230"/>
        <v>1073900000</v>
      </c>
      <c r="J29" s="166">
        <f t="shared" si="230"/>
        <v>1073900000</v>
      </c>
      <c r="K29" s="166">
        <f t="shared" si="230"/>
        <v>1073900000</v>
      </c>
      <c r="L29" s="166">
        <f t="shared" si="230"/>
        <v>1073900000</v>
      </c>
      <c r="M29" s="166">
        <f t="shared" si="230"/>
        <v>1073900000</v>
      </c>
      <c r="N29" s="166">
        <f t="shared" si="230"/>
        <v>1073900000</v>
      </c>
      <c r="O29" s="166">
        <f t="shared" si="230"/>
        <v>1073900000</v>
      </c>
      <c r="P29" s="166">
        <f t="shared" si="230"/>
        <v>1073900000</v>
      </c>
      <c r="Q29" s="166">
        <f t="shared" si="230"/>
        <v>1270000000</v>
      </c>
      <c r="R29" s="166">
        <f t="shared" si="230"/>
        <v>1270000000</v>
      </c>
      <c r="S29" s="166">
        <f t="shared" si="230"/>
        <v>1270000000</v>
      </c>
      <c r="T29" s="166">
        <f t="shared" si="230"/>
        <v>1270000000</v>
      </c>
      <c r="U29" s="166">
        <f t="shared" si="230"/>
        <v>1270000000</v>
      </c>
      <c r="V29" s="166">
        <f t="shared" si="230"/>
        <v>1270000000</v>
      </c>
      <c r="W29" s="166">
        <f t="shared" si="230"/>
        <v>1270000000</v>
      </c>
      <c r="X29" s="166">
        <f t="shared" si="230"/>
        <v>1270000000</v>
      </c>
      <c r="Y29" s="166">
        <f t="shared" si="230"/>
        <v>1270000000</v>
      </c>
      <c r="Z29" s="166">
        <f t="shared" si="230"/>
        <v>1270000000</v>
      </c>
      <c r="AA29" s="166">
        <f t="shared" si="230"/>
        <v>1270000000</v>
      </c>
      <c r="AB29" s="166">
        <f t="shared" si="230"/>
        <v>1230312500</v>
      </c>
      <c r="AC29" s="166">
        <f t="shared" si="230"/>
        <v>1230312500</v>
      </c>
      <c r="AD29" s="166">
        <f t="shared" si="230"/>
        <v>1230312500</v>
      </c>
      <c r="AE29" s="166">
        <f t="shared" si="230"/>
        <v>1190625000</v>
      </c>
      <c r="AF29" s="33">
        <f t="shared" si="230"/>
        <v>1179259265.970402</v>
      </c>
      <c r="AG29" s="33">
        <f t="shared" si="230"/>
        <v>1167855646.1607058</v>
      </c>
      <c r="AH29" s="33">
        <f t="shared" si="230"/>
        <v>1156414014.2849767</v>
      </c>
      <c r="AI29" s="33">
        <f t="shared" si="230"/>
        <v>1144934243.6363287</v>
      </c>
      <c r="AJ29" s="33">
        <f t="shared" si="230"/>
        <v>1133416207.0855186</v>
      </c>
      <c r="AK29" s="33">
        <f t="shared" si="230"/>
        <v>1121859777.0795391</v>
      </c>
      <c r="AL29" s="33">
        <f t="shared" si="230"/>
        <v>1110264825.6402066</v>
      </c>
      <c r="AM29" s="33">
        <f t="shared" si="230"/>
        <v>1098631224.3627424</v>
      </c>
      <c r="AN29" s="33">
        <f t="shared" si="230"/>
        <v>1086958844.4143536</v>
      </c>
      <c r="AO29" s="33">
        <f t="shared" si="230"/>
        <v>1075247556.5328035</v>
      </c>
      <c r="AP29" s="33">
        <f t="shared" si="230"/>
        <v>1063497231.0249816</v>
      </c>
      <c r="AQ29" s="33">
        <f t="shared" si="230"/>
        <v>1051707737.7654672</v>
      </c>
      <c r="AR29" s="33">
        <f t="shared" si="230"/>
        <v>1039878946.1950874</v>
      </c>
      <c r="AS29" s="33">
        <f t="shared" si="230"/>
        <v>1028010725.3194731</v>
      </c>
      <c r="AT29" s="33">
        <f t="shared" si="230"/>
        <v>1016102943.7076067</v>
      </c>
      <c r="AU29" s="33">
        <f t="shared" si="230"/>
        <v>1004155469.4903675</v>
      </c>
      <c r="AV29" s="33">
        <f t="shared" si="230"/>
        <v>992168170.35907102</v>
      </c>
      <c r="AW29" s="33">
        <f t="shared" si="230"/>
        <v>980140913.56400323</v>
      </c>
      <c r="AX29" s="33">
        <f t="shared" si="230"/>
        <v>968073565.91295207</v>
      </c>
      <c r="AY29" s="33">
        <f t="shared" si="230"/>
        <v>955965993.76973057</v>
      </c>
      <c r="AZ29" s="33">
        <f t="shared" si="230"/>
        <v>943818063.05269849</v>
      </c>
      <c r="BA29" s="33">
        <f t="shared" si="230"/>
        <v>931629639.23327637</v>
      </c>
      <c r="BB29" s="33">
        <f t="shared" si="230"/>
        <v>919400587.33445609</v>
      </c>
      <c r="BC29" s="33">
        <f t="shared" si="230"/>
        <v>907130771.92930627</v>
      </c>
      <c r="BD29" s="33">
        <f t="shared" si="230"/>
        <v>894820057.13947272</v>
      </c>
      <c r="BE29" s="33">
        <f t="shared" si="230"/>
        <v>882468306.63367319</v>
      </c>
      <c r="BF29" s="33">
        <f t="shared" si="230"/>
        <v>870075383.62618744</v>
      </c>
      <c r="BG29" s="33">
        <f t="shared" si="230"/>
        <v>857641150.87534368</v>
      </c>
      <c r="BH29" s="33">
        <f t="shared" si="230"/>
        <v>845165470.6819967</v>
      </c>
      <c r="BI29" s="33">
        <f t="shared" si="230"/>
        <v>832648204.8880055</v>
      </c>
      <c r="BJ29" s="33">
        <f t="shared" si="230"/>
        <v>820089214.8747009</v>
      </c>
      <c r="BK29" s="33">
        <f t="shared" si="230"/>
        <v>807488361.56135201</v>
      </c>
      <c r="BL29" s="33">
        <f t="shared" si="230"/>
        <v>794845505.40362525</v>
      </c>
      <c r="BM29" s="33">
        <f t="shared" si="230"/>
        <v>782160506.39203954</v>
      </c>
      <c r="BN29" s="33">
        <f t="shared" si="230"/>
        <v>769433224.05041516</v>
      </c>
      <c r="BO29" s="33">
        <f t="shared" ref="BO29:DQ29" si="231">BO23-BO26</f>
        <v>756663517.43431854</v>
      </c>
      <c r="BP29" s="33">
        <f t="shared" si="231"/>
        <v>743851245.12950182</v>
      </c>
      <c r="BQ29" s="33">
        <f t="shared" si="231"/>
        <v>730996265.25033557</v>
      </c>
      <c r="BR29" s="33">
        <f t="shared" si="231"/>
        <v>718098435.43823886</v>
      </c>
      <c r="BS29" s="33">
        <f t="shared" si="231"/>
        <v>705157612.86010182</v>
      </c>
      <c r="BT29" s="33">
        <f t="shared" si="231"/>
        <v>692173654.20670414</v>
      </c>
      <c r="BU29" s="33">
        <f t="shared" si="231"/>
        <v>679146415.69112861</v>
      </c>
      <c r="BV29" s="33">
        <f t="shared" si="231"/>
        <v>666075753.0471679</v>
      </c>
      <c r="BW29" s="33">
        <f t="shared" si="231"/>
        <v>652961521.52772713</v>
      </c>
      <c r="BX29" s="33">
        <f t="shared" si="231"/>
        <v>639803575.90322173</v>
      </c>
      <c r="BY29" s="33">
        <f t="shared" si="231"/>
        <v>626601770.45996785</v>
      </c>
      <c r="BZ29" s="33">
        <f t="shared" si="231"/>
        <v>613355958.99856985</v>
      </c>
      <c r="CA29" s="33">
        <f t="shared" si="231"/>
        <v>600065994.83230054</v>
      </c>
      <c r="CB29" s="33">
        <f t="shared" si="231"/>
        <v>586731730.78547704</v>
      </c>
      <c r="CC29" s="33">
        <f t="shared" si="231"/>
        <v>573353019.19183075</v>
      </c>
      <c r="CD29" s="33">
        <f t="shared" si="231"/>
        <v>559929711.89287221</v>
      </c>
      <c r="CE29" s="33">
        <f t="shared" si="231"/>
        <v>546461660.23625052</v>
      </c>
      <c r="CF29" s="33">
        <f t="shared" si="231"/>
        <v>532948715.07410681</v>
      </c>
      <c r="CG29" s="33">
        <f t="shared" si="231"/>
        <v>519390726.76142269</v>
      </c>
      <c r="CH29" s="33">
        <f t="shared" si="231"/>
        <v>505787545.15436286</v>
      </c>
      <c r="CI29" s="33">
        <f t="shared" si="231"/>
        <v>492139019.6086129</v>
      </c>
      <c r="CJ29" s="33">
        <f t="shared" si="231"/>
        <v>478444998.97771037</v>
      </c>
      <c r="CK29" s="33">
        <f t="shared" si="231"/>
        <v>464705331.61137152</v>
      </c>
      <c r="CL29" s="33">
        <f t="shared" si="231"/>
        <v>450919865.3538115</v>
      </c>
      <c r="CM29" s="33">
        <f t="shared" si="231"/>
        <v>437088447.54205966</v>
      </c>
      <c r="CN29" s="33">
        <f t="shared" si="231"/>
        <v>423210925.00426865</v>
      </c>
      <c r="CO29" s="33">
        <f t="shared" si="231"/>
        <v>409287144.05801833</v>
      </c>
      <c r="CP29" s="33">
        <f t="shared" si="231"/>
        <v>395316950.50861382</v>
      </c>
      <c r="CQ29" s="33">
        <f t="shared" si="231"/>
        <v>381300189.64737797</v>
      </c>
      <c r="CR29" s="33">
        <f t="shared" si="231"/>
        <v>367236706.24993801</v>
      </c>
      <c r="CS29" s="33">
        <f t="shared" si="231"/>
        <v>353126344.57450664</v>
      </c>
      <c r="CT29" s="33">
        <f t="shared" si="231"/>
        <v>338968948.36015707</v>
      </c>
      <c r="CU29" s="33">
        <f t="shared" si="231"/>
        <v>324764360.82509303</v>
      </c>
      <c r="CV29" s="33">
        <f t="shared" si="231"/>
        <v>310512424.66491216</v>
      </c>
      <c r="CW29" s="33">
        <f t="shared" si="231"/>
        <v>296212982.05086392</v>
      </c>
      <c r="CX29" s="33">
        <f t="shared" si="231"/>
        <v>281865874.62810224</v>
      </c>
      <c r="CY29" s="33">
        <f t="shared" si="231"/>
        <v>267470943.51393136</v>
      </c>
      <c r="CZ29" s="33">
        <f t="shared" si="231"/>
        <v>253028029.29604658</v>
      </c>
      <c r="DA29" s="33">
        <f t="shared" si="231"/>
        <v>238536972.03076884</v>
      </c>
      <c r="DB29" s="33">
        <f t="shared" si="231"/>
        <v>223997611.24127349</v>
      </c>
      <c r="DC29" s="33">
        <f t="shared" si="231"/>
        <v>209409785.91581321</v>
      </c>
      <c r="DD29" s="33">
        <f t="shared" si="231"/>
        <v>194773334.50593469</v>
      </c>
      <c r="DE29" s="33">
        <f t="shared" si="231"/>
        <v>180088094.92468992</v>
      </c>
      <c r="DF29" s="33">
        <f t="shared" si="231"/>
        <v>165353904.54484099</v>
      </c>
      <c r="DG29" s="33">
        <f t="shared" si="231"/>
        <v>150570600.19705924</v>
      </c>
      <c r="DH29" s="33">
        <f t="shared" si="231"/>
        <v>135738018.16811818</v>
      </c>
      <c r="DI29" s="33">
        <f t="shared" si="231"/>
        <v>120855994.19908071</v>
      </c>
      <c r="DJ29" s="33">
        <f t="shared" si="231"/>
        <v>105924363.48347975</v>
      </c>
      <c r="DK29" s="33">
        <f t="shared" si="231"/>
        <v>90942960.665493459</v>
      </c>
      <c r="DL29" s="33">
        <f t="shared" si="231"/>
        <v>75911619.838113874</v>
      </c>
      <c r="DM29" s="33">
        <f t="shared" si="231"/>
        <v>60830174.541309699</v>
      </c>
      <c r="DN29" s="33">
        <f t="shared" si="231"/>
        <v>45698457.760182843</v>
      </c>
      <c r="DO29" s="33">
        <f t="shared" si="231"/>
        <v>30516301.923118886</v>
      </c>
      <c r="DP29" s="33">
        <f t="shared" si="231"/>
        <v>15283538.899931392</v>
      </c>
      <c r="DQ29" s="33">
        <f t="shared" si="231"/>
        <v>-6.5192580223083496E-8</v>
      </c>
      <c r="DR29" s="33"/>
      <c r="DS29" s="33"/>
    </row>
    <row r="30" spans="1:123" s="53" customFormat="1" x14ac:dyDescent="0.25">
      <c r="A30" s="22"/>
      <c r="B30" s="34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DQ30" s="136">
        <f>+DQ25-MCML_Loan!CW29</f>
        <v>0</v>
      </c>
    </row>
    <row r="31" spans="1:123" s="55" customFormat="1" ht="18.75" x14ac:dyDescent="0.3">
      <c r="A31" s="143" t="s">
        <v>77</v>
      </c>
      <c r="B31" s="49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</row>
    <row r="32" spans="1:123" x14ac:dyDescent="0.25">
      <c r="A32" s="142" t="s">
        <v>58</v>
      </c>
      <c r="B32" s="152">
        <v>42947</v>
      </c>
      <c r="C32" s="152">
        <f>EDATE(B32,1)</f>
        <v>42978</v>
      </c>
      <c r="D32" s="152">
        <f>EDATE(C32,1)</f>
        <v>43008</v>
      </c>
      <c r="E32" s="152">
        <f t="shared" ref="E32" si="232">EDATE(D32,1)</f>
        <v>43038</v>
      </c>
      <c r="F32" s="152">
        <f t="shared" ref="F32" si="233">EDATE(E32,1)</f>
        <v>43069</v>
      </c>
      <c r="G32" s="152">
        <f t="shared" ref="G32" si="234">EDATE(F32,1)</f>
        <v>43099</v>
      </c>
      <c r="H32" s="152">
        <f t="shared" ref="H32" si="235">EDATE(G32,1)</f>
        <v>43130</v>
      </c>
      <c r="I32" s="152">
        <f t="shared" ref="I32" si="236">EDATE(H32,1)</f>
        <v>43159</v>
      </c>
      <c r="J32" s="152">
        <f t="shared" ref="J32" si="237">EDATE(I32,1)</f>
        <v>43187</v>
      </c>
      <c r="K32" s="152">
        <f t="shared" ref="K32" si="238">EDATE(J32,1)</f>
        <v>43218</v>
      </c>
      <c r="L32" s="152">
        <f t="shared" ref="L32" si="239">EDATE(K32,1)</f>
        <v>43248</v>
      </c>
      <c r="M32" s="152">
        <f t="shared" ref="M32" si="240">EDATE(L32,1)</f>
        <v>43279</v>
      </c>
      <c r="N32" s="152">
        <f t="shared" ref="N32" si="241">EDATE(M32,1)</f>
        <v>43309</v>
      </c>
      <c r="O32" s="152">
        <f t="shared" ref="O32" si="242">EDATE(N32,1)</f>
        <v>43340</v>
      </c>
      <c r="P32" s="152">
        <f t="shared" ref="P32" si="243">EDATE(O32,1)</f>
        <v>43371</v>
      </c>
      <c r="Q32" s="152">
        <f t="shared" ref="Q32" si="244">EDATE(P32,1)</f>
        <v>43401</v>
      </c>
      <c r="R32" s="152">
        <f t="shared" ref="R32" si="245">EDATE(Q32,1)</f>
        <v>43432</v>
      </c>
      <c r="S32" s="152">
        <f t="shared" ref="S32" si="246">EDATE(R32,1)</f>
        <v>43462</v>
      </c>
      <c r="T32" s="152">
        <f t="shared" ref="T32" si="247">EDATE(S32,1)</f>
        <v>43493</v>
      </c>
      <c r="U32" s="152">
        <f t="shared" ref="U32" si="248">EDATE(T32,1)</f>
        <v>43524</v>
      </c>
      <c r="V32" s="152">
        <f t="shared" ref="V32" si="249">EDATE(U32,1)</f>
        <v>43552</v>
      </c>
      <c r="W32" s="152">
        <f t="shared" ref="W32" si="250">EDATE(V32,1)</f>
        <v>43583</v>
      </c>
      <c r="X32" s="152">
        <f t="shared" ref="X32" si="251">EDATE(W32,1)</f>
        <v>43613</v>
      </c>
      <c r="Y32" s="152">
        <f t="shared" ref="Y32" si="252">EDATE(X32,1)</f>
        <v>43644</v>
      </c>
      <c r="Z32" s="152">
        <f t="shared" ref="Z32" si="253">EDATE(Y32,1)</f>
        <v>43674</v>
      </c>
      <c r="AA32" s="152">
        <f t="shared" ref="AA32" si="254">EDATE(Z32,1)</f>
        <v>43705</v>
      </c>
      <c r="AB32" s="152">
        <f t="shared" ref="AB32" si="255">EDATE(AA32,1)</f>
        <v>43736</v>
      </c>
      <c r="AC32" s="152">
        <f t="shared" ref="AC32" si="256">EDATE(AB32,1)</f>
        <v>43766</v>
      </c>
      <c r="AD32" s="152">
        <f t="shared" ref="AD32" si="257">EDATE(AC32,1)</f>
        <v>43797</v>
      </c>
      <c r="AE32" s="152">
        <f t="shared" ref="AE32" si="258">EDATE(AD32,1)</f>
        <v>43827</v>
      </c>
      <c r="AF32" s="152">
        <f t="shared" ref="AF32" si="259">EDATE(AE32,1)</f>
        <v>43858</v>
      </c>
      <c r="AG32" s="152">
        <f t="shared" ref="AG32" si="260">EDATE(AF32,1)</f>
        <v>43889</v>
      </c>
      <c r="AH32" s="152">
        <f t="shared" ref="AH32" si="261">EDATE(AG32,1)</f>
        <v>43918</v>
      </c>
      <c r="AI32" s="152">
        <f t="shared" ref="AI32" si="262">EDATE(AH32,1)</f>
        <v>43949</v>
      </c>
      <c r="AJ32" s="152">
        <f t="shared" ref="AJ32" si="263">EDATE(AI32,1)</f>
        <v>43979</v>
      </c>
      <c r="AK32" s="152">
        <f t="shared" ref="AK32" si="264">EDATE(AJ32,1)</f>
        <v>44010</v>
      </c>
      <c r="AL32" s="152">
        <f t="shared" ref="AL32" si="265">EDATE(AK32,1)</f>
        <v>44040</v>
      </c>
      <c r="AM32" s="152">
        <f t="shared" ref="AM32" si="266">EDATE(AL32,1)</f>
        <v>44071</v>
      </c>
      <c r="AN32" s="152">
        <f t="shared" ref="AN32" si="267">EDATE(AM32,1)</f>
        <v>44102</v>
      </c>
      <c r="AO32" s="152">
        <f t="shared" ref="AO32" si="268">EDATE(AN32,1)</f>
        <v>44132</v>
      </c>
      <c r="AP32" s="152">
        <f t="shared" ref="AP32" si="269">EDATE(AO32,1)</f>
        <v>44163</v>
      </c>
      <c r="AQ32" s="152">
        <f t="shared" ref="AQ32" si="270">EDATE(AP32,1)</f>
        <v>44193</v>
      </c>
      <c r="AR32" s="152">
        <f t="shared" ref="AR32" si="271">EDATE(AQ32,1)</f>
        <v>44224</v>
      </c>
      <c r="AS32" s="152">
        <f t="shared" ref="AS32" si="272">EDATE(AR32,1)</f>
        <v>44255</v>
      </c>
      <c r="AT32" s="152">
        <f t="shared" ref="AT32" si="273">EDATE(AS32,1)</f>
        <v>44283</v>
      </c>
      <c r="AU32" s="152">
        <f t="shared" ref="AU32" si="274">EDATE(AT32,1)</f>
        <v>44314</v>
      </c>
      <c r="AV32" s="152">
        <f t="shared" ref="AV32" si="275">EDATE(AU32,1)</f>
        <v>44344</v>
      </c>
      <c r="AW32" s="152">
        <f t="shared" ref="AW32" si="276">EDATE(AV32,1)</f>
        <v>44375</v>
      </c>
      <c r="AX32" s="152">
        <f t="shared" ref="AX32" si="277">EDATE(AW32,1)</f>
        <v>44405</v>
      </c>
      <c r="AY32" s="152">
        <f t="shared" ref="AY32" si="278">EDATE(AX32,1)</f>
        <v>44436</v>
      </c>
      <c r="AZ32" s="152">
        <f t="shared" ref="AZ32" si="279">EDATE(AY32,1)</f>
        <v>44467</v>
      </c>
      <c r="BA32" s="152">
        <f t="shared" ref="BA32" si="280">EDATE(AZ32,1)</f>
        <v>44497</v>
      </c>
      <c r="BB32" s="152">
        <f t="shared" ref="BB32" si="281">EDATE(BA32,1)</f>
        <v>44528</v>
      </c>
      <c r="BC32" s="152">
        <f t="shared" ref="BC32" si="282">EDATE(BB32,1)</f>
        <v>44558</v>
      </c>
      <c r="BD32" s="152">
        <f t="shared" ref="BD32" si="283">EDATE(BC32,1)</f>
        <v>44589</v>
      </c>
      <c r="BE32" s="152">
        <f t="shared" ref="BE32" si="284">EDATE(BD32,1)</f>
        <v>44620</v>
      </c>
      <c r="BF32" s="152">
        <f t="shared" ref="BF32" si="285">EDATE(BE32,1)</f>
        <v>44648</v>
      </c>
      <c r="BG32" s="152">
        <f t="shared" ref="BG32" si="286">EDATE(BF32,1)</f>
        <v>44679</v>
      </c>
      <c r="BH32" s="152">
        <f t="shared" ref="BH32" si="287">EDATE(BG32,1)</f>
        <v>44709</v>
      </c>
      <c r="BI32" s="152">
        <f t="shared" ref="BI32" si="288">EDATE(BH32,1)</f>
        <v>44740</v>
      </c>
      <c r="BJ32" s="152">
        <f t="shared" ref="BJ32" si="289">EDATE(BI32,1)</f>
        <v>44770</v>
      </c>
      <c r="BK32" s="152">
        <f t="shared" ref="BK32" si="290">EDATE(BJ32,1)</f>
        <v>44801</v>
      </c>
      <c r="BL32" s="152">
        <f t="shared" ref="BL32" si="291">EDATE(BK32,1)</f>
        <v>44832</v>
      </c>
      <c r="BM32" s="152">
        <f t="shared" ref="BM32" si="292">EDATE(BL32,1)</f>
        <v>44862</v>
      </c>
      <c r="BN32" s="152">
        <f t="shared" ref="BN32" si="293">EDATE(BM32,1)</f>
        <v>44893</v>
      </c>
      <c r="BO32" s="152">
        <f t="shared" ref="BO32" si="294">EDATE(BN32,1)</f>
        <v>44923</v>
      </c>
      <c r="BP32" s="152">
        <f t="shared" ref="BP32" si="295">EDATE(BO32,1)</f>
        <v>44954</v>
      </c>
      <c r="BQ32" s="152">
        <f t="shared" ref="BQ32" si="296">EDATE(BP32,1)</f>
        <v>44985</v>
      </c>
      <c r="BR32" s="152">
        <f t="shared" ref="BR32" si="297">EDATE(BQ32,1)</f>
        <v>45013</v>
      </c>
      <c r="BS32" s="152">
        <f t="shared" ref="BS32" si="298">EDATE(BR32,1)</f>
        <v>45044</v>
      </c>
      <c r="BT32" s="152">
        <f t="shared" ref="BT32" si="299">EDATE(BS32,1)</f>
        <v>45074</v>
      </c>
      <c r="BU32" s="152">
        <f t="shared" ref="BU32" si="300">EDATE(BT32,1)</f>
        <v>45105</v>
      </c>
      <c r="BV32" s="152">
        <f t="shared" ref="BV32" si="301">EDATE(BU32,1)</f>
        <v>45135</v>
      </c>
      <c r="BW32" s="152">
        <f t="shared" ref="BW32" si="302">EDATE(BV32,1)</f>
        <v>45166</v>
      </c>
      <c r="BX32" s="152">
        <f t="shared" ref="BX32" si="303">EDATE(BW32,1)</f>
        <v>45197</v>
      </c>
      <c r="BY32" s="152">
        <f t="shared" ref="BY32" si="304">EDATE(BX32,1)</f>
        <v>45227</v>
      </c>
      <c r="BZ32" s="152">
        <f t="shared" ref="BZ32" si="305">EDATE(BY32,1)</f>
        <v>45258</v>
      </c>
      <c r="CA32" s="152">
        <f t="shared" ref="CA32" si="306">EDATE(BZ32,1)</f>
        <v>45288</v>
      </c>
      <c r="CB32" s="152">
        <f t="shared" ref="CB32" si="307">EDATE(CA32,1)</f>
        <v>45319</v>
      </c>
      <c r="CC32" s="152">
        <f t="shared" ref="CC32" si="308">EDATE(CB32,1)</f>
        <v>45350</v>
      </c>
      <c r="CD32" s="152">
        <f t="shared" ref="CD32" si="309">EDATE(CC32,1)</f>
        <v>45379</v>
      </c>
      <c r="CE32" s="152">
        <f t="shared" ref="CE32" si="310">EDATE(CD32,1)</f>
        <v>45410</v>
      </c>
      <c r="CF32" s="152">
        <f t="shared" ref="CF32" si="311">EDATE(CE32,1)</f>
        <v>45440</v>
      </c>
      <c r="CG32" s="152">
        <f t="shared" ref="CG32" si="312">EDATE(CF32,1)</f>
        <v>45471</v>
      </c>
      <c r="CH32" s="152">
        <f t="shared" ref="CH32" si="313">EDATE(CG32,1)</f>
        <v>45501</v>
      </c>
      <c r="CI32" s="152">
        <f t="shared" ref="CI32" si="314">EDATE(CH32,1)</f>
        <v>45532</v>
      </c>
      <c r="CJ32" s="152">
        <f t="shared" ref="CJ32" si="315">EDATE(CI32,1)</f>
        <v>45563</v>
      </c>
      <c r="CK32" s="152">
        <f t="shared" ref="CK32" si="316">EDATE(CJ32,1)</f>
        <v>45593</v>
      </c>
      <c r="CL32" s="152">
        <f t="shared" ref="CL32" si="317">EDATE(CK32,1)</f>
        <v>45624</v>
      </c>
      <c r="CM32" s="152">
        <f t="shared" ref="CM32" si="318">EDATE(CL32,1)</f>
        <v>45654</v>
      </c>
      <c r="CN32" s="152">
        <f t="shared" ref="CN32" si="319">EDATE(CM32,1)</f>
        <v>45685</v>
      </c>
      <c r="CO32" s="152">
        <f t="shared" ref="CO32" si="320">EDATE(CN32,1)</f>
        <v>45716</v>
      </c>
      <c r="CP32" s="152">
        <f t="shared" ref="CP32" si="321">EDATE(CO32,1)</f>
        <v>45744</v>
      </c>
      <c r="CQ32" s="152">
        <f t="shared" ref="CQ32" si="322">EDATE(CP32,1)</f>
        <v>45775</v>
      </c>
      <c r="CR32" s="152">
        <f t="shared" ref="CR32" si="323">EDATE(CQ32,1)</f>
        <v>45805</v>
      </c>
      <c r="CS32" s="152">
        <f t="shared" ref="CS32" si="324">EDATE(CR32,1)</f>
        <v>45836</v>
      </c>
      <c r="CT32" s="152">
        <f t="shared" ref="CT32" si="325">EDATE(CS32,1)</f>
        <v>45866</v>
      </c>
      <c r="CU32" s="152">
        <f t="shared" ref="CU32" si="326">EDATE(CT32,1)</f>
        <v>45897</v>
      </c>
      <c r="CV32" s="152">
        <f t="shared" ref="CV32" si="327">EDATE(CU32,1)</f>
        <v>45928</v>
      </c>
      <c r="CW32" s="152">
        <f t="shared" ref="CW32" si="328">EDATE(CV32,1)</f>
        <v>45958</v>
      </c>
      <c r="CX32" s="152">
        <f t="shared" ref="CX32" si="329">EDATE(CW32,1)</f>
        <v>45989</v>
      </c>
      <c r="CY32" s="152">
        <f t="shared" ref="CY32" si="330">EDATE(CX32,1)</f>
        <v>46019</v>
      </c>
      <c r="CZ32" s="152">
        <f t="shared" ref="CZ32" si="331">EDATE(CY32,1)</f>
        <v>46050</v>
      </c>
      <c r="DA32" s="152">
        <f t="shared" ref="DA32" si="332">EDATE(CZ32,1)</f>
        <v>46081</v>
      </c>
      <c r="DB32" s="152">
        <f t="shared" ref="DB32" si="333">EDATE(DA32,1)</f>
        <v>46109</v>
      </c>
      <c r="DC32" s="152">
        <f t="shared" ref="DC32" si="334">EDATE(DB32,1)</f>
        <v>46140</v>
      </c>
      <c r="DD32" s="152">
        <f t="shared" ref="DD32" si="335">EDATE(DC32,1)</f>
        <v>46170</v>
      </c>
      <c r="DE32" s="152">
        <f t="shared" ref="DE32" si="336">EDATE(DD32,1)</f>
        <v>46201</v>
      </c>
      <c r="DF32" s="152">
        <f t="shared" ref="DF32" si="337">EDATE(DE32,1)</f>
        <v>46231</v>
      </c>
      <c r="DG32" s="152">
        <f t="shared" ref="DG32" si="338">EDATE(DF32,1)</f>
        <v>46262</v>
      </c>
      <c r="DH32" s="152">
        <f t="shared" ref="DH32" si="339">EDATE(DG32,1)</f>
        <v>46293</v>
      </c>
      <c r="DI32" s="152">
        <f t="shared" ref="DI32" si="340">EDATE(DH32,1)</f>
        <v>46323</v>
      </c>
      <c r="DJ32" s="152">
        <f t="shared" ref="DJ32" si="341">EDATE(DI32,1)</f>
        <v>46354</v>
      </c>
      <c r="DK32" s="152">
        <f t="shared" ref="DK32" si="342">EDATE(DJ32,1)</f>
        <v>46384</v>
      </c>
      <c r="DL32" s="152">
        <f t="shared" ref="DL32" si="343">EDATE(DK32,1)</f>
        <v>46415</v>
      </c>
      <c r="DM32" s="152">
        <f t="shared" ref="DM32" si="344">EDATE(DL32,1)</f>
        <v>46446</v>
      </c>
      <c r="DN32" s="152">
        <f t="shared" ref="DN32" si="345">EDATE(DM32,1)</f>
        <v>46474</v>
      </c>
      <c r="DO32" s="152">
        <f t="shared" ref="DO32" si="346">EDATE(DN32,1)</f>
        <v>46505</v>
      </c>
      <c r="DP32" s="152">
        <f t="shared" ref="DP32" si="347">EDATE(DO32,1)</f>
        <v>46535</v>
      </c>
      <c r="DQ32" s="152">
        <f t="shared" ref="DQ32" si="348">EDATE(DP32,1)</f>
        <v>46566</v>
      </c>
      <c r="DR32" s="152">
        <f t="shared" ref="DR32" si="349">EDATE(DQ32,1)</f>
        <v>46596</v>
      </c>
      <c r="DS32" s="152">
        <f t="shared" ref="DS32" si="350">EDATE(DR32,1)</f>
        <v>46627</v>
      </c>
    </row>
    <row r="33" spans="1:123" s="53" customFormat="1" ht="14.25" thickBot="1" x14ac:dyDescent="0.3">
      <c r="A33" s="111" t="s">
        <v>59</v>
      </c>
      <c r="B33" s="112">
        <v>7.0000000000000007E-2</v>
      </c>
      <c r="C33" s="112">
        <v>7.0000000000000007E-2</v>
      </c>
      <c r="D33" s="112">
        <v>7.0000000000000007E-2</v>
      </c>
      <c r="E33" s="112">
        <v>7.0000000000000007E-2</v>
      </c>
      <c r="F33" s="112">
        <v>7.0000000000000007E-2</v>
      </c>
      <c r="G33" s="112">
        <v>0.04</v>
      </c>
      <c r="H33" s="112">
        <v>0.04</v>
      </c>
      <c r="I33" s="112">
        <v>0.04</v>
      </c>
      <c r="J33" s="112">
        <v>0.04</v>
      </c>
      <c r="K33" s="112">
        <v>0.04</v>
      </c>
      <c r="L33" s="112">
        <v>0.04</v>
      </c>
      <c r="M33" s="112">
        <v>0.04</v>
      </c>
      <c r="N33" s="112">
        <v>0.04</v>
      </c>
      <c r="O33" s="112">
        <v>0.04</v>
      </c>
      <c r="P33" s="112">
        <v>0.04</v>
      </c>
      <c r="Q33" s="112">
        <v>0.04</v>
      </c>
      <c r="R33" s="112">
        <v>0.04</v>
      </c>
      <c r="S33" s="112">
        <v>0.04</v>
      </c>
      <c r="T33" s="112">
        <v>0.04</v>
      </c>
      <c r="U33" s="112">
        <v>0.04</v>
      </c>
      <c r="V33" s="112">
        <v>0.04</v>
      </c>
      <c r="W33" s="112">
        <v>0.04</v>
      </c>
      <c r="X33" s="112">
        <v>0.04</v>
      </c>
      <c r="Y33" s="112">
        <v>0.04</v>
      </c>
      <c r="Z33" s="112">
        <v>0.04</v>
      </c>
      <c r="AA33" s="112">
        <v>0.04</v>
      </c>
      <c r="AB33" s="112">
        <v>0.04</v>
      </c>
      <c r="AC33" s="112">
        <v>0.04</v>
      </c>
      <c r="AD33" s="112">
        <v>0.04</v>
      </c>
      <c r="AE33" s="112">
        <v>0.04</v>
      </c>
      <c r="AF33" s="112">
        <v>0.04</v>
      </c>
      <c r="AG33" s="112">
        <v>0.04</v>
      </c>
      <c r="AH33" s="112">
        <v>0.04</v>
      </c>
      <c r="AI33" s="112">
        <v>0.04</v>
      </c>
      <c r="AJ33" s="112">
        <v>0.04</v>
      </c>
      <c r="AK33" s="112">
        <v>0.04</v>
      </c>
      <c r="AL33" s="112">
        <v>0.04</v>
      </c>
      <c r="AM33" s="112">
        <v>0.04</v>
      </c>
      <c r="AN33" s="112">
        <v>0.04</v>
      </c>
      <c r="AO33" s="112">
        <v>0.04</v>
      </c>
      <c r="AP33" s="112">
        <v>0.04</v>
      </c>
      <c r="AQ33" s="112">
        <v>0.04</v>
      </c>
      <c r="AR33" s="112">
        <v>0.04</v>
      </c>
      <c r="AS33" s="112">
        <v>0.04</v>
      </c>
      <c r="AT33" s="112">
        <v>0.04</v>
      </c>
      <c r="AU33" s="112">
        <v>0.04</v>
      </c>
      <c r="AV33" s="112">
        <v>0.04</v>
      </c>
      <c r="AW33" s="112">
        <v>0.04</v>
      </c>
      <c r="AX33" s="112">
        <v>0.04</v>
      </c>
      <c r="AY33" s="112">
        <v>0.04</v>
      </c>
      <c r="AZ33" s="112">
        <v>0.04</v>
      </c>
      <c r="BA33" s="112">
        <v>0.04</v>
      </c>
      <c r="BB33" s="112">
        <v>0.04</v>
      </c>
      <c r="BC33" s="112">
        <v>0.04</v>
      </c>
      <c r="BD33" s="112">
        <v>0.04</v>
      </c>
      <c r="BE33" s="112">
        <v>0.04</v>
      </c>
      <c r="BF33" s="112">
        <v>0.04</v>
      </c>
      <c r="BG33" s="112">
        <v>0.04</v>
      </c>
      <c r="BH33" s="112">
        <v>0.04</v>
      </c>
      <c r="BI33" s="112">
        <v>0.04</v>
      </c>
      <c r="BJ33" s="112">
        <v>0.04</v>
      </c>
      <c r="BK33" s="112">
        <v>0.04</v>
      </c>
      <c r="BL33" s="112">
        <v>0.04</v>
      </c>
      <c r="BM33" s="112">
        <v>0.04</v>
      </c>
      <c r="BN33" s="112">
        <v>0.04</v>
      </c>
      <c r="BO33" s="112">
        <v>0.04</v>
      </c>
      <c r="BP33" s="112">
        <v>0.04</v>
      </c>
      <c r="BQ33" s="112">
        <v>0.04</v>
      </c>
      <c r="BR33" s="112">
        <v>0.04</v>
      </c>
      <c r="BS33" s="112">
        <v>0.04</v>
      </c>
      <c r="BT33" s="112">
        <v>0.04</v>
      </c>
      <c r="BU33" s="112">
        <v>0.04</v>
      </c>
      <c r="BV33" s="112">
        <v>0.04</v>
      </c>
      <c r="BW33" s="112">
        <v>0.04</v>
      </c>
      <c r="BX33" s="112">
        <v>0.04</v>
      </c>
      <c r="BY33" s="112">
        <v>0.04</v>
      </c>
      <c r="BZ33" s="112">
        <v>0.04</v>
      </c>
      <c r="CA33" s="112">
        <v>0.04</v>
      </c>
      <c r="CB33" s="112">
        <v>0.04</v>
      </c>
      <c r="CC33" s="112">
        <v>0.04</v>
      </c>
      <c r="CD33" s="112">
        <v>0.04</v>
      </c>
      <c r="CE33" s="112">
        <v>0.04</v>
      </c>
      <c r="CF33" s="112">
        <v>0.04</v>
      </c>
      <c r="CG33" s="112">
        <v>0.04</v>
      </c>
      <c r="CH33" s="112">
        <v>0.04</v>
      </c>
      <c r="CI33" s="112">
        <v>0.04</v>
      </c>
      <c r="CJ33" s="112">
        <v>0.04</v>
      </c>
      <c r="CK33" s="112">
        <v>0.04</v>
      </c>
      <c r="CL33" s="112">
        <v>0.04</v>
      </c>
      <c r="CM33" s="112">
        <v>0.04</v>
      </c>
      <c r="CN33" s="112">
        <v>0.04</v>
      </c>
      <c r="CO33" s="112">
        <v>0.04</v>
      </c>
      <c r="CP33" s="112">
        <v>0.04</v>
      </c>
      <c r="CQ33" s="112">
        <v>0.04</v>
      </c>
      <c r="CR33" s="112">
        <v>0.04</v>
      </c>
      <c r="CS33" s="112">
        <v>0.04</v>
      </c>
      <c r="CT33" s="112">
        <v>0.04</v>
      </c>
      <c r="CU33" s="112">
        <v>0.04</v>
      </c>
      <c r="CV33" s="112">
        <v>0.04</v>
      </c>
      <c r="CW33" s="112">
        <v>0.04</v>
      </c>
      <c r="CX33" s="112">
        <v>0.04</v>
      </c>
      <c r="CY33" s="112">
        <v>0.04</v>
      </c>
      <c r="CZ33" s="112">
        <v>0.04</v>
      </c>
      <c r="DA33" s="112">
        <v>0.04</v>
      </c>
      <c r="DB33" s="112">
        <v>0.04</v>
      </c>
      <c r="DC33" s="112">
        <v>0.04</v>
      </c>
      <c r="DD33" s="112">
        <v>0.04</v>
      </c>
      <c r="DE33" s="112">
        <v>0.04</v>
      </c>
      <c r="DF33" s="112">
        <v>0.04</v>
      </c>
      <c r="DG33" s="112">
        <v>0.04</v>
      </c>
      <c r="DH33" s="112">
        <v>0.04</v>
      </c>
      <c r="DI33" s="112">
        <v>0.04</v>
      </c>
      <c r="DJ33" s="112">
        <v>0.04</v>
      </c>
      <c r="DK33" s="112">
        <v>0.04</v>
      </c>
      <c r="DL33" s="112">
        <v>0.04</v>
      </c>
      <c r="DM33" s="112">
        <v>0.04</v>
      </c>
      <c r="DN33" s="112">
        <v>0.04</v>
      </c>
      <c r="DO33" s="112">
        <v>0.04</v>
      </c>
      <c r="DP33" s="112">
        <v>0.04</v>
      </c>
      <c r="DQ33" s="112">
        <v>0.04</v>
      </c>
      <c r="DR33" s="112">
        <v>0.04</v>
      </c>
      <c r="DS33" s="112">
        <v>0.04</v>
      </c>
    </row>
    <row r="34" spans="1:123" s="53" customFormat="1" ht="15" x14ac:dyDescent="0.3">
      <c r="A34" s="27" t="s">
        <v>14</v>
      </c>
      <c r="B34" s="28">
        <v>42948</v>
      </c>
      <c r="C34" s="28">
        <f>EDATE(B34,1)</f>
        <v>42979</v>
      </c>
      <c r="D34" s="28">
        <f t="shared" ref="D34" si="351">EDATE(C34,1)</f>
        <v>43009</v>
      </c>
      <c r="E34" s="28">
        <f t="shared" ref="E34" si="352">EDATE(D34,1)</f>
        <v>43040</v>
      </c>
      <c r="F34" s="28">
        <f t="shared" ref="F34" si="353">EDATE(E34,1)</f>
        <v>43070</v>
      </c>
      <c r="G34" s="28">
        <f t="shared" ref="G34" si="354">EDATE(F34,1)</f>
        <v>43101</v>
      </c>
      <c r="H34" s="28">
        <f t="shared" ref="H34" si="355">EDATE(G34,1)</f>
        <v>43132</v>
      </c>
      <c r="I34" s="28">
        <f t="shared" ref="I34" si="356">EDATE(H34,1)</f>
        <v>43160</v>
      </c>
      <c r="J34" s="28">
        <f t="shared" ref="J34" si="357">EDATE(I34,1)</f>
        <v>43191</v>
      </c>
      <c r="K34" s="28">
        <f t="shared" ref="K34" si="358">EDATE(J34,1)</f>
        <v>43221</v>
      </c>
      <c r="L34" s="28">
        <f t="shared" ref="L34" si="359">EDATE(K34,1)</f>
        <v>43252</v>
      </c>
      <c r="M34" s="28">
        <f t="shared" ref="M34" si="360">EDATE(L34,1)</f>
        <v>43282</v>
      </c>
      <c r="N34" s="28">
        <f t="shared" ref="N34" si="361">EDATE(M34,1)</f>
        <v>43313</v>
      </c>
      <c r="O34" s="28">
        <f t="shared" ref="O34" si="362">EDATE(N34,1)</f>
        <v>43344</v>
      </c>
      <c r="P34" s="28">
        <f t="shared" ref="P34" si="363">EDATE(O34,1)</f>
        <v>43374</v>
      </c>
      <c r="Q34" s="28">
        <f t="shared" ref="Q34" si="364">EDATE(P34,1)</f>
        <v>43405</v>
      </c>
      <c r="R34" s="28">
        <f t="shared" ref="R34" si="365">EDATE(Q34,1)</f>
        <v>43435</v>
      </c>
      <c r="S34" s="28">
        <f t="shared" ref="S34" si="366">EDATE(R34,1)</f>
        <v>43466</v>
      </c>
      <c r="T34" s="28">
        <f t="shared" ref="T34" si="367">EDATE(S34,1)</f>
        <v>43497</v>
      </c>
      <c r="U34" s="28">
        <f t="shared" ref="U34" si="368">EDATE(T34,1)</f>
        <v>43525</v>
      </c>
      <c r="V34" s="28">
        <f t="shared" ref="V34" si="369">EDATE(U34,1)</f>
        <v>43556</v>
      </c>
      <c r="W34" s="28">
        <f t="shared" ref="W34" si="370">EDATE(V34,1)</f>
        <v>43586</v>
      </c>
      <c r="X34" s="28">
        <f t="shared" ref="X34" si="371">EDATE(W34,1)</f>
        <v>43617</v>
      </c>
      <c r="Y34" s="28">
        <f t="shared" ref="Y34" si="372">EDATE(X34,1)</f>
        <v>43647</v>
      </c>
      <c r="Z34" s="28">
        <f t="shared" ref="Z34" si="373">EDATE(Y34,1)</f>
        <v>43678</v>
      </c>
      <c r="AA34" s="28">
        <f t="shared" ref="AA34" si="374">EDATE(Z34,1)</f>
        <v>43709</v>
      </c>
      <c r="AB34" s="28">
        <f t="shared" ref="AB34" si="375">EDATE(AA34,1)</f>
        <v>43739</v>
      </c>
      <c r="AC34" s="28">
        <f t="shared" ref="AC34" si="376">EDATE(AB34,1)</f>
        <v>43770</v>
      </c>
      <c r="AD34" s="28">
        <f t="shared" ref="AD34" si="377">EDATE(AC34,1)</f>
        <v>43800</v>
      </c>
      <c r="AE34" s="28">
        <f t="shared" ref="AE34" si="378">EDATE(AD34,1)</f>
        <v>43831</v>
      </c>
      <c r="AF34" s="28">
        <f t="shared" ref="AF34" si="379">EDATE(AE34,1)</f>
        <v>43862</v>
      </c>
      <c r="AG34" s="28">
        <f t="shared" ref="AG34" si="380">EDATE(AF34,1)</f>
        <v>43891</v>
      </c>
      <c r="AH34" s="28">
        <f t="shared" ref="AH34" si="381">EDATE(AG34,1)</f>
        <v>43922</v>
      </c>
      <c r="AI34" s="28">
        <f t="shared" ref="AI34" si="382">EDATE(AH34,1)</f>
        <v>43952</v>
      </c>
      <c r="AJ34" s="28">
        <f t="shared" ref="AJ34" si="383">EDATE(AI34,1)</f>
        <v>43983</v>
      </c>
      <c r="AK34" s="28">
        <f t="shared" ref="AK34" si="384">EDATE(AJ34,1)</f>
        <v>44013</v>
      </c>
      <c r="AL34" s="28">
        <f t="shared" ref="AL34" si="385">EDATE(AK34,1)</f>
        <v>44044</v>
      </c>
      <c r="AM34" s="28">
        <f t="shared" ref="AM34" si="386">EDATE(AL34,1)</f>
        <v>44075</v>
      </c>
      <c r="AN34" s="28">
        <f t="shared" ref="AN34" si="387">EDATE(AM34,1)</f>
        <v>44105</v>
      </c>
      <c r="AO34" s="28">
        <f t="shared" ref="AO34" si="388">EDATE(AN34,1)</f>
        <v>44136</v>
      </c>
      <c r="AP34" s="28">
        <f t="shared" ref="AP34" si="389">EDATE(AO34,1)</f>
        <v>44166</v>
      </c>
      <c r="AQ34" s="28">
        <f t="shared" ref="AQ34" si="390">EDATE(AP34,1)</f>
        <v>44197</v>
      </c>
      <c r="AR34" s="28">
        <f t="shared" ref="AR34" si="391">EDATE(AQ34,1)</f>
        <v>44228</v>
      </c>
      <c r="AS34" s="28">
        <f t="shared" ref="AS34" si="392">EDATE(AR34,1)</f>
        <v>44256</v>
      </c>
      <c r="AT34" s="28">
        <f t="shared" ref="AT34" si="393">EDATE(AS34,1)</f>
        <v>44287</v>
      </c>
      <c r="AU34" s="28">
        <f t="shared" ref="AU34" si="394">EDATE(AT34,1)</f>
        <v>44317</v>
      </c>
      <c r="AV34" s="28">
        <f t="shared" ref="AV34" si="395">EDATE(AU34,1)</f>
        <v>44348</v>
      </c>
      <c r="AW34" s="28">
        <f t="shared" ref="AW34" si="396">EDATE(AV34,1)</f>
        <v>44378</v>
      </c>
      <c r="AX34" s="28">
        <f t="shared" ref="AX34" si="397">EDATE(AW34,1)</f>
        <v>44409</v>
      </c>
      <c r="AY34" s="28">
        <f t="shared" ref="AY34" si="398">EDATE(AX34,1)</f>
        <v>44440</v>
      </c>
      <c r="AZ34" s="28">
        <f t="shared" ref="AZ34" si="399">EDATE(AY34,1)</f>
        <v>44470</v>
      </c>
      <c r="BA34" s="28">
        <f t="shared" ref="BA34" si="400">EDATE(AZ34,1)</f>
        <v>44501</v>
      </c>
      <c r="BB34" s="28">
        <f t="shared" ref="BB34" si="401">EDATE(BA34,1)</f>
        <v>44531</v>
      </c>
      <c r="BC34" s="28">
        <f t="shared" ref="BC34" si="402">EDATE(BB34,1)</f>
        <v>44562</v>
      </c>
      <c r="BD34" s="28">
        <f t="shared" ref="BD34" si="403">EDATE(BC34,1)</f>
        <v>44593</v>
      </c>
      <c r="BE34" s="28">
        <f t="shared" ref="BE34" si="404">EDATE(BD34,1)</f>
        <v>44621</v>
      </c>
      <c r="BF34" s="28">
        <f t="shared" ref="BF34" si="405">EDATE(BE34,1)</f>
        <v>44652</v>
      </c>
      <c r="BG34" s="28">
        <f t="shared" ref="BG34" si="406">EDATE(BF34,1)</f>
        <v>44682</v>
      </c>
      <c r="BH34" s="28">
        <f t="shared" ref="BH34" si="407">EDATE(BG34,1)</f>
        <v>44713</v>
      </c>
      <c r="BI34" s="28">
        <f t="shared" ref="BI34" si="408">EDATE(BH34,1)</f>
        <v>44743</v>
      </c>
      <c r="BJ34" s="28">
        <f t="shared" ref="BJ34" si="409">EDATE(BI34,1)</f>
        <v>44774</v>
      </c>
      <c r="BK34" s="28">
        <f t="shared" ref="BK34" si="410">EDATE(BJ34,1)</f>
        <v>44805</v>
      </c>
      <c r="BL34" s="28">
        <f t="shared" ref="BL34" si="411">EDATE(BK34,1)</f>
        <v>44835</v>
      </c>
      <c r="BM34" s="28">
        <f t="shared" ref="BM34" si="412">EDATE(BL34,1)</f>
        <v>44866</v>
      </c>
      <c r="BN34" s="28">
        <f t="shared" ref="BN34" si="413">EDATE(BM34,1)</f>
        <v>44896</v>
      </c>
      <c r="BO34" s="28">
        <f t="shared" ref="BO34" si="414">EDATE(BN34,1)</f>
        <v>44927</v>
      </c>
      <c r="BP34" s="28">
        <f t="shared" ref="BP34" si="415">EDATE(BO34,1)</f>
        <v>44958</v>
      </c>
      <c r="BQ34" s="28">
        <f t="shared" ref="BQ34" si="416">EDATE(BP34,1)</f>
        <v>44986</v>
      </c>
      <c r="BR34" s="28">
        <f t="shared" ref="BR34" si="417">EDATE(BQ34,1)</f>
        <v>45017</v>
      </c>
      <c r="BS34" s="28">
        <f t="shared" ref="BS34" si="418">EDATE(BR34,1)</f>
        <v>45047</v>
      </c>
      <c r="BT34" s="28">
        <f t="shared" ref="BT34" si="419">EDATE(BS34,1)</f>
        <v>45078</v>
      </c>
      <c r="BU34" s="28">
        <f t="shared" ref="BU34" si="420">EDATE(BT34,1)</f>
        <v>45108</v>
      </c>
      <c r="BV34" s="28">
        <f t="shared" ref="BV34" si="421">EDATE(BU34,1)</f>
        <v>45139</v>
      </c>
      <c r="BW34" s="28">
        <f t="shared" ref="BW34" si="422">EDATE(BV34,1)</f>
        <v>45170</v>
      </c>
      <c r="BX34" s="28">
        <f t="shared" ref="BX34" si="423">EDATE(BW34,1)</f>
        <v>45200</v>
      </c>
      <c r="BY34" s="28">
        <f t="shared" ref="BY34" si="424">EDATE(BX34,1)</f>
        <v>45231</v>
      </c>
      <c r="BZ34" s="28">
        <f t="shared" ref="BZ34" si="425">EDATE(BY34,1)</f>
        <v>45261</v>
      </c>
      <c r="CA34" s="28">
        <f t="shared" ref="CA34" si="426">EDATE(BZ34,1)</f>
        <v>45292</v>
      </c>
      <c r="CB34" s="28">
        <f t="shared" ref="CB34" si="427">EDATE(CA34,1)</f>
        <v>45323</v>
      </c>
      <c r="CC34" s="28">
        <f t="shared" ref="CC34" si="428">EDATE(CB34,1)</f>
        <v>45352</v>
      </c>
      <c r="CD34" s="28">
        <f t="shared" ref="CD34" si="429">EDATE(CC34,1)</f>
        <v>45383</v>
      </c>
      <c r="CE34" s="28">
        <f t="shared" ref="CE34" si="430">EDATE(CD34,1)</f>
        <v>45413</v>
      </c>
      <c r="CF34" s="28">
        <f t="shared" ref="CF34" si="431">EDATE(CE34,1)</f>
        <v>45444</v>
      </c>
      <c r="CG34" s="28">
        <f t="shared" ref="CG34" si="432">EDATE(CF34,1)</f>
        <v>45474</v>
      </c>
      <c r="CH34" s="28">
        <f t="shared" ref="CH34" si="433">EDATE(CG34,1)</f>
        <v>45505</v>
      </c>
      <c r="CI34" s="28">
        <f t="shared" ref="CI34" si="434">EDATE(CH34,1)</f>
        <v>45536</v>
      </c>
      <c r="CJ34" s="28">
        <f t="shared" ref="CJ34" si="435">EDATE(CI34,1)</f>
        <v>45566</v>
      </c>
      <c r="CK34" s="28">
        <f t="shared" ref="CK34" si="436">EDATE(CJ34,1)</f>
        <v>45597</v>
      </c>
      <c r="CL34" s="28">
        <f t="shared" ref="CL34" si="437">EDATE(CK34,1)</f>
        <v>45627</v>
      </c>
      <c r="CM34" s="28">
        <f t="shared" ref="CM34" si="438">EDATE(CL34,1)</f>
        <v>45658</v>
      </c>
      <c r="CN34" s="28">
        <f t="shared" ref="CN34" si="439">EDATE(CM34,1)</f>
        <v>45689</v>
      </c>
      <c r="CO34" s="28">
        <f t="shared" ref="CO34" si="440">EDATE(CN34,1)</f>
        <v>45717</v>
      </c>
      <c r="CP34" s="28">
        <f t="shared" ref="CP34" si="441">EDATE(CO34,1)</f>
        <v>45748</v>
      </c>
      <c r="CQ34" s="28">
        <f t="shared" ref="CQ34" si="442">EDATE(CP34,1)</f>
        <v>45778</v>
      </c>
      <c r="CR34" s="28">
        <f t="shared" ref="CR34" si="443">EDATE(CQ34,1)</f>
        <v>45809</v>
      </c>
      <c r="CS34" s="28">
        <f t="shared" ref="CS34" si="444">EDATE(CR34,1)</f>
        <v>45839</v>
      </c>
      <c r="CT34" s="28">
        <f t="shared" ref="CT34" si="445">EDATE(CS34,1)</f>
        <v>45870</v>
      </c>
      <c r="CU34" s="28">
        <f t="shared" ref="CU34" si="446">EDATE(CT34,1)</f>
        <v>45901</v>
      </c>
      <c r="CV34" s="28">
        <f t="shared" ref="CV34" si="447">EDATE(CU34,1)</f>
        <v>45931</v>
      </c>
      <c r="CW34" s="28">
        <f t="shared" ref="CW34" si="448">EDATE(CV34,1)</f>
        <v>45962</v>
      </c>
      <c r="CX34" s="28">
        <f t="shared" ref="CX34" si="449">EDATE(CW34,1)</f>
        <v>45992</v>
      </c>
      <c r="CY34" s="28">
        <f t="shared" ref="CY34" si="450">EDATE(CX34,1)</f>
        <v>46023</v>
      </c>
      <c r="CZ34" s="28">
        <f t="shared" ref="CZ34" si="451">EDATE(CY34,1)</f>
        <v>46054</v>
      </c>
      <c r="DA34" s="28">
        <f t="shared" ref="DA34" si="452">EDATE(CZ34,1)</f>
        <v>46082</v>
      </c>
      <c r="DB34" s="28">
        <f t="shared" ref="DB34" si="453">EDATE(DA34,1)</f>
        <v>46113</v>
      </c>
      <c r="DC34" s="28">
        <f t="shared" ref="DC34" si="454">EDATE(DB34,1)</f>
        <v>46143</v>
      </c>
      <c r="DD34" s="28">
        <f t="shared" ref="DD34" si="455">EDATE(DC34,1)</f>
        <v>46174</v>
      </c>
      <c r="DE34" s="28">
        <f t="shared" ref="DE34" si="456">EDATE(DD34,1)</f>
        <v>46204</v>
      </c>
      <c r="DF34" s="28">
        <f t="shared" ref="DF34" si="457">EDATE(DE34,1)</f>
        <v>46235</v>
      </c>
      <c r="DG34" s="28">
        <f t="shared" ref="DG34" si="458">EDATE(DF34,1)</f>
        <v>46266</v>
      </c>
      <c r="DH34" s="28">
        <f t="shared" ref="DH34" si="459">EDATE(DG34,1)</f>
        <v>46296</v>
      </c>
      <c r="DI34" s="28">
        <f t="shared" ref="DI34" si="460">EDATE(DH34,1)</f>
        <v>46327</v>
      </c>
      <c r="DJ34" s="28">
        <f t="shared" ref="DJ34" si="461">EDATE(DI34,1)</f>
        <v>46357</v>
      </c>
      <c r="DK34" s="28">
        <f t="shared" ref="DK34" si="462">EDATE(DJ34,1)</f>
        <v>46388</v>
      </c>
      <c r="DL34" s="28">
        <f t="shared" ref="DL34" si="463">EDATE(DK34,1)</f>
        <v>46419</v>
      </c>
      <c r="DM34" s="28">
        <f t="shared" ref="DM34" si="464">EDATE(DL34,1)</f>
        <v>46447</v>
      </c>
      <c r="DN34" s="28">
        <f t="shared" ref="DN34" si="465">EDATE(DM34,1)</f>
        <v>46478</v>
      </c>
      <c r="DO34" s="28">
        <f t="shared" ref="DO34" si="466">EDATE(DN34,1)</f>
        <v>46508</v>
      </c>
      <c r="DP34" s="28">
        <f t="shared" ref="DP34" si="467">EDATE(DO34,1)</f>
        <v>46539</v>
      </c>
      <c r="DQ34" s="28">
        <f t="shared" ref="DQ34" si="468">EDATE(DP34,1)</f>
        <v>46569</v>
      </c>
      <c r="DR34" s="28"/>
      <c r="DS34" s="28"/>
    </row>
    <row r="35" spans="1:123" s="53" customFormat="1" x14ac:dyDescent="0.25">
      <c r="A35" s="22" t="s">
        <v>5</v>
      </c>
      <c r="B35" s="162">
        <f>C16</f>
        <v>123820000</v>
      </c>
      <c r="C35" s="163">
        <f>B41+F27</f>
        <v>123820000</v>
      </c>
      <c r="D35" s="163">
        <f>C41</f>
        <v>123820000</v>
      </c>
      <c r="E35" s="163">
        <f t="shared" ref="E35" si="469">D41</f>
        <v>123820000</v>
      </c>
      <c r="F35" s="163">
        <f>E41</f>
        <v>123820000</v>
      </c>
      <c r="G35" s="163">
        <f t="shared" ref="G35" si="470">F41</f>
        <v>123820000</v>
      </c>
      <c r="H35" s="163">
        <f t="shared" ref="H35" si="471">G41</f>
        <v>123820000</v>
      </c>
      <c r="I35" s="163">
        <f t="shared" ref="I35" si="472">H41</f>
        <v>123820000</v>
      </c>
      <c r="J35" s="163">
        <f t="shared" ref="J35" si="473">I41</f>
        <v>123820000</v>
      </c>
      <c r="K35" s="163">
        <f>J41</f>
        <v>123820000</v>
      </c>
      <c r="L35" s="163">
        <f t="shared" ref="L35" si="474">K41</f>
        <v>123820000</v>
      </c>
      <c r="M35" s="163">
        <f t="shared" ref="M35" si="475">L41</f>
        <v>123820000</v>
      </c>
      <c r="N35" s="163">
        <f t="shared" ref="N35" si="476">M41</f>
        <v>123820000</v>
      </c>
      <c r="O35" s="163">
        <f t="shared" ref="O35" si="477">N41</f>
        <v>123820000</v>
      </c>
      <c r="P35" s="163">
        <f t="shared" ref="P35" si="478">O41</f>
        <v>123820000</v>
      </c>
      <c r="Q35" s="163">
        <f t="shared" ref="Q35" si="479">P41</f>
        <v>123820000</v>
      </c>
      <c r="R35" s="163">
        <f t="shared" ref="R35" si="480">Q41</f>
        <v>123820000</v>
      </c>
      <c r="S35" s="163">
        <f t="shared" ref="S35" si="481">R41</f>
        <v>123820000</v>
      </c>
      <c r="T35" s="163">
        <f t="shared" ref="T35" si="482">S41</f>
        <v>123820000</v>
      </c>
      <c r="U35" s="163">
        <f t="shared" ref="U35" si="483">T41</f>
        <v>123820000</v>
      </c>
      <c r="V35" s="163">
        <f t="shared" ref="V35" si="484">U41</f>
        <v>123820000</v>
      </c>
      <c r="W35" s="163">
        <f t="shared" ref="W35" si="485">V41</f>
        <v>123820000</v>
      </c>
      <c r="X35" s="163">
        <f t="shared" ref="X35" si="486">W41</f>
        <v>123820000</v>
      </c>
      <c r="Y35" s="163">
        <f t="shared" ref="Y35" si="487">X41</f>
        <v>123820000</v>
      </c>
      <c r="Z35" s="163">
        <f t="shared" ref="Z35" si="488">Y41</f>
        <v>123820000</v>
      </c>
      <c r="AA35" s="163">
        <f t="shared" ref="AA35" si="489">Z41</f>
        <v>123820000</v>
      </c>
      <c r="AB35" s="163">
        <f t="shared" ref="AB35" si="490">AA41</f>
        <v>123820000</v>
      </c>
      <c r="AC35" s="163">
        <f t="shared" ref="AC35" si="491">AB41</f>
        <v>119950625</v>
      </c>
      <c r="AD35" s="163">
        <f t="shared" ref="AD35" si="492">AC41</f>
        <v>119950625</v>
      </c>
      <c r="AE35" s="163">
        <f t="shared" ref="AE35" si="493">AD41</f>
        <v>119950625</v>
      </c>
      <c r="AF35" s="25">
        <f t="shared" ref="AF35" si="494">AE41</f>
        <v>116081250</v>
      </c>
      <c r="AG35" s="25">
        <f t="shared" ref="AG35" si="495">AF41</f>
        <v>114973135.67909858</v>
      </c>
      <c r="AH35" s="25">
        <f t="shared" ref="AH35" si="496">AG41</f>
        <v>113861327.64379415</v>
      </c>
      <c r="AI35" s="25">
        <f t="shared" ref="AI35" si="497">AH41</f>
        <v>112745813.58170538</v>
      </c>
      <c r="AJ35" s="25">
        <f t="shared" ref="AJ35" si="498">AI41</f>
        <v>111626581.13940963</v>
      </c>
      <c r="AK35" s="25">
        <f t="shared" ref="AK35" si="499">AJ41</f>
        <v>110503617.92230624</v>
      </c>
      <c r="AL35" s="25">
        <f t="shared" ref="AL35" si="500">AK41</f>
        <v>109376911.49447916</v>
      </c>
      <c r="AM35" s="25">
        <f>AL41</f>
        <v>108246449.37855934</v>
      </c>
      <c r="AN35" s="25">
        <f t="shared" ref="AN35" si="501">AM41</f>
        <v>107112219.05558644</v>
      </c>
      <c r="AO35" s="25">
        <f t="shared" ref="AO35" si="502">AN41</f>
        <v>105974207.9648703</v>
      </c>
      <c r="AP35" s="25">
        <f t="shared" ref="AP35" si="503">AO41</f>
        <v>104832403.50385177</v>
      </c>
      <c r="AQ35" s="25">
        <f>AP41</f>
        <v>103686793.02796319</v>
      </c>
      <c r="AR35" s="25">
        <f t="shared" ref="AR35" si="504">AQ41</f>
        <v>102537363.85048831</v>
      </c>
      <c r="AS35" s="25">
        <f t="shared" ref="AS35" si="505">AR41</f>
        <v>101384103.24242184</v>
      </c>
      <c r="AT35" s="25">
        <f t="shared" ref="AT35" si="506">AS41</f>
        <v>100226998.43232848</v>
      </c>
      <c r="AU35" s="25">
        <f t="shared" ref="AU35" si="507">AT41</f>
        <v>99066036.606201485</v>
      </c>
      <c r="AV35" s="25">
        <f t="shared" ref="AV35" si="508">AU41</f>
        <v>97901204.907320723</v>
      </c>
      <c r="AW35" s="25">
        <f t="shared" ref="AW35" si="509">AV41</f>
        <v>96732490.436110362</v>
      </c>
      <c r="AX35" s="25">
        <f t="shared" ref="AX35" si="510">AW41</f>
        <v>95559880.249995977</v>
      </c>
      <c r="AY35" s="25">
        <f t="shared" ref="AY35" si="511">AX41</f>
        <v>94383361.363261208</v>
      </c>
      <c r="AZ35" s="25">
        <f t="shared" ref="AZ35" si="512">AY41</f>
        <v>93202920.746903986</v>
      </c>
      <c r="BA35" s="25">
        <f t="shared" ref="BA35" si="513">AZ41</f>
        <v>92018545.328492239</v>
      </c>
      <c r="BB35" s="25">
        <f t="shared" ref="BB35" si="514">BA41</f>
        <v>90830221.992019117</v>
      </c>
      <c r="BC35" s="25">
        <f t="shared" ref="BC35" si="515">BB41</f>
        <v>89637937.577757761</v>
      </c>
      <c r="BD35" s="25">
        <f t="shared" ref="BD35" si="516">BC41</f>
        <v>88441678.882115528</v>
      </c>
      <c r="BE35" s="25">
        <f t="shared" ref="BE35" si="517">BD41</f>
        <v>87241432.657487825</v>
      </c>
      <c r="BF35" s="25">
        <f t="shared" ref="BF35" si="518">BE41</f>
        <v>86037185.61211136</v>
      </c>
      <c r="BG35" s="25">
        <f t="shared" ref="BG35" si="519">BF41</f>
        <v>84828924.409916967</v>
      </c>
      <c r="BH35" s="25">
        <f t="shared" ref="BH35" si="520">BG41</f>
        <v>83616635.670381933</v>
      </c>
      <c r="BI35" s="25">
        <f t="shared" ref="BI35" si="521">BH41</f>
        <v>82400305.968381777</v>
      </c>
      <c r="BJ35" s="25">
        <f t="shared" ref="BJ35" si="522">BI41</f>
        <v>81179921.834041625</v>
      </c>
      <c r="BK35" s="25">
        <f t="shared" ref="BK35" si="523">BJ41</f>
        <v>79955469.752587005</v>
      </c>
      <c r="BL35" s="25">
        <f t="shared" ref="BL35" si="524">BK41</f>
        <v>78726936.164194196</v>
      </c>
      <c r="BM35" s="25">
        <f t="shared" ref="BM35" si="525">BL41</f>
        <v>77494307.463840082</v>
      </c>
      <c r="BN35" s="25">
        <f t="shared" ref="BN35" si="526">BM41</f>
        <v>76257570.001151457</v>
      </c>
      <c r="BO35" s="25">
        <f t="shared" ref="BO35" si="527">BN41</f>
        <v>75016710.080253869</v>
      </c>
      <c r="BP35" s="25">
        <f t="shared" ref="BP35" si="528">BO41</f>
        <v>73771713.959619954</v>
      </c>
      <c r="BQ35" s="25">
        <f t="shared" ref="BQ35" si="529">BP41</f>
        <v>72522567.851917267</v>
      </c>
      <c r="BR35" s="25">
        <f t="shared" ref="BR35" si="530">BQ41</f>
        <v>71269257.923855558</v>
      </c>
      <c r="BS35" s="25">
        <f t="shared" ref="BS35" si="531">BR41</f>
        <v>70011770.296033651</v>
      </c>
      <c r="BT35" s="25">
        <f t="shared" ref="BT35" si="532">BS41</f>
        <v>68750091.042785674</v>
      </c>
      <c r="BU35" s="25">
        <f t="shared" ref="BU35" si="533">BT41</f>
        <v>67484206.192026868</v>
      </c>
      <c r="BV35" s="25">
        <f t="shared" ref="BV35" si="534">BU41</f>
        <v>66214101.725098863</v>
      </c>
      <c r="BW35" s="25">
        <f t="shared" ref="BW35" si="535">BV41</f>
        <v>64939763.576614432</v>
      </c>
      <c r="BX35" s="25">
        <f t="shared" ref="BX35" si="536">BW41</f>
        <v>63661177.634301722</v>
      </c>
      <c r="BY35" s="25">
        <f t="shared" ref="BY35" si="537">BX41</f>
        <v>62378329.738847971</v>
      </c>
      <c r="BZ35" s="25">
        <f t="shared" ref="BZ35" si="538">BY41</f>
        <v>61091205.683742702</v>
      </c>
      <c r="CA35" s="25">
        <f t="shared" ref="CA35" si="539">BZ41</f>
        <v>59799791.21512042</v>
      </c>
      <c r="CB35" s="25">
        <f t="shared" ref="CB35" si="540">CA41</f>
        <v>58504072.031602725</v>
      </c>
      <c r="CC35" s="25">
        <f t="shared" ref="CC35" si="541">CB41</f>
        <v>57204033.784139976</v>
      </c>
      <c r="CD35" s="25">
        <f t="shared" ref="CD35" si="542">CC41</f>
        <v>55899662.075852349</v>
      </c>
      <c r="CE35" s="25">
        <f t="shared" ref="CE35" si="543">CD41</f>
        <v>54590942.461870432</v>
      </c>
      <c r="CF35" s="25">
        <f t="shared" ref="CF35" si="544">CE41</f>
        <v>53277860.449175239</v>
      </c>
      <c r="CG35" s="25">
        <f t="shared" ref="CG35" si="545">CF41</f>
        <v>51960401.496437728</v>
      </c>
      <c r="CH35" s="25">
        <f t="shared" ref="CH35" si="546">CG41</f>
        <v>50638551.01385776</v>
      </c>
      <c r="CI35" s="25">
        <f t="shared" ref="CI35" si="547">CH41</f>
        <v>49312294.363002524</v>
      </c>
      <c r="CJ35" s="25">
        <f t="shared" ref="CJ35" si="548">CI41</f>
        <v>47981616.856644437</v>
      </c>
      <c r="CK35" s="25">
        <f t="shared" ref="CK35" si="549">CJ41</f>
        <v>46646503.758598492</v>
      </c>
      <c r="CL35" s="25">
        <f t="shared" ref="CL35" si="550">CK41</f>
        <v>45306940.283559062</v>
      </c>
      <c r="CM35" s="25">
        <f t="shared" ref="CM35" si="551">CL41</f>
        <v>43962911.596936166</v>
      </c>
      <c r="CN35" s="25">
        <f t="shared" ref="CN35" si="552">CM41</f>
        <v>42614402.814691193</v>
      </c>
      <c r="CO35" s="25">
        <f t="shared" ref="CO35" si="553">CN41</f>
        <v>41261399.00317207</v>
      </c>
      <c r="CP35" s="25">
        <f t="shared" ref="CP35" si="554">CO41</f>
        <v>39903885.178947881</v>
      </c>
      <c r="CQ35" s="25">
        <f t="shared" ref="CQ35" si="555">CP41</f>
        <v>38541846.308642946</v>
      </c>
      <c r="CR35" s="25">
        <f t="shared" ref="CR35" si="556">CQ41</f>
        <v>37175267.308770329</v>
      </c>
      <c r="CS35" s="25">
        <f t="shared" ref="CS35" si="557">CR41</f>
        <v>35804133.045564801</v>
      </c>
      <c r="CT35" s="25">
        <f t="shared" ref="CT35" si="558">CS41</f>
        <v>34428428.334815256</v>
      </c>
      <c r="CU35" s="25">
        <f t="shared" ref="CU35" si="559">CT41</f>
        <v>33048137.941696547</v>
      </c>
      <c r="CV35" s="25">
        <f t="shared" ref="CV35" si="560">CU41</f>
        <v>31663246.580600776</v>
      </c>
      <c r="CW35" s="25">
        <f t="shared" ref="CW35" si="561">CV41</f>
        <v>30273738.914968017</v>
      </c>
      <c r="CX35" s="25">
        <f t="shared" ref="CX35" si="562">CW41</f>
        <v>28879599.557116486</v>
      </c>
      <c r="CY35" s="25">
        <f t="shared" ref="CY35" si="563">CX41</f>
        <v>27480813.068072114</v>
      </c>
      <c r="CZ35" s="25">
        <f t="shared" ref="CZ35" si="564">CY41</f>
        <v>26077363.957397595</v>
      </c>
      <c r="DA35" s="25">
        <f t="shared" ref="DA35" si="565">CZ41</f>
        <v>24669236.683020826</v>
      </c>
      <c r="DB35" s="25">
        <f t="shared" ref="DB35" si="566">DA41</f>
        <v>23256415.651062801</v>
      </c>
      <c r="DC35" s="25">
        <f t="shared" ref="DC35" si="567">DB41</f>
        <v>21838885.215664919</v>
      </c>
      <c r="DD35" s="25">
        <f t="shared" ref="DD35" si="568">DC41</f>
        <v>20416629.678815711</v>
      </c>
      <c r="DE35" s="25">
        <f t="shared" ref="DE35" si="569">DD41</f>
        <v>18989633.290177003</v>
      </c>
      <c r="DF35" s="25">
        <f t="shared" ref="DF35" si="570">DE41</f>
        <v>17557880.246909499</v>
      </c>
      <c r="DG35" s="25">
        <f t="shared" ref="DG35" si="571">DF41</f>
        <v>16121354.693497771</v>
      </c>
      <c r="DH35" s="25">
        <f t="shared" ref="DH35" si="572">DG41</f>
        <v>14680040.721574672</v>
      </c>
      <c r="DI35" s="25">
        <f t="shared" ref="DI35" si="573">DH41</f>
        <v>13233922.369745161</v>
      </c>
      <c r="DJ35" s="25">
        <f t="shared" ref="DJ35" si="574">DI41</f>
        <v>11782983.623409552</v>
      </c>
      <c r="DK35" s="25">
        <f t="shared" ref="DK35" si="575">DJ41</f>
        <v>10327208.414586158</v>
      </c>
      <c r="DL35" s="25">
        <f t="shared" ref="DL35" si="576">DK41</f>
        <v>8866580.6217333525</v>
      </c>
      <c r="DM35" s="25">
        <f t="shared" ref="DM35" si="577">DL41</f>
        <v>7401084.0695710378</v>
      </c>
      <c r="DN35" s="25">
        <f t="shared" ref="DN35" si="578">DM41</f>
        <v>5930702.5289015155</v>
      </c>
      <c r="DO35" s="25">
        <f t="shared" ref="DO35" si="579">DN41</f>
        <v>4455419.7164297607</v>
      </c>
      <c r="DP35" s="25">
        <f t="shared" ref="DP35" si="580">DO41</f>
        <v>2975219.2945831008</v>
      </c>
      <c r="DQ35" s="25">
        <f t="shared" ref="DQ35" si="581">DP41</f>
        <v>1490084.8713302852</v>
      </c>
      <c r="DR35" s="25"/>
      <c r="DS35" s="25"/>
    </row>
    <row r="36" spans="1:123" s="53" customFormat="1" x14ac:dyDescent="0.25">
      <c r="A36" s="22" t="s">
        <v>6</v>
      </c>
      <c r="B36" s="163">
        <f>B35*(B34-C15)*B33/360</f>
        <v>312989.4444444445</v>
      </c>
      <c r="C36" s="163">
        <f>C35*(C34-B34)*C33/360</f>
        <v>746359.4444444445</v>
      </c>
      <c r="D36" s="163">
        <f t="shared" ref="D36:L36" si="582">D35*(D34-C34)*D33/360</f>
        <v>722283.33333333337</v>
      </c>
      <c r="E36" s="163">
        <f>E35*(E34-D34)*E33/360</f>
        <v>746359.4444444445</v>
      </c>
      <c r="F36" s="163">
        <f>F35*(F34-E34)*F33/360</f>
        <v>722283.33333333337</v>
      </c>
      <c r="G36" s="163">
        <f>G35*(MCML_Loan!$C$26-F34)*F33/360+G41*(G34-MCML_Loan!$C$26)*G33/360</f>
        <v>560629.4444444445</v>
      </c>
      <c r="H36" s="163">
        <f t="shared" si="582"/>
        <v>426491.11111111112</v>
      </c>
      <c r="I36" s="163">
        <f t="shared" si="582"/>
        <v>385217.77777777775</v>
      </c>
      <c r="J36" s="163">
        <f t="shared" si="582"/>
        <v>426491.11111111112</v>
      </c>
      <c r="K36" s="163">
        <f t="shared" si="582"/>
        <v>412733.33333333331</v>
      </c>
      <c r="L36" s="163">
        <f t="shared" si="582"/>
        <v>426491.11111111112</v>
      </c>
      <c r="M36" s="163">
        <f t="shared" ref="M36" si="583">M35*(M34-L34)*M33/360</f>
        <v>412733.33333333331</v>
      </c>
      <c r="N36" s="163">
        <f t="shared" ref="N36" si="584">N35*(N34-M34)*N33/360</f>
        <v>426491.11111111112</v>
      </c>
      <c r="O36" s="163">
        <f t="shared" ref="O36" si="585">O35*(O34-N34)*O33/360</f>
        <v>426491.11111111112</v>
      </c>
      <c r="P36" s="163">
        <f t="shared" ref="P36" si="586">P35*(P34-O34)*P33/360</f>
        <v>412733.33333333331</v>
      </c>
      <c r="Q36" s="163">
        <f t="shared" ref="Q36" si="587">Q35*(Q34-P34)*Q33/360</f>
        <v>426491.11111111112</v>
      </c>
      <c r="R36" s="163">
        <f t="shared" ref="R36" si="588">R35*(R34-Q34)*R33/360</f>
        <v>412733.33333333331</v>
      </c>
      <c r="S36" s="163">
        <f t="shared" ref="S36" si="589">S35*(S34-R34)*S33/360</f>
        <v>426491.11111111112</v>
      </c>
      <c r="T36" s="163">
        <f t="shared" ref="T36" si="590">T35*(T34-S34)*T33/360</f>
        <v>426491.11111111112</v>
      </c>
      <c r="U36" s="163">
        <f t="shared" ref="U36" si="591">U35*(U34-T34)*U33/360</f>
        <v>385217.77777777775</v>
      </c>
      <c r="V36" s="163">
        <f t="shared" ref="V36" si="592">V35*(V34-U34)*V33/360</f>
        <v>426491.11111111112</v>
      </c>
      <c r="W36" s="163">
        <f t="shared" ref="W36" si="593">W35*(W34-V34)*W33/360</f>
        <v>412733.33333333331</v>
      </c>
      <c r="X36" s="163">
        <f t="shared" ref="X36" si="594">X35*(X34-W34)*X33/360</f>
        <v>426491.11111111112</v>
      </c>
      <c r="Y36" s="163">
        <f t="shared" ref="Y36" si="595">Y35*(Y34-X34)*Y33/360</f>
        <v>412733.33333333331</v>
      </c>
      <c r="Z36" s="163">
        <f t="shared" ref="Z36" si="596">Z35*(Z34-Y34)*Z33/360</f>
        <v>426491.11111111112</v>
      </c>
      <c r="AA36" s="163">
        <f>AA35*(AA34-Z34)*AA33/360</f>
        <v>426491.11111111112</v>
      </c>
      <c r="AB36" s="163">
        <f>AB35*(MCML_Loan!$J$26-AA34)*AA33/360+AB41*(AB34-MCML_Loan!$J$26)*AB33/360</f>
        <v>405854.44444444444</v>
      </c>
      <c r="AC36" s="163">
        <f>AC35*(AC34-AB34)*AC33/360</f>
        <v>413163.26388888888</v>
      </c>
      <c r="AD36" s="163">
        <f>AD35*(AD34-AC34)*AD33/360</f>
        <v>399835.41666666669</v>
      </c>
      <c r="AE36" s="163">
        <f>AE35*(MCML_Loan!$K$26-AD34)*AD33/360+AE41*(AE34-MCML_Loan!$K26)*AE33/360</f>
        <v>405854.4444444445</v>
      </c>
      <c r="AF36" s="25">
        <f>+AF35*(MCML_Loan!L39-'Accrual_MCML '!AE34)*'Accrual_MCML '!AE33/360+'Accrual_MCML '!AF41*('Accrual_MCML '!AF34-MCML_Loan!L39)*'Accrual_MCML '!AF33/360</f>
        <v>397742.31183829735</v>
      </c>
      <c r="AG36" s="25">
        <f>+AG35*(MCML_Loan!M39-'Accrual_MCML '!AF34)*'Accrual_MCML '!AF33/360+'Accrual_MCML '!AG41*('Accrual_MCML '!AG34-MCML_Loan!M39)*'Accrual_MCML '!AG33/360</f>
        <v>368368.91089929815</v>
      </c>
      <c r="AH36" s="25">
        <f>+AH35*(MCML_Loan!N39-'Accrual_MCML '!AG34)*'Accrual_MCML '!AG33/360+'Accrual_MCML '!AH41*('Accrual_MCML '!AH34-MCML_Loan!N39)*'Accrual_MCML '!AH33/360</f>
        <v>390081.93532245659</v>
      </c>
      <c r="AI36" s="25">
        <f>+AI35*(MCML_Loan!O39-'Accrual_MCML '!AH34)*'Accrual_MCML '!AH33/360+'Accrual_MCML '!AI41*('Accrual_MCML '!AI34-MCML_Loan!O39)*'Accrual_MCML '!AI33/360</f>
        <v>373829.63204160333</v>
      </c>
      <c r="AJ36" s="25">
        <f>+AJ35*(MCML_Loan!P39-'Accrual_MCML '!AI34)*'Accrual_MCML '!AI33/360+'Accrual_MCML '!AJ41*('Accrual_MCML '!AJ34-MCML_Loan!P39)*'Accrual_MCML '!AJ33/360</f>
        <v>382245.63082375977</v>
      </c>
      <c r="AK36" s="25">
        <f>+AK35*(MCML_Loan!Q39-'Accrual_MCML '!AJ34)*'Accrual_MCML '!AJ33/360+'Accrual_MCML '!AK41*('Accrual_MCML '!AK34-MCML_Loan!Q39)*'Accrual_MCML '!AK33/360</f>
        <v>366342.35942488379</v>
      </c>
      <c r="AL36" s="25">
        <f>+AL35*(MCML_Loan!R39-'Accrual_MCML '!AK34)*'Accrual_MCML '!AK33/360+'Accrual_MCML '!AL41*('Accrual_MCML '!AL34-MCML_Loan!R39)*'Accrual_MCML '!AL33/360</f>
        <v>374607.37781757966</v>
      </c>
      <c r="AM36" s="25">
        <f>+AM35*(MCML_Loan!S39-'Accrual_MCML '!AL34)*'Accrual_MCML '!AL33/360+'Accrual_MCML '!AM41*('Accrual_MCML '!AM34-MCML_Loan!S39)*'Accrual_MCML '!AM33/360</f>
        <v>370454.39495542826</v>
      </c>
      <c r="AN36" s="25">
        <f>+AN35*(MCML_Loan!T39-'Accrual_MCML '!AM34)*'Accrual_MCML '!AM33/360+'Accrual_MCML '!AN41*('Accrual_MCML '!AN34-MCML_Loan!T39)*'Accrual_MCML '!AN33/360</f>
        <v>355017.5993573484</v>
      </c>
      <c r="AO36" s="25">
        <f>+AO35*(MCML_Loan!U39-'Accrual_MCML '!AN34)*'Accrual_MCML '!AN33/360+'Accrual_MCML '!AO41*('Accrual_MCML '!AO34-MCML_Loan!U39)*'Accrual_MCML '!AO33/360</f>
        <v>362865.53011929605</v>
      </c>
      <c r="AP36" s="25">
        <f>+AP35*(MCML_Loan!V39-'Accrual_MCML '!AO34)*'Accrual_MCML '!AO33/360+'Accrual_MCML '!AP41*('Accrual_MCML '!AP34-MCML_Loan!V39)*'Accrual_MCML '!AP33/360</f>
        <v>347404.70416681515</v>
      </c>
      <c r="AQ36" s="25">
        <f>+AQ35*(MCML_Loan!W39-'Accrual_MCML '!AP34)*'Accrual_MCML '!AP33/360+'Accrual_MCML '!AQ41*('Accrual_MCML '!AQ34-MCML_Loan!W39)*'Accrual_MCML '!AQ33/360</f>
        <v>354972.25420553173</v>
      </c>
      <c r="AR36" s="25">
        <f>+AR35*(MCML_Loan!X39-'Accrual_MCML '!AQ34)*'Accrual_MCML '!AQ33/360+'Accrual_MCML '!AR41*('Accrual_MCML '!AR34-MCML_Loan!X39)*'Accrual_MCML '!AR33/360</f>
        <v>351005.87211422302</v>
      </c>
      <c r="AS36" s="25">
        <f>+AS35*(MCML_Loan!Y39-'Accrual_MCML '!AR34)*'Accrual_MCML '!AR33/360+'Accrual_MCML '!AS41*('Accrual_MCML '!AS34-MCML_Loan!Y39)*'Accrual_MCML '!AS33/360</f>
        <v>313617.26927183382</v>
      </c>
      <c r="AT36" s="25">
        <f>+AT35*(MCML_Loan!Z39-'Accrual_MCML '!AS34)*'Accrual_MCML '!AS33/360+'Accrual_MCML '!AT41*('Accrual_MCML '!AT34-MCML_Loan!Z39)*'Accrual_MCML '!AT33/360</f>
        <v>343033.40003978042</v>
      </c>
      <c r="AU36" s="25">
        <f>+AU35*(MCML_Loan!AA39-'Accrual_MCML '!AT34)*'Accrual_MCML '!AT33/360+'Accrual_MCML '!AU41*('Accrual_MCML '!AU34-MCML_Loan!AA39)*'Accrual_MCML '!AU33/360</f>
        <v>328149.31011155026</v>
      </c>
      <c r="AV36" s="25">
        <f>+AV35*(MCML_Loan!AB39-'Accrual_MCML '!AU34)*'Accrual_MCML '!AU33/360+'Accrual_MCML '!AV41*('Accrual_MCML '!AV34-MCML_Loan!AB39)*'Accrual_MCML '!AV33/360</f>
        <v>335007.68956848513</v>
      </c>
      <c r="AW36" s="25">
        <f>+AW35*(MCML_Loan!AC39-'Accrual_MCML '!AV34)*'Accrual_MCML '!AV33/360+'Accrual_MCML '!AW41*('Accrual_MCML '!AW34-MCML_Loan!AC39)*'Accrual_MCML '!AW33/360</f>
        <v>320356.99445616454</v>
      </c>
      <c r="AX36" s="25">
        <f>+AX35*(MCML_Loan!AD39-'Accrual_MCML '!AW34)*'Accrual_MCML '!AW33/360+'Accrual_MCML '!AX41*('Accrual_MCML '!AX34-MCML_Loan!AD39)*'Accrual_MCML '!AX33/360</f>
        <v>326928.38518615381</v>
      </c>
      <c r="AY36" s="25">
        <f>+AY35*(MCML_Loan!AE39-'Accrual_MCML '!AX34)*'Accrual_MCML '!AX33/360+'Accrual_MCML '!AY41*('Accrual_MCML '!AY34-MCML_Loan!AE39)*'Accrual_MCML '!AY33/360</f>
        <v>322868.52353144716</v>
      </c>
      <c r="AZ36" s="25">
        <f>+AZ35*(MCML_Loan!AF39-'Accrual_MCML '!AY34)*'Accrual_MCML '!AY33/360+'Accrual_MCML '!AZ41*('Accrual_MCML '!AZ34-MCML_Loan!AF39)*'Accrual_MCML '!AZ33/360</f>
        <v>308570.84619028133</v>
      </c>
      <c r="BA36" s="25">
        <f>+BA35*(MCML_Loan!AG39-'Accrual_MCML '!AZ34)*'Accrual_MCML '!AZ33/360+'Accrual_MCML '!BA41*('Accrual_MCML '!BA34-MCML_Loan!AG39)*'Accrual_MCML '!BA33/360</f>
        <v>314708.15649591293</v>
      </c>
      <c r="BB36" s="25">
        <f>+BB35*(MCML_Loan!AH39-'Accrual_MCML '!BA34)*'Accrual_MCML '!BA33/360+'Accrual_MCML '!BB41*('Accrual_MCML '!BB34-MCML_Loan!AH39)*'Accrual_MCML '!BB33/360</f>
        <v>300647.78990359907</v>
      </c>
      <c r="BC36" s="25">
        <f>+BC35*(MCML_Loan!AI39-'Accrual_MCML '!BB34)*'Accrual_MCML '!BB33/360+'Accrual_MCML '!BC41*('Accrual_MCML '!BC34-MCML_Loan!AI39)*'Accrual_MCML '!BC33/360</f>
        <v>306493.29634273029</v>
      </c>
      <c r="BD36" s="25">
        <f>+BD35*(MCML_Loan!AJ39-'Accrual_MCML '!BC34)*'Accrual_MCML '!BC33/360+'Accrual_MCML '!BD41*('Accrual_MCML '!BD34-MCML_Loan!AJ39)*'Accrual_MCML '!BD33/360</f>
        <v>302365.31772521231</v>
      </c>
      <c r="BE36" s="25">
        <f>+BE35*(MCML_Loan!AK39-'Accrual_MCML '!BD34)*'Accrual_MCML '!BD33/360+'Accrual_MCML '!BE41*('Accrual_MCML '!BE34-MCML_Loan!AK39)*'Accrual_MCML '!BE33/360</f>
        <v>269544.51730826538</v>
      </c>
      <c r="BF36" s="25">
        <f>+BF35*(MCML_Loan!AL39-'Accrual_MCML '!BE34)*'Accrual_MCML '!BE33/360+'Accrual_MCML '!BF41*('Accrual_MCML '!BF34-MCML_Loan!AL39)*'Accrual_MCML '!BF33/360</f>
        <v>294068.0348375719</v>
      </c>
      <c r="BG36" s="25">
        <f>+BG35*(MCML_Loan!AM39-'Accrual_MCML '!BF34)*'Accrual_MCML '!BF33/360+'Accrual_MCML '!BG41*('Accrual_MCML '!BG34-MCML_Loan!AM39)*'Accrual_MCML '!BG33/360</f>
        <v>280607.90138499427</v>
      </c>
      <c r="BH36" s="25">
        <f>+BH35*(MCML_Loan!AN39-'Accrual_MCML '!BG34)*'Accrual_MCML '!BG33/360+'Accrual_MCML '!BH41*('Accrual_MCML '!BH34-MCML_Loan!AN39)*'Accrual_MCML '!BH33/360</f>
        <v>285715.34453864861</v>
      </c>
      <c r="BI36" s="25">
        <f>+BI35*(MCML_Loan!AO39-'Accrual_MCML '!BH34)*'Accrual_MCML '!BH33/360+'Accrual_MCML '!BI41*('Accrual_MCML '!BI34-MCML_Loan!AO39)*'Accrual_MCML '!BI33/360</f>
        <v>272498.11476689012</v>
      </c>
      <c r="BJ36" s="25">
        <f>+BJ35*(MCML_Loan!AP39-'Accrual_MCML '!BI34)*'Accrual_MCML '!BI33/360+'Accrual_MCML '!BJ41*('Accrual_MCML '!BJ34-MCML_Loan!AP39)*'Accrual_MCML '!BJ33/360</f>
        <v>277306.87683006248</v>
      </c>
      <c r="BK36" s="25">
        <f>+BK35*(MCML_Loan!AQ39-'Accrual_MCML '!BJ34)*'Accrual_MCML '!BJ33/360+'Accrual_MCML '!BK41*('Accrual_MCML '!BK34-MCML_Loan!AQ39)*'Accrual_MCML '!BK33/360</f>
        <v>273081.61014750216</v>
      </c>
      <c r="BL36" s="25">
        <f>+BL35*(MCML_Loan!AR39-'Accrual_MCML '!BK34)*'Accrual_MCML '!BK33/360+'Accrual_MCML '!BL41*('Accrual_MCML '!BL34-MCML_Loan!AR39)*'Accrual_MCML '!BL33/360</f>
        <v>260231.78063557335</v>
      </c>
      <c r="BM36" s="25">
        <f>+BM35*(MCML_Loan!AS39-'Accrual_MCML '!BL34)*'Accrual_MCML '!BL33/360+'Accrual_MCML '!BM41*('Accrual_MCML '!BM34-MCML_Loan!AS39)*'Accrual_MCML '!BM33/360</f>
        <v>264588.77716814843</v>
      </c>
      <c r="BN36" s="25">
        <f>+BN35*(MCML_Loan!AT39-'Accrual_MCML '!BM34)*'Accrual_MCML '!BM33/360+'Accrual_MCML '!BN41*('Accrual_MCML '!BN34-MCML_Loan!AT39)*'Accrual_MCML '!BN33/360</f>
        <v>251985.92681113136</v>
      </c>
      <c r="BO36" s="25">
        <f>+BO35*(MCML_Loan!AU39-'Accrual_MCML '!BN34)*'Accrual_MCML '!BN33/360+'Accrual_MCML '!BO41*('Accrual_MCML '!BO34-MCML_Loan!AU39)*'Accrual_MCML '!BO33/360</f>
        <v>256039.23093745485</v>
      </c>
      <c r="BP36" s="25">
        <f>+BP35*(MCML_Loan!AV39-'Accrual_MCML '!BO34)*'Accrual_MCML '!BO33/360+'Accrual_MCML '!BP41*('Accrual_MCML '!BP34-MCML_Loan!AV39)*'Accrual_MCML '!BP33/360</f>
        <v>251743.07210191921</v>
      </c>
      <c r="BQ36" s="25">
        <f>+BQ35*(MCML_Loan!AW39-'Accrual_MCML '!BP34)*'Accrual_MCML '!BP33/360+'Accrual_MCML '!BQ41*('Accrual_MCML '!BQ34-MCML_Loan!AW39)*'Accrual_MCML '!BQ33/360</f>
        <v>223676.17342897996</v>
      </c>
      <c r="BR36" s="25">
        <f>+BR35*(MCML_Loan!AX39-'Accrual_MCML '!BQ34)*'Accrual_MCML '!BQ33/360+'Accrual_MCML '!BR41*('Accrual_MCML '!BR34-MCML_Loan!AX39)*'Accrual_MCML '!BR33/360</f>
        <v>243107.74510739441</v>
      </c>
      <c r="BS36" s="25">
        <f>+BS35*(MCML_Loan!AY39-'Accrual_MCML '!BR34)*'Accrual_MCML '!BR33/360+'Accrual_MCML '!BS41*('Accrual_MCML '!BS34-MCML_Loan!AY39)*'Accrual_MCML '!BS33/360</f>
        <v>231129.58231433801</v>
      </c>
      <c r="BT36" s="25">
        <f>+BT35*(MCML_Loan!AZ39-'Accrual_MCML '!BS34)*'Accrual_MCML '!BS33/360+'Accrual_MCML '!BT41*('Accrual_MCML '!BT34-MCML_Loan!AZ39)*'Accrual_MCML '!BT33/360</f>
        <v>234414.75331816182</v>
      </c>
      <c r="BU36" s="25">
        <f>+BU35*(MCML_Loan!BA39-'Accrual_MCML '!BT34)*'Accrual_MCML '!BT33/360+'Accrual_MCML '!BU41*('Accrual_MCML '!BU34-MCML_Loan!BA39)*'Accrual_MCML '!BU33/360</f>
        <v>222689.39047666203</v>
      </c>
      <c r="BV36" s="25">
        <f>+BV35*(MCML_Loan!BB39-'Accrual_MCML '!BU34)*'Accrual_MCML '!BU33/360+'Accrual_MCML '!BV41*('Accrual_MCML '!BV34-MCML_Loan!BB39)*'Accrual_MCML '!BV33/360</f>
        <v>225663.7116615366</v>
      </c>
      <c r="BW36" s="25">
        <f>+BW35*(MCML_Loan!BC39-'Accrual_MCML '!BV34)*'Accrual_MCML '!BV33/360+'Accrual_MCML '!BW41*('Accrual_MCML '!BW34-MCML_Loan!BC39)*'Accrual_MCML '!BW33/360</f>
        <v>221266.30109508126</v>
      </c>
      <c r="BX36" s="25">
        <f>+BX35*(MCML_Loan!BD39-'Accrual_MCML '!BW34)*'Accrual_MCML '!BW33/360+'Accrual_MCML '!BX41*('Accrual_MCML '!BX34-MCML_Loan!BD39)*'Accrual_MCML '!BX33/360</f>
        <v>209923.30696686576</v>
      </c>
      <c r="BY36" s="25">
        <f>+BY35*(MCML_Loan!BE39-'Accrual_MCML '!BX34)*'Accrual_MCML '!BX33/360+'Accrual_MCML '!BY41*('Accrual_MCML '!BY34-MCML_Loan!BE39)*'Accrual_MCML '!BY33/360</f>
        <v>212427.45699638862</v>
      </c>
      <c r="BZ36" s="25">
        <f>+BZ35*(MCML_Loan!BF39-'Accrual_MCML '!BY34)*'Accrual_MCML '!BY33/360+'Accrual_MCML '!BZ41*('Accrual_MCML '!BZ34-MCML_Loan!BF39)*'Accrual_MCML '!BZ33/360</f>
        <v>201341.50433492495</v>
      </c>
      <c r="CA36" s="25">
        <f>+CA35*(MCML_Loan!BG39-'Accrual_MCML '!BZ34)*'Accrual_MCML '!BZ33/360+'Accrual_MCML '!CA41*('Accrual_MCML '!CA34-MCML_Loan!BG39)*'Accrual_MCML '!CA33/360</f>
        <v>203529.58906099247</v>
      </c>
      <c r="CB36" s="25">
        <f>+CB35*(MCML_Loan!BH39-'Accrual_MCML '!CA34)*'Accrual_MCML '!CA33/360+'Accrual_MCML '!CB41*('Accrual_MCML '!CB34-MCML_Loan!BH39)*'Accrual_MCML '!CB33/360</f>
        <v>199058.39808586863</v>
      </c>
      <c r="CC36" s="25">
        <f>+CC35*(MCML_Loan!BI39-'Accrual_MCML '!CB34)*'Accrual_MCML '!CB33/360+'Accrual_MCML '!CC41*('Accrual_MCML '!CC34-MCML_Loan!BI39)*'Accrual_MCML '!CC33/360</f>
        <v>182150.15601286053</v>
      </c>
      <c r="CD36" s="25">
        <f>+CD35*(MCML_Loan!BJ39-'Accrual_MCML '!CC34)*'Accrual_MCML '!CC33/360+'Accrual_MCML '!CD41*('Accrual_MCML '!CD34-MCML_Loan!BJ39)*'Accrual_MCML '!CD33/360</f>
        <v>190071.25454597003</v>
      </c>
      <c r="CE36" s="25">
        <f>+CE35*(MCML_Loan!BK39-'Accrual_MCML '!CD34)*'Accrual_MCML '!CD33/360+'Accrual_MCML '!CE41*('Accrual_MCML '!CE34-MCML_Loan!BK39)*'Accrual_MCML '!CE33/360</f>
        <v>179635.44018366555</v>
      </c>
      <c r="CF36" s="25">
        <f>+CF35*(MCML_Loan!BL39-'Accrual_MCML '!CE34)*'Accrual_MCML '!CE33/360+'Accrual_MCML '!CF41*('Accrual_MCML '!CF34-MCML_Loan!BL39)*'Accrual_MCML '!CF33/360</f>
        <v>181024.09685865496</v>
      </c>
      <c r="CG36" s="25">
        <f>+CG35*(MCML_Loan!BM39-'Accrual_MCML '!CF34)*'Accrual_MCML '!CF33/360+'Accrual_MCML '!CG41*('Accrual_MCML '!CG34-MCML_Loan!BM39)*'Accrual_MCML '!CG33/360</f>
        <v>170851.3819079836</v>
      </c>
      <c r="CH36" s="25">
        <f>+CH35*(MCML_Loan!BN39-'Accrual_MCML '!CG34)*'Accrual_MCML '!CG33/360+'Accrual_MCML '!CH41*('Accrual_MCML '!CH34-MCML_Loan!BN39)*'Accrual_MCML '!CH33/360</f>
        <v>171916.52426278353</v>
      </c>
      <c r="CI36" s="25">
        <f>+CI35*(MCML_Loan!BO39-'Accrual_MCML '!CH34)*'Accrual_MCML '!CH33/360+'Accrual_MCML '!CI41*('Accrual_MCML '!CI34-MCML_Loan!BO39)*'Accrual_MCML '!CI33/360</f>
        <v>167339.95640499896</v>
      </c>
      <c r="CJ36" s="25">
        <f>+CJ35*(MCML_Loan!BP39-'Accrual_MCML '!CI34)*'Accrual_MCML '!CI33/360+'Accrual_MCML '!CJ41*('Accrual_MCML '!CJ34-MCML_Loan!BP39)*'Accrual_MCML '!CJ33/360</f>
        <v>157565.18845895532</v>
      </c>
      <c r="CK36" s="25">
        <f>+CK35*(MCML_Loan!BQ39-'Accrual_MCML '!CJ34)*'Accrual_MCML '!CJ33/360+'Accrual_MCML '!CK41*('Accrual_MCML '!CK34-MCML_Loan!BQ39)*'Accrual_MCML '!CK33/360</f>
        <v>158141.00416009809</v>
      </c>
      <c r="CL36" s="25">
        <f>+CL35*(MCML_Loan!BR39-'Accrual_MCML '!CK34)*'Accrual_MCML '!CK33/360+'Accrual_MCML '!CL41*('Accrual_MCML '!CL34-MCML_Loan!BR39)*'Accrual_MCML '!CL33/360</f>
        <v>148633.74994675617</v>
      </c>
      <c r="CM36" s="25">
        <f>+CM35*(MCML_Loan!BS39-'Accrual_MCML '!CL34)*'Accrual_MCML '!CL33/360+'Accrual_MCML '!CM41*('Accrual_MCML '!CM34-MCML_Loan!BS39)*'Accrual_MCML '!CM33/360</f>
        <v>148880.6233563174</v>
      </c>
      <c r="CN36" s="25">
        <f>+CN35*(MCML_Loan!BT39-'Accrual_MCML '!CM34)*'Accrual_MCML '!CM33/360+'Accrual_MCML '!CN41*('Accrual_MCML '!CN34-MCML_Loan!BT39)*'Accrual_MCML '!CN33/360</f>
        <v>144227.26916217798</v>
      </c>
      <c r="CO36" s="25">
        <f>+CO35*(MCML_Loan!BU39-'Accrual_MCML '!CN34)*'Accrual_MCML '!CN33/360+'Accrual_MCML '!CO41*('Accrual_MCML '!CO34-MCML_Loan!BU39)*'Accrual_MCML '!CO33/360</f>
        <v>126257.10872774215</v>
      </c>
      <c r="CP36" s="25">
        <f>+CP35*(MCML_Loan!BV39-'Accrual_MCML '!CO34)*'Accrual_MCML '!CO33/360+'Accrual_MCML '!CP41*('Accrual_MCML '!CP34-MCML_Loan!BV39)*'Accrual_MCML '!CP33/360</f>
        <v>134873.97552802227</v>
      </c>
      <c r="CQ36" s="25">
        <f>+CQ35*(MCML_Loan!BW39-'Accrual_MCML '!CP34)*'Accrual_MCML '!CP33/360+'Accrual_MCML '!CQ41*('Accrual_MCML '!CQ34-MCML_Loan!BW39)*'Accrual_MCML '!CQ33/360</f>
        <v>126043.3472512585</v>
      </c>
      <c r="CR36" s="25">
        <f>+CR35*(MCML_Loan!BX39-'Accrual_MCML '!CQ34)*'Accrual_MCML '!CQ33/360+'Accrual_MCML '!CR41*('Accrual_MCML '!CR34-MCML_Loan!BX39)*'Accrual_MCML '!CR33/360</f>
        <v>125458.22267748736</v>
      </c>
      <c r="CS36" s="25">
        <f>+CS35*(MCML_Loan!BY39-'Accrual_MCML '!CR34)*'Accrual_MCML '!CR33/360+'Accrual_MCML '!CS41*('Accrual_MCML '!CS34-MCML_Loan!BY39)*'Accrual_MCML '!CS33/360</f>
        <v>116901.41288832792</v>
      </c>
      <c r="CT36" s="25">
        <f>+CT35*(MCML_Loan!BZ39-'Accrual_MCML '!CS34)*'Accrual_MCML '!CS33/360+'Accrual_MCML '!CT41*('Accrual_MCML '!CT34-MCML_Loan!BZ39)*'Accrual_MCML '!CT33/360</f>
        <v>115979.59352180609</v>
      </c>
      <c r="CU36" s="25">
        <f>+CU35*(MCML_Loan!CA39-'Accrual_MCML '!CT34)*'Accrual_MCML '!CT33/360+'Accrual_MCML '!CU41*('Accrual_MCML '!CU34-MCML_Loan!CA39)*'Accrual_MCML '!CU33/360</f>
        <v>111216.56922821832</v>
      </c>
      <c r="CV36" s="25">
        <f>+CV35*(MCML_Loan!CB39-'Accrual_MCML '!CU34)*'Accrual_MCML '!CU33/360+'Accrual_MCML '!CV41*('Accrual_MCML '!CV34-MCML_Loan!CB39)*'Accrual_MCML '!CV33/360</f>
        <v>103073.91941865547</v>
      </c>
      <c r="CW36" s="25">
        <f>+CW35*(MCML_Loan!CC39-'Accrual_MCML '!CV34)*'Accrual_MCML '!CV33/360+'Accrual_MCML '!CW41*('Accrual_MCML '!CW34-MCML_Loan!CC39)*'Accrual_MCML '!CW33/360</f>
        <v>101642.83747561474</v>
      </c>
      <c r="CX36" s="25">
        <f>+CX35*(MCML_Loan!CD39-'Accrual_MCML '!CW34)*'Accrual_MCML '!CW33/360+'Accrual_MCML '!CX41*('Accrual_MCML '!CX34-MCML_Loan!CD39)*'Accrual_MCML '!CX33/360</f>
        <v>93778.600320976082</v>
      </c>
      <c r="CY36" s="25">
        <f>+CY35*(MCML_Loan!CE39-'Accrual_MCML '!CX34)*'Accrual_MCML '!CX33/360+'Accrual_MCML '!CY41*('Accrual_MCML '!CY34-MCML_Loan!CE39)*'Accrual_MCML '!CY33/360</f>
        <v>92005.174469863196</v>
      </c>
      <c r="CZ36" s="25">
        <f>+CZ35*(MCML_Loan!CF39-'Accrual_MCML '!CY34)*'Accrual_MCML '!CY33/360+'Accrual_MCML '!CZ41*('Accrual_MCML '!CZ34-MCML_Loan!CF39)*'Accrual_MCML '!CZ33/360</f>
        <v>87162.235446102277</v>
      </c>
      <c r="DA36" s="25">
        <f>+DA35*(MCML_Loan!CG39-'Accrual_MCML '!CZ34)*'Accrual_MCML '!CZ33/360+'Accrual_MCML '!DA41*('Accrual_MCML '!DA34-MCML_Loan!CG39)*'Accrual_MCML '!DA33/360</f>
        <v>74551.014741907857</v>
      </c>
      <c r="DB36" s="25">
        <f>+DB35*(MCML_Loan!CH39-'Accrual_MCML '!DA34)*'Accrual_MCML '!DA33/360+'Accrual_MCML '!DB41*('Accrual_MCML '!DB34-MCML_Loan!CH39)*'Accrual_MCML '!DB33/360</f>
        <v>77427.874197909201</v>
      </c>
      <c r="DC36" s="25">
        <f>+DC35*(MCML_Loan!CI39-'Accrual_MCML '!DB34)*'Accrual_MCML '!DB33/360+'Accrual_MCML '!DC41*('Accrual_MCML '!DC34-MCML_Loan!CI39)*'Accrual_MCML '!DC33/360</f>
        <v>70267.829764484472</v>
      </c>
      <c r="DD36" s="25">
        <f>+DD35*(MCML_Loan!CJ39-'Accrual_MCML '!DC34)*'Accrual_MCML '!DC33/360+'Accrual_MCML '!DD41*('Accrual_MCML '!DD34-MCML_Loan!CJ39)*'Accrual_MCML '!DD33/360</f>
        <v>67628.509048492109</v>
      </c>
      <c r="DE36" s="25">
        <f>+DE35*(MCML_Loan!CK39-'Accrual_MCML '!DD34)*'Accrual_MCML '!DD33/360+'Accrual_MCML '!DE41*('Accrual_MCML '!DE34-MCML_Loan!CK39)*'Accrual_MCML '!DE33/360</f>
        <v>60753.438890336663</v>
      </c>
      <c r="DF36" s="25">
        <f>+DF35*(MCML_Loan!CL39-'Accrual_MCML '!DE34)*'Accrual_MCML '!DE33/360+'Accrual_MCML '!DF41*('Accrual_MCML '!DF34-MCML_Loan!CL39)*'Accrual_MCML '!DF33/360</f>
        <v>57763.705916243896</v>
      </c>
      <c r="DG36" s="25">
        <f>+DG35*(MCML_Loan!CM39-'Accrual_MCML '!DF34)*'Accrual_MCML '!DF33/360+'Accrual_MCML '!DG41*('Accrual_MCML '!DG34-MCML_Loan!CM39)*'Accrual_MCML '!DG33/360</f>
        <v>52806.628663970914</v>
      </c>
      <c r="DH36" s="25">
        <f>+DH35*(MCML_Loan!CN39-'Accrual_MCML '!DG34)*'Accrual_MCML '!DG33/360+'Accrual_MCML '!DH41*('Accrual_MCML '!DH34-MCML_Loan!CN39)*'Accrual_MCML '!DH33/360</f>
        <v>46362.59200199644</v>
      </c>
      <c r="DI36" s="25">
        <f>+DI35*(MCML_Loan!CO39-'Accrual_MCML '!DH34)*'Accrual_MCML '!DH33/360+'Accrual_MCML '!DI41*('Accrual_MCML '!DI34-MCML_Loan!CO39)*'Accrual_MCML '!DI33/360</f>
        <v>42842.848308266068</v>
      </c>
      <c r="DJ36" s="25">
        <f>+DJ35*(MCML_Loan!CP39-'Accrual_MCML '!DI34)*'Accrual_MCML '!DI33/360+'Accrual_MCML '!DJ41*('Accrual_MCML '!DJ34-MCML_Loan!CP39)*'Accrual_MCML '!DJ33/360</f>
        <v>36688.567262345809</v>
      </c>
      <c r="DK36" s="25">
        <f>+DK35*(MCML_Loan!CQ39-'Accrual_MCML '!DJ34)*'Accrual_MCML '!DJ33/360+'Accrual_MCML '!DK41*('Accrual_MCML '!DK34-MCML_Loan!CQ39)*'Accrual_MCML '!DK33/360</f>
        <v>32812.532041519255</v>
      </c>
      <c r="DL36" s="25">
        <f>+DL35*(MCML_Loan!CR39-'Accrual_MCML '!DK34)*'Accrual_MCML '!DK33/360+'Accrual_MCML '!DL41*('Accrual_MCML '!DL34-MCML_Loan!CR39)*'Accrual_MCML '!DL33/360</f>
        <v>27772.284209663841</v>
      </c>
      <c r="DM36" s="25">
        <f>+DM35*(MCML_Loan!CS39-'Accrual_MCML '!DL34)*'Accrual_MCML '!DL33/360+'Accrual_MCML '!DM41*('Accrual_MCML '!DM34-MCML_Loan!CS39)*'Accrual_MCML '!DM33/360</f>
        <v>20738.334708735081</v>
      </c>
      <c r="DN36" s="25">
        <f>+DN35*(MCML_Loan!CT39-'Accrual_MCML '!DM34)*'Accrual_MCML '!DM33/360+'Accrual_MCML '!DN41*('Accrual_MCML '!DN34-MCML_Loan!CT39)*'Accrual_MCML '!DN33/360</f>
        <v>17641.330064880793</v>
      </c>
      <c r="DO36" s="25">
        <f>+DO35*(MCML_Loan!CU39-'Accrual_MCML '!DN34)*'Accrual_MCML '!DN33/360+'Accrual_MCML '!DO41*('Accrual_MCML '!DO34-MCML_Loan!CU39)*'Accrual_MCML '!DO33/360</f>
        <v>12219.931638149585</v>
      </c>
      <c r="DP36" s="25">
        <f>+DP35*(MCML_Loan!CV39-'Accrual_MCML '!DO34)*'Accrual_MCML '!DO33/360+'Accrual_MCML '!DP41*('Accrual_MCML '!DP34-MCML_Loan!CV39)*'Accrual_MCML '!DP33/360</f>
        <v>7442.7236596420298</v>
      </c>
      <c r="DQ36" s="25">
        <f>+DQ35*(MCML_Loan!CW39-'Accrual_MCML '!DP34)*'Accrual_MCML '!DP33/360+'Accrual_MCML '!DQ41*('Accrual_MCML '!DQ34-MCML_Loan!CW39)*'Accrual_MCML '!DQ33/360</f>
        <v>2317.9097998470393</v>
      </c>
      <c r="DR36" s="25"/>
      <c r="DS36" s="25"/>
    </row>
    <row r="37" spans="1:123" s="54" customFormat="1" x14ac:dyDescent="0.25">
      <c r="A37" s="46" t="s">
        <v>12</v>
      </c>
      <c r="B37" s="164">
        <f>B36</f>
        <v>312989.4444444445</v>
      </c>
      <c r="C37" s="164">
        <f>B37+C36</f>
        <v>1059348.888888889</v>
      </c>
      <c r="D37" s="164">
        <f t="shared" ref="D37" si="597">C37+D36</f>
        <v>1781632.2222222225</v>
      </c>
      <c r="E37" s="164">
        <f>D37+E36</f>
        <v>2527991.666666667</v>
      </c>
      <c r="F37" s="164">
        <f t="shared" ref="F37" si="598">E37+F36</f>
        <v>3250275.0000000005</v>
      </c>
      <c r="G37" s="164">
        <f>F37+G36</f>
        <v>3810904.444444445</v>
      </c>
      <c r="H37" s="164">
        <f>G37+H36</f>
        <v>4237395.555555556</v>
      </c>
      <c r="I37" s="164">
        <f>H37+I36</f>
        <v>4622613.333333334</v>
      </c>
      <c r="J37" s="164">
        <f t="shared" ref="J37" si="599">I37+J36</f>
        <v>5049104.444444445</v>
      </c>
      <c r="K37" s="164">
        <f>J37+K36</f>
        <v>5461837.777777778</v>
      </c>
      <c r="L37" s="164">
        <f t="shared" ref="L37" si="600">K37+L36</f>
        <v>5888328.888888889</v>
      </c>
      <c r="M37" s="164">
        <f>L37+M36</f>
        <v>6301062.222222222</v>
      </c>
      <c r="N37" s="164">
        <f t="shared" ref="N37" si="601">M37+N36</f>
        <v>6727553.333333333</v>
      </c>
      <c r="O37" s="164">
        <f t="shared" ref="O37" si="602">N37+O36</f>
        <v>7154044.444444444</v>
      </c>
      <c r="P37" s="164">
        <f>O37+P36</f>
        <v>7566777.7777777771</v>
      </c>
      <c r="Q37" s="164">
        <f>P37+Q36</f>
        <v>7993268.8888888881</v>
      </c>
      <c r="R37" s="164">
        <f t="shared" ref="R37" si="603">Q37+R36</f>
        <v>8406002.222222222</v>
      </c>
      <c r="S37" s="164">
        <f t="shared" ref="S37" si="604">R37+S36</f>
        <v>8832493.333333334</v>
      </c>
      <c r="T37" s="164">
        <f t="shared" ref="T37" si="605">S37+T36</f>
        <v>9258984.4444444459</v>
      </c>
      <c r="U37" s="164">
        <f t="shared" ref="U37" si="606">T37+U36</f>
        <v>9644202.2222222239</v>
      </c>
      <c r="V37" s="164">
        <f t="shared" ref="V37" si="607">U37+V36</f>
        <v>10070693.333333336</v>
      </c>
      <c r="W37" s="164">
        <f>V37+W36</f>
        <v>10483426.66666667</v>
      </c>
      <c r="X37" s="164">
        <f t="shared" ref="X37" si="608">W37+X36</f>
        <v>10909917.777777782</v>
      </c>
      <c r="Y37" s="164">
        <f>X37+Y36</f>
        <v>11322651.111111116</v>
      </c>
      <c r="Z37" s="164">
        <f>Y37+Z36</f>
        <v>11749142.222222228</v>
      </c>
      <c r="AA37" s="164">
        <f>Z37+AA36</f>
        <v>12175633.33333334</v>
      </c>
      <c r="AB37" s="164">
        <f>AA37+AB36</f>
        <v>12581487.777777784</v>
      </c>
      <c r="AC37" s="164">
        <f>AB37+AC36</f>
        <v>12994651.041666672</v>
      </c>
      <c r="AD37" s="164">
        <f t="shared" ref="AD37" si="609">AC37+AD36</f>
        <v>13394486.458333338</v>
      </c>
      <c r="AE37" s="164">
        <f t="shared" ref="AE37" si="610">AD37+AE36</f>
        <v>13800340.902777782</v>
      </c>
      <c r="AF37" s="47">
        <f>AE37+AF36</f>
        <v>14198083.214616079</v>
      </c>
      <c r="AG37" s="47">
        <f t="shared" ref="AG37" si="611">AF37+AG36</f>
        <v>14566452.125515377</v>
      </c>
      <c r="AH37" s="47">
        <f t="shared" ref="AH37" si="612">AG37+AH36</f>
        <v>14956534.060837833</v>
      </c>
      <c r="AI37" s="47">
        <f>AH37+AI36</f>
        <v>15330363.692879437</v>
      </c>
      <c r="AJ37" s="47">
        <f t="shared" ref="AJ37" si="613">AI37+AJ36</f>
        <v>15712609.323703196</v>
      </c>
      <c r="AK37" s="47">
        <f t="shared" ref="AK37" si="614">AJ37+AK36</f>
        <v>16078951.683128079</v>
      </c>
      <c r="AL37" s="47">
        <f t="shared" ref="AL37" si="615">AK37+AL36</f>
        <v>16453559.06094566</v>
      </c>
      <c r="AM37" s="47">
        <f t="shared" ref="AM37" si="616">AL37+AM36</f>
        <v>16824013.455901086</v>
      </c>
      <c r="AN37" s="47">
        <f>AM37+AN36</f>
        <v>17179031.055258434</v>
      </c>
      <c r="AO37" s="47">
        <f t="shared" ref="AO37" si="617">AN37+AO36</f>
        <v>17541896.58537773</v>
      </c>
      <c r="AP37" s="47">
        <f t="shared" ref="AP37" si="618">AO37+AP36</f>
        <v>17889301.289544545</v>
      </c>
      <c r="AQ37" s="47">
        <f t="shared" ref="AQ37" si="619">AP37+AQ36</f>
        <v>18244273.543750077</v>
      </c>
      <c r="AR37" s="47">
        <f>AQ37+AR36</f>
        <v>18595279.4158643</v>
      </c>
      <c r="AS37" s="47">
        <f t="shared" ref="AS37" si="620">AR37+AS36</f>
        <v>18908896.685136132</v>
      </c>
      <c r="AT37" s="47">
        <f t="shared" ref="AT37" si="621">AS37+AT36</f>
        <v>19251930.085175913</v>
      </c>
      <c r="AU37" s="47">
        <f t="shared" ref="AU37" si="622">AT37+AU36</f>
        <v>19580079.395287462</v>
      </c>
      <c r="AV37" s="47">
        <f t="shared" ref="AV37" si="623">AU37+AV36</f>
        <v>19915087.084855948</v>
      </c>
      <c r="AW37" s="47">
        <f t="shared" ref="AW37" si="624">AV37+AW36</f>
        <v>20235444.079312112</v>
      </c>
      <c r="AX37" s="47">
        <f t="shared" ref="AX37" si="625">AW37+AX36</f>
        <v>20562372.464498267</v>
      </c>
      <c r="AY37" s="47">
        <f t="shared" ref="AY37" si="626">AX37+AY36</f>
        <v>20885240.988029715</v>
      </c>
      <c r="AZ37" s="47">
        <f t="shared" ref="AZ37" si="627">AY37+AZ36</f>
        <v>21193811.834219996</v>
      </c>
      <c r="BA37" s="47">
        <f t="shared" ref="BA37" si="628">AZ37+BA36</f>
        <v>21508519.99071591</v>
      </c>
      <c r="BB37" s="47">
        <f t="shared" ref="BB37" si="629">BA37+BB36</f>
        <v>21809167.78061951</v>
      </c>
      <c r="BC37" s="47">
        <f t="shared" ref="BC37" si="630">BB37+BC36</f>
        <v>22115661.07696224</v>
      </c>
      <c r="BD37" s="47">
        <f>BC37+BD36</f>
        <v>22418026.394687451</v>
      </c>
      <c r="BE37" s="47">
        <f t="shared" ref="BE37" si="631">BD37+BE36</f>
        <v>22687570.911995716</v>
      </c>
      <c r="BF37" s="47">
        <f t="shared" ref="BF37" si="632">BE37+BF36</f>
        <v>22981638.94683329</v>
      </c>
      <c r="BG37" s="47">
        <f>BF37+BG36</f>
        <v>23262246.848218285</v>
      </c>
      <c r="BH37" s="47">
        <f t="shared" ref="BH37" si="633">BG37+BH36</f>
        <v>23547962.192756932</v>
      </c>
      <c r="BI37" s="47">
        <f t="shared" ref="BI37" si="634">BH37+BI36</f>
        <v>23820460.307523821</v>
      </c>
      <c r="BJ37" s="47">
        <f t="shared" ref="BJ37" si="635">BI37+BJ36</f>
        <v>24097767.184353884</v>
      </c>
      <c r="BK37" s="47">
        <f t="shared" ref="BK37" si="636">BJ37+BK36</f>
        <v>24370848.794501387</v>
      </c>
      <c r="BL37" s="47">
        <f t="shared" ref="BL37" si="637">BK37+BL36</f>
        <v>24631080.57513696</v>
      </c>
      <c r="BM37" s="47">
        <f t="shared" ref="BM37" si="638">BL37+BM36</f>
        <v>24895669.352305107</v>
      </c>
      <c r="BN37" s="47">
        <f>BM37+BN36</f>
        <v>25147655.279116239</v>
      </c>
      <c r="BO37" s="47">
        <f t="shared" ref="BO37" si="639">BN37+BO36</f>
        <v>25403694.510053694</v>
      </c>
      <c r="BP37" s="47">
        <f t="shared" ref="BP37" si="640">BO37+BP36</f>
        <v>25655437.582155615</v>
      </c>
      <c r="BQ37" s="47">
        <f t="shared" ref="BQ37" si="641">BP37+BQ36</f>
        <v>25879113.755584594</v>
      </c>
      <c r="BR37" s="47">
        <f>BQ37+BR36</f>
        <v>26122221.500691988</v>
      </c>
      <c r="BS37" s="47">
        <f t="shared" ref="BS37" si="642">BR37+BS36</f>
        <v>26353351.083006326</v>
      </c>
      <c r="BT37" s="47">
        <f t="shared" ref="BT37" si="643">BS37+BT36</f>
        <v>26587765.836324487</v>
      </c>
      <c r="BU37" s="47">
        <f t="shared" ref="BU37" si="644">BT37+BU36</f>
        <v>26810455.22680115</v>
      </c>
      <c r="BV37" s="47">
        <f t="shared" ref="BV37" si="645">BU37+BV36</f>
        <v>27036118.938462686</v>
      </c>
      <c r="BW37" s="47">
        <f t="shared" ref="BW37" si="646">BV37+BW36</f>
        <v>27257385.239557765</v>
      </c>
      <c r="BX37" s="47">
        <f t="shared" ref="BX37" si="647">BW37+BX36</f>
        <v>27467308.546524633</v>
      </c>
      <c r="BY37" s="47">
        <f t="shared" ref="BY37" si="648">BX37+BY36</f>
        <v>27679736.003521021</v>
      </c>
      <c r="BZ37" s="47">
        <f t="shared" ref="BZ37" si="649">BY37+BZ36</f>
        <v>27881077.507855948</v>
      </c>
      <c r="CA37" s="47">
        <f t="shared" ref="CA37" si="650">BZ37+CA36</f>
        <v>28084607.09691694</v>
      </c>
      <c r="CB37" s="47">
        <f t="shared" ref="CB37" si="651">CA37+CB36</f>
        <v>28283665.49500281</v>
      </c>
      <c r="CC37" s="47">
        <f t="shared" ref="CC37" si="652">CB37+CC36</f>
        <v>28465815.651015669</v>
      </c>
      <c r="CD37" s="47">
        <f t="shared" ref="CD37" si="653">CC37+CD36</f>
        <v>28655886.905561641</v>
      </c>
      <c r="CE37" s="47">
        <f t="shared" ref="CE37" si="654">CD37+CE36</f>
        <v>28835522.345745306</v>
      </c>
      <c r="CF37" s="47">
        <f t="shared" ref="CF37" si="655">CE37+CF36</f>
        <v>29016546.442603961</v>
      </c>
      <c r="CG37" s="47">
        <f t="shared" ref="CG37" si="656">CF37+CG36</f>
        <v>29187397.824511945</v>
      </c>
      <c r="CH37" s="47">
        <f t="shared" ref="CH37" si="657">CG37+CH36</f>
        <v>29359314.348774727</v>
      </c>
      <c r="CI37" s="47">
        <f t="shared" ref="CI37" si="658">CH37+CI36</f>
        <v>29526654.305179726</v>
      </c>
      <c r="CJ37" s="47">
        <f t="shared" ref="CJ37" si="659">CI37+CJ36</f>
        <v>29684219.493638683</v>
      </c>
      <c r="CK37" s="47">
        <f t="shared" ref="CK37" si="660">CJ37+CK36</f>
        <v>29842360.497798782</v>
      </c>
      <c r="CL37" s="47">
        <f t="shared" ref="CL37" si="661">CK37+CL36</f>
        <v>29990994.247745536</v>
      </c>
      <c r="CM37" s="47">
        <f t="shared" ref="CM37" si="662">CL37+CM36</f>
        <v>30139874.871101853</v>
      </c>
      <c r="CN37" s="47">
        <f t="shared" ref="CN37" si="663">CM37+CN36</f>
        <v>30284102.140264031</v>
      </c>
      <c r="CO37" s="47">
        <f t="shared" ref="CO37" si="664">CN37+CO36</f>
        <v>30410359.248991773</v>
      </c>
      <c r="CP37" s="47">
        <f t="shared" ref="CP37" si="665">CO37+CP36</f>
        <v>30545233.224519797</v>
      </c>
      <c r="CQ37" s="47">
        <f t="shared" ref="CQ37" si="666">CP37+CQ36</f>
        <v>30671276.571771055</v>
      </c>
      <c r="CR37" s="47">
        <f t="shared" ref="CR37" si="667">CQ37+CR36</f>
        <v>30796734.794448543</v>
      </c>
      <c r="CS37" s="47">
        <f t="shared" ref="CS37" si="668">CR37+CS36</f>
        <v>30913636.207336873</v>
      </c>
      <c r="CT37" s="47">
        <f t="shared" ref="CT37" si="669">CS37+CT36</f>
        <v>31029615.80085868</v>
      </c>
      <c r="CU37" s="47">
        <f t="shared" ref="CU37" si="670">CT37+CU36</f>
        <v>31140832.370086897</v>
      </c>
      <c r="CV37" s="47">
        <f t="shared" ref="CV37" si="671">CU37+CV36</f>
        <v>31243906.289505553</v>
      </c>
      <c r="CW37" s="47">
        <f t="shared" ref="CW37" si="672">CV37+CW36</f>
        <v>31345549.126981169</v>
      </c>
      <c r="CX37" s="47">
        <f t="shared" ref="CX37" si="673">CW37+CX36</f>
        <v>31439327.727302145</v>
      </c>
      <c r="CY37" s="47">
        <f t="shared" ref="CY37" si="674">CX37+CY36</f>
        <v>31531332.901772007</v>
      </c>
      <c r="CZ37" s="47">
        <f t="shared" ref="CZ37" si="675">CY37+CZ36</f>
        <v>31618495.13721811</v>
      </c>
      <c r="DA37" s="47">
        <f t="shared" ref="DA37" si="676">CZ37+DA36</f>
        <v>31693046.151960019</v>
      </c>
      <c r="DB37" s="47">
        <f t="shared" ref="DB37" si="677">DA37+DB36</f>
        <v>31770474.026157927</v>
      </c>
      <c r="DC37" s="47">
        <f t="shared" ref="DC37" si="678">DB37+DC36</f>
        <v>31840741.855922412</v>
      </c>
      <c r="DD37" s="47">
        <f t="shared" ref="DD37" si="679">DC37+DD36</f>
        <v>31908370.364970904</v>
      </c>
      <c r="DE37" s="47">
        <f t="shared" ref="DE37" si="680">DD37+DE36</f>
        <v>31969123.803861242</v>
      </c>
      <c r="DF37" s="47">
        <f>DE37+DF36</f>
        <v>32026887.509777486</v>
      </c>
      <c r="DG37" s="47">
        <f t="shared" ref="DG37" si="681">DF37+DG36</f>
        <v>32079694.138441458</v>
      </c>
      <c r="DH37" s="47">
        <f t="shared" ref="DH37" si="682">DG37+DH36</f>
        <v>32126056.730443455</v>
      </c>
      <c r="DI37" s="47">
        <f t="shared" ref="DI37" si="683">DH37+DI36</f>
        <v>32168899.57875172</v>
      </c>
      <c r="DJ37" s="47">
        <f t="shared" ref="DJ37" si="684">DI37+DJ36</f>
        <v>32205588.146014065</v>
      </c>
      <c r="DK37" s="47">
        <f t="shared" ref="DK37" si="685">DJ37+DK36</f>
        <v>32238400.678055584</v>
      </c>
      <c r="DL37" s="47">
        <f t="shared" ref="DL37" si="686">DK37+DL36</f>
        <v>32266172.962265249</v>
      </c>
      <c r="DM37" s="47">
        <f t="shared" ref="DM37" si="687">DL37+DM36</f>
        <v>32286911.296973985</v>
      </c>
      <c r="DN37" s="47">
        <f t="shared" ref="DN37" si="688">DM37+DN36</f>
        <v>32304552.627038866</v>
      </c>
      <c r="DO37" s="47">
        <f t="shared" ref="DO37" si="689">DN37+DO36</f>
        <v>32316772.558677018</v>
      </c>
      <c r="DP37" s="47">
        <f t="shared" ref="DP37" si="690">DO37+DP36</f>
        <v>32324215.28233666</v>
      </c>
      <c r="DQ37" s="47">
        <f t="shared" ref="DQ37" si="691">DP37+DQ36</f>
        <v>32326533.192136507</v>
      </c>
      <c r="DR37" s="47"/>
      <c r="DS37" s="47"/>
    </row>
    <row r="38" spans="1:123" s="53" customFormat="1" x14ac:dyDescent="0.25">
      <c r="A38" s="22" t="s">
        <v>7</v>
      </c>
      <c r="B38" s="163">
        <v>0</v>
      </c>
      <c r="C38" s="163">
        <f>B38</f>
        <v>0</v>
      </c>
      <c r="D38" s="163">
        <f t="shared" ref="D38" si="692">C38</f>
        <v>0</v>
      </c>
      <c r="E38" s="163">
        <f t="shared" ref="E38" si="693">D38</f>
        <v>0</v>
      </c>
      <c r="F38" s="163">
        <f t="shared" ref="F38" si="694">E38</f>
        <v>0</v>
      </c>
      <c r="G38" s="163">
        <f t="shared" ref="G38" si="695">F38</f>
        <v>0</v>
      </c>
      <c r="H38" s="163">
        <f t="shared" ref="H38" si="696">G38</f>
        <v>0</v>
      </c>
      <c r="I38" s="163">
        <f t="shared" ref="I38" si="697">H38</f>
        <v>0</v>
      </c>
      <c r="J38" s="163">
        <f t="shared" ref="J38" si="698">I38</f>
        <v>0</v>
      </c>
      <c r="K38" s="163">
        <f t="shared" ref="K38" si="699">J38</f>
        <v>0</v>
      </c>
      <c r="L38" s="163">
        <f t="shared" ref="L38" si="700">K38</f>
        <v>0</v>
      </c>
      <c r="M38" s="163">
        <f t="shared" ref="M38" si="701">L38</f>
        <v>0</v>
      </c>
      <c r="N38" s="163">
        <f t="shared" ref="N38" si="702">M38</f>
        <v>0</v>
      </c>
      <c r="O38" s="163">
        <f t="shared" ref="O38" si="703">N38</f>
        <v>0</v>
      </c>
      <c r="P38" s="163">
        <f t="shared" ref="P38" si="704">O38</f>
        <v>0</v>
      </c>
      <c r="Q38" s="163">
        <f t="shared" ref="Q38" si="705">P38</f>
        <v>0</v>
      </c>
      <c r="R38" s="163">
        <f t="shared" ref="R38" si="706">Q38</f>
        <v>0</v>
      </c>
      <c r="S38" s="163">
        <f t="shared" ref="S38" si="707">R38</f>
        <v>0</v>
      </c>
      <c r="T38" s="163">
        <f t="shared" ref="T38" si="708">S38</f>
        <v>0</v>
      </c>
      <c r="U38" s="163">
        <f t="shared" ref="U38" si="709">T38</f>
        <v>0</v>
      </c>
      <c r="V38" s="163">
        <f t="shared" ref="V38" si="710">U38</f>
        <v>0</v>
      </c>
      <c r="W38" s="163">
        <f t="shared" ref="W38" si="711">V38</f>
        <v>0</v>
      </c>
      <c r="X38" s="163">
        <f t="shared" ref="X38" si="712">W38</f>
        <v>0</v>
      </c>
      <c r="Y38" s="163">
        <f t="shared" ref="Y38" si="713">X38</f>
        <v>0</v>
      </c>
      <c r="Z38" s="163">
        <f t="shared" ref="Z38" si="714">Y38</f>
        <v>0</v>
      </c>
      <c r="AA38" s="163">
        <f t="shared" ref="AA38" si="715">Z38</f>
        <v>0</v>
      </c>
      <c r="AB38" s="163">
        <f>MCML_Loan!$J$43</f>
        <v>3869375</v>
      </c>
      <c r="AC38" s="163">
        <f>Z38</f>
        <v>0</v>
      </c>
      <c r="AD38" s="163">
        <f>AA38</f>
        <v>0</v>
      </c>
      <c r="AE38" s="163">
        <f>MCML_Loan!$K$43</f>
        <v>3869375</v>
      </c>
      <c r="AF38" s="25">
        <f>+MCML_Loan!L43</f>
        <v>1108114.3209014263</v>
      </c>
      <c r="AG38" s="25">
        <f>+MCML_Loan!M43</f>
        <v>1111808.0353044311</v>
      </c>
      <c r="AH38" s="25">
        <f>+MCML_Loan!N43</f>
        <v>1115514.0620887789</v>
      </c>
      <c r="AI38" s="25">
        <f>+MCML_Loan!O43</f>
        <v>1119232.4422957415</v>
      </c>
      <c r="AJ38" s="25">
        <f>+MCML_Loan!P43</f>
        <v>1122963.217103394</v>
      </c>
      <c r="AK38" s="25">
        <f>+MCML_Loan!Q43</f>
        <v>1126706.4278270719</v>
      </c>
      <c r="AL38" s="25">
        <f>+MCML_Loan!R43</f>
        <v>1130462.1159198289</v>
      </c>
      <c r="AM38" s="25">
        <f>+MCML_Loan!S43</f>
        <v>1134230.3229728949</v>
      </c>
      <c r="AN38" s="25">
        <f>+MCML_Loan!T43</f>
        <v>1138011.090716138</v>
      </c>
      <c r="AO38" s="25">
        <f>+MCML_Loan!U43</f>
        <v>1141804.4610185253</v>
      </c>
      <c r="AP38" s="25">
        <f>+MCML_Loan!V43</f>
        <v>1145610.4758885868</v>
      </c>
      <c r="AQ38" s="25">
        <f>+MCML_Loan!W43</f>
        <v>1149429.1774748822</v>
      </c>
      <c r="AR38" s="25">
        <f>+MCML_Loan!X43</f>
        <v>1153260.6080664652</v>
      </c>
      <c r="AS38" s="25">
        <f>+MCML_Loan!Y43</f>
        <v>1157104.8100933533</v>
      </c>
      <c r="AT38" s="25">
        <f>+MCML_Loan!Z43</f>
        <v>1160961.8261269978</v>
      </c>
      <c r="AU38" s="25">
        <f>+MCML_Loan!AA43</f>
        <v>1164831.6988807546</v>
      </c>
      <c r="AV38" s="25">
        <f>+MCML_Loan!AB43</f>
        <v>1168714.471210357</v>
      </c>
      <c r="AW38" s="25">
        <f>+MCML_Loan!AC43</f>
        <v>1172610.1861143915</v>
      </c>
      <c r="AX38" s="25">
        <f>+MCML_Loan!AD43</f>
        <v>1176518.8867347727</v>
      </c>
      <c r="AY38" s="25">
        <f>+MCML_Loan!AE43</f>
        <v>1180440.616357222</v>
      </c>
      <c r="AZ38" s="25">
        <f>+MCML_Loan!AF43</f>
        <v>1184375.4184117462</v>
      </c>
      <c r="BA38" s="25">
        <f>+MCML_Loan!AG43</f>
        <v>1188323.3364731185</v>
      </c>
      <c r="BB38" s="25">
        <f>+MCML_Loan!AH43</f>
        <v>1192284.4142613625</v>
      </c>
      <c r="BC38" s="25">
        <f>+MCML_Loan!AI43</f>
        <v>1196258.6956422336</v>
      </c>
      <c r="BD38" s="25">
        <f>+MCML_Loan!AJ43</f>
        <v>1200246.2246277076</v>
      </c>
      <c r="BE38" s="25">
        <f>+MCML_Loan!AK43</f>
        <v>1204247.0453764666</v>
      </c>
      <c r="BF38" s="25">
        <f>+MCML_Loan!AL43</f>
        <v>1208261.2021943883</v>
      </c>
      <c r="BG38" s="25">
        <f>+MCML_Loan!AM43</f>
        <v>1212288.7395350363</v>
      </c>
      <c r="BH38" s="25">
        <f>+MCML_Loan!AN43</f>
        <v>1216329.702000153</v>
      </c>
      <c r="BI38" s="25">
        <f>+MCML_Loan!AO43</f>
        <v>1220384.1343401535</v>
      </c>
      <c r="BJ38" s="25">
        <f>+MCML_Loan!AP43</f>
        <v>1224452.0814546207</v>
      </c>
      <c r="BK38" s="25">
        <f>+MCML_Loan!AQ43</f>
        <v>1228533.5883928027</v>
      </c>
      <c r="BL38" s="25">
        <f>+MCML_Loan!AR43</f>
        <v>1232628.7003541121</v>
      </c>
      <c r="BM38" s="25">
        <f>+MCML_Loan!AS43</f>
        <v>1236737.462688626</v>
      </c>
      <c r="BN38" s="25">
        <f>+MCML_Loan!AT43</f>
        <v>1240859.9208975879</v>
      </c>
      <c r="BO38" s="25">
        <f>+MCML_Loan!AU43</f>
        <v>1244996.1206339134</v>
      </c>
      <c r="BP38" s="25">
        <f>+MCML_Loan!AV43</f>
        <v>1249146.1077026927</v>
      </c>
      <c r="BQ38" s="25">
        <f>+MCML_Loan!AW43</f>
        <v>1253309.9280617018</v>
      </c>
      <c r="BR38" s="25">
        <f>+MCML_Loan!AX43</f>
        <v>1257487.6278219076</v>
      </c>
      <c r="BS38" s="25">
        <f>+MCML_Loan!AY43</f>
        <v>1261679.2532479805</v>
      </c>
      <c r="BT38" s="25">
        <f>+MCML_Loan!AZ43</f>
        <v>1265884.850758807</v>
      </c>
      <c r="BU38" s="25">
        <f>+MCML_Loan!BA43</f>
        <v>1270104.4669280034</v>
      </c>
      <c r="BV38" s="25">
        <f>+MCML_Loan!BB43</f>
        <v>1274338.14848443</v>
      </c>
      <c r="BW38" s="25">
        <f>+MCML_Loan!BC43</f>
        <v>1278585.9423127114</v>
      </c>
      <c r="BX38" s="25">
        <f>+MCML_Loan!BD43</f>
        <v>1282847.8954537536</v>
      </c>
      <c r="BY38" s="25">
        <f>+MCML_Loan!BE43</f>
        <v>1287124.0551052662</v>
      </c>
      <c r="BZ38" s="25">
        <f>+MCML_Loan!BF43</f>
        <v>1291414.4686222838</v>
      </c>
      <c r="CA38" s="25">
        <f>+MCML_Loan!BG43</f>
        <v>1295719.1835176914</v>
      </c>
      <c r="CB38" s="25">
        <f>+MCML_Loan!BH43</f>
        <v>1300038.2474627504</v>
      </c>
      <c r="CC38" s="25">
        <f>+MCML_Loan!BI43</f>
        <v>1304371.7082876263</v>
      </c>
      <c r="CD38" s="25">
        <f>+MCML_Loan!BJ43</f>
        <v>1308719.6139819182</v>
      </c>
      <c r="CE38" s="25">
        <f>+MCML_Loan!BK43</f>
        <v>1313082.0126951914</v>
      </c>
      <c r="CF38" s="25">
        <f>+MCML_Loan!BL43</f>
        <v>1317458.9527375088</v>
      </c>
      <c r="CG38" s="25">
        <f>+MCML_Loan!BM43</f>
        <v>1321850.4825799668</v>
      </c>
      <c r="CH38" s="25">
        <f>+MCML_Loan!BN43</f>
        <v>1326256.6508552337</v>
      </c>
      <c r="CI38" s="25">
        <f>+MCML_Loan!BO43</f>
        <v>1330677.5063580843</v>
      </c>
      <c r="CJ38" s="25">
        <f>+MCML_Loan!BP43</f>
        <v>1335113.0980459447</v>
      </c>
      <c r="CK38" s="25">
        <f>+MCML_Loan!BQ43</f>
        <v>1339563.4750394311</v>
      </c>
      <c r="CL38" s="25">
        <f>+MCML_Loan!BR43</f>
        <v>1344028.686622896</v>
      </c>
      <c r="CM38" s="25">
        <f>+MCML_Loan!BS43</f>
        <v>1348508.7822449722</v>
      </c>
      <c r="CN38" s="25">
        <f>+MCML_Loan!BT43</f>
        <v>1353003.8115191222</v>
      </c>
      <c r="CO38" s="25">
        <f>+MCML_Loan!BU43</f>
        <v>1357513.8242241859</v>
      </c>
      <c r="CP38" s="25">
        <f>+MCML_Loan!BV43</f>
        <v>1362038.8703049331</v>
      </c>
      <c r="CQ38" s="25">
        <f>+MCML_Loan!BW43</f>
        <v>1366578.9998726163</v>
      </c>
      <c r="CR38" s="25">
        <f>+MCML_Loan!BX43</f>
        <v>1371134.263205525</v>
      </c>
      <c r="CS38" s="25">
        <f>+MCML_Loan!BY43</f>
        <v>1375704.7107495435</v>
      </c>
      <c r="CT38" s="25">
        <f>+MCML_Loan!BZ43</f>
        <v>1380290.3931187086</v>
      </c>
      <c r="CU38" s="25">
        <f>+MCML_Loan!CA43</f>
        <v>1384891.361095771</v>
      </c>
      <c r="CV38" s="25">
        <f>+MCML_Loan!CB43</f>
        <v>1389507.6656327569</v>
      </c>
      <c r="CW38" s="25">
        <f>+MCML_Loan!CC43</f>
        <v>1394139.3578515325</v>
      </c>
      <c r="CX38" s="25">
        <f>+MCML_Loan!CD43</f>
        <v>1398786.4890443711</v>
      </c>
      <c r="CY38" s="25">
        <f>+MCML_Loan!CE43</f>
        <v>1403449.1106745191</v>
      </c>
      <c r="CZ38" s="25">
        <f>+MCML_Loan!CF43</f>
        <v>1408127.2743767675</v>
      </c>
      <c r="DA38" s="25">
        <f>+MCML_Loan!CG43</f>
        <v>1412821.0319580233</v>
      </c>
      <c r="DB38" s="25">
        <f>+MCML_Loan!CH43</f>
        <v>1417530.4353978834</v>
      </c>
      <c r="DC38" s="25">
        <f>+MCML_Loan!CI43</f>
        <v>1422255.5368492096</v>
      </c>
      <c r="DD38" s="25">
        <f>+MCML_Loan!CJ43</f>
        <v>1426996.3886387071</v>
      </c>
      <c r="DE38" s="25">
        <f>+MCML_Loan!CK43</f>
        <v>1431753.0432675027</v>
      </c>
      <c r="DF38" s="25">
        <f>+MCML_Loan!CL43</f>
        <v>1436525.5534117275</v>
      </c>
      <c r="DG38" s="25">
        <f>+MCML_Loan!CM43</f>
        <v>1441313.9719231003</v>
      </c>
      <c r="DH38" s="25">
        <f>+MCML_Loan!CN43</f>
        <v>1446118.3518295104</v>
      </c>
      <c r="DI38" s="25">
        <f>+MCML_Loan!CO43</f>
        <v>1450938.7463356089</v>
      </c>
      <c r="DJ38" s="25">
        <f>+MCML_Loan!CP43</f>
        <v>1455775.2088233943</v>
      </c>
      <c r="DK38" s="25">
        <f>+MCML_Loan!CQ43</f>
        <v>1460627.7928528055</v>
      </c>
      <c r="DL38" s="25">
        <f>+MCML_Loan!CR43</f>
        <v>1465496.5521623148</v>
      </c>
      <c r="DM38" s="25">
        <f>+MCML_Loan!CS43</f>
        <v>1470381.5406695225</v>
      </c>
      <c r="DN38" s="25">
        <f>+MCML_Loan!CT43</f>
        <v>1475282.8124717544</v>
      </c>
      <c r="DO38" s="25">
        <f>+MCML_Loan!CU43</f>
        <v>1480200.4218466601</v>
      </c>
      <c r="DP38" s="25">
        <f>+MCML_Loan!CV43</f>
        <v>1485134.4232528156</v>
      </c>
      <c r="DQ38" s="25">
        <f>+MCML_Loan!CW43</f>
        <v>1490084.871330325</v>
      </c>
      <c r="DS38" s="136"/>
    </row>
    <row r="39" spans="1:123" s="53" customFormat="1" x14ac:dyDescent="0.25">
      <c r="A39" s="22" t="s">
        <v>13</v>
      </c>
      <c r="B39" s="163">
        <f>B38</f>
        <v>0</v>
      </c>
      <c r="C39" s="163">
        <f>B39+C38</f>
        <v>0</v>
      </c>
      <c r="D39" s="163">
        <f t="shared" ref="D39" si="716">C39+D38</f>
        <v>0</v>
      </c>
      <c r="E39" s="163">
        <f t="shared" ref="E39" si="717">D39+E38</f>
        <v>0</v>
      </c>
      <c r="F39" s="163">
        <f t="shared" ref="F39" si="718">E39+F38</f>
        <v>0</v>
      </c>
      <c r="G39" s="163">
        <f t="shared" ref="G39" si="719">F39+G38</f>
        <v>0</v>
      </c>
      <c r="H39" s="163">
        <f t="shared" ref="H39" si="720">G39+H38</f>
        <v>0</v>
      </c>
      <c r="I39" s="163">
        <f t="shared" ref="I39" si="721">H39+I38</f>
        <v>0</v>
      </c>
      <c r="J39" s="163">
        <f t="shared" ref="J39" si="722">I39+J38</f>
        <v>0</v>
      </c>
      <c r="K39" s="163">
        <f t="shared" ref="K39" si="723">J39+K38</f>
        <v>0</v>
      </c>
      <c r="L39" s="163">
        <f t="shared" ref="L39" si="724">K39+L38</f>
        <v>0</v>
      </c>
      <c r="M39" s="163">
        <f t="shared" ref="M39" si="725">L39+M38</f>
        <v>0</v>
      </c>
      <c r="N39" s="163">
        <f t="shared" ref="N39" si="726">M39+N38</f>
        <v>0</v>
      </c>
      <c r="O39" s="163">
        <f t="shared" ref="O39" si="727">N39+O38</f>
        <v>0</v>
      </c>
      <c r="P39" s="163">
        <f t="shared" ref="P39" si="728">O39+P38</f>
        <v>0</v>
      </c>
      <c r="Q39" s="163">
        <f t="shared" ref="Q39" si="729">P39+Q38</f>
        <v>0</v>
      </c>
      <c r="R39" s="163">
        <f t="shared" ref="R39" si="730">Q39+R38</f>
        <v>0</v>
      </c>
      <c r="S39" s="163">
        <f t="shared" ref="S39" si="731">R39+S38</f>
        <v>0</v>
      </c>
      <c r="T39" s="163">
        <f t="shared" ref="T39" si="732">S39+T38</f>
        <v>0</v>
      </c>
      <c r="U39" s="163">
        <f t="shared" ref="U39" si="733">T39+U38</f>
        <v>0</v>
      </c>
      <c r="V39" s="163">
        <f t="shared" ref="V39" si="734">U39+V38</f>
        <v>0</v>
      </c>
      <c r="W39" s="163">
        <f t="shared" ref="W39" si="735">V39+W38</f>
        <v>0</v>
      </c>
      <c r="X39" s="163">
        <f t="shared" ref="X39" si="736">W39+X38</f>
        <v>0</v>
      </c>
      <c r="Y39" s="163">
        <f t="shared" ref="Y39" si="737">X39+Y38</f>
        <v>0</v>
      </c>
      <c r="Z39" s="163">
        <f t="shared" ref="Z39" si="738">Y39+Z38</f>
        <v>0</v>
      </c>
      <c r="AA39" s="163">
        <f t="shared" ref="AA39" si="739">Z39+AA38</f>
        <v>0</v>
      </c>
      <c r="AB39" s="163">
        <f t="shared" ref="AB39" si="740">AA39+AB38</f>
        <v>3869375</v>
      </c>
      <c r="AC39" s="163">
        <f t="shared" ref="AC39" si="741">AB39+AC38</f>
        <v>3869375</v>
      </c>
      <c r="AD39" s="163">
        <f t="shared" ref="AD39" si="742">AC39+AD38</f>
        <v>3869375</v>
      </c>
      <c r="AE39" s="163">
        <f t="shared" ref="AE39" si="743">AD39+AE38</f>
        <v>7738750</v>
      </c>
      <c r="AF39" s="25">
        <f t="shared" ref="AF39" si="744">AE39+AF38</f>
        <v>8846864.3209014256</v>
      </c>
      <c r="AG39" s="25">
        <f t="shared" ref="AG39" si="745">AF39+AG38</f>
        <v>9958672.3562058564</v>
      </c>
      <c r="AH39" s="25">
        <f t="shared" ref="AH39" si="746">AG39+AH38</f>
        <v>11074186.418294635</v>
      </c>
      <c r="AI39" s="25">
        <f t="shared" ref="AI39" si="747">AH39+AI38</f>
        <v>12193418.860590376</v>
      </c>
      <c r="AJ39" s="25">
        <f t="shared" ref="AJ39" si="748">AI39+AJ38</f>
        <v>13316382.07769377</v>
      </c>
      <c r="AK39" s="25">
        <f t="shared" ref="AK39" si="749">AJ39+AK38</f>
        <v>14443088.505520841</v>
      </c>
      <c r="AL39" s="25">
        <f t="shared" ref="AL39" si="750">AK39+AL38</f>
        <v>15573550.62144067</v>
      </c>
      <c r="AM39" s="25">
        <f t="shared" ref="AM39" si="751">AL39+AM38</f>
        <v>16707780.944413565</v>
      </c>
      <c r="AN39" s="25">
        <f t="shared" ref="AN39" si="752">AM39+AN38</f>
        <v>17845792.035129704</v>
      </c>
      <c r="AO39" s="25">
        <f t="shared" ref="AO39" si="753">AN39+AO38</f>
        <v>18987596.496148229</v>
      </c>
      <c r="AP39" s="25">
        <f t="shared" ref="AP39" si="754">AO39+AP38</f>
        <v>20133206.972036816</v>
      </c>
      <c r="AQ39" s="25">
        <f t="shared" ref="AQ39" si="755">AP39+AQ38</f>
        <v>21282636.149511699</v>
      </c>
      <c r="AR39" s="25">
        <f t="shared" ref="AR39" si="756">AQ39+AR38</f>
        <v>22435896.757578164</v>
      </c>
      <c r="AS39" s="25">
        <f t="shared" ref="AS39" si="757">AR39+AS38</f>
        <v>23593001.567671519</v>
      </c>
      <c r="AT39" s="25">
        <f t="shared" ref="AT39" si="758">AS39+AT38</f>
        <v>24753963.393798515</v>
      </c>
      <c r="AU39" s="25">
        <f t="shared" ref="AU39" si="759">AT39+AU38</f>
        <v>25918795.09267927</v>
      </c>
      <c r="AV39" s="25">
        <f t="shared" ref="AV39" si="760">AU39+AV38</f>
        <v>27087509.563889626</v>
      </c>
      <c r="AW39" s="25">
        <f t="shared" ref="AW39" si="761">AV39+AW38</f>
        <v>28260119.75000402</v>
      </c>
      <c r="AX39" s="25">
        <f t="shared" ref="AX39" si="762">AW39+AX38</f>
        <v>29436638.636738792</v>
      </c>
      <c r="AY39" s="25">
        <f t="shared" ref="AY39" si="763">AX39+AY38</f>
        <v>30617079.253096014</v>
      </c>
      <c r="AZ39" s="25">
        <f t="shared" ref="AZ39" si="764">AY39+AZ38</f>
        <v>31801454.671507761</v>
      </c>
      <c r="BA39" s="25">
        <f t="shared" ref="BA39" si="765">AZ39+BA38</f>
        <v>32989778.007980879</v>
      </c>
      <c r="BB39" s="25">
        <f t="shared" ref="BB39" si="766">BA39+BB38</f>
        <v>34182062.422242239</v>
      </c>
      <c r="BC39" s="25">
        <f t="shared" ref="BC39" si="767">BB39+BC38</f>
        <v>35378321.117884472</v>
      </c>
      <c r="BD39" s="25">
        <f t="shared" ref="BD39" si="768">BC39+BD38</f>
        <v>36578567.342512183</v>
      </c>
      <c r="BE39" s="25">
        <f t="shared" ref="BE39" si="769">BD39+BE38</f>
        <v>37782814.387888648</v>
      </c>
      <c r="BF39" s="25">
        <f t="shared" ref="BF39" si="770">BE39+BF38</f>
        <v>38991075.590083033</v>
      </c>
      <c r="BG39" s="25">
        <f t="shared" ref="BG39" si="771">BF39+BG38</f>
        <v>40203364.329618067</v>
      </c>
      <c r="BH39" s="25">
        <f t="shared" ref="BH39" si="772">BG39+BH38</f>
        <v>41419694.031618223</v>
      </c>
      <c r="BI39" s="25">
        <f t="shared" ref="BI39" si="773">BH39+BI38</f>
        <v>42640078.165958375</v>
      </c>
      <c r="BJ39" s="25">
        <f t="shared" ref="BJ39" si="774">BI39+BJ38</f>
        <v>43864530.247412995</v>
      </c>
      <c r="BK39" s="25">
        <f t="shared" ref="BK39" si="775">BJ39+BK38</f>
        <v>45093063.835805796</v>
      </c>
      <c r="BL39" s="25">
        <f t="shared" ref="BL39" si="776">BK39+BL38</f>
        <v>46325692.53615991</v>
      </c>
      <c r="BM39" s="25">
        <f t="shared" ref="BM39" si="777">BL39+BM38</f>
        <v>47562429.998848535</v>
      </c>
      <c r="BN39" s="25">
        <f t="shared" ref="BN39" si="778">BM39+BN38</f>
        <v>48803289.919746123</v>
      </c>
      <c r="BO39" s="25">
        <f t="shared" ref="BO39" si="779">BN39+BO38</f>
        <v>50048286.040380038</v>
      </c>
      <c r="BP39" s="25">
        <f t="shared" ref="BP39" si="780">BO39+BP38</f>
        <v>51297432.148082733</v>
      </c>
      <c r="BQ39" s="25">
        <f t="shared" ref="BQ39" si="781">BP39+BQ38</f>
        <v>52550742.076144435</v>
      </c>
      <c r="BR39" s="25">
        <f t="shared" ref="BR39" si="782">BQ39+BR38</f>
        <v>53808229.703966342</v>
      </c>
      <c r="BS39" s="25">
        <f t="shared" ref="BS39" si="783">BR39+BS38</f>
        <v>55069908.957214326</v>
      </c>
      <c r="BT39" s="25">
        <f>BS39+BT38</f>
        <v>56335793.807973132</v>
      </c>
      <c r="BU39" s="25">
        <f t="shared" ref="BU39" si="784">BT39+BU38</f>
        <v>57605898.274901137</v>
      </c>
      <c r="BV39" s="25">
        <f t="shared" ref="BV39" si="785">BU39+BV38</f>
        <v>58880236.423385568</v>
      </c>
      <c r="BW39" s="25">
        <f t="shared" ref="BW39" si="786">BV39+BW38</f>
        <v>60158822.365698278</v>
      </c>
      <c r="BX39" s="25">
        <f t="shared" ref="BX39" si="787">BW39+BX38</f>
        <v>61441670.261152029</v>
      </c>
      <c r="BY39" s="25">
        <f t="shared" ref="BY39" si="788">BX39+BY38</f>
        <v>62728794.316257298</v>
      </c>
      <c r="BZ39" s="25">
        <f t="shared" ref="BZ39" si="789">BY39+BZ38</f>
        <v>64020208.78487958</v>
      </c>
      <c r="CA39" s="25">
        <f t="shared" ref="CA39" si="790">BZ39+CA38</f>
        <v>65315927.968397275</v>
      </c>
      <c r="CB39" s="25">
        <f t="shared" ref="CB39" si="791">CA39+CB38</f>
        <v>66615966.215860024</v>
      </c>
      <c r="CC39" s="25">
        <f t="shared" ref="CC39" si="792">CB39+CC38</f>
        <v>67920337.924147651</v>
      </c>
      <c r="CD39" s="25">
        <f t="shared" ref="CD39" si="793">CC39+CD38</f>
        <v>69229057.538129568</v>
      </c>
      <c r="CE39" s="25">
        <f t="shared" ref="CE39" si="794">CD39+CE38</f>
        <v>70542139.550824761</v>
      </c>
      <c r="CF39" s="25">
        <f t="shared" ref="CF39" si="795">CE39+CF38</f>
        <v>71859598.503562272</v>
      </c>
      <c r="CG39" s="25">
        <f>CF39+CG38</f>
        <v>73181448.986142233</v>
      </c>
      <c r="CH39" s="25">
        <f>CG39+CH38</f>
        <v>74507705.636997461</v>
      </c>
      <c r="CI39" s="25">
        <f t="shared" ref="CI39" si="796">CH39+CI38</f>
        <v>75838383.143355548</v>
      </c>
      <c r="CJ39" s="25">
        <f>CI39+CJ38</f>
        <v>77173496.241401494</v>
      </c>
      <c r="CK39" s="25">
        <f t="shared" ref="CK39" si="797">CJ39+CK38</f>
        <v>78513059.716440931</v>
      </c>
      <c r="CL39" s="25">
        <f t="shared" ref="CL39" si="798">CK39+CL38</f>
        <v>79857088.403063834</v>
      </c>
      <c r="CM39" s="25">
        <f t="shared" ref="CM39" si="799">CL39+CM38</f>
        <v>81205597.185308799</v>
      </c>
      <c r="CN39" s="25">
        <f t="shared" ref="CN39" si="800">CM39+CN38</f>
        <v>82558600.996827915</v>
      </c>
      <c r="CO39" s="25">
        <f t="shared" ref="CO39" si="801">CN39+CO38</f>
        <v>83916114.821052104</v>
      </c>
      <c r="CP39" s="25">
        <f t="shared" ref="CP39" si="802">CO39+CP38</f>
        <v>85278153.691357031</v>
      </c>
      <c r="CQ39" s="25">
        <f>CP39+CQ38</f>
        <v>86644732.691229641</v>
      </c>
      <c r="CR39" s="25">
        <f>CQ39+CR38</f>
        <v>88015866.95443517</v>
      </c>
      <c r="CS39" s="25">
        <f>CR39+CS38</f>
        <v>89391571.665184706</v>
      </c>
      <c r="CT39" s="25">
        <f>CS39+CT38</f>
        <v>90771862.058303416</v>
      </c>
      <c r="CU39" s="25">
        <f t="shared" ref="CU39" si="803">CT39+CU38</f>
        <v>92156753.419399187</v>
      </c>
      <c r="CV39" s="25">
        <f t="shared" ref="CV39" si="804">CU39+CV38</f>
        <v>93546261.085031942</v>
      </c>
      <c r="CW39" s="25">
        <f t="shared" ref="CW39" si="805">CV39+CW38</f>
        <v>94940400.442883477</v>
      </c>
      <c r="CX39" s="25">
        <f t="shared" ref="CX39" si="806">CW39+CX38</f>
        <v>96339186.931927845</v>
      </c>
      <c r="CY39" s="25">
        <f t="shared" ref="CY39" si="807">CX39+CY38</f>
        <v>97742636.04260236</v>
      </c>
      <c r="CZ39" s="25">
        <f t="shared" ref="CZ39" si="808">CY39+CZ38</f>
        <v>99150763.316979125</v>
      </c>
      <c r="DA39" s="25">
        <f t="shared" ref="DA39" si="809">CZ39+DA38</f>
        <v>100563584.34893715</v>
      </c>
      <c r="DB39" s="25">
        <f t="shared" ref="DB39" si="810">DA39+DB38</f>
        <v>101981114.78433503</v>
      </c>
      <c r="DC39" s="25">
        <f t="shared" ref="DC39" si="811">DB39+DC38</f>
        <v>103403370.32118425</v>
      </c>
      <c r="DD39" s="25">
        <f t="shared" ref="DD39" si="812">DC39+DD38</f>
        <v>104830366.70982295</v>
      </c>
      <c r="DE39" s="25">
        <f t="shared" ref="DE39" si="813">DD39+DE38</f>
        <v>106262119.75309046</v>
      </c>
      <c r="DF39" s="25">
        <f t="shared" ref="DF39" si="814">DE39+DF38</f>
        <v>107698645.30650218</v>
      </c>
      <c r="DG39" s="25">
        <f>DF39+DG38</f>
        <v>109139959.27842528</v>
      </c>
      <c r="DH39" s="25">
        <f t="shared" ref="DH39" si="815">DG39+DH38</f>
        <v>110586077.63025479</v>
      </c>
      <c r="DI39" s="25">
        <f t="shared" ref="DI39" si="816">DH39+DI38</f>
        <v>112037016.3765904</v>
      </c>
      <c r="DJ39" s="25">
        <f t="shared" ref="DJ39" si="817">DI39+DJ38</f>
        <v>113492791.5854138</v>
      </c>
      <c r="DK39" s="25">
        <f t="shared" ref="DK39" si="818">DJ39+DK38</f>
        <v>114953419.3782666</v>
      </c>
      <c r="DL39" s="25">
        <f t="shared" ref="DL39" si="819">DK39+DL38</f>
        <v>116418915.93042892</v>
      </c>
      <c r="DM39" s="25">
        <f t="shared" ref="DM39" si="820">DL39+DM38</f>
        <v>117889297.47109844</v>
      </c>
      <c r="DN39" s="25">
        <f t="shared" ref="DN39" si="821">DM39+DN38</f>
        <v>119364580.28357019</v>
      </c>
      <c r="DO39" s="25">
        <f t="shared" ref="DO39" si="822">DN39+DO38</f>
        <v>120844780.70541684</v>
      </c>
      <c r="DP39" s="25">
        <f t="shared" ref="DP39" si="823">DO39+DP38</f>
        <v>122329915.12866966</v>
      </c>
      <c r="DQ39" s="25">
        <f t="shared" ref="DQ39" si="824">DP39+DQ38</f>
        <v>123819999.99999999</v>
      </c>
      <c r="DR39" s="25"/>
      <c r="DS39" s="25"/>
    </row>
    <row r="40" spans="1:123" s="53" customFormat="1" x14ac:dyDescent="0.25">
      <c r="A40" s="22" t="s">
        <v>8</v>
      </c>
      <c r="B40" s="165">
        <f t="shared" ref="B40:BM40" si="825">B38+B36</f>
        <v>312989.4444444445</v>
      </c>
      <c r="C40" s="165">
        <f t="shared" si="825"/>
        <v>746359.4444444445</v>
      </c>
      <c r="D40" s="165">
        <f t="shared" si="825"/>
        <v>722283.33333333337</v>
      </c>
      <c r="E40" s="165">
        <f t="shared" si="825"/>
        <v>746359.4444444445</v>
      </c>
      <c r="F40" s="165">
        <f t="shared" si="825"/>
        <v>722283.33333333337</v>
      </c>
      <c r="G40" s="165">
        <f t="shared" si="825"/>
        <v>560629.4444444445</v>
      </c>
      <c r="H40" s="165">
        <f t="shared" si="825"/>
        <v>426491.11111111112</v>
      </c>
      <c r="I40" s="165">
        <f t="shared" si="825"/>
        <v>385217.77777777775</v>
      </c>
      <c r="J40" s="165">
        <f t="shared" si="825"/>
        <v>426491.11111111112</v>
      </c>
      <c r="K40" s="165">
        <f t="shared" si="825"/>
        <v>412733.33333333331</v>
      </c>
      <c r="L40" s="165">
        <f t="shared" si="825"/>
        <v>426491.11111111112</v>
      </c>
      <c r="M40" s="165">
        <f t="shared" si="825"/>
        <v>412733.33333333331</v>
      </c>
      <c r="N40" s="165">
        <f t="shared" si="825"/>
        <v>426491.11111111112</v>
      </c>
      <c r="O40" s="165">
        <f t="shared" si="825"/>
        <v>426491.11111111112</v>
      </c>
      <c r="P40" s="165">
        <f t="shared" si="825"/>
        <v>412733.33333333331</v>
      </c>
      <c r="Q40" s="165">
        <f t="shared" si="825"/>
        <v>426491.11111111112</v>
      </c>
      <c r="R40" s="165">
        <f t="shared" si="825"/>
        <v>412733.33333333331</v>
      </c>
      <c r="S40" s="165">
        <f t="shared" si="825"/>
        <v>426491.11111111112</v>
      </c>
      <c r="T40" s="165">
        <f t="shared" si="825"/>
        <v>426491.11111111112</v>
      </c>
      <c r="U40" s="165">
        <f t="shared" si="825"/>
        <v>385217.77777777775</v>
      </c>
      <c r="V40" s="165">
        <f t="shared" si="825"/>
        <v>426491.11111111112</v>
      </c>
      <c r="W40" s="165">
        <f t="shared" si="825"/>
        <v>412733.33333333331</v>
      </c>
      <c r="X40" s="165">
        <f t="shared" si="825"/>
        <v>426491.11111111112</v>
      </c>
      <c r="Y40" s="165">
        <f t="shared" si="825"/>
        <v>412733.33333333331</v>
      </c>
      <c r="Z40" s="165">
        <f t="shared" si="825"/>
        <v>426491.11111111112</v>
      </c>
      <c r="AA40" s="165">
        <f t="shared" si="825"/>
        <v>426491.11111111112</v>
      </c>
      <c r="AB40" s="165">
        <f t="shared" si="825"/>
        <v>4275229.444444444</v>
      </c>
      <c r="AC40" s="165">
        <f t="shared" si="825"/>
        <v>413163.26388888888</v>
      </c>
      <c r="AD40" s="165">
        <f t="shared" si="825"/>
        <v>399835.41666666669</v>
      </c>
      <c r="AE40" s="165">
        <f t="shared" si="825"/>
        <v>4275229.444444444</v>
      </c>
      <c r="AF40" s="31">
        <f t="shared" si="825"/>
        <v>1505856.6327397237</v>
      </c>
      <c r="AG40" s="31">
        <f t="shared" si="825"/>
        <v>1480176.9462037291</v>
      </c>
      <c r="AH40" s="31">
        <f t="shared" si="825"/>
        <v>1505595.9974112355</v>
      </c>
      <c r="AI40" s="31">
        <f t="shared" si="825"/>
        <v>1493062.0743373448</v>
      </c>
      <c r="AJ40" s="31">
        <f t="shared" si="825"/>
        <v>1505208.8479271538</v>
      </c>
      <c r="AK40" s="31">
        <f t="shared" si="825"/>
        <v>1493048.7872519556</v>
      </c>
      <c r="AL40" s="31">
        <f t="shared" si="825"/>
        <v>1505069.4937374084</v>
      </c>
      <c r="AM40" s="31">
        <f t="shared" si="825"/>
        <v>1504684.7179283232</v>
      </c>
      <c r="AN40" s="31">
        <f t="shared" si="825"/>
        <v>1493028.6900734864</v>
      </c>
      <c r="AO40" s="31">
        <f t="shared" si="825"/>
        <v>1504669.9911378212</v>
      </c>
      <c r="AP40" s="31">
        <f t="shared" si="825"/>
        <v>1493015.180055402</v>
      </c>
      <c r="AQ40" s="31">
        <f t="shared" si="825"/>
        <v>1504401.4316804139</v>
      </c>
      <c r="AR40" s="31">
        <f t="shared" si="825"/>
        <v>1504266.4801806882</v>
      </c>
      <c r="AS40" s="31">
        <f t="shared" si="825"/>
        <v>1470722.0793651871</v>
      </c>
      <c r="AT40" s="31">
        <f t="shared" si="825"/>
        <v>1503995.2261667782</v>
      </c>
      <c r="AU40" s="31">
        <f t="shared" si="825"/>
        <v>1492981.008992305</v>
      </c>
      <c r="AV40" s="31">
        <f t="shared" si="825"/>
        <v>1503722.1607788422</v>
      </c>
      <c r="AW40" s="31">
        <f t="shared" si="825"/>
        <v>1492967.1805705561</v>
      </c>
      <c r="AX40" s="31">
        <f t="shared" si="825"/>
        <v>1503447.2719209264</v>
      </c>
      <c r="AY40" s="31">
        <f t="shared" si="825"/>
        <v>1503309.1398886691</v>
      </c>
      <c r="AZ40" s="31">
        <f t="shared" si="825"/>
        <v>1492946.2646020274</v>
      </c>
      <c r="BA40" s="31">
        <f t="shared" si="825"/>
        <v>1503031.4929690314</v>
      </c>
      <c r="BB40" s="31">
        <f t="shared" si="825"/>
        <v>1492932.2041649616</v>
      </c>
      <c r="BC40" s="31">
        <f t="shared" si="825"/>
        <v>1502751.9919849639</v>
      </c>
      <c r="BD40" s="31">
        <f t="shared" si="825"/>
        <v>1502611.5423529199</v>
      </c>
      <c r="BE40" s="31">
        <f t="shared" si="825"/>
        <v>1473791.562684732</v>
      </c>
      <c r="BF40" s="31">
        <f t="shared" si="825"/>
        <v>1502329.2370319602</v>
      </c>
      <c r="BG40" s="31">
        <f t="shared" si="825"/>
        <v>1492896.6409200304</v>
      </c>
      <c r="BH40" s="31">
        <f t="shared" si="825"/>
        <v>1502045.0465388016</v>
      </c>
      <c r="BI40" s="31">
        <f t="shared" si="825"/>
        <v>1492882.2491070437</v>
      </c>
      <c r="BJ40" s="31">
        <f t="shared" si="825"/>
        <v>1501758.9582846831</v>
      </c>
      <c r="BK40" s="31">
        <f t="shared" si="825"/>
        <v>1501615.1985403048</v>
      </c>
      <c r="BL40" s="31">
        <f t="shared" si="825"/>
        <v>1492860.4809896855</v>
      </c>
      <c r="BM40" s="31">
        <f t="shared" si="825"/>
        <v>1501326.2398567745</v>
      </c>
      <c r="BN40" s="31">
        <f t="shared" ref="BN40:CP40" si="826">BN38+BN36</f>
        <v>1492845.8477087193</v>
      </c>
      <c r="BO40" s="31">
        <f t="shared" si="826"/>
        <v>1501035.3515713683</v>
      </c>
      <c r="BP40" s="31">
        <f t="shared" si="826"/>
        <v>1500889.179804612</v>
      </c>
      <c r="BQ40" s="31">
        <f t="shared" si="826"/>
        <v>1476986.1014906818</v>
      </c>
      <c r="BR40" s="31">
        <f t="shared" si="826"/>
        <v>1500595.372929302</v>
      </c>
      <c r="BS40" s="31">
        <f t="shared" si="826"/>
        <v>1492808.8355623186</v>
      </c>
      <c r="BT40" s="31">
        <f t="shared" si="826"/>
        <v>1500299.604076969</v>
      </c>
      <c r="BU40" s="31">
        <f t="shared" si="826"/>
        <v>1492793.8574046653</v>
      </c>
      <c r="BV40" s="31">
        <f t="shared" si="826"/>
        <v>1500001.8601459665</v>
      </c>
      <c r="BW40" s="31">
        <f t="shared" si="826"/>
        <v>1499852.2434077926</v>
      </c>
      <c r="BX40" s="31">
        <f t="shared" si="826"/>
        <v>1492771.2024206193</v>
      </c>
      <c r="BY40" s="31">
        <f t="shared" si="826"/>
        <v>1499551.5121016549</v>
      </c>
      <c r="BZ40" s="31">
        <f t="shared" si="826"/>
        <v>1492755.9729572088</v>
      </c>
      <c r="CA40" s="31">
        <f t="shared" si="826"/>
        <v>1499248.7725786839</v>
      </c>
      <c r="CB40" s="31">
        <f t="shared" si="826"/>
        <v>1499096.6455486191</v>
      </c>
      <c r="CC40" s="31">
        <f t="shared" si="826"/>
        <v>1486521.8643004869</v>
      </c>
      <c r="CD40" s="31">
        <f t="shared" si="826"/>
        <v>1498790.8685278883</v>
      </c>
      <c r="CE40" s="31">
        <f t="shared" si="826"/>
        <v>1492717.452878857</v>
      </c>
      <c r="CF40" s="31">
        <f t="shared" si="826"/>
        <v>1498483.0495961637</v>
      </c>
      <c r="CG40" s="31">
        <f t="shared" si="826"/>
        <v>1492701.8644879505</v>
      </c>
      <c r="CH40" s="31">
        <f t="shared" si="826"/>
        <v>1498173.1751180172</v>
      </c>
      <c r="CI40" s="31">
        <f t="shared" si="826"/>
        <v>1498017.4627630832</v>
      </c>
      <c r="CJ40" s="31">
        <f t="shared" si="826"/>
        <v>1492678.2865049001</v>
      </c>
      <c r="CK40" s="31">
        <f t="shared" si="826"/>
        <v>1497704.4791995292</v>
      </c>
      <c r="CL40" s="31">
        <f t="shared" si="826"/>
        <v>1492662.4365696521</v>
      </c>
      <c r="CM40" s="31">
        <f t="shared" si="826"/>
        <v>1497389.4056012896</v>
      </c>
      <c r="CN40" s="31">
        <f t="shared" si="826"/>
        <v>1497231.0806813003</v>
      </c>
      <c r="CO40" s="31">
        <f t="shared" si="826"/>
        <v>1483770.9329519281</v>
      </c>
      <c r="CP40" s="31">
        <f t="shared" si="826"/>
        <v>1496912.8458329553</v>
      </c>
      <c r="CQ40" s="31">
        <f>CQ38+CQ36</f>
        <v>1492622.3471238748</v>
      </c>
      <c r="CR40" s="31">
        <f>CR38+CR36</f>
        <v>1496592.4858830124</v>
      </c>
      <c r="CS40" s="31">
        <f>CS38+CS36</f>
        <v>1492606.1236378714</v>
      </c>
      <c r="CT40" s="31">
        <f>CT38+CT36</f>
        <v>1496269.9866405148</v>
      </c>
      <c r="CU40" s="31">
        <f t="shared" ref="CU40:DF40" si="827">CU38+CU36</f>
        <v>1496107.9303239894</v>
      </c>
      <c r="CV40" s="31">
        <f t="shared" si="827"/>
        <v>1492581.5850514125</v>
      </c>
      <c r="CW40" s="31">
        <f t="shared" si="827"/>
        <v>1495782.1953271474</v>
      </c>
      <c r="CX40" s="31">
        <f t="shared" si="827"/>
        <v>1492565.0893653471</v>
      </c>
      <c r="CY40" s="31">
        <f t="shared" si="827"/>
        <v>1495454.2851443824</v>
      </c>
      <c r="CZ40" s="31">
        <f t="shared" si="827"/>
        <v>1495289.5098228697</v>
      </c>
      <c r="DA40" s="31">
        <f t="shared" si="827"/>
        <v>1487372.0466999311</v>
      </c>
      <c r="DB40" s="31">
        <f t="shared" si="827"/>
        <v>1494958.3095957926</v>
      </c>
      <c r="DC40" s="31">
        <f t="shared" si="827"/>
        <v>1492523.366613694</v>
      </c>
      <c r="DD40" s="31">
        <f t="shared" si="827"/>
        <v>1494624.8976871993</v>
      </c>
      <c r="DE40" s="31">
        <f t="shared" si="827"/>
        <v>1492506.4821578395</v>
      </c>
      <c r="DF40" s="31">
        <f t="shared" si="827"/>
        <v>1494289.2593279714</v>
      </c>
      <c r="DG40" s="31">
        <f>DG38+DG36</f>
        <v>1494120.6005870712</v>
      </c>
      <c r="DH40" s="31">
        <f t="shared" ref="DH40:DM40" si="828">DH38+DH36</f>
        <v>1492480.9438315069</v>
      </c>
      <c r="DI40" s="31">
        <f t="shared" si="828"/>
        <v>1493781.594643875</v>
      </c>
      <c r="DJ40" s="31">
        <f t="shared" si="828"/>
        <v>1492463.77608574</v>
      </c>
      <c r="DK40" s="31">
        <f t="shared" si="828"/>
        <v>1493440.3248943246</v>
      </c>
      <c r="DL40" s="31">
        <f t="shared" si="828"/>
        <v>1493268.8363719785</v>
      </c>
      <c r="DM40" s="31">
        <f t="shared" si="828"/>
        <v>1491119.8753782576</v>
      </c>
      <c r="DN40" s="31">
        <f>DN38+DN36</f>
        <v>1492924.1425366353</v>
      </c>
      <c r="DO40" s="31">
        <f t="shared" ref="DO40" si="829">DO38+DO36</f>
        <v>1492420.3534848096</v>
      </c>
      <c r="DP40" s="31">
        <f>DP38+DP36</f>
        <v>1492577.1469124577</v>
      </c>
      <c r="DQ40" s="31">
        <f>DQ38+DQ36</f>
        <v>1492402.7811301721</v>
      </c>
      <c r="DR40" s="31"/>
      <c r="DS40" s="31"/>
    </row>
    <row r="41" spans="1:123" s="53" customFormat="1" ht="14.25" thickBot="1" x14ac:dyDescent="0.3">
      <c r="A41" s="32" t="s">
        <v>9</v>
      </c>
      <c r="B41" s="166">
        <f>B35-B38</f>
        <v>123820000</v>
      </c>
      <c r="C41" s="166">
        <f t="shared" ref="C41:BN41" si="830">C35-C38</f>
        <v>123820000</v>
      </c>
      <c r="D41" s="166">
        <f t="shared" si="830"/>
        <v>123820000</v>
      </c>
      <c r="E41" s="166">
        <f t="shared" si="830"/>
        <v>123820000</v>
      </c>
      <c r="F41" s="166">
        <f t="shared" si="830"/>
        <v>123820000</v>
      </c>
      <c r="G41" s="166">
        <f t="shared" si="830"/>
        <v>123820000</v>
      </c>
      <c r="H41" s="166">
        <f t="shared" si="830"/>
        <v>123820000</v>
      </c>
      <c r="I41" s="166">
        <f t="shared" si="830"/>
        <v>123820000</v>
      </c>
      <c r="J41" s="166">
        <f t="shared" si="830"/>
        <v>123820000</v>
      </c>
      <c r="K41" s="166">
        <f t="shared" si="830"/>
        <v>123820000</v>
      </c>
      <c r="L41" s="166">
        <f t="shared" si="830"/>
        <v>123820000</v>
      </c>
      <c r="M41" s="166">
        <f t="shared" si="830"/>
        <v>123820000</v>
      </c>
      <c r="N41" s="166">
        <f t="shared" si="830"/>
        <v>123820000</v>
      </c>
      <c r="O41" s="166">
        <f t="shared" si="830"/>
        <v>123820000</v>
      </c>
      <c r="P41" s="166">
        <f t="shared" si="830"/>
        <v>123820000</v>
      </c>
      <c r="Q41" s="166">
        <f t="shared" si="830"/>
        <v>123820000</v>
      </c>
      <c r="R41" s="166">
        <f t="shared" si="830"/>
        <v>123820000</v>
      </c>
      <c r="S41" s="166">
        <f t="shared" si="830"/>
        <v>123820000</v>
      </c>
      <c r="T41" s="166">
        <f t="shared" si="830"/>
        <v>123820000</v>
      </c>
      <c r="U41" s="166">
        <f t="shared" si="830"/>
        <v>123820000</v>
      </c>
      <c r="V41" s="166">
        <f t="shared" si="830"/>
        <v>123820000</v>
      </c>
      <c r="W41" s="166">
        <f t="shared" si="830"/>
        <v>123820000</v>
      </c>
      <c r="X41" s="166">
        <f t="shared" si="830"/>
        <v>123820000</v>
      </c>
      <c r="Y41" s="166">
        <f t="shared" si="830"/>
        <v>123820000</v>
      </c>
      <c r="Z41" s="166">
        <f t="shared" si="830"/>
        <v>123820000</v>
      </c>
      <c r="AA41" s="166">
        <f t="shared" si="830"/>
        <v>123820000</v>
      </c>
      <c r="AB41" s="166">
        <f t="shared" si="830"/>
        <v>119950625</v>
      </c>
      <c r="AC41" s="166">
        <f t="shared" si="830"/>
        <v>119950625</v>
      </c>
      <c r="AD41" s="166">
        <f t="shared" si="830"/>
        <v>119950625</v>
      </c>
      <c r="AE41" s="166">
        <f t="shared" si="830"/>
        <v>116081250</v>
      </c>
      <c r="AF41" s="33">
        <f t="shared" si="830"/>
        <v>114973135.67909858</v>
      </c>
      <c r="AG41" s="33">
        <f t="shared" si="830"/>
        <v>113861327.64379415</v>
      </c>
      <c r="AH41" s="33">
        <f t="shared" si="830"/>
        <v>112745813.58170538</v>
      </c>
      <c r="AI41" s="33">
        <f t="shared" si="830"/>
        <v>111626581.13940963</v>
      </c>
      <c r="AJ41" s="33">
        <f t="shared" si="830"/>
        <v>110503617.92230624</v>
      </c>
      <c r="AK41" s="33">
        <f t="shared" si="830"/>
        <v>109376911.49447916</v>
      </c>
      <c r="AL41" s="33">
        <f t="shared" si="830"/>
        <v>108246449.37855934</v>
      </c>
      <c r="AM41" s="33">
        <f t="shared" si="830"/>
        <v>107112219.05558644</v>
      </c>
      <c r="AN41" s="33">
        <f t="shared" si="830"/>
        <v>105974207.9648703</v>
      </c>
      <c r="AO41" s="33">
        <f t="shared" si="830"/>
        <v>104832403.50385177</v>
      </c>
      <c r="AP41" s="33">
        <f t="shared" si="830"/>
        <v>103686793.02796319</v>
      </c>
      <c r="AQ41" s="33">
        <f t="shared" si="830"/>
        <v>102537363.85048831</v>
      </c>
      <c r="AR41" s="33">
        <f t="shared" si="830"/>
        <v>101384103.24242184</v>
      </c>
      <c r="AS41" s="33">
        <f t="shared" si="830"/>
        <v>100226998.43232848</v>
      </c>
      <c r="AT41" s="33">
        <f t="shared" si="830"/>
        <v>99066036.606201485</v>
      </c>
      <c r="AU41" s="33">
        <f t="shared" si="830"/>
        <v>97901204.907320723</v>
      </c>
      <c r="AV41" s="33">
        <f t="shared" si="830"/>
        <v>96732490.436110362</v>
      </c>
      <c r="AW41" s="33">
        <f t="shared" si="830"/>
        <v>95559880.249995977</v>
      </c>
      <c r="AX41" s="33">
        <f t="shared" si="830"/>
        <v>94383361.363261208</v>
      </c>
      <c r="AY41" s="33">
        <f t="shared" si="830"/>
        <v>93202920.746903986</v>
      </c>
      <c r="AZ41" s="33">
        <f t="shared" si="830"/>
        <v>92018545.328492239</v>
      </c>
      <c r="BA41" s="33">
        <f t="shared" si="830"/>
        <v>90830221.992019117</v>
      </c>
      <c r="BB41" s="33">
        <f t="shared" si="830"/>
        <v>89637937.577757761</v>
      </c>
      <c r="BC41" s="33">
        <f t="shared" si="830"/>
        <v>88441678.882115528</v>
      </c>
      <c r="BD41" s="33">
        <f t="shared" si="830"/>
        <v>87241432.657487825</v>
      </c>
      <c r="BE41" s="33">
        <f t="shared" si="830"/>
        <v>86037185.61211136</v>
      </c>
      <c r="BF41" s="33">
        <f t="shared" si="830"/>
        <v>84828924.409916967</v>
      </c>
      <c r="BG41" s="33">
        <f t="shared" si="830"/>
        <v>83616635.670381933</v>
      </c>
      <c r="BH41" s="33">
        <f t="shared" si="830"/>
        <v>82400305.968381777</v>
      </c>
      <c r="BI41" s="33">
        <f t="shared" si="830"/>
        <v>81179921.834041625</v>
      </c>
      <c r="BJ41" s="33">
        <f t="shared" si="830"/>
        <v>79955469.752587005</v>
      </c>
      <c r="BK41" s="33">
        <f t="shared" si="830"/>
        <v>78726936.164194196</v>
      </c>
      <c r="BL41" s="33">
        <f t="shared" si="830"/>
        <v>77494307.463840082</v>
      </c>
      <c r="BM41" s="33">
        <f t="shared" si="830"/>
        <v>76257570.001151457</v>
      </c>
      <c r="BN41" s="33">
        <f t="shared" si="830"/>
        <v>75016710.080253869</v>
      </c>
      <c r="BO41" s="33">
        <f t="shared" ref="BO41:CP41" si="831">BO35-BO38</f>
        <v>73771713.959619954</v>
      </c>
      <c r="BP41" s="33">
        <f t="shared" si="831"/>
        <v>72522567.851917267</v>
      </c>
      <c r="BQ41" s="33">
        <f t="shared" si="831"/>
        <v>71269257.923855558</v>
      </c>
      <c r="BR41" s="33">
        <f t="shared" si="831"/>
        <v>70011770.296033651</v>
      </c>
      <c r="BS41" s="33">
        <f t="shared" si="831"/>
        <v>68750091.042785674</v>
      </c>
      <c r="BT41" s="33">
        <f t="shared" si="831"/>
        <v>67484206.192026868</v>
      </c>
      <c r="BU41" s="33">
        <f t="shared" si="831"/>
        <v>66214101.725098863</v>
      </c>
      <c r="BV41" s="33">
        <f t="shared" si="831"/>
        <v>64939763.576614432</v>
      </c>
      <c r="BW41" s="33">
        <f t="shared" si="831"/>
        <v>63661177.634301722</v>
      </c>
      <c r="BX41" s="33">
        <f t="shared" si="831"/>
        <v>62378329.738847971</v>
      </c>
      <c r="BY41" s="33">
        <f t="shared" si="831"/>
        <v>61091205.683742702</v>
      </c>
      <c r="BZ41" s="33">
        <f t="shared" si="831"/>
        <v>59799791.21512042</v>
      </c>
      <c r="CA41" s="33">
        <f t="shared" si="831"/>
        <v>58504072.031602725</v>
      </c>
      <c r="CB41" s="33">
        <f t="shared" si="831"/>
        <v>57204033.784139976</v>
      </c>
      <c r="CC41" s="33">
        <f t="shared" si="831"/>
        <v>55899662.075852349</v>
      </c>
      <c r="CD41" s="33">
        <f t="shared" si="831"/>
        <v>54590942.461870432</v>
      </c>
      <c r="CE41" s="33">
        <f t="shared" si="831"/>
        <v>53277860.449175239</v>
      </c>
      <c r="CF41" s="33">
        <f t="shared" si="831"/>
        <v>51960401.496437728</v>
      </c>
      <c r="CG41" s="33">
        <f t="shared" si="831"/>
        <v>50638551.01385776</v>
      </c>
      <c r="CH41" s="33">
        <f t="shared" si="831"/>
        <v>49312294.363002524</v>
      </c>
      <c r="CI41" s="33">
        <f t="shared" si="831"/>
        <v>47981616.856644437</v>
      </c>
      <c r="CJ41" s="33">
        <f t="shared" si="831"/>
        <v>46646503.758598492</v>
      </c>
      <c r="CK41" s="33">
        <f t="shared" si="831"/>
        <v>45306940.283559062</v>
      </c>
      <c r="CL41" s="33">
        <f t="shared" si="831"/>
        <v>43962911.596936166</v>
      </c>
      <c r="CM41" s="33">
        <f t="shared" si="831"/>
        <v>42614402.814691193</v>
      </c>
      <c r="CN41" s="33">
        <f t="shared" si="831"/>
        <v>41261399.00317207</v>
      </c>
      <c r="CO41" s="33">
        <f t="shared" si="831"/>
        <v>39903885.178947881</v>
      </c>
      <c r="CP41" s="33">
        <f t="shared" si="831"/>
        <v>38541846.308642946</v>
      </c>
      <c r="CQ41" s="33">
        <f>CQ35-CQ38</f>
        <v>37175267.308770329</v>
      </c>
      <c r="CR41" s="33">
        <f>CR35-CR38</f>
        <v>35804133.045564801</v>
      </c>
      <c r="CS41" s="33">
        <f>CS35-CS38</f>
        <v>34428428.334815256</v>
      </c>
      <c r="CT41" s="33">
        <f>CT35-CT38</f>
        <v>33048137.941696547</v>
      </c>
      <c r="CU41" s="33">
        <f t="shared" ref="CU41:DF41" si="832">CU35-CU38</f>
        <v>31663246.580600776</v>
      </c>
      <c r="CV41" s="33">
        <f t="shared" si="832"/>
        <v>30273738.914968017</v>
      </c>
      <c r="CW41" s="33">
        <f t="shared" si="832"/>
        <v>28879599.557116486</v>
      </c>
      <c r="CX41" s="33">
        <f t="shared" si="832"/>
        <v>27480813.068072114</v>
      </c>
      <c r="CY41" s="33">
        <f t="shared" si="832"/>
        <v>26077363.957397595</v>
      </c>
      <c r="CZ41" s="33">
        <f t="shared" si="832"/>
        <v>24669236.683020826</v>
      </c>
      <c r="DA41" s="33">
        <f t="shared" si="832"/>
        <v>23256415.651062801</v>
      </c>
      <c r="DB41" s="33">
        <f t="shared" si="832"/>
        <v>21838885.215664919</v>
      </c>
      <c r="DC41" s="33">
        <f t="shared" si="832"/>
        <v>20416629.678815711</v>
      </c>
      <c r="DD41" s="33">
        <f t="shared" si="832"/>
        <v>18989633.290177003</v>
      </c>
      <c r="DE41" s="33">
        <f t="shared" si="832"/>
        <v>17557880.246909499</v>
      </c>
      <c r="DF41" s="33">
        <f t="shared" si="832"/>
        <v>16121354.693497771</v>
      </c>
      <c r="DG41" s="33">
        <f>DG35-DG38</f>
        <v>14680040.721574672</v>
      </c>
      <c r="DH41" s="33">
        <f t="shared" ref="DH41:DM41" si="833">DH35-DH38</f>
        <v>13233922.369745161</v>
      </c>
      <c r="DI41" s="33">
        <f t="shared" si="833"/>
        <v>11782983.623409552</v>
      </c>
      <c r="DJ41" s="33">
        <f t="shared" si="833"/>
        <v>10327208.414586158</v>
      </c>
      <c r="DK41" s="33">
        <f t="shared" si="833"/>
        <v>8866580.6217333525</v>
      </c>
      <c r="DL41" s="33">
        <f t="shared" si="833"/>
        <v>7401084.0695710378</v>
      </c>
      <c r="DM41" s="33">
        <f t="shared" si="833"/>
        <v>5930702.5289015155</v>
      </c>
      <c r="DN41" s="33">
        <f>DN35-DN38</f>
        <v>4455419.7164297607</v>
      </c>
      <c r="DO41" s="33">
        <f t="shared" ref="DO41:DQ41" si="834">DO35-DO38</f>
        <v>2975219.2945831008</v>
      </c>
      <c r="DP41" s="33">
        <f t="shared" si="834"/>
        <v>1490084.8713302852</v>
      </c>
      <c r="DQ41" s="33">
        <f t="shared" si="834"/>
        <v>-3.9814040064811707E-8</v>
      </c>
      <c r="DR41" s="33"/>
      <c r="DS41" s="33"/>
    </row>
    <row r="43" spans="1:123" s="55" customFormat="1" ht="18.75" x14ac:dyDescent="0.3">
      <c r="A43" s="143" t="s">
        <v>78</v>
      </c>
      <c r="B43" s="49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</row>
    <row r="44" spans="1:123" x14ac:dyDescent="0.25">
      <c r="A44" s="142" t="s">
        <v>58</v>
      </c>
      <c r="B44" s="152">
        <v>42947</v>
      </c>
      <c r="C44" s="152">
        <f>EDATE(B44,1)</f>
        <v>42978</v>
      </c>
      <c r="D44" s="152">
        <f>EDATE(C44,1)</f>
        <v>43008</v>
      </c>
      <c r="E44" s="152">
        <f t="shared" ref="E44" si="835">EDATE(D44,1)</f>
        <v>43038</v>
      </c>
      <c r="F44" s="152">
        <f t="shared" ref="F44" si="836">EDATE(E44,1)</f>
        <v>43069</v>
      </c>
      <c r="G44" s="152">
        <f t="shared" ref="G44" si="837">EDATE(F44,1)</f>
        <v>43099</v>
      </c>
      <c r="H44" s="152">
        <f t="shared" ref="H44" si="838">EDATE(G44,1)</f>
        <v>43130</v>
      </c>
      <c r="I44" s="152">
        <f t="shared" ref="I44" si="839">EDATE(H44,1)</f>
        <v>43159</v>
      </c>
      <c r="J44" s="152">
        <f t="shared" ref="J44" si="840">EDATE(I44,1)</f>
        <v>43187</v>
      </c>
      <c r="K44" s="152">
        <f t="shared" ref="K44" si="841">EDATE(J44,1)</f>
        <v>43218</v>
      </c>
      <c r="L44" s="152">
        <f t="shared" ref="L44" si="842">EDATE(K44,1)</f>
        <v>43248</v>
      </c>
      <c r="M44" s="152">
        <f t="shared" ref="M44" si="843">EDATE(L44,1)</f>
        <v>43279</v>
      </c>
      <c r="N44" s="152">
        <f t="shared" ref="N44" si="844">EDATE(M44,1)</f>
        <v>43309</v>
      </c>
      <c r="O44" s="152">
        <f t="shared" ref="O44" si="845">EDATE(N44,1)</f>
        <v>43340</v>
      </c>
      <c r="P44" s="152">
        <f t="shared" ref="P44" si="846">EDATE(O44,1)</f>
        <v>43371</v>
      </c>
      <c r="Q44" s="152">
        <f t="shared" ref="Q44" si="847">EDATE(P44,1)</f>
        <v>43401</v>
      </c>
      <c r="R44" s="152">
        <f t="shared" ref="R44" si="848">EDATE(Q44,1)</f>
        <v>43432</v>
      </c>
      <c r="S44" s="152">
        <f t="shared" ref="S44" si="849">EDATE(R44,1)</f>
        <v>43462</v>
      </c>
      <c r="T44" s="152">
        <f t="shared" ref="T44" si="850">EDATE(S44,1)</f>
        <v>43493</v>
      </c>
      <c r="U44" s="152">
        <f t="shared" ref="U44" si="851">EDATE(T44,1)</f>
        <v>43524</v>
      </c>
      <c r="V44" s="152">
        <f t="shared" ref="V44" si="852">EDATE(U44,1)</f>
        <v>43552</v>
      </c>
      <c r="W44" s="152">
        <f t="shared" ref="W44" si="853">EDATE(V44,1)</f>
        <v>43583</v>
      </c>
      <c r="X44" s="152">
        <f t="shared" ref="X44" si="854">EDATE(W44,1)</f>
        <v>43613</v>
      </c>
      <c r="Y44" s="152">
        <f t="shared" ref="Y44" si="855">EDATE(X44,1)</f>
        <v>43644</v>
      </c>
      <c r="Z44" s="152">
        <f t="shared" ref="Z44" si="856">EDATE(Y44,1)</f>
        <v>43674</v>
      </c>
      <c r="AA44" s="152">
        <f t="shared" ref="AA44" si="857">EDATE(Z44,1)</f>
        <v>43705</v>
      </c>
      <c r="AB44" s="152">
        <f t="shared" ref="AB44" si="858">EDATE(AA44,1)</f>
        <v>43736</v>
      </c>
      <c r="AC44" s="152">
        <f t="shared" ref="AC44" si="859">EDATE(AB44,1)</f>
        <v>43766</v>
      </c>
      <c r="AD44" s="152">
        <f t="shared" ref="AD44" si="860">EDATE(AC44,1)</f>
        <v>43797</v>
      </c>
      <c r="AE44" s="152">
        <f t="shared" ref="AE44" si="861">EDATE(AD44,1)</f>
        <v>43827</v>
      </c>
      <c r="AF44" s="152">
        <f t="shared" ref="AF44" si="862">EDATE(AE44,1)</f>
        <v>43858</v>
      </c>
      <c r="AG44" s="152">
        <f t="shared" ref="AG44" si="863">EDATE(AF44,1)</f>
        <v>43889</v>
      </c>
      <c r="AH44" s="152">
        <f t="shared" ref="AH44" si="864">EDATE(AG44,1)</f>
        <v>43918</v>
      </c>
      <c r="AI44" s="152">
        <f t="shared" ref="AI44" si="865">EDATE(AH44,1)</f>
        <v>43949</v>
      </c>
      <c r="AJ44" s="152">
        <f t="shared" ref="AJ44" si="866">EDATE(AI44,1)</f>
        <v>43979</v>
      </c>
      <c r="AK44" s="152">
        <f t="shared" ref="AK44" si="867">EDATE(AJ44,1)</f>
        <v>44010</v>
      </c>
      <c r="AL44" s="152">
        <f t="shared" ref="AL44" si="868">EDATE(AK44,1)</f>
        <v>44040</v>
      </c>
      <c r="AM44" s="152">
        <f t="shared" ref="AM44" si="869">EDATE(AL44,1)</f>
        <v>44071</v>
      </c>
      <c r="AN44" s="152">
        <f t="shared" ref="AN44" si="870">EDATE(AM44,1)</f>
        <v>44102</v>
      </c>
      <c r="AO44" s="152">
        <f t="shared" ref="AO44" si="871">EDATE(AN44,1)</f>
        <v>44132</v>
      </c>
      <c r="AP44" s="152">
        <f t="shared" ref="AP44" si="872">EDATE(AO44,1)</f>
        <v>44163</v>
      </c>
      <c r="AQ44" s="152">
        <f t="shared" ref="AQ44" si="873">EDATE(AP44,1)</f>
        <v>44193</v>
      </c>
      <c r="AR44" s="152">
        <f t="shared" ref="AR44" si="874">EDATE(AQ44,1)</f>
        <v>44224</v>
      </c>
      <c r="AS44" s="152">
        <f t="shared" ref="AS44" si="875">EDATE(AR44,1)</f>
        <v>44255</v>
      </c>
      <c r="AT44" s="152">
        <f t="shared" ref="AT44" si="876">EDATE(AS44,1)</f>
        <v>44283</v>
      </c>
      <c r="AU44" s="152">
        <f t="shared" ref="AU44" si="877">EDATE(AT44,1)</f>
        <v>44314</v>
      </c>
      <c r="AV44" s="152">
        <f t="shared" ref="AV44" si="878">EDATE(AU44,1)</f>
        <v>44344</v>
      </c>
      <c r="AW44" s="152">
        <f t="shared" ref="AW44" si="879">EDATE(AV44,1)</f>
        <v>44375</v>
      </c>
      <c r="AX44" s="152">
        <f t="shared" ref="AX44" si="880">EDATE(AW44,1)</f>
        <v>44405</v>
      </c>
      <c r="AY44" s="152">
        <f t="shared" ref="AY44" si="881">EDATE(AX44,1)</f>
        <v>44436</v>
      </c>
      <c r="AZ44" s="152">
        <f t="shared" ref="AZ44" si="882">EDATE(AY44,1)</f>
        <v>44467</v>
      </c>
      <c r="BA44" s="152">
        <f t="shared" ref="BA44" si="883">EDATE(AZ44,1)</f>
        <v>44497</v>
      </c>
      <c r="BB44" s="152">
        <f t="shared" ref="BB44" si="884">EDATE(BA44,1)</f>
        <v>44528</v>
      </c>
      <c r="BC44" s="152">
        <f t="shared" ref="BC44" si="885">EDATE(BB44,1)</f>
        <v>44558</v>
      </c>
      <c r="BD44" s="152">
        <f t="shared" ref="BD44" si="886">EDATE(BC44,1)</f>
        <v>44589</v>
      </c>
      <c r="BE44" s="152">
        <f t="shared" ref="BE44" si="887">EDATE(BD44,1)</f>
        <v>44620</v>
      </c>
      <c r="BF44" s="152">
        <f t="shared" ref="BF44" si="888">EDATE(BE44,1)</f>
        <v>44648</v>
      </c>
      <c r="BG44" s="152">
        <f t="shared" ref="BG44" si="889">EDATE(BF44,1)</f>
        <v>44679</v>
      </c>
      <c r="BH44" s="152">
        <f t="shared" ref="BH44" si="890">EDATE(BG44,1)</f>
        <v>44709</v>
      </c>
      <c r="BI44" s="152">
        <f t="shared" ref="BI44" si="891">EDATE(BH44,1)</f>
        <v>44740</v>
      </c>
      <c r="BJ44" s="152">
        <f t="shared" ref="BJ44" si="892">EDATE(BI44,1)</f>
        <v>44770</v>
      </c>
      <c r="BK44" s="152">
        <f t="shared" ref="BK44" si="893">EDATE(BJ44,1)</f>
        <v>44801</v>
      </c>
      <c r="BL44" s="152">
        <f t="shared" ref="BL44" si="894">EDATE(BK44,1)</f>
        <v>44832</v>
      </c>
      <c r="BM44" s="152">
        <f t="shared" ref="BM44" si="895">EDATE(BL44,1)</f>
        <v>44862</v>
      </c>
      <c r="BN44" s="152">
        <f t="shared" ref="BN44" si="896">EDATE(BM44,1)</f>
        <v>44893</v>
      </c>
      <c r="BO44" s="152">
        <f t="shared" ref="BO44" si="897">EDATE(BN44,1)</f>
        <v>44923</v>
      </c>
      <c r="BP44" s="152">
        <f t="shared" ref="BP44" si="898">EDATE(BO44,1)</f>
        <v>44954</v>
      </c>
      <c r="BQ44" s="152">
        <f t="shared" ref="BQ44" si="899">EDATE(BP44,1)</f>
        <v>44985</v>
      </c>
      <c r="BR44" s="152">
        <f t="shared" ref="BR44" si="900">EDATE(BQ44,1)</f>
        <v>45013</v>
      </c>
      <c r="BS44" s="152">
        <f t="shared" ref="BS44" si="901">EDATE(BR44,1)</f>
        <v>45044</v>
      </c>
      <c r="BT44" s="152">
        <f t="shared" ref="BT44" si="902">EDATE(BS44,1)</f>
        <v>45074</v>
      </c>
      <c r="BU44" s="152">
        <f t="shared" ref="BU44" si="903">EDATE(BT44,1)</f>
        <v>45105</v>
      </c>
      <c r="BV44" s="152">
        <f t="shared" ref="BV44" si="904">EDATE(BU44,1)</f>
        <v>45135</v>
      </c>
      <c r="BW44" s="152">
        <f t="shared" ref="BW44" si="905">EDATE(BV44,1)</f>
        <v>45166</v>
      </c>
      <c r="BX44" s="152">
        <f t="shared" ref="BX44" si="906">EDATE(BW44,1)</f>
        <v>45197</v>
      </c>
      <c r="BY44" s="152">
        <f t="shared" ref="BY44" si="907">EDATE(BX44,1)</f>
        <v>45227</v>
      </c>
      <c r="BZ44" s="152">
        <f t="shared" ref="BZ44" si="908">EDATE(BY44,1)</f>
        <v>45258</v>
      </c>
      <c r="CA44" s="152">
        <f t="shared" ref="CA44" si="909">EDATE(BZ44,1)</f>
        <v>45288</v>
      </c>
      <c r="CB44" s="152">
        <f t="shared" ref="CB44" si="910">EDATE(CA44,1)</f>
        <v>45319</v>
      </c>
      <c r="CC44" s="152">
        <f t="shared" ref="CC44" si="911">EDATE(CB44,1)</f>
        <v>45350</v>
      </c>
      <c r="CD44" s="152">
        <f t="shared" ref="CD44" si="912">EDATE(CC44,1)</f>
        <v>45379</v>
      </c>
      <c r="CE44" s="152">
        <f t="shared" ref="CE44" si="913">EDATE(CD44,1)</f>
        <v>45410</v>
      </c>
      <c r="CF44" s="152">
        <f t="shared" ref="CF44" si="914">EDATE(CE44,1)</f>
        <v>45440</v>
      </c>
      <c r="CG44" s="152">
        <f t="shared" ref="CG44" si="915">EDATE(CF44,1)</f>
        <v>45471</v>
      </c>
      <c r="CH44" s="152">
        <f t="shared" ref="CH44" si="916">EDATE(CG44,1)</f>
        <v>45501</v>
      </c>
      <c r="CI44" s="152">
        <f t="shared" ref="CI44" si="917">EDATE(CH44,1)</f>
        <v>45532</v>
      </c>
      <c r="CJ44" s="152">
        <f t="shared" ref="CJ44" si="918">EDATE(CI44,1)</f>
        <v>45563</v>
      </c>
      <c r="CK44" s="152">
        <f t="shared" ref="CK44" si="919">EDATE(CJ44,1)</f>
        <v>45593</v>
      </c>
      <c r="CL44" s="152">
        <f t="shared" ref="CL44" si="920">EDATE(CK44,1)</f>
        <v>45624</v>
      </c>
      <c r="CM44" s="152">
        <f t="shared" ref="CM44" si="921">EDATE(CL44,1)</f>
        <v>45654</v>
      </c>
      <c r="CN44" s="152">
        <f t="shared" ref="CN44" si="922">EDATE(CM44,1)</f>
        <v>45685</v>
      </c>
      <c r="CO44" s="152">
        <f t="shared" ref="CO44" si="923">EDATE(CN44,1)</f>
        <v>45716</v>
      </c>
      <c r="CP44" s="152">
        <f t="shared" ref="CP44" si="924">EDATE(CO44,1)</f>
        <v>45744</v>
      </c>
      <c r="CQ44" s="152">
        <f t="shared" ref="CQ44" si="925">EDATE(CP44,1)</f>
        <v>45775</v>
      </c>
      <c r="CR44" s="152">
        <f t="shared" ref="CR44" si="926">EDATE(CQ44,1)</f>
        <v>45805</v>
      </c>
      <c r="CS44" s="152">
        <f t="shared" ref="CS44" si="927">EDATE(CR44,1)</f>
        <v>45836</v>
      </c>
      <c r="CT44" s="152">
        <f t="shared" ref="CT44" si="928">EDATE(CS44,1)</f>
        <v>45866</v>
      </c>
      <c r="CU44" s="152">
        <f t="shared" ref="CU44" si="929">EDATE(CT44,1)</f>
        <v>45897</v>
      </c>
      <c r="CV44" s="152">
        <f t="shared" ref="CV44" si="930">EDATE(CU44,1)</f>
        <v>45928</v>
      </c>
      <c r="CW44" s="152">
        <f t="shared" ref="CW44" si="931">EDATE(CV44,1)</f>
        <v>45958</v>
      </c>
      <c r="CX44" s="152">
        <f t="shared" ref="CX44" si="932">EDATE(CW44,1)</f>
        <v>45989</v>
      </c>
      <c r="CY44" s="152">
        <f t="shared" ref="CY44" si="933">EDATE(CX44,1)</f>
        <v>46019</v>
      </c>
      <c r="CZ44" s="152">
        <f t="shared" ref="CZ44" si="934">EDATE(CY44,1)</f>
        <v>46050</v>
      </c>
      <c r="DA44" s="152">
        <f t="shared" ref="DA44" si="935">EDATE(CZ44,1)</f>
        <v>46081</v>
      </c>
      <c r="DB44" s="152">
        <f t="shared" ref="DB44" si="936">EDATE(DA44,1)</f>
        <v>46109</v>
      </c>
      <c r="DC44" s="152">
        <f t="shared" ref="DC44" si="937">EDATE(DB44,1)</f>
        <v>46140</v>
      </c>
      <c r="DD44" s="152">
        <f t="shared" ref="DD44" si="938">EDATE(DC44,1)</f>
        <v>46170</v>
      </c>
      <c r="DE44" s="152">
        <f t="shared" ref="DE44" si="939">EDATE(DD44,1)</f>
        <v>46201</v>
      </c>
      <c r="DF44" s="152">
        <f t="shared" ref="DF44" si="940">EDATE(DE44,1)</f>
        <v>46231</v>
      </c>
      <c r="DG44" s="152">
        <f t="shared" ref="DG44" si="941">EDATE(DF44,1)</f>
        <v>46262</v>
      </c>
      <c r="DH44" s="152">
        <f t="shared" ref="DH44" si="942">EDATE(DG44,1)</f>
        <v>46293</v>
      </c>
      <c r="DI44" s="152">
        <f t="shared" ref="DI44" si="943">EDATE(DH44,1)</f>
        <v>46323</v>
      </c>
      <c r="DJ44" s="152">
        <f t="shared" ref="DJ44" si="944">EDATE(DI44,1)</f>
        <v>46354</v>
      </c>
      <c r="DK44" s="152">
        <f t="shared" ref="DK44" si="945">EDATE(DJ44,1)</f>
        <v>46384</v>
      </c>
      <c r="DL44" s="152">
        <f t="shared" ref="DL44" si="946">EDATE(DK44,1)</f>
        <v>46415</v>
      </c>
      <c r="DM44" s="152">
        <f t="shared" ref="DM44" si="947">EDATE(DL44,1)</f>
        <v>46446</v>
      </c>
      <c r="DN44" s="152">
        <f t="shared" ref="DN44" si="948">EDATE(DM44,1)</f>
        <v>46474</v>
      </c>
      <c r="DO44" s="152">
        <f t="shared" ref="DO44" si="949">EDATE(DN44,1)</f>
        <v>46505</v>
      </c>
      <c r="DP44" s="152">
        <f t="shared" ref="DP44" si="950">EDATE(DO44,1)</f>
        <v>46535</v>
      </c>
      <c r="DQ44" s="152">
        <f t="shared" ref="DQ44" si="951">EDATE(DP44,1)</f>
        <v>46566</v>
      </c>
      <c r="DR44" s="152">
        <f t="shared" ref="DR44" si="952">EDATE(DQ44,1)</f>
        <v>46596</v>
      </c>
      <c r="DS44" s="152">
        <f t="shared" ref="DS44" si="953">EDATE(DR44,1)</f>
        <v>46627</v>
      </c>
    </row>
    <row r="45" spans="1:123" s="53" customFormat="1" ht="14.25" thickBot="1" x14ac:dyDescent="0.3">
      <c r="A45" s="111" t="s">
        <v>59</v>
      </c>
      <c r="B45" s="112">
        <v>7.0000000000000007E-2</v>
      </c>
      <c r="C45" s="112">
        <v>7.0000000000000007E-2</v>
      </c>
      <c r="D45" s="112">
        <v>7.0000000000000007E-2</v>
      </c>
      <c r="E45" s="112">
        <v>7.0000000000000007E-2</v>
      </c>
      <c r="F45" s="112">
        <v>7.0000000000000007E-2</v>
      </c>
      <c r="G45" s="112">
        <v>7.0000000000000007E-2</v>
      </c>
      <c r="H45" s="112">
        <v>7.0000000000000007E-2</v>
      </c>
      <c r="I45" s="112">
        <v>7.0000000000000007E-2</v>
      </c>
      <c r="J45" s="112">
        <v>0.04</v>
      </c>
      <c r="K45" s="112">
        <v>0.04</v>
      </c>
      <c r="L45" s="112">
        <v>0.04</v>
      </c>
      <c r="M45" s="112">
        <v>0.04</v>
      </c>
      <c r="N45" s="112">
        <v>0.04</v>
      </c>
      <c r="O45" s="112">
        <v>0.04</v>
      </c>
      <c r="P45" s="112">
        <v>0.04</v>
      </c>
      <c r="Q45" s="112">
        <v>0.04</v>
      </c>
      <c r="R45" s="112">
        <v>0.04</v>
      </c>
      <c r="S45" s="112">
        <v>0.04</v>
      </c>
      <c r="T45" s="112">
        <v>0.04</v>
      </c>
      <c r="U45" s="112">
        <v>0.04</v>
      </c>
      <c r="V45" s="112">
        <v>0.04</v>
      </c>
      <c r="W45" s="112">
        <v>0.04</v>
      </c>
      <c r="X45" s="112">
        <v>0.04</v>
      </c>
      <c r="Y45" s="112">
        <v>0.04</v>
      </c>
      <c r="Z45" s="112">
        <v>0.04</v>
      </c>
      <c r="AA45" s="112">
        <v>0.04</v>
      </c>
      <c r="AB45" s="112">
        <v>0.04</v>
      </c>
      <c r="AC45" s="112">
        <v>0.04</v>
      </c>
      <c r="AD45" s="112">
        <v>0.04</v>
      </c>
      <c r="AE45" s="112">
        <v>0.04</v>
      </c>
      <c r="AF45" s="112">
        <v>0.04</v>
      </c>
      <c r="AG45" s="112">
        <v>0.04</v>
      </c>
      <c r="AH45" s="112">
        <v>0.04</v>
      </c>
      <c r="AI45" s="112">
        <v>0.04</v>
      </c>
      <c r="AJ45" s="112">
        <v>0.04</v>
      </c>
      <c r="AK45" s="112">
        <v>0.04</v>
      </c>
      <c r="AL45" s="112">
        <v>0.04</v>
      </c>
      <c r="AM45" s="112">
        <v>0.04</v>
      </c>
      <c r="AN45" s="112">
        <v>0.04</v>
      </c>
      <c r="AO45" s="112">
        <v>0.04</v>
      </c>
      <c r="AP45" s="112">
        <v>0.04</v>
      </c>
      <c r="AQ45" s="112">
        <v>0.04</v>
      </c>
      <c r="AR45" s="112">
        <v>0.04</v>
      </c>
      <c r="AS45" s="112">
        <v>0.04</v>
      </c>
      <c r="AT45" s="112">
        <v>0.04</v>
      </c>
      <c r="AU45" s="112">
        <v>0.04</v>
      </c>
      <c r="AV45" s="112">
        <v>0.04</v>
      </c>
      <c r="AW45" s="112">
        <v>0.04</v>
      </c>
      <c r="AX45" s="112">
        <v>0.04</v>
      </c>
      <c r="AY45" s="112">
        <v>0.04</v>
      </c>
      <c r="AZ45" s="112">
        <v>0.04</v>
      </c>
      <c r="BA45" s="112">
        <v>0.04</v>
      </c>
      <c r="BB45" s="112">
        <v>0.04</v>
      </c>
      <c r="BC45" s="112">
        <v>0.04</v>
      </c>
      <c r="BD45" s="112">
        <v>0.04</v>
      </c>
      <c r="BE45" s="112">
        <v>0.04</v>
      </c>
      <c r="BF45" s="112">
        <v>0.04</v>
      </c>
      <c r="BG45" s="112">
        <v>0.04</v>
      </c>
      <c r="BH45" s="112">
        <v>0.04</v>
      </c>
      <c r="BI45" s="112">
        <v>0.04</v>
      </c>
      <c r="BJ45" s="112">
        <v>0.04</v>
      </c>
      <c r="BK45" s="112">
        <v>0.04</v>
      </c>
      <c r="BL45" s="112">
        <v>0.04</v>
      </c>
      <c r="BM45" s="112">
        <v>0.04</v>
      </c>
      <c r="BN45" s="112">
        <v>0.04</v>
      </c>
      <c r="BO45" s="112">
        <v>0.04</v>
      </c>
      <c r="BP45" s="112">
        <v>0.04</v>
      </c>
      <c r="BQ45" s="112">
        <v>0.04</v>
      </c>
      <c r="BR45" s="112">
        <v>0.04</v>
      </c>
      <c r="BS45" s="112">
        <v>0.04</v>
      </c>
      <c r="BT45" s="112">
        <v>0.04</v>
      </c>
      <c r="BU45" s="112">
        <v>0.04</v>
      </c>
      <c r="BV45" s="112">
        <v>0.04</v>
      </c>
      <c r="BW45" s="112">
        <v>0.04</v>
      </c>
      <c r="BX45" s="112">
        <v>0.04</v>
      </c>
      <c r="BY45" s="112">
        <v>0.04</v>
      </c>
      <c r="BZ45" s="112">
        <v>0.04</v>
      </c>
      <c r="CA45" s="112">
        <v>0.04</v>
      </c>
      <c r="CB45" s="112">
        <v>0.04</v>
      </c>
      <c r="CC45" s="112">
        <v>0.04</v>
      </c>
      <c r="CD45" s="112">
        <v>0.04</v>
      </c>
      <c r="CE45" s="112">
        <v>0.04</v>
      </c>
      <c r="CF45" s="112">
        <v>0.04</v>
      </c>
      <c r="CG45" s="112">
        <v>0.04</v>
      </c>
      <c r="CH45" s="112">
        <v>0.04</v>
      </c>
      <c r="CI45" s="112">
        <v>0.04</v>
      </c>
      <c r="CJ45" s="112">
        <v>0.04</v>
      </c>
      <c r="CK45" s="112">
        <v>0.04</v>
      </c>
      <c r="CL45" s="112">
        <v>0.04</v>
      </c>
      <c r="CM45" s="112">
        <v>0.04</v>
      </c>
      <c r="CN45" s="112">
        <v>0.04</v>
      </c>
      <c r="CO45" s="112">
        <v>0.04</v>
      </c>
      <c r="CP45" s="112">
        <v>0.04</v>
      </c>
      <c r="CQ45" s="112">
        <v>0.04</v>
      </c>
      <c r="CR45" s="112">
        <v>0.04</v>
      </c>
      <c r="CS45" s="112">
        <v>0.04</v>
      </c>
      <c r="CT45" s="112">
        <v>0.04</v>
      </c>
      <c r="CU45" s="112">
        <v>0.04</v>
      </c>
      <c r="CV45" s="112">
        <v>0.04</v>
      </c>
      <c r="CW45" s="112">
        <v>0.04</v>
      </c>
      <c r="CX45" s="112">
        <v>0.04</v>
      </c>
      <c r="CY45" s="112">
        <v>0.04</v>
      </c>
      <c r="CZ45" s="112">
        <v>0.04</v>
      </c>
      <c r="DA45" s="112">
        <v>0.04</v>
      </c>
      <c r="DB45" s="112">
        <v>0.04</v>
      </c>
      <c r="DC45" s="112">
        <v>0.04</v>
      </c>
      <c r="DD45" s="112">
        <v>0.04</v>
      </c>
      <c r="DE45" s="112">
        <v>0.04</v>
      </c>
      <c r="DF45" s="112">
        <v>0.04</v>
      </c>
      <c r="DG45" s="112">
        <v>0.04</v>
      </c>
      <c r="DH45" s="112">
        <v>0.04</v>
      </c>
      <c r="DI45" s="112">
        <v>0.04</v>
      </c>
      <c r="DJ45" s="112">
        <v>0.04</v>
      </c>
      <c r="DK45" s="112">
        <v>0.04</v>
      </c>
      <c r="DL45" s="112">
        <v>0.04</v>
      </c>
      <c r="DM45" s="112">
        <v>0.04</v>
      </c>
      <c r="DN45" s="112">
        <v>0.04</v>
      </c>
      <c r="DO45" s="112">
        <v>0.04</v>
      </c>
      <c r="DP45" s="112">
        <v>0.04</v>
      </c>
      <c r="DQ45" s="112">
        <v>0.04</v>
      </c>
      <c r="DR45" s="112">
        <v>0.04</v>
      </c>
      <c r="DS45" s="112">
        <v>0.04</v>
      </c>
    </row>
    <row r="46" spans="1:123" s="53" customFormat="1" ht="15" x14ac:dyDescent="0.3">
      <c r="A46" s="27" t="s">
        <v>14</v>
      </c>
      <c r="B46" s="28">
        <v>42948</v>
      </c>
      <c r="C46" s="28">
        <f>EDATE(B46,1)</f>
        <v>42979</v>
      </c>
      <c r="D46" s="28">
        <f t="shared" ref="D46" si="954">EDATE(C46,1)</f>
        <v>43009</v>
      </c>
      <c r="E46" s="28">
        <f t="shared" ref="E46" si="955">EDATE(D46,1)</f>
        <v>43040</v>
      </c>
      <c r="F46" s="28">
        <f t="shared" ref="F46" si="956">EDATE(E46,1)</f>
        <v>43070</v>
      </c>
      <c r="G46" s="28">
        <f t="shared" ref="G46" si="957">EDATE(F46,1)</f>
        <v>43101</v>
      </c>
      <c r="H46" s="28">
        <f t="shared" ref="H46" si="958">EDATE(G46,1)</f>
        <v>43132</v>
      </c>
      <c r="I46" s="28">
        <f t="shared" ref="I46" si="959">EDATE(H46,1)</f>
        <v>43160</v>
      </c>
      <c r="J46" s="28">
        <f t="shared" ref="J46" si="960">EDATE(I46,1)</f>
        <v>43191</v>
      </c>
      <c r="K46" s="28">
        <f t="shared" ref="K46" si="961">EDATE(J46,1)</f>
        <v>43221</v>
      </c>
      <c r="L46" s="28">
        <f t="shared" ref="L46" si="962">EDATE(K46,1)</f>
        <v>43252</v>
      </c>
      <c r="M46" s="28">
        <f t="shared" ref="M46" si="963">EDATE(L46,1)</f>
        <v>43282</v>
      </c>
      <c r="N46" s="28">
        <f t="shared" ref="N46" si="964">EDATE(M46,1)</f>
        <v>43313</v>
      </c>
      <c r="O46" s="28">
        <f t="shared" ref="O46" si="965">EDATE(N46,1)</f>
        <v>43344</v>
      </c>
      <c r="P46" s="28">
        <f t="shared" ref="P46" si="966">EDATE(O46,1)</f>
        <v>43374</v>
      </c>
      <c r="Q46" s="28">
        <f t="shared" ref="Q46" si="967">EDATE(P46,1)</f>
        <v>43405</v>
      </c>
      <c r="R46" s="28">
        <f t="shared" ref="R46" si="968">EDATE(Q46,1)</f>
        <v>43435</v>
      </c>
      <c r="S46" s="28">
        <f t="shared" ref="S46" si="969">EDATE(R46,1)</f>
        <v>43466</v>
      </c>
      <c r="T46" s="28">
        <f t="shared" ref="T46" si="970">EDATE(S46,1)</f>
        <v>43497</v>
      </c>
      <c r="U46" s="28">
        <f t="shared" ref="U46" si="971">EDATE(T46,1)</f>
        <v>43525</v>
      </c>
      <c r="V46" s="28">
        <f t="shared" ref="V46" si="972">EDATE(U46,1)</f>
        <v>43556</v>
      </c>
      <c r="W46" s="28">
        <f t="shared" ref="W46" si="973">EDATE(V46,1)</f>
        <v>43586</v>
      </c>
      <c r="X46" s="28">
        <f t="shared" ref="X46" si="974">EDATE(W46,1)</f>
        <v>43617</v>
      </c>
      <c r="Y46" s="28">
        <f t="shared" ref="Y46" si="975">EDATE(X46,1)</f>
        <v>43647</v>
      </c>
      <c r="Z46" s="28">
        <f t="shared" ref="Z46" si="976">EDATE(Y46,1)</f>
        <v>43678</v>
      </c>
      <c r="AA46" s="28">
        <f t="shared" ref="AA46" si="977">EDATE(Z46,1)</f>
        <v>43709</v>
      </c>
      <c r="AB46" s="28">
        <f t="shared" ref="AB46" si="978">EDATE(AA46,1)</f>
        <v>43739</v>
      </c>
      <c r="AC46" s="28">
        <f t="shared" ref="AC46" si="979">EDATE(AB46,1)</f>
        <v>43770</v>
      </c>
      <c r="AD46" s="28">
        <f t="shared" ref="AD46" si="980">EDATE(AC46,1)</f>
        <v>43800</v>
      </c>
      <c r="AE46" s="28">
        <f t="shared" ref="AE46" si="981">EDATE(AD46,1)</f>
        <v>43831</v>
      </c>
      <c r="AF46" s="28">
        <f t="shared" ref="AF46" si="982">EDATE(AE46,1)</f>
        <v>43862</v>
      </c>
      <c r="AG46" s="28">
        <f t="shared" ref="AG46" si="983">EDATE(AF46,1)</f>
        <v>43891</v>
      </c>
      <c r="AH46" s="28">
        <f t="shared" ref="AH46" si="984">EDATE(AG46,1)</f>
        <v>43922</v>
      </c>
      <c r="AI46" s="28">
        <f t="shared" ref="AI46" si="985">EDATE(AH46,1)</f>
        <v>43952</v>
      </c>
      <c r="AJ46" s="28">
        <f t="shared" ref="AJ46" si="986">EDATE(AI46,1)</f>
        <v>43983</v>
      </c>
      <c r="AK46" s="28">
        <f t="shared" ref="AK46" si="987">EDATE(AJ46,1)</f>
        <v>44013</v>
      </c>
      <c r="AL46" s="28">
        <f t="shared" ref="AL46" si="988">EDATE(AK46,1)</f>
        <v>44044</v>
      </c>
      <c r="AM46" s="28">
        <f t="shared" ref="AM46" si="989">EDATE(AL46,1)</f>
        <v>44075</v>
      </c>
      <c r="AN46" s="28">
        <f t="shared" ref="AN46" si="990">EDATE(AM46,1)</f>
        <v>44105</v>
      </c>
      <c r="AO46" s="28">
        <f t="shared" ref="AO46" si="991">EDATE(AN46,1)</f>
        <v>44136</v>
      </c>
      <c r="AP46" s="28">
        <f t="shared" ref="AP46" si="992">EDATE(AO46,1)</f>
        <v>44166</v>
      </c>
      <c r="AQ46" s="28">
        <f t="shared" ref="AQ46" si="993">EDATE(AP46,1)</f>
        <v>44197</v>
      </c>
      <c r="AR46" s="28">
        <f t="shared" ref="AR46" si="994">EDATE(AQ46,1)</f>
        <v>44228</v>
      </c>
      <c r="AS46" s="28">
        <f t="shared" ref="AS46" si="995">EDATE(AR46,1)</f>
        <v>44256</v>
      </c>
      <c r="AT46" s="28">
        <f t="shared" ref="AT46" si="996">EDATE(AS46,1)</f>
        <v>44287</v>
      </c>
      <c r="AU46" s="28">
        <f t="shared" ref="AU46" si="997">EDATE(AT46,1)</f>
        <v>44317</v>
      </c>
      <c r="AV46" s="28">
        <f t="shared" ref="AV46" si="998">EDATE(AU46,1)</f>
        <v>44348</v>
      </c>
      <c r="AW46" s="28">
        <f t="shared" ref="AW46" si="999">EDATE(AV46,1)</f>
        <v>44378</v>
      </c>
      <c r="AX46" s="28">
        <f t="shared" ref="AX46" si="1000">EDATE(AW46,1)</f>
        <v>44409</v>
      </c>
      <c r="AY46" s="28">
        <f t="shared" ref="AY46" si="1001">EDATE(AX46,1)</f>
        <v>44440</v>
      </c>
      <c r="AZ46" s="28">
        <f t="shared" ref="AZ46" si="1002">EDATE(AY46,1)</f>
        <v>44470</v>
      </c>
      <c r="BA46" s="28">
        <f t="shared" ref="BA46" si="1003">EDATE(AZ46,1)</f>
        <v>44501</v>
      </c>
      <c r="BB46" s="28">
        <f t="shared" ref="BB46" si="1004">EDATE(BA46,1)</f>
        <v>44531</v>
      </c>
      <c r="BC46" s="28">
        <f t="shared" ref="BC46" si="1005">EDATE(BB46,1)</f>
        <v>44562</v>
      </c>
      <c r="BD46" s="28">
        <f t="shared" ref="BD46" si="1006">EDATE(BC46,1)</f>
        <v>44593</v>
      </c>
      <c r="BE46" s="28">
        <f t="shared" ref="BE46" si="1007">EDATE(BD46,1)</f>
        <v>44621</v>
      </c>
      <c r="BF46" s="28">
        <f t="shared" ref="BF46" si="1008">EDATE(BE46,1)</f>
        <v>44652</v>
      </c>
      <c r="BG46" s="28">
        <f t="shared" ref="BG46" si="1009">EDATE(BF46,1)</f>
        <v>44682</v>
      </c>
      <c r="BH46" s="28">
        <f t="shared" ref="BH46" si="1010">EDATE(BG46,1)</f>
        <v>44713</v>
      </c>
      <c r="BI46" s="28">
        <f t="shared" ref="BI46" si="1011">EDATE(BH46,1)</f>
        <v>44743</v>
      </c>
      <c r="BJ46" s="28">
        <f t="shared" ref="BJ46" si="1012">EDATE(BI46,1)</f>
        <v>44774</v>
      </c>
      <c r="BK46" s="28">
        <f t="shared" ref="BK46" si="1013">EDATE(BJ46,1)</f>
        <v>44805</v>
      </c>
      <c r="BL46" s="28">
        <f t="shared" ref="BL46" si="1014">EDATE(BK46,1)</f>
        <v>44835</v>
      </c>
      <c r="BM46" s="28">
        <f t="shared" ref="BM46" si="1015">EDATE(BL46,1)</f>
        <v>44866</v>
      </c>
      <c r="BN46" s="28">
        <f t="shared" ref="BN46" si="1016">EDATE(BM46,1)</f>
        <v>44896</v>
      </c>
      <c r="BO46" s="28">
        <f t="shared" ref="BO46" si="1017">EDATE(BN46,1)</f>
        <v>44927</v>
      </c>
      <c r="BP46" s="28">
        <f t="shared" ref="BP46" si="1018">EDATE(BO46,1)</f>
        <v>44958</v>
      </c>
      <c r="BQ46" s="28">
        <f t="shared" ref="BQ46" si="1019">EDATE(BP46,1)</f>
        <v>44986</v>
      </c>
      <c r="BR46" s="28">
        <f t="shared" ref="BR46" si="1020">EDATE(BQ46,1)</f>
        <v>45017</v>
      </c>
      <c r="BS46" s="28">
        <f t="shared" ref="BS46" si="1021">EDATE(BR46,1)</f>
        <v>45047</v>
      </c>
      <c r="BT46" s="28">
        <f t="shared" ref="BT46" si="1022">EDATE(BS46,1)</f>
        <v>45078</v>
      </c>
      <c r="BU46" s="28">
        <f t="shared" ref="BU46" si="1023">EDATE(BT46,1)</f>
        <v>45108</v>
      </c>
      <c r="BV46" s="28">
        <f t="shared" ref="BV46" si="1024">EDATE(BU46,1)</f>
        <v>45139</v>
      </c>
      <c r="BW46" s="28">
        <f t="shared" ref="BW46" si="1025">EDATE(BV46,1)</f>
        <v>45170</v>
      </c>
      <c r="BX46" s="28">
        <f t="shared" ref="BX46" si="1026">EDATE(BW46,1)</f>
        <v>45200</v>
      </c>
      <c r="BY46" s="28">
        <f t="shared" ref="BY46" si="1027">EDATE(BX46,1)</f>
        <v>45231</v>
      </c>
      <c r="BZ46" s="28">
        <f t="shared" ref="BZ46" si="1028">EDATE(BY46,1)</f>
        <v>45261</v>
      </c>
      <c r="CA46" s="28">
        <f t="shared" ref="CA46" si="1029">EDATE(BZ46,1)</f>
        <v>45292</v>
      </c>
      <c r="CB46" s="28">
        <f t="shared" ref="CB46" si="1030">EDATE(CA46,1)</f>
        <v>45323</v>
      </c>
      <c r="CC46" s="28">
        <f t="shared" ref="CC46" si="1031">EDATE(CB46,1)</f>
        <v>45352</v>
      </c>
      <c r="CD46" s="28">
        <f t="shared" ref="CD46" si="1032">EDATE(CC46,1)</f>
        <v>45383</v>
      </c>
      <c r="CE46" s="28">
        <f t="shared" ref="CE46" si="1033">EDATE(CD46,1)</f>
        <v>45413</v>
      </c>
      <c r="CF46" s="28">
        <f t="shared" ref="CF46" si="1034">EDATE(CE46,1)</f>
        <v>45444</v>
      </c>
      <c r="CG46" s="28">
        <f t="shared" ref="CG46" si="1035">EDATE(CF46,1)</f>
        <v>45474</v>
      </c>
      <c r="CH46" s="28">
        <f t="shared" ref="CH46" si="1036">EDATE(CG46,1)</f>
        <v>45505</v>
      </c>
      <c r="CI46" s="28">
        <f t="shared" ref="CI46" si="1037">EDATE(CH46,1)</f>
        <v>45536</v>
      </c>
      <c r="CJ46" s="28">
        <f t="shared" ref="CJ46" si="1038">EDATE(CI46,1)</f>
        <v>45566</v>
      </c>
      <c r="CK46" s="28">
        <f t="shared" ref="CK46" si="1039">EDATE(CJ46,1)</f>
        <v>45597</v>
      </c>
      <c r="CL46" s="28">
        <f t="shared" ref="CL46" si="1040">EDATE(CK46,1)</f>
        <v>45627</v>
      </c>
      <c r="CM46" s="28">
        <f t="shared" ref="CM46" si="1041">EDATE(CL46,1)</f>
        <v>45658</v>
      </c>
      <c r="CN46" s="28">
        <f t="shared" ref="CN46" si="1042">EDATE(CM46,1)</f>
        <v>45689</v>
      </c>
      <c r="CO46" s="28">
        <f t="shared" ref="CO46" si="1043">EDATE(CN46,1)</f>
        <v>45717</v>
      </c>
      <c r="CP46" s="28">
        <f t="shared" ref="CP46" si="1044">EDATE(CO46,1)</f>
        <v>45748</v>
      </c>
      <c r="CQ46" s="28">
        <f t="shared" ref="CQ46" si="1045">EDATE(CP46,1)</f>
        <v>45778</v>
      </c>
      <c r="CR46" s="28">
        <f t="shared" ref="CR46" si="1046">EDATE(CQ46,1)</f>
        <v>45809</v>
      </c>
      <c r="CS46" s="28">
        <f t="shared" ref="CS46" si="1047">EDATE(CR46,1)</f>
        <v>45839</v>
      </c>
      <c r="CT46" s="28">
        <f t="shared" ref="CT46" si="1048">EDATE(CS46,1)</f>
        <v>45870</v>
      </c>
      <c r="CU46" s="28">
        <f t="shared" ref="CU46" si="1049">EDATE(CT46,1)</f>
        <v>45901</v>
      </c>
      <c r="CV46" s="28">
        <f t="shared" ref="CV46" si="1050">EDATE(CU46,1)</f>
        <v>45931</v>
      </c>
      <c r="CW46" s="28">
        <f t="shared" ref="CW46" si="1051">EDATE(CV46,1)</f>
        <v>45962</v>
      </c>
      <c r="CX46" s="28">
        <f t="shared" ref="CX46" si="1052">EDATE(CW46,1)</f>
        <v>45992</v>
      </c>
      <c r="CY46" s="28">
        <f t="shared" ref="CY46" si="1053">EDATE(CX46,1)</f>
        <v>46023</v>
      </c>
      <c r="CZ46" s="28">
        <f t="shared" ref="CZ46" si="1054">EDATE(CY46,1)</f>
        <v>46054</v>
      </c>
      <c r="DA46" s="28">
        <f t="shared" ref="DA46" si="1055">EDATE(CZ46,1)</f>
        <v>46082</v>
      </c>
      <c r="DB46" s="28">
        <f t="shared" ref="DB46" si="1056">EDATE(DA46,1)</f>
        <v>46113</v>
      </c>
      <c r="DC46" s="28">
        <f t="shared" ref="DC46" si="1057">EDATE(DB46,1)</f>
        <v>46143</v>
      </c>
      <c r="DD46" s="28">
        <f t="shared" ref="DD46" si="1058">EDATE(DC46,1)</f>
        <v>46174</v>
      </c>
      <c r="DE46" s="28">
        <f t="shared" ref="DE46" si="1059">EDATE(DD46,1)</f>
        <v>46204</v>
      </c>
      <c r="DF46" s="28">
        <f t="shared" ref="DF46" si="1060">EDATE(DE46,1)</f>
        <v>46235</v>
      </c>
      <c r="DG46" s="28">
        <f t="shared" ref="DG46" si="1061">EDATE(DF46,1)</f>
        <v>46266</v>
      </c>
      <c r="DH46" s="28">
        <f t="shared" ref="DH46" si="1062">EDATE(DG46,1)</f>
        <v>46296</v>
      </c>
      <c r="DI46" s="28">
        <f t="shared" ref="DI46" si="1063">EDATE(DH46,1)</f>
        <v>46327</v>
      </c>
      <c r="DJ46" s="28">
        <f t="shared" ref="DJ46" si="1064">EDATE(DI46,1)</f>
        <v>46357</v>
      </c>
      <c r="DK46" s="28">
        <f t="shared" ref="DK46" si="1065">EDATE(DJ46,1)</f>
        <v>46388</v>
      </c>
      <c r="DL46" s="28">
        <f t="shared" ref="DL46" si="1066">EDATE(DK46,1)</f>
        <v>46419</v>
      </c>
      <c r="DM46" s="28">
        <f t="shared" ref="DM46" si="1067">EDATE(DL46,1)</f>
        <v>46447</v>
      </c>
      <c r="DN46" s="28">
        <f t="shared" ref="DN46" si="1068">EDATE(DM46,1)</f>
        <v>46478</v>
      </c>
      <c r="DO46" s="28">
        <f t="shared" ref="DO46" si="1069">EDATE(DN46,1)</f>
        <v>46508</v>
      </c>
      <c r="DP46" s="28">
        <f t="shared" ref="DP46" si="1070">EDATE(DO46,1)</f>
        <v>46539</v>
      </c>
      <c r="DQ46" s="28">
        <f t="shared" ref="DQ46" si="1071">EDATE(DP46,1)</f>
        <v>46569</v>
      </c>
      <c r="DR46" s="28"/>
      <c r="DS46" s="28"/>
    </row>
    <row r="47" spans="1:123" s="53" customFormat="1" x14ac:dyDescent="0.25">
      <c r="A47" s="22" t="s">
        <v>5</v>
      </c>
      <c r="B47" s="162"/>
      <c r="C47" s="163"/>
      <c r="D47" s="163"/>
      <c r="E47" s="163"/>
      <c r="F47" s="163"/>
      <c r="G47" s="163"/>
      <c r="H47" s="163"/>
      <c r="I47" s="163">
        <f>D16</f>
        <v>950080000</v>
      </c>
      <c r="J47" s="163">
        <f t="shared" ref="J47:BO47" si="1072">I53</f>
        <v>950080000</v>
      </c>
      <c r="K47" s="163">
        <f t="shared" si="1072"/>
        <v>950080000</v>
      </c>
      <c r="L47" s="163">
        <f t="shared" si="1072"/>
        <v>950080000</v>
      </c>
      <c r="M47" s="163">
        <f t="shared" si="1072"/>
        <v>950080000</v>
      </c>
      <c r="N47" s="163">
        <f t="shared" si="1072"/>
        <v>950080000</v>
      </c>
      <c r="O47" s="163">
        <f t="shared" si="1072"/>
        <v>950080000</v>
      </c>
      <c r="P47" s="163">
        <f t="shared" si="1072"/>
        <v>950080000</v>
      </c>
      <c r="Q47" s="163">
        <f t="shared" si="1072"/>
        <v>950080000</v>
      </c>
      <c r="R47" s="163">
        <f t="shared" si="1072"/>
        <v>950080000</v>
      </c>
      <c r="S47" s="163">
        <f t="shared" si="1072"/>
        <v>950080000</v>
      </c>
      <c r="T47" s="163">
        <f t="shared" si="1072"/>
        <v>950080000</v>
      </c>
      <c r="U47" s="163">
        <f t="shared" si="1072"/>
        <v>950080000</v>
      </c>
      <c r="V47" s="163">
        <f t="shared" si="1072"/>
        <v>950080000</v>
      </c>
      <c r="W47" s="163">
        <f t="shared" si="1072"/>
        <v>950080000</v>
      </c>
      <c r="X47" s="163">
        <f t="shared" si="1072"/>
        <v>950080000</v>
      </c>
      <c r="Y47" s="163">
        <f t="shared" si="1072"/>
        <v>950080000</v>
      </c>
      <c r="Z47" s="163">
        <f t="shared" si="1072"/>
        <v>950080000</v>
      </c>
      <c r="AA47" s="163">
        <f t="shared" si="1072"/>
        <v>950080000</v>
      </c>
      <c r="AB47" s="163">
        <f t="shared" si="1072"/>
        <v>950080000</v>
      </c>
      <c r="AC47" s="163">
        <f t="shared" si="1072"/>
        <v>920390000</v>
      </c>
      <c r="AD47" s="163">
        <f t="shared" si="1072"/>
        <v>920390000</v>
      </c>
      <c r="AE47" s="163">
        <f t="shared" si="1072"/>
        <v>920390000</v>
      </c>
      <c r="AF47" s="25">
        <f t="shared" si="1072"/>
        <v>890700000</v>
      </c>
      <c r="AG47" s="25">
        <f t="shared" si="1072"/>
        <v>882197357.01823592</v>
      </c>
      <c r="AH47" s="25">
        <f t="shared" si="1072"/>
        <v>873666371.89319932</v>
      </c>
      <c r="AI47" s="25">
        <f t="shared" si="1072"/>
        <v>865106950.1510793</v>
      </c>
      <c r="AJ47" s="25">
        <f t="shared" si="1072"/>
        <v>856518997.00315213</v>
      </c>
      <c r="AK47" s="25">
        <f t="shared" si="1072"/>
        <v>847902417.34473193</v>
      </c>
      <c r="AL47" s="25">
        <f t="shared" si="1072"/>
        <v>839257115.75411701</v>
      </c>
      <c r="AM47" s="25">
        <f t="shared" si="1072"/>
        <v>830582996.49153328</v>
      </c>
      <c r="AN47" s="25">
        <f t="shared" si="1072"/>
        <v>821879963.49807429</v>
      </c>
      <c r="AO47" s="25">
        <f t="shared" si="1072"/>
        <v>813147920.39463711</v>
      </c>
      <c r="AP47" s="25">
        <f t="shared" si="1072"/>
        <v>804386770.48085511</v>
      </c>
      <c r="AQ47" s="25">
        <f t="shared" si="1072"/>
        <v>795596416.73402727</v>
      </c>
      <c r="AR47" s="25">
        <f t="shared" si="1072"/>
        <v>786776761.80804324</v>
      </c>
      <c r="AS47" s="25">
        <f t="shared" si="1072"/>
        <v>777927708.03230596</v>
      </c>
      <c r="AT47" s="25">
        <f t="shared" si="1072"/>
        <v>769049157.41064954</v>
      </c>
      <c r="AU47" s="25">
        <f t="shared" si="1072"/>
        <v>760141011.62025428</v>
      </c>
      <c r="AV47" s="25">
        <f t="shared" si="1072"/>
        <v>751203172.01055777</v>
      </c>
      <c r="AW47" s="25">
        <f t="shared" si="1072"/>
        <v>742235539.60216224</v>
      </c>
      <c r="AX47" s="25">
        <f t="shared" si="1072"/>
        <v>733238015.08573866</v>
      </c>
      <c r="AY47" s="25">
        <f t="shared" si="1072"/>
        <v>724210498.82092702</v>
      </c>
      <c r="AZ47" s="25">
        <f t="shared" si="1072"/>
        <v>715152890.83523273</v>
      </c>
      <c r="BA47" s="25">
        <f t="shared" si="1072"/>
        <v>706065090.82291949</v>
      </c>
      <c r="BB47" s="25">
        <f t="shared" si="1072"/>
        <v>696946998.14389849</v>
      </c>
      <c r="BC47" s="25">
        <f t="shared" si="1072"/>
        <v>687798511.82261407</v>
      </c>
      <c r="BD47" s="25">
        <f t="shared" si="1072"/>
        <v>678619530.54692543</v>
      </c>
      <c r="BE47" s="25">
        <f t="shared" si="1072"/>
        <v>669409952.66698444</v>
      </c>
      <c r="BF47" s="25">
        <f t="shared" si="1072"/>
        <v>660169676.19411027</v>
      </c>
      <c r="BG47" s="25">
        <f t="shared" si="1072"/>
        <v>650898598.79965997</v>
      </c>
      <c r="BH47" s="25">
        <f t="shared" si="1072"/>
        <v>641596617.81389475</v>
      </c>
      <c r="BI47" s="25">
        <f t="shared" si="1072"/>
        <v>632263630.22484362</v>
      </c>
      <c r="BJ47" s="25">
        <f t="shared" si="1072"/>
        <v>622899532.67716241</v>
      </c>
      <c r="BK47" s="25">
        <f t="shared" si="1072"/>
        <v>613504221.47098887</v>
      </c>
      <c r="BL47" s="25">
        <f t="shared" si="1072"/>
        <v>604077592.56079471</v>
      </c>
      <c r="BM47" s="25">
        <f t="shared" si="1072"/>
        <v>594619541.55423331</v>
      </c>
      <c r="BN47" s="25">
        <f t="shared" si="1072"/>
        <v>585129963.7109834</v>
      </c>
      <c r="BO47" s="25">
        <f t="shared" si="1072"/>
        <v>575608753.94158924</v>
      </c>
      <c r="BP47" s="25">
        <f t="shared" ref="BP47:DQ47" si="1073">BO53</f>
        <v>566055806.80629718</v>
      </c>
      <c r="BQ47" s="25">
        <f t="shared" si="1073"/>
        <v>556471016.51388741</v>
      </c>
      <c r="BR47" s="25">
        <f t="shared" si="1073"/>
        <v>546854276.92050302</v>
      </c>
      <c r="BS47" s="25">
        <f t="shared" si="1073"/>
        <v>537205481.52847397</v>
      </c>
      <c r="BT47" s="25">
        <f t="shared" si="1073"/>
        <v>527524523.48513818</v>
      </c>
      <c r="BU47" s="25">
        <f t="shared" si="1073"/>
        <v>517811295.58165789</v>
      </c>
      <c r="BV47" s="25">
        <f t="shared" si="1073"/>
        <v>508065690.25183266</v>
      </c>
      <c r="BW47" s="25">
        <f t="shared" si="1073"/>
        <v>498287599.57090807</v>
      </c>
      <c r="BX47" s="25">
        <f t="shared" si="1073"/>
        <v>488476915.25438035</v>
      </c>
      <c r="BY47" s="25">
        <f t="shared" si="1073"/>
        <v>478633528.65679753</v>
      </c>
      <c r="BZ47" s="25">
        <f t="shared" si="1073"/>
        <v>468757330.77055609</v>
      </c>
      <c r="CA47" s="25">
        <f t="shared" si="1073"/>
        <v>458848212.22469389</v>
      </c>
      <c r="CB47" s="25">
        <f t="shared" si="1073"/>
        <v>448906063.28367883</v>
      </c>
      <c r="CC47" s="25">
        <f t="shared" si="1073"/>
        <v>438930773.84619367</v>
      </c>
      <c r="CD47" s="25">
        <f t="shared" si="1073"/>
        <v>428922233.44391692</v>
      </c>
      <c r="CE47" s="25">
        <f t="shared" si="1073"/>
        <v>418880331.24029922</v>
      </c>
      <c r="CF47" s="25">
        <f t="shared" si="1073"/>
        <v>408804956.02933615</v>
      </c>
      <c r="CG47" s="25">
        <f t="shared" si="1073"/>
        <v>398695996.23433656</v>
      </c>
      <c r="CH47" s="25">
        <f t="shared" si="1073"/>
        <v>388553339.90668696</v>
      </c>
      <c r="CI47" s="25">
        <f t="shared" si="1073"/>
        <v>378376874.72461188</v>
      </c>
      <c r="CJ47" s="25">
        <f t="shared" si="1073"/>
        <v>368166487.99192983</v>
      </c>
      <c r="CK47" s="25">
        <f t="shared" si="1073"/>
        <v>357922066.63680553</v>
      </c>
      <c r="CL47" s="25">
        <f t="shared" si="1073"/>
        <v>347643497.2104975</v>
      </c>
      <c r="CM47" s="25">
        <f t="shared" si="1073"/>
        <v>337330665.88610178</v>
      </c>
      <c r="CN47" s="25">
        <f t="shared" si="1073"/>
        <v>326983458.45729136</v>
      </c>
      <c r="CO47" s="25">
        <f t="shared" si="1073"/>
        <v>316601760.33705163</v>
      </c>
      <c r="CP47" s="25">
        <f t="shared" si="1073"/>
        <v>306185456.55641109</v>
      </c>
      <c r="CQ47" s="25">
        <f t="shared" si="1073"/>
        <v>295734431.76316839</v>
      </c>
      <c r="CR47" s="25">
        <f t="shared" si="1073"/>
        <v>285248570.22061491</v>
      </c>
      <c r="CS47" s="25">
        <f t="shared" si="1073"/>
        <v>274727755.8062529</v>
      </c>
      <c r="CT47" s="25">
        <f t="shared" si="1073"/>
        <v>264171872.01050967</v>
      </c>
      <c r="CU47" s="25">
        <f t="shared" si="1073"/>
        <v>253580801.93544731</v>
      </c>
      <c r="CV47" s="25">
        <f t="shared" si="1073"/>
        <v>242954428.29346806</v>
      </c>
      <c r="CW47" s="25">
        <f t="shared" si="1073"/>
        <v>232292633.40601555</v>
      </c>
      <c r="CX47" s="25">
        <f t="shared" si="1073"/>
        <v>221595299.20227152</v>
      </c>
      <c r="CY47" s="25">
        <f t="shared" si="1073"/>
        <v>210862307.21784836</v>
      </c>
      <c r="CZ47" s="25">
        <f t="shared" si="1073"/>
        <v>200093538.59347713</v>
      </c>
      <c r="DA47" s="25">
        <f t="shared" si="1073"/>
        <v>189288874.07369131</v>
      </c>
      <c r="DB47" s="25">
        <f t="shared" si="1073"/>
        <v>178448194.00550622</v>
      </c>
      <c r="DC47" s="25">
        <f t="shared" si="1073"/>
        <v>167571378.33709383</v>
      </c>
      <c r="DD47" s="25">
        <f t="shared" si="1073"/>
        <v>156658306.61645341</v>
      </c>
      <c r="DE47" s="25">
        <f t="shared" si="1073"/>
        <v>145708857.99007753</v>
      </c>
      <c r="DF47" s="25">
        <f t="shared" si="1073"/>
        <v>134722911.20161372</v>
      </c>
      <c r="DG47" s="25">
        <f t="shared" si="1073"/>
        <v>123700344.59052171</v>
      </c>
      <c r="DH47" s="25">
        <f t="shared" si="1073"/>
        <v>112641036.09072605</v>
      </c>
      <c r="DI47" s="25">
        <f t="shared" si="1073"/>
        <v>101544863.22926441</v>
      </c>
      <c r="DJ47" s="25">
        <f t="shared" si="1073"/>
        <v>90411703.124931216</v>
      </c>
      <c r="DK47" s="25">
        <f t="shared" si="1073"/>
        <v>79241432.486916915</v>
      </c>
      <c r="DL47" s="25">
        <f t="shared" si="1073"/>
        <v>68033927.61344257</v>
      </c>
      <c r="DM47" s="25">
        <f t="shared" si="1073"/>
        <v>56789064.390389979</v>
      </c>
      <c r="DN47" s="25">
        <f t="shared" si="1073"/>
        <v>45506718.289927214</v>
      </c>
      <c r="DO47" s="25">
        <f t="shared" si="1073"/>
        <v>34186764.369129568</v>
      </c>
      <c r="DP47" s="25">
        <f t="shared" si="1073"/>
        <v>22829077.268595934</v>
      </c>
      <c r="DQ47" s="25">
        <f t="shared" si="1073"/>
        <v>11433531.211060518</v>
      </c>
      <c r="DR47" s="25"/>
      <c r="DS47" s="25"/>
    </row>
    <row r="48" spans="1:123" s="53" customFormat="1" x14ac:dyDescent="0.25">
      <c r="A48" s="22" t="s">
        <v>6</v>
      </c>
      <c r="B48" s="163"/>
      <c r="C48" s="163"/>
      <c r="D48" s="163"/>
      <c r="E48" s="163"/>
      <c r="F48" s="163"/>
      <c r="G48" s="163"/>
      <c r="H48" s="163"/>
      <c r="I48" s="163">
        <f>I47*(I46-D15)*I45/360</f>
        <v>1662640</v>
      </c>
      <c r="J48" s="163">
        <f>J47*(MCML_Loan!$D$52-I46)*I45/360+J53*(J46-MCML_Loan!$D$52)*J45/360</f>
        <v>4380924.444444444</v>
      </c>
      <c r="K48" s="163">
        <f t="shared" ref="K48" si="1074">K47*(K46-J46)*K45/360</f>
        <v>3166933.3333333335</v>
      </c>
      <c r="L48" s="163">
        <f t="shared" ref="L48" si="1075">L47*(L46-K46)*L45/360</f>
        <v>3272497.777777778</v>
      </c>
      <c r="M48" s="163">
        <f t="shared" ref="M48" si="1076">M47*(M46-L46)*M45/360</f>
        <v>3166933.3333333335</v>
      </c>
      <c r="N48" s="163">
        <f t="shared" ref="N48" si="1077">N47*(N46-M46)*N45/360</f>
        <v>3272497.777777778</v>
      </c>
      <c r="O48" s="163">
        <f t="shared" ref="O48" si="1078">O47*(O46-N46)*O45/360</f>
        <v>3272497.777777778</v>
      </c>
      <c r="P48" s="163">
        <f t="shared" ref="P48" si="1079">P47*(P46-O46)*P45/360</f>
        <v>3166933.3333333335</v>
      </c>
      <c r="Q48" s="163">
        <f t="shared" ref="Q48" si="1080">Q47*(Q46-P46)*Q45/360</f>
        <v>3272497.777777778</v>
      </c>
      <c r="R48" s="163">
        <f t="shared" ref="R48" si="1081">R47*(R46-Q46)*R45/360</f>
        <v>3166933.3333333335</v>
      </c>
      <c r="S48" s="163">
        <f t="shared" ref="S48" si="1082">S47*(S46-R46)*S45/360</f>
        <v>3272497.777777778</v>
      </c>
      <c r="T48" s="163">
        <f t="shared" ref="T48" si="1083">T47*(T46-S46)*T45/360</f>
        <v>3272497.777777778</v>
      </c>
      <c r="U48" s="163">
        <f t="shared" ref="U48" si="1084">U47*(U46-T46)*U45/360</f>
        <v>2955804.4444444445</v>
      </c>
      <c r="V48" s="163">
        <f t="shared" ref="V48" si="1085">V47*(V46-U46)*V45/360</f>
        <v>3272497.777777778</v>
      </c>
      <c r="W48" s="163">
        <f t="shared" ref="W48" si="1086">W47*(W46-V46)*W45/360</f>
        <v>3166933.3333333335</v>
      </c>
      <c r="X48" s="163">
        <f t="shared" ref="X48" si="1087">X47*(X46-W46)*X45/360</f>
        <v>3272497.777777778</v>
      </c>
      <c r="Y48" s="163">
        <f t="shared" ref="Y48" si="1088">Y47*(Y46-X46)*Y45/360</f>
        <v>3166933.3333333335</v>
      </c>
      <c r="Z48" s="163">
        <f t="shared" ref="Z48" si="1089">Z47*(Z46-Y46)*Z45/360</f>
        <v>3272497.777777778</v>
      </c>
      <c r="AA48" s="163">
        <f>AA47*(AA46-Z46)*AA45/360</f>
        <v>3272497.777777778</v>
      </c>
      <c r="AB48" s="163">
        <f>AB47*(MCML_Loan!$J$26-AA46)*AA45/360+AB53*(AB46-MCML_Loan!$J$26)*AB45/360</f>
        <v>3114151.111111111</v>
      </c>
      <c r="AC48" s="163">
        <f>AC47*(AC46-AB46)*AC45/360</f>
        <v>3170232.222222222</v>
      </c>
      <c r="AD48" s="163">
        <f>AD47*(AD46-AC46)*AD45/360</f>
        <v>3067966.6666666665</v>
      </c>
      <c r="AE48" s="163">
        <f>AE47*(MCML_Loan!$K$26-AD46)*AD45/360+AE53*(AE46-MCML_Loan!$K$26)*AE45/360</f>
        <v>3114151.111111111</v>
      </c>
      <c r="AF48" s="25">
        <f>+AF47*(MCML_Loan!L52-'Accrual_MCML '!AE46)*'Accrual_MCML '!AE45/360+'Accrual_MCML '!AF53*('Accrual_MCML '!AF46-MCML_Loan!L52)*'Accrual_MCML '!AF45/360</f>
        <v>3051906.1188122234</v>
      </c>
      <c r="AG48" s="25">
        <f>+AG47*(MCML_Loan!M52-'Accrual_MCML '!AF46)*'Accrual_MCML '!AF45/360+'Accrual_MCML '!AG53*('Accrual_MCML '!AG46-MCML_Loan!M52)*'Accrual_MCML '!AG45/360</f>
        <v>2826521.8451559134</v>
      </c>
      <c r="AH48" s="25">
        <f>+AH47*(MCML_Loan!N52-'Accrual_MCML '!AG46)*'Accrual_MCML '!AG45/360+'Accrual_MCML '!AH53*('Accrual_MCML '!AH46-MCML_Loan!N52)*'Accrual_MCML '!AH45/360</f>
        <v>2993127.4843414603</v>
      </c>
      <c r="AI48" s="25">
        <f>+AI47*(MCML_Loan!O52-'Accrual_MCML '!AH46)*'Accrual_MCML '!AH45/360+'Accrual_MCML '!AI53*('Accrual_MCML '!AI46-MCML_Loan!O52)*'Accrual_MCML '!AI45/360</f>
        <v>2868422.3615739495</v>
      </c>
      <c r="AJ48" s="25">
        <f>+AJ47*(MCML_Loan!P52-'Accrual_MCML '!AI46)*'Accrual_MCML '!AI45/360+'Accrual_MCML '!AJ53*('Accrual_MCML '!AJ46-MCML_Loan!P52)*'Accrual_MCML '!AJ45/360</f>
        <v>2932998.9414717946</v>
      </c>
      <c r="AK48" s="25">
        <f>+AK47*(MCML_Loan!Q52-'Accrual_MCML '!AJ46)*'Accrual_MCML '!AJ45/360+'Accrual_MCML '!AK53*('Accrual_MCML '!AK46-MCML_Loan!Q52)*'Accrual_MCML '!AK45/360</f>
        <v>2810971.9660991244</v>
      </c>
      <c r="AL48" s="25">
        <f>+AL47*(MCML_Loan!R52-'Accrual_MCML '!AK46)*'Accrual_MCML '!AK45/360+'Accrual_MCML '!AL53*('Accrual_MCML '!AL46-MCML_Loan!R52)*'Accrual_MCML '!AL45/360</f>
        <v>2874390.0623237453</v>
      </c>
      <c r="AM48" s="25">
        <f>+AM47*(MCML_Loan!S52-'Accrual_MCML '!AL46)*'Accrual_MCML '!AL45/360+'Accrual_MCML '!AM53*('Accrual_MCML '!AM46-MCML_Loan!S52)*'Accrual_MCML '!AM45/360</f>
        <v>2842523.9182624235</v>
      </c>
      <c r="AN48" s="25">
        <f>+AN47*(MCML_Loan!T52-'Accrual_MCML '!AM46)*'Accrual_MCML '!AM45/360+'Accrual_MCML '!AN53*('Accrual_MCML '!AN46-MCML_Loan!T52)*'Accrual_MCML '!AN45/360</f>
        <v>2724076.2461430263</v>
      </c>
      <c r="AO48" s="25">
        <f>+AO47*(MCML_Loan!U52-'Accrual_MCML '!AN46)*'Accrual_MCML '!AN45/360+'Accrual_MCML '!AO53*('Accrual_MCML '!AO46-MCML_Loan!U52)*'Accrual_MCML '!AO45/360</f>
        <v>2784293.998188829</v>
      </c>
      <c r="AP48" s="25">
        <f>+AP47*(MCML_Loan!V52-'Accrual_MCML '!AO46)*'Accrual_MCML '!AO45/360+'Accrual_MCML '!AP53*('Accrual_MCML '!AP46-MCML_Loan!V52)*'Accrual_MCML '!AP45/360</f>
        <v>2665661.9393862677</v>
      </c>
      <c r="AQ48" s="25">
        <f>+AQ47*(MCML_Loan!W52-'Accrual_MCML '!AP46)*'Accrual_MCML '!AP45/360+'Accrual_MCML '!AQ53*('Accrual_MCML '!AQ46-MCML_Loan!W52)*'Accrual_MCML '!AQ45/360</f>
        <v>2723728.3094459018</v>
      </c>
      <c r="AR48" s="25">
        <f>+AR47*(MCML_Loan!X52-'Accrual_MCML '!AQ46)*'Accrual_MCML '!AQ45/360+'Accrual_MCML '!AR53*('Accrual_MCML '!AR46-MCML_Loan!X52)*'Accrual_MCML '!AR45/360</f>
        <v>2693293.966873534</v>
      </c>
      <c r="AS48" s="25">
        <f>+AS47*(MCML_Loan!Y52-'Accrual_MCML '!AR46)*'Accrual_MCML '!AR45/360+'Accrual_MCML '!AS53*('Accrual_MCML '!AS46-MCML_Loan!Y52)*'Accrual_MCML '!AS45/360</f>
        <v>2406408.4573557088</v>
      </c>
      <c r="AT48" s="25">
        <f>+AT47*(MCML_Loan!Z52-'Accrual_MCML '!AS46)*'Accrual_MCML '!AS45/360+'Accrual_MCML '!AT53*('Accrual_MCML '!AT46-MCML_Loan!Z52)*'Accrual_MCML '!AT45/360</f>
        <v>2632120.6001437129</v>
      </c>
      <c r="AU48" s="25">
        <f>+AU47*(MCML_Loan!AA52-'Accrual_MCML '!AT46)*'Accrual_MCML '!AT45/360+'Accrual_MCML '!AU53*('Accrual_MCML '!AU46-MCML_Loan!AA52)*'Accrual_MCML '!AU45/360</f>
        <v>2517913.8794280542</v>
      </c>
      <c r="AV48" s="25">
        <f>+AV47*(MCML_Loan!AB52-'Accrual_MCML '!AU46)*'Accrual_MCML '!AU45/360+'Accrual_MCML '!AV53*('Accrual_MCML '!AV46-MCML_Loan!AB52)*'Accrual_MCML '!AV45/360</f>
        <v>2570538.7312649516</v>
      </c>
      <c r="AW48" s="25">
        <f>+AW47*(MCML_Loan!AC52-'Accrual_MCML '!AV46)*'Accrual_MCML '!AV45/360+'Accrual_MCML '!AW53*('Accrual_MCML '!AW46-MCML_Loan!AC52)*'Accrual_MCML '!AW45/360</f>
        <v>2458122.8662002324</v>
      </c>
      <c r="AX48" s="25">
        <f>+AX47*(MCML_Loan!AD52-'Accrual_MCML '!AW46)*'Accrual_MCML '!AW45/360+'Accrual_MCML '!AX53*('Accrual_MCML '!AX46-MCML_Loan!AD52)*'Accrual_MCML '!AX45/360</f>
        <v>2508545.6323506776</v>
      </c>
      <c r="AY48" s="25">
        <f>+AY47*(MCML_Loan!AE52-'Accrual_MCML '!AX46)*'Accrual_MCML '!AX45/360+'Accrual_MCML '!AY53*('Accrual_MCML '!AY46-MCML_Loan!AE52)*'Accrual_MCML '!AY45/360</f>
        <v>2477394.0141879926</v>
      </c>
      <c r="AZ48" s="25">
        <f>+AZ47*(MCML_Loan!AF52-'Accrual_MCML '!AY46)*'Accrual_MCML '!AY45/360+'Accrual_MCML '!AZ53*('Accrual_MCML '!AZ46-MCML_Loan!AF52)*'Accrual_MCML '!AZ45/360</f>
        <v>2367686.8805399965</v>
      </c>
      <c r="BA48" s="25">
        <f>+BA47*(MCML_Loan!AG52-'Accrual_MCML '!AZ46)*'Accrual_MCML '!AZ45/360+'Accrual_MCML '!BA53*('Accrual_MCML '!BA46-MCML_Loan!AG52)*'Accrual_MCML '!BA45/360</f>
        <v>2414778.9155519051</v>
      </c>
      <c r="BB48" s="25">
        <f>+BB47*(MCML_Loan!AH52-'Accrual_MCML '!BA46)*'Accrual_MCML '!BA45/360+'Accrual_MCML '!BB53*('Accrual_MCML '!BB46-MCML_Loan!AH52)*'Accrual_MCML '!BB45/360</f>
        <v>2306892.6847973783</v>
      </c>
      <c r="BC48" s="25">
        <f>+BC47*(MCML_Loan!AI52-'Accrual_MCML '!BB46)*'Accrual_MCML '!BB45/360+'Accrual_MCML '!BC53*('Accrual_MCML '!BC46-MCML_Loan!AI52)*'Accrual_MCML '!BC45/360</f>
        <v>2351745.6872015921</v>
      </c>
      <c r="BD48" s="25">
        <f>+BD47*(MCML_Loan!AJ52-'Accrual_MCML '!BC46)*'Accrual_MCML '!BC45/360+'Accrual_MCML '!BD53*('Accrual_MCML '!BD46-MCML_Loan!AJ52)*'Accrual_MCML '!BD45/360</f>
        <v>2320071.4025550769</v>
      </c>
      <c r="BE48" s="25">
        <f>+BE47*(MCML_Loan!AK52-'Accrual_MCML '!BD46)*'Accrual_MCML '!BD45/360+'Accrual_MCML '!BE53*('Accrual_MCML '!BE46-MCML_Loan!AK52)*'Accrual_MCML '!BE45/360</f>
        <v>2068234.9782283695</v>
      </c>
      <c r="BF48" s="25">
        <f>+BF47*(MCML_Loan!AL52-'Accrual_MCML '!BE46)*'Accrual_MCML '!BE45/360+'Accrual_MCML '!BF53*('Accrual_MCML '!BF46-MCML_Loan!AL52)*'Accrual_MCML '!BF45/360</f>
        <v>2256405.7384790848</v>
      </c>
      <c r="BG48" s="25">
        <f>+BG47*(MCML_Loan!AM52-'Accrual_MCML '!BF46)*'Accrual_MCML '!BF45/360+'Accrual_MCML '!BG53*('Accrual_MCML '!BG46-MCML_Loan!AM52)*'Accrual_MCML '!BG45/360</f>
        <v>2153125.1409130618</v>
      </c>
      <c r="BH48" s="25">
        <f>+BH47*(MCML_Loan!AN52-'Accrual_MCML '!BG46)*'Accrual_MCML '!BG45/360+'Accrual_MCML '!BH53*('Accrual_MCML '!BH46-MCML_Loan!AN52)*'Accrual_MCML '!BH45/360</f>
        <v>2192314.9292463185</v>
      </c>
      <c r="BI48" s="25">
        <f>+BI47*(MCML_Loan!AO52-'Accrual_MCML '!BH46)*'Accrual_MCML '!BH45/360+'Accrual_MCML '!BI53*('Accrual_MCML '!BI46-MCML_Loan!AO52)*'Accrual_MCML '!BI45/360</f>
        <v>2090898.1495536009</v>
      </c>
      <c r="BJ48" s="25">
        <f>+BJ47*(MCML_Loan!AP52-'Accrual_MCML '!BI46)*'Accrual_MCML '!BI45/360+'Accrual_MCML '!BJ53*('Accrual_MCML '!BJ46-MCML_Loan!AP52)*'Accrual_MCML '!BJ45/360</f>
        <v>2127796.1358318985</v>
      </c>
      <c r="BK48" s="25">
        <f>+BK47*(MCML_Loan!AQ52-'Accrual_MCML '!BJ46)*'Accrual_MCML '!BJ45/360+'Accrual_MCML '!BK53*('Accrual_MCML '!BK46-MCML_Loan!AQ52)*'Accrual_MCML '!BK45/360</f>
        <v>2095375.3526808172</v>
      </c>
      <c r="BL48" s="25">
        <f>+BL47*(MCML_Loan!AR52-'Accrual_MCML '!BK46)*'Accrual_MCML '!BK45/360+'Accrual_MCML '!BL53*('Accrual_MCML '!BL46-MCML_Loan!AR52)*'Accrual_MCML '!BL45/360</f>
        <v>1996777.6623020957</v>
      </c>
      <c r="BM48" s="25">
        <f>+BM47*(MCML_Loan!AS52-'Accrual_MCML '!BL46)*'Accrual_MCML '!BL45/360+'Accrual_MCML '!BM53*('Accrual_MCML '!BM46-MCML_Loan!AS52)*'Accrual_MCML '!BM45/360</f>
        <v>2030209.2183162202</v>
      </c>
      <c r="BN48" s="25">
        <f>+BN47*(MCML_Loan!AT52-'Accrual_MCML '!BM46)*'Accrual_MCML '!BM45/360+'Accrual_MCML '!BN53*('Accrual_MCML '!BN46-MCML_Loan!AT52)*'Accrual_MCML '!BN45/360</f>
        <v>1933506.617224355</v>
      </c>
      <c r="BO48" s="25">
        <f>+BO47*(MCML_Loan!AU52-'Accrual_MCML '!BN46)*'Accrual_MCML '!BN45/360+'Accrual_MCML '!BO53*('Accrual_MCML '!BO46-MCML_Loan!AU52)*'Accrual_MCML '!BO45/360</f>
        <v>1964607.9189877002</v>
      </c>
      <c r="BP48" s="25">
        <f>+BP47*(MCML_Loan!AV52-'Accrual_MCML '!BO46)*'Accrual_MCML '!BO45/360+'Accrual_MCML '!BP53*('Accrual_MCML '!BP46-MCML_Loan!AV52)*'Accrual_MCML '!BP45/360</f>
        <v>1931643.1751138051</v>
      </c>
      <c r="BQ48" s="25">
        <f>+BQ47*(MCML_Loan!AW52-'Accrual_MCML '!BP46)*'Accrual_MCML '!BP45/360+'Accrual_MCML '!BQ53*('Accrual_MCML '!BQ46-MCML_Loan!AW52)*'Accrual_MCML '!BQ45/360</f>
        <v>1716283.7897868296</v>
      </c>
      <c r="BR48" s="25">
        <f>+BR47*(MCML_Loan!AX52-'Accrual_MCML '!BQ46)*'Accrual_MCML '!BQ45/360+'Accrual_MCML '!BR53*('Accrual_MCML '!BR46-MCML_Loan!AX52)*'Accrual_MCML '!BR45/360</f>
        <v>1865383.6736523444</v>
      </c>
      <c r="BS48" s="25">
        <f>+BS47*(MCML_Loan!AY52-'Accrual_MCML '!BR46)*'Accrual_MCML '!BR45/360+'Accrual_MCML '!BS53*('Accrual_MCML '!BS46-MCML_Loan!AY52)*'Accrual_MCML '!BS45/360</f>
        <v>1773474.3463512051</v>
      </c>
      <c r="BT48" s="25">
        <f>+BT47*(MCML_Loan!AZ52-'Accrual_MCML '!BS46)*'Accrual_MCML '!BS45/360+'Accrual_MCML '!BT53*('Accrual_MCML '!BT46-MCML_Loan!AZ52)*'Accrual_MCML '!BT45/360</f>
        <v>1798681.7059644577</v>
      </c>
      <c r="BU48" s="25">
        <f>+BU47*(MCML_Loan!BA52-'Accrual_MCML '!BT46)*'Accrual_MCML '!BT45/360+'Accrual_MCML '!BU53*('Accrual_MCML '!BU46-MCML_Loan!BA52)*'Accrual_MCML '!BU45/360</f>
        <v>1708712.1313525036</v>
      </c>
      <c r="BV48" s="25">
        <f>+BV47*(MCML_Loan!BB52-'Accrual_MCML '!BU46)*'Accrual_MCML '!BU45/360+'Accrual_MCML '!BV53*('Accrual_MCML '!BV46-MCML_Loan!BB52)*'Accrual_MCML '!BV45/360</f>
        <v>1731534.3173590107</v>
      </c>
      <c r="BW48" s="25">
        <f>+BW47*(MCML_Loan!BC52-'Accrual_MCML '!BV46)*'Accrual_MCML '!BV45/360+'Accrual_MCML '!BW53*('Accrual_MCML '!BW46-MCML_Loan!BC52)*'Accrual_MCML '!BW45/360</f>
        <v>1697792.6614796864</v>
      </c>
      <c r="BX48" s="25">
        <f>+BX47*(MCML_Loan!BD52-'Accrual_MCML '!BW46)*'Accrual_MCML '!BW45/360+'Accrual_MCML '!BX53*('Accrual_MCML '!BX46-MCML_Loan!BD52)*'Accrual_MCML '!BX45/360</f>
        <v>1610757.0302300095</v>
      </c>
      <c r="BY48" s="25">
        <f>+BY47*(MCML_Loan!BE52-'Accrual_MCML '!BX46)*'Accrual_MCML '!BX45/360+'Accrual_MCML '!BY53*('Accrual_MCML '!BY46-MCML_Loan!BE52)*'Accrual_MCML '!BY45/360</f>
        <v>1629971.5582549577</v>
      </c>
      <c r="BZ48" s="25">
        <f>+BZ47*(MCML_Loan!BF52-'Accrual_MCML '!BY46)*'Accrual_MCML '!BY45/360+'Accrual_MCML '!BZ53*('Accrual_MCML '!BZ46-MCML_Loan!BF52)*'Accrual_MCML '!BZ45/360</f>
        <v>1544908.2251536541</v>
      </c>
      <c r="CA48" s="25">
        <f>+CA47*(MCML_Loan!BG52-'Accrual_MCML '!BZ46)*'Accrual_MCML '!BZ45/360+'Accrual_MCML '!CA53*('Accrual_MCML '!CA46-MCML_Loan!BG52)*'Accrual_MCML '!CA45/360</f>
        <v>1561697.5607742507</v>
      </c>
      <c r="CB48" s="25">
        <f>+CB47*(MCML_Loan!BH52-'Accrual_MCML '!CA46)*'Accrual_MCML '!CA45/360+'Accrual_MCML '!CB53*('Accrual_MCML '!CB46-MCML_Loan!BH52)*'Accrual_MCML '!CB45/360</f>
        <v>1527389.7823729774</v>
      </c>
      <c r="CC48" s="25">
        <f>+CC47*(MCML_Loan!BI52-'Accrual_MCML '!CB46)*'Accrual_MCML '!CB45/360+'Accrual_MCML '!CC53*('Accrual_MCML '!CC46-MCML_Loan!BI52)*'Accrual_MCML '!CC45/360</f>
        <v>1397651.5928339404</v>
      </c>
      <c r="CD48" s="25">
        <f>+CD47*(MCML_Loan!BJ52-'Accrual_MCML '!CC46)*'Accrual_MCML '!CC45/360+'Accrual_MCML '!CD53*('Accrual_MCML '!CD46-MCML_Loan!BJ52)*'Accrual_MCML '!CD45/360</f>
        <v>1458430.7665888807</v>
      </c>
      <c r="CE48" s="25">
        <f>+CE47*(MCML_Loan!BK52-'Accrual_MCML '!CD46)*'Accrual_MCML '!CD45/360+'Accrual_MCML '!CE53*('Accrual_MCML '!CE46-MCML_Loan!BK52)*'Accrual_MCML '!CE45/360</f>
        <v>1378355.9926481741</v>
      </c>
      <c r="CF48" s="25">
        <f>+CF47*(MCML_Loan!BL52-'Accrual_MCML '!CE46)*'Accrual_MCML '!CE45/360+'Accrual_MCML '!CF53*('Accrual_MCML '!CF46-MCML_Loan!BL52)*'Accrual_MCML '!CF45/360</f>
        <v>1389011.2578216032</v>
      </c>
      <c r="CG48" s="25">
        <f>+CG47*(MCML_Loan!BM52-'Accrual_MCML '!CF46)*'Accrual_MCML '!CF45/360+'Accrual_MCML '!CG53*('Accrual_MCML '!CG46-MCML_Loan!BM52)*'Accrual_MCML '!CG45/360</f>
        <v>1310955.2650875226</v>
      </c>
      <c r="CH48" s="25">
        <f>+CH47*(MCML_Loan!BN52-'Accrual_MCML '!CG46)*'Accrual_MCML '!CG45/360+'Accrual_MCML '!CH53*('Accrual_MCML '!CH46-MCML_Loan!BN52)*'Accrual_MCML '!CH45/360</f>
        <v>1319128.1810013354</v>
      </c>
      <c r="CI48" s="25">
        <f>+CI47*(MCML_Loan!BO52-'Accrual_MCML '!CH46)*'Accrual_MCML '!CH45/360+'Accrual_MCML '!CI53*('Accrual_MCML '!CI46-MCML_Loan!BO52)*'Accrual_MCML '!CI45/360</f>
        <v>1284011.8380008193</v>
      </c>
      <c r="CJ48" s="25">
        <f>+CJ47*(MCML_Loan!BP52-'Accrual_MCML '!CI46)*'Accrual_MCML '!CI45/360+'Accrual_MCML '!CJ53*('Accrual_MCML '!CJ46-MCML_Loan!BP52)*'Accrual_MCML '!CJ45/360</f>
        <v>1209009.322008434</v>
      </c>
      <c r="CK48" s="25">
        <f>+CK47*(MCML_Loan!BQ52-'Accrual_MCML '!CJ46)*'Accrual_MCML '!CJ45/360+'Accrual_MCML '!CK53*('Accrual_MCML '!CK46-MCML_Loan!BQ52)*'Accrual_MCML '!CK45/360</f>
        <v>1213427.5983881927</v>
      </c>
      <c r="CL48" s="25">
        <f>+CL47*(MCML_Loan!BR52-'Accrual_MCML '!CK46)*'Accrual_MCML '!CK45/360+'Accrual_MCML '!CL53*('Accrual_MCML '!CL46-MCML_Loan!BR52)*'Accrual_MCML '!CL45/360</f>
        <v>1140477.7350138437</v>
      </c>
      <c r="CM48" s="25">
        <f>+CM47*(MCML_Loan!BS52-'Accrual_MCML '!CL46)*'Accrual_MCML '!CL45/360+'Accrual_MCML '!CM53*('Accrual_MCML '!CM46-MCML_Loan!BS52)*'Accrual_MCML '!CM45/360</f>
        <v>1142372.0129088201</v>
      </c>
      <c r="CN48" s="25">
        <f>+CN47*(MCML_Loan!BT52-'Accrual_MCML '!CM46)*'Accrual_MCML '!CM45/360+'Accrual_MCML '!CN53*('Accrual_MCML '!CN46-MCML_Loan!BT52)*'Accrual_MCML '!CN45/360</f>
        <v>1106666.4826813284</v>
      </c>
      <c r="CO48" s="25">
        <f>+CO47*(MCML_Loan!BU52-'Accrual_MCML '!CN46)*'Accrual_MCML '!CN45/360+'Accrual_MCML '!CO53*('Accrual_MCML '!CO46-MCML_Loan!BU52)*'Accrual_MCML '!CO45/360</f>
        <v>968780.11516760872</v>
      </c>
      <c r="CP48" s="25">
        <f>+CP47*(MCML_Loan!BV52-'Accrual_MCML '!CO46)*'Accrual_MCML '!CO45/360+'Accrual_MCML '!CP53*('Accrual_MCML '!CP46-MCML_Loan!BV52)*'Accrual_MCML '!CP45/360</f>
        <v>1034897.9701959575</v>
      </c>
      <c r="CQ48" s="25">
        <f>+CQ47*(MCML_Loan!BW52-'Accrual_MCML '!CP46)*'Accrual_MCML '!CP45/360+'Accrual_MCML '!CQ53*('Accrual_MCML '!CQ46-MCML_Loan!BW52)*'Accrual_MCML '!CQ45/360</f>
        <v>967139.90757935517</v>
      </c>
      <c r="CR48" s="25">
        <f>+CR47*(MCML_Loan!BX52-'Accrual_MCML '!CQ46)*'Accrual_MCML '!CQ45/360+'Accrual_MCML '!CR53*('Accrual_MCML '!CR46-MCML_Loan!BX52)*'Accrual_MCML '!CR45/360</f>
        <v>962650.20353276748</v>
      </c>
      <c r="CS48" s="25">
        <f>+CS47*(MCML_Loan!BY52-'Accrual_MCML '!CR46)*'Accrual_MCML '!CR45/360+'Accrual_MCML '!CS53*('Accrual_MCML '!CS46-MCML_Loan!BY52)*'Accrual_MCML '!CS45/360</f>
        <v>896993.17038396606</v>
      </c>
      <c r="CT48" s="25">
        <f>+CT47*(MCML_Loan!BZ52-'Accrual_MCML '!CS46)*'Accrual_MCML '!CS45/360+'Accrual_MCML '!CT53*('Accrual_MCML '!CT46-MCML_Loan!BZ52)*'Accrual_MCML '!CT45/360</f>
        <v>889919.98233885993</v>
      </c>
      <c r="CU48" s="25">
        <f>+CU47*(MCML_Loan!CA52-'Accrual_MCML '!CT46)*'Accrual_MCML '!CT45/360+'Accrual_MCML '!CU53*('Accrual_MCML '!CU46-MCML_Loan!CA52)*'Accrual_MCML '!CU45/360</f>
        <v>853372.94534280221</v>
      </c>
      <c r="CV48" s="25">
        <f>+CV47*(MCML_Loan!CB52-'Accrual_MCML '!CU46)*'Accrual_MCML '!CU45/360+'Accrual_MCML '!CV53*('Accrual_MCML '!CV46-MCML_Loan!CB52)*'Accrual_MCML '!CV45/360</f>
        <v>790893.79228942236</v>
      </c>
      <c r="CW48" s="25">
        <f>+CW47*(MCML_Loan!CC52-'Accrual_MCML '!CV46)*'Accrual_MCML '!CV45/360+'Accrual_MCML '!CW53*('Accrual_MCML '!CW46-MCML_Loan!CC52)*'Accrual_MCML '!CW45/360</f>
        <v>779912.99490253697</v>
      </c>
      <c r="CX48" s="25">
        <f>+CX47*(MCML_Loan!CD52-'Accrual_MCML '!CW46)*'Accrual_MCML '!CW45/360+'Accrual_MCML '!CX53*('Accrual_MCML '!CX46-MCML_Loan!CD52)*'Accrual_MCML '!CX45/360</f>
        <v>719570.12270193058</v>
      </c>
      <c r="CY48" s="25">
        <f>+CY47*(MCML_Loan!CE52-'Accrual_MCML '!CX46)*'Accrual_MCML '!CX45/360+'Accrual_MCML '!CY53*('Accrual_MCML '!CY46-MCML_Loan!CE52)*'Accrual_MCML '!CY45/360</f>
        <v>705962.49523766548</v>
      </c>
      <c r="CZ48" s="25">
        <f>+CZ47*(MCML_Loan!CF52-'Accrual_MCML '!CY46)*'Accrual_MCML '!CY45/360+'Accrual_MCML '!CZ53*('Accrual_MCML '!CZ46-MCML_Loan!CF52)*'Accrual_MCML '!CZ45/360</f>
        <v>668802.2666179369</v>
      </c>
      <c r="DA48" s="25">
        <f>+DA47*(MCML_Loan!CG52-'Accrual_MCML '!CZ46)*'Accrual_MCML '!CZ45/360+'Accrual_MCML '!DA53*('Accrual_MCML '!DA46-MCML_Loan!CG52)*'Accrual_MCML '!DA45/360</f>
        <v>572035.43923430727</v>
      </c>
      <c r="DB48" s="25">
        <f>+DB47*(MCML_Loan!CH52-'Accrual_MCML '!DA46)*'Accrual_MCML '!DA45/360+'Accrual_MCML '!DB53*('Accrual_MCML '!DB46-MCML_Loan!CH52)*'Accrual_MCML '!DB45/360</f>
        <v>594109.79420085368</v>
      </c>
      <c r="DC48" s="25">
        <f>+DC47*(MCML_Loan!CI52-'Accrual_MCML '!DB46)*'Accrual_MCML '!DB45/360+'Accrual_MCML '!DC53*('Accrual_MCML '!DC46-MCML_Loan!CI52)*'Accrual_MCML '!DC45/360</f>
        <v>539170.24473139644</v>
      </c>
      <c r="DD48" s="25">
        <f>+DD47*(MCML_Loan!CJ52-'Accrual_MCML '!DC46)*'Accrual_MCML '!DC45/360+'Accrual_MCML '!DD53*('Accrual_MCML '!DD46-MCML_Loan!CJ52)*'Accrual_MCML '!DD45/360</f>
        <v>518918.54205129622</v>
      </c>
      <c r="DE48" s="25">
        <f>+DE47*(MCML_Loan!CK52-'Accrual_MCML '!DD46)*'Accrual_MCML '!DD45/360+'Accrual_MCML '!DE53*('Accrual_MCML '!DE46-MCML_Loan!CK52)*'Accrual_MCML '!DE45/360</f>
        <v>466165.62123187835</v>
      </c>
      <c r="DF48" s="25">
        <f>+DF47*(MCML_Loan!CL52-'Accrual_MCML '!DE46)*'Accrual_MCML '!DE45/360+'Accrual_MCML '!DF53*('Accrual_MCML '!DF46-MCML_Loan!CL52)*'Accrual_MCML '!DF45/360</f>
        <v>443225.17942905123</v>
      </c>
      <c r="DG48" s="25">
        <f>+DG47*(MCML_Loan!CM52-'Accrual_MCML '!DF46)*'Accrual_MCML '!DF45/360+'Accrual_MCML '!DG53*('Accrual_MCML '!DG46-MCML_Loan!CM52)*'Accrual_MCML '!DG45/360</f>
        <v>405189.1597566274</v>
      </c>
      <c r="DH48" s="25">
        <f>+DH47*(MCML_Loan!CN52-'Accrual_MCML '!DG46)*'Accrual_MCML '!DG45/360+'Accrual_MCML '!DH53*('Accrual_MCML '!DH46-MCML_Loan!CN52)*'Accrual_MCML '!DH45/360</f>
        <v>355743.59077093285</v>
      </c>
      <c r="DI48" s="25">
        <f>+DI47*(MCML_Loan!CO52-'Accrual_MCML '!DH46)*'Accrual_MCML '!DH45/360+'Accrual_MCML '!DI53*('Accrual_MCML '!DI46-MCML_Loan!CO52)*'Accrual_MCML '!DI45/360</f>
        <v>328736.3375926147</v>
      </c>
      <c r="DJ48" s="25">
        <f>+DJ47*(MCML_Loan!CP52-'Accrual_MCML '!DI46)*'Accrual_MCML '!DI45/360+'Accrual_MCML '!DJ53*('Accrual_MCML '!DJ46-MCML_Loan!CP52)*'Accrual_MCML '!DJ45/360</f>
        <v>281514.08483774529</v>
      </c>
      <c r="DK48" s="25">
        <f>+DK47*(MCML_Loan!CQ52-'Accrual_MCML '!DJ46)*'Accrual_MCML '!DJ45/360+'Accrual_MCML '!DK53*('Accrual_MCML '!DK46-MCML_Loan!CQ52)*'Accrual_MCML '!DK45/360</f>
        <v>251772.98047170675</v>
      </c>
      <c r="DL48" s="25">
        <f>+DL47*(MCML_Loan!CR52-'Accrual_MCML '!DK46)*'Accrual_MCML '!DK45/360+'Accrual_MCML '!DL53*('Accrual_MCML '!DL46-MCML_Loan!CR52)*'Accrual_MCML '!DL45/360</f>
        <v>213098.7868027584</v>
      </c>
      <c r="DM48" s="25">
        <f>+DM47*(MCML_Loan!CS52-'Accrual_MCML '!DL46)*'Accrual_MCML '!DL45/360+'Accrual_MCML '!DM53*('Accrual_MCML '!DM46-MCML_Loan!CS52)*'Accrual_MCML '!DM45/360</f>
        <v>159126.77305827121</v>
      </c>
      <c r="DN48" s="25">
        <f>+DN47*(MCML_Loan!CT52-'Accrual_MCML '!DM46)*'Accrual_MCML '!DM45/360+'Accrual_MCML '!DN53*('Accrual_MCML '!DN46-MCML_Loan!CT52)*'Accrual_MCML '!DN45/360</f>
        <v>135363.2278149093</v>
      </c>
      <c r="DO48" s="25">
        <f>+DO47*(MCML_Loan!CU52-'Accrual_MCML '!DN46)*'Accrual_MCML '!DN45/360+'Accrual_MCML '!DO53*('Accrual_MCML '!DO46-MCML_Loan!CU52)*'Accrual_MCML '!DO45/360</f>
        <v>93764.437496149883</v>
      </c>
      <c r="DP48" s="25">
        <f>+DP47*(MCML_Loan!CV52-'Accrual_MCML '!DO46)*'Accrual_MCML '!DO45/360+'Accrual_MCML '!DP53*('Accrual_MCML '!DP46-MCML_Loan!CV52)*'Accrual_MCML '!DP45/360</f>
        <v>57108.568038707985</v>
      </c>
      <c r="DQ48" s="25">
        <f>+DQ47*(MCML_Loan!CW52-'Accrual_MCML '!DP46)*'Accrual_MCML '!DP45/360+'Accrual_MCML '!DQ53*('Accrual_MCML '!DQ46-MCML_Loan!CW52)*'Accrual_MCML '!DQ45/360</f>
        <v>17785.492994983004</v>
      </c>
      <c r="DR48" s="25"/>
      <c r="DS48" s="25"/>
    </row>
    <row r="49" spans="1:123" s="54" customFormat="1" x14ac:dyDescent="0.25">
      <c r="A49" s="46" t="s">
        <v>12</v>
      </c>
      <c r="B49" s="164"/>
      <c r="C49" s="164"/>
      <c r="D49" s="164"/>
      <c r="E49" s="164"/>
      <c r="F49" s="164"/>
      <c r="G49" s="164"/>
      <c r="H49" s="164"/>
      <c r="I49" s="164">
        <f>H49+I48</f>
        <v>1662640</v>
      </c>
      <c r="J49" s="164">
        <f t="shared" ref="J49" si="1090">I49+J48</f>
        <v>6043564.444444444</v>
      </c>
      <c r="K49" s="164">
        <f t="shared" ref="K49" si="1091">J49+K48</f>
        <v>9210497.777777778</v>
      </c>
      <c r="L49" s="164">
        <f t="shared" ref="L49" si="1092">K49+L48</f>
        <v>12482995.555555556</v>
      </c>
      <c r="M49" s="164">
        <f t="shared" ref="M49" si="1093">L49+M48</f>
        <v>15649928.88888889</v>
      </c>
      <c r="N49" s="164">
        <f t="shared" ref="N49" si="1094">M49+N48</f>
        <v>18922426.666666668</v>
      </c>
      <c r="O49" s="164">
        <f t="shared" ref="O49" si="1095">N49+O48</f>
        <v>22194924.444444448</v>
      </c>
      <c r="P49" s="164">
        <f t="shared" ref="P49" si="1096">O49+P48</f>
        <v>25361857.77777778</v>
      </c>
      <c r="Q49" s="164">
        <f t="shared" ref="Q49" si="1097">P49+Q48</f>
        <v>28634355.55555556</v>
      </c>
      <c r="R49" s="164">
        <f t="shared" ref="R49" si="1098">Q49+R48</f>
        <v>31801288.888888892</v>
      </c>
      <c r="S49" s="164">
        <f t="shared" ref="S49" si="1099">R49+S48</f>
        <v>35073786.666666672</v>
      </c>
      <c r="T49" s="164">
        <f t="shared" ref="T49" si="1100">S49+T48</f>
        <v>38346284.444444448</v>
      </c>
      <c r="U49" s="164">
        <f t="shared" ref="U49" si="1101">T49+U48</f>
        <v>41302088.888888896</v>
      </c>
      <c r="V49" s="164">
        <f t="shared" ref="V49" si="1102">U49+V48</f>
        <v>44574586.666666672</v>
      </c>
      <c r="W49" s="164">
        <f t="shared" ref="W49" si="1103">V49+W48</f>
        <v>47741520.000000007</v>
      </c>
      <c r="X49" s="164">
        <f t="shared" ref="X49" si="1104">W49+X48</f>
        <v>51014017.777777784</v>
      </c>
      <c r="Y49" s="164">
        <f t="shared" ref="Y49" si="1105">X49+Y48</f>
        <v>54180951.111111119</v>
      </c>
      <c r="Z49" s="164">
        <f t="shared" ref="Z49" si="1106">Y49+Z48</f>
        <v>57453448.888888896</v>
      </c>
      <c r="AA49" s="164">
        <f t="shared" ref="AA49" si="1107">Z49+AA48</f>
        <v>60725946.666666672</v>
      </c>
      <c r="AB49" s="164">
        <f t="shared" ref="AB49" si="1108">AA49+AB48</f>
        <v>63840097.777777784</v>
      </c>
      <c r="AC49" s="164">
        <f t="shared" ref="AC49" si="1109">AB49+AC48</f>
        <v>67010330.000000007</v>
      </c>
      <c r="AD49" s="164">
        <f t="shared" ref="AD49" si="1110">AC49+AD48</f>
        <v>70078296.666666672</v>
      </c>
      <c r="AE49" s="164">
        <f t="shared" ref="AE49" si="1111">AD49+AE48</f>
        <v>73192447.777777776</v>
      </c>
      <c r="AF49" s="47">
        <f t="shared" ref="AF49" si="1112">AE49+AF48</f>
        <v>76244353.896589994</v>
      </c>
      <c r="AG49" s="47">
        <f t="shared" ref="AG49" si="1113">AF49+AG48</f>
        <v>79070875.741745904</v>
      </c>
      <c r="AH49" s="47">
        <f t="shared" ref="AH49" si="1114">AG49+AH48</f>
        <v>82064003.226087362</v>
      </c>
      <c r="AI49" s="47">
        <f t="shared" ref="AI49" si="1115">AH49+AI48</f>
        <v>84932425.587661311</v>
      </c>
      <c r="AJ49" s="47">
        <f t="shared" ref="AJ49" si="1116">AI49+AJ48</f>
        <v>87865424.529133111</v>
      </c>
      <c r="AK49" s="47">
        <f t="shared" ref="AK49" si="1117">AJ49+AK48</f>
        <v>90676396.495232239</v>
      </c>
      <c r="AL49" s="47">
        <f t="shared" ref="AL49" si="1118">AK49+AL48</f>
        <v>93550786.557555988</v>
      </c>
      <c r="AM49" s="47">
        <f t="shared" ref="AM49" si="1119">AL49+AM48</f>
        <v>96393310.475818411</v>
      </c>
      <c r="AN49" s="47">
        <f t="shared" ref="AN49" si="1120">AM49+AN48</f>
        <v>99117386.721961439</v>
      </c>
      <c r="AO49" s="47">
        <f t="shared" ref="AO49" si="1121">AN49+AO48</f>
        <v>101901680.72015026</v>
      </c>
      <c r="AP49" s="47">
        <f t="shared" ref="AP49" si="1122">AO49+AP48</f>
        <v>104567342.65953653</v>
      </c>
      <c r="AQ49" s="47">
        <f t="shared" ref="AQ49" si="1123">AP49+AQ48</f>
        <v>107291070.96898243</v>
      </c>
      <c r="AR49" s="47">
        <f t="shared" ref="AR49" si="1124">AQ49+AR48</f>
        <v>109984364.93585595</v>
      </c>
      <c r="AS49" s="47">
        <f t="shared" ref="AS49" si="1125">AR49+AS48</f>
        <v>112390773.39321166</v>
      </c>
      <c r="AT49" s="47">
        <f t="shared" ref="AT49" si="1126">AS49+AT48</f>
        <v>115022893.99335538</v>
      </c>
      <c r="AU49" s="47">
        <f t="shared" ref="AU49" si="1127">AT49+AU48</f>
        <v>117540807.87278344</v>
      </c>
      <c r="AV49" s="47">
        <f t="shared" ref="AV49" si="1128">AU49+AV48</f>
        <v>120111346.60404839</v>
      </c>
      <c r="AW49" s="47">
        <f t="shared" ref="AW49" si="1129">AV49+AW48</f>
        <v>122569469.47024862</v>
      </c>
      <c r="AX49" s="47">
        <f t="shared" ref="AX49" si="1130">AW49+AX48</f>
        <v>125078015.10259931</v>
      </c>
      <c r="AY49" s="47">
        <f t="shared" ref="AY49" si="1131">AX49+AY48</f>
        <v>127555409.1167873</v>
      </c>
      <c r="AZ49" s="47">
        <f t="shared" ref="AZ49" si="1132">AY49+AZ48</f>
        <v>129923095.9973273</v>
      </c>
      <c r="BA49" s="47">
        <f t="shared" ref="BA49" si="1133">AZ49+BA48</f>
        <v>132337874.9128792</v>
      </c>
      <c r="BB49" s="47">
        <f t="shared" ref="BB49" si="1134">BA49+BB48</f>
        <v>134644767.59767658</v>
      </c>
      <c r="BC49" s="47">
        <f t="shared" ref="BC49" si="1135">BB49+BC48</f>
        <v>136996513.28487816</v>
      </c>
      <c r="BD49" s="47">
        <f t="shared" ref="BD49" si="1136">BC49+BD48</f>
        <v>139316584.68743324</v>
      </c>
      <c r="BE49" s="47">
        <f t="shared" ref="BE49" si="1137">BD49+BE48</f>
        <v>141384819.6656616</v>
      </c>
      <c r="BF49" s="47">
        <f t="shared" ref="BF49" si="1138">BE49+BF48</f>
        <v>143641225.40414068</v>
      </c>
      <c r="BG49" s="47">
        <f t="shared" ref="BG49" si="1139">BF49+BG48</f>
        <v>145794350.54505375</v>
      </c>
      <c r="BH49" s="47">
        <f t="shared" ref="BH49" si="1140">BG49+BH48</f>
        <v>147986665.47430006</v>
      </c>
      <c r="BI49" s="47">
        <f t="shared" ref="BI49" si="1141">BH49+BI48</f>
        <v>150077563.62385365</v>
      </c>
      <c r="BJ49" s="47">
        <f t="shared" ref="BJ49" si="1142">BI49+BJ48</f>
        <v>152205359.75968555</v>
      </c>
      <c r="BK49" s="47">
        <f t="shared" ref="BK49" si="1143">BJ49+BK48</f>
        <v>154300735.11236638</v>
      </c>
      <c r="BL49" s="47">
        <f t="shared" ref="BL49" si="1144">BK49+BL48</f>
        <v>156297512.77466848</v>
      </c>
      <c r="BM49" s="47">
        <f t="shared" ref="BM49" si="1145">BL49+BM48</f>
        <v>158327721.99298471</v>
      </c>
      <c r="BN49" s="47">
        <f t="shared" ref="BN49" si="1146">BM49+BN48</f>
        <v>160261228.61020908</v>
      </c>
      <c r="BO49" s="47">
        <f t="shared" ref="BO49" si="1147">BN49+BO48</f>
        <v>162225836.52919677</v>
      </c>
      <c r="BP49" s="47">
        <f t="shared" ref="BP49" si="1148">BO49+BP48</f>
        <v>164157479.70431057</v>
      </c>
      <c r="BQ49" s="47">
        <f t="shared" ref="BQ49" si="1149">BP49+BQ48</f>
        <v>165873763.49409738</v>
      </c>
      <c r="BR49" s="47">
        <f t="shared" ref="BR49" si="1150">BQ49+BR48</f>
        <v>167739147.16774973</v>
      </c>
      <c r="BS49" s="47">
        <f t="shared" ref="BS49" si="1151">BR49+BS48</f>
        <v>169512621.51410094</v>
      </c>
      <c r="BT49" s="47">
        <f t="shared" ref="BT49" si="1152">BS49+BT48</f>
        <v>171311303.22006539</v>
      </c>
      <c r="BU49" s="47">
        <f t="shared" ref="BU49" si="1153">BT49+BU48</f>
        <v>173020015.3514179</v>
      </c>
      <c r="BV49" s="47">
        <f t="shared" ref="BV49" si="1154">BU49+BV48</f>
        <v>174751549.6687769</v>
      </c>
      <c r="BW49" s="47">
        <f t="shared" ref="BW49" si="1155">BV49+BW48</f>
        <v>176449342.33025658</v>
      </c>
      <c r="BX49" s="47">
        <f t="shared" ref="BX49" si="1156">BW49+BX48</f>
        <v>178060099.3604866</v>
      </c>
      <c r="BY49" s="47">
        <f t="shared" ref="BY49" si="1157">BX49+BY48</f>
        <v>179690070.91874155</v>
      </c>
      <c r="BZ49" s="47">
        <f t="shared" ref="BZ49" si="1158">BY49+BZ48</f>
        <v>181234979.14389521</v>
      </c>
      <c r="CA49" s="47">
        <f t="shared" ref="CA49" si="1159">BZ49+CA48</f>
        <v>182796676.70466945</v>
      </c>
      <c r="CB49" s="47">
        <f t="shared" ref="CB49" si="1160">CA49+CB48</f>
        <v>184324066.48704243</v>
      </c>
      <c r="CC49" s="47">
        <f t="shared" ref="CC49" si="1161">CB49+CC48</f>
        <v>185721718.07987636</v>
      </c>
      <c r="CD49" s="47">
        <f t="shared" ref="CD49" si="1162">CC49+CD48</f>
        <v>187180148.84646523</v>
      </c>
      <c r="CE49" s="47">
        <f t="shared" ref="CE49" si="1163">CD49+CE48</f>
        <v>188558504.83911341</v>
      </c>
      <c r="CF49" s="47">
        <f t="shared" ref="CF49" si="1164">CE49+CF48</f>
        <v>189947516.096935</v>
      </c>
      <c r="CG49" s="47">
        <f t="shared" ref="CG49" si="1165">CF49+CG48</f>
        <v>191258471.36202252</v>
      </c>
      <c r="CH49" s="47">
        <f t="shared" ref="CH49" si="1166">CG49+CH48</f>
        <v>192577599.54302385</v>
      </c>
      <c r="CI49" s="47">
        <f t="shared" ref="CI49" si="1167">CH49+CI48</f>
        <v>193861611.38102469</v>
      </c>
      <c r="CJ49" s="47">
        <f t="shared" ref="CJ49" si="1168">CI49+CJ48</f>
        <v>195070620.70303312</v>
      </c>
      <c r="CK49" s="47">
        <f t="shared" ref="CK49" si="1169">CJ49+CK48</f>
        <v>196284048.30142131</v>
      </c>
      <c r="CL49" s="47">
        <f t="shared" ref="CL49" si="1170">CK49+CL48</f>
        <v>197424526.03643516</v>
      </c>
      <c r="CM49" s="47">
        <f t="shared" ref="CM49" si="1171">CL49+CM48</f>
        <v>198566898.04934397</v>
      </c>
      <c r="CN49" s="47">
        <f t="shared" ref="CN49" si="1172">CM49+CN48</f>
        <v>199673564.53202531</v>
      </c>
      <c r="CO49" s="47">
        <f t="shared" ref="CO49" si="1173">CN49+CO48</f>
        <v>200642344.64719293</v>
      </c>
      <c r="CP49" s="47">
        <f t="shared" ref="CP49" si="1174">CO49+CP48</f>
        <v>201677242.61738887</v>
      </c>
      <c r="CQ49" s="47">
        <f t="shared" ref="CQ49" si="1175">CP49+CQ48</f>
        <v>202644382.52496824</v>
      </c>
      <c r="CR49" s="47">
        <f t="shared" ref="CR49" si="1176">CQ49+CR48</f>
        <v>203607032.72850099</v>
      </c>
      <c r="CS49" s="47">
        <f t="shared" ref="CS49" si="1177">CR49+CS48</f>
        <v>204504025.89888495</v>
      </c>
      <c r="CT49" s="47">
        <f t="shared" ref="CT49" si="1178">CS49+CT48</f>
        <v>205393945.8812238</v>
      </c>
      <c r="CU49" s="47">
        <f t="shared" ref="CU49" si="1179">CT49+CU48</f>
        <v>206247318.82656661</v>
      </c>
      <c r="CV49" s="47">
        <f t="shared" ref="CV49" si="1180">CU49+CV48</f>
        <v>207038212.61885604</v>
      </c>
      <c r="CW49" s="47">
        <f t="shared" ref="CW49" si="1181">CV49+CW48</f>
        <v>207818125.61375859</v>
      </c>
      <c r="CX49" s="47">
        <f t="shared" ref="CX49" si="1182">CW49+CX48</f>
        <v>208537695.73646054</v>
      </c>
      <c r="CY49" s="47">
        <f t="shared" ref="CY49" si="1183">CX49+CY48</f>
        <v>209243658.23169822</v>
      </c>
      <c r="CZ49" s="47">
        <f t="shared" ref="CZ49" si="1184">CY49+CZ48</f>
        <v>209912460.49831614</v>
      </c>
      <c r="DA49" s="47">
        <f t="shared" ref="DA49" si="1185">CZ49+DA48</f>
        <v>210484495.93755046</v>
      </c>
      <c r="DB49" s="47">
        <f t="shared" ref="DB49" si="1186">DA49+DB48</f>
        <v>211078605.73175132</v>
      </c>
      <c r="DC49" s="47">
        <f t="shared" ref="DC49" si="1187">DB49+DC48</f>
        <v>211617775.97648272</v>
      </c>
      <c r="DD49" s="47">
        <f t="shared" ref="DD49" si="1188">DC49+DD48</f>
        <v>212136694.518534</v>
      </c>
      <c r="DE49" s="47">
        <f t="shared" ref="DE49" si="1189">DD49+DE48</f>
        <v>212602860.13976589</v>
      </c>
      <c r="DF49" s="47">
        <f t="shared" ref="DF49" si="1190">DE49+DF48</f>
        <v>213046085.31919494</v>
      </c>
      <c r="DG49" s="47">
        <f t="shared" ref="DG49" si="1191">DF49+DG48</f>
        <v>213451274.47895157</v>
      </c>
      <c r="DH49" s="47">
        <f t="shared" ref="DH49" si="1192">DG49+DH48</f>
        <v>213807018.0697225</v>
      </c>
      <c r="DI49" s="47">
        <f t="shared" ref="DI49" si="1193">DH49+DI48</f>
        <v>214135754.40731511</v>
      </c>
      <c r="DJ49" s="47">
        <f t="shared" ref="DJ49" si="1194">DI49+DJ48</f>
        <v>214417268.49215284</v>
      </c>
      <c r="DK49" s="47">
        <f t="shared" ref="DK49" si="1195">DJ49+DK48</f>
        <v>214669041.47262454</v>
      </c>
      <c r="DL49" s="47">
        <f t="shared" ref="DL49" si="1196">DK49+DL48</f>
        <v>214882140.25942731</v>
      </c>
      <c r="DM49" s="47">
        <f t="shared" ref="DM49" si="1197">DL49+DM48</f>
        <v>215041267.03248557</v>
      </c>
      <c r="DN49" s="47">
        <f t="shared" ref="DN49" si="1198">DM49+DN48</f>
        <v>215176630.26030049</v>
      </c>
      <c r="DO49" s="47">
        <f t="shared" ref="DO49" si="1199">DN49+DO48</f>
        <v>215270394.69779664</v>
      </c>
      <c r="DP49" s="47">
        <f t="shared" ref="DP49" si="1200">DO49+DP48</f>
        <v>215327503.26583534</v>
      </c>
      <c r="DQ49" s="47">
        <f t="shared" ref="DQ49" si="1201">DP49+DQ48</f>
        <v>215345288.75883034</v>
      </c>
      <c r="DR49" s="47"/>
      <c r="DS49" s="47"/>
    </row>
    <row r="50" spans="1:123" s="53" customFormat="1" x14ac:dyDescent="0.25">
      <c r="A50" s="22" t="s">
        <v>7</v>
      </c>
      <c r="B50" s="163"/>
      <c r="C50" s="163"/>
      <c r="D50" s="163"/>
      <c r="E50" s="163"/>
      <c r="F50" s="163"/>
      <c r="G50" s="163"/>
      <c r="H50" s="163"/>
      <c r="I50" s="163">
        <f t="shared" ref="I50" si="1202">H50</f>
        <v>0</v>
      </c>
      <c r="J50" s="163">
        <f t="shared" ref="J50" si="1203">I50</f>
        <v>0</v>
      </c>
      <c r="K50" s="163">
        <f t="shared" ref="K50" si="1204">J50</f>
        <v>0</v>
      </c>
      <c r="L50" s="163">
        <f t="shared" ref="L50" si="1205">K50</f>
        <v>0</v>
      </c>
      <c r="M50" s="163">
        <f t="shared" ref="M50" si="1206">L50</f>
        <v>0</v>
      </c>
      <c r="N50" s="163">
        <f t="shared" ref="N50" si="1207">M50</f>
        <v>0</v>
      </c>
      <c r="O50" s="163">
        <f t="shared" ref="O50" si="1208">N50</f>
        <v>0</v>
      </c>
      <c r="P50" s="163">
        <f t="shared" ref="P50" si="1209">O50</f>
        <v>0</v>
      </c>
      <c r="Q50" s="163">
        <f t="shared" ref="Q50" si="1210">P50</f>
        <v>0</v>
      </c>
      <c r="R50" s="163">
        <f t="shared" ref="R50" si="1211">Q50</f>
        <v>0</v>
      </c>
      <c r="S50" s="163">
        <f t="shared" ref="S50" si="1212">R50</f>
        <v>0</v>
      </c>
      <c r="T50" s="163">
        <f t="shared" ref="T50" si="1213">S50</f>
        <v>0</v>
      </c>
      <c r="U50" s="163">
        <f t="shared" ref="U50" si="1214">T50</f>
        <v>0</v>
      </c>
      <c r="V50" s="163">
        <f t="shared" ref="V50" si="1215">U50</f>
        <v>0</v>
      </c>
      <c r="W50" s="163">
        <f t="shared" ref="W50" si="1216">V50</f>
        <v>0</v>
      </c>
      <c r="X50" s="163">
        <f t="shared" ref="X50" si="1217">W50</f>
        <v>0</v>
      </c>
      <c r="Y50" s="163">
        <f t="shared" ref="Y50" si="1218">X50</f>
        <v>0</v>
      </c>
      <c r="Z50" s="163">
        <f t="shared" ref="Z50" si="1219">Y50</f>
        <v>0</v>
      </c>
      <c r="AA50" s="163">
        <f t="shared" ref="AA50" si="1220">Z50</f>
        <v>0</v>
      </c>
      <c r="AB50" s="163">
        <f>MCML_Loan!$J$56</f>
        <v>29690000</v>
      </c>
      <c r="AC50" s="163">
        <f>Z50</f>
        <v>0</v>
      </c>
      <c r="AD50" s="163">
        <f>AA50</f>
        <v>0</v>
      </c>
      <c r="AE50" s="163">
        <f>MCML_Loan!$K$56</f>
        <v>29690000</v>
      </c>
      <c r="AF50" s="25">
        <f>+MCML_Loan!L56</f>
        <v>8502642.981764067</v>
      </c>
      <c r="AG50" s="25">
        <f>+MCML_Loan!M56</f>
        <v>8530985.1250366159</v>
      </c>
      <c r="AH50" s="25">
        <f>+MCML_Loan!N56</f>
        <v>8559421.7421200685</v>
      </c>
      <c r="AI50" s="25">
        <f>+MCML_Loan!O56</f>
        <v>8587953.1479271371</v>
      </c>
      <c r="AJ50" s="25">
        <f>+MCML_Loan!P56</f>
        <v>8616579.6584202256</v>
      </c>
      <c r="AK50" s="25">
        <f>+MCML_Loan!Q56</f>
        <v>8645301.5906149596</v>
      </c>
      <c r="AL50" s="25">
        <f>+MCML_Loan!R56</f>
        <v>8674119.2625836767</v>
      </c>
      <c r="AM50" s="25">
        <f>+MCML_Loan!S56</f>
        <v>8703032.9934589565</v>
      </c>
      <c r="AN50" s="25">
        <f>+MCML_Loan!T56</f>
        <v>8732043.1034371518</v>
      </c>
      <c r="AO50" s="25">
        <f>+MCML_Loan!U56</f>
        <v>8761149.9137819447</v>
      </c>
      <c r="AP50" s="25">
        <f>+MCML_Loan!V56</f>
        <v>8790353.7468278818</v>
      </c>
      <c r="AQ50" s="25">
        <f>+MCML_Loan!W56</f>
        <v>8819654.9259839766</v>
      </c>
      <c r="AR50" s="25">
        <f>+MCML_Loan!X56</f>
        <v>8849053.7757372558</v>
      </c>
      <c r="AS50" s="25">
        <f>+MCML_Loan!Y56</f>
        <v>8878550.6216563806</v>
      </c>
      <c r="AT50" s="25">
        <f>+MCML_Loan!Z56</f>
        <v>8908145.7903952356</v>
      </c>
      <c r="AU50" s="25">
        <f>+MCML_Loan!AA56</f>
        <v>8937839.6096965522</v>
      </c>
      <c r="AV50" s="25">
        <f>+MCML_Loan!AB56</f>
        <v>8967632.40839554</v>
      </c>
      <c r="AW50" s="25">
        <f>+MCML_Loan!AC56</f>
        <v>8997524.5164235272</v>
      </c>
      <c r="AX50" s="25">
        <f>+MCML_Loan!AD56</f>
        <v>9027516.2648116052</v>
      </c>
      <c r="AY50" s="25">
        <f>+MCML_Loan!AE56</f>
        <v>9057607.9856943097</v>
      </c>
      <c r="AZ50" s="25">
        <f>+MCML_Loan!AF56</f>
        <v>9087800.0123132896</v>
      </c>
      <c r="BA50" s="25">
        <f>+MCML_Loan!AG56</f>
        <v>9118092.6790210009</v>
      </c>
      <c r="BB50" s="25">
        <f>+MCML_Loan!AH56</f>
        <v>9148486.3212844059</v>
      </c>
      <c r="BC50" s="25">
        <f>+MCML_Loan!AI56</f>
        <v>9178981.2756886873</v>
      </c>
      <c r="BD50" s="25">
        <f>+MCML_Loan!AJ56</f>
        <v>9209577.8799409829</v>
      </c>
      <c r="BE50" s="25">
        <f>+MCML_Loan!AK56</f>
        <v>9240276.4728741199</v>
      </c>
      <c r="BF50" s="25">
        <f>+MCML_Loan!AL56</f>
        <v>9271077.3944503665</v>
      </c>
      <c r="BG50" s="25">
        <f>+MCML_Loan!AM56</f>
        <v>9301980.985765202</v>
      </c>
      <c r="BH50" s="25">
        <f>+MCML_Loan!AN56</f>
        <v>9332987.5890510846</v>
      </c>
      <c r="BI50" s="25">
        <f>+MCML_Loan!AO56</f>
        <v>9364097.5476812553</v>
      </c>
      <c r="BJ50" s="25">
        <f>+MCML_Loan!AP56</f>
        <v>9395311.2061735261</v>
      </c>
      <c r="BK50" s="25">
        <f>+MCML_Loan!AQ56</f>
        <v>9426628.9101941045</v>
      </c>
      <c r="BL50" s="25">
        <f>+MCML_Loan!AR56</f>
        <v>9458051.006561419</v>
      </c>
      <c r="BM50" s="25">
        <f>+MCML_Loan!AS56</f>
        <v>9489577.8432499561</v>
      </c>
      <c r="BN50" s="25">
        <f>+MCML_Loan!AT56</f>
        <v>9521209.7693941221</v>
      </c>
      <c r="BO50" s="25">
        <f>+MCML_Loan!AU56</f>
        <v>9552947.1352921035</v>
      </c>
      <c r="BP50" s="25">
        <f>+MCML_Loan!AV56</f>
        <v>9584790.2924097441</v>
      </c>
      <c r="BQ50" s="25">
        <f>+MCML_Loan!AW56</f>
        <v>9616739.593384441</v>
      </c>
      <c r="BR50" s="25">
        <f>+MCML_Loan!AX56</f>
        <v>9648795.3920290563</v>
      </c>
      <c r="BS50" s="25">
        <f>+MCML_Loan!AY56</f>
        <v>9680958.0433358196</v>
      </c>
      <c r="BT50" s="25">
        <f>+MCML_Loan!AZ56</f>
        <v>9713227.9034802727</v>
      </c>
      <c r="BU50" s="25">
        <f>+MCML_Loan!BA56</f>
        <v>9745605.3298252076</v>
      </c>
      <c r="BV50" s="25">
        <f>+MCML_Loan!BB56</f>
        <v>9778090.6809246242</v>
      </c>
      <c r="BW50" s="25">
        <f>+MCML_Loan!BC56</f>
        <v>9810684.3165277075</v>
      </c>
      <c r="BX50" s="25">
        <f>+MCML_Loan!BD56</f>
        <v>9843386.5975827985</v>
      </c>
      <c r="BY50" s="25">
        <f>+MCML_Loan!BE56</f>
        <v>9876197.8862414081</v>
      </c>
      <c r="BZ50" s="25">
        <f>+MCML_Loan!BF56</f>
        <v>9909118.5458622146</v>
      </c>
      <c r="CA50" s="25">
        <f>+MCML_Loan!BG56</f>
        <v>9942148.9410150889</v>
      </c>
      <c r="CB50" s="25">
        <f>+MCML_Loan!BH56</f>
        <v>9975289.437485138</v>
      </c>
      <c r="CC50" s="25">
        <f>+MCML_Loan!BI56</f>
        <v>10008540.402276754</v>
      </c>
      <c r="CD50" s="25">
        <f>+MCML_Loan!BJ56</f>
        <v>10041902.203617677</v>
      </c>
      <c r="CE50" s="25">
        <f>+MCML_Loan!BK56</f>
        <v>10075375.21096307</v>
      </c>
      <c r="CF50" s="25">
        <f>+MCML_Loan!BL56</f>
        <v>10108959.794999612</v>
      </c>
      <c r="CG50" s="25">
        <f>+MCML_Loan!BM56</f>
        <v>10142656.327649612</v>
      </c>
      <c r="CH50" s="25">
        <f>+MCML_Loan!BN56</f>
        <v>10176465.182075109</v>
      </c>
      <c r="CI50" s="25">
        <f>+MCML_Loan!BO56</f>
        <v>10210386.732682027</v>
      </c>
      <c r="CJ50" s="25">
        <f>+MCML_Loan!BP56</f>
        <v>10244421.3551243</v>
      </c>
      <c r="CK50" s="25">
        <f>+MCML_Loan!BQ56</f>
        <v>10278569.426308049</v>
      </c>
      <c r="CL50" s="25">
        <f>+MCML_Loan!BR56</f>
        <v>10312831.324395742</v>
      </c>
      <c r="CM50" s="25">
        <f>+MCML_Loan!BS56</f>
        <v>10347207.428810393</v>
      </c>
      <c r="CN50" s="25">
        <f>+MCML_Loan!BT56</f>
        <v>10381698.120239763</v>
      </c>
      <c r="CO50" s="25">
        <f>+MCML_Loan!BU56</f>
        <v>10416303.780640561</v>
      </c>
      <c r="CP50" s="25">
        <f>+MCML_Loan!BV56</f>
        <v>10451024.793242697</v>
      </c>
      <c r="CQ50" s="25">
        <f>+MCML_Loan!BW56</f>
        <v>10485861.542553507</v>
      </c>
      <c r="CR50" s="25">
        <f>+MCML_Loan!BX56</f>
        <v>10520814.414362017</v>
      </c>
      <c r="CS50" s="25">
        <f>+MCML_Loan!BY56</f>
        <v>10555883.795743225</v>
      </c>
      <c r="CT50" s="25">
        <f>+MCML_Loan!BZ56</f>
        <v>10591070.07506237</v>
      </c>
      <c r="CU50" s="25">
        <f>+MCML_Loan!CA56</f>
        <v>10626373.641979244</v>
      </c>
      <c r="CV50" s="25">
        <f>+MCML_Loan!CB56</f>
        <v>10661794.887452507</v>
      </c>
      <c r="CW50" s="25">
        <f>+MCML_Loan!CC56</f>
        <v>10697334.203744017</v>
      </c>
      <c r="CX50" s="25">
        <f>+MCML_Loan!CD56</f>
        <v>10732991.984423162</v>
      </c>
      <c r="CY50" s="25">
        <f>+MCML_Loan!CE56</f>
        <v>10768768.62437124</v>
      </c>
      <c r="CZ50" s="25">
        <f>+MCML_Loan!CF56</f>
        <v>10804664.51978581</v>
      </c>
      <c r="DA50" s="25">
        <f>+MCML_Loan!CG56</f>
        <v>10840680.068185097</v>
      </c>
      <c r="DB50" s="25">
        <f>+MCML_Loan!CH56</f>
        <v>10876815.668412382</v>
      </c>
      <c r="DC50" s="25">
        <f>+MCML_Loan!CI56</f>
        <v>10913071.720640421</v>
      </c>
      <c r="DD50" s="25">
        <f>+MCML_Loan!CJ56</f>
        <v>10949448.626375891</v>
      </c>
      <c r="DE50" s="25">
        <f>+MCML_Loan!CK56</f>
        <v>10985946.788463809</v>
      </c>
      <c r="DF50" s="25">
        <f>+MCML_Loan!CL56</f>
        <v>11022566.611092022</v>
      </c>
      <c r="DG50" s="25">
        <f>+MCML_Loan!CM56</f>
        <v>11059308.499795662</v>
      </c>
      <c r="DH50" s="25">
        <f>+MCML_Loan!CN56</f>
        <v>11096172.861461647</v>
      </c>
      <c r="DI50" s="25">
        <f>+MCML_Loan!CO56</f>
        <v>11133160.104333185</v>
      </c>
      <c r="DJ50" s="25">
        <f>+MCML_Loan!CP56</f>
        <v>11170270.638014296</v>
      </c>
      <c r="DK50" s="25">
        <f>+MCML_Loan!CQ56</f>
        <v>11207504.873474345</v>
      </c>
      <c r="DL50" s="25">
        <f>+MCML_Loan!CR56</f>
        <v>11244863.223052591</v>
      </c>
      <c r="DM50" s="25">
        <f>+MCML_Loan!CS56</f>
        <v>11282346.100462766</v>
      </c>
      <c r="DN50" s="25">
        <f>+MCML_Loan!CT56</f>
        <v>11319953.920797644</v>
      </c>
      <c r="DO50" s="25">
        <f>+MCML_Loan!CU56</f>
        <v>11357687.100533636</v>
      </c>
      <c r="DP50" s="25">
        <f>+MCML_Loan!CV56</f>
        <v>11395546.057535416</v>
      </c>
      <c r="DQ50" s="25">
        <f>+MCML_Loan!CW56</f>
        <v>11433531.211060533</v>
      </c>
      <c r="DS50" s="136"/>
    </row>
    <row r="51" spans="1:123" s="53" customFormat="1" x14ac:dyDescent="0.25">
      <c r="A51" s="22" t="s">
        <v>13</v>
      </c>
      <c r="B51" s="163"/>
      <c r="C51" s="163"/>
      <c r="D51" s="163"/>
      <c r="E51" s="163"/>
      <c r="F51" s="163"/>
      <c r="G51" s="163"/>
      <c r="H51" s="163"/>
      <c r="I51" s="163">
        <f t="shared" ref="I51" si="1221">H51+I50</f>
        <v>0</v>
      </c>
      <c r="J51" s="163">
        <f t="shared" ref="J51" si="1222">I51+J50</f>
        <v>0</v>
      </c>
      <c r="K51" s="163">
        <f t="shared" ref="K51" si="1223">J51+K50</f>
        <v>0</v>
      </c>
      <c r="L51" s="163">
        <f t="shared" ref="L51" si="1224">K51+L50</f>
        <v>0</v>
      </c>
      <c r="M51" s="163">
        <f t="shared" ref="M51" si="1225">L51+M50</f>
        <v>0</v>
      </c>
      <c r="N51" s="163">
        <f t="shared" ref="N51" si="1226">M51+N50</f>
        <v>0</v>
      </c>
      <c r="O51" s="163">
        <f t="shared" ref="O51" si="1227">N51+O50</f>
        <v>0</v>
      </c>
      <c r="P51" s="163">
        <f t="shared" ref="P51" si="1228">O51+P50</f>
        <v>0</v>
      </c>
      <c r="Q51" s="163">
        <f t="shared" ref="Q51" si="1229">P51+Q50</f>
        <v>0</v>
      </c>
      <c r="R51" s="163">
        <f t="shared" ref="R51" si="1230">Q51+R50</f>
        <v>0</v>
      </c>
      <c r="S51" s="163">
        <f t="shared" ref="S51" si="1231">R51+S50</f>
        <v>0</v>
      </c>
      <c r="T51" s="163">
        <f t="shared" ref="T51" si="1232">S51+T50</f>
        <v>0</v>
      </c>
      <c r="U51" s="163">
        <f t="shared" ref="U51" si="1233">T51+U50</f>
        <v>0</v>
      </c>
      <c r="V51" s="163">
        <f t="shared" ref="V51" si="1234">U51+V50</f>
        <v>0</v>
      </c>
      <c r="W51" s="163">
        <f t="shared" ref="W51" si="1235">V51+W50</f>
        <v>0</v>
      </c>
      <c r="X51" s="163">
        <f t="shared" ref="X51" si="1236">W51+X50</f>
        <v>0</v>
      </c>
      <c r="Y51" s="163">
        <f t="shared" ref="Y51" si="1237">X51+Y50</f>
        <v>0</v>
      </c>
      <c r="Z51" s="163">
        <f t="shared" ref="Z51" si="1238">Y51+Z50</f>
        <v>0</v>
      </c>
      <c r="AA51" s="163">
        <f t="shared" ref="AA51" si="1239">Z51+AA50</f>
        <v>0</v>
      </c>
      <c r="AB51" s="163">
        <f t="shared" ref="AB51" si="1240">AA51+AB50</f>
        <v>29690000</v>
      </c>
      <c r="AC51" s="163">
        <f t="shared" ref="AC51" si="1241">AB51+AC50</f>
        <v>29690000</v>
      </c>
      <c r="AD51" s="163">
        <f t="shared" ref="AD51" si="1242">AC51+AD50</f>
        <v>29690000</v>
      </c>
      <c r="AE51" s="163">
        <f t="shared" ref="AE51" si="1243">AD51+AE50</f>
        <v>59380000</v>
      </c>
      <c r="AF51" s="25">
        <f t="shared" ref="AF51" si="1244">AE51+AF50</f>
        <v>67882642.981764063</v>
      </c>
      <c r="AG51" s="25">
        <f t="shared" ref="AG51" si="1245">AF51+AG50</f>
        <v>76413628.106800675</v>
      </c>
      <c r="AH51" s="25">
        <f t="shared" ref="AH51" si="1246">AG51+AH50</f>
        <v>84973049.848920748</v>
      </c>
      <c r="AI51" s="25">
        <f t="shared" ref="AI51" si="1247">AH51+AI50</f>
        <v>93561002.996847883</v>
      </c>
      <c r="AJ51" s="25">
        <f t="shared" ref="AJ51" si="1248">AI51+AJ50</f>
        <v>102177582.6552681</v>
      </c>
      <c r="AK51" s="25">
        <f t="shared" ref="AK51" si="1249">AJ51+AK50</f>
        <v>110822884.24588306</v>
      </c>
      <c r="AL51" s="25">
        <f t="shared" ref="AL51" si="1250">AK51+AL50</f>
        <v>119497003.50846674</v>
      </c>
      <c r="AM51" s="25">
        <f t="shared" ref="AM51" si="1251">AL51+AM50</f>
        <v>128200036.50192569</v>
      </c>
      <c r="AN51" s="25">
        <f t="shared" ref="AN51" si="1252">AM51+AN50</f>
        <v>136932079.60536283</v>
      </c>
      <c r="AO51" s="25">
        <f t="shared" ref="AO51" si="1253">AN51+AO50</f>
        <v>145693229.51914477</v>
      </c>
      <c r="AP51" s="25">
        <f t="shared" ref="AP51" si="1254">AO51+AP50</f>
        <v>154483583.26597264</v>
      </c>
      <c r="AQ51" s="25">
        <f t="shared" ref="AQ51" si="1255">AP51+AQ50</f>
        <v>163303238.19195661</v>
      </c>
      <c r="AR51" s="25">
        <f t="shared" ref="AR51" si="1256">AQ51+AR50</f>
        <v>172152291.96769387</v>
      </c>
      <c r="AS51" s="25">
        <f t="shared" ref="AS51" si="1257">AR51+AS50</f>
        <v>181030842.58935025</v>
      </c>
      <c r="AT51" s="25">
        <f t="shared" ref="AT51" si="1258">AS51+AT50</f>
        <v>189938988.37974548</v>
      </c>
      <c r="AU51" s="25">
        <f t="shared" ref="AU51" si="1259">AT51+AU50</f>
        <v>198876827.98944205</v>
      </c>
      <c r="AV51" s="25">
        <f t="shared" ref="AV51" si="1260">AU51+AV50</f>
        <v>207844460.39783758</v>
      </c>
      <c r="AW51" s="25">
        <f t="shared" ref="AW51" si="1261">AV51+AW50</f>
        <v>216841984.9142611</v>
      </c>
      <c r="AX51" s="25">
        <f t="shared" ref="AX51" si="1262">AW51+AX50</f>
        <v>225869501.17907271</v>
      </c>
      <c r="AY51" s="25">
        <f t="shared" ref="AY51" si="1263">AX51+AY50</f>
        <v>234927109.16476703</v>
      </c>
      <c r="AZ51" s="25">
        <f t="shared" ref="AZ51" si="1264">AY51+AZ50</f>
        <v>244014909.1770803</v>
      </c>
      <c r="BA51" s="25">
        <f t="shared" ref="BA51" si="1265">AZ51+BA50</f>
        <v>253133001.8561013</v>
      </c>
      <c r="BB51" s="25">
        <f t="shared" ref="BB51" si="1266">BA51+BB50</f>
        <v>262281488.17738572</v>
      </c>
      <c r="BC51" s="25">
        <f t="shared" ref="BC51" si="1267">BB51+BC50</f>
        <v>271460469.4530744</v>
      </c>
      <c r="BD51" s="25">
        <f t="shared" ref="BD51" si="1268">BC51+BD50</f>
        <v>280670047.33301538</v>
      </c>
      <c r="BE51" s="25">
        <f t="shared" ref="BE51" si="1269">BD51+BE50</f>
        <v>289910323.80588949</v>
      </c>
      <c r="BF51" s="25">
        <f t="shared" ref="BF51" si="1270">BE51+BF50</f>
        <v>299181401.20033985</v>
      </c>
      <c r="BG51" s="25">
        <f t="shared" ref="BG51" si="1271">BF51+BG50</f>
        <v>308483382.18610507</v>
      </c>
      <c r="BH51" s="25">
        <f t="shared" ref="BH51" si="1272">BG51+BH50</f>
        <v>317816369.77515614</v>
      </c>
      <c r="BI51" s="25">
        <f t="shared" ref="BI51" si="1273">BH51+BI50</f>
        <v>327180467.32283741</v>
      </c>
      <c r="BJ51" s="25">
        <f t="shared" ref="BJ51" si="1274">BI51+BJ50</f>
        <v>336575778.52901095</v>
      </c>
      <c r="BK51" s="25">
        <f t="shared" ref="BK51" si="1275">BJ51+BK50</f>
        <v>346002407.43920505</v>
      </c>
      <c r="BL51" s="25">
        <f t="shared" ref="BL51" si="1276">BK51+BL50</f>
        <v>355460458.44576645</v>
      </c>
      <c r="BM51" s="25">
        <f t="shared" ref="BM51" si="1277">BL51+BM50</f>
        <v>364950036.28901643</v>
      </c>
      <c r="BN51" s="25">
        <f t="shared" ref="BN51" si="1278">BM51+BN50</f>
        <v>374471246.05841053</v>
      </c>
      <c r="BO51" s="25">
        <f t="shared" ref="BO51" si="1279">BN51+BO50</f>
        <v>384024193.19370264</v>
      </c>
      <c r="BP51" s="25">
        <f t="shared" ref="BP51" si="1280">BO51+BP50</f>
        <v>393608983.48611236</v>
      </c>
      <c r="BQ51" s="25">
        <f t="shared" ref="BQ51" si="1281">BP51+BQ50</f>
        <v>403225723.0794968</v>
      </c>
      <c r="BR51" s="25">
        <f t="shared" ref="BR51" si="1282">BQ51+BR50</f>
        <v>412874518.47152585</v>
      </c>
      <c r="BS51" s="25">
        <f t="shared" ref="BS51" si="1283">BR51+BS50</f>
        <v>422555476.51486164</v>
      </c>
      <c r="BT51" s="25">
        <f>BS51+BT50</f>
        <v>432268704.41834193</v>
      </c>
      <c r="BU51" s="25">
        <f t="shared" ref="BU51" si="1284">BT51+BU50</f>
        <v>442014309.74816716</v>
      </c>
      <c r="BV51" s="25">
        <f t="shared" ref="BV51" si="1285">BU51+BV50</f>
        <v>451792400.42909181</v>
      </c>
      <c r="BW51" s="25">
        <f t="shared" ref="BW51" si="1286">BV51+BW50</f>
        <v>461603084.74561954</v>
      </c>
      <c r="BX51" s="25">
        <f t="shared" ref="BX51" si="1287">BW51+BX50</f>
        <v>471446471.34320235</v>
      </c>
      <c r="BY51" s="25">
        <f t="shared" ref="BY51" si="1288">BX51+BY50</f>
        <v>481322669.22944379</v>
      </c>
      <c r="BZ51" s="25">
        <f t="shared" ref="BZ51" si="1289">BY51+BZ50</f>
        <v>491231787.77530599</v>
      </c>
      <c r="CA51" s="25">
        <f t="shared" ref="CA51" si="1290">BZ51+CA50</f>
        <v>501173936.71632105</v>
      </c>
      <c r="CB51" s="25">
        <f t="shared" ref="CB51" si="1291">CA51+CB50</f>
        <v>511149226.15380621</v>
      </c>
      <c r="CC51" s="25">
        <f t="shared" ref="CC51" si="1292">CB51+CC50</f>
        <v>521157766.55608296</v>
      </c>
      <c r="CD51" s="25">
        <f t="shared" ref="CD51" si="1293">CC51+CD50</f>
        <v>531199668.75970066</v>
      </c>
      <c r="CE51" s="25">
        <f t="shared" ref="CE51" si="1294">CD51+CE50</f>
        <v>541275043.97066379</v>
      </c>
      <c r="CF51" s="25">
        <f t="shared" ref="CF51" si="1295">CE51+CF50</f>
        <v>551384003.76566339</v>
      </c>
      <c r="CG51" s="25">
        <f>CF51+CG50</f>
        <v>561526660.09331298</v>
      </c>
      <c r="CH51" s="25">
        <f>CG51+CH50</f>
        <v>571703125.27538812</v>
      </c>
      <c r="CI51" s="25">
        <f t="shared" ref="CI51" si="1296">CH51+CI50</f>
        <v>581913512.00807011</v>
      </c>
      <c r="CJ51" s="25">
        <f>CI51+CJ50</f>
        <v>592157933.36319447</v>
      </c>
      <c r="CK51" s="25">
        <f t="shared" ref="CK51" si="1297">CJ51+CK50</f>
        <v>602436502.7895025</v>
      </c>
      <c r="CL51" s="25">
        <f t="shared" ref="CL51" si="1298">CK51+CL50</f>
        <v>612749334.11389828</v>
      </c>
      <c r="CM51" s="25">
        <f t="shared" ref="CM51" si="1299">CL51+CM50</f>
        <v>623096541.54270864</v>
      </c>
      <c r="CN51" s="25">
        <f t="shared" ref="CN51" si="1300">CM51+CN50</f>
        <v>633478239.66294837</v>
      </c>
      <c r="CO51" s="25">
        <f t="shared" ref="CO51" si="1301">CN51+CO50</f>
        <v>643894543.44358897</v>
      </c>
      <c r="CP51" s="25">
        <f t="shared" ref="CP51" si="1302">CO51+CP50</f>
        <v>654345568.23683167</v>
      </c>
      <c r="CQ51" s="25">
        <f>CP51+CQ50</f>
        <v>664831429.77938521</v>
      </c>
      <c r="CR51" s="25">
        <f>CQ51+CR50</f>
        <v>675352244.19374728</v>
      </c>
      <c r="CS51" s="25">
        <f>CR51+CS50</f>
        <v>685908127.98949051</v>
      </c>
      <c r="CT51" s="25">
        <f>CS51+CT50</f>
        <v>696499198.0645529</v>
      </c>
      <c r="CU51" s="25">
        <f t="shared" ref="CU51" si="1303">CT51+CU50</f>
        <v>707125571.70653212</v>
      </c>
      <c r="CV51" s="25">
        <f t="shared" ref="CV51" si="1304">CU51+CV50</f>
        <v>717787366.5939846</v>
      </c>
      <c r="CW51" s="25">
        <f t="shared" ref="CW51" si="1305">CV51+CW50</f>
        <v>728484700.79772866</v>
      </c>
      <c r="CX51" s="25">
        <f t="shared" ref="CX51" si="1306">CW51+CX50</f>
        <v>739217692.78215182</v>
      </c>
      <c r="CY51" s="25">
        <f t="shared" ref="CY51" si="1307">CX51+CY50</f>
        <v>749986461.40652311</v>
      </c>
      <c r="CZ51" s="25">
        <f t="shared" ref="CZ51" si="1308">CY51+CZ50</f>
        <v>760791125.92630887</v>
      </c>
      <c r="DA51" s="25">
        <f t="shared" ref="DA51" si="1309">CZ51+DA50</f>
        <v>771631805.99449396</v>
      </c>
      <c r="DB51" s="25">
        <f t="shared" ref="DB51" si="1310">DA51+DB50</f>
        <v>782508621.66290629</v>
      </c>
      <c r="DC51" s="25">
        <f t="shared" ref="DC51" si="1311">DB51+DC50</f>
        <v>793421693.38354671</v>
      </c>
      <c r="DD51" s="25">
        <f t="shared" ref="DD51" si="1312">DC51+DD50</f>
        <v>804371142.00992262</v>
      </c>
      <c r="DE51" s="25">
        <f t="shared" ref="DE51" si="1313">DD51+DE50</f>
        <v>815357088.79838645</v>
      </c>
      <c r="DF51" s="25">
        <f t="shared" ref="DF51" si="1314">DE51+DF50</f>
        <v>826379655.40947843</v>
      </c>
      <c r="DG51" s="25">
        <f>DF51+DG50</f>
        <v>837438963.9092741</v>
      </c>
      <c r="DH51" s="25">
        <f t="shared" ref="DH51" si="1315">DG51+DH50</f>
        <v>848535136.77073574</v>
      </c>
      <c r="DI51" s="25">
        <f t="shared" ref="DI51" si="1316">DH51+DI50</f>
        <v>859668296.8750689</v>
      </c>
      <c r="DJ51" s="25">
        <f t="shared" ref="DJ51" si="1317">DI51+DJ50</f>
        <v>870838567.51308322</v>
      </c>
      <c r="DK51" s="25">
        <f t="shared" ref="DK51" si="1318">DJ51+DK50</f>
        <v>882046072.38655758</v>
      </c>
      <c r="DL51" s="25">
        <f t="shared" ref="DL51" si="1319">DK51+DL50</f>
        <v>893290935.6096102</v>
      </c>
      <c r="DM51" s="25">
        <f t="shared" ref="DM51" si="1320">DL51+DM50</f>
        <v>904573281.71007299</v>
      </c>
      <c r="DN51" s="25">
        <f t="shared" ref="DN51" si="1321">DM51+DN50</f>
        <v>915893235.63087058</v>
      </c>
      <c r="DO51" s="25">
        <f t="shared" ref="DO51" si="1322">DN51+DO50</f>
        <v>927250922.73140419</v>
      </c>
      <c r="DP51" s="25">
        <f t="shared" ref="DP51" si="1323">DO51+DP50</f>
        <v>938646468.7889396</v>
      </c>
      <c r="DQ51" s="25">
        <f t="shared" ref="DQ51" si="1324">DP51+DQ50</f>
        <v>950080000.00000012</v>
      </c>
      <c r="DR51" s="25"/>
      <c r="DS51" s="25"/>
    </row>
    <row r="52" spans="1:123" s="53" customFormat="1" x14ac:dyDescent="0.25">
      <c r="A52" s="22" t="s">
        <v>8</v>
      </c>
      <c r="B52" s="165"/>
      <c r="C52" s="165"/>
      <c r="D52" s="165"/>
      <c r="E52" s="165"/>
      <c r="F52" s="165"/>
      <c r="G52" s="165"/>
      <c r="H52" s="165"/>
      <c r="I52" s="165">
        <f t="shared" ref="I52:BM52" si="1325">I50+I48</f>
        <v>1662640</v>
      </c>
      <c r="J52" s="165">
        <f t="shared" si="1325"/>
        <v>4380924.444444444</v>
      </c>
      <c r="K52" s="165">
        <f t="shared" si="1325"/>
        <v>3166933.3333333335</v>
      </c>
      <c r="L52" s="165">
        <f t="shared" si="1325"/>
        <v>3272497.777777778</v>
      </c>
      <c r="M52" s="165">
        <f t="shared" si="1325"/>
        <v>3166933.3333333335</v>
      </c>
      <c r="N52" s="165">
        <f t="shared" si="1325"/>
        <v>3272497.777777778</v>
      </c>
      <c r="O52" s="165">
        <f t="shared" si="1325"/>
        <v>3272497.777777778</v>
      </c>
      <c r="P52" s="165">
        <f t="shared" si="1325"/>
        <v>3166933.3333333335</v>
      </c>
      <c r="Q52" s="165">
        <f t="shared" si="1325"/>
        <v>3272497.777777778</v>
      </c>
      <c r="R52" s="165">
        <f t="shared" si="1325"/>
        <v>3166933.3333333335</v>
      </c>
      <c r="S52" s="165">
        <f t="shared" si="1325"/>
        <v>3272497.777777778</v>
      </c>
      <c r="T52" s="165">
        <f t="shared" si="1325"/>
        <v>3272497.777777778</v>
      </c>
      <c r="U52" s="165">
        <f t="shared" si="1325"/>
        <v>2955804.4444444445</v>
      </c>
      <c r="V52" s="165">
        <f t="shared" si="1325"/>
        <v>3272497.777777778</v>
      </c>
      <c r="W52" s="165">
        <f t="shared" si="1325"/>
        <v>3166933.3333333335</v>
      </c>
      <c r="X52" s="165">
        <f t="shared" si="1325"/>
        <v>3272497.777777778</v>
      </c>
      <c r="Y52" s="165">
        <f t="shared" si="1325"/>
        <v>3166933.3333333335</v>
      </c>
      <c r="Z52" s="165">
        <f t="shared" si="1325"/>
        <v>3272497.777777778</v>
      </c>
      <c r="AA52" s="165">
        <f t="shared" si="1325"/>
        <v>3272497.777777778</v>
      </c>
      <c r="AB52" s="165">
        <f t="shared" si="1325"/>
        <v>32804151.111111112</v>
      </c>
      <c r="AC52" s="165">
        <f t="shared" si="1325"/>
        <v>3170232.222222222</v>
      </c>
      <c r="AD52" s="165">
        <f t="shared" si="1325"/>
        <v>3067966.6666666665</v>
      </c>
      <c r="AE52" s="165">
        <f t="shared" si="1325"/>
        <v>32804151.111111112</v>
      </c>
      <c r="AF52" s="31">
        <f t="shared" si="1325"/>
        <v>11554549.100576291</v>
      </c>
      <c r="AG52" s="31">
        <f t="shared" si="1325"/>
        <v>11357506.970192529</v>
      </c>
      <c r="AH52" s="31">
        <f t="shared" si="1325"/>
        <v>11552549.22646153</v>
      </c>
      <c r="AI52" s="31">
        <f t="shared" si="1325"/>
        <v>11456375.509501087</v>
      </c>
      <c r="AJ52" s="31">
        <f t="shared" si="1325"/>
        <v>11549578.59989202</v>
      </c>
      <c r="AK52" s="31">
        <f t="shared" si="1325"/>
        <v>11456273.556714084</v>
      </c>
      <c r="AL52" s="31">
        <f t="shared" si="1325"/>
        <v>11548509.324907422</v>
      </c>
      <c r="AM52" s="31">
        <f t="shared" si="1325"/>
        <v>11545556.91172138</v>
      </c>
      <c r="AN52" s="31">
        <f t="shared" si="1325"/>
        <v>11456119.349580178</v>
      </c>
      <c r="AO52" s="31">
        <f t="shared" si="1325"/>
        <v>11545443.911970774</v>
      </c>
      <c r="AP52" s="31">
        <f t="shared" si="1325"/>
        <v>11456015.686214149</v>
      </c>
      <c r="AQ52" s="31">
        <f t="shared" si="1325"/>
        <v>11543383.235429879</v>
      </c>
      <c r="AR52" s="31">
        <f t="shared" si="1325"/>
        <v>11542347.74261079</v>
      </c>
      <c r="AS52" s="31">
        <f t="shared" si="1325"/>
        <v>11284959.079012088</v>
      </c>
      <c r="AT52" s="31">
        <f t="shared" si="1325"/>
        <v>11540266.39053895</v>
      </c>
      <c r="AU52" s="31">
        <f t="shared" si="1325"/>
        <v>11455753.489124607</v>
      </c>
      <c r="AV52" s="31">
        <f t="shared" si="1325"/>
        <v>11538171.139660493</v>
      </c>
      <c r="AW52" s="31">
        <f t="shared" si="1325"/>
        <v>11455647.38262376</v>
      </c>
      <c r="AX52" s="31">
        <f t="shared" si="1325"/>
        <v>11536061.897162283</v>
      </c>
      <c r="AY52" s="31">
        <f t="shared" si="1325"/>
        <v>11535001.999882303</v>
      </c>
      <c r="AZ52" s="31">
        <f t="shared" si="1325"/>
        <v>11455486.892853286</v>
      </c>
      <c r="BA52" s="31">
        <f t="shared" si="1325"/>
        <v>11532871.594572905</v>
      </c>
      <c r="BB52" s="31">
        <f t="shared" si="1325"/>
        <v>11455379.006081784</v>
      </c>
      <c r="BC52" s="31">
        <f t="shared" si="1325"/>
        <v>11530726.962890279</v>
      </c>
      <c r="BD52" s="31">
        <f t="shared" si="1325"/>
        <v>11529649.282496059</v>
      </c>
      <c r="BE52" s="31">
        <f t="shared" si="1325"/>
        <v>11308511.45110249</v>
      </c>
      <c r="BF52" s="31">
        <f t="shared" si="1325"/>
        <v>11527483.132929452</v>
      </c>
      <c r="BG52" s="31">
        <f t="shared" si="1325"/>
        <v>11455106.126678264</v>
      </c>
      <c r="BH52" s="31">
        <f t="shared" si="1325"/>
        <v>11525302.518297404</v>
      </c>
      <c r="BI52" s="31">
        <f t="shared" si="1325"/>
        <v>11454995.697234856</v>
      </c>
      <c r="BJ52" s="31">
        <f t="shared" si="1325"/>
        <v>11523107.342005424</v>
      </c>
      <c r="BK52" s="31">
        <f t="shared" si="1325"/>
        <v>11522004.262874922</v>
      </c>
      <c r="BL52" s="31">
        <f t="shared" si="1325"/>
        <v>11454828.668863514</v>
      </c>
      <c r="BM52" s="31">
        <f t="shared" si="1325"/>
        <v>11519787.061566176</v>
      </c>
      <c r="BN52" s="31">
        <f t="shared" ref="BN52:CP52" si="1326">BN50+BN48</f>
        <v>11454716.386618476</v>
      </c>
      <c r="BO52" s="31">
        <f t="shared" si="1326"/>
        <v>11517555.054279804</v>
      </c>
      <c r="BP52" s="31">
        <f t="shared" si="1326"/>
        <v>11516433.467523549</v>
      </c>
      <c r="BQ52" s="31">
        <f t="shared" si="1326"/>
        <v>11333023.383171272</v>
      </c>
      <c r="BR52" s="31">
        <f t="shared" si="1326"/>
        <v>11514179.065681402</v>
      </c>
      <c r="BS52" s="31">
        <f t="shared" si="1326"/>
        <v>11454432.389687024</v>
      </c>
      <c r="BT52" s="31">
        <f t="shared" si="1326"/>
        <v>11511909.60944473</v>
      </c>
      <c r="BU52" s="31">
        <f t="shared" si="1326"/>
        <v>11454317.46117771</v>
      </c>
      <c r="BV52" s="31">
        <f t="shared" si="1326"/>
        <v>11509624.998283636</v>
      </c>
      <c r="BW52" s="31">
        <f t="shared" si="1326"/>
        <v>11508476.978007395</v>
      </c>
      <c r="BX52" s="31">
        <f t="shared" si="1326"/>
        <v>11454143.627812808</v>
      </c>
      <c r="BY52" s="31">
        <f t="shared" si="1326"/>
        <v>11506169.444496365</v>
      </c>
      <c r="BZ52" s="31">
        <f t="shared" si="1326"/>
        <v>11454026.771015869</v>
      </c>
      <c r="CA52" s="31">
        <f t="shared" si="1326"/>
        <v>11503846.501789339</v>
      </c>
      <c r="CB52" s="31">
        <f t="shared" si="1326"/>
        <v>11502679.219858116</v>
      </c>
      <c r="CC52" s="31">
        <f t="shared" si="1326"/>
        <v>11406191.995110694</v>
      </c>
      <c r="CD52" s="31">
        <f t="shared" si="1326"/>
        <v>11500332.970206559</v>
      </c>
      <c r="CE52" s="31">
        <f t="shared" si="1326"/>
        <v>11453731.203611244</v>
      </c>
      <c r="CF52" s="31">
        <f t="shared" si="1326"/>
        <v>11497971.052821215</v>
      </c>
      <c r="CG52" s="31">
        <f t="shared" si="1326"/>
        <v>11453611.592737135</v>
      </c>
      <c r="CH52" s="31">
        <f t="shared" si="1326"/>
        <v>11495593.363076445</v>
      </c>
      <c r="CI52" s="31">
        <f t="shared" si="1326"/>
        <v>11494398.570682846</v>
      </c>
      <c r="CJ52" s="31">
        <f t="shared" si="1326"/>
        <v>11453430.677132735</v>
      </c>
      <c r="CK52" s="31">
        <f t="shared" si="1326"/>
        <v>11491997.024696242</v>
      </c>
      <c r="CL52" s="31">
        <f t="shared" si="1326"/>
        <v>11453309.059409587</v>
      </c>
      <c r="CM52" s="31">
        <f t="shared" si="1326"/>
        <v>11489579.441719214</v>
      </c>
      <c r="CN52" s="31">
        <f t="shared" si="1326"/>
        <v>11488364.602921091</v>
      </c>
      <c r="CO52" s="31">
        <f t="shared" si="1326"/>
        <v>11385083.89580817</v>
      </c>
      <c r="CP52" s="31">
        <f t="shared" si="1326"/>
        <v>11485922.763438653</v>
      </c>
      <c r="CQ52" s="31">
        <f>CQ50+CQ48</f>
        <v>11453001.450132862</v>
      </c>
      <c r="CR52" s="31">
        <f>CR50+CR48</f>
        <v>11483464.617894784</v>
      </c>
      <c r="CS52" s="31">
        <f>CS50+CS48</f>
        <v>11452876.966127191</v>
      </c>
      <c r="CT52" s="31">
        <f>CT50+CT48</f>
        <v>11480990.057401231</v>
      </c>
      <c r="CU52" s="31">
        <f t="shared" ref="CU52:DF52" si="1327">CU50+CU48</f>
        <v>11479746.587322045</v>
      </c>
      <c r="CV52" s="31">
        <f t="shared" si="1327"/>
        <v>11452688.67974193</v>
      </c>
      <c r="CW52" s="31">
        <f t="shared" si="1327"/>
        <v>11477247.198646553</v>
      </c>
      <c r="CX52" s="31">
        <f t="shared" si="1327"/>
        <v>11452562.107125092</v>
      </c>
      <c r="CY52" s="31">
        <f t="shared" si="1327"/>
        <v>11474731.119608905</v>
      </c>
      <c r="CZ52" s="31">
        <f t="shared" si="1327"/>
        <v>11473466.786403747</v>
      </c>
      <c r="DA52" s="31">
        <f t="shared" si="1327"/>
        <v>11412715.507419404</v>
      </c>
      <c r="DB52" s="31">
        <f t="shared" si="1327"/>
        <v>11470925.462613236</v>
      </c>
      <c r="DC52" s="31">
        <f t="shared" si="1327"/>
        <v>11452241.965371817</v>
      </c>
      <c r="DD52" s="31">
        <f t="shared" si="1327"/>
        <v>11468367.168427188</v>
      </c>
      <c r="DE52" s="31">
        <f t="shared" si="1327"/>
        <v>11452112.409695687</v>
      </c>
      <c r="DF52" s="31">
        <f t="shared" si="1327"/>
        <v>11465791.790521072</v>
      </c>
      <c r="DG52" s="31">
        <f>DG50+DG48</f>
        <v>11464497.659552289</v>
      </c>
      <c r="DH52" s="31">
        <f t="shared" ref="DH52:DM52" si="1328">DH50+DH48</f>
        <v>11451916.452232581</v>
      </c>
      <c r="DI52" s="31">
        <f t="shared" si="1328"/>
        <v>11461896.441925799</v>
      </c>
      <c r="DJ52" s="31">
        <f t="shared" si="1328"/>
        <v>11451784.722852042</v>
      </c>
      <c r="DK52" s="31">
        <f t="shared" si="1328"/>
        <v>11459277.853946051</v>
      </c>
      <c r="DL52" s="31">
        <f t="shared" si="1328"/>
        <v>11457962.009855349</v>
      </c>
      <c r="DM52" s="31">
        <f t="shared" si="1328"/>
        <v>11441472.873521037</v>
      </c>
      <c r="DN52" s="31">
        <f>DN50+DN48</f>
        <v>11455317.148612553</v>
      </c>
      <c r="DO52" s="31">
        <f t="shared" ref="DO52" si="1329">DO50+DO48</f>
        <v>11451451.538029786</v>
      </c>
      <c r="DP52" s="31">
        <f>DP50+DP48</f>
        <v>11452654.625574123</v>
      </c>
      <c r="DQ52" s="31">
        <f>DQ50+DQ48</f>
        <v>11451316.704055516</v>
      </c>
      <c r="DR52" s="31"/>
      <c r="DS52" s="31"/>
    </row>
    <row r="53" spans="1:123" s="53" customFormat="1" ht="14.25" thickBot="1" x14ac:dyDescent="0.3">
      <c r="A53" s="32" t="s">
        <v>9</v>
      </c>
      <c r="B53" s="166"/>
      <c r="C53" s="166"/>
      <c r="D53" s="166"/>
      <c r="E53" s="166"/>
      <c r="F53" s="166"/>
      <c r="G53" s="166"/>
      <c r="H53" s="166"/>
      <c r="I53" s="166">
        <f t="shared" ref="I53:BN53" si="1330">I47-I50</f>
        <v>950080000</v>
      </c>
      <c r="J53" s="166">
        <f t="shared" si="1330"/>
        <v>950080000</v>
      </c>
      <c r="K53" s="166">
        <f t="shared" si="1330"/>
        <v>950080000</v>
      </c>
      <c r="L53" s="166">
        <f t="shared" si="1330"/>
        <v>950080000</v>
      </c>
      <c r="M53" s="166">
        <f t="shared" si="1330"/>
        <v>950080000</v>
      </c>
      <c r="N53" s="166">
        <f t="shared" si="1330"/>
        <v>950080000</v>
      </c>
      <c r="O53" s="166">
        <f t="shared" si="1330"/>
        <v>950080000</v>
      </c>
      <c r="P53" s="166">
        <f t="shared" si="1330"/>
        <v>950080000</v>
      </c>
      <c r="Q53" s="166">
        <f t="shared" si="1330"/>
        <v>950080000</v>
      </c>
      <c r="R53" s="166">
        <f t="shared" si="1330"/>
        <v>950080000</v>
      </c>
      <c r="S53" s="166">
        <f t="shared" si="1330"/>
        <v>950080000</v>
      </c>
      <c r="T53" s="166">
        <f t="shared" si="1330"/>
        <v>950080000</v>
      </c>
      <c r="U53" s="166">
        <f t="shared" si="1330"/>
        <v>950080000</v>
      </c>
      <c r="V53" s="166">
        <f t="shared" si="1330"/>
        <v>950080000</v>
      </c>
      <c r="W53" s="166">
        <f t="shared" si="1330"/>
        <v>950080000</v>
      </c>
      <c r="X53" s="166">
        <f t="shared" si="1330"/>
        <v>950080000</v>
      </c>
      <c r="Y53" s="166">
        <f t="shared" si="1330"/>
        <v>950080000</v>
      </c>
      <c r="Z53" s="166">
        <f t="shared" si="1330"/>
        <v>950080000</v>
      </c>
      <c r="AA53" s="166">
        <f t="shared" si="1330"/>
        <v>950080000</v>
      </c>
      <c r="AB53" s="166">
        <f t="shared" si="1330"/>
        <v>920390000</v>
      </c>
      <c r="AC53" s="166">
        <f t="shared" si="1330"/>
        <v>920390000</v>
      </c>
      <c r="AD53" s="166">
        <f t="shared" si="1330"/>
        <v>920390000</v>
      </c>
      <c r="AE53" s="166">
        <f t="shared" si="1330"/>
        <v>890700000</v>
      </c>
      <c r="AF53" s="33">
        <f t="shared" si="1330"/>
        <v>882197357.01823592</v>
      </c>
      <c r="AG53" s="33">
        <f t="shared" si="1330"/>
        <v>873666371.89319932</v>
      </c>
      <c r="AH53" s="33">
        <f t="shared" si="1330"/>
        <v>865106950.1510793</v>
      </c>
      <c r="AI53" s="33">
        <f t="shared" si="1330"/>
        <v>856518997.00315213</v>
      </c>
      <c r="AJ53" s="33">
        <f t="shared" si="1330"/>
        <v>847902417.34473193</v>
      </c>
      <c r="AK53" s="33">
        <f t="shared" si="1330"/>
        <v>839257115.75411701</v>
      </c>
      <c r="AL53" s="33">
        <f t="shared" si="1330"/>
        <v>830582996.49153328</v>
      </c>
      <c r="AM53" s="33">
        <f t="shared" si="1330"/>
        <v>821879963.49807429</v>
      </c>
      <c r="AN53" s="33">
        <f t="shared" si="1330"/>
        <v>813147920.39463711</v>
      </c>
      <c r="AO53" s="33">
        <f t="shared" si="1330"/>
        <v>804386770.48085511</v>
      </c>
      <c r="AP53" s="33">
        <f t="shared" si="1330"/>
        <v>795596416.73402727</v>
      </c>
      <c r="AQ53" s="33">
        <f t="shared" si="1330"/>
        <v>786776761.80804324</v>
      </c>
      <c r="AR53" s="33">
        <f t="shared" si="1330"/>
        <v>777927708.03230596</v>
      </c>
      <c r="AS53" s="33">
        <f t="shared" si="1330"/>
        <v>769049157.41064954</v>
      </c>
      <c r="AT53" s="33">
        <f t="shared" si="1330"/>
        <v>760141011.62025428</v>
      </c>
      <c r="AU53" s="33">
        <f t="shared" si="1330"/>
        <v>751203172.01055777</v>
      </c>
      <c r="AV53" s="33">
        <f t="shared" si="1330"/>
        <v>742235539.60216224</v>
      </c>
      <c r="AW53" s="33">
        <f t="shared" si="1330"/>
        <v>733238015.08573866</v>
      </c>
      <c r="AX53" s="33">
        <f t="shared" si="1330"/>
        <v>724210498.82092702</v>
      </c>
      <c r="AY53" s="33">
        <f t="shared" si="1330"/>
        <v>715152890.83523273</v>
      </c>
      <c r="AZ53" s="33">
        <f t="shared" si="1330"/>
        <v>706065090.82291949</v>
      </c>
      <c r="BA53" s="33">
        <f t="shared" si="1330"/>
        <v>696946998.14389849</v>
      </c>
      <c r="BB53" s="33">
        <f t="shared" si="1330"/>
        <v>687798511.82261407</v>
      </c>
      <c r="BC53" s="33">
        <f t="shared" si="1330"/>
        <v>678619530.54692543</v>
      </c>
      <c r="BD53" s="33">
        <f t="shared" si="1330"/>
        <v>669409952.66698444</v>
      </c>
      <c r="BE53" s="33">
        <f t="shared" si="1330"/>
        <v>660169676.19411027</v>
      </c>
      <c r="BF53" s="33">
        <f t="shared" si="1330"/>
        <v>650898598.79965997</v>
      </c>
      <c r="BG53" s="33">
        <f t="shared" si="1330"/>
        <v>641596617.81389475</v>
      </c>
      <c r="BH53" s="33">
        <f t="shared" si="1330"/>
        <v>632263630.22484362</v>
      </c>
      <c r="BI53" s="33">
        <f t="shared" si="1330"/>
        <v>622899532.67716241</v>
      </c>
      <c r="BJ53" s="33">
        <f t="shared" si="1330"/>
        <v>613504221.47098887</v>
      </c>
      <c r="BK53" s="33">
        <f t="shared" si="1330"/>
        <v>604077592.56079471</v>
      </c>
      <c r="BL53" s="33">
        <f t="shared" si="1330"/>
        <v>594619541.55423331</v>
      </c>
      <c r="BM53" s="33">
        <f t="shared" si="1330"/>
        <v>585129963.7109834</v>
      </c>
      <c r="BN53" s="33">
        <f t="shared" si="1330"/>
        <v>575608753.94158924</v>
      </c>
      <c r="BO53" s="33">
        <f t="shared" ref="BO53:CP53" si="1331">BO47-BO50</f>
        <v>566055806.80629718</v>
      </c>
      <c r="BP53" s="33">
        <f t="shared" si="1331"/>
        <v>556471016.51388741</v>
      </c>
      <c r="BQ53" s="33">
        <f t="shared" si="1331"/>
        <v>546854276.92050302</v>
      </c>
      <c r="BR53" s="33">
        <f t="shared" si="1331"/>
        <v>537205481.52847397</v>
      </c>
      <c r="BS53" s="33">
        <f t="shared" si="1331"/>
        <v>527524523.48513818</v>
      </c>
      <c r="BT53" s="33">
        <f t="shared" si="1331"/>
        <v>517811295.58165789</v>
      </c>
      <c r="BU53" s="33">
        <f t="shared" si="1331"/>
        <v>508065690.25183266</v>
      </c>
      <c r="BV53" s="33">
        <f t="shared" si="1331"/>
        <v>498287599.57090807</v>
      </c>
      <c r="BW53" s="33">
        <f t="shared" si="1331"/>
        <v>488476915.25438035</v>
      </c>
      <c r="BX53" s="33">
        <f t="shared" si="1331"/>
        <v>478633528.65679753</v>
      </c>
      <c r="BY53" s="33">
        <f t="shared" si="1331"/>
        <v>468757330.77055609</v>
      </c>
      <c r="BZ53" s="33">
        <f t="shared" si="1331"/>
        <v>458848212.22469389</v>
      </c>
      <c r="CA53" s="33">
        <f t="shared" si="1331"/>
        <v>448906063.28367883</v>
      </c>
      <c r="CB53" s="33">
        <f t="shared" si="1331"/>
        <v>438930773.84619367</v>
      </c>
      <c r="CC53" s="33">
        <f t="shared" si="1331"/>
        <v>428922233.44391692</v>
      </c>
      <c r="CD53" s="33">
        <f t="shared" si="1331"/>
        <v>418880331.24029922</v>
      </c>
      <c r="CE53" s="33">
        <f t="shared" si="1331"/>
        <v>408804956.02933615</v>
      </c>
      <c r="CF53" s="33">
        <f t="shared" si="1331"/>
        <v>398695996.23433656</v>
      </c>
      <c r="CG53" s="33">
        <f t="shared" si="1331"/>
        <v>388553339.90668696</v>
      </c>
      <c r="CH53" s="33">
        <f t="shared" si="1331"/>
        <v>378376874.72461188</v>
      </c>
      <c r="CI53" s="33">
        <f t="shared" si="1331"/>
        <v>368166487.99192983</v>
      </c>
      <c r="CJ53" s="33">
        <f t="shared" si="1331"/>
        <v>357922066.63680553</v>
      </c>
      <c r="CK53" s="33">
        <f t="shared" si="1331"/>
        <v>347643497.2104975</v>
      </c>
      <c r="CL53" s="33">
        <f t="shared" si="1331"/>
        <v>337330665.88610178</v>
      </c>
      <c r="CM53" s="33">
        <f t="shared" si="1331"/>
        <v>326983458.45729136</v>
      </c>
      <c r="CN53" s="33">
        <f t="shared" si="1331"/>
        <v>316601760.33705163</v>
      </c>
      <c r="CO53" s="33">
        <f t="shared" si="1331"/>
        <v>306185456.55641109</v>
      </c>
      <c r="CP53" s="33">
        <f t="shared" si="1331"/>
        <v>295734431.76316839</v>
      </c>
      <c r="CQ53" s="33">
        <f>CQ47-CQ50</f>
        <v>285248570.22061491</v>
      </c>
      <c r="CR53" s="33">
        <f>CR47-CR50</f>
        <v>274727755.8062529</v>
      </c>
      <c r="CS53" s="33">
        <f>CS47-CS50</f>
        <v>264171872.01050967</v>
      </c>
      <c r="CT53" s="33">
        <f>CT47-CT50</f>
        <v>253580801.93544731</v>
      </c>
      <c r="CU53" s="33">
        <f t="shared" ref="CU53:DF53" si="1332">CU47-CU50</f>
        <v>242954428.29346806</v>
      </c>
      <c r="CV53" s="33">
        <f t="shared" si="1332"/>
        <v>232292633.40601555</v>
      </c>
      <c r="CW53" s="33">
        <f t="shared" si="1332"/>
        <v>221595299.20227152</v>
      </c>
      <c r="CX53" s="33">
        <f t="shared" si="1332"/>
        <v>210862307.21784836</v>
      </c>
      <c r="CY53" s="33">
        <f t="shared" si="1332"/>
        <v>200093538.59347713</v>
      </c>
      <c r="CZ53" s="33">
        <f t="shared" si="1332"/>
        <v>189288874.07369131</v>
      </c>
      <c r="DA53" s="33">
        <f t="shared" si="1332"/>
        <v>178448194.00550622</v>
      </c>
      <c r="DB53" s="33">
        <f t="shared" si="1332"/>
        <v>167571378.33709383</v>
      </c>
      <c r="DC53" s="33">
        <f t="shared" si="1332"/>
        <v>156658306.61645341</v>
      </c>
      <c r="DD53" s="33">
        <f t="shared" si="1332"/>
        <v>145708857.99007753</v>
      </c>
      <c r="DE53" s="33">
        <f t="shared" si="1332"/>
        <v>134722911.20161372</v>
      </c>
      <c r="DF53" s="33">
        <f t="shared" si="1332"/>
        <v>123700344.59052171</v>
      </c>
      <c r="DG53" s="33">
        <f>DG47-DG50</f>
        <v>112641036.09072605</v>
      </c>
      <c r="DH53" s="33">
        <f t="shared" ref="DH53:DM53" si="1333">DH47-DH50</f>
        <v>101544863.22926441</v>
      </c>
      <c r="DI53" s="33">
        <f t="shared" si="1333"/>
        <v>90411703.124931216</v>
      </c>
      <c r="DJ53" s="33">
        <f t="shared" si="1333"/>
        <v>79241432.486916915</v>
      </c>
      <c r="DK53" s="33">
        <f t="shared" si="1333"/>
        <v>68033927.61344257</v>
      </c>
      <c r="DL53" s="33">
        <f t="shared" si="1333"/>
        <v>56789064.390389979</v>
      </c>
      <c r="DM53" s="33">
        <f t="shared" si="1333"/>
        <v>45506718.289927214</v>
      </c>
      <c r="DN53" s="33">
        <f>DN47-DN50</f>
        <v>34186764.369129568</v>
      </c>
      <c r="DO53" s="33">
        <f t="shared" ref="DO53:DQ53" si="1334">DO47-DO50</f>
        <v>22829077.268595934</v>
      </c>
      <c r="DP53" s="33">
        <f t="shared" si="1334"/>
        <v>11433531.211060518</v>
      </c>
      <c r="DQ53" s="33">
        <f t="shared" si="1334"/>
        <v>-1.4901161193847656E-8</v>
      </c>
      <c r="DR53" s="33"/>
      <c r="DS53" s="33"/>
    </row>
    <row r="54" spans="1:123" x14ac:dyDescent="0.25">
      <c r="AB54" s="48"/>
      <c r="AE54" s="48"/>
    </row>
    <row r="55" spans="1:123" s="55" customFormat="1" ht="18.75" x14ac:dyDescent="0.3">
      <c r="A55" s="143" t="s">
        <v>82</v>
      </c>
      <c r="B55" s="49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</row>
    <row r="56" spans="1:123" x14ac:dyDescent="0.25">
      <c r="A56" s="151" t="s">
        <v>58</v>
      </c>
      <c r="B56" s="152">
        <v>42947</v>
      </c>
      <c r="C56" s="152">
        <f>EDATE(B56,1)</f>
        <v>42978</v>
      </c>
      <c r="D56" s="152">
        <f>EDATE(C56,1)</f>
        <v>43008</v>
      </c>
      <c r="E56" s="152">
        <f t="shared" ref="E56" si="1335">EDATE(D56,1)</f>
        <v>43038</v>
      </c>
      <c r="F56" s="152">
        <f t="shared" ref="F56" si="1336">EDATE(E56,1)</f>
        <v>43069</v>
      </c>
      <c r="G56" s="152">
        <f t="shared" ref="G56" si="1337">EDATE(F56,1)</f>
        <v>43099</v>
      </c>
      <c r="H56" s="152">
        <f t="shared" ref="H56" si="1338">EDATE(G56,1)</f>
        <v>43130</v>
      </c>
      <c r="I56" s="152">
        <f t="shared" ref="I56" si="1339">EDATE(H56,1)</f>
        <v>43159</v>
      </c>
      <c r="J56" s="152">
        <f t="shared" ref="J56" si="1340">EDATE(I56,1)</f>
        <v>43187</v>
      </c>
      <c r="K56" s="152">
        <f t="shared" ref="K56" si="1341">EDATE(J56,1)</f>
        <v>43218</v>
      </c>
      <c r="L56" s="152">
        <f t="shared" ref="L56" si="1342">EDATE(K56,1)</f>
        <v>43248</v>
      </c>
      <c r="M56" s="152">
        <f t="shared" ref="M56" si="1343">EDATE(L56,1)</f>
        <v>43279</v>
      </c>
      <c r="N56" s="152">
        <f t="shared" ref="N56" si="1344">EDATE(M56,1)</f>
        <v>43309</v>
      </c>
      <c r="O56" s="152">
        <f t="shared" ref="O56" si="1345">EDATE(N56,1)</f>
        <v>43340</v>
      </c>
      <c r="P56" s="152">
        <f t="shared" ref="P56" si="1346">EDATE(O56,1)</f>
        <v>43371</v>
      </c>
      <c r="Q56" s="152">
        <f t="shared" ref="Q56" si="1347">EDATE(P56,1)</f>
        <v>43401</v>
      </c>
      <c r="R56" s="152">
        <f t="shared" ref="R56" si="1348">EDATE(Q56,1)</f>
        <v>43432</v>
      </c>
      <c r="S56" s="152">
        <f t="shared" ref="S56" si="1349">EDATE(R56,1)</f>
        <v>43462</v>
      </c>
      <c r="T56" s="152">
        <f t="shared" ref="T56" si="1350">EDATE(S56,1)</f>
        <v>43493</v>
      </c>
      <c r="U56" s="152">
        <f t="shared" ref="U56" si="1351">EDATE(T56,1)</f>
        <v>43524</v>
      </c>
      <c r="V56" s="152">
        <f t="shared" ref="V56" si="1352">EDATE(U56,1)</f>
        <v>43552</v>
      </c>
      <c r="W56" s="152">
        <f t="shared" ref="W56" si="1353">EDATE(V56,1)</f>
        <v>43583</v>
      </c>
      <c r="X56" s="152">
        <f t="shared" ref="X56" si="1354">EDATE(W56,1)</f>
        <v>43613</v>
      </c>
      <c r="Y56" s="152">
        <f t="shared" ref="Y56" si="1355">EDATE(X56,1)</f>
        <v>43644</v>
      </c>
      <c r="Z56" s="152">
        <f t="shared" ref="Z56" si="1356">EDATE(Y56,1)</f>
        <v>43674</v>
      </c>
      <c r="AA56" s="152">
        <f t="shared" ref="AA56" si="1357">EDATE(Z56,1)</f>
        <v>43705</v>
      </c>
      <c r="AB56" s="152">
        <f t="shared" ref="AB56" si="1358">EDATE(AA56,1)</f>
        <v>43736</v>
      </c>
      <c r="AC56" s="152">
        <f t="shared" ref="AC56" si="1359">EDATE(AB56,1)</f>
        <v>43766</v>
      </c>
      <c r="AD56" s="152">
        <f t="shared" ref="AD56" si="1360">EDATE(AC56,1)</f>
        <v>43797</v>
      </c>
      <c r="AE56" s="152">
        <f t="shared" ref="AE56" si="1361">EDATE(AD56,1)</f>
        <v>43827</v>
      </c>
      <c r="AF56" s="152">
        <f t="shared" ref="AF56" si="1362">EDATE(AE56,1)</f>
        <v>43858</v>
      </c>
      <c r="AG56" s="152">
        <f t="shared" ref="AG56" si="1363">EDATE(AF56,1)</f>
        <v>43889</v>
      </c>
      <c r="AH56" s="152">
        <f t="shared" ref="AH56" si="1364">EDATE(AG56,1)</f>
        <v>43918</v>
      </c>
      <c r="AI56" s="152">
        <f t="shared" ref="AI56" si="1365">EDATE(AH56,1)</f>
        <v>43949</v>
      </c>
      <c r="AJ56" s="152">
        <f t="shared" ref="AJ56" si="1366">EDATE(AI56,1)</f>
        <v>43979</v>
      </c>
      <c r="AK56" s="152">
        <f t="shared" ref="AK56" si="1367">EDATE(AJ56,1)</f>
        <v>44010</v>
      </c>
      <c r="AL56" s="152">
        <f t="shared" ref="AL56" si="1368">EDATE(AK56,1)</f>
        <v>44040</v>
      </c>
      <c r="AM56" s="152">
        <f t="shared" ref="AM56" si="1369">EDATE(AL56,1)</f>
        <v>44071</v>
      </c>
      <c r="AN56" s="152">
        <f t="shared" ref="AN56" si="1370">EDATE(AM56,1)</f>
        <v>44102</v>
      </c>
      <c r="AO56" s="152">
        <f t="shared" ref="AO56" si="1371">EDATE(AN56,1)</f>
        <v>44132</v>
      </c>
      <c r="AP56" s="152">
        <f t="shared" ref="AP56" si="1372">EDATE(AO56,1)</f>
        <v>44163</v>
      </c>
      <c r="AQ56" s="152">
        <f t="shared" ref="AQ56" si="1373">EDATE(AP56,1)</f>
        <v>44193</v>
      </c>
      <c r="AR56" s="152">
        <f t="shared" ref="AR56" si="1374">EDATE(AQ56,1)</f>
        <v>44224</v>
      </c>
      <c r="AS56" s="152">
        <f t="shared" ref="AS56" si="1375">EDATE(AR56,1)</f>
        <v>44255</v>
      </c>
      <c r="AT56" s="152">
        <f t="shared" ref="AT56" si="1376">EDATE(AS56,1)</f>
        <v>44283</v>
      </c>
      <c r="AU56" s="152">
        <f t="shared" ref="AU56" si="1377">EDATE(AT56,1)</f>
        <v>44314</v>
      </c>
      <c r="AV56" s="152">
        <f t="shared" ref="AV56" si="1378">EDATE(AU56,1)</f>
        <v>44344</v>
      </c>
      <c r="AW56" s="152">
        <f t="shared" ref="AW56" si="1379">EDATE(AV56,1)</f>
        <v>44375</v>
      </c>
      <c r="AX56" s="152">
        <f t="shared" ref="AX56" si="1380">EDATE(AW56,1)</f>
        <v>44405</v>
      </c>
      <c r="AY56" s="152">
        <f t="shared" ref="AY56" si="1381">EDATE(AX56,1)</f>
        <v>44436</v>
      </c>
      <c r="AZ56" s="152">
        <f t="shared" ref="AZ56" si="1382">EDATE(AY56,1)</f>
        <v>44467</v>
      </c>
      <c r="BA56" s="152">
        <f t="shared" ref="BA56" si="1383">EDATE(AZ56,1)</f>
        <v>44497</v>
      </c>
      <c r="BB56" s="152">
        <f t="shared" ref="BB56" si="1384">EDATE(BA56,1)</f>
        <v>44528</v>
      </c>
      <c r="BC56" s="152">
        <f t="shared" ref="BC56" si="1385">EDATE(BB56,1)</f>
        <v>44558</v>
      </c>
      <c r="BD56" s="152">
        <f t="shared" ref="BD56" si="1386">EDATE(BC56,1)</f>
        <v>44589</v>
      </c>
      <c r="BE56" s="152">
        <f t="shared" ref="BE56" si="1387">EDATE(BD56,1)</f>
        <v>44620</v>
      </c>
      <c r="BF56" s="152">
        <f t="shared" ref="BF56" si="1388">EDATE(BE56,1)</f>
        <v>44648</v>
      </c>
      <c r="BG56" s="152">
        <f t="shared" ref="BG56" si="1389">EDATE(BF56,1)</f>
        <v>44679</v>
      </c>
      <c r="BH56" s="152">
        <f t="shared" ref="BH56" si="1390">EDATE(BG56,1)</f>
        <v>44709</v>
      </c>
      <c r="BI56" s="152">
        <f t="shared" ref="BI56" si="1391">EDATE(BH56,1)</f>
        <v>44740</v>
      </c>
      <c r="BJ56" s="152">
        <f t="shared" ref="BJ56" si="1392">EDATE(BI56,1)</f>
        <v>44770</v>
      </c>
      <c r="BK56" s="152">
        <f t="shared" ref="BK56" si="1393">EDATE(BJ56,1)</f>
        <v>44801</v>
      </c>
      <c r="BL56" s="152">
        <f t="shared" ref="BL56" si="1394">EDATE(BK56,1)</f>
        <v>44832</v>
      </c>
      <c r="BM56" s="152">
        <f t="shared" ref="BM56" si="1395">EDATE(BL56,1)</f>
        <v>44862</v>
      </c>
      <c r="BN56" s="152">
        <f t="shared" ref="BN56" si="1396">EDATE(BM56,1)</f>
        <v>44893</v>
      </c>
      <c r="BO56" s="152">
        <f t="shared" ref="BO56" si="1397">EDATE(BN56,1)</f>
        <v>44923</v>
      </c>
      <c r="BP56" s="152">
        <f t="shared" ref="BP56" si="1398">EDATE(BO56,1)</f>
        <v>44954</v>
      </c>
      <c r="BQ56" s="152">
        <f t="shared" ref="BQ56" si="1399">EDATE(BP56,1)</f>
        <v>44985</v>
      </c>
      <c r="BR56" s="152">
        <f t="shared" ref="BR56" si="1400">EDATE(BQ56,1)</f>
        <v>45013</v>
      </c>
      <c r="BS56" s="152">
        <f t="shared" ref="BS56" si="1401">EDATE(BR56,1)</f>
        <v>45044</v>
      </c>
      <c r="BT56" s="152">
        <f t="shared" ref="BT56" si="1402">EDATE(BS56,1)</f>
        <v>45074</v>
      </c>
      <c r="BU56" s="152">
        <f t="shared" ref="BU56" si="1403">EDATE(BT56,1)</f>
        <v>45105</v>
      </c>
      <c r="BV56" s="152">
        <f t="shared" ref="BV56" si="1404">EDATE(BU56,1)</f>
        <v>45135</v>
      </c>
      <c r="BW56" s="152">
        <f t="shared" ref="BW56" si="1405">EDATE(BV56,1)</f>
        <v>45166</v>
      </c>
      <c r="BX56" s="152">
        <f t="shared" ref="BX56" si="1406">EDATE(BW56,1)</f>
        <v>45197</v>
      </c>
      <c r="BY56" s="152">
        <f t="shared" ref="BY56" si="1407">EDATE(BX56,1)</f>
        <v>45227</v>
      </c>
      <c r="BZ56" s="152">
        <f t="shared" ref="BZ56" si="1408">EDATE(BY56,1)</f>
        <v>45258</v>
      </c>
      <c r="CA56" s="152">
        <f t="shared" ref="CA56" si="1409">EDATE(BZ56,1)</f>
        <v>45288</v>
      </c>
      <c r="CB56" s="152">
        <f t="shared" ref="CB56" si="1410">EDATE(CA56,1)</f>
        <v>45319</v>
      </c>
      <c r="CC56" s="152">
        <f t="shared" ref="CC56" si="1411">EDATE(CB56,1)</f>
        <v>45350</v>
      </c>
      <c r="CD56" s="152">
        <f t="shared" ref="CD56" si="1412">EDATE(CC56,1)</f>
        <v>45379</v>
      </c>
      <c r="CE56" s="152">
        <f t="shared" ref="CE56" si="1413">EDATE(CD56,1)</f>
        <v>45410</v>
      </c>
      <c r="CF56" s="152">
        <f t="shared" ref="CF56" si="1414">EDATE(CE56,1)</f>
        <v>45440</v>
      </c>
      <c r="CG56" s="152">
        <f t="shared" ref="CG56" si="1415">EDATE(CF56,1)</f>
        <v>45471</v>
      </c>
      <c r="CH56" s="152">
        <f t="shared" ref="CH56" si="1416">EDATE(CG56,1)</f>
        <v>45501</v>
      </c>
      <c r="CI56" s="152">
        <f t="shared" ref="CI56" si="1417">EDATE(CH56,1)</f>
        <v>45532</v>
      </c>
      <c r="CJ56" s="152">
        <f t="shared" ref="CJ56" si="1418">EDATE(CI56,1)</f>
        <v>45563</v>
      </c>
      <c r="CK56" s="152">
        <f t="shared" ref="CK56" si="1419">EDATE(CJ56,1)</f>
        <v>45593</v>
      </c>
      <c r="CL56" s="152">
        <f t="shared" ref="CL56" si="1420">EDATE(CK56,1)</f>
        <v>45624</v>
      </c>
      <c r="CM56" s="152">
        <f t="shared" ref="CM56" si="1421">EDATE(CL56,1)</f>
        <v>45654</v>
      </c>
      <c r="CN56" s="152">
        <f t="shared" ref="CN56" si="1422">EDATE(CM56,1)</f>
        <v>45685</v>
      </c>
      <c r="CO56" s="152">
        <f t="shared" ref="CO56" si="1423">EDATE(CN56,1)</f>
        <v>45716</v>
      </c>
      <c r="CP56" s="152">
        <f t="shared" ref="CP56" si="1424">EDATE(CO56,1)</f>
        <v>45744</v>
      </c>
      <c r="CQ56" s="152">
        <f t="shared" ref="CQ56" si="1425">EDATE(CP56,1)</f>
        <v>45775</v>
      </c>
      <c r="CR56" s="152">
        <f t="shared" ref="CR56" si="1426">EDATE(CQ56,1)</f>
        <v>45805</v>
      </c>
      <c r="CS56" s="152">
        <f t="shared" ref="CS56" si="1427">EDATE(CR56,1)</f>
        <v>45836</v>
      </c>
      <c r="CT56" s="152">
        <f t="shared" ref="CT56" si="1428">EDATE(CS56,1)</f>
        <v>45866</v>
      </c>
      <c r="CU56" s="152">
        <f t="shared" ref="CU56" si="1429">EDATE(CT56,1)</f>
        <v>45897</v>
      </c>
      <c r="CV56" s="152">
        <f t="shared" ref="CV56" si="1430">EDATE(CU56,1)</f>
        <v>45928</v>
      </c>
      <c r="CW56" s="152">
        <f t="shared" ref="CW56" si="1431">EDATE(CV56,1)</f>
        <v>45958</v>
      </c>
      <c r="CX56" s="152">
        <f t="shared" ref="CX56" si="1432">EDATE(CW56,1)</f>
        <v>45989</v>
      </c>
      <c r="CY56" s="152">
        <f t="shared" ref="CY56" si="1433">EDATE(CX56,1)</f>
        <v>46019</v>
      </c>
      <c r="CZ56" s="152">
        <f t="shared" ref="CZ56" si="1434">EDATE(CY56,1)</f>
        <v>46050</v>
      </c>
      <c r="DA56" s="152">
        <f t="shared" ref="DA56" si="1435">EDATE(CZ56,1)</f>
        <v>46081</v>
      </c>
      <c r="DB56" s="152">
        <f t="shared" ref="DB56" si="1436">EDATE(DA56,1)</f>
        <v>46109</v>
      </c>
      <c r="DC56" s="152">
        <f t="shared" ref="DC56" si="1437">EDATE(DB56,1)</f>
        <v>46140</v>
      </c>
      <c r="DD56" s="152">
        <f t="shared" ref="DD56" si="1438">EDATE(DC56,1)</f>
        <v>46170</v>
      </c>
      <c r="DE56" s="152">
        <f t="shared" ref="DE56" si="1439">EDATE(DD56,1)</f>
        <v>46201</v>
      </c>
      <c r="DF56" s="152">
        <f t="shared" ref="DF56" si="1440">EDATE(DE56,1)</f>
        <v>46231</v>
      </c>
      <c r="DG56" s="152">
        <f t="shared" ref="DG56" si="1441">EDATE(DF56,1)</f>
        <v>46262</v>
      </c>
      <c r="DH56" s="152">
        <f t="shared" ref="DH56" si="1442">EDATE(DG56,1)</f>
        <v>46293</v>
      </c>
      <c r="DI56" s="152">
        <f t="shared" ref="DI56" si="1443">EDATE(DH56,1)</f>
        <v>46323</v>
      </c>
      <c r="DJ56" s="152">
        <f t="shared" ref="DJ56" si="1444">EDATE(DI56,1)</f>
        <v>46354</v>
      </c>
      <c r="DK56" s="152">
        <f t="shared" ref="DK56" si="1445">EDATE(DJ56,1)</f>
        <v>46384</v>
      </c>
      <c r="DL56" s="152">
        <f t="shared" ref="DL56" si="1446">EDATE(DK56,1)</f>
        <v>46415</v>
      </c>
      <c r="DM56" s="152">
        <f t="shared" ref="DM56" si="1447">EDATE(DL56,1)</f>
        <v>46446</v>
      </c>
      <c r="DN56" s="152">
        <f t="shared" ref="DN56" si="1448">EDATE(DM56,1)</f>
        <v>46474</v>
      </c>
      <c r="DO56" s="152">
        <f t="shared" ref="DO56" si="1449">EDATE(DN56,1)</f>
        <v>46505</v>
      </c>
      <c r="DP56" s="152">
        <f t="shared" ref="DP56" si="1450">EDATE(DO56,1)</f>
        <v>46535</v>
      </c>
      <c r="DQ56" s="152">
        <f t="shared" ref="DQ56" si="1451">EDATE(DP56,1)</f>
        <v>46566</v>
      </c>
      <c r="DR56" s="152">
        <f t="shared" ref="DR56" si="1452">EDATE(DQ56,1)</f>
        <v>46596</v>
      </c>
      <c r="DS56" s="152">
        <f t="shared" ref="DS56" si="1453">EDATE(DR56,1)</f>
        <v>46627</v>
      </c>
    </row>
    <row r="57" spans="1:123" s="53" customFormat="1" ht="14.25" thickBot="1" x14ac:dyDescent="0.3">
      <c r="A57" s="111" t="s">
        <v>59</v>
      </c>
      <c r="B57" s="112">
        <v>7.0000000000000007E-2</v>
      </c>
      <c r="C57" s="112">
        <v>7.0000000000000007E-2</v>
      </c>
      <c r="D57" s="112">
        <v>7.0000000000000007E-2</v>
      </c>
      <c r="E57" s="112">
        <v>7.0000000000000007E-2</v>
      </c>
      <c r="F57" s="112">
        <v>7.0000000000000007E-2</v>
      </c>
      <c r="G57" s="112">
        <v>7.0000000000000007E-2</v>
      </c>
      <c r="H57" s="112">
        <v>7.0000000000000007E-2</v>
      </c>
      <c r="I57" s="112">
        <v>7.0000000000000007E-2</v>
      </c>
      <c r="J57" s="112">
        <v>7.0000000000000007E-2</v>
      </c>
      <c r="K57" s="112">
        <v>7.0000000000000007E-2</v>
      </c>
      <c r="L57" s="112">
        <v>7.0000000000000007E-2</v>
      </c>
      <c r="M57" s="112">
        <v>7.0000000000000007E-2</v>
      </c>
      <c r="N57" s="112">
        <v>7.0000000000000007E-2</v>
      </c>
      <c r="O57" s="112">
        <v>7.0000000000000007E-2</v>
      </c>
      <c r="P57" s="112">
        <v>7.0000000000000007E-2</v>
      </c>
      <c r="Q57" s="112">
        <v>7.0000000000000007E-2</v>
      </c>
      <c r="R57" s="112">
        <v>7.0000000000000007E-2</v>
      </c>
      <c r="S57" s="112">
        <v>0.04</v>
      </c>
      <c r="T57" s="112">
        <v>0.04</v>
      </c>
      <c r="U57" s="112">
        <v>0.04</v>
      </c>
      <c r="V57" s="112">
        <v>0.04</v>
      </c>
      <c r="W57" s="112">
        <v>0.04</v>
      </c>
      <c r="X57" s="112">
        <v>0.04</v>
      </c>
      <c r="Y57" s="112">
        <v>0.04</v>
      </c>
      <c r="Z57" s="112">
        <v>0.04</v>
      </c>
      <c r="AA57" s="112">
        <v>0.04</v>
      </c>
      <c r="AB57" s="112">
        <v>0.04</v>
      </c>
      <c r="AC57" s="112">
        <v>0.04</v>
      </c>
      <c r="AD57" s="112">
        <v>0.04</v>
      </c>
      <c r="AE57" s="112">
        <v>0.04</v>
      </c>
      <c r="AF57" s="112">
        <v>0.04</v>
      </c>
      <c r="AG57" s="112">
        <v>0.04</v>
      </c>
      <c r="AH57" s="112">
        <v>0.04</v>
      </c>
      <c r="AI57" s="112">
        <v>0.04</v>
      </c>
      <c r="AJ57" s="112">
        <v>0.04</v>
      </c>
      <c r="AK57" s="112">
        <v>0.04</v>
      </c>
      <c r="AL57" s="112">
        <v>0.04</v>
      </c>
      <c r="AM57" s="112">
        <v>0.04</v>
      </c>
      <c r="AN57" s="112">
        <v>0.04</v>
      </c>
      <c r="AO57" s="112">
        <v>0.04</v>
      </c>
      <c r="AP57" s="112">
        <v>0.04</v>
      </c>
      <c r="AQ57" s="112">
        <v>0.04</v>
      </c>
      <c r="AR57" s="112">
        <v>0.04</v>
      </c>
      <c r="AS57" s="112">
        <v>0.04</v>
      </c>
      <c r="AT57" s="112">
        <v>0.04</v>
      </c>
      <c r="AU57" s="112">
        <v>0.04</v>
      </c>
      <c r="AV57" s="112">
        <v>0.04</v>
      </c>
      <c r="AW57" s="112">
        <v>0.04</v>
      </c>
      <c r="AX57" s="112">
        <v>0.04</v>
      </c>
      <c r="AY57" s="112">
        <v>0.04</v>
      </c>
      <c r="AZ57" s="112">
        <v>0.04</v>
      </c>
      <c r="BA57" s="112">
        <v>0.04</v>
      </c>
      <c r="BB57" s="112">
        <v>0.04</v>
      </c>
      <c r="BC57" s="112">
        <v>0.04</v>
      </c>
      <c r="BD57" s="112">
        <v>0.04</v>
      </c>
      <c r="BE57" s="112">
        <v>0.04</v>
      </c>
      <c r="BF57" s="112">
        <v>0.04</v>
      </c>
      <c r="BG57" s="112">
        <v>0.04</v>
      </c>
      <c r="BH57" s="112">
        <v>0.04</v>
      </c>
      <c r="BI57" s="112">
        <v>0.04</v>
      </c>
      <c r="BJ57" s="112">
        <v>0.04</v>
      </c>
      <c r="BK57" s="112">
        <v>0.04</v>
      </c>
      <c r="BL57" s="112">
        <v>0.04</v>
      </c>
      <c r="BM57" s="112">
        <v>0.04</v>
      </c>
      <c r="BN57" s="112">
        <v>0.04</v>
      </c>
      <c r="BO57" s="112">
        <v>0.04</v>
      </c>
      <c r="BP57" s="112">
        <v>0.04</v>
      </c>
      <c r="BQ57" s="112">
        <v>0.04</v>
      </c>
      <c r="BR57" s="112">
        <v>0.04</v>
      </c>
      <c r="BS57" s="112">
        <v>0.04</v>
      </c>
      <c r="BT57" s="112">
        <v>0.04</v>
      </c>
      <c r="BU57" s="112">
        <v>0.04</v>
      </c>
      <c r="BV57" s="112">
        <v>0.04</v>
      </c>
      <c r="BW57" s="112">
        <v>0.04</v>
      </c>
      <c r="BX57" s="112">
        <v>0.04</v>
      </c>
      <c r="BY57" s="112">
        <v>0.04</v>
      </c>
      <c r="BZ57" s="112">
        <v>0.04</v>
      </c>
      <c r="CA57" s="112">
        <v>0.04</v>
      </c>
      <c r="CB57" s="112">
        <v>0.04</v>
      </c>
      <c r="CC57" s="112">
        <v>0.04</v>
      </c>
      <c r="CD57" s="112">
        <v>0.04</v>
      </c>
      <c r="CE57" s="112">
        <v>0.04</v>
      </c>
      <c r="CF57" s="112">
        <v>0.04</v>
      </c>
      <c r="CG57" s="112">
        <v>0.04</v>
      </c>
      <c r="CH57" s="112">
        <v>0.04</v>
      </c>
      <c r="CI57" s="112">
        <v>0.04</v>
      </c>
      <c r="CJ57" s="112">
        <v>0.04</v>
      </c>
      <c r="CK57" s="112">
        <v>0.04</v>
      </c>
      <c r="CL57" s="112">
        <v>0.04</v>
      </c>
      <c r="CM57" s="112">
        <v>0.04</v>
      </c>
      <c r="CN57" s="112">
        <v>0.04</v>
      </c>
      <c r="CO57" s="112">
        <v>0.04</v>
      </c>
      <c r="CP57" s="112">
        <v>0.04</v>
      </c>
      <c r="CQ57" s="112">
        <v>0.04</v>
      </c>
      <c r="CR57" s="112">
        <v>0.04</v>
      </c>
      <c r="CS57" s="112">
        <v>0.04</v>
      </c>
      <c r="CT57" s="112">
        <v>0.04</v>
      </c>
      <c r="CU57" s="112">
        <v>0.04</v>
      </c>
      <c r="CV57" s="112">
        <v>0.04</v>
      </c>
      <c r="CW57" s="112">
        <v>0.04</v>
      </c>
      <c r="CX57" s="112">
        <v>0.04</v>
      </c>
      <c r="CY57" s="112">
        <v>0.04</v>
      </c>
      <c r="CZ57" s="112">
        <v>0.04</v>
      </c>
      <c r="DA57" s="112">
        <v>0.04</v>
      </c>
      <c r="DB57" s="112">
        <v>0.04</v>
      </c>
      <c r="DC57" s="112">
        <v>0.04</v>
      </c>
      <c r="DD57" s="112">
        <v>0.04</v>
      </c>
      <c r="DE57" s="112">
        <v>0.04</v>
      </c>
      <c r="DF57" s="112">
        <v>0.04</v>
      </c>
      <c r="DG57" s="112">
        <v>0.04</v>
      </c>
      <c r="DH57" s="112">
        <v>0.04</v>
      </c>
      <c r="DI57" s="112">
        <v>0.04</v>
      </c>
      <c r="DJ57" s="112">
        <v>0.04</v>
      </c>
      <c r="DK57" s="112">
        <v>0.04</v>
      </c>
      <c r="DL57" s="112">
        <v>0.04</v>
      </c>
      <c r="DM57" s="112">
        <v>0.04</v>
      </c>
      <c r="DN57" s="112">
        <v>0.04</v>
      </c>
      <c r="DO57" s="112">
        <v>0.04</v>
      </c>
      <c r="DP57" s="112">
        <v>0.04</v>
      </c>
      <c r="DQ57" s="112">
        <v>0.04</v>
      </c>
      <c r="DR57" s="112">
        <v>0.04</v>
      </c>
      <c r="DS57" s="112">
        <v>0.04</v>
      </c>
    </row>
    <row r="58" spans="1:123" s="53" customFormat="1" ht="15" x14ac:dyDescent="0.3">
      <c r="A58" s="27" t="s">
        <v>14</v>
      </c>
      <c r="B58" s="28">
        <v>42948</v>
      </c>
      <c r="C58" s="28">
        <f>EDATE(B58,1)</f>
        <v>42979</v>
      </c>
      <c r="D58" s="28">
        <f t="shared" ref="D58" si="1454">EDATE(C58,1)</f>
        <v>43009</v>
      </c>
      <c r="E58" s="28">
        <f t="shared" ref="E58" si="1455">EDATE(D58,1)</f>
        <v>43040</v>
      </c>
      <c r="F58" s="28">
        <f t="shared" ref="F58" si="1456">EDATE(E58,1)</f>
        <v>43070</v>
      </c>
      <c r="G58" s="28">
        <f t="shared" ref="G58" si="1457">EDATE(F58,1)</f>
        <v>43101</v>
      </c>
      <c r="H58" s="28">
        <f t="shared" ref="H58" si="1458">EDATE(G58,1)</f>
        <v>43132</v>
      </c>
      <c r="I58" s="28">
        <f t="shared" ref="I58" si="1459">EDATE(H58,1)</f>
        <v>43160</v>
      </c>
      <c r="J58" s="28">
        <f t="shared" ref="J58" si="1460">EDATE(I58,1)</f>
        <v>43191</v>
      </c>
      <c r="K58" s="28">
        <f t="shared" ref="K58" si="1461">EDATE(J58,1)</f>
        <v>43221</v>
      </c>
      <c r="L58" s="28">
        <f t="shared" ref="L58" si="1462">EDATE(K58,1)</f>
        <v>43252</v>
      </c>
      <c r="M58" s="28">
        <f t="shared" ref="M58" si="1463">EDATE(L58,1)</f>
        <v>43282</v>
      </c>
      <c r="N58" s="28">
        <f t="shared" ref="N58" si="1464">EDATE(M58,1)</f>
        <v>43313</v>
      </c>
      <c r="O58" s="28">
        <f t="shared" ref="O58" si="1465">EDATE(N58,1)</f>
        <v>43344</v>
      </c>
      <c r="P58" s="28">
        <f t="shared" ref="P58" si="1466">EDATE(O58,1)</f>
        <v>43374</v>
      </c>
      <c r="Q58" s="28">
        <f t="shared" ref="Q58" si="1467">EDATE(P58,1)</f>
        <v>43405</v>
      </c>
      <c r="R58" s="28">
        <f t="shared" ref="R58" si="1468">EDATE(Q58,1)</f>
        <v>43435</v>
      </c>
      <c r="S58" s="28">
        <f t="shared" ref="S58" si="1469">EDATE(R58,1)</f>
        <v>43466</v>
      </c>
      <c r="T58" s="28">
        <f t="shared" ref="T58" si="1470">EDATE(S58,1)</f>
        <v>43497</v>
      </c>
      <c r="U58" s="28">
        <f t="shared" ref="U58" si="1471">EDATE(T58,1)</f>
        <v>43525</v>
      </c>
      <c r="V58" s="28">
        <f t="shared" ref="V58" si="1472">EDATE(U58,1)</f>
        <v>43556</v>
      </c>
      <c r="W58" s="28">
        <f t="shared" ref="W58" si="1473">EDATE(V58,1)</f>
        <v>43586</v>
      </c>
      <c r="X58" s="28">
        <f t="shared" ref="X58" si="1474">EDATE(W58,1)</f>
        <v>43617</v>
      </c>
      <c r="Y58" s="28">
        <f t="shared" ref="Y58" si="1475">EDATE(X58,1)</f>
        <v>43647</v>
      </c>
      <c r="Z58" s="28">
        <f t="shared" ref="Z58" si="1476">EDATE(Y58,1)</f>
        <v>43678</v>
      </c>
      <c r="AA58" s="28">
        <f t="shared" ref="AA58" si="1477">EDATE(Z58,1)</f>
        <v>43709</v>
      </c>
      <c r="AB58" s="28">
        <f t="shared" ref="AB58" si="1478">EDATE(AA58,1)</f>
        <v>43739</v>
      </c>
      <c r="AC58" s="28">
        <f t="shared" ref="AC58" si="1479">EDATE(AB58,1)</f>
        <v>43770</v>
      </c>
      <c r="AD58" s="28">
        <f t="shared" ref="AD58" si="1480">EDATE(AC58,1)</f>
        <v>43800</v>
      </c>
      <c r="AE58" s="28">
        <f t="shared" ref="AE58" si="1481">EDATE(AD58,1)</f>
        <v>43831</v>
      </c>
      <c r="AF58" s="28">
        <f t="shared" ref="AF58" si="1482">EDATE(AE58,1)</f>
        <v>43862</v>
      </c>
      <c r="AG58" s="28">
        <f t="shared" ref="AG58" si="1483">EDATE(AF58,1)</f>
        <v>43891</v>
      </c>
      <c r="AH58" s="28">
        <f t="shared" ref="AH58" si="1484">EDATE(AG58,1)</f>
        <v>43922</v>
      </c>
      <c r="AI58" s="28">
        <f t="shared" ref="AI58" si="1485">EDATE(AH58,1)</f>
        <v>43952</v>
      </c>
      <c r="AJ58" s="28">
        <f t="shared" ref="AJ58" si="1486">EDATE(AI58,1)</f>
        <v>43983</v>
      </c>
      <c r="AK58" s="28">
        <f t="shared" ref="AK58" si="1487">EDATE(AJ58,1)</f>
        <v>44013</v>
      </c>
      <c r="AL58" s="28">
        <f t="shared" ref="AL58" si="1488">EDATE(AK58,1)</f>
        <v>44044</v>
      </c>
      <c r="AM58" s="28">
        <f t="shared" ref="AM58" si="1489">EDATE(AL58,1)</f>
        <v>44075</v>
      </c>
      <c r="AN58" s="28">
        <f t="shared" ref="AN58" si="1490">EDATE(AM58,1)</f>
        <v>44105</v>
      </c>
      <c r="AO58" s="28">
        <f t="shared" ref="AO58" si="1491">EDATE(AN58,1)</f>
        <v>44136</v>
      </c>
      <c r="AP58" s="28">
        <f t="shared" ref="AP58" si="1492">EDATE(AO58,1)</f>
        <v>44166</v>
      </c>
      <c r="AQ58" s="28">
        <f t="shared" ref="AQ58" si="1493">EDATE(AP58,1)</f>
        <v>44197</v>
      </c>
      <c r="AR58" s="28">
        <f t="shared" ref="AR58" si="1494">EDATE(AQ58,1)</f>
        <v>44228</v>
      </c>
      <c r="AS58" s="28">
        <f t="shared" ref="AS58" si="1495">EDATE(AR58,1)</f>
        <v>44256</v>
      </c>
      <c r="AT58" s="28">
        <f t="shared" ref="AT58" si="1496">EDATE(AS58,1)</f>
        <v>44287</v>
      </c>
      <c r="AU58" s="28">
        <f t="shared" ref="AU58" si="1497">EDATE(AT58,1)</f>
        <v>44317</v>
      </c>
      <c r="AV58" s="28">
        <f t="shared" ref="AV58" si="1498">EDATE(AU58,1)</f>
        <v>44348</v>
      </c>
      <c r="AW58" s="28">
        <f t="shared" ref="AW58" si="1499">EDATE(AV58,1)</f>
        <v>44378</v>
      </c>
      <c r="AX58" s="28">
        <f t="shared" ref="AX58" si="1500">EDATE(AW58,1)</f>
        <v>44409</v>
      </c>
      <c r="AY58" s="28">
        <f t="shared" ref="AY58" si="1501">EDATE(AX58,1)</f>
        <v>44440</v>
      </c>
      <c r="AZ58" s="28">
        <f t="shared" ref="AZ58" si="1502">EDATE(AY58,1)</f>
        <v>44470</v>
      </c>
      <c r="BA58" s="28">
        <f t="shared" ref="BA58" si="1503">EDATE(AZ58,1)</f>
        <v>44501</v>
      </c>
      <c r="BB58" s="28">
        <f t="shared" ref="BB58" si="1504">EDATE(BA58,1)</f>
        <v>44531</v>
      </c>
      <c r="BC58" s="28">
        <f t="shared" ref="BC58" si="1505">EDATE(BB58,1)</f>
        <v>44562</v>
      </c>
      <c r="BD58" s="28">
        <f t="shared" ref="BD58" si="1506">EDATE(BC58,1)</f>
        <v>44593</v>
      </c>
      <c r="BE58" s="28">
        <f t="shared" ref="BE58" si="1507">EDATE(BD58,1)</f>
        <v>44621</v>
      </c>
      <c r="BF58" s="28">
        <f t="shared" ref="BF58" si="1508">EDATE(BE58,1)</f>
        <v>44652</v>
      </c>
      <c r="BG58" s="28">
        <f t="shared" ref="BG58" si="1509">EDATE(BF58,1)</f>
        <v>44682</v>
      </c>
      <c r="BH58" s="28">
        <f t="shared" ref="BH58" si="1510">EDATE(BG58,1)</f>
        <v>44713</v>
      </c>
      <c r="BI58" s="28">
        <f t="shared" ref="BI58" si="1511">EDATE(BH58,1)</f>
        <v>44743</v>
      </c>
      <c r="BJ58" s="28">
        <f t="shared" ref="BJ58" si="1512">EDATE(BI58,1)</f>
        <v>44774</v>
      </c>
      <c r="BK58" s="28">
        <f t="shared" ref="BK58" si="1513">EDATE(BJ58,1)</f>
        <v>44805</v>
      </c>
      <c r="BL58" s="28">
        <f t="shared" ref="BL58" si="1514">EDATE(BK58,1)</f>
        <v>44835</v>
      </c>
      <c r="BM58" s="28">
        <f t="shared" ref="BM58" si="1515">EDATE(BL58,1)</f>
        <v>44866</v>
      </c>
      <c r="BN58" s="28">
        <f t="shared" ref="BN58" si="1516">EDATE(BM58,1)</f>
        <v>44896</v>
      </c>
      <c r="BO58" s="28">
        <f t="shared" ref="BO58" si="1517">EDATE(BN58,1)</f>
        <v>44927</v>
      </c>
      <c r="BP58" s="28">
        <f t="shared" ref="BP58" si="1518">EDATE(BO58,1)</f>
        <v>44958</v>
      </c>
      <c r="BQ58" s="28">
        <f t="shared" ref="BQ58" si="1519">EDATE(BP58,1)</f>
        <v>44986</v>
      </c>
      <c r="BR58" s="28">
        <f t="shared" ref="BR58" si="1520">EDATE(BQ58,1)</f>
        <v>45017</v>
      </c>
      <c r="BS58" s="28">
        <f t="shared" ref="BS58" si="1521">EDATE(BR58,1)</f>
        <v>45047</v>
      </c>
      <c r="BT58" s="28">
        <f t="shared" ref="BT58" si="1522">EDATE(BS58,1)</f>
        <v>45078</v>
      </c>
      <c r="BU58" s="28">
        <f t="shared" ref="BU58" si="1523">EDATE(BT58,1)</f>
        <v>45108</v>
      </c>
      <c r="BV58" s="28">
        <f t="shared" ref="BV58" si="1524">EDATE(BU58,1)</f>
        <v>45139</v>
      </c>
      <c r="BW58" s="28">
        <f t="shared" ref="BW58" si="1525">EDATE(BV58,1)</f>
        <v>45170</v>
      </c>
      <c r="BX58" s="28">
        <f t="shared" ref="BX58" si="1526">EDATE(BW58,1)</f>
        <v>45200</v>
      </c>
      <c r="BY58" s="28">
        <f t="shared" ref="BY58" si="1527">EDATE(BX58,1)</f>
        <v>45231</v>
      </c>
      <c r="BZ58" s="28">
        <f t="shared" ref="BZ58" si="1528">EDATE(BY58,1)</f>
        <v>45261</v>
      </c>
      <c r="CA58" s="28">
        <f t="shared" ref="CA58" si="1529">EDATE(BZ58,1)</f>
        <v>45292</v>
      </c>
      <c r="CB58" s="28">
        <f t="shared" ref="CB58" si="1530">EDATE(CA58,1)</f>
        <v>45323</v>
      </c>
      <c r="CC58" s="28">
        <f t="shared" ref="CC58" si="1531">EDATE(CB58,1)</f>
        <v>45352</v>
      </c>
      <c r="CD58" s="28">
        <f t="shared" ref="CD58" si="1532">EDATE(CC58,1)</f>
        <v>45383</v>
      </c>
      <c r="CE58" s="28">
        <f t="shared" ref="CE58" si="1533">EDATE(CD58,1)</f>
        <v>45413</v>
      </c>
      <c r="CF58" s="28">
        <f t="shared" ref="CF58" si="1534">EDATE(CE58,1)</f>
        <v>45444</v>
      </c>
      <c r="CG58" s="28">
        <f t="shared" ref="CG58" si="1535">EDATE(CF58,1)</f>
        <v>45474</v>
      </c>
      <c r="CH58" s="28">
        <f t="shared" ref="CH58" si="1536">EDATE(CG58,1)</f>
        <v>45505</v>
      </c>
      <c r="CI58" s="28">
        <f t="shared" ref="CI58" si="1537">EDATE(CH58,1)</f>
        <v>45536</v>
      </c>
      <c r="CJ58" s="28">
        <f t="shared" ref="CJ58" si="1538">EDATE(CI58,1)</f>
        <v>45566</v>
      </c>
      <c r="CK58" s="28">
        <f t="shared" ref="CK58" si="1539">EDATE(CJ58,1)</f>
        <v>45597</v>
      </c>
      <c r="CL58" s="28">
        <f t="shared" ref="CL58" si="1540">EDATE(CK58,1)</f>
        <v>45627</v>
      </c>
      <c r="CM58" s="28">
        <f t="shared" ref="CM58" si="1541">EDATE(CL58,1)</f>
        <v>45658</v>
      </c>
      <c r="CN58" s="28">
        <f t="shared" ref="CN58" si="1542">EDATE(CM58,1)</f>
        <v>45689</v>
      </c>
      <c r="CO58" s="28">
        <f t="shared" ref="CO58" si="1543">EDATE(CN58,1)</f>
        <v>45717</v>
      </c>
      <c r="CP58" s="28">
        <f t="shared" ref="CP58" si="1544">EDATE(CO58,1)</f>
        <v>45748</v>
      </c>
      <c r="CQ58" s="28">
        <f t="shared" ref="CQ58" si="1545">EDATE(CP58,1)</f>
        <v>45778</v>
      </c>
      <c r="CR58" s="28">
        <f t="shared" ref="CR58" si="1546">EDATE(CQ58,1)</f>
        <v>45809</v>
      </c>
      <c r="CS58" s="28">
        <f t="shared" ref="CS58" si="1547">EDATE(CR58,1)</f>
        <v>45839</v>
      </c>
      <c r="CT58" s="28">
        <f t="shared" ref="CT58" si="1548">EDATE(CS58,1)</f>
        <v>45870</v>
      </c>
      <c r="CU58" s="28">
        <f t="shared" ref="CU58" si="1549">EDATE(CT58,1)</f>
        <v>45901</v>
      </c>
      <c r="CV58" s="28">
        <f t="shared" ref="CV58" si="1550">EDATE(CU58,1)</f>
        <v>45931</v>
      </c>
      <c r="CW58" s="28">
        <f t="shared" ref="CW58" si="1551">EDATE(CV58,1)</f>
        <v>45962</v>
      </c>
      <c r="CX58" s="28">
        <f t="shared" ref="CX58" si="1552">EDATE(CW58,1)</f>
        <v>45992</v>
      </c>
      <c r="CY58" s="28">
        <f t="shared" ref="CY58" si="1553">EDATE(CX58,1)</f>
        <v>46023</v>
      </c>
      <c r="CZ58" s="28">
        <f t="shared" ref="CZ58" si="1554">EDATE(CY58,1)</f>
        <v>46054</v>
      </c>
      <c r="DA58" s="28">
        <f t="shared" ref="DA58" si="1555">EDATE(CZ58,1)</f>
        <v>46082</v>
      </c>
      <c r="DB58" s="28">
        <f t="shared" ref="DB58" si="1556">EDATE(DA58,1)</f>
        <v>46113</v>
      </c>
      <c r="DC58" s="28">
        <f t="shared" ref="DC58" si="1557">EDATE(DB58,1)</f>
        <v>46143</v>
      </c>
      <c r="DD58" s="28">
        <f t="shared" ref="DD58" si="1558">EDATE(DC58,1)</f>
        <v>46174</v>
      </c>
      <c r="DE58" s="28">
        <f t="shared" ref="DE58" si="1559">EDATE(DD58,1)</f>
        <v>46204</v>
      </c>
      <c r="DF58" s="28">
        <f t="shared" ref="DF58" si="1560">EDATE(DE58,1)</f>
        <v>46235</v>
      </c>
      <c r="DG58" s="28">
        <f t="shared" ref="DG58" si="1561">EDATE(DF58,1)</f>
        <v>46266</v>
      </c>
      <c r="DH58" s="28">
        <f t="shared" ref="DH58" si="1562">EDATE(DG58,1)</f>
        <v>46296</v>
      </c>
      <c r="DI58" s="28">
        <f t="shared" ref="DI58" si="1563">EDATE(DH58,1)</f>
        <v>46327</v>
      </c>
      <c r="DJ58" s="28">
        <f t="shared" ref="DJ58" si="1564">EDATE(DI58,1)</f>
        <v>46357</v>
      </c>
      <c r="DK58" s="28">
        <f t="shared" ref="DK58" si="1565">EDATE(DJ58,1)</f>
        <v>46388</v>
      </c>
      <c r="DL58" s="28">
        <f t="shared" ref="DL58" si="1566">EDATE(DK58,1)</f>
        <v>46419</v>
      </c>
      <c r="DM58" s="28">
        <f t="shared" ref="DM58" si="1567">EDATE(DL58,1)</f>
        <v>46447</v>
      </c>
      <c r="DN58" s="28">
        <f t="shared" ref="DN58" si="1568">EDATE(DM58,1)</f>
        <v>46478</v>
      </c>
      <c r="DO58" s="28">
        <f t="shared" ref="DO58" si="1569">EDATE(DN58,1)</f>
        <v>46508</v>
      </c>
      <c r="DP58" s="28">
        <f t="shared" ref="DP58" si="1570">EDATE(DO58,1)</f>
        <v>46539</v>
      </c>
      <c r="DQ58" s="28">
        <f t="shared" ref="DQ58" si="1571">EDATE(DP58,1)</f>
        <v>46569</v>
      </c>
      <c r="DR58" s="28"/>
      <c r="DS58" s="28"/>
    </row>
    <row r="59" spans="1:123" s="53" customFormat="1" x14ac:dyDescent="0.25">
      <c r="A59" s="22" t="s">
        <v>5</v>
      </c>
      <c r="B59" s="162"/>
      <c r="C59" s="163"/>
      <c r="D59" s="163"/>
      <c r="E59" s="163"/>
      <c r="F59" s="163"/>
      <c r="G59" s="163"/>
      <c r="H59" s="163"/>
      <c r="I59" s="163">
        <v>0</v>
      </c>
      <c r="J59" s="163">
        <v>0</v>
      </c>
      <c r="K59" s="163">
        <v>0</v>
      </c>
      <c r="L59" s="163">
        <v>0</v>
      </c>
      <c r="M59" s="163">
        <v>0</v>
      </c>
      <c r="N59" s="163">
        <v>0</v>
      </c>
      <c r="O59" s="163">
        <v>0</v>
      </c>
      <c r="P59" s="163">
        <v>0</v>
      </c>
      <c r="Q59" s="163">
        <f>E16</f>
        <v>196100000</v>
      </c>
      <c r="R59" s="163">
        <f t="shared" ref="R59" si="1572">Q65</f>
        <v>196100000</v>
      </c>
      <c r="S59" s="163">
        <f t="shared" ref="S59" si="1573">R65</f>
        <v>196100000</v>
      </c>
      <c r="T59" s="163">
        <f t="shared" ref="T59" si="1574">S65</f>
        <v>196100000</v>
      </c>
      <c r="U59" s="163">
        <f t="shared" ref="U59" si="1575">T65</f>
        <v>196100000</v>
      </c>
      <c r="V59" s="163">
        <f t="shared" ref="V59" si="1576">U65</f>
        <v>196100000</v>
      </c>
      <c r="W59" s="163">
        <f t="shared" ref="W59" si="1577">V65</f>
        <v>196100000</v>
      </c>
      <c r="X59" s="163">
        <f t="shared" ref="X59" si="1578">W65</f>
        <v>196100000</v>
      </c>
      <c r="Y59" s="163">
        <f t="shared" ref="Y59" si="1579">X65</f>
        <v>196100000</v>
      </c>
      <c r="Z59" s="163">
        <f t="shared" ref="Z59" si="1580">Y65</f>
        <v>196100000</v>
      </c>
      <c r="AA59" s="163">
        <f t="shared" ref="AA59" si="1581">Z65</f>
        <v>196100000</v>
      </c>
      <c r="AB59" s="163">
        <f t="shared" ref="AB59" si="1582">AA65</f>
        <v>196100000</v>
      </c>
      <c r="AC59" s="163">
        <f t="shared" ref="AC59" si="1583">AB65</f>
        <v>189971875</v>
      </c>
      <c r="AD59" s="163">
        <f t="shared" ref="AD59" si="1584">AC65</f>
        <v>189971875</v>
      </c>
      <c r="AE59" s="163">
        <f t="shared" ref="AE59" si="1585">AD65</f>
        <v>189971875</v>
      </c>
      <c r="AF59" s="25">
        <f t="shared" ref="AF59" si="1586">AE65</f>
        <v>183843750</v>
      </c>
      <c r="AG59" s="25">
        <f t="shared" ref="AG59" si="1587">AF65</f>
        <v>182088773.27306759</v>
      </c>
      <c r="AH59" s="25">
        <f t="shared" ref="AH59" si="1588">AG65</f>
        <v>180327946.62371209</v>
      </c>
      <c r="AI59" s="25">
        <f t="shared" ref="AI59" si="1589">AH65</f>
        <v>178561250.55219206</v>
      </c>
      <c r="AJ59" s="25">
        <f t="shared" ref="AJ59" si="1590">AI65</f>
        <v>176788665.49376696</v>
      </c>
      <c r="AK59" s="25">
        <f t="shared" ref="AK59" si="1591">AJ65</f>
        <v>175010171.81848046</v>
      </c>
      <c r="AL59" s="25">
        <f t="shared" ref="AL59" si="1592">AK65</f>
        <v>173225749.83094299</v>
      </c>
      <c r="AM59" s="25">
        <f t="shared" ref="AM59" si="1593">AL65</f>
        <v>171435379.77011374</v>
      </c>
      <c r="AN59" s="25">
        <f t="shared" ref="AN59" si="1594">AM65</f>
        <v>169639041.8090817</v>
      </c>
      <c r="AO59" s="25">
        <f t="shared" ref="AO59" si="1595">AN65</f>
        <v>167836716.05484626</v>
      </c>
      <c r="AP59" s="25">
        <f t="shared" ref="AP59" si="1596">AO65</f>
        <v>166028382.54809669</v>
      </c>
      <c r="AQ59" s="25">
        <f t="shared" ref="AQ59" si="1597">AP65</f>
        <v>164214021.26299128</v>
      </c>
      <c r="AR59" s="25">
        <f t="shared" ref="AR59" si="1598">AQ65</f>
        <v>162393612.10693553</v>
      </c>
      <c r="AS59" s="25">
        <f t="shared" ref="AS59" si="1599">AR65</f>
        <v>160567134.92035958</v>
      </c>
      <c r="AT59" s="25">
        <f t="shared" ref="AT59" si="1600">AS65</f>
        <v>158734569.47649506</v>
      </c>
      <c r="AU59" s="25">
        <f t="shared" ref="AU59" si="1601">AT65</f>
        <v>156895895.48115098</v>
      </c>
      <c r="AV59" s="25">
        <f t="shared" ref="AV59" si="1602">AU65</f>
        <v>155051092.57248908</v>
      </c>
      <c r="AW59" s="25">
        <f t="shared" ref="AW59" si="1603">AV65</f>
        <v>153200140.32079831</v>
      </c>
      <c r="AX59" s="25">
        <f t="shared" ref="AX59" si="1604">AW65</f>
        <v>151343018.22826856</v>
      </c>
      <c r="AY59" s="25">
        <f t="shared" ref="AY59" si="1605">AX65</f>
        <v>149479705.72876373</v>
      </c>
      <c r="AZ59" s="25">
        <f t="shared" ref="AZ59" si="1606">AY65</f>
        <v>147610182.18759388</v>
      </c>
      <c r="BA59" s="25">
        <f t="shared" ref="BA59" si="1607">AZ65</f>
        <v>145734426.90128678</v>
      </c>
      <c r="BB59" s="25">
        <f t="shared" ref="BB59" si="1608">BA65</f>
        <v>143852419.09735867</v>
      </c>
      <c r="BC59" s="25">
        <f t="shared" ref="BC59" si="1609">BB65</f>
        <v>141964137.93408415</v>
      </c>
      <c r="BD59" s="25">
        <f t="shared" ref="BD59" si="1610">BC65</f>
        <v>140069562.50026536</v>
      </c>
      <c r="BE59" s="25">
        <f t="shared" ref="BE59" si="1611">BD65</f>
        <v>138168671.8150005</v>
      </c>
      <c r="BF59" s="25">
        <f t="shared" ref="BF59" si="1612">BE65</f>
        <v>136261444.82745144</v>
      </c>
      <c r="BG59" s="25">
        <f t="shared" ref="BG59" si="1613">BF65</f>
        <v>134347860.41661054</v>
      </c>
      <c r="BH59" s="25">
        <f t="shared" ref="BH59" si="1614">BG65</f>
        <v>132427897.39106683</v>
      </c>
      <c r="BI59" s="25">
        <f t="shared" ref="BI59" si="1615">BH65</f>
        <v>130501534.48877132</v>
      </c>
      <c r="BJ59" s="25">
        <f t="shared" ref="BJ59" si="1616">BI65</f>
        <v>128568750.37680149</v>
      </c>
      <c r="BK59" s="25">
        <f t="shared" ref="BK59" si="1617">BJ65</f>
        <v>126629523.6511251</v>
      </c>
      <c r="BL59" s="25">
        <f t="shared" ref="BL59" si="1618">BK65</f>
        <v>124683832.83636312</v>
      </c>
      <c r="BM59" s="25">
        <f t="shared" ref="BM59" si="1619">BL65</f>
        <v>122731656.38555193</v>
      </c>
      <c r="BN59" s="25">
        <f t="shared" ref="BN59" si="1620">BM65</f>
        <v>120772972.6799047</v>
      </c>
      <c r="BO59" s="25">
        <f t="shared" ref="BO59" si="1621">BN65</f>
        <v>118807760.02857198</v>
      </c>
      <c r="BP59" s="25">
        <f t="shared" ref="BP59" si="1622">BO65</f>
        <v>116835996.66840148</v>
      </c>
      <c r="BQ59" s="25">
        <f t="shared" ref="BQ59" si="1623">BP65</f>
        <v>114857660.76369709</v>
      </c>
      <c r="BR59" s="25">
        <f t="shared" ref="BR59" si="1624">BQ65</f>
        <v>112872730.40597701</v>
      </c>
      <c r="BS59" s="25">
        <f t="shared" ref="BS59" si="1625">BR65</f>
        <v>110881183.61373121</v>
      </c>
      <c r="BT59" s="25">
        <f t="shared" ref="BT59" si="1626">BS65</f>
        <v>108882998.33217791</v>
      </c>
      <c r="BU59" s="25">
        <f t="shared" ref="BU59" si="1627">BT65</f>
        <v>106878152.43301943</v>
      </c>
      <c r="BV59" s="25">
        <f t="shared" ref="BV59" si="1628">BU65</f>
        <v>104866623.7141971</v>
      </c>
      <c r="BW59" s="25">
        <f t="shared" ref="BW59" si="1629">BV65</f>
        <v>102848389.89964536</v>
      </c>
      <c r="BX59" s="25">
        <f t="shared" ref="BX59" si="1630">BW65</f>
        <v>100823428.6390451</v>
      </c>
      <c r="BY59" s="25">
        <f t="shared" ref="BY59" si="1631">BX65</f>
        <v>98791717.507576182</v>
      </c>
      <c r="BZ59" s="25">
        <f t="shared" ref="BZ59" si="1632">BY65</f>
        <v>96753234.005669042</v>
      </c>
      <c r="CA59" s="25">
        <f t="shared" ref="CA59" si="1633">BZ65</f>
        <v>94707955.558755547</v>
      </c>
      <c r="CB59" s="25">
        <f t="shared" ref="CB59" si="1634">CA65</f>
        <v>92655859.517019004</v>
      </c>
      <c r="CC59" s="25">
        <f t="shared" ref="CC59" si="1635">CB65</f>
        <v>90596923.155143335</v>
      </c>
      <c r="CD59" s="25">
        <f t="shared" ref="CD59" si="1636">CC65</f>
        <v>88531123.672061414</v>
      </c>
      <c r="CE59" s="25">
        <f t="shared" ref="CE59" si="1637">CD65</f>
        <v>86458438.190702558</v>
      </c>
      <c r="CF59" s="25">
        <f t="shared" ref="CF59" si="1638">CE65</f>
        <v>84378843.757739171</v>
      </c>
      <c r="CG59" s="25">
        <f t="shared" ref="CG59" si="1639">CF65</f>
        <v>82292317.343332574</v>
      </c>
      <c r="CH59" s="25">
        <f t="shared" ref="CH59" si="1640">CG65</f>
        <v>80198835.84087795</v>
      </c>
      <c r="CI59" s="25">
        <f t="shared" ref="CI59" si="1641">CH65</f>
        <v>78098376.066748485</v>
      </c>
      <c r="CJ59" s="25">
        <f t="shared" ref="CJ59" si="1642">CI65</f>
        <v>75990914.760038584</v>
      </c>
      <c r="CK59" s="25">
        <f t="shared" ref="CK59" si="1643">CJ65</f>
        <v>73876428.582306311</v>
      </c>
      <c r="CL59" s="25">
        <f t="shared" ref="CL59" si="1644">CK65</f>
        <v>71754894.117314935</v>
      </c>
      <c r="CM59" s="25">
        <f t="shared" ref="CM59" si="1645">CL65</f>
        <v>69626287.870773584</v>
      </c>
      <c r="CN59" s="25">
        <f t="shared" ref="CN59" si="1646">CM65</f>
        <v>67490586.270077094</v>
      </c>
      <c r="CO59" s="25">
        <f t="shared" ref="CO59" si="1647">CN65</f>
        <v>65347765.664044954</v>
      </c>
      <c r="CP59" s="25">
        <f t="shared" ref="CP59" si="1648">CO65</f>
        <v>63197802.322659373</v>
      </c>
      <c r="CQ59" s="25">
        <f t="shared" ref="CQ59" si="1649">CP65</f>
        <v>61040672.436802506</v>
      </c>
      <c r="CR59" s="25">
        <f t="shared" ref="CR59" si="1650">CQ65</f>
        <v>58876352.117992781</v>
      </c>
      <c r="CS59" s="25">
        <f t="shared" ref="CS59" si="1651">CR65</f>
        <v>56704817.398120359</v>
      </c>
      <c r="CT59" s="25">
        <f t="shared" ref="CT59" si="1652">CS65</f>
        <v>54526044.229181692</v>
      </c>
      <c r="CU59" s="25">
        <f t="shared" ref="CU59" si="1653">CT65</f>
        <v>52340008.483013235</v>
      </c>
      <c r="CV59" s="25">
        <f t="shared" ref="CV59" si="1654">CU65</f>
        <v>50146685.951024212</v>
      </c>
      <c r="CW59" s="25">
        <f t="shared" ref="CW59" si="1655">CV65</f>
        <v>47946052.343928561</v>
      </c>
      <c r="CX59" s="25">
        <f t="shared" ref="CX59" si="1656">CW65</f>
        <v>45738083.291475922</v>
      </c>
      <c r="CY59" s="25">
        <f t="shared" ref="CY59" si="1657">CX65</f>
        <v>43522754.342181772</v>
      </c>
      <c r="CZ59" s="25">
        <f t="shared" ref="CZ59" si="1658">CY65</f>
        <v>41300040.963056646</v>
      </c>
      <c r="DA59" s="25">
        <f t="shared" ref="DA59" si="1659">CZ65</f>
        <v>39069918.539334439</v>
      </c>
      <c r="DB59" s="25">
        <f t="shared" ref="DB59" si="1660">DA65</f>
        <v>36832362.374199823</v>
      </c>
      <c r="DC59" s="25">
        <f t="shared" ref="DC59" si="1661">DB65</f>
        <v>34587347.688514754</v>
      </c>
      <c r="DD59" s="25">
        <f t="shared" ref="DD59" si="1662">DC65</f>
        <v>32334849.620544072</v>
      </c>
      <c r="DE59" s="25">
        <f t="shared" ref="DE59" si="1663">DD65</f>
        <v>30074843.225680154</v>
      </c>
      <c r="DF59" s="25">
        <f t="shared" ref="DF59" si="1664">DE65</f>
        <v>27807303.476166688</v>
      </c>
      <c r="DG59" s="25">
        <f t="shared" ref="DG59" si="1665">DF65</f>
        <v>25532205.26082151</v>
      </c>
      <c r="DH59" s="25">
        <f t="shared" ref="DH59" si="1666">DG65</f>
        <v>23249523.384758517</v>
      </c>
      <c r="DI59" s="25">
        <f t="shared" ref="DI59" si="1667">DH65</f>
        <v>20959232.569108646</v>
      </c>
      <c r="DJ59" s="25">
        <f t="shared" ref="DJ59" si="1668">DI65</f>
        <v>18661307.450739942</v>
      </c>
      <c r="DK59" s="25">
        <f t="shared" ref="DK59" si="1669">DJ65</f>
        <v>16355722.581976676</v>
      </c>
      <c r="DL59" s="25">
        <f t="shared" ref="DL59" si="1670">DK65</f>
        <v>14042452.430317532</v>
      </c>
      <c r="DM59" s="25">
        <f t="shared" ref="DM59" si="1671">DL65</f>
        <v>11721471.378152858</v>
      </c>
      <c r="DN59" s="25">
        <f t="shared" ref="DN59" si="1672">DM65</f>
        <v>9392753.7224809695</v>
      </c>
      <c r="DO59" s="25">
        <f t="shared" ref="DO59" si="1673">DN65</f>
        <v>7056273.6746235071</v>
      </c>
      <c r="DP59" s="25">
        <f t="shared" ref="DP59" si="1674">DO65</f>
        <v>4712005.3599398527</v>
      </c>
      <c r="DQ59" s="25">
        <f t="shared" ref="DQ59" si="1675">DP65</f>
        <v>2359922.8175405865</v>
      </c>
      <c r="DR59" s="25"/>
      <c r="DS59" s="25"/>
    </row>
    <row r="60" spans="1:123" s="53" customFormat="1" x14ac:dyDescent="0.25">
      <c r="A60" s="22" t="s">
        <v>6</v>
      </c>
      <c r="B60" s="163"/>
      <c r="C60" s="163"/>
      <c r="D60" s="163"/>
      <c r="E60" s="163"/>
      <c r="F60" s="163"/>
      <c r="G60" s="163"/>
      <c r="H60" s="163"/>
      <c r="I60" s="163">
        <v>0</v>
      </c>
      <c r="J60" s="163">
        <v>0</v>
      </c>
      <c r="K60" s="163">
        <v>0</v>
      </c>
      <c r="L60" s="163">
        <v>0</v>
      </c>
      <c r="M60" s="163">
        <v>0</v>
      </c>
      <c r="N60" s="163">
        <v>0</v>
      </c>
      <c r="O60" s="163">
        <v>0</v>
      </c>
      <c r="P60" s="163">
        <v>0</v>
      </c>
      <c r="Q60" s="163">
        <f>Q59*(Q58-E15)*Q57/360</f>
        <v>877002.77777777798</v>
      </c>
      <c r="R60" s="163">
        <f t="shared" ref="R60" si="1676">R59*(R58-Q58)*R57/360</f>
        <v>1143916.6666666667</v>
      </c>
      <c r="S60" s="163">
        <f>S59*(MCML_Loan!$G$26-R58)*R57/360+S65*(S58-MCML_Loan!$G$26)*S57/360</f>
        <v>871555.55555555562</v>
      </c>
      <c r="T60" s="163">
        <f t="shared" ref="T60" si="1677">T59*(T58-S58)*T57/360</f>
        <v>675455.5555555555</v>
      </c>
      <c r="U60" s="163">
        <f t="shared" ref="U60" si="1678">U59*(U58-T58)*U57/360</f>
        <v>610088.88888888888</v>
      </c>
      <c r="V60" s="163">
        <f t="shared" ref="V60" si="1679">V59*(V58-U58)*V57/360</f>
        <v>675455.5555555555</v>
      </c>
      <c r="W60" s="163">
        <f t="shared" ref="W60" si="1680">W59*(W58-V58)*W57/360</f>
        <v>653666.66666666663</v>
      </c>
      <c r="X60" s="163">
        <f t="shared" ref="X60" si="1681">X59*(X58-W58)*X57/360</f>
        <v>675455.5555555555</v>
      </c>
      <c r="Y60" s="163">
        <f t="shared" ref="Y60" si="1682">Y59*(Y58-X58)*Y57/360</f>
        <v>653666.66666666663</v>
      </c>
      <c r="Z60" s="163">
        <f t="shared" ref="Z60" si="1683">Z59*(Z58-Y58)*Z57/360</f>
        <v>675455.5555555555</v>
      </c>
      <c r="AA60" s="163">
        <f t="shared" ref="AA60" si="1684">AA59*(AA58-Z58)*AA57/360</f>
        <v>675455.5555555555</v>
      </c>
      <c r="AB60" s="163">
        <f>AB59*(MCML_Loan!$J$26-AA58)*AA57/360+AB65*(AB58-MCML_Loan!$J$26)*AB57/360</f>
        <v>642772.22222222225</v>
      </c>
      <c r="AC60" s="163">
        <f t="shared" ref="AC60" si="1685">AC59*(AC58-AB58)*AC57/360</f>
        <v>654347.5694444445</v>
      </c>
      <c r="AD60" s="163">
        <f t="shared" ref="AD60" si="1686">AD59*(AD58-AC58)*AD57/360</f>
        <v>633239.58333333337</v>
      </c>
      <c r="AE60" s="163">
        <f>AE59*(MCML_Loan!$K$26-AD58)*AD57/360+AE65*(AE58-MCML_Loan!$K$26)*AE57/360</f>
        <v>642772.22222222225</v>
      </c>
      <c r="AF60" s="25">
        <f>+AF59*(MCML_Loan!L65-'Accrual_MCML '!AE58)*'Accrual_MCML '!AE57/360+'Accrual_MCML '!AF65*('Accrual_MCML '!AF58-MCML_Loan!L65)*'Accrual_MCML '!AF57/360</f>
        <v>629924.62729357206</v>
      </c>
      <c r="AG60" s="25">
        <f>+AG59*(MCML_Loan!M65-'Accrual_MCML '!AF58)*'Accrual_MCML '!AF57/360+'Accrual_MCML '!AG65*('Accrual_MCML '!AG58-MCML_Loan!M65)*'Accrual_MCML '!AG57/360</f>
        <v>583404.48576443526</v>
      </c>
      <c r="AH60" s="25">
        <f>+AH59*(MCML_Loan!N65-'Accrual_MCML '!AG58)*'Accrual_MCML '!AG57/360+'Accrual_MCML '!AH65*('Accrual_MCML '!AH58-MCML_Loan!N65)*'Accrual_MCML '!AH57/360</f>
        <v>617792.50134658162</v>
      </c>
      <c r="AI60" s="25">
        <f>+AI59*(MCML_Loan!O65-'Accrual_MCML '!AH58)*'Accrual_MCML '!AH57/360+'Accrual_MCML '!AI65*('Accrual_MCML '!AI58-MCML_Loan!O65)*'Accrual_MCML '!AI57/360</f>
        <v>592052.90618121787</v>
      </c>
      <c r="AJ60" s="25">
        <f>+AJ59*(MCML_Loan!P65-'Accrual_MCML '!AI58)*'Accrual_MCML '!AI57/360+'Accrual_MCML '!AJ65*('Accrual_MCML '!AJ58-MCML_Loan!P65)*'Accrual_MCML '!AJ57/360</f>
        <v>605381.74935017992</v>
      </c>
      <c r="AK60" s="25">
        <f>+AK59*(MCML_Loan!Q65-'Accrual_MCML '!AJ58)*'Accrual_MCML '!AJ57/360+'Accrual_MCML '!AK65*('Accrual_MCML '!AK58-MCML_Loan!Q65)*'Accrual_MCML '!AK57/360</f>
        <v>580194.93363931263</v>
      </c>
      <c r="AL60" s="25">
        <f>+AL59*(MCML_Loan!R65-'Accrual_MCML '!AK58)*'Accrual_MCML '!AK57/360+'Accrual_MCML '!AL65*('Accrual_MCML '!AL58-MCML_Loan!R65)*'Accrual_MCML '!AL57/360</f>
        <v>593284.66152501502</v>
      </c>
      <c r="AM60" s="25">
        <f>+AM59*(MCML_Loan!S65-'Accrual_MCML '!AL58)*'Accrual_MCML '!AL57/360+'Accrual_MCML '!AM65*('Accrual_MCML '!AM58-MCML_Loan!S65)*'Accrual_MCML '!AM57/360</f>
        <v>586707.37240154645</v>
      </c>
      <c r="AN60" s="25">
        <f>+AN59*(MCML_Loan!T65-'Accrual_MCML '!AM58)*'Accrual_MCML '!AM57/360+'Accrual_MCML '!AN65*('Accrual_MCML '!AN58-MCML_Loan!T65)*'Accrual_MCML '!AN57/360</f>
        <v>562259.33802274265</v>
      </c>
      <c r="AO60" s="25">
        <f>+AO59*(MCML_Loan!U65-'Accrual_MCML '!AN58)*'Accrual_MCML '!AN57/360+'Accrual_MCML '!AO65*('Accrual_MCML '!AO58-MCML_Loan!U65)*'Accrual_MCML '!AO57/360</f>
        <v>574688.50312061014</v>
      </c>
      <c r="AP60" s="25">
        <f>+AP59*(MCML_Loan!V65-'Accrual_MCML '!AO58)*'Accrual_MCML '!AO57/360+'Accrual_MCML '!AP65*('Accrual_MCML '!AP58-MCML_Loan!V65)*'Accrual_MCML '!AP57/360</f>
        <v>550202.41065346822</v>
      </c>
      <c r="AQ60" s="25">
        <f>+AQ59*(MCML_Loan!W65-'Accrual_MCML '!AP58)*'Accrual_MCML '!AP57/360+'Accrual_MCML '!AQ65*('Accrual_MCML '!AQ58-MCML_Loan!W65)*'Accrual_MCML '!AQ57/360</f>
        <v>562187.52261108696</v>
      </c>
      <c r="AR60" s="25">
        <f>+AR59*(MCML_Loan!X65-'Accrual_MCML '!AQ58)*'Accrual_MCML '!AQ57/360+'Accrual_MCML '!AR65*('Accrual_MCML '!AR58-MCML_Loan!X65)*'Accrual_MCML '!AR57/360</f>
        <v>555905.76257146779</v>
      </c>
      <c r="AS60" s="25">
        <f>+AS59*(MCML_Loan!Y65-'Accrual_MCML '!AR58)*'Accrual_MCML '!AR57/360+'Accrual_MCML '!AS65*('Accrual_MCML '!AS58-MCML_Loan!Y65)*'Accrual_MCML '!AS57/360</f>
        <v>496691.54017288506</v>
      </c>
      <c r="AT60" s="25">
        <f>+AT59*(MCML_Loan!Z65-'Accrual_MCML '!AS58)*'Accrual_MCML '!AS57/360+'Accrual_MCML '!AT65*('Accrual_MCML '!AT58-MCML_Loan!Z65)*'Accrual_MCML '!AT57/360</f>
        <v>543279.35509449977</v>
      </c>
      <c r="AU60" s="25">
        <f>+AU59*(MCML_Loan!AA65-'Accrual_MCML '!AT58)*'Accrual_MCML '!AT57/360+'Accrual_MCML '!AU65*('Accrual_MCML '!AU58-MCML_Loan!AA65)*'Accrual_MCML '!AU57/360</f>
        <v>519706.66865510435</v>
      </c>
      <c r="AV60" s="25">
        <f>+AV59*(MCML_Loan!AB65-'Accrual_MCML '!AU58)*'Accrual_MCML '!AU57/360+'Accrual_MCML '!AV65*('Accrual_MCML '!AV58-MCML_Loan!AB65)*'Accrual_MCML '!AV57/360</f>
        <v>530568.63127426873</v>
      </c>
      <c r="AW60" s="25">
        <f>+AW59*(MCML_Loan!AC65-'Accrual_MCML '!AV58)*'Accrual_MCML '!AV57/360+'Accrual_MCML '!AW65*('Accrual_MCML '!AW58-MCML_Loan!AC65)*'Accrual_MCML '!AW57/360</f>
        <v>507365.58401594148</v>
      </c>
      <c r="AX60" s="25">
        <f>+AX59*(MCML_Loan!AD65-'Accrual_MCML '!AW58)*'Accrual_MCML '!AW57/360+'Accrual_MCML '!AX65*('Accrual_MCML '!AX58-MCML_Loan!AD65)*'Accrual_MCML '!AX57/360</f>
        <v>517773.02806497144</v>
      </c>
      <c r="AY60" s="25">
        <f>+AY59*(MCML_Loan!AE65-'Accrual_MCML '!AX58)*'Accrual_MCML '!AX57/360+'Accrual_MCML '!AY65*('Accrual_MCML '!AY58-MCML_Loan!AE65)*'Accrual_MCML '!AY57/360</f>
        <v>511343.2197101987</v>
      </c>
      <c r="AZ60" s="25">
        <f>+AZ59*(MCML_Loan!AF65-'Accrual_MCML '!AY58)*'Accrual_MCML '!AY57/360+'Accrual_MCML '!AZ65*('Accrual_MCML '!AZ58-MCML_Loan!AF65)*'Accrual_MCML '!AZ57/360</f>
        <v>488699.26456076698</v>
      </c>
      <c r="BA60" s="25">
        <f>+BA59*(MCML_Loan!AG65-'Accrual_MCML '!AZ58)*'Accrual_MCML '!AZ57/360+'Accrual_MCML '!BA65*('Accrual_MCML '!BA58-MCML_Loan!AG65)*'Accrual_MCML '!BA57/360</f>
        <v>498419.23347479024</v>
      </c>
      <c r="BB60" s="25">
        <f>+BB59*(MCML_Loan!AH65-'Accrual_MCML '!BA58)*'Accrual_MCML '!BA57/360+'Accrual_MCML '!BB65*('Accrual_MCML '!BB58-MCML_Loan!AH65)*'Accrual_MCML '!BB57/360</f>
        <v>476151.11936759646</v>
      </c>
      <c r="BC60" s="25">
        <f>+BC59*(MCML_Loan!AI65-'Accrual_MCML '!BB58)*'Accrual_MCML '!BB57/360+'Accrual_MCML '!BC65*('Accrual_MCML '!BC58-MCML_Loan!AI65)*'Accrual_MCML '!BC57/360</f>
        <v>485408.94373129879</v>
      </c>
      <c r="BD60" s="25">
        <f>+BD59*(MCML_Loan!AJ65-'Accrual_MCML '!BC58)*'Accrual_MCML '!BC57/360+'Accrual_MCML '!BD65*('Accrual_MCML '!BD58-MCML_Loan!AJ65)*'Accrual_MCML '!BD57/360</f>
        <v>478871.25509541377</v>
      </c>
      <c r="BE60" s="25">
        <f>+BE59*(MCML_Loan!AK65-'Accrual_MCML '!BD58)*'Accrual_MCML '!BD57/360+'Accrual_MCML '!BE65*('Accrual_MCML '!BE58-MCML_Loan!AK65)*'Accrual_MCML '!BE57/360</f>
        <v>426891.2925549252</v>
      </c>
      <c r="BF60" s="25">
        <f>+BF59*(MCML_Loan!AL65-'Accrual_MCML '!BE58)*'Accrual_MCML '!BE57/360+'Accrual_MCML '!BF65*('Accrual_MCML '!BF58-MCML_Loan!AL65)*'Accrual_MCML '!BF57/360</f>
        <v>465730.42829629994</v>
      </c>
      <c r="BG60" s="25">
        <f>+BG59*(MCML_Loan!AM65-'Accrual_MCML '!BF58)*'Accrual_MCML '!BF57/360+'Accrual_MCML '!BG65*('Accrual_MCML '!BG58-MCML_Loan!AM65)*'Accrual_MCML '!BG57/360</f>
        <v>444412.93378773518</v>
      </c>
      <c r="BH60" s="25">
        <f>+BH59*(MCML_Loan!AN65-'Accrual_MCML '!BG58)*'Accrual_MCML '!BG57/360+'Accrual_MCML '!BH65*('Accrual_MCML '!BH58-MCML_Loan!AN65)*'Accrual_MCML '!BH57/360</f>
        <v>452501.84997600538</v>
      </c>
      <c r="BI60" s="25">
        <f>+BI59*(MCML_Loan!AO65-'Accrual_MCML '!BH58)*'Accrual_MCML '!BH57/360+'Accrual_MCML '!BI65*('Accrual_MCML '!BI58-MCML_Loan!AO65)*'Accrual_MCML '!BI57/360</f>
        <v>431569.05431906914</v>
      </c>
      <c r="BJ60" s="25">
        <f>+BJ59*(MCML_Loan!AP65-'Accrual_MCML '!BI58)*'Accrual_MCML '!BI57/360+'Accrual_MCML '!BJ65*('Accrual_MCML '!BJ58-MCML_Loan!AP65)*'Accrual_MCML '!BJ57/360</f>
        <v>439184.93414937193</v>
      </c>
      <c r="BK60" s="25">
        <f>+BK59*(MCML_Loan!AQ65-'Accrual_MCML '!BJ58)*'Accrual_MCML '!BJ57/360+'Accrual_MCML '!BK65*('Accrual_MCML '!BK58-MCML_Loan!AQ65)*'Accrual_MCML '!BK57/360</f>
        <v>432493.16548154718</v>
      </c>
      <c r="BL60" s="25">
        <f>+BL59*(MCML_Loan!AR65-'Accrual_MCML '!BK58)*'Accrual_MCML '!BK57/360+'Accrual_MCML '!BL65*('Accrual_MCML '!BL58-MCML_Loan!AR65)*'Accrual_MCML '!BL57/360</f>
        <v>412142.24020865717</v>
      </c>
      <c r="BM60" s="25">
        <f>+BM59*(MCML_Loan!AS65-'Accrual_MCML '!BL58)*'Accrual_MCML '!BL57/360+'Accrual_MCML '!BM65*('Accrual_MCML '!BM58-MCML_Loan!AS65)*'Accrual_MCML '!BM57/360</f>
        <v>419042.6361062341</v>
      </c>
      <c r="BN60" s="25">
        <f>+BN59*(MCML_Loan!AT65-'Accrual_MCML '!BM58)*'Accrual_MCML '!BM57/360+'Accrual_MCML '!BN65*('Accrual_MCML '!BN58-MCML_Loan!AT65)*'Accrual_MCML '!BN57/360</f>
        <v>399082.86421953526</v>
      </c>
      <c r="BO60" s="25">
        <f>+BO59*(MCML_Loan!AU65-'Accrual_MCML '!BN58)*'Accrual_MCML '!BN57/360+'Accrual_MCML '!BO65*('Accrual_MCML '!BO58-MCML_Loan!AU65)*'Accrual_MCML '!BO57/360</f>
        <v>405502.28708475921</v>
      </c>
      <c r="BP60" s="25">
        <f>+BP59*(MCML_Loan!AV65-'Accrual_MCML '!BO58)*'Accrual_MCML '!BO57/360+'Accrual_MCML '!BP65*('Accrual_MCML '!BP58-MCML_Loan!AV65)*'Accrual_MCML '!BP57/360</f>
        <v>398698.24292671902</v>
      </c>
      <c r="BQ60" s="25">
        <f>+BQ59*(MCML_Loan!AW65-'Accrual_MCML '!BP58)*'Accrual_MCML '!BP57/360+'Accrual_MCML '!BQ65*('Accrual_MCML '!BQ58-MCML_Loan!AW65)*'Accrual_MCML '!BQ57/360</f>
        <v>354247.27515282633</v>
      </c>
      <c r="BR60" s="25">
        <f>+BR59*(MCML_Loan!AX65-'Accrual_MCML '!BQ58)*'Accrual_MCML '!BQ57/360+'Accrual_MCML '!BR65*('Accrual_MCML '!BR58-MCML_Loan!AX65)*'Accrual_MCML '!BR57/360</f>
        <v>385022.0385685676</v>
      </c>
      <c r="BS60" s="25">
        <f>+BS59*(MCML_Loan!AY65-'Accrual_MCML '!BR58)*'Accrual_MCML '!BR57/360+'Accrual_MCML '!BS65*('Accrual_MCML '!BS58-MCML_Loan!AY65)*'Accrual_MCML '!BS57/360</f>
        <v>366051.61598967598</v>
      </c>
      <c r="BT60" s="25">
        <f>+BT59*(MCML_Loan!AZ65-'Accrual_MCML '!BS58)*'Accrual_MCML '!BS57/360+'Accrual_MCML '!BT65*('Accrual_MCML '!BT58-MCML_Loan!AZ65)*'Accrual_MCML '!BT57/360</f>
        <v>371254.50755686901</v>
      </c>
      <c r="BU60" s="25">
        <f>+BU59*(MCML_Loan!BA65-'Accrual_MCML '!BT58)*'Accrual_MCML '!BT57/360+'Accrual_MCML '!BU65*('Accrual_MCML '!BU58-MCML_Loan!BA65)*'Accrual_MCML '!BU57/360</f>
        <v>352684.45705438068</v>
      </c>
      <c r="BV60" s="25">
        <f>+BV59*(MCML_Loan!BB65-'Accrual_MCML '!BU58)*'Accrual_MCML '!BU57/360+'Accrual_MCML '!BV65*('Accrual_MCML '!BV58-MCML_Loan!BB65)*'Accrual_MCML '!BV57/360</f>
        <v>357395.04003252555</v>
      </c>
      <c r="BW60" s="25">
        <f>+BW59*(MCML_Loan!BC65-'Accrual_MCML '!BV58)*'Accrual_MCML '!BV57/360+'Accrual_MCML '!BW65*('Accrual_MCML '!BW58-MCML_Loan!BC65)*'Accrual_MCML '!BW57/360</f>
        <v>350430.63838431129</v>
      </c>
      <c r="BX60" s="25">
        <f>+BX59*(MCML_Loan!BD65-'Accrual_MCML '!BW58)*'Accrual_MCML '!BW57/360+'Accrual_MCML '!BX65*('Accrual_MCML '!BX58-MCML_Loan!BD65)*'Accrual_MCML '!BX57/360</f>
        <v>332466.1645630945</v>
      </c>
      <c r="BY60" s="25">
        <f>+BY59*(MCML_Loan!BE65-'Accrual_MCML '!BX58)*'Accrual_MCML '!BX57/360+'Accrual_MCML '!BY65*('Accrual_MCML '!BY58-MCML_Loan!BE65)*'Accrual_MCML '!BY57/360</f>
        <v>336432.11368916003</v>
      </c>
      <c r="BZ60" s="25">
        <f>+BZ59*(MCML_Loan!BF65-'Accrual_MCML '!BY58)*'Accrual_MCML '!BY57/360+'Accrual_MCML '!BZ65*('Accrual_MCML '!BZ58-MCML_Loan!BF65)*'Accrual_MCML '!BZ57/360</f>
        <v>318874.72944660619</v>
      </c>
      <c r="CA60" s="25">
        <f>+CA59*(MCML_Loan!BG65-'Accrual_MCML '!BZ58)*'Accrual_MCML '!BZ57/360+'Accrual_MCML '!CA65*('Accrual_MCML '!CA58-MCML_Loan!BG65)*'Accrual_MCML '!CA57/360</f>
        <v>322340.10995687789</v>
      </c>
      <c r="CB60" s="25">
        <f>+CB59*(MCML_Loan!BH65-'Accrual_MCML '!CA58)*'Accrual_MCML '!CA57/360+'Accrual_MCML '!CB65*('Accrual_MCML '!CB58-MCML_Loan!BH65)*'Accrual_MCML '!CB57/360</f>
        <v>315258.85854174476</v>
      </c>
      <c r="CC60" s="25">
        <f>+CC59*(MCML_Loan!BI65-'Accrual_MCML '!CB58)*'Accrual_MCML '!CB57/360+'Accrual_MCML '!CC65*('Accrual_MCML '!CC58-MCML_Loan!BI65)*'Accrual_MCML '!CC57/360</f>
        <v>288480.41991699196</v>
      </c>
      <c r="CD60" s="25">
        <f>+CD59*(MCML_Loan!BJ65-'Accrual_MCML '!CC58)*'Accrual_MCML '!CC57/360+'Accrual_MCML '!CD65*('Accrual_MCML '!CD58-MCML_Loan!BJ65)*'Accrual_MCML '!CD57/360</f>
        <v>301025.46451675589</v>
      </c>
      <c r="CE60" s="25">
        <f>+CE59*(MCML_Loan!BK65-'Accrual_MCML '!CD58)*'Accrual_MCML '!CD57/360+'Accrual_MCML '!CE65*('Accrual_MCML '!CE58-MCML_Loan!BK65)*'Accrual_MCML '!CE57/360</f>
        <v>284497.73719929584</v>
      </c>
      <c r="CF60" s="25">
        <f>+CF59*(MCML_Loan!BL65-'Accrual_MCML '!CE58)*'Accrual_MCML '!CE57/360+'Accrual_MCML '!CF65*('Accrual_MCML '!CF58-MCML_Loan!BL65)*'Accrual_MCML '!CF57/360</f>
        <v>286697.02304944466</v>
      </c>
      <c r="CG60" s="25">
        <f>+CG59*(MCML_Loan!BM65-'Accrual_MCML '!CF58)*'Accrual_MCML '!CF57/360+'Accrual_MCML '!CG65*('Accrual_MCML '!CG58-MCML_Loan!BM65)*'Accrual_MCML '!CG57/360</f>
        <v>270585.97958452255</v>
      </c>
      <c r="CH60" s="25">
        <f>+CH59*(MCML_Loan!BN65-'Accrual_MCML '!CG58)*'Accrual_MCML '!CG57/360+'Accrual_MCML '!CH65*('Accrual_MCML '!CH58-MCML_Loan!BN65)*'Accrual_MCML '!CH57/360</f>
        <v>272272.89943411283</v>
      </c>
      <c r="CI60" s="25">
        <f>+CI59*(MCML_Loan!BO65-'Accrual_MCML '!CH58)*'Accrual_MCML '!CH57/360+'Accrual_MCML '!CI65*('Accrual_MCML '!CI58-MCML_Loan!BO65)*'Accrual_MCML '!CI57/360</f>
        <v>265024.75731723721</v>
      </c>
      <c r="CJ60" s="25">
        <f>+CJ59*(MCML_Loan!BP65-'Accrual_MCML '!CI58)*'Accrual_MCML '!CI57/360+'Accrual_MCML '!CJ65*('Accrual_MCML '!CJ58-MCML_Loan!BP65)*'Accrual_MCML '!CJ57/360</f>
        <v>249543.96266193793</v>
      </c>
      <c r="CK60" s="25">
        <f>+CK59*(MCML_Loan!BQ65-'Accrual_MCML '!CJ58)*'Accrual_MCML '!CJ57/360+'Accrual_MCML '!CK65*('Accrual_MCML '!CK58-MCML_Loan!BQ65)*'Accrual_MCML '!CK57/360</f>
        <v>250455.91112740469</v>
      </c>
      <c r="CL60" s="25">
        <f>+CL59*(MCML_Loan!BR65-'Accrual_MCML '!CK58)*'Accrual_MCML '!CK57/360+'Accrual_MCML '!CL65*('Accrual_MCML '!CL58-MCML_Loan!BR65)*'Accrual_MCML '!CL57/360</f>
        <v>235398.7915083096</v>
      </c>
      <c r="CM60" s="25">
        <f>+CM59*(MCML_Loan!BS65-'Accrual_MCML '!CL58)*'Accrual_MCML '!CL57/360+'Accrual_MCML '!CM65*('Accrual_MCML '!CM58-MCML_Loan!BS65)*'Accrual_MCML '!CM57/360</f>
        <v>235789.77742023786</v>
      </c>
      <c r="CN60" s="25">
        <f>+CN59*(MCML_Loan!BT65-'Accrual_MCML '!CM58)*'Accrual_MCML '!CM57/360+'Accrual_MCML '!CN65*('Accrual_MCML '!CN58-MCML_Loan!BT65)*'Accrual_MCML '!CN57/360</f>
        <v>228420.02489664929</v>
      </c>
      <c r="CO60" s="25">
        <f>+CO59*(MCML_Loan!BU65-'Accrual_MCML '!CN58)*'Accrual_MCML '!CN57/360+'Accrual_MCML '!CO65*('Accrual_MCML '!CO58-MCML_Loan!BU65)*'Accrual_MCML '!CO57/360</f>
        <v>199959.7724237623</v>
      </c>
      <c r="CP60" s="25">
        <f>+CP59*(MCML_Loan!BV65-'Accrual_MCML '!CO58)*'Accrual_MCML '!CO57/360+'Accrual_MCML '!CP65*('Accrual_MCML '!CP58-MCML_Loan!BV65)*'Accrual_MCML '!CP57/360</f>
        <v>213606.7404380971</v>
      </c>
      <c r="CQ60" s="25">
        <f>+CQ59*(MCML_Loan!BW65-'Accrual_MCML '!CP58)*'Accrual_MCML '!CP57/360+'Accrual_MCML '!CQ65*('Accrual_MCML '!CQ58-MCML_Loan!BW65)*'Accrual_MCML '!CQ57/360</f>
        <v>199621.22755590218</v>
      </c>
      <c r="CR60" s="25">
        <f>+CR59*(MCML_Loan!BX65-'Accrual_MCML '!CQ58)*'Accrual_MCML '!CQ57/360+'Accrual_MCML '!CR65*('Accrual_MCML '!CR58-MCML_Loan!BX65)*'Accrual_MCML '!CR57/360</f>
        <v>198694.53615777168</v>
      </c>
      <c r="CS60" s="25">
        <f>+CS59*(MCML_Loan!BY65-'Accrual_MCML '!CR58)*'Accrual_MCML '!CR57/360+'Accrual_MCML '!CS65*('Accrual_MCML '!CS58-MCML_Loan!BY65)*'Accrual_MCML '!CS57/360</f>
        <v>185142.68347117689</v>
      </c>
      <c r="CT60" s="25">
        <f>+CT59*(MCML_Loan!BZ65-'Accrual_MCML '!CS58)*'Accrual_MCML '!CS57/360+'Accrual_MCML '!CT65*('Accrual_MCML '!CT58-MCML_Loan!BZ65)*'Accrual_MCML '!CT57/360</f>
        <v>183682.75149108539</v>
      </c>
      <c r="CU60" s="25">
        <f>+CU59*(MCML_Loan!CA65-'Accrual_MCML '!CT58)*'Accrual_MCML '!CT57/360+'Accrual_MCML '!CU65*('Accrual_MCML '!CU58-MCML_Loan!CA65)*'Accrual_MCML '!CU57/360</f>
        <v>176139.30888106633</v>
      </c>
      <c r="CV60" s="25">
        <f>+CV59*(MCML_Loan!CB65-'Accrual_MCML '!CU58)*'Accrual_MCML '!CU57/360+'Accrual_MCML '!CV65*('Accrual_MCML '!CV58-MCML_Loan!CB65)*'Accrual_MCML '!CV57/360</f>
        <v>163243.38231302175</v>
      </c>
      <c r="CW60" s="25">
        <f>+CW59*(MCML_Loan!CC65-'Accrual_MCML '!CV58)*'Accrual_MCML '!CV57/360+'Accrual_MCML '!CW65*('Accrual_MCML '!CW58-MCML_Loan!CC65)*'Accrual_MCML '!CW57/360</f>
        <v>160976.90541889894</v>
      </c>
      <c r="CX60" s="25">
        <f>+CX59*(MCML_Loan!CD65-'Accrual_MCML '!CW58)*'Accrual_MCML '!CW57/360+'Accrual_MCML '!CX65*('Accrual_MCML '!CX58-MCML_Loan!CD65)*'Accrual_MCML '!CX57/360</f>
        <v>148521.91506173013</v>
      </c>
      <c r="CY60" s="25">
        <f>+CY59*(MCML_Loan!CE65-'Accrual_MCML '!CX58)*'Accrual_MCML '!CX57/360+'Accrual_MCML '!CY65*('Accrual_MCML '!CY58-MCML_Loan!CE65)*'Accrual_MCML '!CY57/360</f>
        <v>145713.2507958342</v>
      </c>
      <c r="CZ60" s="25">
        <f>+CZ59*(MCML_Loan!CF65-'Accrual_MCML '!CY58)*'Accrual_MCML '!CY57/360+'Accrual_MCML '!CZ65*('Accrual_MCML '!CZ58-MCML_Loan!CF65)*'Accrual_MCML '!CZ57/360</f>
        <v>138043.24318349763</v>
      </c>
      <c r="DA60" s="25">
        <f>+DA59*(MCML_Loan!CG65-'Accrual_MCML '!CZ58)*'Accrual_MCML '!CZ57/360+'Accrual_MCML '!DA65*('Accrual_MCML '!DA58-MCML_Loan!CG65)*'Accrual_MCML '!DA57/360</f>
        <v>118070.21475438663</v>
      </c>
      <c r="DB60" s="25">
        <f>+DB59*(MCML_Loan!CH65-'Accrual_MCML '!DA58)*'Accrual_MCML '!DA57/360+'Accrual_MCML '!DB65*('Accrual_MCML '!DB58-MCML_Loan!CH65)*'Accrual_MCML '!DB57/360</f>
        <v>122626.44266039427</v>
      </c>
      <c r="DC60" s="25">
        <f>+DC59*(MCML_Loan!CI65-'Accrual_MCML '!DB58)*'Accrual_MCML '!DB57/360+'Accrual_MCML '!DC65*('Accrual_MCML '!DC58-MCML_Loan!CI65)*'Accrual_MCML '!DC57/360</f>
        <v>111286.71795199018</v>
      </c>
      <c r="DD60" s="25">
        <f>+DD59*(MCML_Loan!CJ65-'Accrual_MCML '!DC58)*'Accrual_MCML '!DC57/360+'Accrual_MCML '!DD65*('Accrual_MCML '!DD58-MCML_Loan!CJ65)*'Accrual_MCML '!DD57/360</f>
        <v>107106.69216935329</v>
      </c>
      <c r="DE60" s="25">
        <f>+DE59*(MCML_Loan!CK65-'Accrual_MCML '!DD58)*'Accrual_MCML '!DD57/360+'Accrual_MCML '!DE65*('Accrual_MCML '!DE58-MCML_Loan!CK65)*'Accrual_MCML '!DE57/360</f>
        <v>96218.295642021025</v>
      </c>
      <c r="DF60" s="25">
        <f>+DF59*(MCML_Loan!CL65-'Accrual_MCML '!DE58)*'Accrual_MCML '!DE57/360+'Accrual_MCML '!DF65*('Accrual_MCML '!DF58-MCML_Loan!CL65)*'Accrual_MCML '!DF57/360</f>
        <v>91483.304233366594</v>
      </c>
      <c r="DG60" s="25">
        <f>+DG59*(MCML_Loan!CM65-'Accrual_MCML '!DF58)*'Accrual_MCML '!DF57/360+'Accrual_MCML '!DG65*('Accrual_MCML '!DG58-MCML_Loan!CM65)*'Accrual_MCML '!DG57/360</f>
        <v>83632.530132488435</v>
      </c>
      <c r="DH60" s="25">
        <f>+DH59*(MCML_Loan!CN65-'Accrual_MCML '!DG58)*'Accrual_MCML '!DG57/360+'Accrual_MCML '!DH65*('Accrual_MCML '!DH58-MCML_Loan!CN65)*'Accrual_MCML '!DH57/360</f>
        <v>73426.783165817498</v>
      </c>
      <c r="DI60" s="25">
        <f>+DI59*(MCML_Loan!CO65-'Accrual_MCML '!DH58)*'Accrual_MCML '!DH57/360+'Accrual_MCML '!DI65*('Accrual_MCML '!DI58-MCML_Loan!CO65)*'Accrual_MCML '!DI57/360</f>
        <v>67852.38695890001</v>
      </c>
      <c r="DJ60" s="25">
        <f>+DJ59*(MCML_Loan!CP65-'Accrual_MCML '!DI58)*'Accrual_MCML '!DI57/360+'Accrual_MCML '!DJ65*('Accrual_MCML '!DJ58-MCML_Loan!CP65)*'Accrual_MCML '!DJ57/360</f>
        <v>58105.540624665111</v>
      </c>
      <c r="DK60" s="25">
        <f>+DK59*(MCML_Loan!CQ65-'Accrual_MCML '!DJ58)*'Accrual_MCML '!DJ57/360+'Accrual_MCML '!DK65*('Accrual_MCML '!DK58-MCML_Loan!CQ65)*'Accrual_MCML '!DK57/360</f>
        <v>51966.867495896833</v>
      </c>
      <c r="DL60" s="25">
        <f>+DL59*(MCML_Loan!CR65-'Accrual_MCML '!DK58)*'Accrual_MCML '!DK57/360+'Accrual_MCML '!DL65*('Accrual_MCML '!DL58-MCML_Loan!CR65)*'Accrual_MCML '!DL57/360</f>
        <v>43984.371939227116</v>
      </c>
      <c r="DM60" s="25">
        <f>+DM59*(MCML_Loan!CS65-'Accrual_MCML '!DL58)*'Accrual_MCML '!DL57/360+'Accrual_MCML '!DM65*('Accrual_MCML '!DM58-MCML_Loan!CS65)*'Accrual_MCML '!DM57/360</f>
        <v>32844.350156541506</v>
      </c>
      <c r="DN60" s="25">
        <f>+DN59*(MCML_Loan!CT65-'Accrual_MCML '!DM58)*'Accrual_MCML '!DM57/360+'Accrual_MCML '!DN65*('Accrual_MCML '!DN58-MCML_Loan!CT65)*'Accrual_MCML '!DN57/360</f>
        <v>27939.467175925911</v>
      </c>
      <c r="DO60" s="25">
        <f>+DO59*(MCML_Loan!CU65-'Accrual_MCML '!DN58)*'Accrual_MCML '!DN57/360+'Accrual_MCML '!DO65*('Accrual_MCML '!DO58-MCML_Loan!CU65)*'Accrual_MCML '!DO57/360</f>
        <v>19353.324133751863</v>
      </c>
      <c r="DP60" s="25">
        <f>+DP59*(MCML_Loan!CV65-'Accrual_MCML '!DO58)*'Accrual_MCML '!DO57/360+'Accrual_MCML '!DP65*('Accrual_MCML '!DP58-MCML_Loan!CV65)*'Accrual_MCML '!DP57/360</f>
        <v>11787.418104149769</v>
      </c>
      <c r="DQ60" s="25">
        <f>+DQ59*(MCML_Loan!CW65-'Accrual_MCML '!DP58)*'Accrual_MCML '!DP57/360+'Accrual_MCML '!DQ65*('Accrual_MCML '!DQ58-MCML_Loan!CW65)*'Accrual_MCML '!DQ57/360</f>
        <v>3670.991049507561</v>
      </c>
      <c r="DR60" s="25"/>
      <c r="DS60" s="25"/>
    </row>
    <row r="61" spans="1:123" s="54" customFormat="1" x14ac:dyDescent="0.25">
      <c r="A61" s="46" t="s">
        <v>12</v>
      </c>
      <c r="B61" s="164"/>
      <c r="C61" s="164"/>
      <c r="D61" s="164"/>
      <c r="E61" s="164"/>
      <c r="F61" s="164"/>
      <c r="G61" s="164"/>
      <c r="H61" s="164"/>
      <c r="I61" s="164">
        <f>H61+I60</f>
        <v>0</v>
      </c>
      <c r="J61" s="164">
        <f t="shared" ref="J61" si="1687">I61+J60</f>
        <v>0</v>
      </c>
      <c r="K61" s="164">
        <f t="shared" ref="K61" si="1688">J61+K60</f>
        <v>0</v>
      </c>
      <c r="L61" s="164">
        <f t="shared" ref="L61" si="1689">K61+L60</f>
        <v>0</v>
      </c>
      <c r="M61" s="164">
        <f t="shared" ref="M61" si="1690">L61+M60</f>
        <v>0</v>
      </c>
      <c r="N61" s="164">
        <f t="shared" ref="N61" si="1691">M61+N60</f>
        <v>0</v>
      </c>
      <c r="O61" s="164">
        <f t="shared" ref="O61" si="1692">N61+O60</f>
        <v>0</v>
      </c>
      <c r="P61" s="164">
        <f t="shared" ref="P61" si="1693">O61+P60</f>
        <v>0</v>
      </c>
      <c r="Q61" s="164">
        <f t="shared" ref="Q61" si="1694">P61+Q60</f>
        <v>877002.77777777798</v>
      </c>
      <c r="R61" s="164">
        <f t="shared" ref="R61" si="1695">Q61+R60</f>
        <v>2020919.4444444447</v>
      </c>
      <c r="S61" s="164">
        <f t="shared" ref="S61" si="1696">R61+S60</f>
        <v>2892475.0000000005</v>
      </c>
      <c r="T61" s="164">
        <f t="shared" ref="T61" si="1697">S61+T60</f>
        <v>3567930.555555556</v>
      </c>
      <c r="U61" s="164">
        <f t="shared" ref="U61" si="1698">T61+U60</f>
        <v>4178019.444444445</v>
      </c>
      <c r="V61" s="164">
        <f t="shared" ref="V61" si="1699">U61+V60</f>
        <v>4853475</v>
      </c>
      <c r="W61" s="164">
        <f t="shared" ref="W61" si="1700">V61+W60</f>
        <v>5507141.666666667</v>
      </c>
      <c r="X61" s="164">
        <f t="shared" ref="X61" si="1701">W61+X60</f>
        <v>6182597.222222222</v>
      </c>
      <c r="Y61" s="164">
        <f t="shared" ref="Y61" si="1702">X61+Y60</f>
        <v>6836263.888888889</v>
      </c>
      <c r="Z61" s="164">
        <f t="shared" ref="Z61" si="1703">Y61+Z60</f>
        <v>7511719.444444444</v>
      </c>
      <c r="AA61" s="164">
        <f t="shared" ref="AA61" si="1704">Z61+AA60</f>
        <v>8187175</v>
      </c>
      <c r="AB61" s="164">
        <f t="shared" ref="AB61" si="1705">AA61+AB60</f>
        <v>8829947.222222222</v>
      </c>
      <c r="AC61" s="164">
        <f t="shared" ref="AC61" si="1706">AB61+AC60</f>
        <v>9484294.791666666</v>
      </c>
      <c r="AD61" s="164">
        <f t="shared" ref="AD61" si="1707">AC61+AD60</f>
        <v>10117534.375</v>
      </c>
      <c r="AE61" s="164">
        <f t="shared" ref="AE61" si="1708">AD61+AE60</f>
        <v>10760306.597222222</v>
      </c>
      <c r="AF61" s="47">
        <f t="shared" ref="AF61" si="1709">AE61+AF60</f>
        <v>11390231.224515794</v>
      </c>
      <c r="AG61" s="47">
        <f t="shared" ref="AG61" si="1710">AF61+AG60</f>
        <v>11973635.710280228</v>
      </c>
      <c r="AH61" s="47">
        <f t="shared" ref="AH61" si="1711">AG61+AH60</f>
        <v>12591428.211626809</v>
      </c>
      <c r="AI61" s="47">
        <f t="shared" ref="AI61" si="1712">AH61+AI60</f>
        <v>13183481.117808027</v>
      </c>
      <c r="AJ61" s="47">
        <f t="shared" ref="AJ61" si="1713">AI61+AJ60</f>
        <v>13788862.867158208</v>
      </c>
      <c r="AK61" s="47">
        <f t="shared" ref="AK61" si="1714">AJ61+AK60</f>
        <v>14369057.80079752</v>
      </c>
      <c r="AL61" s="47">
        <f t="shared" ref="AL61" si="1715">AK61+AL60</f>
        <v>14962342.462322535</v>
      </c>
      <c r="AM61" s="47">
        <f t="shared" ref="AM61" si="1716">AL61+AM60</f>
        <v>15549049.834724082</v>
      </c>
      <c r="AN61" s="47">
        <f t="shared" ref="AN61" si="1717">AM61+AN60</f>
        <v>16111309.172746824</v>
      </c>
      <c r="AO61" s="47">
        <f t="shared" ref="AO61" si="1718">AN61+AO60</f>
        <v>16685997.675867435</v>
      </c>
      <c r="AP61" s="47">
        <f t="shared" ref="AP61" si="1719">AO61+AP60</f>
        <v>17236200.086520903</v>
      </c>
      <c r="AQ61" s="47">
        <f t="shared" ref="AQ61" si="1720">AP61+AQ60</f>
        <v>17798387.609131988</v>
      </c>
      <c r="AR61" s="47">
        <f t="shared" ref="AR61" si="1721">AQ61+AR60</f>
        <v>18354293.371703457</v>
      </c>
      <c r="AS61" s="47">
        <f t="shared" ref="AS61" si="1722">AR61+AS60</f>
        <v>18850984.911876343</v>
      </c>
      <c r="AT61" s="47">
        <f t="shared" ref="AT61" si="1723">AS61+AT60</f>
        <v>19394264.266970843</v>
      </c>
      <c r="AU61" s="47">
        <f t="shared" ref="AU61" si="1724">AT61+AU60</f>
        <v>19913970.935625948</v>
      </c>
      <c r="AV61" s="47">
        <f t="shared" ref="AV61" si="1725">AU61+AV60</f>
        <v>20444539.566900216</v>
      </c>
      <c r="AW61" s="47">
        <f t="shared" ref="AW61" si="1726">AV61+AW60</f>
        <v>20951905.150916159</v>
      </c>
      <c r="AX61" s="47">
        <f t="shared" ref="AX61" si="1727">AW61+AX60</f>
        <v>21469678.178981129</v>
      </c>
      <c r="AY61" s="47">
        <f t="shared" ref="AY61" si="1728">AX61+AY60</f>
        <v>21981021.398691326</v>
      </c>
      <c r="AZ61" s="47">
        <f t="shared" ref="AZ61" si="1729">AY61+AZ60</f>
        <v>22469720.663252093</v>
      </c>
      <c r="BA61" s="47">
        <f t="shared" ref="BA61" si="1730">AZ61+BA60</f>
        <v>22968139.896726884</v>
      </c>
      <c r="BB61" s="47">
        <f t="shared" ref="BB61" si="1731">BA61+BB60</f>
        <v>23444291.01609448</v>
      </c>
      <c r="BC61" s="47">
        <f t="shared" ref="BC61" si="1732">BB61+BC60</f>
        <v>23929699.95982578</v>
      </c>
      <c r="BD61" s="47">
        <f t="shared" ref="BD61" si="1733">BC61+BD60</f>
        <v>24408571.214921195</v>
      </c>
      <c r="BE61" s="47">
        <f t="shared" ref="BE61" si="1734">BD61+BE60</f>
        <v>24835462.507476121</v>
      </c>
      <c r="BF61" s="47">
        <f t="shared" ref="BF61" si="1735">BE61+BF60</f>
        <v>25301192.935772423</v>
      </c>
      <c r="BG61" s="47">
        <f t="shared" ref="BG61" si="1736">BF61+BG60</f>
        <v>25745605.86956016</v>
      </c>
      <c r="BH61" s="47">
        <f t="shared" ref="BH61" si="1737">BG61+BH60</f>
        <v>26198107.719536167</v>
      </c>
      <c r="BI61" s="47">
        <f t="shared" ref="BI61" si="1738">BH61+BI60</f>
        <v>26629676.773855235</v>
      </c>
      <c r="BJ61" s="47">
        <f t="shared" ref="BJ61" si="1739">BI61+BJ60</f>
        <v>27068861.708004609</v>
      </c>
      <c r="BK61" s="47">
        <f t="shared" ref="BK61" si="1740">BJ61+BK60</f>
        <v>27501354.873486158</v>
      </c>
      <c r="BL61" s="47">
        <f t="shared" ref="BL61" si="1741">BK61+BL60</f>
        <v>27913497.113694813</v>
      </c>
      <c r="BM61" s="47">
        <f t="shared" ref="BM61" si="1742">BL61+BM60</f>
        <v>28332539.749801047</v>
      </c>
      <c r="BN61" s="47">
        <f t="shared" ref="BN61" si="1743">BM61+BN60</f>
        <v>28731622.614020582</v>
      </c>
      <c r="BO61" s="47">
        <f t="shared" ref="BO61" si="1744">BN61+BO60</f>
        <v>29137124.901105341</v>
      </c>
      <c r="BP61" s="47">
        <f t="shared" ref="BP61" si="1745">BO61+BP60</f>
        <v>29535823.144032061</v>
      </c>
      <c r="BQ61" s="47">
        <f t="shared" ref="BQ61" si="1746">BP61+BQ60</f>
        <v>29890070.419184886</v>
      </c>
      <c r="BR61" s="47">
        <f t="shared" ref="BR61" si="1747">BQ61+BR60</f>
        <v>30275092.457753453</v>
      </c>
      <c r="BS61" s="47">
        <f t="shared" ref="BS61" si="1748">BR61+BS60</f>
        <v>30641144.073743131</v>
      </c>
      <c r="BT61" s="47">
        <f t="shared" ref="BT61" si="1749">BS61+BT60</f>
        <v>31012398.581300002</v>
      </c>
      <c r="BU61" s="47">
        <f t="shared" ref="BU61" si="1750">BT61+BU60</f>
        <v>31365083.038354382</v>
      </c>
      <c r="BV61" s="47">
        <f t="shared" ref="BV61" si="1751">BU61+BV60</f>
        <v>31722478.078386907</v>
      </c>
      <c r="BW61" s="47">
        <f t="shared" ref="BW61" si="1752">BV61+BW60</f>
        <v>32072908.716771219</v>
      </c>
      <c r="BX61" s="47">
        <f t="shared" ref="BX61" si="1753">BW61+BX60</f>
        <v>32405374.881334312</v>
      </c>
      <c r="BY61" s="47">
        <f t="shared" ref="BY61" si="1754">BX61+BY60</f>
        <v>32741806.995023474</v>
      </c>
      <c r="BZ61" s="47">
        <f t="shared" ref="BZ61" si="1755">BY61+BZ60</f>
        <v>33060681.724470079</v>
      </c>
      <c r="CA61" s="47">
        <f t="shared" ref="CA61" si="1756">BZ61+CA60</f>
        <v>33383021.834426958</v>
      </c>
      <c r="CB61" s="47">
        <f t="shared" ref="CB61" si="1757">CA61+CB60</f>
        <v>33698280.692968704</v>
      </c>
      <c r="CC61" s="47">
        <f t="shared" ref="CC61" si="1758">CB61+CC60</f>
        <v>33986761.112885699</v>
      </c>
      <c r="CD61" s="47">
        <f t="shared" ref="CD61" si="1759">CC61+CD60</f>
        <v>34287786.577402458</v>
      </c>
      <c r="CE61" s="47">
        <f t="shared" ref="CE61" si="1760">CD61+CE60</f>
        <v>34572284.314601757</v>
      </c>
      <c r="CF61" s="47">
        <f t="shared" ref="CF61" si="1761">CE61+CF60</f>
        <v>34858981.337651201</v>
      </c>
      <c r="CG61" s="47">
        <f t="shared" ref="CG61" si="1762">CF61+CG60</f>
        <v>35129567.317235723</v>
      </c>
      <c r="CH61" s="47">
        <f t="shared" ref="CH61" si="1763">CG61+CH60</f>
        <v>35401840.216669835</v>
      </c>
      <c r="CI61" s="47">
        <f t="shared" ref="CI61" si="1764">CH61+CI60</f>
        <v>35666864.973987073</v>
      </c>
      <c r="CJ61" s="47">
        <f t="shared" ref="CJ61" si="1765">CI61+CJ60</f>
        <v>35916408.93664901</v>
      </c>
      <c r="CK61" s="47">
        <f t="shared" ref="CK61" si="1766">CJ61+CK60</f>
        <v>36166864.847776413</v>
      </c>
      <c r="CL61" s="47">
        <f t="shared" ref="CL61" si="1767">CK61+CL60</f>
        <v>36402263.639284723</v>
      </c>
      <c r="CM61" s="47">
        <f t="shared" ref="CM61" si="1768">CL61+CM60</f>
        <v>36638053.41670496</v>
      </c>
      <c r="CN61" s="47">
        <f t="shared" ref="CN61" si="1769">CM61+CN60</f>
        <v>36866473.441601612</v>
      </c>
      <c r="CO61" s="47">
        <f t="shared" ref="CO61" si="1770">CN61+CO60</f>
        <v>37066433.214025371</v>
      </c>
      <c r="CP61" s="47">
        <f t="shared" ref="CP61" si="1771">CO61+CP60</f>
        <v>37280039.954463467</v>
      </c>
      <c r="CQ61" s="47">
        <f t="shared" ref="CQ61" si="1772">CP61+CQ60</f>
        <v>37479661.182019368</v>
      </c>
      <c r="CR61" s="47">
        <f t="shared" ref="CR61" si="1773">CQ61+CR60</f>
        <v>37678355.71817714</v>
      </c>
      <c r="CS61" s="47">
        <f t="shared" ref="CS61" si="1774">CR61+CS60</f>
        <v>37863498.40164832</v>
      </c>
      <c r="CT61" s="47">
        <f t="shared" ref="CT61" si="1775">CS61+CT60</f>
        <v>38047181.153139405</v>
      </c>
      <c r="CU61" s="47">
        <f t="shared" ref="CU61" si="1776">CT61+CU60</f>
        <v>38223320.462020472</v>
      </c>
      <c r="CV61" s="47">
        <f t="shared" ref="CV61" si="1777">CU61+CV60</f>
        <v>38386563.844333492</v>
      </c>
      <c r="CW61" s="47">
        <f t="shared" ref="CW61" si="1778">CV61+CW60</f>
        <v>38547540.749752395</v>
      </c>
      <c r="CX61" s="47">
        <f t="shared" ref="CX61" si="1779">CW61+CX60</f>
        <v>38696062.664814122</v>
      </c>
      <c r="CY61" s="47">
        <f t="shared" ref="CY61" si="1780">CX61+CY60</f>
        <v>38841775.915609956</v>
      </c>
      <c r="CZ61" s="47">
        <f t="shared" ref="CZ61" si="1781">CY61+CZ60</f>
        <v>38979819.158793457</v>
      </c>
      <c r="DA61" s="47">
        <f t="shared" ref="DA61" si="1782">CZ61+DA60</f>
        <v>39097889.373547845</v>
      </c>
      <c r="DB61" s="47">
        <f t="shared" ref="DB61" si="1783">DA61+DB60</f>
        <v>39220515.816208236</v>
      </c>
      <c r="DC61" s="47">
        <f t="shared" ref="DC61" si="1784">DB61+DC60</f>
        <v>39331802.534160227</v>
      </c>
      <c r="DD61" s="47">
        <f t="shared" ref="DD61" si="1785">DC61+DD60</f>
        <v>39438909.22632958</v>
      </c>
      <c r="DE61" s="47">
        <f t="shared" ref="DE61" si="1786">DD61+DE60</f>
        <v>39535127.521971598</v>
      </c>
      <c r="DF61" s="47">
        <f t="shared" ref="DF61" si="1787">DE61+DF60</f>
        <v>39626610.826204963</v>
      </c>
      <c r="DG61" s="47">
        <f t="shared" ref="DG61" si="1788">DF61+DG60</f>
        <v>39710243.35633745</v>
      </c>
      <c r="DH61" s="47">
        <f t="shared" ref="DH61" si="1789">DG61+DH60</f>
        <v>39783670.13950327</v>
      </c>
      <c r="DI61" s="47">
        <f t="shared" ref="DI61" si="1790">DH61+DI60</f>
        <v>39851522.526462168</v>
      </c>
      <c r="DJ61" s="47">
        <f t="shared" ref="DJ61" si="1791">DI61+DJ60</f>
        <v>39909628.067086831</v>
      </c>
      <c r="DK61" s="47">
        <f t="shared" ref="DK61" si="1792">DJ61+DK60</f>
        <v>39961594.934582725</v>
      </c>
      <c r="DL61" s="47">
        <f t="shared" ref="DL61" si="1793">DK61+DL60</f>
        <v>40005579.306521952</v>
      </c>
      <c r="DM61" s="47">
        <f t="shared" ref="DM61" si="1794">DL61+DM60</f>
        <v>40038423.65667849</v>
      </c>
      <c r="DN61" s="47">
        <f t="shared" ref="DN61" si="1795">DM61+DN60</f>
        <v>40066363.123854414</v>
      </c>
      <c r="DO61" s="47">
        <f t="shared" ref="DO61" si="1796">DN61+DO60</f>
        <v>40085716.447988167</v>
      </c>
      <c r="DP61" s="47">
        <f t="shared" ref="DP61" si="1797">DO61+DP60</f>
        <v>40097503.866092317</v>
      </c>
      <c r="DQ61" s="47">
        <f t="shared" ref="DQ61" si="1798">DP61+DQ60</f>
        <v>40101174.857141823</v>
      </c>
      <c r="DR61" s="47"/>
      <c r="DS61" s="47"/>
    </row>
    <row r="62" spans="1:123" s="53" customFormat="1" x14ac:dyDescent="0.25">
      <c r="A62" s="22" t="s">
        <v>7</v>
      </c>
      <c r="B62" s="163"/>
      <c r="C62" s="163"/>
      <c r="D62" s="163"/>
      <c r="E62" s="163"/>
      <c r="F62" s="163"/>
      <c r="G62" s="163"/>
      <c r="H62" s="163"/>
      <c r="I62" s="163">
        <f t="shared" ref="I62" si="1799">H62</f>
        <v>0</v>
      </c>
      <c r="J62" s="163">
        <f t="shared" ref="J62" si="1800">I62</f>
        <v>0</v>
      </c>
      <c r="K62" s="163">
        <f t="shared" ref="K62" si="1801">J62</f>
        <v>0</v>
      </c>
      <c r="L62" s="163">
        <f t="shared" ref="L62" si="1802">K62</f>
        <v>0</v>
      </c>
      <c r="M62" s="163">
        <f t="shared" ref="M62" si="1803">L62</f>
        <v>0</v>
      </c>
      <c r="N62" s="163">
        <f t="shared" ref="N62" si="1804">M62</f>
        <v>0</v>
      </c>
      <c r="O62" s="163">
        <f t="shared" ref="O62" si="1805">N62</f>
        <v>0</v>
      </c>
      <c r="P62" s="163">
        <f t="shared" ref="P62" si="1806">O62</f>
        <v>0</v>
      </c>
      <c r="Q62" s="163">
        <f t="shared" ref="Q62" si="1807">P62</f>
        <v>0</v>
      </c>
      <c r="R62" s="163">
        <f t="shared" ref="R62" si="1808">Q62</f>
        <v>0</v>
      </c>
      <c r="S62" s="163">
        <f t="shared" ref="S62" si="1809">R62</f>
        <v>0</v>
      </c>
      <c r="T62" s="163">
        <f t="shared" ref="T62" si="1810">S62</f>
        <v>0</v>
      </c>
      <c r="U62" s="163">
        <f t="shared" ref="U62" si="1811">T62</f>
        <v>0</v>
      </c>
      <c r="V62" s="163">
        <f t="shared" ref="V62" si="1812">U62</f>
        <v>0</v>
      </c>
      <c r="W62" s="163">
        <f t="shared" ref="W62" si="1813">V62</f>
        <v>0</v>
      </c>
      <c r="X62" s="163">
        <f t="shared" ref="X62" si="1814">W62</f>
        <v>0</v>
      </c>
      <c r="Y62" s="163">
        <f t="shared" ref="Y62" si="1815">X62</f>
        <v>0</v>
      </c>
      <c r="Z62" s="163">
        <f t="shared" ref="Z62" si="1816">Y62</f>
        <v>0</v>
      </c>
      <c r="AA62" s="163">
        <f t="shared" ref="AA62" si="1817">Z62</f>
        <v>0</v>
      </c>
      <c r="AB62" s="163">
        <f>MCML_Loan!$J$69</f>
        <v>6128125</v>
      </c>
      <c r="AC62" s="163">
        <f>Z62</f>
        <v>0</v>
      </c>
      <c r="AD62" s="163">
        <f>AA62</f>
        <v>0</v>
      </c>
      <c r="AE62" s="163">
        <f>MCML_Loan!$K$69</f>
        <v>6128125</v>
      </c>
      <c r="AF62" s="25">
        <f>+MCML_Loan!L69</f>
        <v>1754976.7269323987</v>
      </c>
      <c r="AG62" s="25">
        <f>+MCML_Loan!M69</f>
        <v>1760826.6493555072</v>
      </c>
      <c r="AH62" s="25">
        <f>+MCML_Loan!N69</f>
        <v>1766696.0715200251</v>
      </c>
      <c r="AI62" s="25">
        <f>+MCML_Loan!O69</f>
        <v>1772585.0584250921</v>
      </c>
      <c r="AJ62" s="25">
        <f>+MCML_Loan!P69</f>
        <v>1778493.6752865089</v>
      </c>
      <c r="AK62" s="25">
        <f>+MCML_Loan!Q69</f>
        <v>1784421.9875374641</v>
      </c>
      <c r="AL62" s="25">
        <f>+MCML_Loan!R69</f>
        <v>1790370.0608292557</v>
      </c>
      <c r="AM62" s="25">
        <f>+MCML_Loan!S69</f>
        <v>1796337.9610320199</v>
      </c>
      <c r="AN62" s="25">
        <f>+MCML_Loan!T69</f>
        <v>1802325.7542354597</v>
      </c>
      <c r="AO62" s="25">
        <f>+MCML_Loan!U69</f>
        <v>1808333.5067495781</v>
      </c>
      <c r="AP62" s="25">
        <f>+MCML_Loan!V69</f>
        <v>1814361.2851054098</v>
      </c>
      <c r="AQ62" s="25">
        <f>+MCML_Loan!W69</f>
        <v>1820409.1560557613</v>
      </c>
      <c r="AR62" s="25">
        <f>+MCML_Loan!X69</f>
        <v>1826477.1865759473</v>
      </c>
      <c r="AS62" s="25">
        <f>+MCML_Loan!Y69</f>
        <v>1832565.4438645337</v>
      </c>
      <c r="AT62" s="25">
        <f>+MCML_Loan!Z69</f>
        <v>1838673.9953440821</v>
      </c>
      <c r="AU62" s="25">
        <f>+MCML_Loan!AA69</f>
        <v>1844802.9086618957</v>
      </c>
      <c r="AV62" s="25">
        <f>+MCML_Loan!AB69</f>
        <v>1850952.2516907689</v>
      </c>
      <c r="AW62" s="25">
        <f>+MCML_Loan!AC69</f>
        <v>1857122.0925297381</v>
      </c>
      <c r="AX62" s="25">
        <f>+MCML_Loan!AD69</f>
        <v>1863312.4995048372</v>
      </c>
      <c r="AY62" s="25">
        <f>+MCML_Loan!AE69</f>
        <v>1869523.5411698534</v>
      </c>
      <c r="AZ62" s="25">
        <f>+MCML_Loan!AF69</f>
        <v>1875755.2863070862</v>
      </c>
      <c r="BA62" s="25">
        <f>+MCML_Loan!AG69</f>
        <v>1882007.8039281096</v>
      </c>
      <c r="BB62" s="25">
        <f>+MCML_Loan!AH69</f>
        <v>1888281.1632745366</v>
      </c>
      <c r="BC62" s="25">
        <f>+MCML_Loan!AI69</f>
        <v>1894575.4338187855</v>
      </c>
      <c r="BD62" s="25">
        <f>+MCML_Loan!AJ69</f>
        <v>1900890.6852648477</v>
      </c>
      <c r="BE62" s="25">
        <f>+MCML_Loan!AK69</f>
        <v>1907226.987549064</v>
      </c>
      <c r="BF62" s="25">
        <f>+MCML_Loan!AL69</f>
        <v>1913584.4108408941</v>
      </c>
      <c r="BG62" s="25">
        <f>+MCML_Loan!AM69</f>
        <v>1919963.0255436974</v>
      </c>
      <c r="BH62" s="25">
        <f>+MCML_Loan!AN69</f>
        <v>1926362.9022955094</v>
      </c>
      <c r="BI62" s="25">
        <f>+MCML_Loan!AO69</f>
        <v>1932784.1119698279</v>
      </c>
      <c r="BJ62" s="25">
        <f>+MCML_Loan!AP69</f>
        <v>1939226.7256763941</v>
      </c>
      <c r="BK62" s="25">
        <f>+MCML_Loan!AQ69</f>
        <v>1945690.8147619821</v>
      </c>
      <c r="BL62" s="25">
        <f>+MCML_Loan!AR69</f>
        <v>1952176.4508111887</v>
      </c>
      <c r="BM62" s="25">
        <f>+MCML_Loan!AS69</f>
        <v>1958683.705647226</v>
      </c>
      <c r="BN62" s="25">
        <f>+MCML_Loan!AT69</f>
        <v>1965212.6513327167</v>
      </c>
      <c r="BO62" s="25">
        <f>+MCML_Loan!AU69</f>
        <v>1971763.3601704924</v>
      </c>
      <c r="BP62" s="25">
        <f>+MCML_Loan!AV69</f>
        <v>1978335.9047043941</v>
      </c>
      <c r="BQ62" s="25">
        <f>+MCML_Loan!AW69</f>
        <v>1984930.3577200752</v>
      </c>
      <c r="BR62" s="25">
        <f>+MCML_Loan!AX69</f>
        <v>1991546.792245809</v>
      </c>
      <c r="BS62" s="25">
        <f>+MCML_Loan!AY69</f>
        <v>1998185.2815532947</v>
      </c>
      <c r="BT62" s="25">
        <f>+MCML_Loan!AZ69</f>
        <v>2004845.8991584724</v>
      </c>
      <c r="BU62" s="25">
        <f>+MCML_Loan!BA69</f>
        <v>2011528.718822334</v>
      </c>
      <c r="BV62" s="25">
        <f>+MCML_Loan!BB69</f>
        <v>2018233.8145517418</v>
      </c>
      <c r="BW62" s="25">
        <f>+MCML_Loan!BC69</f>
        <v>2024961.2606002474</v>
      </c>
      <c r="BX62" s="25">
        <f>+MCML_Loan!BD69</f>
        <v>2031711.1314689154</v>
      </c>
      <c r="BY62" s="25">
        <f>+MCML_Loan!BE69</f>
        <v>2038483.5019071449</v>
      </c>
      <c r="BZ62" s="25">
        <f>+MCML_Loan!BF69</f>
        <v>2045278.4469135019</v>
      </c>
      <c r="CA62" s="25">
        <f>+MCML_Loan!BG69</f>
        <v>2052096.0417365474</v>
      </c>
      <c r="CB62" s="25">
        <f>+MCML_Loan!BH69</f>
        <v>2058936.3618756689</v>
      </c>
      <c r="CC62" s="25">
        <f>+MCML_Loan!BI69</f>
        <v>2065799.483081921</v>
      </c>
      <c r="CD62" s="25">
        <f>+MCML_Loan!BJ69</f>
        <v>2072685.4813588609</v>
      </c>
      <c r="CE62" s="25">
        <f>+MCML_Loan!BK69</f>
        <v>2079594.4329633904</v>
      </c>
      <c r="CF62" s="25">
        <f>+MCML_Loan!BL69</f>
        <v>2086526.4144066018</v>
      </c>
      <c r="CG62" s="25">
        <f>+MCML_Loan!BM69</f>
        <v>2093481.5024546236</v>
      </c>
      <c r="CH62" s="25">
        <f>+MCML_Loan!BN69</f>
        <v>2100459.7741294722</v>
      </c>
      <c r="CI62" s="25">
        <f>+MCML_Loan!BO69</f>
        <v>2107461.3067099042</v>
      </c>
      <c r="CJ62" s="25">
        <f>+MCML_Loan!BP69</f>
        <v>2114486.1777322702</v>
      </c>
      <c r="CK62" s="25">
        <f>+MCML_Loan!BQ69</f>
        <v>2121534.4649913781</v>
      </c>
      <c r="CL62" s="25">
        <f>+MCML_Loan!BR69</f>
        <v>2128606.2465413492</v>
      </c>
      <c r="CM62" s="25">
        <f>+MCML_Loan!BS69</f>
        <v>2135701.6006964869</v>
      </c>
      <c r="CN62" s="25">
        <f>+MCML_Loan!BT69</f>
        <v>2142820.6060321419</v>
      </c>
      <c r="CO62" s="25">
        <f>+MCML_Loan!BU69</f>
        <v>2149963.3413855825</v>
      </c>
      <c r="CP62" s="25">
        <f>+MCML_Loan!BV69</f>
        <v>2157129.8858568678</v>
      </c>
      <c r="CQ62" s="25">
        <f>+MCML_Loan!BW69</f>
        <v>2164320.3188097239</v>
      </c>
      <c r="CR62" s="25">
        <f>+MCML_Loan!BX69</f>
        <v>2171534.719872423</v>
      </c>
      <c r="CS62" s="25">
        <f>+MCML_Loan!BY69</f>
        <v>2178773.1689386647</v>
      </c>
      <c r="CT62" s="25">
        <f>+MCML_Loan!BZ69</f>
        <v>2186035.7461684602</v>
      </c>
      <c r="CU62" s="25">
        <f>+MCML_Loan!CA69</f>
        <v>2193322.5319890212</v>
      </c>
      <c r="CV62" s="25">
        <f>+MCML_Loan!CB69</f>
        <v>2200633.6070956518</v>
      </c>
      <c r="CW62" s="25">
        <f>+MCML_Loan!CC69</f>
        <v>2207969.0524526369</v>
      </c>
      <c r="CX62" s="25">
        <f>+MCML_Loan!CD69</f>
        <v>2215328.9492941462</v>
      </c>
      <c r="CY62" s="25">
        <f>+MCML_Loan!CE69</f>
        <v>2222713.3791251262</v>
      </c>
      <c r="CZ62" s="25">
        <f>+MCML_Loan!CF69</f>
        <v>2230122.4237222099</v>
      </c>
      <c r="DA62" s="25">
        <f>+MCML_Loan!CG69</f>
        <v>2237556.1651346176</v>
      </c>
      <c r="DB62" s="25">
        <f>+MCML_Loan!CH69</f>
        <v>2245014.685685066</v>
      </c>
      <c r="DC62" s="25">
        <f>+MCML_Loan!CI69</f>
        <v>2252498.0679706833</v>
      </c>
      <c r="DD62" s="25">
        <f>+MCML_Loan!CJ69</f>
        <v>2260006.3948639189</v>
      </c>
      <c r="DE62" s="25">
        <f>+MCML_Loan!CK69</f>
        <v>2267539.7495134654</v>
      </c>
      <c r="DF62" s="25">
        <f>+MCML_Loan!CL69</f>
        <v>2275098.2153451764</v>
      </c>
      <c r="DG62" s="25">
        <f>+MCML_Loan!CM69</f>
        <v>2282681.8760629944</v>
      </c>
      <c r="DH62" s="25">
        <f>+MCML_Loan!CN69</f>
        <v>2290290.8156498703</v>
      </c>
      <c r="DI62" s="25">
        <f>+MCML_Loan!CO69</f>
        <v>2297925.1183687034</v>
      </c>
      <c r="DJ62" s="25">
        <f>+MCML_Loan!CP69</f>
        <v>2305584.8687632657</v>
      </c>
      <c r="DK62" s="25">
        <f>+MCML_Loan!CQ69</f>
        <v>2313270.1516591436</v>
      </c>
      <c r="DL62" s="25">
        <f>+MCML_Loan!CR69</f>
        <v>2320981.0521646738</v>
      </c>
      <c r="DM62" s="25">
        <f>+MCML_Loan!CS69</f>
        <v>2328717.6556718894</v>
      </c>
      <c r="DN62" s="25">
        <f>+MCML_Loan!CT69</f>
        <v>2336480.0478574624</v>
      </c>
      <c r="DO62" s="25">
        <f>+MCML_Loan!CU69</f>
        <v>2344268.3146836539</v>
      </c>
      <c r="DP62" s="25">
        <f>+MCML_Loan!CV69</f>
        <v>2352082.5423992663</v>
      </c>
      <c r="DQ62" s="25">
        <f>+MCML_Loan!CW69</f>
        <v>2359922.8175405967</v>
      </c>
      <c r="DS62" s="136"/>
    </row>
    <row r="63" spans="1:123" s="53" customFormat="1" x14ac:dyDescent="0.25">
      <c r="A63" s="22" t="s">
        <v>13</v>
      </c>
      <c r="B63" s="163"/>
      <c r="C63" s="163"/>
      <c r="D63" s="163"/>
      <c r="E63" s="163"/>
      <c r="F63" s="163"/>
      <c r="G63" s="163"/>
      <c r="H63" s="163"/>
      <c r="I63" s="163">
        <f t="shared" ref="I63" si="1818">H63+I62</f>
        <v>0</v>
      </c>
      <c r="J63" s="163">
        <f t="shared" ref="J63" si="1819">I63+J62</f>
        <v>0</v>
      </c>
      <c r="K63" s="163">
        <f t="shared" ref="K63" si="1820">J63+K62</f>
        <v>0</v>
      </c>
      <c r="L63" s="163">
        <f t="shared" ref="L63" si="1821">K63+L62</f>
        <v>0</v>
      </c>
      <c r="M63" s="163">
        <f t="shared" ref="M63" si="1822">L63+M62</f>
        <v>0</v>
      </c>
      <c r="N63" s="163">
        <f t="shared" ref="N63" si="1823">M63+N62</f>
        <v>0</v>
      </c>
      <c r="O63" s="163">
        <f t="shared" ref="O63" si="1824">N63+O62</f>
        <v>0</v>
      </c>
      <c r="P63" s="163">
        <f t="shared" ref="P63" si="1825">O63+P62</f>
        <v>0</v>
      </c>
      <c r="Q63" s="163">
        <f t="shared" ref="Q63" si="1826">P63+Q62</f>
        <v>0</v>
      </c>
      <c r="R63" s="163">
        <f t="shared" ref="R63" si="1827">Q63+R62</f>
        <v>0</v>
      </c>
      <c r="S63" s="163">
        <f t="shared" ref="S63" si="1828">R63+S62</f>
        <v>0</v>
      </c>
      <c r="T63" s="163">
        <f t="shared" ref="T63" si="1829">S63+T62</f>
        <v>0</v>
      </c>
      <c r="U63" s="163">
        <f t="shared" ref="U63" si="1830">T63+U62</f>
        <v>0</v>
      </c>
      <c r="V63" s="163">
        <f t="shared" ref="V63" si="1831">U63+V62</f>
        <v>0</v>
      </c>
      <c r="W63" s="163">
        <f t="shared" ref="W63" si="1832">V63+W62</f>
        <v>0</v>
      </c>
      <c r="X63" s="163">
        <f t="shared" ref="X63" si="1833">W63+X62</f>
        <v>0</v>
      </c>
      <c r="Y63" s="163">
        <f t="shared" ref="Y63" si="1834">X63+Y62</f>
        <v>0</v>
      </c>
      <c r="Z63" s="163">
        <f t="shared" ref="Z63" si="1835">Y63+Z62</f>
        <v>0</v>
      </c>
      <c r="AA63" s="163">
        <f t="shared" ref="AA63" si="1836">Z63+AA62</f>
        <v>0</v>
      </c>
      <c r="AB63" s="163">
        <f t="shared" ref="AB63" si="1837">AA63+AB62</f>
        <v>6128125</v>
      </c>
      <c r="AC63" s="163">
        <f t="shared" ref="AC63" si="1838">AB63+AC62</f>
        <v>6128125</v>
      </c>
      <c r="AD63" s="163">
        <f t="shared" ref="AD63" si="1839">AC63+AD62</f>
        <v>6128125</v>
      </c>
      <c r="AE63" s="163">
        <f t="shared" ref="AE63" si="1840">AD63+AE62</f>
        <v>12256250</v>
      </c>
      <c r="AF63" s="25">
        <f t="shared" ref="AF63" si="1841">AE63+AF62</f>
        <v>14011226.726932399</v>
      </c>
      <c r="AG63" s="25">
        <f t="shared" ref="AG63" si="1842">AF63+AG62</f>
        <v>15772053.376287905</v>
      </c>
      <c r="AH63" s="25">
        <f t="shared" ref="AH63" si="1843">AG63+AH62</f>
        <v>17538749.44780793</v>
      </c>
      <c r="AI63" s="25">
        <f t="shared" ref="AI63" si="1844">AH63+AI62</f>
        <v>19311334.506233022</v>
      </c>
      <c r="AJ63" s="25">
        <f t="shared" ref="AJ63" si="1845">AI63+AJ62</f>
        <v>21089828.181519531</v>
      </c>
      <c r="AK63" s="25">
        <f t="shared" ref="AK63" si="1846">AJ63+AK62</f>
        <v>22874250.169056997</v>
      </c>
      <c r="AL63" s="25">
        <f t="shared" ref="AL63" si="1847">AK63+AL62</f>
        <v>24664620.229886252</v>
      </c>
      <c r="AM63" s="25">
        <f t="shared" ref="AM63" si="1848">AL63+AM62</f>
        <v>26460958.190918274</v>
      </c>
      <c r="AN63" s="25">
        <f t="shared" ref="AN63" si="1849">AM63+AN62</f>
        <v>28263283.945153736</v>
      </c>
      <c r="AO63" s="25">
        <f t="shared" ref="AO63" si="1850">AN63+AO62</f>
        <v>30071617.451903313</v>
      </c>
      <c r="AP63" s="25">
        <f t="shared" ref="AP63" si="1851">AO63+AP62</f>
        <v>31885978.737008724</v>
      </c>
      <c r="AQ63" s="25">
        <f t="shared" ref="AQ63" si="1852">AP63+AQ62</f>
        <v>33706387.893064484</v>
      </c>
      <c r="AR63" s="25">
        <f t="shared" ref="AR63" si="1853">AQ63+AR62</f>
        <v>35532865.079640433</v>
      </c>
      <c r="AS63" s="25">
        <f t="shared" ref="AS63" si="1854">AR63+AS62</f>
        <v>37365430.523504965</v>
      </c>
      <c r="AT63" s="25">
        <f t="shared" ref="AT63" si="1855">AS63+AT62</f>
        <v>39204104.518849045</v>
      </c>
      <c r="AU63" s="25">
        <f t="shared" ref="AU63" si="1856">AT63+AU62</f>
        <v>41048907.42751094</v>
      </c>
      <c r="AV63" s="25">
        <f t="shared" ref="AV63" si="1857">AU63+AV62</f>
        <v>42899859.679201707</v>
      </c>
      <c r="AW63" s="25">
        <f t="shared" ref="AW63" si="1858">AV63+AW62</f>
        <v>44756981.771731444</v>
      </c>
      <c r="AX63" s="25">
        <f t="shared" ref="AX63" si="1859">AW63+AX62</f>
        <v>46620294.271236278</v>
      </c>
      <c r="AY63" s="25">
        <f t="shared" ref="AY63" si="1860">AX63+AY62</f>
        <v>48489817.81240613</v>
      </c>
      <c r="AZ63" s="25">
        <f t="shared" ref="AZ63" si="1861">AY63+AZ62</f>
        <v>50365573.098713219</v>
      </c>
      <c r="BA63" s="25">
        <f t="shared" ref="BA63" si="1862">AZ63+BA62</f>
        <v>52247580.902641326</v>
      </c>
      <c r="BB63" s="25">
        <f t="shared" ref="BB63" si="1863">BA63+BB62</f>
        <v>54135862.06591586</v>
      </c>
      <c r="BC63" s="25">
        <f t="shared" ref="BC63" si="1864">BB63+BC62</f>
        <v>56030437.499734648</v>
      </c>
      <c r="BD63" s="25">
        <f t="shared" ref="BD63" si="1865">BC63+BD62</f>
        <v>57931328.184999496</v>
      </c>
      <c r="BE63" s="25">
        <f t="shared" ref="BE63" si="1866">BD63+BE62</f>
        <v>59838555.172548562</v>
      </c>
      <c r="BF63" s="25">
        <f t="shared" ref="BF63" si="1867">BE63+BF62</f>
        <v>61752139.583389454</v>
      </c>
      <c r="BG63" s="25">
        <f t="shared" ref="BG63" si="1868">BF63+BG62</f>
        <v>63672102.608933151</v>
      </c>
      <c r="BH63" s="25">
        <f t="shared" ref="BH63" si="1869">BG63+BH62</f>
        <v>65598465.511228658</v>
      </c>
      <c r="BI63" s="25">
        <f t="shared" ref="BI63" si="1870">BH63+BI62</f>
        <v>67531249.623198479</v>
      </c>
      <c r="BJ63" s="25">
        <f t="shared" ref="BJ63" si="1871">BI63+BJ62</f>
        <v>69470476.348874867</v>
      </c>
      <c r="BK63" s="25">
        <f t="shared" ref="BK63" si="1872">BJ63+BK62</f>
        <v>71416167.163636848</v>
      </c>
      <c r="BL63" s="25">
        <f t="shared" ref="BL63" si="1873">BK63+BL62</f>
        <v>73368343.614448041</v>
      </c>
      <c r="BM63" s="25">
        <f t="shared" ref="BM63" si="1874">BL63+BM62</f>
        <v>75327027.320095271</v>
      </c>
      <c r="BN63" s="25">
        <f t="shared" ref="BN63" si="1875">BM63+BN62</f>
        <v>77292239.971427992</v>
      </c>
      <c r="BO63" s="25">
        <f t="shared" ref="BO63" si="1876">BN63+BO62</f>
        <v>79264003.33159849</v>
      </c>
      <c r="BP63" s="25">
        <f t="shared" ref="BP63" si="1877">BO63+BP62</f>
        <v>81242339.236302882</v>
      </c>
      <c r="BQ63" s="25">
        <f t="shared" ref="BQ63" si="1878">BP63+BQ62</f>
        <v>83227269.594022959</v>
      </c>
      <c r="BR63" s="25">
        <f t="shared" ref="BR63" si="1879">BQ63+BR62</f>
        <v>85218816.386268765</v>
      </c>
      <c r="BS63" s="25">
        <f t="shared" ref="BS63" si="1880">BR63+BS62</f>
        <v>87217001.667822063</v>
      </c>
      <c r="BT63" s="25">
        <f>BS63+BT62</f>
        <v>89221847.566980541</v>
      </c>
      <c r="BU63" s="25">
        <f t="shared" ref="BU63" si="1881">BT63+BU62</f>
        <v>91233376.285802871</v>
      </c>
      <c r="BV63" s="25">
        <f t="shared" ref="BV63" si="1882">BU63+BV62</f>
        <v>93251610.100354612</v>
      </c>
      <c r="BW63" s="25">
        <f t="shared" ref="BW63" si="1883">BV63+BW62</f>
        <v>95276571.360954866</v>
      </c>
      <c r="BX63" s="25">
        <f t="shared" ref="BX63" si="1884">BW63+BX62</f>
        <v>97308282.492423788</v>
      </c>
      <c r="BY63" s="25">
        <f t="shared" ref="BY63" si="1885">BX63+BY62</f>
        <v>99346765.994330928</v>
      </c>
      <c r="BZ63" s="25">
        <f t="shared" ref="BZ63" si="1886">BY63+BZ62</f>
        <v>101392044.44124442</v>
      </c>
      <c r="CA63" s="25">
        <f t="shared" ref="CA63" si="1887">BZ63+CA62</f>
        <v>103444140.48298097</v>
      </c>
      <c r="CB63" s="25">
        <f t="shared" ref="CB63" si="1888">CA63+CB62</f>
        <v>105503076.84485663</v>
      </c>
      <c r="CC63" s="25">
        <f t="shared" ref="CC63" si="1889">CB63+CC62</f>
        <v>107568876.32793856</v>
      </c>
      <c r="CD63" s="25">
        <f t="shared" ref="CD63" si="1890">CC63+CD62</f>
        <v>109641561.80929741</v>
      </c>
      <c r="CE63" s="25">
        <f t="shared" ref="CE63" si="1891">CD63+CE62</f>
        <v>111721156.2422608</v>
      </c>
      <c r="CF63" s="25">
        <f t="shared" ref="CF63" si="1892">CE63+CF62</f>
        <v>113807682.6566674</v>
      </c>
      <c r="CG63" s="25">
        <f>CF63+CG62</f>
        <v>115901164.15912202</v>
      </c>
      <c r="CH63" s="25">
        <f>CG63+CH62</f>
        <v>118001623.93325149</v>
      </c>
      <c r="CI63" s="25">
        <f t="shared" ref="CI63" si="1893">CH63+CI62</f>
        <v>120109085.23996139</v>
      </c>
      <c r="CJ63" s="25">
        <f>CI63+CJ62</f>
        <v>122223571.41769366</v>
      </c>
      <c r="CK63" s="25">
        <f t="shared" ref="CK63" si="1894">CJ63+CK62</f>
        <v>124345105.88268504</v>
      </c>
      <c r="CL63" s="25">
        <f t="shared" ref="CL63" si="1895">CK63+CL62</f>
        <v>126473712.12922639</v>
      </c>
      <c r="CM63" s="25">
        <f t="shared" ref="CM63" si="1896">CL63+CM62</f>
        <v>128609413.72992288</v>
      </c>
      <c r="CN63" s="25">
        <f t="shared" ref="CN63" si="1897">CM63+CN62</f>
        <v>130752234.33595502</v>
      </c>
      <c r="CO63" s="25">
        <f t="shared" ref="CO63" si="1898">CN63+CO62</f>
        <v>132902197.67734061</v>
      </c>
      <c r="CP63" s="25">
        <f t="shared" ref="CP63" si="1899">CO63+CP62</f>
        <v>135059327.56319749</v>
      </c>
      <c r="CQ63" s="25">
        <f>CP63+CQ62</f>
        <v>137223647.88200721</v>
      </c>
      <c r="CR63" s="25">
        <f>CQ63+CR62</f>
        <v>139395182.60187963</v>
      </c>
      <c r="CS63" s="25">
        <f>CR63+CS62</f>
        <v>141573955.77081829</v>
      </c>
      <c r="CT63" s="25">
        <f>CS63+CT62</f>
        <v>143759991.51698676</v>
      </c>
      <c r="CU63" s="25">
        <f t="shared" ref="CU63" si="1900">CT63+CU62</f>
        <v>145953314.04897577</v>
      </c>
      <c r="CV63" s="25">
        <f t="shared" ref="CV63" si="1901">CU63+CV62</f>
        <v>148153947.65607142</v>
      </c>
      <c r="CW63" s="25">
        <f t="shared" ref="CW63" si="1902">CV63+CW62</f>
        <v>150361916.70852405</v>
      </c>
      <c r="CX63" s="25">
        <f t="shared" ref="CX63" si="1903">CW63+CX62</f>
        <v>152577245.6578182</v>
      </c>
      <c r="CY63" s="25">
        <f t="shared" ref="CY63" si="1904">CX63+CY62</f>
        <v>154799959.03694332</v>
      </c>
      <c r="CZ63" s="25">
        <f t="shared" ref="CZ63" si="1905">CY63+CZ62</f>
        <v>157030081.46066552</v>
      </c>
      <c r="DA63" s="25">
        <f t="shared" ref="DA63" si="1906">CZ63+DA62</f>
        <v>159267637.62580013</v>
      </c>
      <c r="DB63" s="25">
        <f t="shared" ref="DB63" si="1907">DA63+DB62</f>
        <v>161512652.3114852</v>
      </c>
      <c r="DC63" s="25">
        <f t="shared" ref="DC63" si="1908">DB63+DC62</f>
        <v>163765150.37945589</v>
      </c>
      <c r="DD63" s="25">
        <f t="shared" ref="DD63" si="1909">DC63+DD62</f>
        <v>166025156.77431983</v>
      </c>
      <c r="DE63" s="25">
        <f t="shared" ref="DE63" si="1910">DD63+DE62</f>
        <v>168292696.5238333</v>
      </c>
      <c r="DF63" s="25">
        <f t="shared" ref="DF63" si="1911">DE63+DF62</f>
        <v>170567794.73917848</v>
      </c>
      <c r="DG63" s="25">
        <f>DF63+DG62</f>
        <v>172850476.61524147</v>
      </c>
      <c r="DH63" s="25">
        <f t="shared" ref="DH63" si="1912">DG63+DH62</f>
        <v>175140767.43089134</v>
      </c>
      <c r="DI63" s="25">
        <f t="shared" ref="DI63" si="1913">DH63+DI62</f>
        <v>177438692.54926005</v>
      </c>
      <c r="DJ63" s="25">
        <f t="shared" ref="DJ63" si="1914">DI63+DJ62</f>
        <v>179744277.41802332</v>
      </c>
      <c r="DK63" s="25">
        <f t="shared" ref="DK63" si="1915">DJ63+DK62</f>
        <v>182057547.56968245</v>
      </c>
      <c r="DL63" s="25">
        <f t="shared" ref="DL63" si="1916">DK63+DL62</f>
        <v>184378528.62184712</v>
      </c>
      <c r="DM63" s="25">
        <f t="shared" ref="DM63" si="1917">DL63+DM62</f>
        <v>186707246.27751902</v>
      </c>
      <c r="DN63" s="25">
        <f t="shared" ref="DN63" si="1918">DM63+DN62</f>
        <v>189043726.32537648</v>
      </c>
      <c r="DO63" s="25">
        <f t="shared" ref="DO63" si="1919">DN63+DO62</f>
        <v>191387994.64006013</v>
      </c>
      <c r="DP63" s="25">
        <f t="shared" ref="DP63" si="1920">DO63+DP62</f>
        <v>193740077.18245938</v>
      </c>
      <c r="DQ63" s="25">
        <f t="shared" ref="DQ63" si="1921">DP63+DQ62</f>
        <v>196099999.99999997</v>
      </c>
      <c r="DR63" s="25"/>
      <c r="DS63" s="25"/>
    </row>
    <row r="64" spans="1:123" s="53" customFormat="1" x14ac:dyDescent="0.25">
      <c r="A64" s="22" t="s">
        <v>8</v>
      </c>
      <c r="B64" s="165"/>
      <c r="C64" s="165"/>
      <c r="D64" s="165"/>
      <c r="E64" s="165"/>
      <c r="F64" s="165"/>
      <c r="G64" s="165"/>
      <c r="H64" s="165"/>
      <c r="I64" s="165">
        <f t="shared" ref="I64:BT64" si="1922">I62+I60</f>
        <v>0</v>
      </c>
      <c r="J64" s="165">
        <f t="shared" si="1922"/>
        <v>0</v>
      </c>
      <c r="K64" s="165">
        <f t="shared" si="1922"/>
        <v>0</v>
      </c>
      <c r="L64" s="165">
        <f t="shared" si="1922"/>
        <v>0</v>
      </c>
      <c r="M64" s="165">
        <f t="shared" si="1922"/>
        <v>0</v>
      </c>
      <c r="N64" s="165">
        <f t="shared" si="1922"/>
        <v>0</v>
      </c>
      <c r="O64" s="165">
        <f t="shared" si="1922"/>
        <v>0</v>
      </c>
      <c r="P64" s="165">
        <f t="shared" si="1922"/>
        <v>0</v>
      </c>
      <c r="Q64" s="165">
        <f t="shared" si="1922"/>
        <v>877002.77777777798</v>
      </c>
      <c r="R64" s="165">
        <f t="shared" si="1922"/>
        <v>1143916.6666666667</v>
      </c>
      <c r="S64" s="165">
        <f t="shared" si="1922"/>
        <v>871555.55555555562</v>
      </c>
      <c r="T64" s="165">
        <f t="shared" si="1922"/>
        <v>675455.5555555555</v>
      </c>
      <c r="U64" s="165">
        <f t="shared" si="1922"/>
        <v>610088.88888888888</v>
      </c>
      <c r="V64" s="165">
        <f t="shared" si="1922"/>
        <v>675455.5555555555</v>
      </c>
      <c r="W64" s="165">
        <f t="shared" si="1922"/>
        <v>653666.66666666663</v>
      </c>
      <c r="X64" s="165">
        <f t="shared" si="1922"/>
        <v>675455.5555555555</v>
      </c>
      <c r="Y64" s="165">
        <f t="shared" si="1922"/>
        <v>653666.66666666663</v>
      </c>
      <c r="Z64" s="165">
        <f t="shared" si="1922"/>
        <v>675455.5555555555</v>
      </c>
      <c r="AA64" s="165">
        <f t="shared" si="1922"/>
        <v>675455.5555555555</v>
      </c>
      <c r="AB64" s="165">
        <f t="shared" si="1922"/>
        <v>6770897.222222222</v>
      </c>
      <c r="AC64" s="165">
        <f t="shared" si="1922"/>
        <v>654347.5694444445</v>
      </c>
      <c r="AD64" s="165">
        <f t="shared" si="1922"/>
        <v>633239.58333333337</v>
      </c>
      <c r="AE64" s="165">
        <f t="shared" si="1922"/>
        <v>6770897.222222222</v>
      </c>
      <c r="AF64" s="31">
        <f t="shared" si="1922"/>
        <v>2384901.3542259708</v>
      </c>
      <c r="AG64" s="31">
        <f t="shared" si="1922"/>
        <v>2344231.1351199425</v>
      </c>
      <c r="AH64" s="31">
        <f t="shared" si="1922"/>
        <v>2384488.5728666065</v>
      </c>
      <c r="AI64" s="31">
        <f t="shared" si="1922"/>
        <v>2364637.9646063102</v>
      </c>
      <c r="AJ64" s="31">
        <f t="shared" si="1922"/>
        <v>2383875.424636689</v>
      </c>
      <c r="AK64" s="31">
        <f t="shared" si="1922"/>
        <v>2364616.9211767768</v>
      </c>
      <c r="AL64" s="31">
        <f t="shared" si="1922"/>
        <v>2383654.7223542705</v>
      </c>
      <c r="AM64" s="31">
        <f t="shared" si="1922"/>
        <v>2383045.3334335666</v>
      </c>
      <c r="AN64" s="31">
        <f t="shared" si="1922"/>
        <v>2364585.0922582024</v>
      </c>
      <c r="AO64" s="31">
        <f t="shared" si="1922"/>
        <v>2383022.0098701883</v>
      </c>
      <c r="AP64" s="31">
        <f t="shared" si="1922"/>
        <v>2364563.6957588783</v>
      </c>
      <c r="AQ64" s="31">
        <f t="shared" si="1922"/>
        <v>2382596.6786668482</v>
      </c>
      <c r="AR64" s="31">
        <f t="shared" si="1922"/>
        <v>2382382.9491474153</v>
      </c>
      <c r="AS64" s="31">
        <f t="shared" si="1922"/>
        <v>2329256.9840374188</v>
      </c>
      <c r="AT64" s="31">
        <f t="shared" si="1922"/>
        <v>2381953.3504385818</v>
      </c>
      <c r="AU64" s="31">
        <f t="shared" si="1922"/>
        <v>2364509.5773169999</v>
      </c>
      <c r="AV64" s="31">
        <f t="shared" si="1922"/>
        <v>2381520.8829650376</v>
      </c>
      <c r="AW64" s="31">
        <f t="shared" si="1922"/>
        <v>2364487.6765456796</v>
      </c>
      <c r="AX64" s="31">
        <f t="shared" si="1922"/>
        <v>2381085.5275698085</v>
      </c>
      <c r="AY64" s="31">
        <f t="shared" si="1922"/>
        <v>2380866.7608800521</v>
      </c>
      <c r="AZ64" s="31">
        <f t="shared" si="1922"/>
        <v>2364454.5508678532</v>
      </c>
      <c r="BA64" s="31">
        <f t="shared" si="1922"/>
        <v>2380427.0374028999</v>
      </c>
      <c r="BB64" s="31">
        <f t="shared" si="1922"/>
        <v>2364432.2826421331</v>
      </c>
      <c r="BC64" s="31">
        <f t="shared" si="1922"/>
        <v>2379984.3775500841</v>
      </c>
      <c r="BD64" s="31">
        <f t="shared" si="1922"/>
        <v>2379761.9403602616</v>
      </c>
      <c r="BE64" s="31">
        <f t="shared" si="1922"/>
        <v>2334118.2801039889</v>
      </c>
      <c r="BF64" s="31">
        <f t="shared" si="1922"/>
        <v>2379314.8391371942</v>
      </c>
      <c r="BG64" s="31">
        <f t="shared" si="1922"/>
        <v>2364375.9593314324</v>
      </c>
      <c r="BH64" s="31">
        <f t="shared" si="1922"/>
        <v>2378864.7522715149</v>
      </c>
      <c r="BI64" s="31">
        <f t="shared" si="1922"/>
        <v>2364353.1662888969</v>
      </c>
      <c r="BJ64" s="31">
        <f t="shared" si="1922"/>
        <v>2378411.659825766</v>
      </c>
      <c r="BK64" s="31">
        <f t="shared" si="1922"/>
        <v>2378183.9802435292</v>
      </c>
      <c r="BL64" s="31">
        <f t="shared" si="1922"/>
        <v>2364318.6910198457</v>
      </c>
      <c r="BM64" s="31">
        <f t="shared" si="1922"/>
        <v>2377726.34175346</v>
      </c>
      <c r="BN64" s="31">
        <f t="shared" si="1922"/>
        <v>2364295.5155522521</v>
      </c>
      <c r="BO64" s="31">
        <f t="shared" si="1922"/>
        <v>2377265.6472552516</v>
      </c>
      <c r="BP64" s="31">
        <f t="shared" si="1922"/>
        <v>2377034.147631113</v>
      </c>
      <c r="BQ64" s="31">
        <f t="shared" si="1922"/>
        <v>2339177.6328729014</v>
      </c>
      <c r="BR64" s="31">
        <f t="shared" si="1922"/>
        <v>2376568.8308143765</v>
      </c>
      <c r="BS64" s="31">
        <f t="shared" si="1922"/>
        <v>2364236.8975429707</v>
      </c>
      <c r="BT64" s="31">
        <f t="shared" si="1922"/>
        <v>2376100.4067153414</v>
      </c>
      <c r="BU64" s="31">
        <f t="shared" ref="BU64:CP64" si="1923">BU62+BU60</f>
        <v>2364213.1758767148</v>
      </c>
      <c r="BV64" s="31">
        <f t="shared" si="1923"/>
        <v>2375628.8545842674</v>
      </c>
      <c r="BW64" s="31">
        <f t="shared" si="1923"/>
        <v>2375391.8989845589</v>
      </c>
      <c r="BX64" s="31">
        <f t="shared" si="1923"/>
        <v>2364177.2960320096</v>
      </c>
      <c r="BY64" s="31">
        <f t="shared" si="1923"/>
        <v>2374915.6155963051</v>
      </c>
      <c r="BZ64" s="31">
        <f t="shared" si="1923"/>
        <v>2364153.176360108</v>
      </c>
      <c r="CA64" s="31">
        <f t="shared" si="1923"/>
        <v>2374436.1516934251</v>
      </c>
      <c r="CB64" s="31">
        <f t="shared" si="1923"/>
        <v>2374195.2204174139</v>
      </c>
      <c r="CC64" s="31">
        <f t="shared" si="1923"/>
        <v>2354279.9029989131</v>
      </c>
      <c r="CD64" s="31">
        <f t="shared" si="1923"/>
        <v>2373710.9458756167</v>
      </c>
      <c r="CE64" s="31">
        <f t="shared" si="1923"/>
        <v>2364092.1701626861</v>
      </c>
      <c r="CF64" s="31">
        <f t="shared" si="1923"/>
        <v>2373223.4374560462</v>
      </c>
      <c r="CG64" s="31">
        <f t="shared" si="1923"/>
        <v>2364067.4820391461</v>
      </c>
      <c r="CH64" s="31">
        <f t="shared" si="1923"/>
        <v>2372732.6735635852</v>
      </c>
      <c r="CI64" s="31">
        <f t="shared" si="1923"/>
        <v>2372486.0640271413</v>
      </c>
      <c r="CJ64" s="31">
        <f t="shared" si="1923"/>
        <v>2364030.140394208</v>
      </c>
      <c r="CK64" s="31">
        <f t="shared" si="1923"/>
        <v>2371990.3761187829</v>
      </c>
      <c r="CL64" s="31">
        <f t="shared" si="1923"/>
        <v>2364005.0380496588</v>
      </c>
      <c r="CM64" s="31">
        <f t="shared" si="1923"/>
        <v>2371491.3781167245</v>
      </c>
      <c r="CN64" s="31">
        <f t="shared" si="1923"/>
        <v>2371240.6309287911</v>
      </c>
      <c r="CO64" s="31">
        <f t="shared" si="1923"/>
        <v>2349923.1138093448</v>
      </c>
      <c r="CP64" s="31">
        <f t="shared" si="1923"/>
        <v>2370736.6262949649</v>
      </c>
      <c r="CQ64" s="31">
        <f>CQ62+CQ60</f>
        <v>2363941.5463656262</v>
      </c>
      <c r="CR64" s="31">
        <f>CR62+CR60</f>
        <v>2370229.2560301945</v>
      </c>
      <c r="CS64" s="31">
        <f>CS62+CS60</f>
        <v>2363915.8524098415</v>
      </c>
      <c r="CT64" s="31">
        <f>CT62+CT60</f>
        <v>2369718.4976595454</v>
      </c>
      <c r="CU64" s="31">
        <f t="shared" ref="CU64:DF64" si="1924">CU62+CU60</f>
        <v>2369461.8408700875</v>
      </c>
      <c r="CV64" s="31">
        <f t="shared" si="1924"/>
        <v>2363876.9894086737</v>
      </c>
      <c r="CW64" s="31">
        <f t="shared" si="1924"/>
        <v>2368945.9578715358</v>
      </c>
      <c r="CX64" s="31">
        <f t="shared" si="1924"/>
        <v>2363850.8643558761</v>
      </c>
      <c r="CY64" s="31">
        <f t="shared" si="1924"/>
        <v>2368426.6299209604</v>
      </c>
      <c r="CZ64" s="31">
        <f t="shared" si="1924"/>
        <v>2368165.6669057077</v>
      </c>
      <c r="DA64" s="31">
        <f t="shared" si="1924"/>
        <v>2355626.3798890044</v>
      </c>
      <c r="DB64" s="31">
        <f t="shared" si="1924"/>
        <v>2367641.1283454602</v>
      </c>
      <c r="DC64" s="31">
        <f t="shared" si="1924"/>
        <v>2363784.7859226735</v>
      </c>
      <c r="DD64" s="31">
        <f t="shared" si="1924"/>
        <v>2367113.0870332723</v>
      </c>
      <c r="DE64" s="31">
        <f t="shared" si="1924"/>
        <v>2363758.0451554866</v>
      </c>
      <c r="DF64" s="31">
        <f t="shared" si="1924"/>
        <v>2366581.519578543</v>
      </c>
      <c r="DG64" s="31">
        <f>DG62+DG60</f>
        <v>2366314.4061954827</v>
      </c>
      <c r="DH64" s="31">
        <f t="shared" ref="DH64:DM64" si="1925">DH62+DH60</f>
        <v>2363717.5988156879</v>
      </c>
      <c r="DI64" s="31">
        <f t="shared" si="1925"/>
        <v>2365777.5053276033</v>
      </c>
      <c r="DJ64" s="31">
        <f t="shared" si="1925"/>
        <v>2363690.4093879308</v>
      </c>
      <c r="DK64" s="31">
        <f t="shared" si="1925"/>
        <v>2365237.0191550404</v>
      </c>
      <c r="DL64" s="31">
        <f t="shared" si="1925"/>
        <v>2364965.4241039008</v>
      </c>
      <c r="DM64" s="31">
        <f t="shared" si="1925"/>
        <v>2361562.0058284309</v>
      </c>
      <c r="DN64" s="31">
        <f>DN62+DN60</f>
        <v>2364419.5150333885</v>
      </c>
      <c r="DO64" s="31">
        <f t="shared" ref="DO64" si="1926">DO62+DO60</f>
        <v>2363621.6388174058</v>
      </c>
      <c r="DP64" s="31">
        <f>DP62+DP60</f>
        <v>2363869.9605034161</v>
      </c>
      <c r="DQ64" s="31">
        <f>DQ62+DQ60</f>
        <v>2363593.8085901043</v>
      </c>
      <c r="DR64" s="31"/>
      <c r="DS64" s="31"/>
    </row>
    <row r="65" spans="1:123" s="53" customFormat="1" ht="14.25" thickBot="1" x14ac:dyDescent="0.3">
      <c r="A65" s="32" t="s">
        <v>9</v>
      </c>
      <c r="B65" s="166"/>
      <c r="C65" s="166"/>
      <c r="D65" s="166"/>
      <c r="E65" s="166"/>
      <c r="F65" s="166"/>
      <c r="G65" s="166"/>
      <c r="H65" s="166"/>
      <c r="I65" s="166">
        <f t="shared" ref="I65:BT65" si="1927">I59-I62</f>
        <v>0</v>
      </c>
      <c r="J65" s="166">
        <f t="shared" si="1927"/>
        <v>0</v>
      </c>
      <c r="K65" s="166">
        <f t="shared" si="1927"/>
        <v>0</v>
      </c>
      <c r="L65" s="166">
        <f t="shared" si="1927"/>
        <v>0</v>
      </c>
      <c r="M65" s="166">
        <f t="shared" si="1927"/>
        <v>0</v>
      </c>
      <c r="N65" s="166">
        <f t="shared" si="1927"/>
        <v>0</v>
      </c>
      <c r="O65" s="166">
        <f t="shared" si="1927"/>
        <v>0</v>
      </c>
      <c r="P65" s="166">
        <f t="shared" si="1927"/>
        <v>0</v>
      </c>
      <c r="Q65" s="166">
        <f t="shared" si="1927"/>
        <v>196100000</v>
      </c>
      <c r="R65" s="166">
        <f t="shared" si="1927"/>
        <v>196100000</v>
      </c>
      <c r="S65" s="166">
        <f t="shared" si="1927"/>
        <v>196100000</v>
      </c>
      <c r="T65" s="166">
        <f t="shared" si="1927"/>
        <v>196100000</v>
      </c>
      <c r="U65" s="166">
        <f t="shared" si="1927"/>
        <v>196100000</v>
      </c>
      <c r="V65" s="166">
        <f t="shared" si="1927"/>
        <v>196100000</v>
      </c>
      <c r="W65" s="166">
        <f t="shared" si="1927"/>
        <v>196100000</v>
      </c>
      <c r="X65" s="166">
        <f t="shared" si="1927"/>
        <v>196100000</v>
      </c>
      <c r="Y65" s="166">
        <f t="shared" si="1927"/>
        <v>196100000</v>
      </c>
      <c r="Z65" s="166">
        <f t="shared" si="1927"/>
        <v>196100000</v>
      </c>
      <c r="AA65" s="166">
        <f t="shared" si="1927"/>
        <v>196100000</v>
      </c>
      <c r="AB65" s="166">
        <f t="shared" si="1927"/>
        <v>189971875</v>
      </c>
      <c r="AC65" s="166">
        <f t="shared" si="1927"/>
        <v>189971875</v>
      </c>
      <c r="AD65" s="166">
        <f t="shared" si="1927"/>
        <v>189971875</v>
      </c>
      <c r="AE65" s="166">
        <f t="shared" si="1927"/>
        <v>183843750</v>
      </c>
      <c r="AF65" s="33">
        <f t="shared" si="1927"/>
        <v>182088773.27306759</v>
      </c>
      <c r="AG65" s="33">
        <f t="shared" si="1927"/>
        <v>180327946.62371209</v>
      </c>
      <c r="AH65" s="33">
        <f t="shared" si="1927"/>
        <v>178561250.55219206</v>
      </c>
      <c r="AI65" s="33">
        <f t="shared" si="1927"/>
        <v>176788665.49376696</v>
      </c>
      <c r="AJ65" s="33">
        <f t="shared" si="1927"/>
        <v>175010171.81848046</v>
      </c>
      <c r="AK65" s="33">
        <f t="shared" si="1927"/>
        <v>173225749.83094299</v>
      </c>
      <c r="AL65" s="33">
        <f t="shared" si="1927"/>
        <v>171435379.77011374</v>
      </c>
      <c r="AM65" s="33">
        <f t="shared" si="1927"/>
        <v>169639041.8090817</v>
      </c>
      <c r="AN65" s="33">
        <f t="shared" si="1927"/>
        <v>167836716.05484626</v>
      </c>
      <c r="AO65" s="33">
        <f t="shared" si="1927"/>
        <v>166028382.54809669</v>
      </c>
      <c r="AP65" s="33">
        <f t="shared" si="1927"/>
        <v>164214021.26299128</v>
      </c>
      <c r="AQ65" s="33">
        <f t="shared" si="1927"/>
        <v>162393612.10693553</v>
      </c>
      <c r="AR65" s="33">
        <f t="shared" si="1927"/>
        <v>160567134.92035958</v>
      </c>
      <c r="AS65" s="33">
        <f t="shared" si="1927"/>
        <v>158734569.47649506</v>
      </c>
      <c r="AT65" s="33">
        <f t="shared" si="1927"/>
        <v>156895895.48115098</v>
      </c>
      <c r="AU65" s="33">
        <f t="shared" si="1927"/>
        <v>155051092.57248908</v>
      </c>
      <c r="AV65" s="33">
        <f t="shared" si="1927"/>
        <v>153200140.32079831</v>
      </c>
      <c r="AW65" s="33">
        <f t="shared" si="1927"/>
        <v>151343018.22826856</v>
      </c>
      <c r="AX65" s="33">
        <f t="shared" si="1927"/>
        <v>149479705.72876373</v>
      </c>
      <c r="AY65" s="33">
        <f t="shared" si="1927"/>
        <v>147610182.18759388</v>
      </c>
      <c r="AZ65" s="33">
        <f t="shared" si="1927"/>
        <v>145734426.90128678</v>
      </c>
      <c r="BA65" s="33">
        <f t="shared" si="1927"/>
        <v>143852419.09735867</v>
      </c>
      <c r="BB65" s="33">
        <f t="shared" si="1927"/>
        <v>141964137.93408415</v>
      </c>
      <c r="BC65" s="33">
        <f t="shared" si="1927"/>
        <v>140069562.50026536</v>
      </c>
      <c r="BD65" s="33">
        <f t="shared" si="1927"/>
        <v>138168671.8150005</v>
      </c>
      <c r="BE65" s="33">
        <f t="shared" si="1927"/>
        <v>136261444.82745144</v>
      </c>
      <c r="BF65" s="33">
        <f t="shared" si="1927"/>
        <v>134347860.41661054</v>
      </c>
      <c r="BG65" s="33">
        <f t="shared" si="1927"/>
        <v>132427897.39106683</v>
      </c>
      <c r="BH65" s="33">
        <f>BH59-BH62</f>
        <v>130501534.48877132</v>
      </c>
      <c r="BI65" s="33">
        <f t="shared" si="1927"/>
        <v>128568750.37680149</v>
      </c>
      <c r="BJ65" s="33">
        <f t="shared" si="1927"/>
        <v>126629523.6511251</v>
      </c>
      <c r="BK65" s="33">
        <f t="shared" si="1927"/>
        <v>124683832.83636312</v>
      </c>
      <c r="BL65" s="33">
        <f t="shared" si="1927"/>
        <v>122731656.38555193</v>
      </c>
      <c r="BM65" s="33">
        <f t="shared" si="1927"/>
        <v>120772972.6799047</v>
      </c>
      <c r="BN65" s="33">
        <f t="shared" si="1927"/>
        <v>118807760.02857198</v>
      </c>
      <c r="BO65" s="33">
        <f t="shared" si="1927"/>
        <v>116835996.66840148</v>
      </c>
      <c r="BP65" s="33">
        <f t="shared" si="1927"/>
        <v>114857660.76369709</v>
      </c>
      <c r="BQ65" s="33">
        <f t="shared" si="1927"/>
        <v>112872730.40597701</v>
      </c>
      <c r="BR65" s="33">
        <f t="shared" si="1927"/>
        <v>110881183.61373121</v>
      </c>
      <c r="BS65" s="33">
        <f t="shared" si="1927"/>
        <v>108882998.33217791</v>
      </c>
      <c r="BT65" s="33">
        <f t="shared" si="1927"/>
        <v>106878152.43301943</v>
      </c>
      <c r="BU65" s="33">
        <f t="shared" ref="BU65:CP65" si="1928">BU59-BU62</f>
        <v>104866623.7141971</v>
      </c>
      <c r="BV65" s="33">
        <f t="shared" si="1928"/>
        <v>102848389.89964536</v>
      </c>
      <c r="BW65" s="33">
        <f t="shared" si="1928"/>
        <v>100823428.6390451</v>
      </c>
      <c r="BX65" s="33">
        <f t="shared" si="1928"/>
        <v>98791717.507576182</v>
      </c>
      <c r="BY65" s="33">
        <f t="shared" si="1928"/>
        <v>96753234.005669042</v>
      </c>
      <c r="BZ65" s="33">
        <f t="shared" si="1928"/>
        <v>94707955.558755547</v>
      </c>
      <c r="CA65" s="33">
        <f t="shared" si="1928"/>
        <v>92655859.517019004</v>
      </c>
      <c r="CB65" s="33">
        <f t="shared" si="1928"/>
        <v>90596923.155143335</v>
      </c>
      <c r="CC65" s="33">
        <f t="shared" si="1928"/>
        <v>88531123.672061414</v>
      </c>
      <c r="CD65" s="33">
        <f t="shared" si="1928"/>
        <v>86458438.190702558</v>
      </c>
      <c r="CE65" s="33">
        <f t="shared" si="1928"/>
        <v>84378843.757739171</v>
      </c>
      <c r="CF65" s="33">
        <f t="shared" si="1928"/>
        <v>82292317.343332574</v>
      </c>
      <c r="CG65" s="33">
        <f t="shared" si="1928"/>
        <v>80198835.84087795</v>
      </c>
      <c r="CH65" s="33">
        <f t="shared" si="1928"/>
        <v>78098376.066748485</v>
      </c>
      <c r="CI65" s="33">
        <f t="shared" si="1928"/>
        <v>75990914.760038584</v>
      </c>
      <c r="CJ65" s="33">
        <f t="shared" si="1928"/>
        <v>73876428.582306311</v>
      </c>
      <c r="CK65" s="33">
        <f t="shared" si="1928"/>
        <v>71754894.117314935</v>
      </c>
      <c r="CL65" s="33">
        <f t="shared" si="1928"/>
        <v>69626287.870773584</v>
      </c>
      <c r="CM65" s="33">
        <f t="shared" si="1928"/>
        <v>67490586.270077094</v>
      </c>
      <c r="CN65" s="33">
        <f t="shared" si="1928"/>
        <v>65347765.664044954</v>
      </c>
      <c r="CO65" s="33">
        <f t="shared" si="1928"/>
        <v>63197802.322659373</v>
      </c>
      <c r="CP65" s="33">
        <f t="shared" si="1928"/>
        <v>61040672.436802506</v>
      </c>
      <c r="CQ65" s="33">
        <f>CQ59-CQ62</f>
        <v>58876352.117992781</v>
      </c>
      <c r="CR65" s="33">
        <f>CR59-CR62</f>
        <v>56704817.398120359</v>
      </c>
      <c r="CS65" s="33">
        <f>CS59-CS62</f>
        <v>54526044.229181692</v>
      </c>
      <c r="CT65" s="33">
        <f>CT59-CT62</f>
        <v>52340008.483013235</v>
      </c>
      <c r="CU65" s="33">
        <f t="shared" ref="CU65:DF65" si="1929">CU59-CU62</f>
        <v>50146685.951024212</v>
      </c>
      <c r="CV65" s="33">
        <f t="shared" si="1929"/>
        <v>47946052.343928561</v>
      </c>
      <c r="CW65" s="33">
        <f t="shared" si="1929"/>
        <v>45738083.291475922</v>
      </c>
      <c r="CX65" s="33">
        <f t="shared" si="1929"/>
        <v>43522754.342181772</v>
      </c>
      <c r="CY65" s="33">
        <f t="shared" si="1929"/>
        <v>41300040.963056646</v>
      </c>
      <c r="CZ65" s="33">
        <f t="shared" si="1929"/>
        <v>39069918.539334439</v>
      </c>
      <c r="DA65" s="33">
        <f t="shared" si="1929"/>
        <v>36832362.374199823</v>
      </c>
      <c r="DB65" s="33">
        <f t="shared" si="1929"/>
        <v>34587347.688514754</v>
      </c>
      <c r="DC65" s="33">
        <f t="shared" si="1929"/>
        <v>32334849.620544072</v>
      </c>
      <c r="DD65" s="33">
        <f t="shared" si="1929"/>
        <v>30074843.225680154</v>
      </c>
      <c r="DE65" s="33">
        <f t="shared" si="1929"/>
        <v>27807303.476166688</v>
      </c>
      <c r="DF65" s="33">
        <f t="shared" si="1929"/>
        <v>25532205.26082151</v>
      </c>
      <c r="DG65" s="33">
        <f>DG59-DG62</f>
        <v>23249523.384758517</v>
      </c>
      <c r="DH65" s="33">
        <f t="shared" ref="DH65:DM65" si="1930">DH59-DH62</f>
        <v>20959232.569108646</v>
      </c>
      <c r="DI65" s="33">
        <f t="shared" si="1930"/>
        <v>18661307.450739942</v>
      </c>
      <c r="DJ65" s="33">
        <f t="shared" si="1930"/>
        <v>16355722.581976676</v>
      </c>
      <c r="DK65" s="33">
        <f t="shared" si="1930"/>
        <v>14042452.430317532</v>
      </c>
      <c r="DL65" s="33">
        <f t="shared" si="1930"/>
        <v>11721471.378152858</v>
      </c>
      <c r="DM65" s="33">
        <f t="shared" si="1930"/>
        <v>9392753.7224809695</v>
      </c>
      <c r="DN65" s="33">
        <f>DN59-DN62</f>
        <v>7056273.6746235071</v>
      </c>
      <c r="DO65" s="33">
        <f t="shared" ref="DO65:DQ65" si="1931">DO59-DO62</f>
        <v>4712005.3599398527</v>
      </c>
      <c r="DP65" s="33">
        <f t="shared" si="1931"/>
        <v>2359922.8175405865</v>
      </c>
      <c r="DQ65" s="33">
        <f t="shared" si="1931"/>
        <v>-1.0244548320770264E-8</v>
      </c>
      <c r="DR65" s="33"/>
      <c r="DS65" s="33"/>
    </row>
  </sheetData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C28:F28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6"/>
  <sheetViews>
    <sheetView topLeftCell="A13" zoomScaleNormal="100" workbookViewId="0"/>
  </sheetViews>
  <sheetFormatPr defaultColWidth="9.140625" defaultRowHeight="13.5" x14ac:dyDescent="0.25"/>
  <cols>
    <col min="1" max="1" width="15" style="53" bestFit="1" customWidth="1"/>
    <col min="2" max="2" width="16.140625" style="53" customWidth="1"/>
    <col min="3" max="3" width="16.28515625" style="53" customWidth="1"/>
    <col min="4" max="4" width="17.7109375" style="53" customWidth="1"/>
    <col min="5" max="5" width="16.5703125" style="53" bestFit="1" customWidth="1"/>
    <col min="6" max="6" width="20.28515625" style="53" bestFit="1" customWidth="1"/>
    <col min="7" max="7" width="16" style="53" bestFit="1" customWidth="1"/>
    <col min="8" max="8" width="14.5703125" style="53" bestFit="1" customWidth="1"/>
    <col min="9" max="16384" width="9.140625" style="53"/>
  </cols>
  <sheetData>
    <row r="1" spans="1:8" ht="16.5" x14ac:dyDescent="0.3">
      <c r="A1" s="17" t="s">
        <v>0</v>
      </c>
      <c r="B1" s="18"/>
      <c r="C1" s="17" t="str">
        <f>MCML_Loan!C1</f>
        <v>Meghna Cement Mills Limited (MCML)</v>
      </c>
      <c r="D1" s="18"/>
      <c r="E1" s="18"/>
    </row>
    <row r="2" spans="1:8" ht="16.5" x14ac:dyDescent="0.3">
      <c r="A2" s="17"/>
      <c r="B2" s="18"/>
      <c r="C2" s="18"/>
      <c r="D2" s="18"/>
      <c r="E2" s="18"/>
    </row>
    <row r="3" spans="1:8" ht="15" x14ac:dyDescent="0.3">
      <c r="A3" s="21" t="s">
        <v>4</v>
      </c>
      <c r="B3" s="22"/>
      <c r="C3" s="89">
        <f>MCML_Loan!C3</f>
        <v>42899</v>
      </c>
      <c r="D3" s="21"/>
      <c r="E3" s="21"/>
    </row>
    <row r="4" spans="1:8" x14ac:dyDescent="0.25">
      <c r="A4" s="22"/>
      <c r="B4" s="22"/>
      <c r="C4" s="22"/>
      <c r="D4" s="22"/>
      <c r="E4" s="22"/>
    </row>
    <row r="5" spans="1:8" ht="15" x14ac:dyDescent="0.3">
      <c r="A5" s="21" t="s">
        <v>2</v>
      </c>
      <c r="B5" s="22"/>
      <c r="C5" s="90">
        <f>MCML_Loan!C5</f>
        <v>1270000000</v>
      </c>
      <c r="D5" s="21"/>
      <c r="E5" s="22"/>
    </row>
    <row r="6" spans="1:8" ht="15" x14ac:dyDescent="0.3">
      <c r="A6" s="21"/>
      <c r="B6" s="22"/>
      <c r="C6" s="22"/>
      <c r="D6" s="22"/>
      <c r="E6" s="22"/>
    </row>
    <row r="7" spans="1:8" ht="15" x14ac:dyDescent="0.3">
      <c r="A7" s="21" t="s">
        <v>3</v>
      </c>
      <c r="B7" s="22"/>
      <c r="C7" s="92">
        <f>MCML_Loan!C8</f>
        <v>7.0000000000000007E-2</v>
      </c>
      <c r="D7" s="22"/>
      <c r="E7" s="22"/>
    </row>
    <row r="8" spans="1:8" ht="15" x14ac:dyDescent="0.3">
      <c r="A8" s="93"/>
      <c r="B8" s="22"/>
      <c r="C8" s="94"/>
      <c r="D8" s="91"/>
      <c r="E8" s="22"/>
    </row>
    <row r="9" spans="1:8" ht="15" x14ac:dyDescent="0.3">
      <c r="A9" s="93" t="s">
        <v>48</v>
      </c>
      <c r="B9" s="91"/>
      <c r="C9" s="95">
        <f>MCML_Loan!C13</f>
        <v>32</v>
      </c>
      <c r="D9" s="22"/>
      <c r="E9" s="22"/>
    </row>
    <row r="10" spans="1:8" ht="15" x14ac:dyDescent="0.3">
      <c r="A10" s="93"/>
      <c r="B10" s="96"/>
      <c r="C10" s="97"/>
      <c r="D10" s="22"/>
      <c r="E10" s="22"/>
    </row>
    <row r="11" spans="1:8" ht="15" x14ac:dyDescent="0.3">
      <c r="A11" s="93" t="s">
        <v>62</v>
      </c>
      <c r="B11" s="96"/>
      <c r="C11" s="97"/>
      <c r="D11" s="22"/>
      <c r="E11" s="22"/>
    </row>
    <row r="12" spans="1:8" ht="15" x14ac:dyDescent="0.3">
      <c r="A12" s="98"/>
      <c r="B12" s="99"/>
      <c r="C12" s="99">
        <f>MCML_Loan!C16</f>
        <v>42935</v>
      </c>
      <c r="D12" s="99">
        <f>MCML_Loan!D16</f>
        <v>43151</v>
      </c>
      <c r="E12" s="99">
        <f>MCML_Loan!E16</f>
        <v>43382</v>
      </c>
      <c r="F12" s="108"/>
    </row>
    <row r="13" spans="1:8" ht="15" x14ac:dyDescent="0.3">
      <c r="A13" s="100"/>
      <c r="B13" s="101"/>
      <c r="C13" s="102">
        <f>MCML_Loan!C17</f>
        <v>123820000</v>
      </c>
      <c r="D13" s="102">
        <f>MCML_Loan!D17</f>
        <v>950080000</v>
      </c>
      <c r="E13" s="102">
        <f>MCML_Loan!E17</f>
        <v>196100000</v>
      </c>
      <c r="F13" s="108"/>
    </row>
    <row r="14" spans="1:8" ht="15" x14ac:dyDescent="0.3">
      <c r="A14" s="103"/>
      <c r="B14" s="104"/>
      <c r="C14" s="105">
        <f>C13</f>
        <v>123820000</v>
      </c>
      <c r="D14" s="105">
        <f>C14+D13</f>
        <v>1073900000</v>
      </c>
      <c r="E14" s="105">
        <f>D14+E13</f>
        <v>1270000000</v>
      </c>
      <c r="F14" s="108"/>
    </row>
    <row r="15" spans="1:8" x14ac:dyDescent="0.25">
      <c r="A15" s="106"/>
      <c r="D15" s="108"/>
      <c r="E15" s="108"/>
      <c r="F15" s="108"/>
    </row>
    <row r="16" spans="1:8" ht="15" x14ac:dyDescent="0.25">
      <c r="A16" s="137" t="str">
        <f t="array" ref="A16:H116">+TRANSPOSE(MCML_Loan!A26:CW33)</f>
        <v>Repayment Date</v>
      </c>
      <c r="B16" s="138" t="str">
        <v>Opening Balance</v>
      </c>
      <c r="C16" s="138" t="str">
        <v>Interest Payment</v>
      </c>
      <c r="D16" s="138" t="str">
        <v>Cumulative interest</v>
      </c>
      <c r="E16" s="138" t="str">
        <v>Principal Payment</v>
      </c>
      <c r="F16" s="138" t="str">
        <v>Cumulative repayment</v>
      </c>
      <c r="G16" s="138" t="str">
        <v>Total Debt Service</v>
      </c>
      <c r="H16" s="138" t="str">
        <v>Closing Balance</v>
      </c>
    </row>
    <row r="17" spans="1:13" x14ac:dyDescent="0.25">
      <c r="A17" s="113">
        <v>42992</v>
      </c>
      <c r="B17" s="107">
        <v>123820000</v>
      </c>
      <c r="C17" s="107">
        <v>1372338.3333333335</v>
      </c>
      <c r="D17" s="107">
        <v>1372338.3333333335</v>
      </c>
      <c r="E17" s="107">
        <v>0</v>
      </c>
      <c r="F17" s="107">
        <v>0</v>
      </c>
      <c r="G17" s="107">
        <v>1372338.3333333335</v>
      </c>
      <c r="H17" s="107">
        <v>123820000</v>
      </c>
      <c r="K17" s="154"/>
      <c r="L17" s="155"/>
    </row>
    <row r="18" spans="1:13" x14ac:dyDescent="0.25">
      <c r="A18" s="113">
        <v>43083</v>
      </c>
      <c r="B18" s="107">
        <v>123820000</v>
      </c>
      <c r="C18" s="107">
        <v>2190926.1111111115</v>
      </c>
      <c r="D18" s="107">
        <v>3563264.444444445</v>
      </c>
      <c r="E18" s="107">
        <v>0</v>
      </c>
      <c r="F18" s="107">
        <v>0</v>
      </c>
      <c r="G18" s="107">
        <v>2190926.1111111115</v>
      </c>
      <c r="H18" s="107">
        <v>123820000</v>
      </c>
      <c r="K18" s="154"/>
      <c r="L18" s="155"/>
    </row>
    <row r="19" spans="1:13" x14ac:dyDescent="0.25">
      <c r="A19" s="113">
        <v>43174</v>
      </c>
      <c r="B19" s="107">
        <v>1073900000</v>
      </c>
      <c r="C19" s="107">
        <v>5500926.6666666679</v>
      </c>
      <c r="D19" s="107">
        <v>9064191.1111111119</v>
      </c>
      <c r="E19" s="107">
        <v>0</v>
      </c>
      <c r="F19" s="107">
        <v>0</v>
      </c>
      <c r="G19" s="107">
        <v>5500926.6666666679</v>
      </c>
      <c r="H19" s="107">
        <v>1073900000</v>
      </c>
      <c r="K19" s="154"/>
      <c r="L19" s="155"/>
    </row>
    <row r="20" spans="1:13" x14ac:dyDescent="0.25">
      <c r="A20" s="113">
        <v>43265</v>
      </c>
      <c r="B20" s="107">
        <v>1073900000</v>
      </c>
      <c r="C20" s="107">
        <v>10858322.222222222</v>
      </c>
      <c r="D20" s="107">
        <v>19922513.333333336</v>
      </c>
      <c r="E20" s="107">
        <v>0</v>
      </c>
      <c r="F20" s="107">
        <v>0</v>
      </c>
      <c r="G20" s="107">
        <v>10858322.222222222</v>
      </c>
      <c r="H20" s="107">
        <v>1073900000</v>
      </c>
      <c r="K20" s="154"/>
      <c r="L20" s="155"/>
    </row>
    <row r="21" spans="1:13" x14ac:dyDescent="0.25">
      <c r="A21" s="113">
        <v>43356</v>
      </c>
      <c r="B21" s="107">
        <v>1073900000</v>
      </c>
      <c r="C21" s="107">
        <v>10858322.222222222</v>
      </c>
      <c r="D21" s="107">
        <v>30780835.55555556</v>
      </c>
      <c r="E21" s="107">
        <v>0</v>
      </c>
      <c r="F21" s="107">
        <v>0</v>
      </c>
      <c r="G21" s="107">
        <v>10858322.222222222</v>
      </c>
      <c r="H21" s="107">
        <v>1073900000</v>
      </c>
      <c r="K21" s="154"/>
      <c r="L21" s="155"/>
    </row>
    <row r="22" spans="1:13" x14ac:dyDescent="0.25">
      <c r="A22" s="113">
        <v>43447</v>
      </c>
      <c r="B22" s="107">
        <v>1270000000</v>
      </c>
      <c r="C22" s="107">
        <v>13336808.333333334</v>
      </c>
      <c r="D22" s="107">
        <v>44117643.888888896</v>
      </c>
      <c r="E22" s="107">
        <v>0</v>
      </c>
      <c r="F22" s="107">
        <v>0</v>
      </c>
      <c r="G22" s="107">
        <v>13336808.333333334</v>
      </c>
      <c r="H22" s="107">
        <v>1270000000</v>
      </c>
      <c r="K22" s="154"/>
      <c r="L22" s="155"/>
    </row>
    <row r="23" spans="1:13" x14ac:dyDescent="0.25">
      <c r="A23" s="113">
        <v>43538</v>
      </c>
      <c r="B23" s="107">
        <v>1270000000</v>
      </c>
      <c r="C23" s="107">
        <v>12841111.111111112</v>
      </c>
      <c r="D23" s="107">
        <v>56958755.000000007</v>
      </c>
      <c r="E23" s="107">
        <v>0</v>
      </c>
      <c r="F23" s="107">
        <v>0</v>
      </c>
      <c r="G23" s="107">
        <v>12841111.111111112</v>
      </c>
      <c r="H23" s="107">
        <v>1270000000</v>
      </c>
      <c r="K23" s="154"/>
      <c r="L23" s="155"/>
    </row>
    <row r="24" spans="1:13" x14ac:dyDescent="0.25">
      <c r="A24" s="113">
        <v>43629</v>
      </c>
      <c r="B24" s="107">
        <v>1270000000</v>
      </c>
      <c r="C24" s="107">
        <v>12841111.111111112</v>
      </c>
      <c r="D24" s="107">
        <v>69799866.111111119</v>
      </c>
      <c r="E24" s="107">
        <v>0</v>
      </c>
      <c r="F24" s="107">
        <v>0</v>
      </c>
      <c r="G24" s="107">
        <v>12841111.111111112</v>
      </c>
      <c r="H24" s="107">
        <v>1270000000</v>
      </c>
      <c r="K24" s="154"/>
      <c r="L24" s="155"/>
      <c r="M24" s="156"/>
    </row>
    <row r="25" spans="1:13" x14ac:dyDescent="0.25">
      <c r="A25" s="113">
        <v>43723</v>
      </c>
      <c r="B25" s="107">
        <v>1270000000</v>
      </c>
      <c r="C25" s="107">
        <v>13264444.444444444</v>
      </c>
      <c r="D25" s="107">
        <v>83064310.555555567</v>
      </c>
      <c r="E25" s="107">
        <v>39687500</v>
      </c>
      <c r="F25" s="107">
        <v>39687500</v>
      </c>
      <c r="G25" s="107">
        <v>52951944.444444448</v>
      </c>
      <c r="H25" s="107">
        <v>1230312500</v>
      </c>
      <c r="K25" s="154"/>
      <c r="L25" s="155"/>
      <c r="M25" s="156"/>
    </row>
    <row r="26" spans="1:13" x14ac:dyDescent="0.25">
      <c r="A26" s="113">
        <v>43814</v>
      </c>
      <c r="B26" s="107">
        <v>1230312500</v>
      </c>
      <c r="C26" s="107">
        <v>12439826.388888888</v>
      </c>
      <c r="D26" s="107">
        <v>95504136.944444448</v>
      </c>
      <c r="E26" s="107">
        <v>39687500</v>
      </c>
      <c r="F26" s="107">
        <v>79375000</v>
      </c>
      <c r="G26" s="107">
        <v>52127326.388888888</v>
      </c>
      <c r="H26" s="107">
        <v>1190625000</v>
      </c>
      <c r="K26" s="154"/>
      <c r="L26" s="155"/>
      <c r="M26" s="156"/>
    </row>
    <row r="27" spans="1:13" x14ac:dyDescent="0.25">
      <c r="A27" s="113">
        <v>43845</v>
      </c>
      <c r="B27" s="107">
        <v>1190625000</v>
      </c>
      <c r="C27" s="107">
        <v>4101041.6666666665</v>
      </c>
      <c r="D27" s="107">
        <v>99605178.611111119</v>
      </c>
      <c r="E27" s="107">
        <v>11365734.029597891</v>
      </c>
      <c r="F27" s="107">
        <v>90740734.029597893</v>
      </c>
      <c r="G27" s="107">
        <v>15466775.696264558</v>
      </c>
      <c r="H27" s="107">
        <v>1179259265.970402</v>
      </c>
      <c r="K27" s="154"/>
      <c r="L27" s="155"/>
      <c r="M27" s="156"/>
    </row>
    <row r="28" spans="1:13" x14ac:dyDescent="0.25">
      <c r="A28" s="113">
        <v>43874</v>
      </c>
      <c r="B28" s="107">
        <v>1179259265.9704022</v>
      </c>
      <c r="C28" s="107">
        <v>3799835.4125712956</v>
      </c>
      <c r="D28" s="107">
        <v>103405014.02368242</v>
      </c>
      <c r="E28" s="107">
        <v>11403619.809696553</v>
      </c>
      <c r="F28" s="107">
        <v>102144353.83929445</v>
      </c>
      <c r="G28" s="107">
        <v>15203455.222267849</v>
      </c>
      <c r="H28" s="107">
        <v>1167855646.1607058</v>
      </c>
      <c r="K28" s="154"/>
      <c r="L28" s="155"/>
      <c r="M28" s="156"/>
    </row>
    <row r="29" spans="1:13" x14ac:dyDescent="0.25">
      <c r="A29" s="113">
        <v>43905</v>
      </c>
      <c r="B29" s="107">
        <v>1167855646.1607056</v>
      </c>
      <c r="C29" s="107">
        <v>4022613.8923313199</v>
      </c>
      <c r="D29" s="107">
        <v>107427627.91601373</v>
      </c>
      <c r="E29" s="107">
        <v>11441631.875728872</v>
      </c>
      <c r="F29" s="107">
        <v>113585985.71502332</v>
      </c>
      <c r="G29" s="107">
        <v>15464245.768060192</v>
      </c>
      <c r="H29" s="107">
        <v>1156414014.2849767</v>
      </c>
      <c r="K29" s="154"/>
      <c r="L29" s="155"/>
      <c r="M29" s="156"/>
    </row>
    <row r="30" spans="1:13" x14ac:dyDescent="0.25">
      <c r="A30" s="113">
        <v>43936</v>
      </c>
      <c r="B30" s="107">
        <v>1156414014.2849767</v>
      </c>
      <c r="C30" s="107">
        <v>3983203.8269815864</v>
      </c>
      <c r="D30" s="107">
        <v>111410831.74299532</v>
      </c>
      <c r="E30" s="107">
        <v>11479770.648647971</v>
      </c>
      <c r="F30" s="107">
        <v>125065756.3636713</v>
      </c>
      <c r="G30" s="107">
        <v>15462974.475629557</v>
      </c>
      <c r="H30" s="107">
        <v>1144934243.6363287</v>
      </c>
      <c r="K30" s="154"/>
      <c r="L30" s="155"/>
      <c r="M30" s="156"/>
    </row>
    <row r="31" spans="1:13" x14ac:dyDescent="0.25">
      <c r="A31" s="113">
        <v>43965</v>
      </c>
      <c r="B31" s="107">
        <v>1144934243.6363287</v>
      </c>
      <c r="C31" s="107">
        <v>3689232.5628281701</v>
      </c>
      <c r="D31" s="107">
        <v>115100064.30582349</v>
      </c>
      <c r="E31" s="107">
        <v>11518036.550810128</v>
      </c>
      <c r="F31" s="107">
        <v>136583792.91448143</v>
      </c>
      <c r="G31" s="107">
        <v>15207269.113638299</v>
      </c>
      <c r="H31" s="107">
        <v>1133416207.0855186</v>
      </c>
      <c r="K31" s="154"/>
      <c r="L31" s="155"/>
      <c r="M31" s="156"/>
    </row>
    <row r="32" spans="1:13" x14ac:dyDescent="0.25">
      <c r="A32" s="113">
        <v>43997</v>
      </c>
      <c r="B32" s="107">
        <v>1133416207.0855186</v>
      </c>
      <c r="C32" s="107">
        <v>4029924.2918596221</v>
      </c>
      <c r="D32" s="107">
        <v>119129988.59768312</v>
      </c>
      <c r="E32" s="107">
        <v>11556430.005979495</v>
      </c>
      <c r="F32" s="107">
        <v>148140222.92046094</v>
      </c>
      <c r="G32" s="107">
        <v>15586354.297839116</v>
      </c>
      <c r="H32" s="107">
        <v>1121859777.0795391</v>
      </c>
      <c r="K32" s="154"/>
      <c r="L32" s="155"/>
      <c r="M32" s="156"/>
    </row>
    <row r="33" spans="1:13" x14ac:dyDescent="0.25">
      <c r="A33" s="113">
        <v>44027</v>
      </c>
      <c r="B33" s="107">
        <v>1121859777.0795393</v>
      </c>
      <c r="C33" s="107">
        <v>3739532.5902651306</v>
      </c>
      <c r="D33" s="107">
        <v>122869521.18794824</v>
      </c>
      <c r="E33" s="107">
        <v>11594951.439332761</v>
      </c>
      <c r="F33" s="107">
        <v>159735174.35979369</v>
      </c>
      <c r="G33" s="107">
        <v>15334484.029597891</v>
      </c>
      <c r="H33" s="107">
        <v>1110264825.6402066</v>
      </c>
      <c r="K33" s="154"/>
      <c r="L33" s="155"/>
      <c r="M33" s="156"/>
    </row>
    <row r="34" spans="1:13" x14ac:dyDescent="0.25">
      <c r="A34" s="113">
        <v>44056</v>
      </c>
      <c r="B34" s="107">
        <v>1110264825.6402063</v>
      </c>
      <c r="C34" s="107">
        <v>3577519.9937295537</v>
      </c>
      <c r="D34" s="107">
        <v>126447041.18167779</v>
      </c>
      <c r="E34" s="107">
        <v>11633601.277463872</v>
      </c>
      <c r="F34" s="107">
        <v>171368775.63725758</v>
      </c>
      <c r="G34" s="107">
        <v>15211121.271193426</v>
      </c>
      <c r="H34" s="107">
        <v>1098631224.3627424</v>
      </c>
      <c r="K34" s="154"/>
      <c r="L34" s="155"/>
      <c r="M34" s="156"/>
    </row>
    <row r="35" spans="1:13" x14ac:dyDescent="0.25">
      <c r="A35" s="113">
        <v>44089</v>
      </c>
      <c r="B35" s="107">
        <v>1098631224.3627424</v>
      </c>
      <c r="C35" s="107">
        <v>4028314.4893300557</v>
      </c>
      <c r="D35" s="107">
        <v>130475355.67100784</v>
      </c>
      <c r="E35" s="107">
        <v>11672379.94838875</v>
      </c>
      <c r="F35" s="107">
        <v>183041155.58564633</v>
      </c>
      <c r="G35" s="107">
        <v>15700694.437718805</v>
      </c>
      <c r="H35" s="107">
        <v>1086958844.4143536</v>
      </c>
      <c r="K35" s="154"/>
      <c r="L35" s="155"/>
      <c r="M35" s="156"/>
    </row>
    <row r="36" spans="1:13" x14ac:dyDescent="0.25">
      <c r="A36" s="113">
        <v>44119</v>
      </c>
      <c r="B36" s="107">
        <v>1086958844.4143536</v>
      </c>
      <c r="C36" s="107">
        <v>3623196.1480478453</v>
      </c>
      <c r="D36" s="107">
        <v>134098551.81905569</v>
      </c>
      <c r="E36" s="107">
        <v>11711287.881550048</v>
      </c>
      <c r="F36" s="107">
        <v>194752443.46719638</v>
      </c>
      <c r="G36" s="107">
        <v>15334484.029597893</v>
      </c>
      <c r="H36" s="107">
        <v>1075247556.5328035</v>
      </c>
      <c r="K36" s="154"/>
      <c r="L36" s="155"/>
      <c r="M36" s="156"/>
    </row>
    <row r="37" spans="1:13" x14ac:dyDescent="0.25">
      <c r="A37" s="113">
        <v>44150</v>
      </c>
      <c r="B37" s="107">
        <v>1075247556.5328035</v>
      </c>
      <c r="C37" s="107">
        <v>3703630.4725018796</v>
      </c>
      <c r="D37" s="107">
        <v>137802182.29155758</v>
      </c>
      <c r="E37" s="107">
        <v>11750325.507821878</v>
      </c>
      <c r="F37" s="107">
        <v>206502768.97501826</v>
      </c>
      <c r="G37" s="107">
        <v>15453955.980323758</v>
      </c>
      <c r="H37" s="107">
        <v>1063497231.0249816</v>
      </c>
      <c r="K37" s="154"/>
      <c r="L37" s="155"/>
      <c r="M37" s="156"/>
    </row>
    <row r="38" spans="1:13" x14ac:dyDescent="0.25">
      <c r="A38" s="113">
        <v>44180</v>
      </c>
      <c r="B38" s="107">
        <v>1063497231.0249817</v>
      </c>
      <c r="C38" s="107">
        <v>3544990.7700832724</v>
      </c>
      <c r="D38" s="107">
        <v>141347173.06164086</v>
      </c>
      <c r="E38" s="107">
        <v>11789493.259514621</v>
      </c>
      <c r="F38" s="107">
        <v>218292262.23453289</v>
      </c>
      <c r="G38" s="107">
        <v>15334484.029597893</v>
      </c>
      <c r="H38" s="107">
        <v>1051707737.7654672</v>
      </c>
      <c r="K38" s="154"/>
      <c r="L38" s="155"/>
      <c r="M38" s="156"/>
    </row>
    <row r="39" spans="1:13" x14ac:dyDescent="0.25">
      <c r="A39" s="113">
        <v>44211</v>
      </c>
      <c r="B39" s="107">
        <v>1051707737.765467</v>
      </c>
      <c r="C39" s="107">
        <v>3622548.8745254977</v>
      </c>
      <c r="D39" s="107">
        <v>144969721.93616635</v>
      </c>
      <c r="E39" s="107">
        <v>11828791.570379669</v>
      </c>
      <c r="F39" s="107">
        <v>230121053.80491257</v>
      </c>
      <c r="G39" s="107">
        <v>15451340.444905166</v>
      </c>
      <c r="H39" s="107">
        <v>1039878946.1950874</v>
      </c>
      <c r="K39" s="154"/>
      <c r="L39" s="155"/>
      <c r="M39" s="156"/>
    </row>
    <row r="40" spans="1:13" x14ac:dyDescent="0.25">
      <c r="A40" s="113">
        <v>44242</v>
      </c>
      <c r="B40" s="107">
        <v>1039878946.1950874</v>
      </c>
      <c r="C40" s="107">
        <v>3581805.2591164121</v>
      </c>
      <c r="D40" s="107">
        <v>148551527.19528276</v>
      </c>
      <c r="E40" s="107">
        <v>11868220.875614267</v>
      </c>
      <c r="F40" s="107">
        <v>241989274.68052682</v>
      </c>
      <c r="G40" s="107">
        <v>15450026.134730678</v>
      </c>
      <c r="H40" s="107">
        <v>1028010725.3194731</v>
      </c>
      <c r="K40" s="154"/>
      <c r="L40" s="155"/>
      <c r="M40" s="156"/>
    </row>
    <row r="41" spans="1:13" x14ac:dyDescent="0.25">
      <c r="A41" s="113">
        <v>44270</v>
      </c>
      <c r="B41" s="107">
        <v>1028010725.319473</v>
      </c>
      <c r="C41" s="107">
        <v>3198255.5898828055</v>
      </c>
      <c r="D41" s="107">
        <v>151749782.78516555</v>
      </c>
      <c r="E41" s="107">
        <v>11907781.611866316</v>
      </c>
      <c r="F41" s="107">
        <v>253897056.29239315</v>
      </c>
      <c r="G41" s="107">
        <v>15106037.201749122</v>
      </c>
      <c r="H41" s="107">
        <v>1016102943.7076067</v>
      </c>
      <c r="K41" s="154"/>
      <c r="L41" s="155"/>
      <c r="M41" s="156"/>
    </row>
    <row r="42" spans="1:13" x14ac:dyDescent="0.25">
      <c r="A42" s="113">
        <v>44301</v>
      </c>
      <c r="B42" s="107">
        <v>1016102943.7076068</v>
      </c>
      <c r="C42" s="107">
        <v>3499910.1394373123</v>
      </c>
      <c r="D42" s="107">
        <v>155249692.92460287</v>
      </c>
      <c r="E42" s="107">
        <v>11947474.217239203</v>
      </c>
      <c r="F42" s="107">
        <v>265844530.50963235</v>
      </c>
      <c r="G42" s="107">
        <v>15447384.356676515</v>
      </c>
      <c r="H42" s="107">
        <v>1004155469.4903675</v>
      </c>
      <c r="K42" s="154"/>
      <c r="L42" s="155"/>
      <c r="M42" s="156"/>
    </row>
    <row r="43" spans="1:13" x14ac:dyDescent="0.25">
      <c r="A43" s="113">
        <v>44331</v>
      </c>
      <c r="B43" s="107">
        <v>1004155469.4903677</v>
      </c>
      <c r="C43" s="107">
        <v>3347184.8983012256</v>
      </c>
      <c r="D43" s="107">
        <v>158596877.82290408</v>
      </c>
      <c r="E43" s="107">
        <v>11987299.131296666</v>
      </c>
      <c r="F43" s="107">
        <v>277831829.64092904</v>
      </c>
      <c r="G43" s="107">
        <v>15334484.029597891</v>
      </c>
      <c r="H43" s="107">
        <v>992168170.35907102</v>
      </c>
      <c r="K43" s="154"/>
      <c r="L43" s="155"/>
      <c r="M43" s="156"/>
    </row>
    <row r="44" spans="1:13" x14ac:dyDescent="0.25">
      <c r="A44" s="113">
        <v>44362</v>
      </c>
      <c r="B44" s="107">
        <v>992168170.3590709</v>
      </c>
      <c r="C44" s="107">
        <v>3417468.1423479114</v>
      </c>
      <c r="D44" s="107">
        <v>162014345.96525198</v>
      </c>
      <c r="E44" s="107">
        <v>12027256.795067657</v>
      </c>
      <c r="F44" s="107">
        <v>289859086.43599671</v>
      </c>
      <c r="G44" s="107">
        <v>15444724.937415568</v>
      </c>
      <c r="H44" s="107">
        <v>980140913.56400323</v>
      </c>
      <c r="K44" s="154"/>
      <c r="L44" s="155"/>
      <c r="M44" s="156"/>
    </row>
    <row r="45" spans="1:13" x14ac:dyDescent="0.25">
      <c r="A45" s="113">
        <v>44392</v>
      </c>
      <c r="B45" s="107">
        <v>980140913.56400323</v>
      </c>
      <c r="C45" s="107">
        <v>3267136.3785466775</v>
      </c>
      <c r="D45" s="107">
        <v>165281482.34379867</v>
      </c>
      <c r="E45" s="107">
        <v>12067347.651051216</v>
      </c>
      <c r="F45" s="107">
        <v>301926434.08704793</v>
      </c>
      <c r="G45" s="107">
        <v>15334484.029597893</v>
      </c>
      <c r="H45" s="107">
        <v>968073565.91295207</v>
      </c>
      <c r="K45" s="154"/>
      <c r="L45" s="155"/>
      <c r="M45" s="156"/>
    </row>
    <row r="46" spans="1:13" x14ac:dyDescent="0.25">
      <c r="A46" s="113">
        <v>44423</v>
      </c>
      <c r="B46" s="107">
        <v>968073565.91295195</v>
      </c>
      <c r="C46" s="107">
        <v>3334475.61592239</v>
      </c>
      <c r="D46" s="107">
        <v>168615957.95972106</v>
      </c>
      <c r="E46" s="107">
        <v>12107572.143221386</v>
      </c>
      <c r="F46" s="107">
        <v>314034006.23026931</v>
      </c>
      <c r="G46" s="107">
        <v>15442047.759143775</v>
      </c>
      <c r="H46" s="107">
        <v>955965993.76973057</v>
      </c>
      <c r="K46" s="154"/>
      <c r="L46" s="155"/>
      <c r="M46" s="156"/>
    </row>
    <row r="47" spans="1:13" x14ac:dyDescent="0.25">
      <c r="A47" s="113">
        <v>44454</v>
      </c>
      <c r="B47" s="107">
        <v>955965993.76973057</v>
      </c>
      <c r="C47" s="107">
        <v>3292771.7563179615</v>
      </c>
      <c r="D47" s="107">
        <v>171908729.71603903</v>
      </c>
      <c r="E47" s="107">
        <v>12147930.717032123</v>
      </c>
      <c r="F47" s="107">
        <v>326181936.94730145</v>
      </c>
      <c r="G47" s="107">
        <v>15440702.473350085</v>
      </c>
      <c r="H47" s="107">
        <v>943818063.05269849</v>
      </c>
      <c r="K47" s="154"/>
      <c r="L47" s="155"/>
      <c r="M47" s="156"/>
    </row>
    <row r="48" spans="1:13" x14ac:dyDescent="0.25">
      <c r="A48" s="113">
        <v>44484</v>
      </c>
      <c r="B48" s="107">
        <v>943818063.05269861</v>
      </c>
      <c r="C48" s="107">
        <v>3146060.2101756618</v>
      </c>
      <c r="D48" s="107">
        <v>175054789.92621469</v>
      </c>
      <c r="E48" s="107">
        <v>12188423.819422228</v>
      </c>
      <c r="F48" s="107">
        <v>338370360.76672369</v>
      </c>
      <c r="G48" s="107">
        <v>15334484.02959789</v>
      </c>
      <c r="H48" s="107">
        <v>931629639.23327637</v>
      </c>
      <c r="K48" s="154"/>
      <c r="L48" s="155"/>
      <c r="M48" s="156"/>
    </row>
    <row r="49" spans="1:13" x14ac:dyDescent="0.25">
      <c r="A49" s="113">
        <v>44515</v>
      </c>
      <c r="B49" s="107">
        <v>931629639.23327637</v>
      </c>
      <c r="C49" s="107">
        <v>3208946.5351368403</v>
      </c>
      <c r="D49" s="107">
        <v>178263736.46135154</v>
      </c>
      <c r="E49" s="107">
        <v>12229051.898820305</v>
      </c>
      <c r="F49" s="107">
        <v>350599412.66554397</v>
      </c>
      <c r="G49" s="107">
        <v>15437998.433957145</v>
      </c>
      <c r="H49" s="107">
        <v>919400587.33445609</v>
      </c>
      <c r="K49" s="154"/>
      <c r="L49" s="155"/>
      <c r="M49" s="156"/>
    </row>
    <row r="50" spans="1:13" x14ac:dyDescent="0.25">
      <c r="A50" s="113">
        <v>44545</v>
      </c>
      <c r="B50" s="107">
        <v>919400587.33445597</v>
      </c>
      <c r="C50" s="107">
        <v>3064668.6244481867</v>
      </c>
      <c r="D50" s="107">
        <v>181328405.08579972</v>
      </c>
      <c r="E50" s="107">
        <v>12269815.405149706</v>
      </c>
      <c r="F50" s="107">
        <v>362869228.07069367</v>
      </c>
      <c r="G50" s="107">
        <v>15334484.029597893</v>
      </c>
      <c r="H50" s="107">
        <v>907130771.92930627</v>
      </c>
      <c r="K50" s="154"/>
      <c r="L50" s="155"/>
      <c r="M50" s="156"/>
    </row>
    <row r="51" spans="1:13" x14ac:dyDescent="0.25">
      <c r="A51" s="113">
        <v>44576</v>
      </c>
      <c r="B51" s="107">
        <v>907130771.92930627</v>
      </c>
      <c r="C51" s="107">
        <v>3124561.5477564996</v>
      </c>
      <c r="D51" s="107">
        <v>184452966.63355622</v>
      </c>
      <c r="E51" s="107">
        <v>12310714.789833538</v>
      </c>
      <c r="F51" s="107">
        <v>375179942.86052722</v>
      </c>
      <c r="G51" s="107">
        <v>15435276.337590039</v>
      </c>
      <c r="H51" s="107">
        <v>894820057.13947272</v>
      </c>
      <c r="K51" s="154"/>
      <c r="L51" s="155"/>
      <c r="M51" s="156"/>
    </row>
    <row r="52" spans="1:13" x14ac:dyDescent="0.25">
      <c r="A52" s="113">
        <v>44607</v>
      </c>
      <c r="B52" s="107">
        <v>894820057.13947284</v>
      </c>
      <c r="C52" s="107">
        <v>3082157.9745915178</v>
      </c>
      <c r="D52" s="107">
        <v>187535124.60814774</v>
      </c>
      <c r="E52" s="107">
        <v>12351750.505799651</v>
      </c>
      <c r="F52" s="107">
        <v>387531693.36632687</v>
      </c>
      <c r="G52" s="107">
        <v>15433908.480391169</v>
      </c>
      <c r="H52" s="107">
        <v>882468306.63367319</v>
      </c>
      <c r="K52" s="154"/>
      <c r="L52" s="155"/>
      <c r="M52" s="156"/>
    </row>
    <row r="53" spans="1:13" x14ac:dyDescent="0.25">
      <c r="A53" s="113">
        <v>44635</v>
      </c>
      <c r="B53" s="107">
        <v>882468306.63367307</v>
      </c>
      <c r="C53" s="107">
        <v>2745456.9539714274</v>
      </c>
      <c r="D53" s="107">
        <v>190280581.56211916</v>
      </c>
      <c r="E53" s="107">
        <v>12392923.00748565</v>
      </c>
      <c r="F53" s="107">
        <v>399924616.3738125</v>
      </c>
      <c r="G53" s="107">
        <v>15138379.961457077</v>
      </c>
      <c r="H53" s="107">
        <v>870075383.62618744</v>
      </c>
      <c r="K53" s="154"/>
      <c r="L53" s="155"/>
      <c r="M53" s="156"/>
    </row>
    <row r="54" spans="1:13" x14ac:dyDescent="0.25">
      <c r="A54" s="113">
        <v>44666</v>
      </c>
      <c r="B54" s="107">
        <v>870075383.62618756</v>
      </c>
      <c r="C54" s="107">
        <v>2996926.3213790902</v>
      </c>
      <c r="D54" s="107">
        <v>193277507.88349825</v>
      </c>
      <c r="E54" s="107">
        <v>12434232.750843935</v>
      </c>
      <c r="F54" s="107">
        <v>412358849.12465644</v>
      </c>
      <c r="G54" s="107">
        <v>15431159.072223024</v>
      </c>
      <c r="H54" s="107">
        <v>857641150.87534368</v>
      </c>
      <c r="K54" s="154"/>
      <c r="L54" s="155"/>
      <c r="M54" s="156"/>
    </row>
    <row r="55" spans="1:13" x14ac:dyDescent="0.25">
      <c r="A55" s="113">
        <v>44696</v>
      </c>
      <c r="B55" s="107">
        <v>857641150.87534344</v>
      </c>
      <c r="C55" s="107">
        <v>2858803.8362511452</v>
      </c>
      <c r="D55" s="107">
        <v>196136311.71974939</v>
      </c>
      <c r="E55" s="107">
        <v>12475680.193346746</v>
      </c>
      <c r="F55" s="107">
        <v>424834529.31800318</v>
      </c>
      <c r="G55" s="107">
        <v>15334484.029597891</v>
      </c>
      <c r="H55" s="107">
        <v>845165470.6819967</v>
      </c>
      <c r="K55" s="154"/>
      <c r="L55" s="155"/>
      <c r="M55" s="156"/>
    </row>
    <row r="56" spans="1:13" x14ac:dyDescent="0.25">
      <c r="A56" s="113">
        <v>44727</v>
      </c>
      <c r="B56" s="107">
        <v>845165470.6819967</v>
      </c>
      <c r="C56" s="107">
        <v>2911125.5101268776</v>
      </c>
      <c r="D56" s="107">
        <v>199047437.22987628</v>
      </c>
      <c r="E56" s="107">
        <v>12517265.793991238</v>
      </c>
      <c r="F56" s="107">
        <v>437351795.11199439</v>
      </c>
      <c r="G56" s="107">
        <v>15428391.304118115</v>
      </c>
      <c r="H56" s="107">
        <v>832648204.8880055</v>
      </c>
      <c r="K56" s="154"/>
      <c r="L56" s="155"/>
      <c r="M56" s="156"/>
    </row>
    <row r="57" spans="1:13" x14ac:dyDescent="0.25">
      <c r="A57" s="113">
        <v>44757</v>
      </c>
      <c r="B57" s="107">
        <v>832648204.8880055</v>
      </c>
      <c r="C57" s="107">
        <v>2775494.0162933515</v>
      </c>
      <c r="D57" s="107">
        <v>201822931.24616963</v>
      </c>
      <c r="E57" s="107">
        <v>12558990.013304543</v>
      </c>
      <c r="F57" s="107">
        <v>449910785.12529892</v>
      </c>
      <c r="G57" s="107">
        <v>15334484.029597893</v>
      </c>
      <c r="H57" s="107">
        <v>820089214.8747009</v>
      </c>
    </row>
    <row r="58" spans="1:13" x14ac:dyDescent="0.25">
      <c r="A58" s="113">
        <v>44788</v>
      </c>
      <c r="B58" s="107">
        <v>820089214.8747009</v>
      </c>
      <c r="C58" s="107">
        <v>2824751.74012397</v>
      </c>
      <c r="D58" s="107">
        <v>204647682.98629358</v>
      </c>
      <c r="E58" s="107">
        <v>12600853.313348889</v>
      </c>
      <c r="F58" s="107">
        <v>462511638.43864781</v>
      </c>
      <c r="G58" s="107">
        <v>15425605.05347286</v>
      </c>
      <c r="H58" s="107">
        <v>807488361.56135201</v>
      </c>
    </row>
    <row r="59" spans="1:13" x14ac:dyDescent="0.25">
      <c r="A59" s="113">
        <v>44819</v>
      </c>
      <c r="B59" s="107">
        <v>807488361.56135201</v>
      </c>
      <c r="C59" s="107">
        <v>2781348.8009335459</v>
      </c>
      <c r="D59" s="107">
        <v>207429031.78722712</v>
      </c>
      <c r="E59" s="107">
        <v>12642856.15772672</v>
      </c>
      <c r="F59" s="107">
        <v>475154494.59637451</v>
      </c>
      <c r="G59" s="107">
        <v>15424204.958660265</v>
      </c>
      <c r="H59" s="107">
        <v>794845505.40362525</v>
      </c>
    </row>
    <row r="60" spans="1:13" x14ac:dyDescent="0.25">
      <c r="A60" s="113">
        <v>44849</v>
      </c>
      <c r="B60" s="107">
        <v>794845505.40362537</v>
      </c>
      <c r="C60" s="107">
        <v>2649485.0180120845</v>
      </c>
      <c r="D60" s="107">
        <v>210078516.8052392</v>
      </c>
      <c r="E60" s="107">
        <v>12684999.011585809</v>
      </c>
      <c r="F60" s="107">
        <v>487839493.60796034</v>
      </c>
      <c r="G60" s="107">
        <v>15334484.029597893</v>
      </c>
      <c r="H60" s="107">
        <v>782160506.39203954</v>
      </c>
    </row>
    <row r="61" spans="1:13" x14ac:dyDescent="0.25">
      <c r="A61" s="113">
        <v>44880</v>
      </c>
      <c r="B61" s="107">
        <v>782160506.39203954</v>
      </c>
      <c r="C61" s="107">
        <v>2694108.4109059139</v>
      </c>
      <c r="D61" s="107">
        <v>212772625.21614513</v>
      </c>
      <c r="E61" s="107">
        <v>12727282.341624428</v>
      </c>
      <c r="F61" s="107">
        <v>500566775.94958478</v>
      </c>
      <c r="G61" s="107">
        <v>15421390.752530342</v>
      </c>
      <c r="H61" s="107">
        <v>769433224.05041516</v>
      </c>
    </row>
    <row r="62" spans="1:13" x14ac:dyDescent="0.25">
      <c r="A62" s="113">
        <v>44910</v>
      </c>
      <c r="B62" s="107">
        <v>769433224.05041504</v>
      </c>
      <c r="C62" s="107">
        <v>2564777.4135013833</v>
      </c>
      <c r="D62" s="107">
        <v>215337402.62964651</v>
      </c>
      <c r="E62" s="107">
        <v>12769706.61609651</v>
      </c>
      <c r="F62" s="107">
        <v>513336482.56568128</v>
      </c>
      <c r="G62" s="107">
        <v>15334484.029597893</v>
      </c>
      <c r="H62" s="107">
        <v>756663517.43431854</v>
      </c>
    </row>
    <row r="63" spans="1:13" x14ac:dyDescent="0.25">
      <c r="A63" s="113">
        <v>44941</v>
      </c>
      <c r="B63" s="107">
        <v>756663517.43431866</v>
      </c>
      <c r="C63" s="107">
        <v>2606285.4489404308</v>
      </c>
      <c r="D63" s="107">
        <v>217943688.07858694</v>
      </c>
      <c r="E63" s="107">
        <v>12812272.304816831</v>
      </c>
      <c r="F63" s="107">
        <v>526148754.87049812</v>
      </c>
      <c r="G63" s="107">
        <v>15418557.753757261</v>
      </c>
      <c r="H63" s="107">
        <v>743851245.12950182</v>
      </c>
    </row>
    <row r="64" spans="1:13" x14ac:dyDescent="0.25">
      <c r="A64" s="113">
        <v>44972</v>
      </c>
      <c r="B64" s="107">
        <v>743851245.12950182</v>
      </c>
      <c r="C64" s="107">
        <v>2562154.2887793952</v>
      </c>
      <c r="D64" s="107">
        <v>220505842.36736634</v>
      </c>
      <c r="E64" s="107">
        <v>12854979.879166218</v>
      </c>
      <c r="F64" s="107">
        <v>539003734.74966431</v>
      </c>
      <c r="G64" s="107">
        <v>15417134.167945612</v>
      </c>
      <c r="H64" s="107">
        <v>730996265.25033557</v>
      </c>
    </row>
    <row r="65" spans="1:8" x14ac:dyDescent="0.25">
      <c r="A65" s="113">
        <v>45000</v>
      </c>
      <c r="B65" s="107">
        <v>730996265.25033557</v>
      </c>
      <c r="C65" s="107">
        <v>2274210.6030010441</v>
      </c>
      <c r="D65" s="107">
        <v>222780052.9703674</v>
      </c>
      <c r="E65" s="107">
        <v>12897829.812096773</v>
      </c>
      <c r="F65" s="107">
        <v>551901564.56176102</v>
      </c>
      <c r="G65" s="107">
        <v>15172040.415097818</v>
      </c>
      <c r="H65" s="107">
        <v>718098435.43823886</v>
      </c>
    </row>
    <row r="66" spans="1:8" x14ac:dyDescent="0.25">
      <c r="A66" s="113">
        <v>45031</v>
      </c>
      <c r="B66" s="107">
        <v>718098435.43823886</v>
      </c>
      <c r="C66" s="107">
        <v>2473450.1665094895</v>
      </c>
      <c r="D66" s="107">
        <v>225253503.13687688</v>
      </c>
      <c r="E66" s="107">
        <v>12940822.578137094</v>
      </c>
      <c r="F66" s="107">
        <v>564842387.13989806</v>
      </c>
      <c r="G66" s="107">
        <v>15414272.744646583</v>
      </c>
      <c r="H66" s="107">
        <v>705157612.86010182</v>
      </c>
    </row>
    <row r="67" spans="1:8" x14ac:dyDescent="0.25">
      <c r="A67" s="113">
        <v>45061</v>
      </c>
      <c r="B67" s="107">
        <v>705157612.8601017</v>
      </c>
      <c r="C67" s="107">
        <v>2350525.3762003393</v>
      </c>
      <c r="D67" s="107">
        <v>227604028.51307723</v>
      </c>
      <c r="E67" s="107">
        <v>12983958.653397553</v>
      </c>
      <c r="F67" s="107">
        <v>577826345.79329562</v>
      </c>
      <c r="G67" s="107">
        <v>15334484.029597891</v>
      </c>
      <c r="H67" s="107">
        <v>692173654.20670414</v>
      </c>
    </row>
    <row r="68" spans="1:8" x14ac:dyDescent="0.25">
      <c r="A68" s="113">
        <v>45092</v>
      </c>
      <c r="B68" s="107">
        <v>692173654.20670414</v>
      </c>
      <c r="C68" s="107">
        <v>2384153.6978230923</v>
      </c>
      <c r="D68" s="107">
        <v>229988182.21090031</v>
      </c>
      <c r="E68" s="107">
        <v>13027238.515575545</v>
      </c>
      <c r="F68" s="107">
        <v>590853584.30887115</v>
      </c>
      <c r="G68" s="107">
        <v>15411392.213398637</v>
      </c>
      <c r="H68" s="107">
        <v>679146415.69112861</v>
      </c>
    </row>
    <row r="69" spans="1:8" x14ac:dyDescent="0.25">
      <c r="A69" s="113">
        <v>45122</v>
      </c>
      <c r="B69" s="107">
        <v>679146415.69112873</v>
      </c>
      <c r="C69" s="107">
        <v>2263821.3856370957</v>
      </c>
      <c r="D69" s="107">
        <v>232252003.59653741</v>
      </c>
      <c r="E69" s="107">
        <v>13070662.643960796</v>
      </c>
      <c r="F69" s="107">
        <v>603924246.95283198</v>
      </c>
      <c r="G69" s="107">
        <v>15334484.029597891</v>
      </c>
      <c r="H69" s="107">
        <v>666075753.0471679</v>
      </c>
    </row>
    <row r="70" spans="1:8" x14ac:dyDescent="0.25">
      <c r="A70" s="113">
        <v>45153</v>
      </c>
      <c r="B70" s="107">
        <v>666075753.04716778</v>
      </c>
      <c r="C70" s="107">
        <v>2294260.9271624675</v>
      </c>
      <c r="D70" s="107">
        <v>234546264.52369988</v>
      </c>
      <c r="E70" s="107">
        <v>13114231.519440666</v>
      </c>
      <c r="F70" s="107">
        <v>617038478.47227263</v>
      </c>
      <c r="G70" s="107">
        <v>15408492.446603134</v>
      </c>
      <c r="H70" s="107">
        <v>652961521.52772713</v>
      </c>
    </row>
    <row r="71" spans="1:8" x14ac:dyDescent="0.25">
      <c r="A71" s="113">
        <v>45184</v>
      </c>
      <c r="B71" s="107">
        <v>652961521.52772725</v>
      </c>
      <c r="C71" s="107">
        <v>2249089.6852621716</v>
      </c>
      <c r="D71" s="107">
        <v>236795354.20896205</v>
      </c>
      <c r="E71" s="107">
        <v>13157945.624505468</v>
      </c>
      <c r="F71" s="107">
        <v>630196424.09677815</v>
      </c>
      <c r="G71" s="107">
        <v>15407035.309767639</v>
      </c>
      <c r="H71" s="107">
        <v>639803575.90322173</v>
      </c>
    </row>
    <row r="72" spans="1:8" x14ac:dyDescent="0.25">
      <c r="A72" s="113">
        <v>45214</v>
      </c>
      <c r="B72" s="107">
        <v>639803575.90322173</v>
      </c>
      <c r="C72" s="107">
        <v>2132678.5863440721</v>
      </c>
      <c r="D72" s="107">
        <v>238928032.79530612</v>
      </c>
      <c r="E72" s="107">
        <v>13201805.443253821</v>
      </c>
      <c r="F72" s="107">
        <v>643398229.54003203</v>
      </c>
      <c r="G72" s="107">
        <v>15334484.029597893</v>
      </c>
      <c r="H72" s="107">
        <v>626601770.45996785</v>
      </c>
    </row>
    <row r="73" spans="1:8" x14ac:dyDescent="0.25">
      <c r="A73" s="113">
        <v>45245</v>
      </c>
      <c r="B73" s="107">
        <v>626601770.45996785</v>
      </c>
      <c r="C73" s="107">
        <v>2158294.987139889</v>
      </c>
      <c r="D73" s="107">
        <v>241086327.782446</v>
      </c>
      <c r="E73" s="107">
        <v>13245811.461398</v>
      </c>
      <c r="F73" s="107">
        <v>656644041.00143003</v>
      </c>
      <c r="G73" s="107">
        <v>15404106.44853789</v>
      </c>
      <c r="H73" s="107">
        <v>613355958.99856985</v>
      </c>
    </row>
    <row r="74" spans="1:8" x14ac:dyDescent="0.25">
      <c r="A74" s="113">
        <v>45275</v>
      </c>
      <c r="B74" s="107">
        <v>613355958.99856985</v>
      </c>
      <c r="C74" s="107">
        <v>2044519.8633285663</v>
      </c>
      <c r="D74" s="107">
        <v>243130847.64577457</v>
      </c>
      <c r="E74" s="107">
        <v>13289964.166269327</v>
      </c>
      <c r="F74" s="107">
        <v>669934005.16769934</v>
      </c>
      <c r="G74" s="107">
        <v>15334484.029597893</v>
      </c>
      <c r="H74" s="107">
        <v>600065994.83230054</v>
      </c>
    </row>
    <row r="75" spans="1:8" x14ac:dyDescent="0.25">
      <c r="A75" s="113">
        <v>45306</v>
      </c>
      <c r="B75" s="107">
        <v>600065994.83230054</v>
      </c>
      <c r="C75" s="107">
        <v>2066893.9822001464</v>
      </c>
      <c r="D75" s="107">
        <v>245197741.62797472</v>
      </c>
      <c r="E75" s="107">
        <v>13334264.046823557</v>
      </c>
      <c r="F75" s="107">
        <v>683268269.21452284</v>
      </c>
      <c r="G75" s="107">
        <v>15401158.029023703</v>
      </c>
      <c r="H75" s="107">
        <v>586731730.78547704</v>
      </c>
    </row>
    <row r="76" spans="1:8" x14ac:dyDescent="0.25">
      <c r="A76" s="113">
        <v>45337</v>
      </c>
      <c r="B76" s="107">
        <v>586731730.78547704</v>
      </c>
      <c r="C76" s="107">
        <v>2020964.8504833095</v>
      </c>
      <c r="D76" s="107">
        <v>247218706.47845802</v>
      </c>
      <c r="E76" s="107">
        <v>13378711.593646303</v>
      </c>
      <c r="F76" s="107">
        <v>696646980.80816913</v>
      </c>
      <c r="G76" s="107">
        <v>15399676.444129612</v>
      </c>
      <c r="H76" s="107">
        <v>573353019.19183075</v>
      </c>
    </row>
    <row r="77" spans="1:8" x14ac:dyDescent="0.25">
      <c r="A77" s="113">
        <v>45366</v>
      </c>
      <c r="B77" s="107">
        <v>573353019.19183064</v>
      </c>
      <c r="C77" s="107">
        <v>1847470.839618121</v>
      </c>
      <c r="D77" s="107">
        <v>249066177.31807613</v>
      </c>
      <c r="E77" s="107">
        <v>13423307.298958456</v>
      </c>
      <c r="F77" s="107">
        <v>710070288.10712755</v>
      </c>
      <c r="G77" s="107">
        <v>15270778.138576576</v>
      </c>
      <c r="H77" s="107">
        <v>559929711.89287221</v>
      </c>
    </row>
    <row r="78" spans="1:8" x14ac:dyDescent="0.25">
      <c r="A78" s="113">
        <v>45397</v>
      </c>
      <c r="B78" s="107">
        <v>559929711.89287221</v>
      </c>
      <c r="C78" s="107">
        <v>1928646.7854087823</v>
      </c>
      <c r="D78" s="107">
        <v>250994824.10348493</v>
      </c>
      <c r="E78" s="107">
        <v>13468051.656621652</v>
      </c>
      <c r="F78" s="107">
        <v>723538339.76374924</v>
      </c>
      <c r="G78" s="107">
        <v>15396698.442030434</v>
      </c>
      <c r="H78" s="107">
        <v>546461660.23625052</v>
      </c>
    </row>
    <row r="79" spans="1:8" x14ac:dyDescent="0.25">
      <c r="A79" s="113">
        <v>45427</v>
      </c>
      <c r="B79" s="107">
        <v>546461660.23625052</v>
      </c>
      <c r="C79" s="107">
        <v>1821538.8674541684</v>
      </c>
      <c r="D79" s="107">
        <v>252816362.9709391</v>
      </c>
      <c r="E79" s="107">
        <v>13512945.162143722</v>
      </c>
      <c r="F79" s="107">
        <v>737051284.92589295</v>
      </c>
      <c r="G79" s="107">
        <v>15334484.02959789</v>
      </c>
      <c r="H79" s="107">
        <v>532948715.07410681</v>
      </c>
    </row>
    <row r="80" spans="1:8" x14ac:dyDescent="0.25">
      <c r="A80" s="113">
        <v>45458</v>
      </c>
      <c r="B80" s="107">
        <v>532948715.07410687</v>
      </c>
      <c r="C80" s="107">
        <v>1835712.2408108125</v>
      </c>
      <c r="D80" s="107">
        <v>254652075.21174991</v>
      </c>
      <c r="E80" s="107">
        <v>13557988.312684203</v>
      </c>
      <c r="F80" s="107">
        <v>750609273.23857713</v>
      </c>
      <c r="G80" s="107">
        <v>15393700.553495016</v>
      </c>
      <c r="H80" s="107">
        <v>519390726.76142269</v>
      </c>
    </row>
    <row r="81" spans="1:8" x14ac:dyDescent="0.25">
      <c r="A81" s="113">
        <v>45488</v>
      </c>
      <c r="B81" s="107">
        <v>519390726.76142269</v>
      </c>
      <c r="C81" s="107">
        <v>1731302.4225380758</v>
      </c>
      <c r="D81" s="107">
        <v>256383377.63428798</v>
      </c>
      <c r="E81" s="107">
        <v>13603181.607059816</v>
      </c>
      <c r="F81" s="107">
        <v>764212454.84563696</v>
      </c>
      <c r="G81" s="107">
        <v>15334484.029597891</v>
      </c>
      <c r="H81" s="107">
        <v>505787545.15436286</v>
      </c>
    </row>
    <row r="82" spans="1:8" x14ac:dyDescent="0.25">
      <c r="A82" s="113">
        <v>45519</v>
      </c>
      <c r="B82" s="107">
        <v>505787545.15436292</v>
      </c>
      <c r="C82" s="107">
        <v>1742157.0999761389</v>
      </c>
      <c r="D82" s="107">
        <v>258125534.73426414</v>
      </c>
      <c r="E82" s="107">
        <v>13648525.545750014</v>
      </c>
      <c r="F82" s="107">
        <v>777860980.39138699</v>
      </c>
      <c r="G82" s="107">
        <v>15390682.645726154</v>
      </c>
      <c r="H82" s="107">
        <v>492139019.6086129</v>
      </c>
    </row>
    <row r="83" spans="1:8" x14ac:dyDescent="0.25">
      <c r="A83" s="113">
        <v>45550</v>
      </c>
      <c r="B83" s="107">
        <v>492139019.6086129</v>
      </c>
      <c r="C83" s="107">
        <v>1695145.5119852221</v>
      </c>
      <c r="D83" s="107">
        <v>259820680.24624935</v>
      </c>
      <c r="E83" s="107">
        <v>13694020.630902516</v>
      </c>
      <c r="F83" s="107">
        <v>791555001.02228951</v>
      </c>
      <c r="G83" s="107">
        <v>15389166.142887738</v>
      </c>
      <c r="H83" s="107">
        <v>478444998.97771037</v>
      </c>
    </row>
    <row r="84" spans="1:8" x14ac:dyDescent="0.25">
      <c r="A84" s="113">
        <v>45580</v>
      </c>
      <c r="B84" s="107">
        <v>478444998.97771037</v>
      </c>
      <c r="C84" s="107">
        <v>1594816.6632590345</v>
      </c>
      <c r="D84" s="107">
        <v>261415496.90950838</v>
      </c>
      <c r="E84" s="107">
        <v>13739667.366338858</v>
      </c>
      <c r="F84" s="107">
        <v>805294668.38862836</v>
      </c>
      <c r="G84" s="107">
        <v>15334484.029597893</v>
      </c>
      <c r="H84" s="107">
        <v>464705331.61137152</v>
      </c>
    </row>
    <row r="85" spans="1:8" x14ac:dyDescent="0.25">
      <c r="A85" s="113">
        <v>45611</v>
      </c>
      <c r="B85" s="107">
        <v>464705331.61137152</v>
      </c>
      <c r="C85" s="107">
        <v>1600651.6977725022</v>
      </c>
      <c r="D85" s="107">
        <v>263016148.60728088</v>
      </c>
      <c r="E85" s="107">
        <v>13785466.257559987</v>
      </c>
      <c r="F85" s="107">
        <v>819080134.64618838</v>
      </c>
      <c r="G85" s="107">
        <v>15386117.95533249</v>
      </c>
      <c r="H85" s="107">
        <v>450919865.3538115</v>
      </c>
    </row>
    <row r="86" spans="1:8" x14ac:dyDescent="0.25">
      <c r="A86" s="113">
        <v>45641</v>
      </c>
      <c r="B86" s="107">
        <v>450919865.3538115</v>
      </c>
      <c r="C86" s="107">
        <v>1503066.2178460383</v>
      </c>
      <c r="D86" s="107">
        <v>264519214.82512692</v>
      </c>
      <c r="E86" s="107">
        <v>13831417.811751854</v>
      </c>
      <c r="F86" s="107">
        <v>832911552.45794022</v>
      </c>
      <c r="G86" s="107">
        <v>15334484.029597891</v>
      </c>
      <c r="H86" s="107">
        <v>437088447.54205966</v>
      </c>
    </row>
    <row r="87" spans="1:8" x14ac:dyDescent="0.25">
      <c r="A87" s="113">
        <v>45672</v>
      </c>
      <c r="B87" s="107">
        <v>437088447.54205966</v>
      </c>
      <c r="C87" s="107">
        <v>1505526.8748670947</v>
      </c>
      <c r="D87" s="107">
        <v>266024741.699994</v>
      </c>
      <c r="E87" s="107">
        <v>13877522.537791027</v>
      </c>
      <c r="F87" s="107">
        <v>846789074.99573123</v>
      </c>
      <c r="G87" s="107">
        <v>15383049.412658121</v>
      </c>
      <c r="H87" s="107">
        <v>423210925.00426865</v>
      </c>
    </row>
    <row r="88" spans="1:8" x14ac:dyDescent="0.25">
      <c r="A88" s="113">
        <v>45703</v>
      </c>
      <c r="B88" s="107">
        <v>423210925.00426865</v>
      </c>
      <c r="C88" s="107">
        <v>1457726.5194591477</v>
      </c>
      <c r="D88" s="107">
        <v>267482468.21945316</v>
      </c>
      <c r="E88" s="107">
        <v>13923780.946250329</v>
      </c>
      <c r="F88" s="107">
        <v>860712855.94198155</v>
      </c>
      <c r="G88" s="107">
        <v>15381507.465709476</v>
      </c>
      <c r="H88" s="107">
        <v>409287144.05801833</v>
      </c>
    </row>
    <row r="89" spans="1:8" x14ac:dyDescent="0.25">
      <c r="A89" s="113">
        <v>45731</v>
      </c>
      <c r="B89" s="107">
        <v>409287144.05801833</v>
      </c>
      <c r="C89" s="107">
        <v>1273337.7815138348</v>
      </c>
      <c r="D89" s="107">
        <v>268755806.00096697</v>
      </c>
      <c r="E89" s="107">
        <v>13970193.549404498</v>
      </c>
      <c r="F89" s="107">
        <v>874683049.49138606</v>
      </c>
      <c r="G89" s="107">
        <v>15243531.330918333</v>
      </c>
      <c r="H89" s="107">
        <v>395316950.50861382</v>
      </c>
    </row>
    <row r="90" spans="1:8" x14ac:dyDescent="0.25">
      <c r="A90" s="113">
        <v>45762</v>
      </c>
      <c r="B90" s="107">
        <v>395316950.50861382</v>
      </c>
      <c r="C90" s="107">
        <v>1361647.2739741146</v>
      </c>
      <c r="D90" s="107">
        <v>270117453.27494109</v>
      </c>
      <c r="E90" s="107">
        <v>14016760.861235846</v>
      </c>
      <c r="F90" s="107">
        <v>888699810.35262191</v>
      </c>
      <c r="G90" s="107">
        <v>15378408.135209961</v>
      </c>
      <c r="H90" s="107">
        <v>381300189.64737797</v>
      </c>
    </row>
    <row r="91" spans="1:8" x14ac:dyDescent="0.25">
      <c r="A91" s="113">
        <v>45792</v>
      </c>
      <c r="B91" s="107">
        <v>381300189.64737797</v>
      </c>
      <c r="C91" s="107">
        <v>1271000.6321579269</v>
      </c>
      <c r="D91" s="107">
        <v>271388453.90709901</v>
      </c>
      <c r="E91" s="107">
        <v>14063483.397439964</v>
      </c>
      <c r="F91" s="107">
        <v>902763293.75006187</v>
      </c>
      <c r="G91" s="107">
        <v>15334484.029597891</v>
      </c>
      <c r="H91" s="107">
        <v>367236706.24993801</v>
      </c>
    </row>
    <row r="92" spans="1:8" x14ac:dyDescent="0.25">
      <c r="A92" s="113">
        <v>45823</v>
      </c>
      <c r="B92" s="107">
        <v>367236706.24993807</v>
      </c>
      <c r="C92" s="107">
        <v>1264926.4326386757</v>
      </c>
      <c r="D92" s="107">
        <v>272653380.33973771</v>
      </c>
      <c r="E92" s="107">
        <v>14110361.675431434</v>
      </c>
      <c r="F92" s="107">
        <v>916873655.42549336</v>
      </c>
      <c r="G92" s="107">
        <v>15375288.108070109</v>
      </c>
      <c r="H92" s="107">
        <v>353126344.57450664</v>
      </c>
    </row>
    <row r="93" spans="1:8" x14ac:dyDescent="0.25">
      <c r="A93" s="113">
        <v>45853</v>
      </c>
      <c r="B93" s="107">
        <v>353126344.57450664</v>
      </c>
      <c r="C93" s="107">
        <v>1177087.8152483553</v>
      </c>
      <c r="D93" s="107">
        <v>273830468.15498608</v>
      </c>
      <c r="E93" s="107">
        <v>14157396.21434954</v>
      </c>
      <c r="F93" s="107">
        <v>931031051.63984287</v>
      </c>
      <c r="G93" s="107">
        <v>15334484.029597895</v>
      </c>
      <c r="H93" s="107">
        <v>338968948.36015707</v>
      </c>
    </row>
    <row r="94" spans="1:8" x14ac:dyDescent="0.25">
      <c r="A94" s="113">
        <v>45884</v>
      </c>
      <c r="B94" s="107">
        <v>338968948.36015707</v>
      </c>
      <c r="C94" s="107">
        <v>1167559.711018319</v>
      </c>
      <c r="D94" s="107">
        <v>274998027.86600441</v>
      </c>
      <c r="E94" s="107">
        <v>14204587.535064036</v>
      </c>
      <c r="F94" s="107">
        <v>945235639.17490685</v>
      </c>
      <c r="G94" s="107">
        <v>15372147.246082354</v>
      </c>
      <c r="H94" s="107">
        <v>324764360.82509303</v>
      </c>
    </row>
    <row r="95" spans="1:8" x14ac:dyDescent="0.25">
      <c r="A95" s="113">
        <v>45915</v>
      </c>
      <c r="B95" s="107">
        <v>324764360.82509309</v>
      </c>
      <c r="C95" s="107">
        <v>1118632.7983975427</v>
      </c>
      <c r="D95" s="107">
        <v>276116660.66440195</v>
      </c>
      <c r="E95" s="107">
        <v>14251936.160180915</v>
      </c>
      <c r="F95" s="107">
        <v>959487575.33508778</v>
      </c>
      <c r="G95" s="107">
        <v>15370568.958578458</v>
      </c>
      <c r="H95" s="107">
        <v>310512424.66491216</v>
      </c>
    </row>
    <row r="96" spans="1:8" x14ac:dyDescent="0.25">
      <c r="A96" s="113">
        <v>45945</v>
      </c>
      <c r="B96" s="107">
        <v>310512424.6649121</v>
      </c>
      <c r="C96" s="107">
        <v>1035041.415549707</v>
      </c>
      <c r="D96" s="107">
        <v>277151702.07995164</v>
      </c>
      <c r="E96" s="107">
        <v>14299442.614048187</v>
      </c>
      <c r="F96" s="107">
        <v>973787017.94913602</v>
      </c>
      <c r="G96" s="107">
        <v>15334484.029597893</v>
      </c>
      <c r="H96" s="107">
        <v>296212982.05086392</v>
      </c>
    </row>
    <row r="97" spans="1:8" x14ac:dyDescent="0.25">
      <c r="A97" s="113">
        <v>45976</v>
      </c>
      <c r="B97" s="107">
        <v>296212982.05086392</v>
      </c>
      <c r="C97" s="107">
        <v>1020289.1603974202</v>
      </c>
      <c r="D97" s="107">
        <v>278171991.24034905</v>
      </c>
      <c r="E97" s="107">
        <v>14347107.422761679</v>
      </c>
      <c r="F97" s="107">
        <v>988134125.3718977</v>
      </c>
      <c r="G97" s="107">
        <v>15367396.583159098</v>
      </c>
      <c r="H97" s="107">
        <v>281865874.62810224</v>
      </c>
    </row>
    <row r="98" spans="1:8" x14ac:dyDescent="0.25">
      <c r="A98" s="113">
        <v>46006</v>
      </c>
      <c r="B98" s="107">
        <v>281865874.62810224</v>
      </c>
      <c r="C98" s="107">
        <v>939552.91542700748</v>
      </c>
      <c r="D98" s="107">
        <v>279111544.15577608</v>
      </c>
      <c r="E98" s="107">
        <v>14394931.114170885</v>
      </c>
      <c r="F98" s="107">
        <v>1002529056.4860686</v>
      </c>
      <c r="G98" s="107">
        <v>15334484.029597891</v>
      </c>
      <c r="H98" s="107">
        <v>267470943.51393136</v>
      </c>
    </row>
    <row r="99" spans="1:8" x14ac:dyDescent="0.25">
      <c r="A99" s="113">
        <v>46037</v>
      </c>
      <c r="B99" s="107">
        <v>267470943.51393136</v>
      </c>
      <c r="C99" s="107">
        <v>921288.80543687474</v>
      </c>
      <c r="D99" s="107">
        <v>280032832.96121293</v>
      </c>
      <c r="E99" s="107">
        <v>14442914.217884786</v>
      </c>
      <c r="F99" s="107">
        <v>1016971970.7039534</v>
      </c>
      <c r="G99" s="107">
        <v>15364203.023321662</v>
      </c>
      <c r="H99" s="107">
        <v>253028029.29604658</v>
      </c>
    </row>
    <row r="100" spans="1:8" x14ac:dyDescent="0.25">
      <c r="A100" s="113">
        <v>46068</v>
      </c>
      <c r="B100" s="107">
        <v>253028029.29604658</v>
      </c>
      <c r="C100" s="107">
        <v>871540.98979749379</v>
      </c>
      <c r="D100" s="107">
        <v>280904373.95101041</v>
      </c>
      <c r="E100" s="107">
        <v>14491057.265277738</v>
      </c>
      <c r="F100" s="107">
        <v>1031463027.9692311</v>
      </c>
      <c r="G100" s="107">
        <v>15362598.255075231</v>
      </c>
      <c r="H100" s="107">
        <v>238536972.03076884</v>
      </c>
    </row>
    <row r="101" spans="1:8" x14ac:dyDescent="0.25">
      <c r="A101" s="113">
        <v>46096</v>
      </c>
      <c r="B101" s="107">
        <v>238536972.03076881</v>
      </c>
      <c r="C101" s="107">
        <v>742115.02409572538</v>
      </c>
      <c r="D101" s="107">
        <v>281646488.97510612</v>
      </c>
      <c r="E101" s="107">
        <v>14539360.789495332</v>
      </c>
      <c r="F101" s="107">
        <v>1046002388.7587265</v>
      </c>
      <c r="G101" s="107">
        <v>15281475.813591057</v>
      </c>
      <c r="H101" s="107">
        <v>223997611.24127349</v>
      </c>
    </row>
    <row r="102" spans="1:8" x14ac:dyDescent="0.25">
      <c r="A102" s="113">
        <v>46127</v>
      </c>
      <c r="B102" s="107">
        <v>223997611.24127352</v>
      </c>
      <c r="C102" s="107">
        <v>771547.32760883099</v>
      </c>
      <c r="D102" s="107">
        <v>282418036.30271494</v>
      </c>
      <c r="E102" s="107">
        <v>14587825.325460315</v>
      </c>
      <c r="F102" s="107">
        <v>1060590214.0841868</v>
      </c>
      <c r="G102" s="107">
        <v>15359372.653069146</v>
      </c>
      <c r="H102" s="107">
        <v>209409785.91581321</v>
      </c>
    </row>
    <row r="103" spans="1:8" x14ac:dyDescent="0.25">
      <c r="A103" s="113">
        <v>46157</v>
      </c>
      <c r="B103" s="107">
        <v>209409785.91581321</v>
      </c>
      <c r="C103" s="107">
        <v>698032.61971937737</v>
      </c>
      <c r="D103" s="107">
        <v>283116068.92243433</v>
      </c>
      <c r="E103" s="107">
        <v>14636451.409878517</v>
      </c>
      <c r="F103" s="107">
        <v>1075226665.4940653</v>
      </c>
      <c r="G103" s="107">
        <v>15334484.029597893</v>
      </c>
      <c r="H103" s="107">
        <v>194773334.50593469</v>
      </c>
    </row>
    <row r="104" spans="1:8" x14ac:dyDescent="0.25">
      <c r="A104" s="113">
        <v>46188</v>
      </c>
      <c r="B104" s="107">
        <v>194773334.50593469</v>
      </c>
      <c r="C104" s="107">
        <v>670885.92996488616</v>
      </c>
      <c r="D104" s="107">
        <v>283786954.85239923</v>
      </c>
      <c r="E104" s="107">
        <v>14685239.581244778</v>
      </c>
      <c r="F104" s="107">
        <v>1089911905.07531</v>
      </c>
      <c r="G104" s="107">
        <v>15356125.511209665</v>
      </c>
      <c r="H104" s="107">
        <v>180088094.92468992</v>
      </c>
    </row>
    <row r="105" spans="1:8" x14ac:dyDescent="0.25">
      <c r="A105" s="113">
        <v>46218</v>
      </c>
      <c r="B105" s="107">
        <v>180088094.92468992</v>
      </c>
      <c r="C105" s="107">
        <v>600293.64974896633</v>
      </c>
      <c r="D105" s="107">
        <v>284387248.50214821</v>
      </c>
      <c r="E105" s="107">
        <v>14734190.379848925</v>
      </c>
      <c r="F105" s="107">
        <v>1104646095.4551589</v>
      </c>
      <c r="G105" s="107">
        <v>15334484.029597891</v>
      </c>
      <c r="H105" s="107">
        <v>165353904.54484099</v>
      </c>
    </row>
    <row r="106" spans="1:8" x14ac:dyDescent="0.25">
      <c r="A106" s="113">
        <v>46249</v>
      </c>
      <c r="B106" s="107">
        <v>165353904.54484099</v>
      </c>
      <c r="C106" s="107">
        <v>569552.33787667449</v>
      </c>
      <c r="D106" s="107">
        <v>284956800.84002489</v>
      </c>
      <c r="E106" s="107">
        <v>14783304.347781757</v>
      </c>
      <c r="F106" s="107">
        <v>1119429399.8029406</v>
      </c>
      <c r="G106" s="107">
        <v>15352856.685658431</v>
      </c>
      <c r="H106" s="107">
        <v>150570600.19705924</v>
      </c>
    </row>
    <row r="107" spans="1:8" x14ac:dyDescent="0.25">
      <c r="A107" s="113">
        <v>46280</v>
      </c>
      <c r="B107" s="107">
        <v>150570600.19705921</v>
      </c>
      <c r="C107" s="107">
        <v>518632.0673454263</v>
      </c>
      <c r="D107" s="107">
        <v>285475432.90737033</v>
      </c>
      <c r="E107" s="107">
        <v>14832582.028941028</v>
      </c>
      <c r="F107" s="107">
        <v>1134261981.8318815</v>
      </c>
      <c r="G107" s="107">
        <v>15351214.096286453</v>
      </c>
      <c r="H107" s="107">
        <v>135738018.16811818</v>
      </c>
    </row>
    <row r="108" spans="1:8" x14ac:dyDescent="0.25">
      <c r="A108" s="113">
        <v>46310</v>
      </c>
      <c r="B108" s="107">
        <v>135738018.16811821</v>
      </c>
      <c r="C108" s="107">
        <v>452460.06056039408</v>
      </c>
      <c r="D108" s="107">
        <v>285927892.96793073</v>
      </c>
      <c r="E108" s="107">
        <v>14882023.969037497</v>
      </c>
      <c r="F108" s="107">
        <v>1149144005.8009191</v>
      </c>
      <c r="G108" s="107">
        <v>15334484.029597891</v>
      </c>
      <c r="H108" s="107">
        <v>120855994.19908071</v>
      </c>
    </row>
    <row r="109" spans="1:8" x14ac:dyDescent="0.25">
      <c r="A109" s="113">
        <v>46341</v>
      </c>
      <c r="B109" s="107">
        <v>120855994.19908071</v>
      </c>
      <c r="C109" s="107">
        <v>416281.75779683358</v>
      </c>
      <c r="D109" s="107">
        <v>286344174.72572756</v>
      </c>
      <c r="E109" s="107">
        <v>14931630.715600956</v>
      </c>
      <c r="F109" s="107">
        <v>1164075636.51652</v>
      </c>
      <c r="G109" s="107">
        <v>15347912.47339779</v>
      </c>
      <c r="H109" s="107">
        <v>105924363.48347975</v>
      </c>
    </row>
    <row r="110" spans="1:8" x14ac:dyDescent="0.25">
      <c r="A110" s="113">
        <v>46371</v>
      </c>
      <c r="B110" s="107">
        <v>105924363.48347975</v>
      </c>
      <c r="C110" s="107">
        <v>353081.21161159908</v>
      </c>
      <c r="D110" s="107">
        <v>286697255.93733919</v>
      </c>
      <c r="E110" s="107">
        <v>14981402.817986295</v>
      </c>
      <c r="F110" s="107">
        <v>1179057039.3345063</v>
      </c>
      <c r="G110" s="107">
        <v>15334484.029597893</v>
      </c>
      <c r="H110" s="107">
        <v>90942960.665493459</v>
      </c>
    </row>
    <row r="111" spans="1:8" x14ac:dyDescent="0.25">
      <c r="A111" s="113">
        <v>46402</v>
      </c>
      <c r="B111" s="107">
        <v>90942960.665493459</v>
      </c>
      <c r="C111" s="107">
        <v>313247.97562558856</v>
      </c>
      <c r="D111" s="107">
        <v>287010503.91296476</v>
      </c>
      <c r="E111" s="107">
        <v>15031340.827379581</v>
      </c>
      <c r="F111" s="107">
        <v>1194088380.1618857</v>
      </c>
      <c r="G111" s="107">
        <v>15344588.80300517</v>
      </c>
      <c r="H111" s="107">
        <v>75911619.838113874</v>
      </c>
    </row>
    <row r="112" spans="1:8" x14ac:dyDescent="0.25">
      <c r="A112" s="113">
        <v>46433</v>
      </c>
      <c r="B112" s="107">
        <v>75911619.838113874</v>
      </c>
      <c r="C112" s="107">
        <v>261473.35722017003</v>
      </c>
      <c r="D112" s="107">
        <v>287271977.27018493</v>
      </c>
      <c r="E112" s="107">
        <v>15081445.296804179</v>
      </c>
      <c r="F112" s="107">
        <v>1209169825.4586899</v>
      </c>
      <c r="G112" s="107">
        <v>15342918.654024348</v>
      </c>
      <c r="H112" s="107">
        <v>60830174.541309699</v>
      </c>
    </row>
    <row r="113" spans="1:8" x14ac:dyDescent="0.25">
      <c r="A113" s="113">
        <v>46461</v>
      </c>
      <c r="B113" s="107">
        <v>60830174.541309699</v>
      </c>
      <c r="C113" s="107">
        <v>189249.43190629684</v>
      </c>
      <c r="D113" s="107">
        <v>287461226.70209122</v>
      </c>
      <c r="E113" s="107">
        <v>15131716.781126861</v>
      </c>
      <c r="F113" s="107">
        <v>1224301542.2398169</v>
      </c>
      <c r="G113" s="107">
        <v>15320966.213033156</v>
      </c>
      <c r="H113" s="107">
        <v>45698457.760182843</v>
      </c>
    </row>
    <row r="114" spans="1:8" x14ac:dyDescent="0.25">
      <c r="A114" s="113">
        <v>46492</v>
      </c>
      <c r="B114" s="107">
        <v>45698457.760182835</v>
      </c>
      <c r="C114" s="107">
        <v>157405.7989517409</v>
      </c>
      <c r="D114" s="107">
        <v>287618632.50104296</v>
      </c>
      <c r="E114" s="107">
        <v>15182155.83706395</v>
      </c>
      <c r="F114" s="107">
        <v>1239483698.0768809</v>
      </c>
      <c r="G114" s="107">
        <v>15339561.636015691</v>
      </c>
      <c r="H114" s="107">
        <v>30516301.923118886</v>
      </c>
    </row>
    <row r="115" spans="1:8" x14ac:dyDescent="0.25">
      <c r="A115" s="113">
        <v>46522</v>
      </c>
      <c r="B115" s="107">
        <v>30516301.923118889</v>
      </c>
      <c r="C115" s="107">
        <v>101721.00641039628</v>
      </c>
      <c r="D115" s="107">
        <v>287720353.50745338</v>
      </c>
      <c r="E115" s="107">
        <v>15232763.023187498</v>
      </c>
      <c r="F115" s="107">
        <v>1254716461.1000683</v>
      </c>
      <c r="G115" s="107">
        <v>15334484.029597893</v>
      </c>
      <c r="H115" s="107">
        <v>15283538.899931392</v>
      </c>
    </row>
    <row r="116" spans="1:8" x14ac:dyDescent="0.25">
      <c r="A116" s="113">
        <v>46553</v>
      </c>
      <c r="B116" s="107">
        <v>15283538.89993139</v>
      </c>
      <c r="C116" s="107">
        <v>52643.300655319232</v>
      </c>
      <c r="D116" s="107">
        <v>287772996.80810869</v>
      </c>
      <c r="E116" s="107">
        <v>15283538.899931455</v>
      </c>
      <c r="F116" s="107">
        <v>1269999999.9999998</v>
      </c>
      <c r="G116" s="107">
        <v>15336182.200586773</v>
      </c>
      <c r="H116" s="107">
        <v>-6.5192580223083496E-8</v>
      </c>
    </row>
  </sheetData>
  <pageMargins left="0.7" right="0.22" top="0.21" bottom="0.17" header="0.3" footer="0.3"/>
  <pageSetup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Disbursement</vt:lpstr>
      <vt:lpstr>Summary</vt:lpstr>
      <vt:lpstr>MCML_Loan</vt:lpstr>
      <vt:lpstr>Accrual_MCML </vt:lpstr>
      <vt:lpstr>Repayment Schedule</vt:lpstr>
      <vt:lpstr>MCML_Loan!Print_Area</vt:lpstr>
    </vt:vector>
  </TitlesOfParts>
  <Company>IDCOL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Zabir Ibne Raquib</dc:creator>
  <cp:lastModifiedBy>Mokaddim Jashim Bhuiyan</cp:lastModifiedBy>
  <cp:lastPrinted>2015-03-05T06:44:36Z</cp:lastPrinted>
  <dcterms:created xsi:type="dcterms:W3CDTF">2004-09-21T04:29:34Z</dcterms:created>
  <dcterms:modified xsi:type="dcterms:W3CDTF">2020-09-10T04:53:17Z</dcterms:modified>
</cp:coreProperties>
</file>